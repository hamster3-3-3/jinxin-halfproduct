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5733724\Desktop\晉欣廠\晉欣-【JFM指導】生產管理報表\115.02\"/>
    </mc:Choice>
  </mc:AlternateContent>
  <bookViews>
    <workbookView xWindow="0" yWindow="0" windowWidth="14490" windowHeight="11640" tabRatio="924" firstSheet="19" activeTab="28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'報廢20大－原因別分析'!$U$7:$U$26</definedName>
    <definedName name="_xlnm._FilterDatabase" localSheetId="29" hidden="1">'超用20大－原因別分析'!$U$7:$U$26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(週)'!$A$1:$M$15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62913"/>
</workbook>
</file>

<file path=xl/calcChain.xml><?xml version="1.0" encoding="utf-8"?>
<calcChain xmlns="http://schemas.openxmlformats.org/spreadsheetml/2006/main">
  <c r="M366" i="41" l="1"/>
  <c r="K366" i="41"/>
  <c r="I366" i="41"/>
  <c r="G366" i="41"/>
  <c r="M365" i="41"/>
  <c r="K365" i="41"/>
  <c r="I365" i="41"/>
  <c r="G365" i="41"/>
  <c r="M361" i="41"/>
  <c r="K361" i="41"/>
  <c r="I361" i="41"/>
  <c r="G361" i="41"/>
  <c r="C361" i="41"/>
  <c r="M360" i="41"/>
  <c r="K360" i="41"/>
  <c r="I360" i="41"/>
  <c r="G360" i="41"/>
  <c r="C360" i="41"/>
  <c r="K106" i="33"/>
  <c r="J106" i="33"/>
  <c r="I106" i="33"/>
  <c r="K105" i="33"/>
  <c r="J105" i="33"/>
  <c r="I105" i="33"/>
  <c r="K48" i="31"/>
  <c r="J48" i="31"/>
  <c r="I48" i="31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M353" i="41" l="1"/>
  <c r="K353" i="41"/>
  <c r="I353" i="41"/>
  <c r="G353" i="41"/>
  <c r="M352" i="41"/>
  <c r="K352" i="41"/>
  <c r="I352" i="41"/>
  <c r="G352" i="41"/>
  <c r="M348" i="41"/>
  <c r="K348" i="41"/>
  <c r="I348" i="41"/>
  <c r="G348" i="41"/>
  <c r="C348" i="41"/>
  <c r="M347" i="41"/>
  <c r="K347" i="41"/>
  <c r="I347" i="41"/>
  <c r="G347" i="41"/>
  <c r="C347" i="41"/>
  <c r="K28" i="31" l="1"/>
  <c r="J28" i="31"/>
  <c r="I28" i="31"/>
  <c r="K62" i="8"/>
  <c r="J62" i="8"/>
  <c r="I62" i="8"/>
  <c r="K61" i="8"/>
  <c r="J61" i="8"/>
  <c r="I61" i="8"/>
  <c r="V28" i="5" l="1"/>
  <c r="V21" i="5"/>
  <c r="V14" i="5"/>
  <c r="I11" i="39" s="1"/>
  <c r="V7" i="5"/>
  <c r="V6" i="5"/>
  <c r="S28" i="5"/>
  <c r="S21" i="5"/>
  <c r="S14" i="5"/>
  <c r="S7" i="5"/>
  <c r="S6" i="5"/>
  <c r="P28" i="5"/>
  <c r="P21" i="5"/>
  <c r="P14" i="5"/>
  <c r="I9" i="39" s="1"/>
  <c r="P7" i="5"/>
  <c r="P6" i="5"/>
  <c r="M28" i="5"/>
  <c r="M21" i="5"/>
  <c r="M14" i="5"/>
  <c r="I8" i="39" s="1"/>
  <c r="M7" i="5"/>
  <c r="M6" i="5"/>
  <c r="G28" i="5"/>
  <c r="G21" i="5"/>
  <c r="G14" i="5"/>
  <c r="I6" i="39" s="1"/>
  <c r="G7" i="5"/>
  <c r="G6" i="5"/>
  <c r="O27" i="48" l="1"/>
  <c r="N27" i="48"/>
  <c r="M27" i="48"/>
  <c r="O20" i="48"/>
  <c r="N20" i="48"/>
  <c r="M20" i="48"/>
  <c r="O13" i="48"/>
  <c r="N13" i="48"/>
  <c r="M13" i="48"/>
  <c r="O6" i="48"/>
  <c r="N6" i="48"/>
  <c r="M6" i="48"/>
  <c r="O4" i="48"/>
  <c r="N4" i="48"/>
  <c r="M4" i="48"/>
  <c r="A6" i="48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5" i="48"/>
  <c r="K7" i="31" l="1"/>
  <c r="J7" i="31"/>
  <c r="I7" i="31"/>
  <c r="K18" i="32" l="1"/>
  <c r="J18" i="32"/>
  <c r="I18" i="32"/>
  <c r="K36" i="33" l="1"/>
  <c r="J36" i="33"/>
  <c r="I36" i="33"/>
  <c r="K35" i="33"/>
  <c r="J35" i="33"/>
  <c r="I35" i="33"/>
  <c r="K34" i="33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K168" i="8"/>
  <c r="J168" i="8"/>
  <c r="I168" i="8"/>
  <c r="K167" i="8"/>
  <c r="J167" i="8"/>
  <c r="I167" i="8"/>
  <c r="K28" i="8"/>
  <c r="J28" i="8"/>
  <c r="I28" i="8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X7" i="8"/>
  <c r="AW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S7" i="8"/>
  <c r="AR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N7" i="8"/>
  <c r="AM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I7" i="8"/>
  <c r="AH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D7" i="8"/>
  <c r="AC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Y7" i="8"/>
  <c r="X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T7" i="8"/>
  <c r="S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K7" i="8"/>
  <c r="J7" i="8"/>
  <c r="I7" i="8"/>
  <c r="H7" i="8"/>
  <c r="D8" i="6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8" i="7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U5" i="3"/>
  <c r="S28" i="3"/>
  <c r="S21" i="3"/>
  <c r="S14" i="3"/>
  <c r="B10" i="39" s="1"/>
  <c r="S7" i="3"/>
  <c r="S6" i="3"/>
  <c r="M28" i="3"/>
  <c r="M21" i="3"/>
  <c r="M14" i="3"/>
  <c r="B8" i="39" s="1"/>
  <c r="M7" i="3"/>
  <c r="M6" i="3"/>
  <c r="G6" i="3"/>
  <c r="J6" i="3"/>
  <c r="J28" i="3"/>
  <c r="J21" i="3"/>
  <c r="J14" i="3"/>
  <c r="B7" i="39" s="1"/>
  <c r="J7" i="3"/>
  <c r="G28" i="3"/>
  <c r="G21" i="3"/>
  <c r="G14" i="3"/>
  <c r="G7" i="3"/>
  <c r="V28" i="3" l="1"/>
  <c r="P28" i="3"/>
  <c r="B6" i="39"/>
  <c r="P14" i="3"/>
  <c r="B9" i="39" s="1"/>
  <c r="V14" i="3"/>
  <c r="B11" i="39" s="1"/>
  <c r="V6" i="3"/>
  <c r="P6" i="3"/>
  <c r="P21" i="3"/>
  <c r="V21" i="3"/>
  <c r="P7" i="3"/>
  <c r="V7" i="3"/>
  <c r="L7" i="8"/>
  <c r="M340" i="41" l="1"/>
  <c r="K340" i="41"/>
  <c r="I340" i="41"/>
  <c r="G340" i="41"/>
  <c r="M339" i="41"/>
  <c r="K339" i="41"/>
  <c r="I339" i="41"/>
  <c r="G339" i="41"/>
  <c r="M335" i="41"/>
  <c r="K335" i="41"/>
  <c r="I335" i="41"/>
  <c r="G335" i="41"/>
  <c r="C335" i="41"/>
  <c r="M334" i="41"/>
  <c r="K334" i="41"/>
  <c r="I334" i="41"/>
  <c r="G334" i="41"/>
  <c r="C334" i="41"/>
  <c r="K176" i="33" l="1"/>
  <c r="J176" i="33"/>
  <c r="I176" i="33"/>
  <c r="K175" i="33"/>
  <c r="J175" i="33"/>
  <c r="I175" i="33"/>
  <c r="K98" i="32"/>
  <c r="J98" i="32"/>
  <c r="I98" i="32"/>
  <c r="AW121" i="30" l="1"/>
  <c r="AR121" i="30"/>
  <c r="AM121" i="30"/>
  <c r="AH121" i="30"/>
  <c r="AC121" i="30"/>
  <c r="X121" i="30"/>
  <c r="S121" i="30"/>
  <c r="AW120" i="30"/>
  <c r="AR120" i="30"/>
  <c r="AM120" i="30"/>
  <c r="AH120" i="30"/>
  <c r="AC120" i="30"/>
  <c r="X120" i="30"/>
  <c r="S120" i="30"/>
  <c r="AW119" i="30"/>
  <c r="AR119" i="30"/>
  <c r="AM119" i="30"/>
  <c r="AH119" i="30"/>
  <c r="AC119" i="30"/>
  <c r="X119" i="30"/>
  <c r="S119" i="30"/>
  <c r="AW118" i="30"/>
  <c r="AR118" i="30"/>
  <c r="AM118" i="30"/>
  <c r="AH118" i="30"/>
  <c r="AC118" i="30"/>
  <c r="X118" i="30"/>
  <c r="S118" i="30"/>
  <c r="AW117" i="30"/>
  <c r="AR117" i="30"/>
  <c r="AM117" i="30"/>
  <c r="AH117" i="30"/>
  <c r="AC117" i="30"/>
  <c r="X117" i="30"/>
  <c r="S117" i="30"/>
  <c r="AW116" i="30"/>
  <c r="AR116" i="30"/>
  <c r="AM116" i="30"/>
  <c r="AH116" i="30"/>
  <c r="AC116" i="30"/>
  <c r="X116" i="30"/>
  <c r="S116" i="30"/>
  <c r="AW115" i="30"/>
  <c r="AR115" i="30"/>
  <c r="AM115" i="30"/>
  <c r="AH115" i="30"/>
  <c r="AC115" i="30"/>
  <c r="X115" i="30"/>
  <c r="S115" i="30"/>
  <c r="AW114" i="30"/>
  <c r="AR114" i="30"/>
  <c r="AM114" i="30"/>
  <c r="AH114" i="30"/>
  <c r="AC114" i="30"/>
  <c r="X114" i="30"/>
  <c r="S114" i="30"/>
  <c r="AW113" i="30"/>
  <c r="AR113" i="30"/>
  <c r="AM113" i="30"/>
  <c r="AH113" i="30"/>
  <c r="AC113" i="30"/>
  <c r="X113" i="30"/>
  <c r="S113" i="30"/>
  <c r="AW112" i="30"/>
  <c r="AR112" i="30"/>
  <c r="AM112" i="30"/>
  <c r="AH112" i="30"/>
  <c r="AC112" i="30"/>
  <c r="X112" i="30"/>
  <c r="S112" i="30"/>
  <c r="AW111" i="30"/>
  <c r="AR111" i="30"/>
  <c r="AM111" i="30"/>
  <c r="AH111" i="30"/>
  <c r="AC111" i="30"/>
  <c r="X111" i="30"/>
  <c r="S111" i="30"/>
  <c r="AW110" i="30"/>
  <c r="AR110" i="30"/>
  <c r="AM110" i="30"/>
  <c r="AH110" i="30"/>
  <c r="AC110" i="30"/>
  <c r="X110" i="30"/>
  <c r="S110" i="30"/>
  <c r="AW109" i="30"/>
  <c r="AR109" i="30"/>
  <c r="AM109" i="30"/>
  <c r="AH109" i="30"/>
  <c r="AC109" i="30"/>
  <c r="X109" i="30"/>
  <c r="S109" i="30"/>
  <c r="AW108" i="30"/>
  <c r="AR108" i="30"/>
  <c r="AM108" i="30"/>
  <c r="AH108" i="30"/>
  <c r="AC108" i="30"/>
  <c r="X108" i="30"/>
  <c r="S108" i="30"/>
  <c r="AW107" i="30"/>
  <c r="AR107" i="30"/>
  <c r="AM107" i="30"/>
  <c r="AH107" i="30"/>
  <c r="AC107" i="30"/>
  <c r="X107" i="30"/>
  <c r="S107" i="30"/>
  <c r="AW81" i="30"/>
  <c r="AR81" i="30"/>
  <c r="AM81" i="30"/>
  <c r="AH81" i="30"/>
  <c r="AC81" i="30"/>
  <c r="X81" i="30"/>
  <c r="S81" i="30"/>
  <c r="AW80" i="30"/>
  <c r="AR80" i="30"/>
  <c r="AM80" i="30"/>
  <c r="AH80" i="30"/>
  <c r="AC80" i="30"/>
  <c r="X80" i="30"/>
  <c r="S80" i="30"/>
  <c r="AW79" i="30"/>
  <c r="AR79" i="30"/>
  <c r="AM79" i="30"/>
  <c r="AH79" i="30"/>
  <c r="AC79" i="30"/>
  <c r="X79" i="30"/>
  <c r="S79" i="30"/>
  <c r="AW78" i="30"/>
  <c r="AR78" i="30"/>
  <c r="AM78" i="30"/>
  <c r="AH78" i="30"/>
  <c r="AC78" i="30"/>
  <c r="X78" i="30"/>
  <c r="S78" i="30"/>
  <c r="AW77" i="30"/>
  <c r="AR77" i="30"/>
  <c r="AM77" i="30"/>
  <c r="AH77" i="30"/>
  <c r="AC77" i="30"/>
  <c r="X77" i="30"/>
  <c r="S77" i="30"/>
  <c r="AW76" i="30"/>
  <c r="AR76" i="30"/>
  <c r="AM76" i="30"/>
  <c r="AH76" i="30"/>
  <c r="AC76" i="30"/>
  <c r="X76" i="30"/>
  <c r="S76" i="30"/>
  <c r="AW75" i="30"/>
  <c r="AR75" i="30"/>
  <c r="AM75" i="30"/>
  <c r="AH75" i="30"/>
  <c r="AC75" i="30"/>
  <c r="X75" i="30"/>
  <c r="S75" i="30"/>
  <c r="AW74" i="30"/>
  <c r="AR74" i="30"/>
  <c r="AM74" i="30"/>
  <c r="AH74" i="30"/>
  <c r="AC74" i="30"/>
  <c r="X74" i="30"/>
  <c r="S74" i="30"/>
  <c r="AW73" i="30"/>
  <c r="AR73" i="30"/>
  <c r="AM73" i="30"/>
  <c r="AH73" i="30"/>
  <c r="AC73" i="30"/>
  <c r="X73" i="30"/>
  <c r="S73" i="30"/>
  <c r="AW72" i="30"/>
  <c r="AR72" i="30"/>
  <c r="AM72" i="30"/>
  <c r="AH72" i="30"/>
  <c r="AC72" i="30"/>
  <c r="X72" i="30"/>
  <c r="S72" i="30"/>
  <c r="AW71" i="30"/>
  <c r="AR71" i="30"/>
  <c r="AM71" i="30"/>
  <c r="AH71" i="30"/>
  <c r="AC71" i="30"/>
  <c r="X71" i="30"/>
  <c r="S71" i="30"/>
  <c r="AW70" i="30"/>
  <c r="AR70" i="30"/>
  <c r="AM70" i="30"/>
  <c r="AH70" i="30"/>
  <c r="AC70" i="30"/>
  <c r="X70" i="30"/>
  <c r="S70" i="30"/>
  <c r="AW69" i="30"/>
  <c r="AR69" i="30"/>
  <c r="AM69" i="30"/>
  <c r="AH69" i="30"/>
  <c r="AC69" i="30"/>
  <c r="X69" i="30"/>
  <c r="S69" i="30"/>
  <c r="AW68" i="30"/>
  <c r="AR68" i="30"/>
  <c r="AM68" i="30"/>
  <c r="AH68" i="30"/>
  <c r="AC68" i="30"/>
  <c r="X68" i="30"/>
  <c r="S68" i="30"/>
  <c r="AX67" i="30"/>
  <c r="AW67" i="30"/>
  <c r="AS67" i="30"/>
  <c r="AR67" i="30"/>
  <c r="AN67" i="30"/>
  <c r="AM67" i="30"/>
  <c r="AI67" i="30"/>
  <c r="AH67" i="30"/>
  <c r="AD67" i="30"/>
  <c r="AC67" i="30"/>
  <c r="Y67" i="30"/>
  <c r="X67" i="30"/>
  <c r="T67" i="30"/>
  <c r="S67" i="30"/>
  <c r="K67" i="30"/>
  <c r="J67" i="30"/>
  <c r="I67" i="30"/>
  <c r="H67" i="30"/>
  <c r="M327" i="41" l="1"/>
  <c r="K327" i="41"/>
  <c r="I327" i="41"/>
  <c r="G327" i="41"/>
  <c r="M326" i="41"/>
  <c r="K326" i="41"/>
  <c r="I326" i="41"/>
  <c r="G326" i="41"/>
  <c r="M322" i="41"/>
  <c r="K322" i="41"/>
  <c r="I322" i="41"/>
  <c r="G322" i="41"/>
  <c r="C322" i="41"/>
  <c r="M321" i="41"/>
  <c r="K321" i="41"/>
  <c r="I321" i="41"/>
  <c r="G321" i="41"/>
  <c r="C321" i="41"/>
  <c r="K78" i="32" l="1"/>
  <c r="J78" i="32"/>
  <c r="I78" i="32"/>
  <c r="K73" i="30"/>
  <c r="J73" i="30"/>
  <c r="I73" i="30"/>
  <c r="K135" i="8" l="1"/>
  <c r="J135" i="8"/>
  <c r="I135" i="8"/>
  <c r="K134" i="8"/>
  <c r="J134" i="8"/>
  <c r="I134" i="8"/>
  <c r="K133" i="8"/>
  <c r="J133" i="8"/>
  <c r="I133" i="8"/>
  <c r="K132" i="8"/>
  <c r="J132" i="8"/>
  <c r="I132" i="8"/>
  <c r="K131" i="8"/>
  <c r="J131" i="8"/>
  <c r="I131" i="8"/>
  <c r="K104" i="33" l="1"/>
  <c r="J104" i="33"/>
  <c r="I104" i="33"/>
  <c r="K103" i="33"/>
  <c r="J103" i="33"/>
  <c r="I103" i="33"/>
  <c r="K102" i="33"/>
  <c r="J102" i="33"/>
  <c r="I102" i="33"/>
  <c r="AW61" i="32" l="1"/>
  <c r="AR61" i="32"/>
  <c r="AM61" i="32"/>
  <c r="AH61" i="32"/>
  <c r="AC61" i="32"/>
  <c r="X61" i="32"/>
  <c r="S61" i="32"/>
  <c r="AW60" i="32"/>
  <c r="AR60" i="32"/>
  <c r="AM60" i="32"/>
  <c r="AH60" i="32"/>
  <c r="AC60" i="32"/>
  <c r="X60" i="32"/>
  <c r="S60" i="32"/>
  <c r="AW59" i="32"/>
  <c r="AR59" i="32"/>
  <c r="AM59" i="32"/>
  <c r="AH59" i="32"/>
  <c r="AC59" i="32"/>
  <c r="X59" i="32"/>
  <c r="S59" i="32"/>
  <c r="AW58" i="32"/>
  <c r="AR58" i="32"/>
  <c r="AM58" i="32"/>
  <c r="AH58" i="32"/>
  <c r="AC58" i="32"/>
  <c r="X58" i="32"/>
  <c r="S58" i="32"/>
  <c r="AW57" i="32"/>
  <c r="AR57" i="32"/>
  <c r="AM57" i="32"/>
  <c r="AH57" i="32"/>
  <c r="AC57" i="32"/>
  <c r="X57" i="32"/>
  <c r="S57" i="32"/>
  <c r="AW56" i="32"/>
  <c r="AR56" i="32"/>
  <c r="AM56" i="32"/>
  <c r="AH56" i="32"/>
  <c r="AC56" i="32"/>
  <c r="X56" i="32"/>
  <c r="S56" i="32"/>
  <c r="AW55" i="32"/>
  <c r="AR55" i="32"/>
  <c r="AM55" i="32"/>
  <c r="AH55" i="32"/>
  <c r="AC55" i="32"/>
  <c r="X55" i="32"/>
  <c r="S55" i="32"/>
  <c r="AW54" i="32"/>
  <c r="AR54" i="32"/>
  <c r="AM54" i="32"/>
  <c r="AH54" i="32"/>
  <c r="AC54" i="32"/>
  <c r="X54" i="32"/>
  <c r="S54" i="32"/>
  <c r="AW53" i="32"/>
  <c r="AR53" i="32"/>
  <c r="AM53" i="32"/>
  <c r="AH53" i="32"/>
  <c r="AC53" i="32"/>
  <c r="X53" i="32"/>
  <c r="S53" i="32"/>
  <c r="AW52" i="32"/>
  <c r="AR52" i="32"/>
  <c r="AM52" i="32"/>
  <c r="AH52" i="32"/>
  <c r="AC52" i="32"/>
  <c r="X52" i="32"/>
  <c r="S52" i="32"/>
  <c r="AW51" i="32"/>
  <c r="AR51" i="32"/>
  <c r="AM51" i="32"/>
  <c r="AH51" i="32"/>
  <c r="AC51" i="32"/>
  <c r="X51" i="32"/>
  <c r="S51" i="32"/>
  <c r="AW50" i="32"/>
  <c r="AR50" i="32"/>
  <c r="AM50" i="32"/>
  <c r="AH50" i="32"/>
  <c r="AC50" i="32"/>
  <c r="X50" i="32"/>
  <c r="S50" i="32"/>
  <c r="AW49" i="32"/>
  <c r="AR49" i="32"/>
  <c r="AM49" i="32"/>
  <c r="AH49" i="32"/>
  <c r="AC49" i="32"/>
  <c r="X49" i="32"/>
  <c r="S49" i="32"/>
  <c r="AW48" i="32"/>
  <c r="AR48" i="32"/>
  <c r="AM48" i="32"/>
  <c r="AH48" i="32"/>
  <c r="AC48" i="32"/>
  <c r="X48" i="32"/>
  <c r="S48" i="32"/>
  <c r="AX47" i="32"/>
  <c r="AW47" i="32"/>
  <c r="AS47" i="32"/>
  <c r="AR47" i="32"/>
  <c r="AN47" i="32"/>
  <c r="AM47" i="32"/>
  <c r="AI47" i="32"/>
  <c r="AH47" i="32"/>
  <c r="AD47" i="32"/>
  <c r="AC47" i="32"/>
  <c r="Y47" i="32"/>
  <c r="X47" i="32"/>
  <c r="T47" i="32"/>
  <c r="S47" i="32"/>
  <c r="AW53" i="30"/>
  <c r="AR53" i="30"/>
  <c r="AM53" i="30"/>
  <c r="AH53" i="30"/>
  <c r="AC53" i="30"/>
  <c r="X53" i="30"/>
  <c r="S53" i="30"/>
  <c r="AW52" i="30"/>
  <c r="AR52" i="30"/>
  <c r="AM52" i="30"/>
  <c r="AH52" i="30"/>
  <c r="AC52" i="30"/>
  <c r="X52" i="30"/>
  <c r="S52" i="30"/>
  <c r="AW51" i="30"/>
  <c r="AR51" i="30"/>
  <c r="AM51" i="30"/>
  <c r="AH51" i="30"/>
  <c r="AC51" i="30"/>
  <c r="X51" i="30"/>
  <c r="S51" i="30"/>
  <c r="AW50" i="30"/>
  <c r="AR50" i="30"/>
  <c r="AM50" i="30"/>
  <c r="AH50" i="30"/>
  <c r="AC50" i="30"/>
  <c r="X50" i="30"/>
  <c r="S50" i="30"/>
  <c r="AW49" i="30"/>
  <c r="AR49" i="30"/>
  <c r="AM49" i="30"/>
  <c r="AH49" i="30"/>
  <c r="AC49" i="30"/>
  <c r="X49" i="30"/>
  <c r="S49" i="30"/>
  <c r="AW48" i="30"/>
  <c r="AR48" i="30"/>
  <c r="AM48" i="30"/>
  <c r="AH48" i="30"/>
  <c r="AC48" i="30"/>
  <c r="X48" i="30"/>
  <c r="S48" i="30"/>
  <c r="AX47" i="30"/>
  <c r="AW47" i="30"/>
  <c r="AS47" i="30"/>
  <c r="AR47" i="30"/>
  <c r="AN47" i="30"/>
  <c r="AM47" i="30"/>
  <c r="AI47" i="30"/>
  <c r="AH47" i="30"/>
  <c r="AD47" i="30"/>
  <c r="AC47" i="30"/>
  <c r="Y47" i="30"/>
  <c r="X47" i="30"/>
  <c r="T47" i="30"/>
  <c r="S47" i="30"/>
  <c r="K97" i="8"/>
  <c r="J97" i="8"/>
  <c r="I97" i="8"/>
  <c r="K96" i="8"/>
  <c r="J96" i="8"/>
  <c r="I96" i="8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J80" i="8"/>
  <c r="I80" i="8"/>
  <c r="K79" i="8"/>
  <c r="J79" i="8"/>
  <c r="I79" i="8"/>
  <c r="K78" i="8"/>
  <c r="J78" i="8"/>
  <c r="I78" i="8"/>
  <c r="K77" i="8"/>
  <c r="J77" i="8"/>
  <c r="I77" i="8"/>
  <c r="AW61" i="34" l="1"/>
  <c r="AR61" i="34"/>
  <c r="AM61" i="34"/>
  <c r="AH61" i="34"/>
  <c r="AC61" i="34"/>
  <c r="X61" i="34"/>
  <c r="S61" i="34"/>
  <c r="AW60" i="34"/>
  <c r="AR60" i="34"/>
  <c r="AM60" i="34"/>
  <c r="AH60" i="34"/>
  <c r="AC60" i="34"/>
  <c r="X60" i="34"/>
  <c r="S60" i="34"/>
  <c r="AW59" i="34"/>
  <c r="AR59" i="34"/>
  <c r="AM59" i="34"/>
  <c r="AH59" i="34"/>
  <c r="AC59" i="34"/>
  <c r="X59" i="34"/>
  <c r="S59" i="34"/>
  <c r="AW58" i="34"/>
  <c r="AR58" i="34"/>
  <c r="AM58" i="34"/>
  <c r="AH58" i="34"/>
  <c r="AC58" i="34"/>
  <c r="X58" i="34"/>
  <c r="S58" i="34"/>
  <c r="AW57" i="34"/>
  <c r="AR57" i="34"/>
  <c r="AM57" i="34"/>
  <c r="AH57" i="34"/>
  <c r="AC57" i="34"/>
  <c r="X57" i="34"/>
  <c r="S57" i="34"/>
  <c r="AW56" i="34"/>
  <c r="AR56" i="34"/>
  <c r="AM56" i="34"/>
  <c r="AH56" i="34"/>
  <c r="AC56" i="34"/>
  <c r="X56" i="34"/>
  <c r="S56" i="34"/>
  <c r="AW55" i="34"/>
  <c r="AR55" i="34"/>
  <c r="AM55" i="34"/>
  <c r="AH55" i="34"/>
  <c r="AC55" i="34"/>
  <c r="X55" i="34"/>
  <c r="S55" i="34"/>
  <c r="AW54" i="34"/>
  <c r="AR54" i="34"/>
  <c r="AM54" i="34"/>
  <c r="AH54" i="34"/>
  <c r="AC54" i="34"/>
  <c r="X54" i="34"/>
  <c r="S54" i="34"/>
  <c r="AW53" i="34"/>
  <c r="AR53" i="34"/>
  <c r="AM53" i="34"/>
  <c r="AH53" i="34"/>
  <c r="AC53" i="34"/>
  <c r="X53" i="34"/>
  <c r="S53" i="34"/>
  <c r="AW52" i="34"/>
  <c r="AR52" i="34"/>
  <c r="AM52" i="34"/>
  <c r="AH52" i="34"/>
  <c r="AC52" i="34"/>
  <c r="X52" i="34"/>
  <c r="S52" i="34"/>
  <c r="AW51" i="34"/>
  <c r="AR51" i="34"/>
  <c r="AM51" i="34"/>
  <c r="AH51" i="34"/>
  <c r="AC51" i="34"/>
  <c r="X51" i="34"/>
  <c r="S51" i="34"/>
  <c r="AW50" i="34"/>
  <c r="AR50" i="34"/>
  <c r="AM50" i="34"/>
  <c r="AH50" i="34"/>
  <c r="AC50" i="34"/>
  <c r="X50" i="34"/>
  <c r="S50" i="34"/>
  <c r="AW49" i="34"/>
  <c r="AR49" i="34"/>
  <c r="AM49" i="34"/>
  <c r="AH49" i="34"/>
  <c r="AC49" i="34"/>
  <c r="X49" i="34"/>
  <c r="S49" i="34"/>
  <c r="AW48" i="34"/>
  <c r="AR48" i="34"/>
  <c r="AM48" i="34"/>
  <c r="AH48" i="34"/>
  <c r="AC48" i="34"/>
  <c r="X48" i="34"/>
  <c r="S48" i="34"/>
  <c r="AX47" i="34"/>
  <c r="AW47" i="34"/>
  <c r="AS47" i="34"/>
  <c r="AR47" i="34"/>
  <c r="AN47" i="34"/>
  <c r="AM47" i="34"/>
  <c r="AI47" i="34"/>
  <c r="AH47" i="34"/>
  <c r="AD47" i="34"/>
  <c r="AC47" i="34"/>
  <c r="Y47" i="34"/>
  <c r="X47" i="34"/>
  <c r="T47" i="34"/>
  <c r="S47" i="34"/>
  <c r="AW61" i="35"/>
  <c r="AR61" i="35"/>
  <c r="AM61" i="35"/>
  <c r="AH61" i="35"/>
  <c r="AC61" i="35"/>
  <c r="X61" i="35"/>
  <c r="S61" i="35"/>
  <c r="AW60" i="35"/>
  <c r="AR60" i="35"/>
  <c r="AM60" i="35"/>
  <c r="AH60" i="35"/>
  <c r="AC60" i="35"/>
  <c r="X60" i="35"/>
  <c r="S60" i="35"/>
  <c r="AW59" i="35"/>
  <c r="AR59" i="35"/>
  <c r="AM59" i="35"/>
  <c r="AH59" i="35"/>
  <c r="AC59" i="35"/>
  <c r="X59" i="35"/>
  <c r="S59" i="35"/>
  <c r="AW58" i="35"/>
  <c r="AR58" i="35"/>
  <c r="AM58" i="35"/>
  <c r="AH58" i="35"/>
  <c r="AC58" i="35"/>
  <c r="X58" i="35"/>
  <c r="S58" i="35"/>
  <c r="AW57" i="35"/>
  <c r="AR57" i="35"/>
  <c r="AM57" i="35"/>
  <c r="AH57" i="35"/>
  <c r="AC57" i="35"/>
  <c r="X57" i="35"/>
  <c r="S57" i="35"/>
  <c r="AW56" i="35"/>
  <c r="AR56" i="35"/>
  <c r="AM56" i="35"/>
  <c r="AH56" i="35"/>
  <c r="AC56" i="35"/>
  <c r="X56" i="35"/>
  <c r="S56" i="35"/>
  <c r="AW55" i="35"/>
  <c r="AR55" i="35"/>
  <c r="AM55" i="35"/>
  <c r="AH55" i="35"/>
  <c r="AC55" i="35"/>
  <c r="X55" i="35"/>
  <c r="S55" i="35"/>
  <c r="AW54" i="35"/>
  <c r="AR54" i="35"/>
  <c r="AM54" i="35"/>
  <c r="AH54" i="35"/>
  <c r="AC54" i="35"/>
  <c r="X54" i="35"/>
  <c r="S54" i="35"/>
  <c r="AW53" i="35"/>
  <c r="AR53" i="35"/>
  <c r="AM53" i="35"/>
  <c r="AH53" i="35"/>
  <c r="AC53" i="35"/>
  <c r="X53" i="35"/>
  <c r="S53" i="35"/>
  <c r="AW52" i="35"/>
  <c r="AR52" i="35"/>
  <c r="AM52" i="35"/>
  <c r="AH52" i="35"/>
  <c r="AC52" i="35"/>
  <c r="X52" i="35"/>
  <c r="S52" i="35"/>
  <c r="AW51" i="35"/>
  <c r="AR51" i="35"/>
  <c r="AM51" i="35"/>
  <c r="AH51" i="35"/>
  <c r="AC51" i="35"/>
  <c r="X51" i="35"/>
  <c r="S51" i="35"/>
  <c r="AW50" i="35"/>
  <c r="AR50" i="35"/>
  <c r="AM50" i="35"/>
  <c r="AH50" i="35"/>
  <c r="AC50" i="35"/>
  <c r="X50" i="35"/>
  <c r="S50" i="35"/>
  <c r="AW49" i="35"/>
  <c r="AR49" i="35"/>
  <c r="AM49" i="35"/>
  <c r="AH49" i="35"/>
  <c r="AC49" i="35"/>
  <c r="X49" i="35"/>
  <c r="S49" i="35"/>
  <c r="AW48" i="35"/>
  <c r="AR48" i="35"/>
  <c r="AM48" i="35"/>
  <c r="AH48" i="35"/>
  <c r="AC48" i="35"/>
  <c r="X48" i="35"/>
  <c r="S48" i="35"/>
  <c r="AX47" i="35"/>
  <c r="AW47" i="35"/>
  <c r="AS47" i="35"/>
  <c r="AR47" i="35"/>
  <c r="AN47" i="35"/>
  <c r="AM47" i="35"/>
  <c r="AI47" i="35"/>
  <c r="AH47" i="35"/>
  <c r="AD47" i="35"/>
  <c r="AC47" i="35"/>
  <c r="Y47" i="35"/>
  <c r="X47" i="35"/>
  <c r="T47" i="35"/>
  <c r="S47" i="35"/>
  <c r="AW51" i="36"/>
  <c r="AR51" i="36"/>
  <c r="AM51" i="36"/>
  <c r="AH51" i="36"/>
  <c r="AC51" i="36"/>
  <c r="X51" i="36"/>
  <c r="S51" i="36"/>
  <c r="AW50" i="36"/>
  <c r="AR50" i="36"/>
  <c r="AM50" i="36"/>
  <c r="AH50" i="36"/>
  <c r="AC50" i="36"/>
  <c r="X50" i="36"/>
  <c r="S50" i="36"/>
  <c r="AW49" i="36"/>
  <c r="AR49" i="36"/>
  <c r="AM49" i="36"/>
  <c r="AH49" i="36"/>
  <c r="AC49" i="36"/>
  <c r="X49" i="36"/>
  <c r="S49" i="36"/>
  <c r="AW48" i="36"/>
  <c r="AR48" i="36"/>
  <c r="AM48" i="36"/>
  <c r="AH48" i="36"/>
  <c r="AC48" i="36"/>
  <c r="X48" i="36"/>
  <c r="S48" i="36"/>
  <c r="AX47" i="36"/>
  <c r="AW47" i="36"/>
  <c r="AS47" i="36"/>
  <c r="AR47" i="36"/>
  <c r="AN47" i="36"/>
  <c r="AM47" i="36"/>
  <c r="AI47" i="36"/>
  <c r="AH47" i="36"/>
  <c r="AD47" i="36"/>
  <c r="AC47" i="36"/>
  <c r="Y47" i="36"/>
  <c r="X47" i="36"/>
  <c r="T47" i="36"/>
  <c r="S47" i="36"/>
  <c r="AW54" i="37"/>
  <c r="AR54" i="37"/>
  <c r="AM54" i="37"/>
  <c r="AH54" i="37"/>
  <c r="AC54" i="37"/>
  <c r="X54" i="37"/>
  <c r="S54" i="37"/>
  <c r="AW53" i="37"/>
  <c r="AR53" i="37"/>
  <c r="AM53" i="37"/>
  <c r="AH53" i="37"/>
  <c r="AC53" i="37"/>
  <c r="X53" i="37"/>
  <c r="S53" i="37"/>
  <c r="AW52" i="37"/>
  <c r="AR52" i="37"/>
  <c r="AM52" i="37"/>
  <c r="AH52" i="37"/>
  <c r="AC52" i="37"/>
  <c r="X52" i="37"/>
  <c r="S52" i="37"/>
  <c r="AW51" i="37"/>
  <c r="AR51" i="37"/>
  <c r="AM51" i="37"/>
  <c r="AH51" i="37"/>
  <c r="AC51" i="37"/>
  <c r="X51" i="37"/>
  <c r="S51" i="37"/>
  <c r="AW50" i="37"/>
  <c r="AR50" i="37"/>
  <c r="AM50" i="37"/>
  <c r="AH50" i="37"/>
  <c r="AC50" i="37"/>
  <c r="X50" i="37"/>
  <c r="S50" i="37"/>
  <c r="AW49" i="37"/>
  <c r="AR49" i="37"/>
  <c r="AM49" i="37"/>
  <c r="AH49" i="37"/>
  <c r="AC49" i="37"/>
  <c r="X49" i="37"/>
  <c r="S49" i="37"/>
  <c r="AW48" i="37"/>
  <c r="AR48" i="37"/>
  <c r="AM48" i="37"/>
  <c r="AH48" i="37"/>
  <c r="AC48" i="37"/>
  <c r="X48" i="37"/>
  <c r="S48" i="37"/>
  <c r="AX47" i="37"/>
  <c r="AW47" i="37"/>
  <c r="AS47" i="37"/>
  <c r="AR47" i="37"/>
  <c r="AN47" i="37"/>
  <c r="AM47" i="37"/>
  <c r="AI47" i="37"/>
  <c r="AH47" i="37"/>
  <c r="AD47" i="37"/>
  <c r="AC47" i="37"/>
  <c r="Y47" i="37"/>
  <c r="X47" i="37"/>
  <c r="T47" i="37"/>
  <c r="S47" i="37"/>
  <c r="L38" i="48" l="1"/>
  <c r="L37" i="48"/>
  <c r="L36" i="48"/>
  <c r="L35" i="48"/>
  <c r="L34" i="48"/>
  <c r="L33" i="48"/>
  <c r="L32" i="48"/>
  <c r="L31" i="48"/>
  <c r="L30" i="48"/>
  <c r="L29" i="48"/>
  <c r="L28" i="48"/>
  <c r="L27" i="48"/>
  <c r="L26" i="48"/>
  <c r="L24" i="48"/>
  <c r="L23" i="48"/>
  <c r="L22" i="48"/>
  <c r="L21" i="48"/>
  <c r="L20" i="48"/>
  <c r="L19" i="48"/>
  <c r="L18" i="48"/>
  <c r="L17" i="48"/>
  <c r="L16" i="48"/>
  <c r="L15" i="48"/>
  <c r="L14" i="48"/>
  <c r="L13" i="48"/>
  <c r="L5" i="48"/>
  <c r="L4" i="48"/>
  <c r="D38" i="48"/>
  <c r="D37" i="48"/>
  <c r="D36" i="48"/>
  <c r="D35" i="48"/>
  <c r="D34" i="48"/>
  <c r="D33" i="48"/>
  <c r="D32" i="48"/>
  <c r="F38" i="48"/>
  <c r="F37" i="48"/>
  <c r="F36" i="48"/>
  <c r="F35" i="48"/>
  <c r="F34" i="48"/>
  <c r="F33" i="48"/>
  <c r="F32" i="48"/>
  <c r="H38" i="48"/>
  <c r="H37" i="48"/>
  <c r="H36" i="48"/>
  <c r="H35" i="48"/>
  <c r="H34" i="48"/>
  <c r="H33" i="48"/>
  <c r="H32" i="48"/>
  <c r="J38" i="48"/>
  <c r="J37" i="48"/>
  <c r="J36" i="48"/>
  <c r="J35" i="48"/>
  <c r="J34" i="48"/>
  <c r="J33" i="48"/>
  <c r="J32" i="48"/>
  <c r="J31" i="48"/>
  <c r="J30" i="48"/>
  <c r="J29" i="48"/>
  <c r="J28" i="48"/>
  <c r="J27" i="48"/>
  <c r="J26" i="48"/>
  <c r="J24" i="48"/>
  <c r="J23" i="48"/>
  <c r="J22" i="48"/>
  <c r="J21" i="48"/>
  <c r="J20" i="48"/>
  <c r="J19" i="48"/>
  <c r="J18" i="48"/>
  <c r="J17" i="48"/>
  <c r="J16" i="48"/>
  <c r="J15" i="48"/>
  <c r="J14" i="48"/>
  <c r="J13" i="48"/>
  <c r="J5" i="48"/>
  <c r="J4" i="48"/>
  <c r="H24" i="48"/>
  <c r="H23" i="48"/>
  <c r="H22" i="48"/>
  <c r="H21" i="48"/>
  <c r="H20" i="48"/>
  <c r="H19" i="48"/>
  <c r="H18" i="48"/>
  <c r="H17" i="48"/>
  <c r="H16" i="48"/>
  <c r="H15" i="48"/>
  <c r="H14" i="48"/>
  <c r="H13" i="48"/>
  <c r="H5" i="48"/>
  <c r="H4" i="48"/>
  <c r="F24" i="48"/>
  <c r="F23" i="48"/>
  <c r="F22" i="48"/>
  <c r="F21" i="48"/>
  <c r="F20" i="48"/>
  <c r="F19" i="48"/>
  <c r="F18" i="48"/>
  <c r="F17" i="48"/>
  <c r="F16" i="48"/>
  <c r="F15" i="48"/>
  <c r="F14" i="48"/>
  <c r="F13" i="48"/>
  <c r="F5" i="48"/>
  <c r="F4" i="48"/>
  <c r="D24" i="48"/>
  <c r="D23" i="48"/>
  <c r="D22" i="48"/>
  <c r="D21" i="48"/>
  <c r="D20" i="48"/>
  <c r="D19" i="48"/>
  <c r="D18" i="48"/>
  <c r="D17" i="48"/>
  <c r="D16" i="48"/>
  <c r="D15" i="48"/>
  <c r="D14" i="48"/>
  <c r="D13" i="48"/>
  <c r="D5" i="48"/>
  <c r="D4" i="48"/>
  <c r="M314" i="41"/>
  <c r="K314" i="41"/>
  <c r="I314" i="41"/>
  <c r="G314" i="41"/>
  <c r="M313" i="41"/>
  <c r="K313" i="41"/>
  <c r="I313" i="41"/>
  <c r="G313" i="41"/>
  <c r="M309" i="41"/>
  <c r="K309" i="41"/>
  <c r="I309" i="41"/>
  <c r="G309" i="41"/>
  <c r="C309" i="41"/>
  <c r="M308" i="41"/>
  <c r="K308" i="41"/>
  <c r="I308" i="41"/>
  <c r="G308" i="41"/>
  <c r="C308" i="41"/>
  <c r="G255" i="8" l="1"/>
  <c r="G254" i="8"/>
  <c r="G253" i="8"/>
  <c r="G252" i="8"/>
  <c r="G251" i="8"/>
  <c r="G250" i="8"/>
  <c r="G262" i="8"/>
  <c r="G261" i="8"/>
  <c r="G260" i="8"/>
  <c r="G259" i="8"/>
  <c r="G258" i="8"/>
  <c r="G257" i="8"/>
  <c r="K40" i="48" l="1"/>
  <c r="K39" i="48"/>
  <c r="I40" i="48"/>
  <c r="I39" i="48"/>
  <c r="G40" i="48"/>
  <c r="G39" i="48"/>
  <c r="E39" i="48"/>
  <c r="E40" i="48"/>
  <c r="B40" i="48"/>
  <c r="C40" i="48"/>
  <c r="C39" i="48"/>
  <c r="B39" i="48"/>
  <c r="M301" i="41"/>
  <c r="K301" i="41"/>
  <c r="I301" i="41"/>
  <c r="G301" i="41"/>
  <c r="M300" i="41"/>
  <c r="K300" i="41"/>
  <c r="I300" i="41"/>
  <c r="G300" i="41"/>
  <c r="M296" i="41"/>
  <c r="K296" i="41"/>
  <c r="I296" i="41"/>
  <c r="G296" i="41"/>
  <c r="C296" i="41"/>
  <c r="M295" i="41"/>
  <c r="K295" i="41"/>
  <c r="I295" i="41"/>
  <c r="G295" i="41"/>
  <c r="C295" i="41"/>
  <c r="K70" i="33" l="1"/>
  <c r="J70" i="33"/>
  <c r="I70" i="33"/>
  <c r="K69" i="33"/>
  <c r="J69" i="33"/>
  <c r="I69" i="33"/>
  <c r="S41" i="32"/>
  <c r="AM40" i="32"/>
  <c r="AH40" i="32"/>
  <c r="AC40" i="32"/>
  <c r="X40" i="32"/>
  <c r="S40" i="32"/>
  <c r="AM39" i="32"/>
  <c r="AH39" i="32"/>
  <c r="AC39" i="32"/>
  <c r="X39" i="32"/>
  <c r="S39" i="32"/>
  <c r="AM38" i="32"/>
  <c r="AH38" i="32"/>
  <c r="AC38" i="32"/>
  <c r="X38" i="32"/>
  <c r="S38" i="32"/>
  <c r="AM37" i="32"/>
  <c r="AH37" i="32"/>
  <c r="AC37" i="32"/>
  <c r="X37" i="32"/>
  <c r="S37" i="32"/>
  <c r="AM36" i="32"/>
  <c r="AH36" i="32"/>
  <c r="AC36" i="32"/>
  <c r="X36" i="32"/>
  <c r="S36" i="32"/>
  <c r="AM35" i="32"/>
  <c r="AH35" i="32"/>
  <c r="AC35" i="32"/>
  <c r="X35" i="32"/>
  <c r="S35" i="32"/>
  <c r="AM34" i="32"/>
  <c r="AH34" i="32"/>
  <c r="AC34" i="32"/>
  <c r="X34" i="32"/>
  <c r="S34" i="32"/>
  <c r="AM33" i="32"/>
  <c r="AH33" i="32"/>
  <c r="AC33" i="32"/>
  <c r="X33" i="32"/>
  <c r="S33" i="32"/>
  <c r="AM32" i="32"/>
  <c r="AH32" i="32"/>
  <c r="AC32" i="32"/>
  <c r="X32" i="32"/>
  <c r="S32" i="32"/>
  <c r="AM31" i="32"/>
  <c r="AH31" i="32"/>
  <c r="AC31" i="32"/>
  <c r="X31" i="32"/>
  <c r="S31" i="32"/>
  <c r="AM30" i="32"/>
  <c r="AH30" i="32"/>
  <c r="AC30" i="32"/>
  <c r="X30" i="32"/>
  <c r="S30" i="32"/>
  <c r="AM29" i="32"/>
  <c r="AH29" i="32"/>
  <c r="AC29" i="32"/>
  <c r="X29" i="32"/>
  <c r="S29" i="32"/>
  <c r="AM28" i="32"/>
  <c r="AH28" i="32"/>
  <c r="AC28" i="32"/>
  <c r="X28" i="32"/>
  <c r="S28" i="32"/>
  <c r="AX27" i="32"/>
  <c r="AS27" i="32"/>
  <c r="AN27" i="32"/>
  <c r="AM27" i="32"/>
  <c r="AI27" i="32"/>
  <c r="AH27" i="32"/>
  <c r="AD27" i="32"/>
  <c r="AC27" i="32"/>
  <c r="Y27" i="32"/>
  <c r="X27" i="32"/>
  <c r="T27" i="32"/>
  <c r="S27" i="32"/>
  <c r="K38" i="32"/>
  <c r="J38" i="32"/>
  <c r="I38" i="32"/>
  <c r="K37" i="32"/>
  <c r="J37" i="32"/>
  <c r="I37" i="32"/>
  <c r="AW41" i="30"/>
  <c r="AR41" i="30"/>
  <c r="AM41" i="30"/>
  <c r="AH41" i="30"/>
  <c r="AC41" i="30"/>
  <c r="X41" i="30"/>
  <c r="S41" i="30"/>
  <c r="AW40" i="30"/>
  <c r="AR40" i="30"/>
  <c r="AM40" i="30"/>
  <c r="AH40" i="30"/>
  <c r="AC40" i="30"/>
  <c r="X40" i="30"/>
  <c r="S40" i="30"/>
  <c r="AW39" i="30"/>
  <c r="AR39" i="30"/>
  <c r="AM39" i="30"/>
  <c r="AH39" i="30"/>
  <c r="AC39" i="30"/>
  <c r="X39" i="30"/>
  <c r="S39" i="30"/>
  <c r="AW38" i="30"/>
  <c r="AR38" i="30"/>
  <c r="AM38" i="30"/>
  <c r="AH38" i="30"/>
  <c r="AC38" i="30"/>
  <c r="X38" i="30"/>
  <c r="S38" i="30"/>
  <c r="AW37" i="30"/>
  <c r="AR37" i="30"/>
  <c r="AM37" i="30"/>
  <c r="AH37" i="30"/>
  <c r="AC37" i="30"/>
  <c r="X37" i="30"/>
  <c r="S37" i="30"/>
  <c r="AW36" i="30"/>
  <c r="AR36" i="30"/>
  <c r="AM36" i="30"/>
  <c r="AH36" i="30"/>
  <c r="AC36" i="30"/>
  <c r="X36" i="30"/>
  <c r="S36" i="30"/>
  <c r="AW35" i="30"/>
  <c r="AR35" i="30"/>
  <c r="AM35" i="30"/>
  <c r="AH35" i="30"/>
  <c r="AC35" i="30"/>
  <c r="X35" i="30"/>
  <c r="S35" i="30"/>
  <c r="AW34" i="30"/>
  <c r="AR34" i="30"/>
  <c r="AM34" i="30"/>
  <c r="AH34" i="30"/>
  <c r="AC34" i="30"/>
  <c r="X34" i="30"/>
  <c r="S34" i="30"/>
  <c r="AW33" i="30"/>
  <c r="AR33" i="30"/>
  <c r="AM33" i="30"/>
  <c r="AH33" i="30"/>
  <c r="AC33" i="30"/>
  <c r="X33" i="30"/>
  <c r="S33" i="30"/>
  <c r="AW32" i="30"/>
  <c r="AR32" i="30"/>
  <c r="AM32" i="30"/>
  <c r="AH32" i="30"/>
  <c r="AC32" i="30"/>
  <c r="X32" i="30"/>
  <c r="S32" i="30"/>
  <c r="K32" i="30"/>
  <c r="J32" i="30"/>
  <c r="I32" i="30"/>
  <c r="AW31" i="30"/>
  <c r="AR31" i="30"/>
  <c r="AM31" i="30"/>
  <c r="AH31" i="30"/>
  <c r="AC31" i="30"/>
  <c r="X31" i="30"/>
  <c r="S31" i="30"/>
  <c r="K31" i="30"/>
  <c r="J31" i="30"/>
  <c r="I31" i="30"/>
  <c r="AW30" i="30"/>
  <c r="AR30" i="30"/>
  <c r="AM30" i="30"/>
  <c r="AH30" i="30"/>
  <c r="AC30" i="30"/>
  <c r="X30" i="30"/>
  <c r="S30" i="30"/>
  <c r="K30" i="30"/>
  <c r="J30" i="30"/>
  <c r="I30" i="30"/>
  <c r="AW29" i="30"/>
  <c r="AR29" i="30"/>
  <c r="AM29" i="30"/>
  <c r="AH29" i="30"/>
  <c r="AC29" i="30"/>
  <c r="X29" i="30"/>
  <c r="S29" i="30"/>
  <c r="K29" i="30"/>
  <c r="J29" i="30"/>
  <c r="I29" i="30"/>
  <c r="AW28" i="30"/>
  <c r="AR28" i="30"/>
  <c r="AM28" i="30"/>
  <c r="AH28" i="30"/>
  <c r="AC28" i="30"/>
  <c r="X28" i="30"/>
  <c r="S28" i="30"/>
  <c r="K28" i="30"/>
  <c r="J28" i="30"/>
  <c r="I28" i="30"/>
  <c r="AX27" i="30"/>
  <c r="AW27" i="30"/>
  <c r="AS27" i="30"/>
  <c r="AR27" i="30"/>
  <c r="AN27" i="30"/>
  <c r="AM27" i="30"/>
  <c r="AI27" i="30"/>
  <c r="AH27" i="30"/>
  <c r="AD27" i="30"/>
  <c r="AC27" i="30"/>
  <c r="Y27" i="30"/>
  <c r="X27" i="30"/>
  <c r="T27" i="30"/>
  <c r="S27" i="30"/>
  <c r="K27" i="30"/>
  <c r="J27" i="30"/>
  <c r="I27" i="30"/>
  <c r="L27" i="30" l="1"/>
  <c r="M27" i="30"/>
  <c r="M28" i="30"/>
  <c r="M30" i="30"/>
  <c r="M29" i="30"/>
  <c r="M32" i="30"/>
  <c r="H27" i="30"/>
  <c r="M34" i="30"/>
  <c r="M35" i="30"/>
  <c r="M36" i="30"/>
  <c r="M37" i="30"/>
  <c r="M38" i="30"/>
  <c r="M39" i="30"/>
  <c r="M40" i="30"/>
  <c r="M41" i="30"/>
  <c r="M31" i="30"/>
  <c r="M33" i="30"/>
  <c r="AW21" i="35" l="1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W7" i="35"/>
  <c r="AR21" i="35"/>
  <c r="AR20" i="35"/>
  <c r="AR19" i="35"/>
  <c r="AR18" i="35"/>
  <c r="AR17" i="35"/>
  <c r="AR16" i="35"/>
  <c r="AR15" i="35"/>
  <c r="AR14" i="35"/>
  <c r="AR13" i="35"/>
  <c r="AR12" i="35"/>
  <c r="AR11" i="35"/>
  <c r="AR10" i="35"/>
  <c r="AR9" i="35"/>
  <c r="AR8" i="35"/>
  <c r="AR7" i="35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W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R7" i="36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W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R7" i="37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W7" i="34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R7" i="34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M7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H7" i="35"/>
  <c r="AC21" i="35"/>
  <c r="AC20" i="35"/>
  <c r="AC19" i="35"/>
  <c r="AC18" i="35"/>
  <c r="AC17" i="35"/>
  <c r="AC16" i="35"/>
  <c r="AC15" i="35"/>
  <c r="AC14" i="35"/>
  <c r="AC13" i="35"/>
  <c r="AC12" i="35"/>
  <c r="AC11" i="35"/>
  <c r="AC10" i="35"/>
  <c r="AC9" i="35"/>
  <c r="AC8" i="35"/>
  <c r="AC7" i="35"/>
  <c r="X21" i="35"/>
  <c r="X20" i="35"/>
  <c r="X19" i="35"/>
  <c r="X18" i="35"/>
  <c r="X17" i="35"/>
  <c r="X16" i="35"/>
  <c r="X15" i="35"/>
  <c r="X14" i="35"/>
  <c r="X13" i="35"/>
  <c r="X12" i="35"/>
  <c r="X11" i="35"/>
  <c r="X10" i="35"/>
  <c r="X9" i="35"/>
  <c r="X8" i="35"/>
  <c r="X7" i="35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M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H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C7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X7" i="36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M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H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C7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X7" i="37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M7" i="34"/>
  <c r="AH21" i="34"/>
  <c r="AH20" i="34"/>
  <c r="AH19" i="34"/>
  <c r="AH18" i="34"/>
  <c r="AH17" i="34"/>
  <c r="AH16" i="34"/>
  <c r="AH15" i="34"/>
  <c r="AH14" i="34"/>
  <c r="AH13" i="34"/>
  <c r="AH12" i="34"/>
  <c r="AH11" i="34"/>
  <c r="AH10" i="34"/>
  <c r="AH9" i="34"/>
  <c r="AH8" i="34"/>
  <c r="AH7" i="34"/>
  <c r="AC21" i="34"/>
  <c r="AC20" i="34"/>
  <c r="AC19" i="34"/>
  <c r="AC18" i="34"/>
  <c r="AC17" i="34"/>
  <c r="AC16" i="34"/>
  <c r="AC15" i="34"/>
  <c r="AC14" i="34"/>
  <c r="AC13" i="34"/>
  <c r="AC12" i="34"/>
  <c r="AC11" i="34"/>
  <c r="AC10" i="34"/>
  <c r="AC9" i="34"/>
  <c r="AC8" i="34"/>
  <c r="AC7" i="34"/>
  <c r="X21" i="34"/>
  <c r="X20" i="34"/>
  <c r="X19" i="34"/>
  <c r="X18" i="34"/>
  <c r="X17" i="34"/>
  <c r="X16" i="34"/>
  <c r="X15" i="34"/>
  <c r="X14" i="34"/>
  <c r="X13" i="34"/>
  <c r="X12" i="34"/>
  <c r="X11" i="34"/>
  <c r="X10" i="34"/>
  <c r="X9" i="34"/>
  <c r="X8" i="34"/>
  <c r="X7" i="34"/>
  <c r="S21" i="35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S21" i="36"/>
  <c r="S20" i="36"/>
  <c r="S19" i="36"/>
  <c r="S18" i="36"/>
  <c r="S17" i="36"/>
  <c r="S16" i="36"/>
  <c r="S15" i="36"/>
  <c r="S14" i="36"/>
  <c r="S13" i="36"/>
  <c r="S12" i="36"/>
  <c r="S11" i="36"/>
  <c r="S10" i="36"/>
  <c r="S9" i="36"/>
  <c r="S8" i="36"/>
  <c r="S21" i="37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S21" i="34"/>
  <c r="S20" i="34"/>
  <c r="S19" i="34"/>
  <c r="S18" i="34"/>
  <c r="S17" i="34"/>
  <c r="S16" i="34"/>
  <c r="S15" i="34"/>
  <c r="S14" i="34"/>
  <c r="S13" i="34"/>
  <c r="S12" i="34"/>
  <c r="S11" i="34"/>
  <c r="S10" i="34"/>
  <c r="S9" i="34"/>
  <c r="S8" i="34"/>
  <c r="S7" i="35"/>
  <c r="S7" i="36"/>
  <c r="S7" i="37"/>
  <c r="S7" i="34"/>
  <c r="AT2" i="35"/>
  <c r="P22" i="35" s="1"/>
  <c r="AT2" i="36"/>
  <c r="P22" i="36" s="1"/>
  <c r="AT2" i="37"/>
  <c r="P22" i="37" s="1"/>
  <c r="AT2" i="34"/>
  <c r="P22" i="34" s="1"/>
  <c r="K12" i="35"/>
  <c r="J12" i="35"/>
  <c r="I12" i="35"/>
  <c r="K11" i="35"/>
  <c r="J11" i="35"/>
  <c r="I11" i="35"/>
  <c r="K10" i="35"/>
  <c r="J10" i="35"/>
  <c r="I10" i="35"/>
  <c r="K9" i="35"/>
  <c r="J9" i="35"/>
  <c r="I9" i="35"/>
  <c r="K8" i="35"/>
  <c r="J8" i="35"/>
  <c r="I8" i="35"/>
  <c r="AX7" i="35"/>
  <c r="AS7" i="35"/>
  <c r="AN7" i="35"/>
  <c r="AI7" i="35"/>
  <c r="AD7" i="35"/>
  <c r="Y7" i="35"/>
  <c r="T7" i="35"/>
  <c r="K7" i="35"/>
  <c r="J7" i="35"/>
  <c r="I7" i="35"/>
  <c r="H7" i="35"/>
  <c r="K11" i="36"/>
  <c r="J11" i="36"/>
  <c r="I11" i="36"/>
  <c r="K10" i="36"/>
  <c r="J10" i="36"/>
  <c r="I10" i="36"/>
  <c r="K9" i="36"/>
  <c r="J9" i="36"/>
  <c r="I9" i="36"/>
  <c r="K8" i="36"/>
  <c r="J8" i="36"/>
  <c r="I8" i="36"/>
  <c r="AX7" i="36"/>
  <c r="AS7" i="36"/>
  <c r="AN7" i="36"/>
  <c r="AI7" i="36"/>
  <c r="AD7" i="36"/>
  <c r="Y7" i="36"/>
  <c r="T7" i="36"/>
  <c r="K7" i="36"/>
  <c r="J7" i="36"/>
  <c r="I7" i="36"/>
  <c r="H7" i="36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AX7" i="37"/>
  <c r="AS7" i="37"/>
  <c r="AN7" i="37"/>
  <c r="AI7" i="37"/>
  <c r="AD7" i="37"/>
  <c r="Y7" i="37"/>
  <c r="T7" i="37"/>
  <c r="K7" i="37"/>
  <c r="J7" i="37"/>
  <c r="I7" i="37"/>
  <c r="H7" i="37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AX7" i="34"/>
  <c r="AS7" i="34"/>
  <c r="AN7" i="34"/>
  <c r="AI7" i="34"/>
  <c r="AD7" i="34"/>
  <c r="Y7" i="34"/>
  <c r="T7" i="34"/>
  <c r="K7" i="34"/>
  <c r="J7" i="34"/>
  <c r="I7" i="34"/>
  <c r="H7" i="34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W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R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M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H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C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X7" i="33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S7" i="33"/>
  <c r="AX7" i="33"/>
  <c r="AS7" i="33"/>
  <c r="AN7" i="33"/>
  <c r="AI7" i="33"/>
  <c r="AD7" i="33"/>
  <c r="Y7" i="33"/>
  <c r="T7" i="33"/>
  <c r="K7" i="33"/>
  <c r="J7" i="33"/>
  <c r="I7" i="33"/>
  <c r="H7" i="33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W7" i="32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R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H21" i="32"/>
  <c r="AH20" i="32"/>
  <c r="AH19" i="32"/>
  <c r="AH18" i="32"/>
  <c r="AH17" i="32"/>
  <c r="AH16" i="32"/>
  <c r="AH15" i="32"/>
  <c r="AH14" i="32"/>
  <c r="AH13" i="32"/>
  <c r="AH12" i="32"/>
  <c r="AH11" i="32"/>
  <c r="AH10" i="32"/>
  <c r="AH9" i="32"/>
  <c r="AH8" i="32"/>
  <c r="AH7" i="32"/>
  <c r="AC21" i="32"/>
  <c r="AC20" i="32"/>
  <c r="AC19" i="32"/>
  <c r="AC18" i="32"/>
  <c r="AC17" i="32"/>
  <c r="AC16" i="32"/>
  <c r="AC15" i="32"/>
  <c r="AC14" i="32"/>
  <c r="AC13" i="32"/>
  <c r="AC12" i="32"/>
  <c r="AC11" i="32"/>
  <c r="AC10" i="32"/>
  <c r="AC9" i="32"/>
  <c r="AC8" i="32"/>
  <c r="AC7" i="32"/>
  <c r="X21" i="32"/>
  <c r="X20" i="32"/>
  <c r="X19" i="32"/>
  <c r="X18" i="32"/>
  <c r="X17" i="32"/>
  <c r="X16" i="32"/>
  <c r="X15" i="32"/>
  <c r="X14" i="32"/>
  <c r="X13" i="32"/>
  <c r="X12" i="32"/>
  <c r="X11" i="32"/>
  <c r="X10" i="32"/>
  <c r="X9" i="32"/>
  <c r="X8" i="32"/>
  <c r="X7" i="32"/>
  <c r="S21" i="32"/>
  <c r="S20" i="32"/>
  <c r="S19" i="32"/>
  <c r="S18" i="32"/>
  <c r="S17" i="32"/>
  <c r="S16" i="32"/>
  <c r="S15" i="32"/>
  <c r="S14" i="32"/>
  <c r="S13" i="32"/>
  <c r="S12" i="32"/>
  <c r="S11" i="32"/>
  <c r="S10" i="32"/>
  <c r="S9" i="32"/>
  <c r="S8" i="32"/>
  <c r="S7" i="32"/>
  <c r="K17" i="32"/>
  <c r="J17" i="32"/>
  <c r="I17" i="32"/>
  <c r="K16" i="32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J9" i="32"/>
  <c r="I9" i="32"/>
  <c r="K8" i="32"/>
  <c r="J8" i="32"/>
  <c r="I8" i="32"/>
  <c r="AX7" i="32"/>
  <c r="AS7" i="32"/>
  <c r="AN7" i="32"/>
  <c r="AI7" i="32"/>
  <c r="AD7" i="32"/>
  <c r="Y7" i="32"/>
  <c r="T7" i="32"/>
  <c r="K7" i="32"/>
  <c r="L7" i="32" s="1"/>
  <c r="J7" i="32"/>
  <c r="I7" i="32"/>
  <c r="H7" i="32"/>
  <c r="M21" i="37" l="1"/>
  <c r="M12" i="37"/>
  <c r="M11" i="37"/>
  <c r="M10" i="37"/>
  <c r="M14" i="37"/>
  <c r="M9" i="37"/>
  <c r="M13" i="37"/>
  <c r="M18" i="37"/>
  <c r="L7" i="37"/>
  <c r="M7" i="37"/>
  <c r="M15" i="37"/>
  <c r="M19" i="37"/>
  <c r="M8" i="37"/>
  <c r="M16" i="37"/>
  <c r="M20" i="37"/>
  <c r="M17" i="37"/>
  <c r="M9" i="36"/>
  <c r="M8" i="36"/>
  <c r="M11" i="36"/>
  <c r="M10" i="36"/>
  <c r="L7" i="36"/>
  <c r="M14" i="36"/>
  <c r="M18" i="36"/>
  <c r="M15" i="36"/>
  <c r="M19" i="36"/>
  <c r="M12" i="36"/>
  <c r="M16" i="36"/>
  <c r="M20" i="36"/>
  <c r="M7" i="36"/>
  <c r="M13" i="36"/>
  <c r="M17" i="36"/>
  <c r="M21" i="36"/>
  <c r="M11" i="35"/>
  <c r="M9" i="35"/>
  <c r="M8" i="35"/>
  <c r="M12" i="35"/>
  <c r="M15" i="35"/>
  <c r="L7" i="35"/>
  <c r="M10" i="35"/>
  <c r="M14" i="35"/>
  <c r="M13" i="35"/>
  <c r="M18" i="35"/>
  <c r="M7" i="35"/>
  <c r="M19" i="35"/>
  <c r="M16" i="35"/>
  <c r="M20" i="35"/>
  <c r="M17" i="35"/>
  <c r="M21" i="35"/>
  <c r="L7" i="34"/>
  <c r="M8" i="34"/>
  <c r="M12" i="34"/>
  <c r="M16" i="34"/>
  <c r="M11" i="34"/>
  <c r="M15" i="34"/>
  <c r="M10" i="34"/>
  <c r="M14" i="34"/>
  <c r="M9" i="34"/>
  <c r="M13" i="34"/>
  <c r="M7" i="34"/>
  <c r="M20" i="34"/>
  <c r="M17" i="34"/>
  <c r="M21" i="34"/>
  <c r="M18" i="34"/>
  <c r="M19" i="34"/>
  <c r="M8" i="32"/>
  <c r="M12" i="32"/>
  <c r="M16" i="32"/>
  <c r="M11" i="32"/>
  <c r="M15" i="32"/>
  <c r="M10" i="32"/>
  <c r="M14" i="32"/>
  <c r="M9" i="32"/>
  <c r="M13" i="32"/>
  <c r="M17" i="32"/>
  <c r="M18" i="32"/>
  <c r="M7" i="32"/>
  <c r="M19" i="32"/>
  <c r="M20" i="32"/>
  <c r="M21" i="32"/>
  <c r="M35" i="33"/>
  <c r="M11" i="33"/>
  <c r="M15" i="33"/>
  <c r="M19" i="33"/>
  <c r="M23" i="33"/>
  <c r="M27" i="33"/>
  <c r="M10" i="33"/>
  <c r="M14" i="33"/>
  <c r="M18" i="33"/>
  <c r="M22" i="33"/>
  <c r="M26" i="33"/>
  <c r="M30" i="33"/>
  <c r="M9" i="33"/>
  <c r="M13" i="33"/>
  <c r="M17" i="33"/>
  <c r="M21" i="33"/>
  <c r="M25" i="33"/>
  <c r="M29" i="33"/>
  <c r="M8" i="33"/>
  <c r="M12" i="33"/>
  <c r="M16" i="33"/>
  <c r="M20" i="33"/>
  <c r="M24" i="33"/>
  <c r="M28" i="33"/>
  <c r="M33" i="33"/>
  <c r="M34" i="33"/>
  <c r="M7" i="33"/>
  <c r="M31" i="33"/>
  <c r="L7" i="33"/>
  <c r="M32" i="33"/>
  <c r="M36" i="33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W7" i="30"/>
  <c r="AR21" i="30"/>
  <c r="AR20" i="30"/>
  <c r="AR19" i="30"/>
  <c r="AR18" i="30"/>
  <c r="AR17" i="30"/>
  <c r="AR16" i="30"/>
  <c r="AR15" i="30"/>
  <c r="AR14" i="30"/>
  <c r="AR13" i="30"/>
  <c r="AR12" i="30"/>
  <c r="AR11" i="30"/>
  <c r="AR10" i="30"/>
  <c r="AR9" i="30"/>
  <c r="AR8" i="30"/>
  <c r="AR7" i="30"/>
  <c r="AM21" i="30"/>
  <c r="AM20" i="30"/>
  <c r="AM19" i="30"/>
  <c r="AM18" i="30"/>
  <c r="AM17" i="30"/>
  <c r="AM16" i="30"/>
  <c r="AM15" i="30"/>
  <c r="AM14" i="30"/>
  <c r="AM13" i="30"/>
  <c r="AM12" i="30"/>
  <c r="AM11" i="30"/>
  <c r="AM10" i="30"/>
  <c r="AM9" i="30"/>
  <c r="AM8" i="30"/>
  <c r="AM7" i="30"/>
  <c r="AH21" i="30"/>
  <c r="AH20" i="30"/>
  <c r="AH19" i="30"/>
  <c r="AH18" i="30"/>
  <c r="AH17" i="30"/>
  <c r="AH16" i="30"/>
  <c r="AH15" i="30"/>
  <c r="AH14" i="30"/>
  <c r="AH13" i="30"/>
  <c r="AH12" i="30"/>
  <c r="AH11" i="30"/>
  <c r="AH10" i="30"/>
  <c r="AH9" i="30"/>
  <c r="AH8" i="30"/>
  <c r="AH7" i="30"/>
  <c r="AC21" i="30"/>
  <c r="AC20" i="30"/>
  <c r="AC19" i="30"/>
  <c r="AC18" i="30"/>
  <c r="AC17" i="30"/>
  <c r="AC16" i="30"/>
  <c r="AC15" i="30"/>
  <c r="AC14" i="30"/>
  <c r="AC13" i="30"/>
  <c r="AC12" i="30"/>
  <c r="AC11" i="30"/>
  <c r="AC10" i="30"/>
  <c r="AC9" i="30"/>
  <c r="AC8" i="30"/>
  <c r="AC7" i="30"/>
  <c r="X21" i="30"/>
  <c r="X20" i="30"/>
  <c r="X19" i="30"/>
  <c r="X18" i="30"/>
  <c r="X17" i="30"/>
  <c r="X16" i="30"/>
  <c r="X15" i="30"/>
  <c r="X14" i="30"/>
  <c r="X13" i="30"/>
  <c r="X12" i="30"/>
  <c r="X11" i="30"/>
  <c r="X10" i="30"/>
  <c r="X9" i="30"/>
  <c r="X8" i="30"/>
  <c r="X7" i="30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S7" i="30"/>
  <c r="K12" i="30"/>
  <c r="J12" i="30"/>
  <c r="I12" i="30"/>
  <c r="K11" i="30"/>
  <c r="J11" i="30"/>
  <c r="I11" i="30"/>
  <c r="K10" i="30"/>
  <c r="J10" i="30"/>
  <c r="I10" i="30"/>
  <c r="K9" i="30"/>
  <c r="J9" i="30"/>
  <c r="I9" i="30"/>
  <c r="K8" i="30"/>
  <c r="J8" i="30"/>
  <c r="I8" i="30"/>
  <c r="AX7" i="30"/>
  <c r="AS7" i="30"/>
  <c r="AN7" i="30"/>
  <c r="AI7" i="30"/>
  <c r="AD7" i="30"/>
  <c r="Y7" i="30"/>
  <c r="T7" i="30"/>
  <c r="K7" i="30"/>
  <c r="J7" i="30"/>
  <c r="I7" i="30"/>
  <c r="H7" i="30"/>
  <c r="L7" i="30" l="1"/>
  <c r="M21" i="30"/>
  <c r="M10" i="30"/>
  <c r="M14" i="30"/>
  <c r="M18" i="30"/>
  <c r="M7" i="30"/>
  <c r="M11" i="30"/>
  <c r="M15" i="30"/>
  <c r="M19" i="30"/>
  <c r="M8" i="30"/>
  <c r="M12" i="30"/>
  <c r="M16" i="30"/>
  <c r="M20" i="30"/>
  <c r="M9" i="30"/>
  <c r="M13" i="30"/>
  <c r="M17" i="30"/>
  <c r="D6" i="3"/>
  <c r="D7" i="3" s="1"/>
  <c r="D8" i="3" s="1"/>
  <c r="D9" i="3" s="1"/>
  <c r="AW211" i="33" l="1"/>
  <c r="AW210" i="33"/>
  <c r="AW209" i="33"/>
  <c r="AW208" i="33"/>
  <c r="AW207" i="33"/>
  <c r="AW206" i="33"/>
  <c r="AW205" i="33"/>
  <c r="AW204" i="33"/>
  <c r="AW203" i="33"/>
  <c r="AW202" i="33"/>
  <c r="AW201" i="33"/>
  <c r="AW200" i="33"/>
  <c r="AW199" i="33"/>
  <c r="AW198" i="33"/>
  <c r="AW197" i="33"/>
  <c r="AW196" i="33"/>
  <c r="AW195" i="33"/>
  <c r="AW194" i="33"/>
  <c r="AW193" i="33"/>
  <c r="AW192" i="33"/>
  <c r="AW191" i="33"/>
  <c r="AW190" i="33"/>
  <c r="AW189" i="33"/>
  <c r="AW188" i="33"/>
  <c r="AW187" i="33"/>
  <c r="AW186" i="33"/>
  <c r="AW185" i="33"/>
  <c r="AW184" i="33"/>
  <c r="AW183" i="33"/>
  <c r="AW182" i="33"/>
  <c r="AR211" i="33"/>
  <c r="AR210" i="33"/>
  <c r="AR209" i="33"/>
  <c r="AR208" i="33"/>
  <c r="AR207" i="33"/>
  <c r="AR206" i="33"/>
  <c r="AR205" i="33"/>
  <c r="AR204" i="33"/>
  <c r="AR203" i="33"/>
  <c r="AR202" i="33"/>
  <c r="AR201" i="33"/>
  <c r="AR200" i="33"/>
  <c r="AR199" i="33"/>
  <c r="AR198" i="33"/>
  <c r="AR197" i="33"/>
  <c r="AR196" i="33"/>
  <c r="AR195" i="33"/>
  <c r="AR194" i="33"/>
  <c r="AR193" i="33"/>
  <c r="AR192" i="33"/>
  <c r="AR191" i="33"/>
  <c r="AR190" i="33"/>
  <c r="AR189" i="33"/>
  <c r="AR188" i="33"/>
  <c r="AR187" i="33"/>
  <c r="AR186" i="33"/>
  <c r="AR185" i="33"/>
  <c r="AR184" i="33"/>
  <c r="AR183" i="33"/>
  <c r="AR182" i="33"/>
  <c r="AM211" i="33"/>
  <c r="AM210" i="33"/>
  <c r="AM209" i="33"/>
  <c r="AM208" i="33"/>
  <c r="AM207" i="33"/>
  <c r="AM206" i="33"/>
  <c r="AM205" i="33"/>
  <c r="AM204" i="33"/>
  <c r="AM203" i="33"/>
  <c r="AM202" i="33"/>
  <c r="AM201" i="33"/>
  <c r="AM200" i="33"/>
  <c r="AM199" i="33"/>
  <c r="AM198" i="33"/>
  <c r="AM197" i="33"/>
  <c r="AM196" i="33"/>
  <c r="AM195" i="33"/>
  <c r="AM194" i="33"/>
  <c r="AM193" i="33"/>
  <c r="AM192" i="33"/>
  <c r="AM191" i="33"/>
  <c r="AM190" i="33"/>
  <c r="AM189" i="33"/>
  <c r="AM188" i="33"/>
  <c r="AM187" i="33"/>
  <c r="AM186" i="33"/>
  <c r="AM185" i="33"/>
  <c r="AM184" i="33"/>
  <c r="AM183" i="33"/>
  <c r="AM182" i="33"/>
  <c r="AH211" i="33"/>
  <c r="AH210" i="33"/>
  <c r="AH209" i="33"/>
  <c r="AH208" i="33"/>
  <c r="AH207" i="33"/>
  <c r="AH206" i="33"/>
  <c r="AH205" i="33"/>
  <c r="AH204" i="33"/>
  <c r="AH203" i="33"/>
  <c r="AH202" i="33"/>
  <c r="AH201" i="33"/>
  <c r="AH200" i="33"/>
  <c r="AH199" i="33"/>
  <c r="AH198" i="33"/>
  <c r="AH197" i="33"/>
  <c r="AH196" i="33"/>
  <c r="AH195" i="33"/>
  <c r="AH194" i="33"/>
  <c r="AH193" i="33"/>
  <c r="AH192" i="33"/>
  <c r="AH191" i="33"/>
  <c r="AH190" i="33"/>
  <c r="AH189" i="33"/>
  <c r="AH188" i="33"/>
  <c r="AH187" i="33"/>
  <c r="AH186" i="33"/>
  <c r="AH185" i="33"/>
  <c r="AH184" i="33"/>
  <c r="AH183" i="33"/>
  <c r="AH182" i="33"/>
  <c r="AC211" i="33"/>
  <c r="AC210" i="33"/>
  <c r="AC209" i="33"/>
  <c r="AC208" i="33"/>
  <c r="AC207" i="33"/>
  <c r="AC206" i="33"/>
  <c r="AC205" i="33"/>
  <c r="AC204" i="33"/>
  <c r="AC203" i="33"/>
  <c r="AC202" i="33"/>
  <c r="AC201" i="33"/>
  <c r="AC200" i="33"/>
  <c r="AC199" i="33"/>
  <c r="AC198" i="33"/>
  <c r="AC197" i="33"/>
  <c r="AC196" i="33"/>
  <c r="AC195" i="33"/>
  <c r="AC194" i="33"/>
  <c r="AC193" i="33"/>
  <c r="AC192" i="33"/>
  <c r="AC191" i="33"/>
  <c r="AC190" i="33"/>
  <c r="AC189" i="33"/>
  <c r="AC188" i="33"/>
  <c r="AC187" i="33"/>
  <c r="AC186" i="33"/>
  <c r="AC185" i="33"/>
  <c r="AC184" i="33"/>
  <c r="AC183" i="33"/>
  <c r="AC182" i="33"/>
  <c r="X211" i="33"/>
  <c r="X210" i="33"/>
  <c r="X209" i="33"/>
  <c r="X208" i="33"/>
  <c r="X207" i="33"/>
  <c r="X206" i="33"/>
  <c r="X205" i="33"/>
  <c r="X204" i="33"/>
  <c r="X203" i="33"/>
  <c r="X202" i="33"/>
  <c r="X201" i="33"/>
  <c r="X200" i="33"/>
  <c r="X199" i="33"/>
  <c r="X198" i="33"/>
  <c r="X197" i="33"/>
  <c r="X196" i="33"/>
  <c r="X195" i="33"/>
  <c r="X194" i="33"/>
  <c r="X193" i="33"/>
  <c r="X192" i="33"/>
  <c r="X191" i="33"/>
  <c r="X190" i="33"/>
  <c r="X189" i="33"/>
  <c r="X188" i="33"/>
  <c r="X187" i="33"/>
  <c r="X186" i="33"/>
  <c r="X185" i="33"/>
  <c r="X184" i="33"/>
  <c r="X183" i="33"/>
  <c r="X182" i="33"/>
  <c r="S211" i="33"/>
  <c r="S210" i="33"/>
  <c r="S209" i="33"/>
  <c r="S208" i="33"/>
  <c r="S207" i="33"/>
  <c r="S206" i="33"/>
  <c r="S205" i="33"/>
  <c r="S204" i="33"/>
  <c r="S203" i="33"/>
  <c r="S202" i="33"/>
  <c r="S201" i="33"/>
  <c r="S200" i="33"/>
  <c r="S199" i="33"/>
  <c r="S198" i="33"/>
  <c r="S197" i="33"/>
  <c r="S196" i="33"/>
  <c r="S195" i="33"/>
  <c r="S194" i="33"/>
  <c r="S193" i="33"/>
  <c r="S192" i="33"/>
  <c r="S191" i="33"/>
  <c r="S190" i="33"/>
  <c r="S189" i="33"/>
  <c r="S188" i="33"/>
  <c r="S187" i="33"/>
  <c r="S186" i="33"/>
  <c r="S185" i="33"/>
  <c r="S184" i="33"/>
  <c r="S183" i="33"/>
  <c r="S182" i="33"/>
  <c r="M288" i="41" l="1"/>
  <c r="K288" i="41"/>
  <c r="I288" i="41"/>
  <c r="G288" i="41"/>
  <c r="M287" i="41"/>
  <c r="K287" i="41"/>
  <c r="I287" i="41"/>
  <c r="G287" i="41"/>
  <c r="M283" i="41"/>
  <c r="K283" i="41"/>
  <c r="I283" i="41"/>
  <c r="G283" i="41"/>
  <c r="C283" i="41"/>
  <c r="M282" i="41"/>
  <c r="K282" i="41"/>
  <c r="I282" i="41"/>
  <c r="G282" i="41"/>
  <c r="C282" i="41"/>
  <c r="F40" i="48" l="1"/>
  <c r="AW121" i="37" l="1"/>
  <c r="AR121" i="37"/>
  <c r="AM121" i="37"/>
  <c r="AH121" i="37"/>
  <c r="AC121" i="37"/>
  <c r="X121" i="37"/>
  <c r="S121" i="37"/>
  <c r="AW120" i="37"/>
  <c r="AR120" i="37"/>
  <c r="AM120" i="37"/>
  <c r="AH120" i="37"/>
  <c r="AC120" i="37"/>
  <c r="X120" i="37"/>
  <c r="S120" i="37"/>
  <c r="AW119" i="37"/>
  <c r="AR119" i="37"/>
  <c r="AM119" i="37"/>
  <c r="AH119" i="37"/>
  <c r="AC119" i="37"/>
  <c r="X119" i="37"/>
  <c r="S119" i="37"/>
  <c r="AW118" i="37"/>
  <c r="AR118" i="37"/>
  <c r="AM118" i="37"/>
  <c r="AH118" i="37"/>
  <c r="AC118" i="37"/>
  <c r="X118" i="37"/>
  <c r="S118" i="37"/>
  <c r="AW117" i="37"/>
  <c r="AR117" i="37"/>
  <c r="AM117" i="37"/>
  <c r="AH117" i="37"/>
  <c r="AC117" i="37"/>
  <c r="X117" i="37"/>
  <c r="S117" i="37"/>
  <c r="AW116" i="37"/>
  <c r="AR116" i="37"/>
  <c r="AM116" i="37"/>
  <c r="AH116" i="37"/>
  <c r="AC116" i="37"/>
  <c r="X116" i="37"/>
  <c r="S116" i="37"/>
  <c r="AW115" i="37"/>
  <c r="AR115" i="37"/>
  <c r="AM115" i="37"/>
  <c r="AH115" i="37"/>
  <c r="AC115" i="37"/>
  <c r="X115" i="37"/>
  <c r="S115" i="37"/>
  <c r="AW114" i="37"/>
  <c r="AR114" i="37"/>
  <c r="AM114" i="37"/>
  <c r="AH114" i="37"/>
  <c r="AC114" i="37"/>
  <c r="X114" i="37"/>
  <c r="S114" i="37"/>
  <c r="K114" i="37"/>
  <c r="J114" i="37"/>
  <c r="I114" i="37"/>
  <c r="AW113" i="37"/>
  <c r="AR113" i="37"/>
  <c r="AM113" i="37"/>
  <c r="AH113" i="37"/>
  <c r="AC113" i="37"/>
  <c r="X113" i="37"/>
  <c r="S113" i="37"/>
  <c r="K113" i="37"/>
  <c r="J113" i="37"/>
  <c r="I113" i="37"/>
  <c r="AW112" i="37"/>
  <c r="AR112" i="37"/>
  <c r="AM112" i="37"/>
  <c r="AH112" i="37"/>
  <c r="AC112" i="37"/>
  <c r="X112" i="37"/>
  <c r="S112" i="37"/>
  <c r="K112" i="37"/>
  <c r="J112" i="37"/>
  <c r="I112" i="37"/>
  <c r="AW111" i="37"/>
  <c r="AR111" i="37"/>
  <c r="AM111" i="37"/>
  <c r="AH111" i="37"/>
  <c r="AC111" i="37"/>
  <c r="X111" i="37"/>
  <c r="S111" i="37"/>
  <c r="K111" i="37"/>
  <c r="J111" i="37"/>
  <c r="I111" i="37"/>
  <c r="AW110" i="37"/>
  <c r="AR110" i="37"/>
  <c r="AM110" i="37"/>
  <c r="AH110" i="37"/>
  <c r="AC110" i="37"/>
  <c r="X110" i="37"/>
  <c r="S110" i="37"/>
  <c r="K110" i="37"/>
  <c r="J110" i="37"/>
  <c r="I110" i="37"/>
  <c r="AW109" i="37"/>
  <c r="AR109" i="37"/>
  <c r="AM109" i="37"/>
  <c r="AH109" i="37"/>
  <c r="AC109" i="37"/>
  <c r="X109" i="37"/>
  <c r="S109" i="37"/>
  <c r="K109" i="37"/>
  <c r="J109" i="37"/>
  <c r="I109" i="37"/>
  <c r="AW108" i="37"/>
  <c r="AR108" i="37"/>
  <c r="AM108" i="37"/>
  <c r="AH108" i="37"/>
  <c r="AC108" i="37"/>
  <c r="X108" i="37"/>
  <c r="S108" i="37"/>
  <c r="K108" i="37"/>
  <c r="J108" i="37"/>
  <c r="I108" i="37"/>
  <c r="AX107" i="37"/>
  <c r="AW107" i="37"/>
  <c r="AS107" i="37"/>
  <c r="AR107" i="37"/>
  <c r="AN107" i="37"/>
  <c r="AM107" i="37"/>
  <c r="AI107" i="37"/>
  <c r="AH107" i="37"/>
  <c r="AD107" i="37"/>
  <c r="AC107" i="37"/>
  <c r="Y107" i="37"/>
  <c r="X107" i="37"/>
  <c r="T107" i="37"/>
  <c r="S107" i="37"/>
  <c r="K107" i="37"/>
  <c r="L107" i="37" s="1"/>
  <c r="J107" i="37"/>
  <c r="I107" i="37"/>
  <c r="H107" i="37"/>
  <c r="AW121" i="36"/>
  <c r="AR121" i="36"/>
  <c r="AM121" i="36"/>
  <c r="AH121" i="36"/>
  <c r="AC121" i="36"/>
  <c r="X121" i="36"/>
  <c r="S121" i="36"/>
  <c r="AW120" i="36"/>
  <c r="AR120" i="36"/>
  <c r="AM120" i="36"/>
  <c r="AH120" i="36"/>
  <c r="AC120" i="36"/>
  <c r="X120" i="36"/>
  <c r="S120" i="36"/>
  <c r="AW119" i="36"/>
  <c r="AR119" i="36"/>
  <c r="AM119" i="36"/>
  <c r="AH119" i="36"/>
  <c r="AC119" i="36"/>
  <c r="X119" i="36"/>
  <c r="S119" i="36"/>
  <c r="AW118" i="36"/>
  <c r="AR118" i="36"/>
  <c r="AM118" i="36"/>
  <c r="AH118" i="36"/>
  <c r="AC118" i="36"/>
  <c r="X118" i="36"/>
  <c r="S118" i="36"/>
  <c r="AW117" i="36"/>
  <c r="AR117" i="36"/>
  <c r="AM117" i="36"/>
  <c r="AH117" i="36"/>
  <c r="AC117" i="36"/>
  <c r="X117" i="36"/>
  <c r="S117" i="36"/>
  <c r="AW116" i="36"/>
  <c r="AR116" i="36"/>
  <c r="AM116" i="36"/>
  <c r="AH116" i="36"/>
  <c r="AC116" i="36"/>
  <c r="X116" i="36"/>
  <c r="S116" i="36"/>
  <c r="AW115" i="36"/>
  <c r="AR115" i="36"/>
  <c r="AM115" i="36"/>
  <c r="AH115" i="36"/>
  <c r="AC115" i="36"/>
  <c r="X115" i="36"/>
  <c r="S115" i="36"/>
  <c r="AW114" i="36"/>
  <c r="AR114" i="36"/>
  <c r="AM114" i="36"/>
  <c r="AH114" i="36"/>
  <c r="AC114" i="36"/>
  <c r="X114" i="36"/>
  <c r="S114" i="36"/>
  <c r="AW113" i="36"/>
  <c r="AR113" i="36"/>
  <c r="AM113" i="36"/>
  <c r="AH113" i="36"/>
  <c r="AC113" i="36"/>
  <c r="X113" i="36"/>
  <c r="S113" i="36"/>
  <c r="AW112" i="36"/>
  <c r="AR112" i="36"/>
  <c r="AM112" i="36"/>
  <c r="AH112" i="36"/>
  <c r="AC112" i="36"/>
  <c r="X112" i="36"/>
  <c r="S112" i="36"/>
  <c r="AW111" i="36"/>
  <c r="AR111" i="36"/>
  <c r="AM111" i="36"/>
  <c r="AH111" i="36"/>
  <c r="AC111" i="36"/>
  <c r="X111" i="36"/>
  <c r="S111" i="36"/>
  <c r="K111" i="36"/>
  <c r="J111" i="36"/>
  <c r="I111" i="36"/>
  <c r="AW110" i="36"/>
  <c r="AR110" i="36"/>
  <c r="AM110" i="36"/>
  <c r="AH110" i="36"/>
  <c r="AC110" i="36"/>
  <c r="X110" i="36"/>
  <c r="S110" i="36"/>
  <c r="K110" i="36"/>
  <c r="J110" i="36"/>
  <c r="I110" i="36"/>
  <c r="AW109" i="36"/>
  <c r="AR109" i="36"/>
  <c r="AM109" i="36"/>
  <c r="AH109" i="36"/>
  <c r="AC109" i="36"/>
  <c r="X109" i="36"/>
  <c r="S109" i="36"/>
  <c r="K109" i="36"/>
  <c r="J109" i="36"/>
  <c r="I109" i="36"/>
  <c r="AW108" i="36"/>
  <c r="AR108" i="36"/>
  <c r="AM108" i="36"/>
  <c r="AH108" i="36"/>
  <c r="AC108" i="36"/>
  <c r="X108" i="36"/>
  <c r="S108" i="36"/>
  <c r="K108" i="36"/>
  <c r="J108" i="36"/>
  <c r="I108" i="36"/>
  <c r="AX107" i="36"/>
  <c r="AW107" i="36"/>
  <c r="AS107" i="36"/>
  <c r="AR107" i="36"/>
  <c r="AN107" i="36"/>
  <c r="AM107" i="36"/>
  <c r="AI107" i="36"/>
  <c r="AH107" i="36"/>
  <c r="AD107" i="36"/>
  <c r="AC107" i="36"/>
  <c r="Y107" i="36"/>
  <c r="X107" i="36"/>
  <c r="T107" i="36"/>
  <c r="S107" i="36"/>
  <c r="K107" i="36"/>
  <c r="L107" i="36" s="1"/>
  <c r="J107" i="36"/>
  <c r="I107" i="36"/>
  <c r="H107" i="36"/>
  <c r="AW121" i="35"/>
  <c r="AR121" i="35"/>
  <c r="AM121" i="35"/>
  <c r="AH121" i="35"/>
  <c r="AC121" i="35"/>
  <c r="X121" i="35"/>
  <c r="S121" i="35"/>
  <c r="AW120" i="35"/>
  <c r="AR120" i="35"/>
  <c r="AM120" i="35"/>
  <c r="AH120" i="35"/>
  <c r="AC120" i="35"/>
  <c r="X120" i="35"/>
  <c r="S120" i="35"/>
  <c r="AW119" i="35"/>
  <c r="AR119" i="35"/>
  <c r="AM119" i="35"/>
  <c r="AH119" i="35"/>
  <c r="AC119" i="35"/>
  <c r="X119" i="35"/>
  <c r="S119" i="35"/>
  <c r="AW118" i="35"/>
  <c r="AR118" i="35"/>
  <c r="AM118" i="35"/>
  <c r="AH118" i="35"/>
  <c r="AC118" i="35"/>
  <c r="X118" i="35"/>
  <c r="S118" i="35"/>
  <c r="AW117" i="35"/>
  <c r="AR117" i="35"/>
  <c r="AM117" i="35"/>
  <c r="AH117" i="35"/>
  <c r="AC117" i="35"/>
  <c r="X117" i="35"/>
  <c r="S117" i="35"/>
  <c r="AW116" i="35"/>
  <c r="AR116" i="35"/>
  <c r="AM116" i="35"/>
  <c r="AH116" i="35"/>
  <c r="AC116" i="35"/>
  <c r="X116" i="35"/>
  <c r="S116" i="35"/>
  <c r="AW115" i="35"/>
  <c r="AR115" i="35"/>
  <c r="AM115" i="35"/>
  <c r="AH115" i="35"/>
  <c r="AC115" i="35"/>
  <c r="X115" i="35"/>
  <c r="S115" i="35"/>
  <c r="K115" i="35"/>
  <c r="J115" i="35"/>
  <c r="I115" i="35"/>
  <c r="AW114" i="35"/>
  <c r="AR114" i="35"/>
  <c r="AM114" i="35"/>
  <c r="AH114" i="35"/>
  <c r="AC114" i="35"/>
  <c r="X114" i="35"/>
  <c r="S114" i="35"/>
  <c r="K114" i="35"/>
  <c r="J114" i="35"/>
  <c r="I114" i="35"/>
  <c r="AW113" i="35"/>
  <c r="AR113" i="35"/>
  <c r="AM113" i="35"/>
  <c r="AH113" i="35"/>
  <c r="AC113" i="35"/>
  <c r="X113" i="35"/>
  <c r="S113" i="35"/>
  <c r="K113" i="35"/>
  <c r="J113" i="35"/>
  <c r="I113" i="35"/>
  <c r="AW112" i="35"/>
  <c r="AR112" i="35"/>
  <c r="AM112" i="35"/>
  <c r="AH112" i="35"/>
  <c r="AC112" i="35"/>
  <c r="X112" i="35"/>
  <c r="S112" i="35"/>
  <c r="K112" i="35"/>
  <c r="J112" i="35"/>
  <c r="I112" i="35"/>
  <c r="AW111" i="35"/>
  <c r="AR111" i="35"/>
  <c r="AM111" i="35"/>
  <c r="AH111" i="35"/>
  <c r="AC111" i="35"/>
  <c r="X111" i="35"/>
  <c r="S111" i="35"/>
  <c r="K111" i="35"/>
  <c r="J111" i="35"/>
  <c r="I111" i="35"/>
  <c r="AW110" i="35"/>
  <c r="AR110" i="35"/>
  <c r="AM110" i="35"/>
  <c r="AH110" i="35"/>
  <c r="AC110" i="35"/>
  <c r="X110" i="35"/>
  <c r="S110" i="35"/>
  <c r="K110" i="35"/>
  <c r="J110" i="35"/>
  <c r="I110" i="35"/>
  <c r="AW109" i="35"/>
  <c r="AR109" i="35"/>
  <c r="AM109" i="35"/>
  <c r="AH109" i="35"/>
  <c r="AC109" i="35"/>
  <c r="X109" i="35"/>
  <c r="S109" i="35"/>
  <c r="K109" i="35"/>
  <c r="J109" i="35"/>
  <c r="I109" i="35"/>
  <c r="AW108" i="35"/>
  <c r="AR108" i="35"/>
  <c r="AM108" i="35"/>
  <c r="AH108" i="35"/>
  <c r="AC108" i="35"/>
  <c r="X108" i="35"/>
  <c r="S108" i="35"/>
  <c r="K108" i="35"/>
  <c r="J108" i="35"/>
  <c r="I108" i="35"/>
  <c r="AX107" i="35"/>
  <c r="AW107" i="35"/>
  <c r="AS107" i="35"/>
  <c r="AR107" i="35"/>
  <c r="AN107" i="35"/>
  <c r="AM107" i="35"/>
  <c r="AI107" i="35"/>
  <c r="AH107" i="35"/>
  <c r="AD107" i="35"/>
  <c r="AC107" i="35"/>
  <c r="Y107" i="35"/>
  <c r="X107" i="35"/>
  <c r="T107" i="35"/>
  <c r="S107" i="35"/>
  <c r="K107" i="35"/>
  <c r="L107" i="35" s="1"/>
  <c r="J107" i="35"/>
  <c r="I107" i="35"/>
  <c r="H107" i="35"/>
  <c r="AW121" i="32"/>
  <c r="AR121" i="32"/>
  <c r="AM121" i="32"/>
  <c r="AH121" i="32"/>
  <c r="AC121" i="32"/>
  <c r="X121" i="32"/>
  <c r="S121" i="32"/>
  <c r="AW120" i="32"/>
  <c r="AR120" i="32"/>
  <c r="AM120" i="32"/>
  <c r="AH120" i="32"/>
  <c r="AC120" i="32"/>
  <c r="X120" i="32"/>
  <c r="S120" i="32"/>
  <c r="AW119" i="32"/>
  <c r="AR119" i="32"/>
  <c r="AM119" i="32"/>
  <c r="AH119" i="32"/>
  <c r="AC119" i="32"/>
  <c r="X119" i="32"/>
  <c r="S119" i="32"/>
  <c r="AW118" i="32"/>
  <c r="AR118" i="32"/>
  <c r="AM118" i="32"/>
  <c r="AH118" i="32"/>
  <c r="AC118" i="32"/>
  <c r="X118" i="32"/>
  <c r="S118" i="32"/>
  <c r="AW117" i="32"/>
  <c r="AR117" i="32"/>
  <c r="AM117" i="32"/>
  <c r="AH117" i="32"/>
  <c r="AC117" i="32"/>
  <c r="X117" i="32"/>
  <c r="S117" i="32"/>
  <c r="K117" i="32"/>
  <c r="J117" i="32"/>
  <c r="I117" i="32"/>
  <c r="AW116" i="32"/>
  <c r="AR116" i="32"/>
  <c r="AM116" i="32"/>
  <c r="AH116" i="32"/>
  <c r="AC116" i="32"/>
  <c r="X116" i="32"/>
  <c r="S116" i="32"/>
  <c r="K116" i="32"/>
  <c r="J116" i="32"/>
  <c r="I116" i="32"/>
  <c r="AW115" i="32"/>
  <c r="AR115" i="32"/>
  <c r="AM115" i="32"/>
  <c r="AH115" i="32"/>
  <c r="AC115" i="32"/>
  <c r="X115" i="32"/>
  <c r="S115" i="32"/>
  <c r="K115" i="32"/>
  <c r="J115" i="32"/>
  <c r="I115" i="32"/>
  <c r="AW114" i="32"/>
  <c r="AR114" i="32"/>
  <c r="AM114" i="32"/>
  <c r="AH114" i="32"/>
  <c r="AC114" i="32"/>
  <c r="X114" i="32"/>
  <c r="S114" i="32"/>
  <c r="K114" i="32"/>
  <c r="J114" i="32"/>
  <c r="I114" i="32"/>
  <c r="AW113" i="32"/>
  <c r="AR113" i="32"/>
  <c r="AM113" i="32"/>
  <c r="AH113" i="32"/>
  <c r="AC113" i="32"/>
  <c r="X113" i="32"/>
  <c r="S113" i="32"/>
  <c r="K113" i="32"/>
  <c r="J113" i="32"/>
  <c r="I113" i="32"/>
  <c r="AW112" i="32"/>
  <c r="AR112" i="32"/>
  <c r="AM112" i="32"/>
  <c r="AH112" i="32"/>
  <c r="AC112" i="32"/>
  <c r="X112" i="32"/>
  <c r="S112" i="32"/>
  <c r="K112" i="32"/>
  <c r="J112" i="32"/>
  <c r="I112" i="32"/>
  <c r="AW111" i="32"/>
  <c r="AR111" i="32"/>
  <c r="AM111" i="32"/>
  <c r="AH111" i="32"/>
  <c r="AC111" i="32"/>
  <c r="X111" i="32"/>
  <c r="S111" i="32"/>
  <c r="K111" i="32"/>
  <c r="J111" i="32"/>
  <c r="I111" i="32"/>
  <c r="AW110" i="32"/>
  <c r="AR110" i="32"/>
  <c r="AM110" i="32"/>
  <c r="AH110" i="32"/>
  <c r="AC110" i="32"/>
  <c r="X110" i="32"/>
  <c r="S110" i="32"/>
  <c r="K110" i="32"/>
  <c r="J110" i="32"/>
  <c r="I110" i="32"/>
  <c r="AW109" i="32"/>
  <c r="AR109" i="32"/>
  <c r="AM109" i="32"/>
  <c r="AH109" i="32"/>
  <c r="AC109" i="32"/>
  <c r="X109" i="32"/>
  <c r="S109" i="32"/>
  <c r="K109" i="32"/>
  <c r="J109" i="32"/>
  <c r="I109" i="32"/>
  <c r="AW108" i="32"/>
  <c r="AR108" i="32"/>
  <c r="AM108" i="32"/>
  <c r="AH108" i="32"/>
  <c r="AC108" i="32"/>
  <c r="X108" i="32"/>
  <c r="S108" i="32"/>
  <c r="K108" i="32"/>
  <c r="J108" i="32"/>
  <c r="I108" i="32"/>
  <c r="AX107" i="32"/>
  <c r="AW107" i="32"/>
  <c r="AS107" i="32"/>
  <c r="AR107" i="32"/>
  <c r="AN107" i="32"/>
  <c r="AM107" i="32"/>
  <c r="AI107" i="32"/>
  <c r="AH107" i="32"/>
  <c r="AD107" i="32"/>
  <c r="AC107" i="32"/>
  <c r="Y107" i="32"/>
  <c r="X107" i="32"/>
  <c r="T107" i="32"/>
  <c r="S107" i="32"/>
  <c r="K107" i="32"/>
  <c r="L107" i="32" s="1"/>
  <c r="J107" i="32"/>
  <c r="I107" i="32"/>
  <c r="H107" i="32"/>
  <c r="K113" i="30"/>
  <c r="M113" i="30" s="1"/>
  <c r="J113" i="30"/>
  <c r="I113" i="30"/>
  <c r="K112" i="30"/>
  <c r="M112" i="30" s="1"/>
  <c r="J112" i="30"/>
  <c r="I112" i="30"/>
  <c r="K111" i="30"/>
  <c r="M111" i="30" s="1"/>
  <c r="J111" i="30"/>
  <c r="I111" i="30"/>
  <c r="K110" i="30"/>
  <c r="M110" i="30" s="1"/>
  <c r="J110" i="30"/>
  <c r="I110" i="30"/>
  <c r="K109" i="30"/>
  <c r="M109" i="30" s="1"/>
  <c r="J109" i="30"/>
  <c r="I109" i="30"/>
  <c r="K108" i="30"/>
  <c r="M108" i="30" s="1"/>
  <c r="J108" i="30"/>
  <c r="I108" i="30"/>
  <c r="AX107" i="30"/>
  <c r="AS107" i="30"/>
  <c r="AN107" i="30"/>
  <c r="AI107" i="30"/>
  <c r="AD107" i="30"/>
  <c r="Y107" i="30"/>
  <c r="T107" i="30"/>
  <c r="K107" i="30"/>
  <c r="J107" i="30"/>
  <c r="I107" i="30"/>
  <c r="H107" i="30"/>
  <c r="AW211" i="8"/>
  <c r="AR211" i="8"/>
  <c r="AM211" i="8"/>
  <c r="AH211" i="8"/>
  <c r="AC211" i="8"/>
  <c r="X211" i="8"/>
  <c r="S211" i="8"/>
  <c r="AW210" i="8"/>
  <c r="AR210" i="8"/>
  <c r="AM210" i="8"/>
  <c r="AH210" i="8"/>
  <c r="AC210" i="8"/>
  <c r="X210" i="8"/>
  <c r="S210" i="8"/>
  <c r="AW209" i="8"/>
  <c r="AR209" i="8"/>
  <c r="AM209" i="8"/>
  <c r="AH209" i="8"/>
  <c r="AC209" i="8"/>
  <c r="X209" i="8"/>
  <c r="S209" i="8"/>
  <c r="AW208" i="8"/>
  <c r="AR208" i="8"/>
  <c r="AM208" i="8"/>
  <c r="AH208" i="8"/>
  <c r="AC208" i="8"/>
  <c r="X208" i="8"/>
  <c r="S208" i="8"/>
  <c r="AW207" i="8"/>
  <c r="AR207" i="8"/>
  <c r="AM207" i="8"/>
  <c r="AH207" i="8"/>
  <c r="AC207" i="8"/>
  <c r="X207" i="8"/>
  <c r="S207" i="8"/>
  <c r="AW206" i="8"/>
  <c r="AR206" i="8"/>
  <c r="AM206" i="8"/>
  <c r="AH206" i="8"/>
  <c r="AC206" i="8"/>
  <c r="X206" i="8"/>
  <c r="S206" i="8"/>
  <c r="AW205" i="8"/>
  <c r="AR205" i="8"/>
  <c r="AM205" i="8"/>
  <c r="AH205" i="8"/>
  <c r="AC205" i="8"/>
  <c r="X205" i="8"/>
  <c r="S205" i="8"/>
  <c r="AW204" i="8"/>
  <c r="AR204" i="8"/>
  <c r="AM204" i="8"/>
  <c r="AH204" i="8"/>
  <c r="AC204" i="8"/>
  <c r="X204" i="8"/>
  <c r="S204" i="8"/>
  <c r="AW203" i="8"/>
  <c r="AR203" i="8"/>
  <c r="AM203" i="8"/>
  <c r="AH203" i="8"/>
  <c r="AC203" i="8"/>
  <c r="X203" i="8"/>
  <c r="S203" i="8"/>
  <c r="AW202" i="8"/>
  <c r="AR202" i="8"/>
  <c r="AM202" i="8"/>
  <c r="AH202" i="8"/>
  <c r="AC202" i="8"/>
  <c r="X202" i="8"/>
  <c r="S202" i="8"/>
  <c r="K202" i="8"/>
  <c r="J202" i="8"/>
  <c r="I202" i="8"/>
  <c r="AW201" i="8"/>
  <c r="AR201" i="8"/>
  <c r="AM201" i="8"/>
  <c r="AH201" i="8"/>
  <c r="AC201" i="8"/>
  <c r="X201" i="8"/>
  <c r="S201" i="8"/>
  <c r="K201" i="8"/>
  <c r="J201" i="8"/>
  <c r="I201" i="8"/>
  <c r="AW200" i="8"/>
  <c r="AR200" i="8"/>
  <c r="AM200" i="8"/>
  <c r="AH200" i="8"/>
  <c r="AC200" i="8"/>
  <c r="X200" i="8"/>
  <c r="S200" i="8"/>
  <c r="K200" i="8"/>
  <c r="J200" i="8"/>
  <c r="I200" i="8"/>
  <c r="AW199" i="8"/>
  <c r="AR199" i="8"/>
  <c r="AM199" i="8"/>
  <c r="AH199" i="8"/>
  <c r="AC199" i="8"/>
  <c r="X199" i="8"/>
  <c r="S199" i="8"/>
  <c r="K199" i="8"/>
  <c r="J199" i="8"/>
  <c r="I199" i="8"/>
  <c r="AW198" i="8"/>
  <c r="AR198" i="8"/>
  <c r="AM198" i="8"/>
  <c r="AH198" i="8"/>
  <c r="AC198" i="8"/>
  <c r="X198" i="8"/>
  <c r="S198" i="8"/>
  <c r="K198" i="8"/>
  <c r="J198" i="8"/>
  <c r="I198" i="8"/>
  <c r="AW197" i="8"/>
  <c r="AR197" i="8"/>
  <c r="AM197" i="8"/>
  <c r="AH197" i="8"/>
  <c r="AC197" i="8"/>
  <c r="X197" i="8"/>
  <c r="S197" i="8"/>
  <c r="K197" i="8"/>
  <c r="J197" i="8"/>
  <c r="I197" i="8"/>
  <c r="AW196" i="8"/>
  <c r="AR196" i="8"/>
  <c r="AM196" i="8"/>
  <c r="AH196" i="8"/>
  <c r="AC196" i="8"/>
  <c r="X196" i="8"/>
  <c r="S196" i="8"/>
  <c r="K196" i="8"/>
  <c r="J196" i="8"/>
  <c r="I196" i="8"/>
  <c r="AW195" i="8"/>
  <c r="AR195" i="8"/>
  <c r="AM195" i="8"/>
  <c r="AH195" i="8"/>
  <c r="AC195" i="8"/>
  <c r="X195" i="8"/>
  <c r="S195" i="8"/>
  <c r="K195" i="8"/>
  <c r="J195" i="8"/>
  <c r="I195" i="8"/>
  <c r="AW194" i="8"/>
  <c r="AR194" i="8"/>
  <c r="AM194" i="8"/>
  <c r="AH194" i="8"/>
  <c r="AC194" i="8"/>
  <c r="X194" i="8"/>
  <c r="S194" i="8"/>
  <c r="K194" i="8"/>
  <c r="J194" i="8"/>
  <c r="I194" i="8"/>
  <c r="AW193" i="8"/>
  <c r="AR193" i="8"/>
  <c r="AM193" i="8"/>
  <c r="AH193" i="8"/>
  <c r="AC193" i="8"/>
  <c r="X193" i="8"/>
  <c r="S193" i="8"/>
  <c r="K193" i="8"/>
  <c r="J193" i="8"/>
  <c r="I193" i="8"/>
  <c r="AW192" i="8"/>
  <c r="AR192" i="8"/>
  <c r="AM192" i="8"/>
  <c r="AH192" i="8"/>
  <c r="AC192" i="8"/>
  <c r="X192" i="8"/>
  <c r="S192" i="8"/>
  <c r="K192" i="8"/>
  <c r="J192" i="8"/>
  <c r="I192" i="8"/>
  <c r="AW191" i="8"/>
  <c r="AR191" i="8"/>
  <c r="AM191" i="8"/>
  <c r="AH191" i="8"/>
  <c r="AC191" i="8"/>
  <c r="X191" i="8"/>
  <c r="S191" i="8"/>
  <c r="K191" i="8"/>
  <c r="J191" i="8"/>
  <c r="I191" i="8"/>
  <c r="AW190" i="8"/>
  <c r="AR190" i="8"/>
  <c r="AM190" i="8"/>
  <c r="AH190" i="8"/>
  <c r="AC190" i="8"/>
  <c r="X190" i="8"/>
  <c r="S190" i="8"/>
  <c r="K190" i="8"/>
  <c r="J190" i="8"/>
  <c r="I190" i="8"/>
  <c r="AW189" i="8"/>
  <c r="AR189" i="8"/>
  <c r="AM189" i="8"/>
  <c r="AH189" i="8"/>
  <c r="AC189" i="8"/>
  <c r="X189" i="8"/>
  <c r="S189" i="8"/>
  <c r="K189" i="8"/>
  <c r="J189" i="8"/>
  <c r="I189" i="8"/>
  <c r="AW188" i="8"/>
  <c r="AR188" i="8"/>
  <c r="AM188" i="8"/>
  <c r="AH188" i="8"/>
  <c r="AC188" i="8"/>
  <c r="X188" i="8"/>
  <c r="S188" i="8"/>
  <c r="K188" i="8"/>
  <c r="J188" i="8"/>
  <c r="I188" i="8"/>
  <c r="AW187" i="8"/>
  <c r="AR187" i="8"/>
  <c r="AM187" i="8"/>
  <c r="AH187" i="8"/>
  <c r="AC187" i="8"/>
  <c r="X187" i="8"/>
  <c r="S187" i="8"/>
  <c r="K187" i="8"/>
  <c r="J187" i="8"/>
  <c r="I187" i="8"/>
  <c r="AW186" i="8"/>
  <c r="AR186" i="8"/>
  <c r="AM186" i="8"/>
  <c r="AH186" i="8"/>
  <c r="AC186" i="8"/>
  <c r="X186" i="8"/>
  <c r="S186" i="8"/>
  <c r="K186" i="8"/>
  <c r="J186" i="8"/>
  <c r="I186" i="8"/>
  <c r="AW185" i="8"/>
  <c r="AR185" i="8"/>
  <c r="AM185" i="8"/>
  <c r="AH185" i="8"/>
  <c r="AC185" i="8"/>
  <c r="X185" i="8"/>
  <c r="S185" i="8"/>
  <c r="K185" i="8"/>
  <c r="J185" i="8"/>
  <c r="I185" i="8"/>
  <c r="AW184" i="8"/>
  <c r="AR184" i="8"/>
  <c r="AM184" i="8"/>
  <c r="AH184" i="8"/>
  <c r="AC184" i="8"/>
  <c r="X184" i="8"/>
  <c r="S184" i="8"/>
  <c r="K184" i="8"/>
  <c r="J184" i="8"/>
  <c r="I184" i="8"/>
  <c r="AW183" i="8"/>
  <c r="AR183" i="8"/>
  <c r="AM183" i="8"/>
  <c r="AH183" i="8"/>
  <c r="AC183" i="8"/>
  <c r="X183" i="8"/>
  <c r="S183" i="8"/>
  <c r="K183" i="8"/>
  <c r="J183" i="8"/>
  <c r="I183" i="8"/>
  <c r="AX182" i="8"/>
  <c r="AW182" i="8"/>
  <c r="AS182" i="8"/>
  <c r="AR182" i="8"/>
  <c r="AN182" i="8"/>
  <c r="AM182" i="8"/>
  <c r="AI182" i="8"/>
  <c r="AH182" i="8"/>
  <c r="AD182" i="8"/>
  <c r="AC182" i="8"/>
  <c r="Y182" i="8"/>
  <c r="X182" i="8"/>
  <c r="T182" i="8"/>
  <c r="S182" i="8"/>
  <c r="K182" i="8"/>
  <c r="L182" i="8" s="1"/>
  <c r="J182" i="8"/>
  <c r="I182" i="8"/>
  <c r="H182" i="8"/>
  <c r="M121" i="30" l="1"/>
  <c r="L107" i="30"/>
  <c r="M114" i="30"/>
  <c r="M118" i="30"/>
  <c r="M107" i="30"/>
  <c r="M115" i="30"/>
  <c r="M119" i="30"/>
  <c r="M116" i="30"/>
  <c r="M120" i="30"/>
  <c r="M117" i="30"/>
  <c r="M184" i="8"/>
  <c r="M186" i="8"/>
  <c r="M188" i="8"/>
  <c r="M190" i="8"/>
  <c r="M211" i="8"/>
  <c r="M183" i="8"/>
  <c r="M185" i="8"/>
  <c r="M187" i="8"/>
  <c r="M189" i="8"/>
  <c r="M191" i="8"/>
  <c r="M193" i="8"/>
  <c r="M195" i="8"/>
  <c r="M197" i="8"/>
  <c r="M199" i="8"/>
  <c r="M201" i="8"/>
  <c r="M192" i="8"/>
  <c r="M194" i="8"/>
  <c r="M196" i="8"/>
  <c r="M198" i="8"/>
  <c r="M200" i="8"/>
  <c r="M202" i="8"/>
  <c r="M182" i="8"/>
  <c r="M206" i="8"/>
  <c r="M210" i="8"/>
  <c r="M203" i="8"/>
  <c r="M207" i="8"/>
  <c r="M204" i="8"/>
  <c r="M208" i="8"/>
  <c r="M205" i="8"/>
  <c r="M209" i="8"/>
  <c r="M275" i="41" l="1"/>
  <c r="K275" i="41"/>
  <c r="I275" i="41"/>
  <c r="G275" i="41"/>
  <c r="M274" i="41"/>
  <c r="K274" i="41"/>
  <c r="I274" i="41"/>
  <c r="G274" i="41"/>
  <c r="M270" i="41"/>
  <c r="K270" i="41"/>
  <c r="I270" i="41"/>
  <c r="G270" i="41"/>
  <c r="C270" i="41"/>
  <c r="M269" i="41"/>
  <c r="K269" i="41"/>
  <c r="I269" i="41"/>
  <c r="G269" i="41"/>
  <c r="C269" i="41"/>
  <c r="K174" i="33" l="1"/>
  <c r="J174" i="33"/>
  <c r="I174" i="33"/>
  <c r="K173" i="33"/>
  <c r="J173" i="33"/>
  <c r="I173" i="33"/>
  <c r="J97" i="32"/>
  <c r="K97" i="32" l="1"/>
  <c r="I97" i="32"/>
  <c r="M262" i="41" l="1"/>
  <c r="K262" i="41"/>
  <c r="I262" i="41"/>
  <c r="G262" i="41"/>
  <c r="M261" i="41"/>
  <c r="K261" i="41"/>
  <c r="I261" i="41"/>
  <c r="G261" i="41"/>
  <c r="M257" i="41"/>
  <c r="K257" i="41"/>
  <c r="I257" i="41"/>
  <c r="G257" i="41"/>
  <c r="C257" i="41"/>
  <c r="M256" i="41"/>
  <c r="K256" i="41"/>
  <c r="I256" i="41"/>
  <c r="G256" i="41"/>
  <c r="C256" i="41"/>
  <c r="I138" i="33" l="1"/>
  <c r="J138" i="33"/>
  <c r="I77" i="32"/>
  <c r="K77" i="32"/>
  <c r="J76" i="32"/>
  <c r="K76" i="32"/>
  <c r="K138" i="33" l="1"/>
  <c r="J77" i="32"/>
  <c r="I76" i="32"/>
  <c r="D31" i="48" l="1"/>
  <c r="D30" i="48"/>
  <c r="D29" i="48"/>
  <c r="D28" i="48"/>
  <c r="D27" i="48"/>
  <c r="D26" i="48"/>
  <c r="D25" i="48"/>
  <c r="F31" i="48"/>
  <c r="F30" i="48"/>
  <c r="F29" i="48"/>
  <c r="F28" i="48"/>
  <c r="F27" i="48"/>
  <c r="F26" i="48"/>
  <c r="F25" i="48"/>
  <c r="J25" i="48"/>
  <c r="H31" i="48"/>
  <c r="H30" i="48"/>
  <c r="H29" i="48"/>
  <c r="H28" i="48"/>
  <c r="H27" i="48"/>
  <c r="H26" i="48"/>
  <c r="H25" i="48"/>
  <c r="M249" i="41" l="1"/>
  <c r="K249" i="41"/>
  <c r="I249" i="41"/>
  <c r="G249" i="41"/>
  <c r="M248" i="41"/>
  <c r="K248" i="41"/>
  <c r="I248" i="41"/>
  <c r="G248" i="41"/>
  <c r="M244" i="41"/>
  <c r="K244" i="41"/>
  <c r="I244" i="41"/>
  <c r="G244" i="41"/>
  <c r="C244" i="41"/>
  <c r="M243" i="41"/>
  <c r="K243" i="41"/>
  <c r="I243" i="41"/>
  <c r="G243" i="41"/>
  <c r="C243" i="41"/>
  <c r="M236" i="41" l="1"/>
  <c r="K236" i="41"/>
  <c r="I236" i="41"/>
  <c r="G236" i="41"/>
  <c r="M235" i="41"/>
  <c r="K235" i="41"/>
  <c r="I235" i="41"/>
  <c r="G235" i="41"/>
  <c r="M231" i="41"/>
  <c r="K231" i="41"/>
  <c r="I231" i="41"/>
  <c r="G231" i="41"/>
  <c r="C231" i="41"/>
  <c r="M230" i="41"/>
  <c r="K230" i="41"/>
  <c r="I230" i="41"/>
  <c r="G230" i="41"/>
  <c r="C230" i="41"/>
  <c r="K66" i="33"/>
  <c r="J66" i="33"/>
  <c r="K68" i="33"/>
  <c r="J68" i="33"/>
  <c r="I67" i="33"/>
  <c r="K67" i="33"/>
  <c r="I66" i="33"/>
  <c r="I68" i="33" l="1"/>
  <c r="J67" i="33"/>
  <c r="O5" i="3" l="1"/>
  <c r="L25" i="48" l="1"/>
  <c r="AW101" i="35" l="1"/>
  <c r="AR101" i="35"/>
  <c r="AM101" i="35"/>
  <c r="AH101" i="35"/>
  <c r="AC101" i="35"/>
  <c r="X101" i="35"/>
  <c r="AW100" i="35"/>
  <c r="AR100" i="35"/>
  <c r="AM100" i="35"/>
  <c r="AH100" i="35"/>
  <c r="AC100" i="35"/>
  <c r="X100" i="35"/>
  <c r="AW99" i="35"/>
  <c r="AR99" i="35"/>
  <c r="AM99" i="35"/>
  <c r="AH99" i="35"/>
  <c r="AC99" i="35"/>
  <c r="X99" i="35"/>
  <c r="AW98" i="35"/>
  <c r="AR98" i="35"/>
  <c r="AM98" i="35"/>
  <c r="AH98" i="35"/>
  <c r="AC98" i="35"/>
  <c r="X98" i="35"/>
  <c r="AW97" i="35"/>
  <c r="AR97" i="35"/>
  <c r="AM97" i="35"/>
  <c r="AH97" i="35"/>
  <c r="AC97" i="35"/>
  <c r="X97" i="35"/>
  <c r="AW96" i="35"/>
  <c r="AR96" i="35"/>
  <c r="AM96" i="35"/>
  <c r="AH96" i="35"/>
  <c r="AC96" i="35"/>
  <c r="X96" i="35"/>
  <c r="AW95" i="35"/>
  <c r="AR95" i="35"/>
  <c r="AM95" i="35"/>
  <c r="AH95" i="35"/>
  <c r="AC95" i="35"/>
  <c r="X95" i="35"/>
  <c r="AW94" i="35"/>
  <c r="AR94" i="35"/>
  <c r="AM94" i="35"/>
  <c r="AH94" i="35"/>
  <c r="AC94" i="35"/>
  <c r="X94" i="35"/>
  <c r="AW93" i="35"/>
  <c r="AR93" i="35"/>
  <c r="AM93" i="35"/>
  <c r="AH93" i="35"/>
  <c r="AC93" i="35"/>
  <c r="X93" i="35"/>
  <c r="AW92" i="35"/>
  <c r="AR92" i="35"/>
  <c r="AM92" i="35"/>
  <c r="AH92" i="35"/>
  <c r="AC92" i="35"/>
  <c r="X92" i="35"/>
  <c r="AW91" i="35"/>
  <c r="AR91" i="35"/>
  <c r="AM91" i="35"/>
  <c r="AH91" i="35"/>
  <c r="AC91" i="35"/>
  <c r="X91" i="35"/>
  <c r="AW90" i="35"/>
  <c r="AR90" i="35"/>
  <c r="AM90" i="35"/>
  <c r="AH90" i="35"/>
  <c r="AC90" i="35"/>
  <c r="X90" i="35"/>
  <c r="AW89" i="35"/>
  <c r="AR89" i="35"/>
  <c r="AM89" i="35"/>
  <c r="AH89" i="35"/>
  <c r="AC89" i="35"/>
  <c r="X89" i="35"/>
  <c r="AW88" i="35"/>
  <c r="AR88" i="35"/>
  <c r="AM88" i="35"/>
  <c r="AH88" i="35"/>
  <c r="AC88" i="35"/>
  <c r="X88" i="35"/>
  <c r="AX87" i="35"/>
  <c r="AW87" i="35"/>
  <c r="AS87" i="35"/>
  <c r="AR87" i="35"/>
  <c r="AN87" i="35"/>
  <c r="AM87" i="35"/>
  <c r="AI87" i="35"/>
  <c r="AH87" i="35"/>
  <c r="AD87" i="35"/>
  <c r="AC87" i="35"/>
  <c r="Y87" i="35"/>
  <c r="X87" i="35"/>
  <c r="AW101" i="36"/>
  <c r="AR101" i="36"/>
  <c r="AM101" i="36"/>
  <c r="AH101" i="36"/>
  <c r="AC101" i="36"/>
  <c r="X101" i="36"/>
  <c r="AW100" i="36"/>
  <c r="AR100" i="36"/>
  <c r="AM100" i="36"/>
  <c r="AH100" i="36"/>
  <c r="AC100" i="36"/>
  <c r="X100" i="36"/>
  <c r="AW99" i="36"/>
  <c r="AR99" i="36"/>
  <c r="AM99" i="36"/>
  <c r="AH99" i="36"/>
  <c r="AC99" i="36"/>
  <c r="X99" i="36"/>
  <c r="AW98" i="36"/>
  <c r="AR98" i="36"/>
  <c r="AM98" i="36"/>
  <c r="AH98" i="36"/>
  <c r="AC98" i="36"/>
  <c r="X98" i="36"/>
  <c r="AW97" i="36"/>
  <c r="AR97" i="36"/>
  <c r="AM97" i="36"/>
  <c r="AH97" i="36"/>
  <c r="AC97" i="36"/>
  <c r="X97" i="36"/>
  <c r="AW96" i="36"/>
  <c r="AR96" i="36"/>
  <c r="AM96" i="36"/>
  <c r="AH96" i="36"/>
  <c r="AC96" i="36"/>
  <c r="X96" i="36"/>
  <c r="AW95" i="36"/>
  <c r="AR95" i="36"/>
  <c r="AM95" i="36"/>
  <c r="AH95" i="36"/>
  <c r="AC95" i="36"/>
  <c r="X95" i="36"/>
  <c r="AW94" i="36"/>
  <c r="AR94" i="36"/>
  <c r="AM94" i="36"/>
  <c r="AH94" i="36"/>
  <c r="AC94" i="36"/>
  <c r="X94" i="36"/>
  <c r="AW93" i="36"/>
  <c r="AR93" i="36"/>
  <c r="AM93" i="36"/>
  <c r="AH93" i="36"/>
  <c r="AC93" i="36"/>
  <c r="X93" i="36"/>
  <c r="AW92" i="36"/>
  <c r="AR92" i="36"/>
  <c r="AM92" i="36"/>
  <c r="AH92" i="36"/>
  <c r="AC92" i="36"/>
  <c r="X92" i="36"/>
  <c r="AW91" i="36"/>
  <c r="AR91" i="36"/>
  <c r="AM91" i="36"/>
  <c r="AH91" i="36"/>
  <c r="AC91" i="36"/>
  <c r="X91" i="36"/>
  <c r="AW90" i="36"/>
  <c r="AR90" i="36"/>
  <c r="AM90" i="36"/>
  <c r="AH90" i="36"/>
  <c r="AC90" i="36"/>
  <c r="X90" i="36"/>
  <c r="AW89" i="36"/>
  <c r="AR89" i="36"/>
  <c r="AM89" i="36"/>
  <c r="AH89" i="36"/>
  <c r="AC89" i="36"/>
  <c r="X89" i="36"/>
  <c r="AW88" i="36"/>
  <c r="AR88" i="36"/>
  <c r="AM88" i="36"/>
  <c r="AH88" i="36"/>
  <c r="AC88" i="36"/>
  <c r="X88" i="36"/>
  <c r="AX87" i="36"/>
  <c r="AW87" i="36"/>
  <c r="AS87" i="36"/>
  <c r="AR87" i="36"/>
  <c r="AN87" i="36"/>
  <c r="AM87" i="36"/>
  <c r="AI87" i="36"/>
  <c r="AH87" i="36"/>
  <c r="AD87" i="36"/>
  <c r="AC87" i="36"/>
  <c r="Y87" i="36"/>
  <c r="X87" i="36"/>
  <c r="AW101" i="37"/>
  <c r="AR101" i="37"/>
  <c r="AM101" i="37"/>
  <c r="AH101" i="37"/>
  <c r="AC101" i="37"/>
  <c r="X101" i="37"/>
  <c r="AW100" i="37"/>
  <c r="AR100" i="37"/>
  <c r="AM100" i="37"/>
  <c r="AH100" i="37"/>
  <c r="AC100" i="37"/>
  <c r="X100" i="37"/>
  <c r="AW99" i="37"/>
  <c r="AR99" i="37"/>
  <c r="AM99" i="37"/>
  <c r="AH99" i="37"/>
  <c r="AC99" i="37"/>
  <c r="X99" i="37"/>
  <c r="AW98" i="37"/>
  <c r="AR98" i="37"/>
  <c r="AM98" i="37"/>
  <c r="AH98" i="37"/>
  <c r="AC98" i="37"/>
  <c r="X98" i="37"/>
  <c r="AW97" i="37"/>
  <c r="AR97" i="37"/>
  <c r="AM97" i="37"/>
  <c r="AH97" i="37"/>
  <c r="AC97" i="37"/>
  <c r="X97" i="37"/>
  <c r="AW96" i="37"/>
  <c r="AR96" i="37"/>
  <c r="AM96" i="37"/>
  <c r="AH96" i="37"/>
  <c r="AC96" i="37"/>
  <c r="X96" i="37"/>
  <c r="AW95" i="37"/>
  <c r="AR95" i="37"/>
  <c r="AM95" i="37"/>
  <c r="AH95" i="37"/>
  <c r="AC95" i="37"/>
  <c r="X95" i="37"/>
  <c r="AW94" i="37"/>
  <c r="AR94" i="37"/>
  <c r="AM94" i="37"/>
  <c r="AH94" i="37"/>
  <c r="AC94" i="37"/>
  <c r="X94" i="37"/>
  <c r="AW93" i="37"/>
  <c r="AR93" i="37"/>
  <c r="AM93" i="37"/>
  <c r="AH93" i="37"/>
  <c r="AC93" i="37"/>
  <c r="X93" i="37"/>
  <c r="AW92" i="37"/>
  <c r="AR92" i="37"/>
  <c r="AM92" i="37"/>
  <c r="AH92" i="37"/>
  <c r="AC92" i="37"/>
  <c r="X92" i="37"/>
  <c r="AW91" i="37"/>
  <c r="AR91" i="37"/>
  <c r="AM91" i="37"/>
  <c r="AH91" i="37"/>
  <c r="AC91" i="37"/>
  <c r="X91" i="37"/>
  <c r="AW90" i="37"/>
  <c r="AR90" i="37"/>
  <c r="AM90" i="37"/>
  <c r="AH90" i="37"/>
  <c r="AC90" i="37"/>
  <c r="X90" i="37"/>
  <c r="AW89" i="37"/>
  <c r="AR89" i="37"/>
  <c r="AM89" i="37"/>
  <c r="AH89" i="37"/>
  <c r="AC89" i="37"/>
  <c r="X89" i="37"/>
  <c r="AW88" i="37"/>
  <c r="AR88" i="37"/>
  <c r="AM88" i="37"/>
  <c r="AH88" i="37"/>
  <c r="AC88" i="37"/>
  <c r="X88" i="37"/>
  <c r="AX87" i="37"/>
  <c r="AW87" i="37"/>
  <c r="AS87" i="37"/>
  <c r="AR87" i="37"/>
  <c r="AN87" i="37"/>
  <c r="AM87" i="37"/>
  <c r="AI87" i="37"/>
  <c r="AH87" i="37"/>
  <c r="AD87" i="37"/>
  <c r="AC87" i="37"/>
  <c r="Y87" i="37"/>
  <c r="X87" i="37"/>
  <c r="AW101" i="34"/>
  <c r="AR101" i="34"/>
  <c r="AM101" i="34"/>
  <c r="AH101" i="34"/>
  <c r="AC101" i="34"/>
  <c r="X101" i="34"/>
  <c r="AW100" i="34"/>
  <c r="AR100" i="34"/>
  <c r="AM100" i="34"/>
  <c r="AH100" i="34"/>
  <c r="AC100" i="34"/>
  <c r="X100" i="34"/>
  <c r="AW99" i="34"/>
  <c r="AR99" i="34"/>
  <c r="AM99" i="34"/>
  <c r="AH99" i="34"/>
  <c r="AC99" i="34"/>
  <c r="X99" i="34"/>
  <c r="AW98" i="34"/>
  <c r="AR98" i="34"/>
  <c r="AM98" i="34"/>
  <c r="AH98" i="34"/>
  <c r="AC98" i="34"/>
  <c r="X98" i="34"/>
  <c r="AW97" i="34"/>
  <c r="AR97" i="34"/>
  <c r="AM97" i="34"/>
  <c r="AH97" i="34"/>
  <c r="AC97" i="34"/>
  <c r="X97" i="34"/>
  <c r="AW96" i="34"/>
  <c r="AR96" i="34"/>
  <c r="AM96" i="34"/>
  <c r="AH96" i="34"/>
  <c r="AC96" i="34"/>
  <c r="X96" i="34"/>
  <c r="AW95" i="34"/>
  <c r="AR95" i="34"/>
  <c r="AM95" i="34"/>
  <c r="AH95" i="34"/>
  <c r="AC95" i="34"/>
  <c r="X95" i="34"/>
  <c r="AW94" i="34"/>
  <c r="AR94" i="34"/>
  <c r="AM94" i="34"/>
  <c r="AH94" i="34"/>
  <c r="AC94" i="34"/>
  <c r="X94" i="34"/>
  <c r="AW93" i="34"/>
  <c r="AR93" i="34"/>
  <c r="AM93" i="34"/>
  <c r="AH93" i="34"/>
  <c r="AC93" i="34"/>
  <c r="X93" i="34"/>
  <c r="AW92" i="34"/>
  <c r="AR92" i="34"/>
  <c r="AM92" i="34"/>
  <c r="AH92" i="34"/>
  <c r="AC92" i="34"/>
  <c r="X92" i="34"/>
  <c r="AW91" i="34"/>
  <c r="AR91" i="34"/>
  <c r="AM91" i="34"/>
  <c r="AH91" i="34"/>
  <c r="AC91" i="34"/>
  <c r="X91" i="34"/>
  <c r="AW90" i="34"/>
  <c r="AR90" i="34"/>
  <c r="AM90" i="34"/>
  <c r="AH90" i="34"/>
  <c r="AC90" i="34"/>
  <c r="X90" i="34"/>
  <c r="AW89" i="34"/>
  <c r="AR89" i="34"/>
  <c r="AM89" i="34"/>
  <c r="AH89" i="34"/>
  <c r="AC89" i="34"/>
  <c r="X89" i="34"/>
  <c r="AW88" i="34"/>
  <c r="AR88" i="34"/>
  <c r="AM88" i="34"/>
  <c r="AH88" i="34"/>
  <c r="AC88" i="34"/>
  <c r="X88" i="34"/>
  <c r="AX87" i="34"/>
  <c r="AW87" i="34"/>
  <c r="AS87" i="34"/>
  <c r="AR87" i="34"/>
  <c r="AN87" i="34"/>
  <c r="AM87" i="34"/>
  <c r="AI87" i="34"/>
  <c r="AH87" i="34"/>
  <c r="AD87" i="34"/>
  <c r="AC87" i="34"/>
  <c r="Y87" i="34"/>
  <c r="X87" i="34"/>
  <c r="AW81" i="35"/>
  <c r="AR81" i="35"/>
  <c r="AM81" i="35"/>
  <c r="AH81" i="35"/>
  <c r="AC81" i="35"/>
  <c r="X81" i="35"/>
  <c r="AW80" i="35"/>
  <c r="AR80" i="35"/>
  <c r="AM80" i="35"/>
  <c r="AH80" i="35"/>
  <c r="AC80" i="35"/>
  <c r="X80" i="35"/>
  <c r="AW79" i="35"/>
  <c r="AR79" i="35"/>
  <c r="AM79" i="35"/>
  <c r="AH79" i="35"/>
  <c r="AC79" i="35"/>
  <c r="X79" i="35"/>
  <c r="AW78" i="35"/>
  <c r="AR78" i="35"/>
  <c r="AM78" i="35"/>
  <c r="AH78" i="35"/>
  <c r="AC78" i="35"/>
  <c r="X78" i="35"/>
  <c r="AW77" i="35"/>
  <c r="AR77" i="35"/>
  <c r="AM77" i="35"/>
  <c r="AH77" i="35"/>
  <c r="AC77" i="35"/>
  <c r="X77" i="35"/>
  <c r="AW76" i="35"/>
  <c r="AR76" i="35"/>
  <c r="AM76" i="35"/>
  <c r="AH76" i="35"/>
  <c r="AC76" i="35"/>
  <c r="X76" i="35"/>
  <c r="AW75" i="35"/>
  <c r="AR75" i="35"/>
  <c r="AM75" i="35"/>
  <c r="AH75" i="35"/>
  <c r="AC75" i="35"/>
  <c r="X75" i="35"/>
  <c r="AW74" i="35"/>
  <c r="AR74" i="35"/>
  <c r="AM74" i="35"/>
  <c r="AH74" i="35"/>
  <c r="AC74" i="35"/>
  <c r="X74" i="35"/>
  <c r="AW73" i="35"/>
  <c r="AR73" i="35"/>
  <c r="AM73" i="35"/>
  <c r="AH73" i="35"/>
  <c r="AC73" i="35"/>
  <c r="X73" i="35"/>
  <c r="AW72" i="35"/>
  <c r="AR72" i="35"/>
  <c r="AM72" i="35"/>
  <c r="AH72" i="35"/>
  <c r="AC72" i="35"/>
  <c r="X72" i="35"/>
  <c r="AW71" i="35"/>
  <c r="AR71" i="35"/>
  <c r="AM71" i="35"/>
  <c r="AH71" i="35"/>
  <c r="AC71" i="35"/>
  <c r="X71" i="35"/>
  <c r="AW70" i="35"/>
  <c r="AR70" i="35"/>
  <c r="AM70" i="35"/>
  <c r="AH70" i="35"/>
  <c r="AC70" i="35"/>
  <c r="X70" i="35"/>
  <c r="AW69" i="35"/>
  <c r="AR69" i="35"/>
  <c r="AM69" i="35"/>
  <c r="AH69" i="35"/>
  <c r="AC69" i="35"/>
  <c r="X69" i="35"/>
  <c r="AW68" i="35"/>
  <c r="AR68" i="35"/>
  <c r="AM68" i="35"/>
  <c r="AH68" i="35"/>
  <c r="AC68" i="35"/>
  <c r="X68" i="35"/>
  <c r="AX67" i="35"/>
  <c r="AW67" i="35"/>
  <c r="AS67" i="35"/>
  <c r="AR67" i="35"/>
  <c r="AN67" i="35"/>
  <c r="AM67" i="35"/>
  <c r="AI67" i="35"/>
  <c r="AH67" i="35"/>
  <c r="AD67" i="35"/>
  <c r="AC67" i="35"/>
  <c r="Y67" i="35"/>
  <c r="X67" i="35"/>
  <c r="AW81" i="36"/>
  <c r="AR81" i="36"/>
  <c r="AM81" i="36"/>
  <c r="AH81" i="36"/>
  <c r="AC81" i="36"/>
  <c r="X81" i="36"/>
  <c r="AW80" i="36"/>
  <c r="AR80" i="36"/>
  <c r="AM80" i="36"/>
  <c r="AH80" i="36"/>
  <c r="AC80" i="36"/>
  <c r="X80" i="36"/>
  <c r="AW79" i="36"/>
  <c r="AR79" i="36"/>
  <c r="AM79" i="36"/>
  <c r="AH79" i="36"/>
  <c r="AC79" i="36"/>
  <c r="X79" i="36"/>
  <c r="AW78" i="36"/>
  <c r="AR78" i="36"/>
  <c r="AM78" i="36"/>
  <c r="AH78" i="36"/>
  <c r="AC78" i="36"/>
  <c r="X78" i="36"/>
  <c r="AW77" i="36"/>
  <c r="AR77" i="36"/>
  <c r="AM77" i="36"/>
  <c r="AH77" i="36"/>
  <c r="AC77" i="36"/>
  <c r="X77" i="36"/>
  <c r="AW76" i="36"/>
  <c r="AR76" i="36"/>
  <c r="AM76" i="36"/>
  <c r="AH76" i="36"/>
  <c r="AC76" i="36"/>
  <c r="X76" i="36"/>
  <c r="AW75" i="36"/>
  <c r="AR75" i="36"/>
  <c r="AM75" i="36"/>
  <c r="AH75" i="36"/>
  <c r="AC75" i="36"/>
  <c r="X75" i="36"/>
  <c r="AW74" i="36"/>
  <c r="AR74" i="36"/>
  <c r="AM74" i="36"/>
  <c r="AH74" i="36"/>
  <c r="AC74" i="36"/>
  <c r="X74" i="36"/>
  <c r="AW73" i="36"/>
  <c r="AR73" i="36"/>
  <c r="AM73" i="36"/>
  <c r="AH73" i="36"/>
  <c r="AC73" i="36"/>
  <c r="X73" i="36"/>
  <c r="AW72" i="36"/>
  <c r="AR72" i="36"/>
  <c r="AM72" i="36"/>
  <c r="AH72" i="36"/>
  <c r="AC72" i="36"/>
  <c r="X72" i="36"/>
  <c r="AW71" i="36"/>
  <c r="AR71" i="36"/>
  <c r="AM71" i="36"/>
  <c r="AH71" i="36"/>
  <c r="AC71" i="36"/>
  <c r="X71" i="36"/>
  <c r="AW70" i="36"/>
  <c r="AR70" i="36"/>
  <c r="AM70" i="36"/>
  <c r="AH70" i="36"/>
  <c r="AC70" i="36"/>
  <c r="X70" i="36"/>
  <c r="AW69" i="36"/>
  <c r="AR69" i="36"/>
  <c r="AM69" i="36"/>
  <c r="AH69" i="36"/>
  <c r="AC69" i="36"/>
  <c r="X69" i="36"/>
  <c r="AW68" i="36"/>
  <c r="AR68" i="36"/>
  <c r="AM68" i="36"/>
  <c r="AH68" i="36"/>
  <c r="AC68" i="36"/>
  <c r="X68" i="36"/>
  <c r="AX67" i="36"/>
  <c r="AW67" i="36"/>
  <c r="AS67" i="36"/>
  <c r="AR67" i="36"/>
  <c r="AN67" i="36"/>
  <c r="AM67" i="36"/>
  <c r="AI67" i="36"/>
  <c r="AH67" i="36"/>
  <c r="AD67" i="36"/>
  <c r="AC67" i="36"/>
  <c r="Y67" i="36"/>
  <c r="X67" i="36"/>
  <c r="AW81" i="37"/>
  <c r="AR81" i="37"/>
  <c r="AM81" i="37"/>
  <c r="AH81" i="37"/>
  <c r="AC81" i="37"/>
  <c r="X81" i="37"/>
  <c r="AW80" i="37"/>
  <c r="AR80" i="37"/>
  <c r="AM80" i="37"/>
  <c r="AH80" i="37"/>
  <c r="AC80" i="37"/>
  <c r="X80" i="37"/>
  <c r="AW79" i="37"/>
  <c r="AR79" i="37"/>
  <c r="AM79" i="37"/>
  <c r="AH79" i="37"/>
  <c r="AC79" i="37"/>
  <c r="X79" i="37"/>
  <c r="AW78" i="37"/>
  <c r="AR78" i="37"/>
  <c r="AM78" i="37"/>
  <c r="AH78" i="37"/>
  <c r="AC78" i="37"/>
  <c r="X78" i="37"/>
  <c r="AW77" i="37"/>
  <c r="AR77" i="37"/>
  <c r="AM77" i="37"/>
  <c r="AH77" i="37"/>
  <c r="AC77" i="37"/>
  <c r="X77" i="37"/>
  <c r="AW76" i="37"/>
  <c r="AR76" i="37"/>
  <c r="AM76" i="37"/>
  <c r="AH76" i="37"/>
  <c r="AC76" i="37"/>
  <c r="X76" i="37"/>
  <c r="AW75" i="37"/>
  <c r="AR75" i="37"/>
  <c r="AM75" i="37"/>
  <c r="AH75" i="37"/>
  <c r="AC75" i="37"/>
  <c r="X75" i="37"/>
  <c r="AW74" i="37"/>
  <c r="AR74" i="37"/>
  <c r="AM74" i="37"/>
  <c r="AH74" i="37"/>
  <c r="AC74" i="37"/>
  <c r="X74" i="37"/>
  <c r="AW73" i="37"/>
  <c r="AR73" i="37"/>
  <c r="AM73" i="37"/>
  <c r="AH73" i="37"/>
  <c r="AC73" i="37"/>
  <c r="X73" i="37"/>
  <c r="AW72" i="37"/>
  <c r="AR72" i="37"/>
  <c r="AM72" i="37"/>
  <c r="AH72" i="37"/>
  <c r="AC72" i="37"/>
  <c r="X72" i="37"/>
  <c r="AW71" i="37"/>
  <c r="AR71" i="37"/>
  <c r="AM71" i="37"/>
  <c r="AH71" i="37"/>
  <c r="AC71" i="37"/>
  <c r="X71" i="37"/>
  <c r="AW70" i="37"/>
  <c r="AR70" i="37"/>
  <c r="AM70" i="37"/>
  <c r="AH70" i="37"/>
  <c r="AC70" i="37"/>
  <c r="X70" i="37"/>
  <c r="AW69" i="37"/>
  <c r="AR69" i="37"/>
  <c r="AM69" i="37"/>
  <c r="AH69" i="37"/>
  <c r="AC69" i="37"/>
  <c r="X69" i="37"/>
  <c r="AW68" i="37"/>
  <c r="AR68" i="37"/>
  <c r="AM68" i="37"/>
  <c r="AH68" i="37"/>
  <c r="AC68" i="37"/>
  <c r="X68" i="37"/>
  <c r="AX67" i="37"/>
  <c r="AW67" i="37"/>
  <c r="AS67" i="37"/>
  <c r="AR67" i="37"/>
  <c r="AN67" i="37"/>
  <c r="AM67" i="37"/>
  <c r="AI67" i="37"/>
  <c r="AH67" i="37"/>
  <c r="AD67" i="37"/>
  <c r="AC67" i="37"/>
  <c r="Y67" i="37"/>
  <c r="X67" i="37"/>
  <c r="AW81" i="34"/>
  <c r="AR81" i="34"/>
  <c r="AM81" i="34"/>
  <c r="AH81" i="34"/>
  <c r="AC81" i="34"/>
  <c r="X81" i="34"/>
  <c r="AW80" i="34"/>
  <c r="AR80" i="34"/>
  <c r="AM80" i="34"/>
  <c r="AH80" i="34"/>
  <c r="AC80" i="34"/>
  <c r="X80" i="34"/>
  <c r="AW79" i="34"/>
  <c r="AR79" i="34"/>
  <c r="AM79" i="34"/>
  <c r="AH79" i="34"/>
  <c r="AC79" i="34"/>
  <c r="X79" i="34"/>
  <c r="AW78" i="34"/>
  <c r="AR78" i="34"/>
  <c r="AM78" i="34"/>
  <c r="AH78" i="34"/>
  <c r="AC78" i="34"/>
  <c r="X78" i="34"/>
  <c r="AW77" i="34"/>
  <c r="AR77" i="34"/>
  <c r="AM77" i="34"/>
  <c r="AH77" i="34"/>
  <c r="AC77" i="34"/>
  <c r="X77" i="34"/>
  <c r="AW76" i="34"/>
  <c r="AR76" i="34"/>
  <c r="AM76" i="34"/>
  <c r="AH76" i="34"/>
  <c r="AC76" i="34"/>
  <c r="X76" i="34"/>
  <c r="AW75" i="34"/>
  <c r="AR75" i="34"/>
  <c r="AM75" i="34"/>
  <c r="AH75" i="34"/>
  <c r="AC75" i="34"/>
  <c r="X75" i="34"/>
  <c r="AW74" i="34"/>
  <c r="AR74" i="34"/>
  <c r="AM74" i="34"/>
  <c r="AH74" i="34"/>
  <c r="AC74" i="34"/>
  <c r="X74" i="34"/>
  <c r="AW73" i="34"/>
  <c r="AR73" i="34"/>
  <c r="AM73" i="34"/>
  <c r="AH73" i="34"/>
  <c r="AC73" i="34"/>
  <c r="X73" i="34"/>
  <c r="AW72" i="34"/>
  <c r="AR72" i="34"/>
  <c r="AM72" i="34"/>
  <c r="AH72" i="34"/>
  <c r="AC72" i="34"/>
  <c r="X72" i="34"/>
  <c r="AW71" i="34"/>
  <c r="AR71" i="34"/>
  <c r="AM71" i="34"/>
  <c r="AH71" i="34"/>
  <c r="AC71" i="34"/>
  <c r="X71" i="34"/>
  <c r="AW70" i="34"/>
  <c r="AR70" i="34"/>
  <c r="AM70" i="34"/>
  <c r="AH70" i="34"/>
  <c r="AC70" i="34"/>
  <c r="X70" i="34"/>
  <c r="AW69" i="34"/>
  <c r="AR69" i="34"/>
  <c r="AM69" i="34"/>
  <c r="AH69" i="34"/>
  <c r="AC69" i="34"/>
  <c r="X69" i="34"/>
  <c r="AW68" i="34"/>
  <c r="AR68" i="34"/>
  <c r="AM68" i="34"/>
  <c r="AH68" i="34"/>
  <c r="AC68" i="34"/>
  <c r="X68" i="34"/>
  <c r="AX67" i="34"/>
  <c r="AW67" i="34"/>
  <c r="AS67" i="34"/>
  <c r="AR67" i="34"/>
  <c r="AN67" i="34"/>
  <c r="AM67" i="34"/>
  <c r="AI67" i="34"/>
  <c r="AH67" i="34"/>
  <c r="AD67" i="34"/>
  <c r="AC67" i="34"/>
  <c r="Y67" i="34"/>
  <c r="X67" i="34"/>
  <c r="AW41" i="35"/>
  <c r="AR41" i="35"/>
  <c r="AM41" i="35"/>
  <c r="AH41" i="35"/>
  <c r="AC41" i="35"/>
  <c r="X41" i="35"/>
  <c r="AW40" i="35"/>
  <c r="AR40" i="35"/>
  <c r="AM40" i="35"/>
  <c r="AH40" i="35"/>
  <c r="AC40" i="35"/>
  <c r="X40" i="35"/>
  <c r="AW39" i="35"/>
  <c r="AR39" i="35"/>
  <c r="AM39" i="35"/>
  <c r="AH39" i="35"/>
  <c r="AC39" i="35"/>
  <c r="X39" i="35"/>
  <c r="AW38" i="35"/>
  <c r="AR38" i="35"/>
  <c r="AM38" i="35"/>
  <c r="AH38" i="35"/>
  <c r="AC38" i="35"/>
  <c r="X38" i="35"/>
  <c r="AW37" i="35"/>
  <c r="AR37" i="35"/>
  <c r="AM37" i="35"/>
  <c r="AH37" i="35"/>
  <c r="AC37" i="35"/>
  <c r="X37" i="35"/>
  <c r="AW36" i="35"/>
  <c r="AR36" i="35"/>
  <c r="AM36" i="35"/>
  <c r="AH36" i="35"/>
  <c r="AC36" i="35"/>
  <c r="X36" i="35"/>
  <c r="AW35" i="35"/>
  <c r="AR35" i="35"/>
  <c r="AM35" i="35"/>
  <c r="AH35" i="35"/>
  <c r="AC35" i="35"/>
  <c r="X35" i="35"/>
  <c r="AW34" i="35"/>
  <c r="AR34" i="35"/>
  <c r="AM34" i="35"/>
  <c r="AH34" i="35"/>
  <c r="AC34" i="35"/>
  <c r="X34" i="35"/>
  <c r="AW33" i="35"/>
  <c r="AR33" i="35"/>
  <c r="AM33" i="35"/>
  <c r="AH33" i="35"/>
  <c r="AC33" i="35"/>
  <c r="X33" i="35"/>
  <c r="AW32" i="35"/>
  <c r="AR32" i="35"/>
  <c r="AM32" i="35"/>
  <c r="AH32" i="35"/>
  <c r="AC32" i="35"/>
  <c r="X32" i="35"/>
  <c r="AW31" i="35"/>
  <c r="AR31" i="35"/>
  <c r="AM31" i="35"/>
  <c r="AH31" i="35"/>
  <c r="AC31" i="35"/>
  <c r="X31" i="35"/>
  <c r="AW30" i="35"/>
  <c r="AR30" i="35"/>
  <c r="AM30" i="35"/>
  <c r="AH30" i="35"/>
  <c r="AC30" i="35"/>
  <c r="X30" i="35"/>
  <c r="AW29" i="35"/>
  <c r="AR29" i="35"/>
  <c r="AM29" i="35"/>
  <c r="AH29" i="35"/>
  <c r="AC29" i="35"/>
  <c r="X29" i="35"/>
  <c r="AW28" i="35"/>
  <c r="AR28" i="35"/>
  <c r="AM28" i="35"/>
  <c r="AH28" i="35"/>
  <c r="AC28" i="35"/>
  <c r="X28" i="35"/>
  <c r="AX27" i="35"/>
  <c r="AW27" i="35"/>
  <c r="AS27" i="35"/>
  <c r="AR27" i="35"/>
  <c r="AN27" i="35"/>
  <c r="AM27" i="35"/>
  <c r="AI27" i="35"/>
  <c r="AH27" i="35"/>
  <c r="AD27" i="35"/>
  <c r="AC27" i="35"/>
  <c r="Y27" i="35"/>
  <c r="X27" i="35"/>
  <c r="AW41" i="36"/>
  <c r="AR41" i="36"/>
  <c r="AM41" i="36"/>
  <c r="AH41" i="36"/>
  <c r="AC41" i="36"/>
  <c r="X41" i="36"/>
  <c r="AW40" i="36"/>
  <c r="AR40" i="36"/>
  <c r="AM40" i="36"/>
  <c r="AH40" i="36"/>
  <c r="AC40" i="36"/>
  <c r="X40" i="36"/>
  <c r="AW39" i="36"/>
  <c r="AR39" i="36"/>
  <c r="AM39" i="36"/>
  <c r="AH39" i="36"/>
  <c r="AC39" i="36"/>
  <c r="X39" i="36"/>
  <c r="AW38" i="36"/>
  <c r="AR38" i="36"/>
  <c r="AM38" i="36"/>
  <c r="AH38" i="36"/>
  <c r="AC38" i="36"/>
  <c r="X38" i="36"/>
  <c r="AW37" i="36"/>
  <c r="AR37" i="36"/>
  <c r="AM37" i="36"/>
  <c r="AH37" i="36"/>
  <c r="AC37" i="36"/>
  <c r="X37" i="36"/>
  <c r="AW36" i="36"/>
  <c r="AR36" i="36"/>
  <c r="AM36" i="36"/>
  <c r="AH36" i="36"/>
  <c r="AC36" i="36"/>
  <c r="X36" i="36"/>
  <c r="AW35" i="36"/>
  <c r="AR35" i="36"/>
  <c r="AM35" i="36"/>
  <c r="AH35" i="36"/>
  <c r="AC35" i="36"/>
  <c r="X35" i="36"/>
  <c r="AW34" i="36"/>
  <c r="AR34" i="36"/>
  <c r="AM34" i="36"/>
  <c r="AH34" i="36"/>
  <c r="AC34" i="36"/>
  <c r="X34" i="36"/>
  <c r="AW33" i="36"/>
  <c r="AR33" i="36"/>
  <c r="AM33" i="36"/>
  <c r="AH33" i="36"/>
  <c r="AC33" i="36"/>
  <c r="X33" i="36"/>
  <c r="AW32" i="36"/>
  <c r="AR32" i="36"/>
  <c r="AM32" i="36"/>
  <c r="AH32" i="36"/>
  <c r="AC32" i="36"/>
  <c r="X32" i="36"/>
  <c r="AW31" i="36"/>
  <c r="AR31" i="36"/>
  <c r="AM31" i="36"/>
  <c r="AH31" i="36"/>
  <c r="AC31" i="36"/>
  <c r="X31" i="36"/>
  <c r="AW30" i="36"/>
  <c r="AR30" i="36"/>
  <c r="AM30" i="36"/>
  <c r="AH30" i="36"/>
  <c r="AC30" i="36"/>
  <c r="X30" i="36"/>
  <c r="AW29" i="36"/>
  <c r="AR29" i="36"/>
  <c r="AM29" i="36"/>
  <c r="AH29" i="36"/>
  <c r="AC29" i="36"/>
  <c r="X29" i="36"/>
  <c r="AW28" i="36"/>
  <c r="AR28" i="36"/>
  <c r="AM28" i="36"/>
  <c r="AH28" i="36"/>
  <c r="AC28" i="36"/>
  <c r="X28" i="36"/>
  <c r="AX27" i="36"/>
  <c r="AW27" i="36"/>
  <c r="AS27" i="36"/>
  <c r="AR27" i="36"/>
  <c r="AN27" i="36"/>
  <c r="AM27" i="36"/>
  <c r="AI27" i="36"/>
  <c r="AH27" i="36"/>
  <c r="AD27" i="36"/>
  <c r="AC27" i="36"/>
  <c r="Y27" i="36"/>
  <c r="X27" i="36"/>
  <c r="AW41" i="37"/>
  <c r="AR41" i="37"/>
  <c r="AM41" i="37"/>
  <c r="AH41" i="37"/>
  <c r="AC41" i="37"/>
  <c r="X41" i="37"/>
  <c r="AW40" i="37"/>
  <c r="AR40" i="37"/>
  <c r="AM40" i="37"/>
  <c r="AH40" i="37"/>
  <c r="AC40" i="37"/>
  <c r="X40" i="37"/>
  <c r="AW39" i="37"/>
  <c r="AR39" i="37"/>
  <c r="AM39" i="37"/>
  <c r="AH39" i="37"/>
  <c r="AC39" i="37"/>
  <c r="X39" i="37"/>
  <c r="AW38" i="37"/>
  <c r="AR38" i="37"/>
  <c r="AM38" i="37"/>
  <c r="AH38" i="37"/>
  <c r="AC38" i="37"/>
  <c r="X38" i="37"/>
  <c r="AW37" i="37"/>
  <c r="AR37" i="37"/>
  <c r="AM37" i="37"/>
  <c r="AH37" i="37"/>
  <c r="AC37" i="37"/>
  <c r="X37" i="37"/>
  <c r="AW36" i="37"/>
  <c r="AR36" i="37"/>
  <c r="AM36" i="37"/>
  <c r="AH36" i="37"/>
  <c r="AC36" i="37"/>
  <c r="X36" i="37"/>
  <c r="AW35" i="37"/>
  <c r="AR35" i="37"/>
  <c r="AM35" i="37"/>
  <c r="AH35" i="37"/>
  <c r="AC35" i="37"/>
  <c r="X35" i="37"/>
  <c r="AW34" i="37"/>
  <c r="AR34" i="37"/>
  <c r="AM34" i="37"/>
  <c r="AH34" i="37"/>
  <c r="AC34" i="37"/>
  <c r="X34" i="37"/>
  <c r="AW33" i="37"/>
  <c r="AR33" i="37"/>
  <c r="AM33" i="37"/>
  <c r="AH33" i="37"/>
  <c r="AC33" i="37"/>
  <c r="X33" i="37"/>
  <c r="AW32" i="37"/>
  <c r="AR32" i="37"/>
  <c r="AM32" i="37"/>
  <c r="AH32" i="37"/>
  <c r="AC32" i="37"/>
  <c r="X32" i="37"/>
  <c r="AW31" i="37"/>
  <c r="AR31" i="37"/>
  <c r="AM31" i="37"/>
  <c r="AH31" i="37"/>
  <c r="AC31" i="37"/>
  <c r="X31" i="37"/>
  <c r="AW30" i="37"/>
  <c r="AR30" i="37"/>
  <c r="AM30" i="37"/>
  <c r="AH30" i="37"/>
  <c r="AC30" i="37"/>
  <c r="X30" i="37"/>
  <c r="AW29" i="37"/>
  <c r="AR29" i="37"/>
  <c r="AM29" i="37"/>
  <c r="AH29" i="37"/>
  <c r="AC29" i="37"/>
  <c r="X29" i="37"/>
  <c r="AW28" i="37"/>
  <c r="AR28" i="37"/>
  <c r="AM28" i="37"/>
  <c r="AH28" i="37"/>
  <c r="AC28" i="37"/>
  <c r="X28" i="37"/>
  <c r="AX27" i="37"/>
  <c r="AW27" i="37"/>
  <c r="AS27" i="37"/>
  <c r="AR27" i="37"/>
  <c r="AN27" i="37"/>
  <c r="AM27" i="37"/>
  <c r="AI27" i="37"/>
  <c r="AH27" i="37"/>
  <c r="AD27" i="37"/>
  <c r="AC27" i="37"/>
  <c r="Y27" i="37"/>
  <c r="X27" i="37"/>
  <c r="AW41" i="34"/>
  <c r="AR41" i="34"/>
  <c r="AM41" i="34"/>
  <c r="AH41" i="34"/>
  <c r="AC41" i="34"/>
  <c r="X41" i="34"/>
  <c r="AW40" i="34"/>
  <c r="AR40" i="34"/>
  <c r="AM40" i="34"/>
  <c r="AH40" i="34"/>
  <c r="AC40" i="34"/>
  <c r="X40" i="34"/>
  <c r="AW39" i="34"/>
  <c r="AR39" i="34"/>
  <c r="AM39" i="34"/>
  <c r="AH39" i="34"/>
  <c r="AC39" i="34"/>
  <c r="X39" i="34"/>
  <c r="AW38" i="34"/>
  <c r="AR38" i="34"/>
  <c r="AM38" i="34"/>
  <c r="AH38" i="34"/>
  <c r="AC38" i="34"/>
  <c r="X38" i="34"/>
  <c r="AW37" i="34"/>
  <c r="AR37" i="34"/>
  <c r="AM37" i="34"/>
  <c r="AH37" i="34"/>
  <c r="AC37" i="34"/>
  <c r="X37" i="34"/>
  <c r="AW36" i="34"/>
  <c r="AR36" i="34"/>
  <c r="AM36" i="34"/>
  <c r="AH36" i="34"/>
  <c r="AC36" i="34"/>
  <c r="X36" i="34"/>
  <c r="AW35" i="34"/>
  <c r="AR35" i="34"/>
  <c r="AM35" i="34"/>
  <c r="AH35" i="34"/>
  <c r="AC35" i="34"/>
  <c r="X35" i="34"/>
  <c r="AW34" i="34"/>
  <c r="AR34" i="34"/>
  <c r="AM34" i="34"/>
  <c r="AH34" i="34"/>
  <c r="AC34" i="34"/>
  <c r="X34" i="34"/>
  <c r="AW33" i="34"/>
  <c r="AR33" i="34"/>
  <c r="AM33" i="34"/>
  <c r="AH33" i="34"/>
  <c r="AC33" i="34"/>
  <c r="X33" i="34"/>
  <c r="AW32" i="34"/>
  <c r="AR32" i="34"/>
  <c r="AM32" i="34"/>
  <c r="AH32" i="34"/>
  <c r="AC32" i="34"/>
  <c r="X32" i="34"/>
  <c r="AW31" i="34"/>
  <c r="AR31" i="34"/>
  <c r="AM31" i="34"/>
  <c r="AH31" i="34"/>
  <c r="AC31" i="34"/>
  <c r="X31" i="34"/>
  <c r="AW30" i="34"/>
  <c r="AR30" i="34"/>
  <c r="AM30" i="34"/>
  <c r="AH30" i="34"/>
  <c r="AC30" i="34"/>
  <c r="X30" i="34"/>
  <c r="AW29" i="34"/>
  <c r="AR29" i="34"/>
  <c r="AM29" i="34"/>
  <c r="AH29" i="34"/>
  <c r="AC29" i="34"/>
  <c r="X29" i="34"/>
  <c r="AW28" i="34"/>
  <c r="AR28" i="34"/>
  <c r="AM28" i="34"/>
  <c r="AH28" i="34"/>
  <c r="AC28" i="34"/>
  <c r="X28" i="34"/>
  <c r="AX27" i="34"/>
  <c r="AW27" i="34"/>
  <c r="AS27" i="34"/>
  <c r="AR27" i="34"/>
  <c r="AN27" i="34"/>
  <c r="AM27" i="34"/>
  <c r="AI27" i="34"/>
  <c r="AH27" i="34"/>
  <c r="AD27" i="34"/>
  <c r="AC27" i="34"/>
  <c r="Y27" i="34"/>
  <c r="X27" i="34"/>
  <c r="AW41" i="31"/>
  <c r="AR41" i="31"/>
  <c r="AM41" i="31"/>
  <c r="AH41" i="31"/>
  <c r="AC41" i="31"/>
  <c r="X41" i="31"/>
  <c r="AW40" i="31"/>
  <c r="AR40" i="31"/>
  <c r="AM40" i="31"/>
  <c r="AH40" i="31"/>
  <c r="AC40" i="31"/>
  <c r="X40" i="31"/>
  <c r="AW39" i="31"/>
  <c r="AR39" i="31"/>
  <c r="AM39" i="31"/>
  <c r="AH39" i="31"/>
  <c r="AC39" i="31"/>
  <c r="X39" i="31"/>
  <c r="AW38" i="31"/>
  <c r="AR38" i="31"/>
  <c r="AM38" i="31"/>
  <c r="AH38" i="31"/>
  <c r="AC38" i="31"/>
  <c r="X38" i="31"/>
  <c r="AW37" i="31"/>
  <c r="AR37" i="31"/>
  <c r="AM37" i="31"/>
  <c r="AH37" i="31"/>
  <c r="AC37" i="31"/>
  <c r="X37" i="31"/>
  <c r="AW36" i="31"/>
  <c r="AR36" i="31"/>
  <c r="AM36" i="31"/>
  <c r="AH36" i="31"/>
  <c r="AC36" i="31"/>
  <c r="X36" i="31"/>
  <c r="AW35" i="31"/>
  <c r="AR35" i="31"/>
  <c r="AM35" i="31"/>
  <c r="AH35" i="31"/>
  <c r="AC35" i="31"/>
  <c r="X35" i="31"/>
  <c r="AW34" i="31"/>
  <c r="AR34" i="31"/>
  <c r="AM34" i="31"/>
  <c r="AH34" i="31"/>
  <c r="AC34" i="31"/>
  <c r="X34" i="31"/>
  <c r="AW33" i="31"/>
  <c r="AR33" i="31"/>
  <c r="AM33" i="31"/>
  <c r="AH33" i="31"/>
  <c r="AC33" i="31"/>
  <c r="X33" i="31"/>
  <c r="AW32" i="31"/>
  <c r="AR32" i="31"/>
  <c r="AM32" i="31"/>
  <c r="AH32" i="31"/>
  <c r="AC32" i="31"/>
  <c r="X32" i="31"/>
  <c r="AW31" i="31"/>
  <c r="AR31" i="31"/>
  <c r="AM31" i="31"/>
  <c r="AH31" i="31"/>
  <c r="AC31" i="31"/>
  <c r="X31" i="31"/>
  <c r="AW30" i="31"/>
  <c r="AR30" i="31"/>
  <c r="AM30" i="31"/>
  <c r="AH30" i="31"/>
  <c r="AC30" i="31"/>
  <c r="X30" i="31"/>
  <c r="AW29" i="31"/>
  <c r="AR29" i="31"/>
  <c r="AM29" i="31"/>
  <c r="AH29" i="31"/>
  <c r="AC29" i="31"/>
  <c r="X29" i="31"/>
  <c r="AW28" i="31"/>
  <c r="AR28" i="31"/>
  <c r="AM28" i="31"/>
  <c r="AH28" i="31"/>
  <c r="AC28" i="31"/>
  <c r="X28" i="31"/>
  <c r="AX27" i="31"/>
  <c r="AW27" i="31"/>
  <c r="AS27" i="31"/>
  <c r="AR27" i="31"/>
  <c r="AN27" i="31"/>
  <c r="AM27" i="31"/>
  <c r="AI27" i="31"/>
  <c r="AH27" i="31"/>
  <c r="AD27" i="31"/>
  <c r="AC27" i="31"/>
  <c r="Y27" i="31"/>
  <c r="X27" i="31"/>
  <c r="AW61" i="31"/>
  <c r="AR61" i="31"/>
  <c r="AM61" i="31"/>
  <c r="AH61" i="31"/>
  <c r="AC61" i="31"/>
  <c r="X61" i="31"/>
  <c r="AW60" i="31"/>
  <c r="AR60" i="31"/>
  <c r="AM60" i="31"/>
  <c r="AH60" i="31"/>
  <c r="AC60" i="31"/>
  <c r="X60" i="31"/>
  <c r="AW59" i="31"/>
  <c r="AR59" i="31"/>
  <c r="AM59" i="31"/>
  <c r="AH59" i="31"/>
  <c r="AC59" i="31"/>
  <c r="X59" i="31"/>
  <c r="AW58" i="31"/>
  <c r="AR58" i="31"/>
  <c r="AM58" i="31"/>
  <c r="AH58" i="31"/>
  <c r="AC58" i="31"/>
  <c r="X58" i="31"/>
  <c r="AW57" i="31"/>
  <c r="AR57" i="31"/>
  <c r="AM57" i="31"/>
  <c r="AH57" i="31"/>
  <c r="AC57" i="31"/>
  <c r="X57" i="31"/>
  <c r="AW56" i="31"/>
  <c r="AR56" i="31"/>
  <c r="AM56" i="31"/>
  <c r="AH56" i="31"/>
  <c r="AC56" i="31"/>
  <c r="X56" i="31"/>
  <c r="AW55" i="31"/>
  <c r="AR55" i="31"/>
  <c r="AM55" i="31"/>
  <c r="AH55" i="31"/>
  <c r="AC55" i="31"/>
  <c r="X55" i="31"/>
  <c r="AW54" i="31"/>
  <c r="AR54" i="31"/>
  <c r="AM54" i="31"/>
  <c r="AH54" i="31"/>
  <c r="AC54" i="31"/>
  <c r="X54" i="31"/>
  <c r="AW53" i="31"/>
  <c r="AR53" i="31"/>
  <c r="AM53" i="31"/>
  <c r="AH53" i="31"/>
  <c r="AC53" i="31"/>
  <c r="X53" i="31"/>
  <c r="AW52" i="31"/>
  <c r="AR52" i="31"/>
  <c r="AM52" i="31"/>
  <c r="AH52" i="31"/>
  <c r="AC52" i="31"/>
  <c r="X52" i="31"/>
  <c r="AW51" i="31"/>
  <c r="AR51" i="31"/>
  <c r="AM51" i="31"/>
  <c r="AH51" i="31"/>
  <c r="AC51" i="31"/>
  <c r="X51" i="31"/>
  <c r="AW50" i="31"/>
  <c r="AR50" i="31"/>
  <c r="AM50" i="31"/>
  <c r="AH50" i="31"/>
  <c r="AC50" i="31"/>
  <c r="X50" i="31"/>
  <c r="AW49" i="31"/>
  <c r="AR49" i="31"/>
  <c r="AM49" i="31"/>
  <c r="AH49" i="31"/>
  <c r="AC49" i="31"/>
  <c r="X49" i="31"/>
  <c r="AW48" i="31"/>
  <c r="AR48" i="31"/>
  <c r="AM48" i="31"/>
  <c r="AH48" i="31"/>
  <c r="AC48" i="31"/>
  <c r="X48" i="31"/>
  <c r="AX47" i="31"/>
  <c r="AW47" i="31"/>
  <c r="AS47" i="31"/>
  <c r="AR47" i="31"/>
  <c r="AN47" i="31"/>
  <c r="AM47" i="31"/>
  <c r="AI47" i="31"/>
  <c r="AH47" i="31"/>
  <c r="AD47" i="31"/>
  <c r="AC47" i="31"/>
  <c r="Y47" i="31"/>
  <c r="X47" i="31"/>
  <c r="AW81" i="32"/>
  <c r="AR81" i="32"/>
  <c r="AM81" i="32"/>
  <c r="AH81" i="32"/>
  <c r="AC81" i="32"/>
  <c r="X81" i="32"/>
  <c r="AW80" i="32"/>
  <c r="AR80" i="32"/>
  <c r="AM80" i="32"/>
  <c r="AH80" i="32"/>
  <c r="AC80" i="32"/>
  <c r="X80" i="32"/>
  <c r="AW79" i="32"/>
  <c r="AR79" i="32"/>
  <c r="AM79" i="32"/>
  <c r="AH79" i="32"/>
  <c r="AC79" i="32"/>
  <c r="X79" i="32"/>
  <c r="AW78" i="32"/>
  <c r="AR78" i="32"/>
  <c r="AM78" i="32"/>
  <c r="AH78" i="32"/>
  <c r="AC78" i="32"/>
  <c r="X78" i="32"/>
  <c r="AW77" i="32"/>
  <c r="AR77" i="32"/>
  <c r="AM77" i="32"/>
  <c r="AH77" i="32"/>
  <c r="AC77" i="32"/>
  <c r="X77" i="32"/>
  <c r="AW76" i="32"/>
  <c r="AR76" i="32"/>
  <c r="AM76" i="32"/>
  <c r="AH76" i="32"/>
  <c r="AC76" i="32"/>
  <c r="X76" i="32"/>
  <c r="AW75" i="32"/>
  <c r="AR75" i="32"/>
  <c r="AM75" i="32"/>
  <c r="AH75" i="32"/>
  <c r="AC75" i="32"/>
  <c r="X75" i="32"/>
  <c r="AW74" i="32"/>
  <c r="AR74" i="32"/>
  <c r="AM74" i="32"/>
  <c r="AH74" i="32"/>
  <c r="AC74" i="32"/>
  <c r="X74" i="32"/>
  <c r="AW73" i="32"/>
  <c r="AR73" i="32"/>
  <c r="AM73" i="32"/>
  <c r="AH73" i="32"/>
  <c r="AC73" i="32"/>
  <c r="X73" i="32"/>
  <c r="AW72" i="32"/>
  <c r="AR72" i="32"/>
  <c r="AM72" i="32"/>
  <c r="AH72" i="32"/>
  <c r="AC72" i="32"/>
  <c r="X72" i="32"/>
  <c r="AW71" i="32"/>
  <c r="AR71" i="32"/>
  <c r="AM71" i="32"/>
  <c r="AH71" i="32"/>
  <c r="AC71" i="32"/>
  <c r="X71" i="32"/>
  <c r="AW70" i="32"/>
  <c r="AR70" i="32"/>
  <c r="AM70" i="32"/>
  <c r="AH70" i="32"/>
  <c r="AC70" i="32"/>
  <c r="X70" i="32"/>
  <c r="AW69" i="32"/>
  <c r="AR69" i="32"/>
  <c r="AM69" i="32"/>
  <c r="AH69" i="32"/>
  <c r="AC69" i="32"/>
  <c r="X69" i="32"/>
  <c r="AW68" i="32"/>
  <c r="AR68" i="32"/>
  <c r="AM68" i="32"/>
  <c r="AH68" i="32"/>
  <c r="AC68" i="32"/>
  <c r="X68" i="32"/>
  <c r="AX67" i="32"/>
  <c r="AW67" i="32"/>
  <c r="AS67" i="32"/>
  <c r="AR67" i="32"/>
  <c r="AN67" i="32"/>
  <c r="AM67" i="32"/>
  <c r="AI67" i="32"/>
  <c r="AH67" i="32"/>
  <c r="AD67" i="32"/>
  <c r="AC67" i="32"/>
  <c r="Y67" i="32"/>
  <c r="X67" i="32"/>
  <c r="AW81" i="31"/>
  <c r="AR81" i="31"/>
  <c r="AM81" i="31"/>
  <c r="AH81" i="31"/>
  <c r="AC81" i="31"/>
  <c r="X81" i="31"/>
  <c r="AW80" i="31"/>
  <c r="AR80" i="31"/>
  <c r="AM80" i="31"/>
  <c r="AH80" i="31"/>
  <c r="AC80" i="31"/>
  <c r="X80" i="31"/>
  <c r="AW79" i="31"/>
  <c r="AR79" i="31"/>
  <c r="AM79" i="31"/>
  <c r="AH79" i="31"/>
  <c r="AC79" i="31"/>
  <c r="X79" i="31"/>
  <c r="AW78" i="31"/>
  <c r="AR78" i="31"/>
  <c r="AM78" i="31"/>
  <c r="AH78" i="31"/>
  <c r="AC78" i="31"/>
  <c r="X78" i="31"/>
  <c r="AW77" i="31"/>
  <c r="AR77" i="31"/>
  <c r="AM77" i="31"/>
  <c r="AH77" i="31"/>
  <c r="AC77" i="31"/>
  <c r="X77" i="31"/>
  <c r="AW76" i="31"/>
  <c r="AR76" i="31"/>
  <c r="AM76" i="31"/>
  <c r="AH76" i="31"/>
  <c r="AC76" i="31"/>
  <c r="X76" i="31"/>
  <c r="AW75" i="31"/>
  <c r="AR75" i="31"/>
  <c r="AM75" i="31"/>
  <c r="AH75" i="31"/>
  <c r="AC75" i="31"/>
  <c r="X75" i="31"/>
  <c r="AW74" i="31"/>
  <c r="AR74" i="31"/>
  <c r="AM74" i="31"/>
  <c r="AH74" i="31"/>
  <c r="AC74" i="31"/>
  <c r="X74" i="31"/>
  <c r="AW73" i="31"/>
  <c r="AR73" i="31"/>
  <c r="AM73" i="31"/>
  <c r="AH73" i="31"/>
  <c r="AC73" i="31"/>
  <c r="X73" i="31"/>
  <c r="AW72" i="31"/>
  <c r="AR72" i="31"/>
  <c r="AM72" i="31"/>
  <c r="AH72" i="31"/>
  <c r="AC72" i="31"/>
  <c r="X72" i="31"/>
  <c r="AW71" i="31"/>
  <c r="AR71" i="31"/>
  <c r="AM71" i="31"/>
  <c r="AH71" i="31"/>
  <c r="AC71" i="31"/>
  <c r="X71" i="31"/>
  <c r="AW70" i="31"/>
  <c r="AR70" i="31"/>
  <c r="AM70" i="31"/>
  <c r="AH70" i="31"/>
  <c r="AC70" i="31"/>
  <c r="X70" i="31"/>
  <c r="AW69" i="31"/>
  <c r="AR69" i="31"/>
  <c r="AM69" i="31"/>
  <c r="AH69" i="31"/>
  <c r="AC69" i="31"/>
  <c r="X69" i="31"/>
  <c r="AW68" i="31"/>
  <c r="AR68" i="31"/>
  <c r="AM68" i="31"/>
  <c r="AH68" i="31"/>
  <c r="AC68" i="31"/>
  <c r="X68" i="31"/>
  <c r="AX67" i="31"/>
  <c r="AW67" i="31"/>
  <c r="AS67" i="31"/>
  <c r="AR67" i="31"/>
  <c r="AN67" i="31"/>
  <c r="AM67" i="31"/>
  <c r="AI67" i="31"/>
  <c r="AH67" i="31"/>
  <c r="AD67" i="31"/>
  <c r="AC67" i="31"/>
  <c r="Y67" i="31"/>
  <c r="X67" i="31"/>
  <c r="AW101" i="32"/>
  <c r="AR101" i="32"/>
  <c r="AM101" i="32"/>
  <c r="AH101" i="32"/>
  <c r="AC101" i="32"/>
  <c r="X101" i="32"/>
  <c r="AW100" i="32"/>
  <c r="AR100" i="32"/>
  <c r="AM100" i="32"/>
  <c r="AH100" i="32"/>
  <c r="AC100" i="32"/>
  <c r="X100" i="32"/>
  <c r="AW99" i="32"/>
  <c r="AR99" i="32"/>
  <c r="AM99" i="32"/>
  <c r="AH99" i="32"/>
  <c r="AC99" i="32"/>
  <c r="X99" i="32"/>
  <c r="AW98" i="32"/>
  <c r="AR98" i="32"/>
  <c r="AM98" i="32"/>
  <c r="AH98" i="32"/>
  <c r="AC98" i="32"/>
  <c r="X98" i="32"/>
  <c r="AW97" i="32"/>
  <c r="AR97" i="32"/>
  <c r="AM97" i="32"/>
  <c r="AH97" i="32"/>
  <c r="AC97" i="32"/>
  <c r="X97" i="32"/>
  <c r="AW96" i="32"/>
  <c r="AR96" i="32"/>
  <c r="AM96" i="32"/>
  <c r="AH96" i="32"/>
  <c r="AC96" i="32"/>
  <c r="X96" i="32"/>
  <c r="AW95" i="32"/>
  <c r="AR95" i="32"/>
  <c r="AM95" i="32"/>
  <c r="AH95" i="32"/>
  <c r="AC95" i="32"/>
  <c r="X95" i="32"/>
  <c r="AW94" i="32"/>
  <c r="AR94" i="32"/>
  <c r="AM94" i="32"/>
  <c r="AH94" i="32"/>
  <c r="AC94" i="32"/>
  <c r="X94" i="32"/>
  <c r="AW93" i="32"/>
  <c r="AR93" i="32"/>
  <c r="AM93" i="32"/>
  <c r="AH93" i="32"/>
  <c r="AC93" i="32"/>
  <c r="X93" i="32"/>
  <c r="AW92" i="32"/>
  <c r="AR92" i="32"/>
  <c r="AM92" i="32"/>
  <c r="AH92" i="32"/>
  <c r="AC92" i="32"/>
  <c r="X92" i="32"/>
  <c r="AW91" i="32"/>
  <c r="AR91" i="32"/>
  <c r="AM91" i="32"/>
  <c r="AH91" i="32"/>
  <c r="AC91" i="32"/>
  <c r="X91" i="32"/>
  <c r="AW90" i="32"/>
  <c r="AR90" i="32"/>
  <c r="AM90" i="32"/>
  <c r="AH90" i="32"/>
  <c r="AC90" i="32"/>
  <c r="X90" i="32"/>
  <c r="AW89" i="32"/>
  <c r="AR89" i="32"/>
  <c r="AM89" i="32"/>
  <c r="AH89" i="32"/>
  <c r="AC89" i="32"/>
  <c r="X89" i="32"/>
  <c r="AW88" i="32"/>
  <c r="AR88" i="32"/>
  <c r="AM88" i="32"/>
  <c r="AH88" i="32"/>
  <c r="AC88" i="32"/>
  <c r="X88" i="32"/>
  <c r="AX87" i="32"/>
  <c r="AW87" i="32"/>
  <c r="AS87" i="32"/>
  <c r="AR87" i="32"/>
  <c r="AN87" i="32"/>
  <c r="AM87" i="32"/>
  <c r="AI87" i="32"/>
  <c r="AH87" i="32"/>
  <c r="AD87" i="32"/>
  <c r="AC87" i="32"/>
  <c r="Y87" i="32"/>
  <c r="X87" i="32"/>
  <c r="AW101" i="31"/>
  <c r="AR101" i="31"/>
  <c r="AM101" i="31"/>
  <c r="AH101" i="31"/>
  <c r="AC101" i="31"/>
  <c r="X101" i="31"/>
  <c r="AW100" i="31"/>
  <c r="AR100" i="31"/>
  <c r="AM100" i="31"/>
  <c r="AH100" i="31"/>
  <c r="AC100" i="31"/>
  <c r="X100" i="31"/>
  <c r="AW99" i="31"/>
  <c r="AR99" i="31"/>
  <c r="AM99" i="31"/>
  <c r="AH99" i="31"/>
  <c r="AC99" i="31"/>
  <c r="X99" i="31"/>
  <c r="AW98" i="31"/>
  <c r="AR98" i="31"/>
  <c r="AM98" i="31"/>
  <c r="AH98" i="31"/>
  <c r="AC98" i="31"/>
  <c r="X98" i="31"/>
  <c r="AW97" i="31"/>
  <c r="AR97" i="31"/>
  <c r="AM97" i="31"/>
  <c r="AH97" i="31"/>
  <c r="AC97" i="31"/>
  <c r="X97" i="31"/>
  <c r="AW96" i="31"/>
  <c r="AR96" i="31"/>
  <c r="AM96" i="31"/>
  <c r="AH96" i="31"/>
  <c r="AC96" i="31"/>
  <c r="X96" i="31"/>
  <c r="AW95" i="31"/>
  <c r="AR95" i="31"/>
  <c r="AM95" i="31"/>
  <c r="AH95" i="31"/>
  <c r="AC95" i="31"/>
  <c r="X95" i="31"/>
  <c r="AW94" i="31"/>
  <c r="AR94" i="31"/>
  <c r="AM94" i="31"/>
  <c r="AH94" i="31"/>
  <c r="AC94" i="31"/>
  <c r="X94" i="31"/>
  <c r="AW93" i="31"/>
  <c r="AR93" i="31"/>
  <c r="AM93" i="31"/>
  <c r="AH93" i="31"/>
  <c r="AC93" i="31"/>
  <c r="X93" i="31"/>
  <c r="AW92" i="31"/>
  <c r="AR92" i="31"/>
  <c r="AM92" i="31"/>
  <c r="AH92" i="31"/>
  <c r="AC92" i="31"/>
  <c r="X92" i="31"/>
  <c r="AW91" i="31"/>
  <c r="AR91" i="31"/>
  <c r="AM91" i="31"/>
  <c r="AH91" i="31"/>
  <c r="AC91" i="31"/>
  <c r="X91" i="31"/>
  <c r="AW90" i="31"/>
  <c r="AR90" i="31"/>
  <c r="AM90" i="31"/>
  <c r="AH90" i="31"/>
  <c r="AC90" i="31"/>
  <c r="X90" i="31"/>
  <c r="AW89" i="31"/>
  <c r="AR89" i="31"/>
  <c r="AM89" i="31"/>
  <c r="AH89" i="31"/>
  <c r="AC89" i="31"/>
  <c r="X89" i="31"/>
  <c r="AW88" i="31"/>
  <c r="AR88" i="31"/>
  <c r="AM88" i="31"/>
  <c r="AH88" i="31"/>
  <c r="AC88" i="31"/>
  <c r="AX87" i="31"/>
  <c r="AW87" i="31"/>
  <c r="AS87" i="31"/>
  <c r="AR87" i="31"/>
  <c r="AN87" i="31"/>
  <c r="AM87" i="31"/>
  <c r="AI87" i="31"/>
  <c r="AH87" i="31"/>
  <c r="AD87" i="31"/>
  <c r="AC87" i="31"/>
  <c r="Y87" i="31"/>
  <c r="AW101" i="30"/>
  <c r="AR101" i="30"/>
  <c r="AM101" i="30"/>
  <c r="AH101" i="30"/>
  <c r="AC101" i="30"/>
  <c r="X101" i="30"/>
  <c r="AW100" i="30"/>
  <c r="AR100" i="30"/>
  <c r="AM100" i="30"/>
  <c r="AH100" i="30"/>
  <c r="AC100" i="30"/>
  <c r="X100" i="30"/>
  <c r="AW99" i="30"/>
  <c r="AR99" i="30"/>
  <c r="AM99" i="30"/>
  <c r="AH99" i="30"/>
  <c r="AC99" i="30"/>
  <c r="X99" i="30"/>
  <c r="AW98" i="30"/>
  <c r="AR98" i="30"/>
  <c r="AM98" i="30"/>
  <c r="AH98" i="30"/>
  <c r="AC98" i="30"/>
  <c r="X98" i="30"/>
  <c r="AW97" i="30"/>
  <c r="AR97" i="30"/>
  <c r="AM97" i="30"/>
  <c r="AH97" i="30"/>
  <c r="AC97" i="30"/>
  <c r="X97" i="30"/>
  <c r="AW96" i="30"/>
  <c r="AR96" i="30"/>
  <c r="AM96" i="30"/>
  <c r="AH96" i="30"/>
  <c r="AC96" i="30"/>
  <c r="X96" i="30"/>
  <c r="AW95" i="30"/>
  <c r="AR95" i="30"/>
  <c r="AM95" i="30"/>
  <c r="AH95" i="30"/>
  <c r="AC95" i="30"/>
  <c r="X95" i="30"/>
  <c r="AW94" i="30"/>
  <c r="AR94" i="30"/>
  <c r="AM94" i="30"/>
  <c r="AH94" i="30"/>
  <c r="AC94" i="30"/>
  <c r="X94" i="30"/>
  <c r="AW93" i="30"/>
  <c r="AR93" i="30"/>
  <c r="AM93" i="30"/>
  <c r="AH93" i="30"/>
  <c r="AC93" i="30"/>
  <c r="X93" i="30"/>
  <c r="AW92" i="30"/>
  <c r="AR92" i="30"/>
  <c r="AM92" i="30"/>
  <c r="AH92" i="30"/>
  <c r="AC92" i="30"/>
  <c r="X92" i="30"/>
  <c r="AW91" i="30"/>
  <c r="AR91" i="30"/>
  <c r="AM91" i="30"/>
  <c r="AH91" i="30"/>
  <c r="AC91" i="30"/>
  <c r="X91" i="30"/>
  <c r="AW90" i="30"/>
  <c r="AR90" i="30"/>
  <c r="AM90" i="30"/>
  <c r="AH90" i="30"/>
  <c r="AC90" i="30"/>
  <c r="X90" i="30"/>
  <c r="AW89" i="30"/>
  <c r="AR89" i="30"/>
  <c r="AM89" i="30"/>
  <c r="AH89" i="30"/>
  <c r="AC89" i="30"/>
  <c r="X89" i="30"/>
  <c r="AW88" i="30"/>
  <c r="AR88" i="30"/>
  <c r="AM88" i="30"/>
  <c r="AH88" i="30"/>
  <c r="AC88" i="30"/>
  <c r="X88" i="30"/>
  <c r="AX87" i="30"/>
  <c r="AW87" i="30"/>
  <c r="AS87" i="30"/>
  <c r="AR87" i="30"/>
  <c r="AN87" i="30"/>
  <c r="AM87" i="30"/>
  <c r="AI87" i="30"/>
  <c r="AH87" i="30"/>
  <c r="AD87" i="30"/>
  <c r="AC87" i="30"/>
  <c r="Y87" i="30"/>
  <c r="X87" i="30"/>
  <c r="AR21" i="31"/>
  <c r="AM21" i="31"/>
  <c r="AH21" i="31"/>
  <c r="AC21" i="31"/>
  <c r="X21" i="31"/>
  <c r="AR20" i="31"/>
  <c r="AM20" i="31"/>
  <c r="AH20" i="31"/>
  <c r="AC20" i="31"/>
  <c r="X20" i="31"/>
  <c r="AR19" i="31"/>
  <c r="AM19" i="31"/>
  <c r="AH19" i="31"/>
  <c r="AC19" i="31"/>
  <c r="X19" i="31"/>
  <c r="AR18" i="31"/>
  <c r="AM18" i="31"/>
  <c r="AH18" i="31"/>
  <c r="AC18" i="31"/>
  <c r="X18" i="31"/>
  <c r="AR17" i="31"/>
  <c r="AM17" i="31"/>
  <c r="AH17" i="31"/>
  <c r="AC17" i="31"/>
  <c r="X17" i="31"/>
  <c r="AR16" i="31"/>
  <c r="AM16" i="31"/>
  <c r="AH16" i="31"/>
  <c r="AC16" i="31"/>
  <c r="X16" i="31"/>
  <c r="AR15" i="31"/>
  <c r="AM15" i="31"/>
  <c r="AH15" i="31"/>
  <c r="AC15" i="31"/>
  <c r="X15" i="31"/>
  <c r="AR14" i="31"/>
  <c r="AM14" i="31"/>
  <c r="AH14" i="31"/>
  <c r="AC14" i="31"/>
  <c r="X14" i="31"/>
  <c r="AR13" i="31"/>
  <c r="AM13" i="31"/>
  <c r="AH13" i="31"/>
  <c r="AC13" i="31"/>
  <c r="X13" i="31"/>
  <c r="AR12" i="31"/>
  <c r="AM12" i="31"/>
  <c r="AH12" i="31"/>
  <c r="AC12" i="31"/>
  <c r="X12" i="31"/>
  <c r="AR11" i="31"/>
  <c r="AM11" i="31"/>
  <c r="AH11" i="31"/>
  <c r="AC11" i="31"/>
  <c r="X11" i="31"/>
  <c r="AR10" i="31"/>
  <c r="AM10" i="31"/>
  <c r="AH10" i="31"/>
  <c r="AC10" i="31"/>
  <c r="X10" i="31"/>
  <c r="AR9" i="31"/>
  <c r="AM9" i="31"/>
  <c r="AH9" i="31"/>
  <c r="AC9" i="31"/>
  <c r="X9" i="31"/>
  <c r="AR8" i="31"/>
  <c r="AM8" i="31"/>
  <c r="AH8" i="31"/>
  <c r="AC8" i="31"/>
  <c r="X8" i="31"/>
  <c r="AS7" i="31"/>
  <c r="AR7" i="31"/>
  <c r="AN7" i="31"/>
  <c r="AM7" i="31"/>
  <c r="AI7" i="31"/>
  <c r="AH7" i="31"/>
  <c r="AD7" i="31"/>
  <c r="AC7" i="31"/>
  <c r="Y7" i="31"/>
  <c r="X7" i="31"/>
  <c r="AW176" i="8"/>
  <c r="AR176" i="8"/>
  <c r="AM176" i="8"/>
  <c r="AH176" i="8"/>
  <c r="AC176" i="8"/>
  <c r="X176" i="8"/>
  <c r="AW175" i="8"/>
  <c r="AR175" i="8"/>
  <c r="AM175" i="8"/>
  <c r="AH175" i="8"/>
  <c r="AC175" i="8"/>
  <c r="X175" i="8"/>
  <c r="AW174" i="8"/>
  <c r="AR174" i="8"/>
  <c r="AM174" i="8"/>
  <c r="AH174" i="8"/>
  <c r="AC174" i="8"/>
  <c r="X174" i="8"/>
  <c r="AW173" i="8"/>
  <c r="AR173" i="8"/>
  <c r="AM173" i="8"/>
  <c r="AH173" i="8"/>
  <c r="AC173" i="8"/>
  <c r="X173" i="8"/>
  <c r="AW172" i="8"/>
  <c r="AR172" i="8"/>
  <c r="AM172" i="8"/>
  <c r="AH172" i="8"/>
  <c r="AC172" i="8"/>
  <c r="X172" i="8"/>
  <c r="AW171" i="8"/>
  <c r="AR171" i="8"/>
  <c r="AM171" i="8"/>
  <c r="AH171" i="8"/>
  <c r="AC171" i="8"/>
  <c r="X171" i="8"/>
  <c r="AW170" i="8"/>
  <c r="AR170" i="8"/>
  <c r="AM170" i="8"/>
  <c r="AH170" i="8"/>
  <c r="AC170" i="8"/>
  <c r="X170" i="8"/>
  <c r="AW169" i="8"/>
  <c r="AR169" i="8"/>
  <c r="AM169" i="8"/>
  <c r="AH169" i="8"/>
  <c r="AC169" i="8"/>
  <c r="X169" i="8"/>
  <c r="AW168" i="8"/>
  <c r="AR168" i="8"/>
  <c r="AM168" i="8"/>
  <c r="AH168" i="8"/>
  <c r="AC168" i="8"/>
  <c r="X168" i="8"/>
  <c r="AW167" i="8"/>
  <c r="AR167" i="8"/>
  <c r="AM167" i="8"/>
  <c r="AH167" i="8"/>
  <c r="AC167" i="8"/>
  <c r="X167" i="8"/>
  <c r="AW166" i="8"/>
  <c r="AR166" i="8"/>
  <c r="AM166" i="8"/>
  <c r="AH166" i="8"/>
  <c r="AC166" i="8"/>
  <c r="X166" i="8"/>
  <c r="AW165" i="8"/>
  <c r="AR165" i="8"/>
  <c r="AM165" i="8"/>
  <c r="AH165" i="8"/>
  <c r="AC165" i="8"/>
  <c r="X165" i="8"/>
  <c r="AW164" i="8"/>
  <c r="AR164" i="8"/>
  <c r="AM164" i="8"/>
  <c r="AH164" i="8"/>
  <c r="AC164" i="8"/>
  <c r="X164" i="8"/>
  <c r="AW163" i="8"/>
  <c r="AR163" i="8"/>
  <c r="AM163" i="8"/>
  <c r="AH163" i="8"/>
  <c r="AC163" i="8"/>
  <c r="X163" i="8"/>
  <c r="AW162" i="8"/>
  <c r="AR162" i="8"/>
  <c r="AM162" i="8"/>
  <c r="AH162" i="8"/>
  <c r="AC162" i="8"/>
  <c r="X162" i="8"/>
  <c r="AW161" i="8"/>
  <c r="AR161" i="8"/>
  <c r="AM161" i="8"/>
  <c r="AH161" i="8"/>
  <c r="AC161" i="8"/>
  <c r="X161" i="8"/>
  <c r="AW160" i="8"/>
  <c r="AR160" i="8"/>
  <c r="AM160" i="8"/>
  <c r="AH160" i="8"/>
  <c r="AC160" i="8"/>
  <c r="X160" i="8"/>
  <c r="AW159" i="8"/>
  <c r="AR159" i="8"/>
  <c r="AM159" i="8"/>
  <c r="AH159" i="8"/>
  <c r="AC159" i="8"/>
  <c r="X159" i="8"/>
  <c r="AW158" i="8"/>
  <c r="AR158" i="8"/>
  <c r="AM158" i="8"/>
  <c r="AH158" i="8"/>
  <c r="AC158" i="8"/>
  <c r="X158" i="8"/>
  <c r="AW157" i="8"/>
  <c r="AR157" i="8"/>
  <c r="AM157" i="8"/>
  <c r="AH157" i="8"/>
  <c r="AC157" i="8"/>
  <c r="X157" i="8"/>
  <c r="AW156" i="8"/>
  <c r="AR156" i="8"/>
  <c r="AM156" i="8"/>
  <c r="AH156" i="8"/>
  <c r="AC156" i="8"/>
  <c r="X156" i="8"/>
  <c r="AW155" i="8"/>
  <c r="AR155" i="8"/>
  <c r="AM155" i="8"/>
  <c r="AH155" i="8"/>
  <c r="AC155" i="8"/>
  <c r="X155" i="8"/>
  <c r="AW154" i="8"/>
  <c r="AR154" i="8"/>
  <c r="AM154" i="8"/>
  <c r="AH154" i="8"/>
  <c r="AC154" i="8"/>
  <c r="X154" i="8"/>
  <c r="AW153" i="8"/>
  <c r="AR153" i="8"/>
  <c r="AM153" i="8"/>
  <c r="AH153" i="8"/>
  <c r="AC153" i="8"/>
  <c r="X153" i="8"/>
  <c r="AW152" i="8"/>
  <c r="AR152" i="8"/>
  <c r="AM152" i="8"/>
  <c r="AH152" i="8"/>
  <c r="AC152" i="8"/>
  <c r="X152" i="8"/>
  <c r="AW151" i="8"/>
  <c r="AR151" i="8"/>
  <c r="AM151" i="8"/>
  <c r="AH151" i="8"/>
  <c r="AC151" i="8"/>
  <c r="X151" i="8"/>
  <c r="AW150" i="8"/>
  <c r="AR150" i="8"/>
  <c r="AM150" i="8"/>
  <c r="AH150" i="8"/>
  <c r="AC150" i="8"/>
  <c r="X150" i="8"/>
  <c r="AW149" i="8"/>
  <c r="AR149" i="8"/>
  <c r="AM149" i="8"/>
  <c r="AH149" i="8"/>
  <c r="AC149" i="8"/>
  <c r="X149" i="8"/>
  <c r="AW148" i="8"/>
  <c r="AR148" i="8"/>
  <c r="AM148" i="8"/>
  <c r="AH148" i="8"/>
  <c r="AC148" i="8"/>
  <c r="X148" i="8"/>
  <c r="AX147" i="8"/>
  <c r="AW147" i="8"/>
  <c r="AS147" i="8"/>
  <c r="AR147" i="8"/>
  <c r="AN147" i="8"/>
  <c r="AM147" i="8"/>
  <c r="AI147" i="8"/>
  <c r="AH147" i="8"/>
  <c r="AD147" i="8"/>
  <c r="AC147" i="8"/>
  <c r="Y147" i="8"/>
  <c r="X147" i="8"/>
  <c r="AW141" i="8"/>
  <c r="AR141" i="8"/>
  <c r="AM141" i="8"/>
  <c r="AH141" i="8"/>
  <c r="AC141" i="8"/>
  <c r="X141" i="8"/>
  <c r="AW140" i="8"/>
  <c r="AR140" i="8"/>
  <c r="AM140" i="8"/>
  <c r="AH140" i="8"/>
  <c r="AC140" i="8"/>
  <c r="X140" i="8"/>
  <c r="AW139" i="8"/>
  <c r="AR139" i="8"/>
  <c r="AM139" i="8"/>
  <c r="AH139" i="8"/>
  <c r="AC139" i="8"/>
  <c r="X139" i="8"/>
  <c r="AW138" i="8"/>
  <c r="AR138" i="8"/>
  <c r="AM138" i="8"/>
  <c r="AH138" i="8"/>
  <c r="AC138" i="8"/>
  <c r="X138" i="8"/>
  <c r="AW137" i="8"/>
  <c r="AR137" i="8"/>
  <c r="AM137" i="8"/>
  <c r="AH137" i="8"/>
  <c r="AC137" i="8"/>
  <c r="X137" i="8"/>
  <c r="AW136" i="8"/>
  <c r="AR136" i="8"/>
  <c r="AM136" i="8"/>
  <c r="AH136" i="8"/>
  <c r="AC136" i="8"/>
  <c r="X136" i="8"/>
  <c r="AW135" i="8"/>
  <c r="AR135" i="8"/>
  <c r="AM135" i="8"/>
  <c r="AH135" i="8"/>
  <c r="AC135" i="8"/>
  <c r="X135" i="8"/>
  <c r="AW134" i="8"/>
  <c r="AR134" i="8"/>
  <c r="AM134" i="8"/>
  <c r="AH134" i="8"/>
  <c r="AC134" i="8"/>
  <c r="X134" i="8"/>
  <c r="AW133" i="8"/>
  <c r="AR133" i="8"/>
  <c r="AM133" i="8"/>
  <c r="AH133" i="8"/>
  <c r="AC133" i="8"/>
  <c r="X133" i="8"/>
  <c r="AW132" i="8"/>
  <c r="AR132" i="8"/>
  <c r="AM132" i="8"/>
  <c r="AH132" i="8"/>
  <c r="AC132" i="8"/>
  <c r="X132" i="8"/>
  <c r="AW131" i="8"/>
  <c r="AR131" i="8"/>
  <c r="AM131" i="8"/>
  <c r="AH131" i="8"/>
  <c r="AC131" i="8"/>
  <c r="X131" i="8"/>
  <c r="AW130" i="8"/>
  <c r="AR130" i="8"/>
  <c r="AM130" i="8"/>
  <c r="AH130" i="8"/>
  <c r="AC130" i="8"/>
  <c r="X130" i="8"/>
  <c r="AW129" i="8"/>
  <c r="AR129" i="8"/>
  <c r="AM129" i="8"/>
  <c r="AH129" i="8"/>
  <c r="AC129" i="8"/>
  <c r="X129" i="8"/>
  <c r="AW128" i="8"/>
  <c r="AR128" i="8"/>
  <c r="AM128" i="8"/>
  <c r="AH128" i="8"/>
  <c r="AC128" i="8"/>
  <c r="X128" i="8"/>
  <c r="AW127" i="8"/>
  <c r="AR127" i="8"/>
  <c r="AM127" i="8"/>
  <c r="AH127" i="8"/>
  <c r="AC127" i="8"/>
  <c r="X127" i="8"/>
  <c r="AW126" i="8"/>
  <c r="AR126" i="8"/>
  <c r="AM126" i="8"/>
  <c r="AH126" i="8"/>
  <c r="AC126" i="8"/>
  <c r="X126" i="8"/>
  <c r="AW125" i="8"/>
  <c r="AR125" i="8"/>
  <c r="AM125" i="8"/>
  <c r="AH125" i="8"/>
  <c r="AC125" i="8"/>
  <c r="X125" i="8"/>
  <c r="AW124" i="8"/>
  <c r="AR124" i="8"/>
  <c r="AM124" i="8"/>
  <c r="AH124" i="8"/>
  <c r="AC124" i="8"/>
  <c r="X124" i="8"/>
  <c r="AW123" i="8"/>
  <c r="AR123" i="8"/>
  <c r="AM123" i="8"/>
  <c r="AH123" i="8"/>
  <c r="AC123" i="8"/>
  <c r="X123" i="8"/>
  <c r="AW122" i="8"/>
  <c r="AR122" i="8"/>
  <c r="AM122" i="8"/>
  <c r="AH122" i="8"/>
  <c r="AC122" i="8"/>
  <c r="X122" i="8"/>
  <c r="AW121" i="8"/>
  <c r="AR121" i="8"/>
  <c r="AM121" i="8"/>
  <c r="AH121" i="8"/>
  <c r="AC121" i="8"/>
  <c r="X121" i="8"/>
  <c r="AW120" i="8"/>
  <c r="AR120" i="8"/>
  <c r="AM120" i="8"/>
  <c r="AH120" i="8"/>
  <c r="AC120" i="8"/>
  <c r="X120" i="8"/>
  <c r="AW119" i="8"/>
  <c r="AR119" i="8"/>
  <c r="AM119" i="8"/>
  <c r="AH119" i="8"/>
  <c r="AC119" i="8"/>
  <c r="X119" i="8"/>
  <c r="AW118" i="8"/>
  <c r="AR118" i="8"/>
  <c r="AM118" i="8"/>
  <c r="AH118" i="8"/>
  <c r="AC118" i="8"/>
  <c r="X118" i="8"/>
  <c r="AW117" i="8"/>
  <c r="AR117" i="8"/>
  <c r="AM117" i="8"/>
  <c r="AH117" i="8"/>
  <c r="AC117" i="8"/>
  <c r="X117" i="8"/>
  <c r="AW116" i="8"/>
  <c r="AR116" i="8"/>
  <c r="AM116" i="8"/>
  <c r="AH116" i="8"/>
  <c r="AC116" i="8"/>
  <c r="X116" i="8"/>
  <c r="AW115" i="8"/>
  <c r="AR115" i="8"/>
  <c r="AM115" i="8"/>
  <c r="AH115" i="8"/>
  <c r="AC115" i="8"/>
  <c r="X115" i="8"/>
  <c r="AW114" i="8"/>
  <c r="AR114" i="8"/>
  <c r="AM114" i="8"/>
  <c r="AH114" i="8"/>
  <c r="AC114" i="8"/>
  <c r="X114" i="8"/>
  <c r="AW113" i="8"/>
  <c r="AR113" i="8"/>
  <c r="AM113" i="8"/>
  <c r="AH113" i="8"/>
  <c r="AC113" i="8"/>
  <c r="X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AW106" i="8"/>
  <c r="AR106" i="8"/>
  <c r="AM106" i="8"/>
  <c r="AH106" i="8"/>
  <c r="AC106" i="8"/>
  <c r="X106" i="8"/>
  <c r="AW105" i="8"/>
  <c r="AR105" i="8"/>
  <c r="AM105" i="8"/>
  <c r="AH105" i="8"/>
  <c r="AC105" i="8"/>
  <c r="X105" i="8"/>
  <c r="AW104" i="8"/>
  <c r="AR104" i="8"/>
  <c r="AM104" i="8"/>
  <c r="AH104" i="8"/>
  <c r="AC104" i="8"/>
  <c r="X104" i="8"/>
  <c r="AW103" i="8"/>
  <c r="AR103" i="8"/>
  <c r="AM103" i="8"/>
  <c r="AH103" i="8"/>
  <c r="AC103" i="8"/>
  <c r="X103" i="8"/>
  <c r="AW102" i="8"/>
  <c r="AR102" i="8"/>
  <c r="AM102" i="8"/>
  <c r="AH102" i="8"/>
  <c r="AC102" i="8"/>
  <c r="X102" i="8"/>
  <c r="AW101" i="8"/>
  <c r="AR101" i="8"/>
  <c r="AM101" i="8"/>
  <c r="AH101" i="8"/>
  <c r="AC101" i="8"/>
  <c r="X101" i="8"/>
  <c r="AW100" i="8"/>
  <c r="AR100" i="8"/>
  <c r="AM100" i="8"/>
  <c r="AH100" i="8"/>
  <c r="AC100" i="8"/>
  <c r="X100" i="8"/>
  <c r="AW99" i="8"/>
  <c r="AR99" i="8"/>
  <c r="AM99" i="8"/>
  <c r="AH99" i="8"/>
  <c r="AC99" i="8"/>
  <c r="X99" i="8"/>
  <c r="AW98" i="8"/>
  <c r="AR98" i="8"/>
  <c r="AM98" i="8"/>
  <c r="AH98" i="8"/>
  <c r="AC98" i="8"/>
  <c r="X98" i="8"/>
  <c r="AW97" i="8"/>
  <c r="AR97" i="8"/>
  <c r="AM97" i="8"/>
  <c r="AH97" i="8"/>
  <c r="AC97" i="8"/>
  <c r="X97" i="8"/>
  <c r="AW96" i="8"/>
  <c r="AR96" i="8"/>
  <c r="AM96" i="8"/>
  <c r="AH96" i="8"/>
  <c r="AC96" i="8"/>
  <c r="X96" i="8"/>
  <c r="AW95" i="8"/>
  <c r="AR95" i="8"/>
  <c r="AM95" i="8"/>
  <c r="AH95" i="8"/>
  <c r="AC95" i="8"/>
  <c r="X95" i="8"/>
  <c r="AW94" i="8"/>
  <c r="AR94" i="8"/>
  <c r="AM94" i="8"/>
  <c r="AH94" i="8"/>
  <c r="AC94" i="8"/>
  <c r="X94" i="8"/>
  <c r="AW93" i="8"/>
  <c r="AR93" i="8"/>
  <c r="AM93" i="8"/>
  <c r="AH93" i="8"/>
  <c r="AC93" i="8"/>
  <c r="X93" i="8"/>
  <c r="AW92" i="8"/>
  <c r="AR92" i="8"/>
  <c r="AM92" i="8"/>
  <c r="AH92" i="8"/>
  <c r="AC92" i="8"/>
  <c r="X92" i="8"/>
  <c r="AW91" i="8"/>
  <c r="AR91" i="8"/>
  <c r="AM91" i="8"/>
  <c r="AH91" i="8"/>
  <c r="AC91" i="8"/>
  <c r="X91" i="8"/>
  <c r="AW90" i="8"/>
  <c r="AR90" i="8"/>
  <c r="AM90" i="8"/>
  <c r="AH90" i="8"/>
  <c r="AC90" i="8"/>
  <c r="X90" i="8"/>
  <c r="AW89" i="8"/>
  <c r="AR89" i="8"/>
  <c r="AM89" i="8"/>
  <c r="AH89" i="8"/>
  <c r="AC89" i="8"/>
  <c r="X89" i="8"/>
  <c r="AW88" i="8"/>
  <c r="AR88" i="8"/>
  <c r="AM88" i="8"/>
  <c r="AH88" i="8"/>
  <c r="AC88" i="8"/>
  <c r="X88" i="8"/>
  <c r="AW87" i="8"/>
  <c r="AR87" i="8"/>
  <c r="AM87" i="8"/>
  <c r="AH87" i="8"/>
  <c r="AC87" i="8"/>
  <c r="X87" i="8"/>
  <c r="AW86" i="8"/>
  <c r="AR86" i="8"/>
  <c r="AM86" i="8"/>
  <c r="AH86" i="8"/>
  <c r="AC86" i="8"/>
  <c r="X86" i="8"/>
  <c r="AW85" i="8"/>
  <c r="AR85" i="8"/>
  <c r="AM85" i="8"/>
  <c r="AH85" i="8"/>
  <c r="AC85" i="8"/>
  <c r="X85" i="8"/>
  <c r="AW84" i="8"/>
  <c r="AR84" i="8"/>
  <c r="AM84" i="8"/>
  <c r="AH84" i="8"/>
  <c r="AC84" i="8"/>
  <c r="X84" i="8"/>
  <c r="AW83" i="8"/>
  <c r="AR83" i="8"/>
  <c r="AM83" i="8"/>
  <c r="AH83" i="8"/>
  <c r="AC83" i="8"/>
  <c r="X83" i="8"/>
  <c r="AW82" i="8"/>
  <c r="AR82" i="8"/>
  <c r="AM82" i="8"/>
  <c r="AH82" i="8"/>
  <c r="AC82" i="8"/>
  <c r="X82" i="8"/>
  <c r="AW81" i="8"/>
  <c r="AR81" i="8"/>
  <c r="AM81" i="8"/>
  <c r="AH81" i="8"/>
  <c r="AC81" i="8"/>
  <c r="X81" i="8"/>
  <c r="AW80" i="8"/>
  <c r="AR80" i="8"/>
  <c r="AM80" i="8"/>
  <c r="AH80" i="8"/>
  <c r="AC80" i="8"/>
  <c r="X80" i="8"/>
  <c r="AW79" i="8"/>
  <c r="AR79" i="8"/>
  <c r="AM79" i="8"/>
  <c r="AH79" i="8"/>
  <c r="AC79" i="8"/>
  <c r="X79" i="8"/>
  <c r="AW78" i="8"/>
  <c r="AR78" i="8"/>
  <c r="AM78" i="8"/>
  <c r="AH78" i="8"/>
  <c r="AC78" i="8"/>
  <c r="X78" i="8"/>
  <c r="AX77" i="8"/>
  <c r="AW77" i="8"/>
  <c r="AS77" i="8"/>
  <c r="AR77" i="8"/>
  <c r="AN77" i="8"/>
  <c r="AM77" i="8"/>
  <c r="AI77" i="8"/>
  <c r="AH77" i="8"/>
  <c r="AD77" i="8"/>
  <c r="AC77" i="8"/>
  <c r="Y77" i="8"/>
  <c r="X77" i="8"/>
  <c r="AW71" i="8"/>
  <c r="AR71" i="8"/>
  <c r="AM71" i="8"/>
  <c r="AH71" i="8"/>
  <c r="AC71" i="8"/>
  <c r="X71" i="8"/>
  <c r="AW70" i="8"/>
  <c r="AR70" i="8"/>
  <c r="AM70" i="8"/>
  <c r="AH70" i="8"/>
  <c r="AC70" i="8"/>
  <c r="X70" i="8"/>
  <c r="AW69" i="8"/>
  <c r="AR69" i="8"/>
  <c r="AM69" i="8"/>
  <c r="AH69" i="8"/>
  <c r="AC69" i="8"/>
  <c r="X69" i="8"/>
  <c r="AW68" i="8"/>
  <c r="AR68" i="8"/>
  <c r="AM68" i="8"/>
  <c r="AH68" i="8"/>
  <c r="AC68" i="8"/>
  <c r="X68" i="8"/>
  <c r="AW67" i="8"/>
  <c r="AR67" i="8"/>
  <c r="AM67" i="8"/>
  <c r="AH67" i="8"/>
  <c r="AC67" i="8"/>
  <c r="X67" i="8"/>
  <c r="AW66" i="8"/>
  <c r="AR66" i="8"/>
  <c r="AM66" i="8"/>
  <c r="AH66" i="8"/>
  <c r="AC66" i="8"/>
  <c r="X66" i="8"/>
  <c r="AW65" i="8"/>
  <c r="AR65" i="8"/>
  <c r="AM65" i="8"/>
  <c r="AH65" i="8"/>
  <c r="AC65" i="8"/>
  <c r="X65" i="8"/>
  <c r="AW64" i="8"/>
  <c r="AR64" i="8"/>
  <c r="AM64" i="8"/>
  <c r="AH64" i="8"/>
  <c r="AC64" i="8"/>
  <c r="X64" i="8"/>
  <c r="AW63" i="8"/>
  <c r="AR63" i="8"/>
  <c r="AM63" i="8"/>
  <c r="AH63" i="8"/>
  <c r="AC63" i="8"/>
  <c r="X63" i="8"/>
  <c r="AW62" i="8"/>
  <c r="AR62" i="8"/>
  <c r="AM62" i="8"/>
  <c r="AH62" i="8"/>
  <c r="AC62" i="8"/>
  <c r="X62" i="8"/>
  <c r="AW61" i="8"/>
  <c r="AR61" i="8"/>
  <c r="AM61" i="8"/>
  <c r="AH61" i="8"/>
  <c r="AC61" i="8"/>
  <c r="X61" i="8"/>
  <c r="AW60" i="8"/>
  <c r="AR60" i="8"/>
  <c r="AM60" i="8"/>
  <c r="AH60" i="8"/>
  <c r="AC60" i="8"/>
  <c r="X60" i="8"/>
  <c r="AW59" i="8"/>
  <c r="AR59" i="8"/>
  <c r="AM59" i="8"/>
  <c r="AH59" i="8"/>
  <c r="AC59" i="8"/>
  <c r="X59" i="8"/>
  <c r="AW58" i="8"/>
  <c r="AR58" i="8"/>
  <c r="AM58" i="8"/>
  <c r="AH58" i="8"/>
  <c r="AC58" i="8"/>
  <c r="X58" i="8"/>
  <c r="AW57" i="8"/>
  <c r="AR57" i="8"/>
  <c r="AM57" i="8"/>
  <c r="AH57" i="8"/>
  <c r="AC57" i="8"/>
  <c r="X57" i="8"/>
  <c r="AW56" i="8"/>
  <c r="AR56" i="8"/>
  <c r="AM56" i="8"/>
  <c r="AH56" i="8"/>
  <c r="AC56" i="8"/>
  <c r="X56" i="8"/>
  <c r="AW55" i="8"/>
  <c r="AR55" i="8"/>
  <c r="AM55" i="8"/>
  <c r="AH55" i="8"/>
  <c r="AC55" i="8"/>
  <c r="X55" i="8"/>
  <c r="AW54" i="8"/>
  <c r="AR54" i="8"/>
  <c r="AM54" i="8"/>
  <c r="AH54" i="8"/>
  <c r="AC54" i="8"/>
  <c r="X54" i="8"/>
  <c r="AW53" i="8"/>
  <c r="AR53" i="8"/>
  <c r="AM53" i="8"/>
  <c r="AH53" i="8"/>
  <c r="AC53" i="8"/>
  <c r="X53" i="8"/>
  <c r="AW52" i="8"/>
  <c r="AR52" i="8"/>
  <c r="AM52" i="8"/>
  <c r="AH52" i="8"/>
  <c r="AC52" i="8"/>
  <c r="X52" i="8"/>
  <c r="AW51" i="8"/>
  <c r="AR51" i="8"/>
  <c r="AM51" i="8"/>
  <c r="AH51" i="8"/>
  <c r="AC51" i="8"/>
  <c r="X51" i="8"/>
  <c r="AW50" i="8"/>
  <c r="AR50" i="8"/>
  <c r="AM50" i="8"/>
  <c r="AH50" i="8"/>
  <c r="AC50" i="8"/>
  <c r="X50" i="8"/>
  <c r="AW49" i="8"/>
  <c r="AR49" i="8"/>
  <c r="AM49" i="8"/>
  <c r="AH49" i="8"/>
  <c r="AC49" i="8"/>
  <c r="X49" i="8"/>
  <c r="AW48" i="8"/>
  <c r="AR48" i="8"/>
  <c r="AM48" i="8"/>
  <c r="AH48" i="8"/>
  <c r="AC48" i="8"/>
  <c r="X48" i="8"/>
  <c r="AW47" i="8"/>
  <c r="AR47" i="8"/>
  <c r="AM47" i="8"/>
  <c r="AH47" i="8"/>
  <c r="AC47" i="8"/>
  <c r="X47" i="8"/>
  <c r="AW46" i="8"/>
  <c r="AR46" i="8"/>
  <c r="AM46" i="8"/>
  <c r="AH46" i="8"/>
  <c r="AC46" i="8"/>
  <c r="X46" i="8"/>
  <c r="AW45" i="8"/>
  <c r="AR45" i="8"/>
  <c r="AM45" i="8"/>
  <c r="AH45" i="8"/>
  <c r="AC45" i="8"/>
  <c r="X45" i="8"/>
  <c r="AW44" i="8"/>
  <c r="AR44" i="8"/>
  <c r="AM44" i="8"/>
  <c r="AH44" i="8"/>
  <c r="AC44" i="8"/>
  <c r="X44" i="8"/>
  <c r="AW43" i="8"/>
  <c r="AR43" i="8"/>
  <c r="AM43" i="8"/>
  <c r="AH43" i="8"/>
  <c r="AC43" i="8"/>
  <c r="X43" i="8"/>
  <c r="AX42" i="8"/>
  <c r="AW42" i="8"/>
  <c r="AS42" i="8"/>
  <c r="AR42" i="8"/>
  <c r="AN42" i="8"/>
  <c r="AM42" i="8"/>
  <c r="AI42" i="8"/>
  <c r="AH42" i="8"/>
  <c r="AD42" i="8"/>
  <c r="AC42" i="8"/>
  <c r="Y42" i="8"/>
  <c r="X42" i="8"/>
  <c r="AC43" i="6" l="1"/>
  <c r="S43" i="6"/>
  <c r="M43" i="6"/>
  <c r="F43" i="6"/>
  <c r="AK46" i="6"/>
  <c r="AI46" i="6"/>
  <c r="AG46" i="6"/>
  <c r="AE46" i="6"/>
  <c r="AA46" i="6"/>
  <c r="Y46" i="6"/>
  <c r="W46" i="6"/>
  <c r="U46" i="6"/>
  <c r="Q46" i="6"/>
  <c r="O46" i="6"/>
  <c r="K46" i="6"/>
  <c r="I46" i="6"/>
  <c r="AJ43" i="6" l="1"/>
  <c r="R43" i="6"/>
  <c r="AB43" i="6"/>
  <c r="L43" i="6"/>
  <c r="X43" i="6"/>
  <c r="AD43" i="6"/>
  <c r="AL43" i="6"/>
  <c r="Z43" i="6"/>
  <c r="AF43" i="6"/>
  <c r="N43" i="6"/>
  <c r="T43" i="6"/>
  <c r="AH43" i="6"/>
  <c r="J43" i="6"/>
  <c r="P43" i="6"/>
  <c r="V43" i="6"/>
  <c r="AK46" i="7"/>
  <c r="AI46" i="7"/>
  <c r="AG46" i="7"/>
  <c r="AE46" i="7"/>
  <c r="AA46" i="7"/>
  <c r="Y46" i="7"/>
  <c r="W46" i="7"/>
  <c r="U46" i="7"/>
  <c r="Q46" i="7"/>
  <c r="O46" i="7"/>
  <c r="K46" i="7"/>
  <c r="I46" i="7"/>
  <c r="W10" i="5"/>
  <c r="T10" i="5"/>
  <c r="Q10" i="5"/>
  <c r="N10" i="5"/>
  <c r="I5" i="5"/>
  <c r="H10" i="5"/>
  <c r="T10" i="3"/>
  <c r="N10" i="3"/>
  <c r="K10" i="3"/>
  <c r="H10" i="3"/>
  <c r="AC7" i="6"/>
  <c r="S7" i="6"/>
  <c r="M7" i="6"/>
  <c r="AC7" i="7"/>
  <c r="S7" i="7"/>
  <c r="M7" i="7"/>
  <c r="D10" i="3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F7" i="7" l="1"/>
  <c r="F7" i="6"/>
  <c r="AB7" i="6" l="1"/>
  <c r="R7" i="6"/>
  <c r="V7" i="6"/>
  <c r="AJ7" i="7"/>
  <c r="N7" i="7"/>
  <c r="V7" i="7"/>
  <c r="Z7" i="7"/>
  <c r="AB7" i="7"/>
  <c r="AD7" i="7"/>
  <c r="P7" i="7"/>
  <c r="AL7" i="7"/>
  <c r="R7" i="7"/>
  <c r="T7" i="7"/>
  <c r="L7" i="7"/>
  <c r="AF7" i="7"/>
  <c r="AH7" i="7"/>
  <c r="J7" i="7"/>
  <c r="X7" i="7"/>
  <c r="T7" i="6"/>
  <c r="X7" i="6"/>
  <c r="N7" i="6"/>
  <c r="Z7" i="6"/>
  <c r="AJ7" i="6"/>
  <c r="AD7" i="6"/>
  <c r="L7" i="6"/>
  <c r="AF7" i="6"/>
  <c r="J7" i="6"/>
  <c r="AH7" i="6"/>
  <c r="P7" i="6"/>
  <c r="AL7" i="6"/>
  <c r="J172" i="33"/>
  <c r="K172" i="33"/>
  <c r="I172" i="33" l="1"/>
  <c r="M223" i="41" l="1"/>
  <c r="K223" i="41"/>
  <c r="I223" i="41"/>
  <c r="G223" i="41"/>
  <c r="M222" i="41"/>
  <c r="K222" i="41"/>
  <c r="I222" i="41"/>
  <c r="G222" i="41"/>
  <c r="M218" i="41"/>
  <c r="K218" i="41"/>
  <c r="I218" i="41"/>
  <c r="G218" i="41"/>
  <c r="C218" i="41"/>
  <c r="M217" i="41"/>
  <c r="K217" i="41"/>
  <c r="I217" i="41"/>
  <c r="G217" i="41"/>
  <c r="C217" i="41"/>
  <c r="J71" i="36" l="1"/>
  <c r="K77" i="34"/>
  <c r="J77" i="34"/>
  <c r="I77" i="34"/>
  <c r="K136" i="33"/>
  <c r="K137" i="33"/>
  <c r="J137" i="33"/>
  <c r="I137" i="33"/>
  <c r="J136" i="33"/>
  <c r="I136" i="33"/>
  <c r="I71" i="36" l="1"/>
  <c r="K71" i="36"/>
  <c r="M210" i="41" l="1"/>
  <c r="K210" i="41"/>
  <c r="I210" i="41"/>
  <c r="G210" i="41"/>
  <c r="M209" i="41"/>
  <c r="K209" i="41"/>
  <c r="I209" i="41"/>
  <c r="G209" i="41"/>
  <c r="M205" i="41"/>
  <c r="K205" i="41"/>
  <c r="I205" i="41"/>
  <c r="G205" i="41"/>
  <c r="C205" i="41"/>
  <c r="M204" i="41"/>
  <c r="K204" i="41"/>
  <c r="I204" i="41"/>
  <c r="G204" i="41"/>
  <c r="C204" i="41"/>
  <c r="J51" i="36" l="1"/>
  <c r="K51" i="36"/>
  <c r="I51" i="36"/>
  <c r="K101" i="33" l="1"/>
  <c r="J100" i="33" l="1"/>
  <c r="K100" i="33"/>
  <c r="I101" i="33"/>
  <c r="I100" i="33"/>
  <c r="J101" i="33"/>
  <c r="B8" i="13" l="1"/>
  <c r="AI8" i="47" l="1"/>
  <c r="AH8" i="47"/>
  <c r="AG8" i="47"/>
  <c r="AF8" i="47"/>
  <c r="AE8" i="47"/>
  <c r="AD8" i="47"/>
  <c r="AC8" i="47"/>
  <c r="AB8" i="47"/>
  <c r="AI7" i="47"/>
  <c r="AH7" i="47"/>
  <c r="AG7" i="47"/>
  <c r="AF7" i="47"/>
  <c r="AE7" i="47"/>
  <c r="AD7" i="47"/>
  <c r="AC7" i="47"/>
  <c r="AB7" i="47"/>
  <c r="M197" i="41" l="1"/>
  <c r="K197" i="41"/>
  <c r="I197" i="41"/>
  <c r="G197" i="41"/>
  <c r="M196" i="41"/>
  <c r="K196" i="41"/>
  <c r="I196" i="41"/>
  <c r="G196" i="41"/>
  <c r="M192" i="41"/>
  <c r="K192" i="41"/>
  <c r="I192" i="41"/>
  <c r="G192" i="41"/>
  <c r="C192" i="41"/>
  <c r="M191" i="41"/>
  <c r="K191" i="41"/>
  <c r="I191" i="41"/>
  <c r="G191" i="41"/>
  <c r="C191" i="41"/>
  <c r="K34" i="37" l="1"/>
  <c r="J34" i="37"/>
  <c r="I34" i="37"/>
  <c r="K33" i="37"/>
  <c r="J33" i="37"/>
  <c r="I33" i="37"/>
  <c r="K31" i="36"/>
  <c r="I31" i="36"/>
  <c r="J30" i="36"/>
  <c r="J31" i="36"/>
  <c r="K30" i="36"/>
  <c r="I30" i="36"/>
  <c r="M184" i="41" l="1"/>
  <c r="K184" i="41"/>
  <c r="I184" i="41"/>
  <c r="G184" i="41"/>
  <c r="M183" i="41"/>
  <c r="K183" i="41"/>
  <c r="I183" i="41"/>
  <c r="G183" i="41"/>
  <c r="M179" i="41"/>
  <c r="K179" i="41"/>
  <c r="I179" i="41"/>
  <c r="G179" i="41"/>
  <c r="C179" i="41"/>
  <c r="M178" i="41"/>
  <c r="K178" i="41"/>
  <c r="I178" i="41"/>
  <c r="G178" i="41"/>
  <c r="C178" i="41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W7" i="31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S7" i="31"/>
  <c r="K8" i="31"/>
  <c r="J8" i="31"/>
  <c r="I8" i="31"/>
  <c r="AX7" i="31"/>
  <c r="T7" i="31"/>
  <c r="H7" i="31"/>
  <c r="AC14" i="6"/>
  <c r="S14" i="6"/>
  <c r="M14" i="6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8" i="6"/>
  <c r="S8" i="6"/>
  <c r="M8" i="6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B10" i="13"/>
  <c r="B7" i="13"/>
  <c r="B6" i="13"/>
  <c r="M8" i="31" l="1"/>
  <c r="M20" i="31"/>
  <c r="L7" i="31"/>
  <c r="M9" i="31"/>
  <c r="M13" i="31"/>
  <c r="M17" i="31"/>
  <c r="M21" i="31"/>
  <c r="M10" i="31"/>
  <c r="M14" i="31"/>
  <c r="M18" i="31"/>
  <c r="M7" i="31"/>
  <c r="M11" i="31"/>
  <c r="M15" i="31"/>
  <c r="M19" i="31"/>
  <c r="M12" i="31"/>
  <c r="M16" i="31"/>
  <c r="AZ36" i="33" l="1"/>
  <c r="F39" i="48"/>
  <c r="H39" i="48"/>
  <c r="J39" i="48"/>
  <c r="D39" i="48"/>
  <c r="L39" i="48"/>
  <c r="J40" i="48"/>
  <c r="H40" i="48"/>
  <c r="L40" i="48"/>
  <c r="D40" i="48"/>
  <c r="K93" i="37" l="1"/>
  <c r="J93" i="37"/>
  <c r="I93" i="37"/>
  <c r="J97" i="34" l="1"/>
  <c r="J95" i="34"/>
  <c r="K96" i="34"/>
  <c r="I96" i="34"/>
  <c r="K171" i="33"/>
  <c r="I171" i="33"/>
  <c r="I88" i="31"/>
  <c r="K88" i="31"/>
  <c r="J88" i="31"/>
  <c r="K95" i="34" l="1"/>
  <c r="I95" i="34"/>
  <c r="J96" i="34"/>
  <c r="K97" i="34"/>
  <c r="I97" i="34"/>
  <c r="J171" i="33"/>
  <c r="M171" i="41" l="1"/>
  <c r="K171" i="41"/>
  <c r="I171" i="41"/>
  <c r="G171" i="41"/>
  <c r="M170" i="41"/>
  <c r="K170" i="41"/>
  <c r="I170" i="41"/>
  <c r="G170" i="41"/>
  <c r="M166" i="41"/>
  <c r="K166" i="41"/>
  <c r="I166" i="41"/>
  <c r="G166" i="41"/>
  <c r="C166" i="41"/>
  <c r="M165" i="41"/>
  <c r="K165" i="41"/>
  <c r="I165" i="41"/>
  <c r="G165" i="41"/>
  <c r="C165" i="41"/>
  <c r="J73" i="37" l="1"/>
  <c r="K73" i="37"/>
  <c r="I73" i="37"/>
  <c r="K76" i="34"/>
  <c r="J76" i="34"/>
  <c r="I76" i="34"/>
  <c r="K75" i="34"/>
  <c r="J75" i="34"/>
  <c r="S69" i="34"/>
  <c r="S67" i="34"/>
  <c r="S68" i="34"/>
  <c r="S70" i="34"/>
  <c r="S71" i="34"/>
  <c r="S72" i="34"/>
  <c r="S73" i="34"/>
  <c r="S74" i="34"/>
  <c r="S75" i="34"/>
  <c r="S76" i="34"/>
  <c r="I75" i="34" l="1"/>
  <c r="M158" i="41" l="1"/>
  <c r="K158" i="41"/>
  <c r="I158" i="41"/>
  <c r="G158" i="41"/>
  <c r="M157" i="41"/>
  <c r="K157" i="41"/>
  <c r="I157" i="41"/>
  <c r="G157" i="41"/>
  <c r="M153" i="41"/>
  <c r="K153" i="41"/>
  <c r="I153" i="41"/>
  <c r="G153" i="41"/>
  <c r="C153" i="41"/>
  <c r="M152" i="41"/>
  <c r="K152" i="41"/>
  <c r="I152" i="41"/>
  <c r="G152" i="41"/>
  <c r="C152" i="41"/>
  <c r="J53" i="37" l="1"/>
  <c r="I52" i="37"/>
  <c r="K53" i="37"/>
  <c r="I53" i="37"/>
  <c r="J52" i="37"/>
  <c r="K52" i="37"/>
  <c r="J55" i="34"/>
  <c r="I54" i="34"/>
  <c r="I56" i="34"/>
  <c r="K54" i="34"/>
  <c r="J54" i="34"/>
  <c r="K56" i="34"/>
  <c r="J56" i="34"/>
  <c r="K55" i="34"/>
  <c r="I55" i="34"/>
  <c r="H128" i="37" l="1"/>
  <c r="M145" i="41" l="1"/>
  <c r="K145" i="41"/>
  <c r="I145" i="41"/>
  <c r="G145" i="41"/>
  <c r="M144" i="41"/>
  <c r="K144" i="41"/>
  <c r="I144" i="41"/>
  <c r="G144" i="41"/>
  <c r="M140" i="41"/>
  <c r="K140" i="41"/>
  <c r="I140" i="41"/>
  <c r="G140" i="41"/>
  <c r="C140" i="41"/>
  <c r="M139" i="41"/>
  <c r="K139" i="41"/>
  <c r="I139" i="41"/>
  <c r="G139" i="41"/>
  <c r="C139" i="41"/>
  <c r="M15" i="6" l="1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K37" i="34" l="1"/>
  <c r="I37" i="34"/>
  <c r="K35" i="34"/>
  <c r="I35" i="34"/>
  <c r="J34" i="34"/>
  <c r="I36" i="34"/>
  <c r="J37" i="34"/>
  <c r="J36" i="34"/>
  <c r="K34" i="34"/>
  <c r="I34" i="34" l="1"/>
  <c r="J35" i="34"/>
  <c r="K36" i="34"/>
  <c r="AA7" i="47" l="1"/>
  <c r="AI8" i="46"/>
  <c r="AH8" i="46"/>
  <c r="AG8" i="46"/>
  <c r="AF8" i="46"/>
  <c r="AE8" i="46"/>
  <c r="AD8" i="46"/>
  <c r="AC8" i="46"/>
  <c r="AB8" i="46"/>
  <c r="AI7" i="46"/>
  <c r="AH7" i="46"/>
  <c r="AG7" i="46"/>
  <c r="AF7" i="46"/>
  <c r="AE7" i="46"/>
  <c r="AD7" i="46"/>
  <c r="AC7" i="46"/>
  <c r="AB7" i="46"/>
  <c r="AA7" i="46"/>
  <c r="M132" i="41"/>
  <c r="K132" i="41"/>
  <c r="I132" i="41"/>
  <c r="G132" i="41"/>
  <c r="M131" i="41"/>
  <c r="K131" i="41"/>
  <c r="I131" i="41"/>
  <c r="G131" i="41"/>
  <c r="M127" i="41"/>
  <c r="K127" i="41"/>
  <c r="I127" i="41"/>
  <c r="G127" i="41"/>
  <c r="C127" i="41"/>
  <c r="M126" i="41"/>
  <c r="K126" i="41"/>
  <c r="I126" i="41"/>
  <c r="G126" i="41"/>
  <c r="C126" i="41"/>
  <c r="E10" i="39" l="1"/>
  <c r="E8" i="39"/>
  <c r="E7" i="39"/>
  <c r="E6" i="39"/>
  <c r="K11" i="39"/>
  <c r="K9" i="39"/>
  <c r="K8" i="39"/>
  <c r="K6" i="39"/>
  <c r="BB36" i="8"/>
  <c r="BB35" i="8"/>
  <c r="BB34" i="8"/>
  <c r="BB33" i="8"/>
  <c r="BB32" i="8"/>
  <c r="BB31" i="8"/>
  <c r="BB30" i="8"/>
  <c r="BB29" i="8"/>
  <c r="BB28" i="8"/>
  <c r="BB27" i="8"/>
  <c r="BB26" i="8"/>
  <c r="BB25" i="8"/>
  <c r="BB24" i="8"/>
  <c r="BB23" i="8"/>
  <c r="BB22" i="8"/>
  <c r="BB21" i="8"/>
  <c r="BB20" i="8"/>
  <c r="BB19" i="8"/>
  <c r="BB18" i="8"/>
  <c r="BB17" i="8"/>
  <c r="BB16" i="8"/>
  <c r="BB15" i="8"/>
  <c r="BB14" i="8"/>
  <c r="BB13" i="8"/>
  <c r="BB12" i="8"/>
  <c r="BB11" i="8"/>
  <c r="BB10" i="8"/>
  <c r="BB9" i="8"/>
  <c r="BB8" i="8"/>
  <c r="BB7" i="8"/>
  <c r="BB36" i="33"/>
  <c r="BB35" i="33"/>
  <c r="BB34" i="33"/>
  <c r="BB33" i="33"/>
  <c r="BB32" i="33"/>
  <c r="BB31" i="33"/>
  <c r="BB30" i="33"/>
  <c r="BB29" i="33"/>
  <c r="BB28" i="33"/>
  <c r="BB27" i="33"/>
  <c r="BB26" i="33"/>
  <c r="BB25" i="33"/>
  <c r="BB24" i="33"/>
  <c r="BB23" i="33"/>
  <c r="BB22" i="33"/>
  <c r="BB21" i="33"/>
  <c r="BB20" i="33"/>
  <c r="BB19" i="33"/>
  <c r="BB18" i="33"/>
  <c r="BB17" i="33"/>
  <c r="BB16" i="33"/>
  <c r="BB15" i="33"/>
  <c r="BB14" i="33"/>
  <c r="BB13" i="33"/>
  <c r="BB12" i="33"/>
  <c r="BB11" i="33"/>
  <c r="BB10" i="33"/>
  <c r="BB9" i="33"/>
  <c r="BB8" i="33"/>
  <c r="BB7" i="33"/>
  <c r="BB21" i="32"/>
  <c r="BB20" i="32"/>
  <c r="BB19" i="32"/>
  <c r="BB18" i="32"/>
  <c r="BB17" i="32"/>
  <c r="BB16" i="32"/>
  <c r="BB15" i="32"/>
  <c r="BB14" i="32"/>
  <c r="BB13" i="32"/>
  <c r="BB12" i="32"/>
  <c r="BB11" i="32"/>
  <c r="BB10" i="32"/>
  <c r="BB9" i="32"/>
  <c r="BB8" i="32"/>
  <c r="BB7" i="32"/>
  <c r="BB21" i="31"/>
  <c r="BB20" i="31"/>
  <c r="BB19" i="31"/>
  <c r="BB18" i="31"/>
  <c r="BB17" i="31"/>
  <c r="BB16" i="31"/>
  <c r="BB15" i="31"/>
  <c r="BB14" i="31"/>
  <c r="BB13" i="31"/>
  <c r="BB12" i="31"/>
  <c r="BB11" i="31"/>
  <c r="BB10" i="31"/>
  <c r="BB9" i="31"/>
  <c r="BB8" i="31"/>
  <c r="BB7" i="31"/>
  <c r="BB21" i="34"/>
  <c r="BB20" i="34"/>
  <c r="BB19" i="34"/>
  <c r="BB18" i="34"/>
  <c r="BB17" i="34"/>
  <c r="BB16" i="34"/>
  <c r="BB15" i="34"/>
  <c r="BB14" i="34"/>
  <c r="BB13" i="34"/>
  <c r="BB12" i="34"/>
  <c r="BB11" i="34"/>
  <c r="BB10" i="34"/>
  <c r="BB9" i="34"/>
  <c r="BB8" i="34"/>
  <c r="BB7" i="34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21" i="36"/>
  <c r="BB20" i="36"/>
  <c r="BB19" i="36"/>
  <c r="BB18" i="36"/>
  <c r="BB17" i="36"/>
  <c r="BB16" i="36"/>
  <c r="BB15" i="36"/>
  <c r="BB14" i="36"/>
  <c r="BB13" i="36"/>
  <c r="BB12" i="36"/>
  <c r="BB11" i="36"/>
  <c r="BB10" i="36"/>
  <c r="BB9" i="36"/>
  <c r="BB8" i="36"/>
  <c r="BB7" i="36"/>
  <c r="BB21" i="37"/>
  <c r="BB20" i="37"/>
  <c r="BB19" i="37"/>
  <c r="BB18" i="37"/>
  <c r="BB17" i="37"/>
  <c r="BB16" i="37"/>
  <c r="BB15" i="37"/>
  <c r="BB14" i="37"/>
  <c r="BB13" i="37"/>
  <c r="BB12" i="37"/>
  <c r="BB11" i="37"/>
  <c r="BB10" i="37"/>
  <c r="BB9" i="37"/>
  <c r="BB8" i="37"/>
  <c r="BB7" i="37"/>
  <c r="BB21" i="30"/>
  <c r="BB20" i="30"/>
  <c r="BB19" i="30"/>
  <c r="BB18" i="30"/>
  <c r="BB17" i="30"/>
  <c r="BB16" i="30"/>
  <c r="BB15" i="30"/>
  <c r="BB14" i="30"/>
  <c r="BB13" i="30"/>
  <c r="BB12" i="30"/>
  <c r="BB11" i="30"/>
  <c r="BB10" i="30"/>
  <c r="BB9" i="30"/>
  <c r="BB8" i="30"/>
  <c r="BB7" i="30"/>
  <c r="AZ12" i="37" l="1"/>
  <c r="AZ15" i="35"/>
  <c r="AZ7" i="36"/>
  <c r="AZ9" i="37"/>
  <c r="AZ21" i="37"/>
  <c r="AZ18" i="34"/>
  <c r="AZ11" i="37"/>
  <c r="AZ9" i="34"/>
  <c r="AZ9" i="36"/>
  <c r="Q10" i="3"/>
  <c r="W10" i="3"/>
  <c r="AT2" i="8"/>
  <c r="E9" i="39" l="1"/>
  <c r="B9" i="13"/>
  <c r="E11" i="39"/>
  <c r="B11" i="13"/>
  <c r="AZ9" i="35"/>
  <c r="AZ16" i="37"/>
  <c r="AZ7" i="34"/>
  <c r="AZ10" i="37"/>
  <c r="AZ19" i="37"/>
  <c r="AZ7" i="37"/>
  <c r="AZ11" i="34"/>
  <c r="AZ15" i="36"/>
  <c r="AZ21" i="34"/>
  <c r="AZ18" i="37"/>
  <c r="AZ15" i="37"/>
  <c r="AZ20" i="34"/>
  <c r="AZ14" i="34"/>
  <c r="AZ20" i="36"/>
  <c r="AZ8" i="36"/>
  <c r="AZ18" i="36"/>
  <c r="AZ17" i="37"/>
  <c r="AZ16" i="36"/>
  <c r="AZ12" i="36"/>
  <c r="AZ15" i="34"/>
  <c r="AZ12" i="35"/>
  <c r="AZ10" i="35"/>
  <c r="AZ18" i="35"/>
  <c r="AZ13" i="36"/>
  <c r="AZ20" i="35"/>
  <c r="AZ7" i="35"/>
  <c r="AZ17" i="34"/>
  <c r="AZ16" i="34"/>
  <c r="AZ8" i="35"/>
  <c r="AZ13" i="34"/>
  <c r="AZ16" i="35"/>
  <c r="AZ17" i="36"/>
  <c r="AZ11" i="36"/>
  <c r="AZ19" i="35"/>
  <c r="AZ12" i="34"/>
  <c r="AZ19" i="36"/>
  <c r="AZ8" i="34"/>
  <c r="AZ10" i="36"/>
  <c r="AZ21" i="36"/>
  <c r="AZ19" i="34"/>
  <c r="AZ11" i="35"/>
  <c r="AZ14" i="35"/>
  <c r="AZ13" i="37"/>
  <c r="AZ17" i="35"/>
  <c r="AZ10" i="34"/>
  <c r="AZ14" i="36"/>
  <c r="AZ21" i="35"/>
  <c r="AZ13" i="35"/>
  <c r="AZ14" i="37"/>
  <c r="AZ8" i="37"/>
  <c r="AZ20" i="37"/>
  <c r="AW121" i="34"/>
  <c r="AW120" i="34"/>
  <c r="AW117" i="34"/>
  <c r="AW116" i="34"/>
  <c r="AW115" i="34"/>
  <c r="AW114" i="34"/>
  <c r="AW113" i="34"/>
  <c r="AW112" i="34"/>
  <c r="AW111" i="34"/>
  <c r="AW110" i="34"/>
  <c r="AW109" i="34"/>
  <c r="AW108" i="34"/>
  <c r="AW107" i="34"/>
  <c r="AW119" i="34"/>
  <c r="AR121" i="34"/>
  <c r="AR118" i="34"/>
  <c r="AR117" i="34"/>
  <c r="AR116" i="34"/>
  <c r="AR115" i="34"/>
  <c r="AR114" i="34"/>
  <c r="AR113" i="34"/>
  <c r="AR112" i="34"/>
  <c r="AR111" i="34"/>
  <c r="AR110" i="34"/>
  <c r="AR109" i="34"/>
  <c r="AR108" i="34"/>
  <c r="AR120" i="34"/>
  <c r="AM118" i="34"/>
  <c r="AM116" i="34"/>
  <c r="AM115" i="34"/>
  <c r="AM114" i="34"/>
  <c r="AM113" i="34"/>
  <c r="AM112" i="34"/>
  <c r="AM111" i="34"/>
  <c r="AM110" i="34"/>
  <c r="AM109" i="34"/>
  <c r="AM108" i="34"/>
  <c r="AM121" i="34"/>
  <c r="AH116" i="34"/>
  <c r="K115" i="34"/>
  <c r="AH114" i="34"/>
  <c r="AH113" i="34"/>
  <c r="AH112" i="34"/>
  <c r="AH111" i="34"/>
  <c r="AH110" i="34"/>
  <c r="AH109" i="34"/>
  <c r="AH108" i="34"/>
  <c r="AH119" i="34"/>
  <c r="AC121" i="34"/>
  <c r="AC120" i="34"/>
  <c r="AC117" i="34"/>
  <c r="AC116" i="34"/>
  <c r="AC115" i="34"/>
  <c r="AC114" i="34"/>
  <c r="AC113" i="34"/>
  <c r="AC112" i="34"/>
  <c r="AC111" i="34"/>
  <c r="AC110" i="34"/>
  <c r="AC109" i="34"/>
  <c r="AC108" i="34"/>
  <c r="AC107" i="34"/>
  <c r="AC119" i="34"/>
  <c r="X121" i="34"/>
  <c r="X118" i="34"/>
  <c r="X117" i="34"/>
  <c r="X116" i="34"/>
  <c r="J116" i="34"/>
  <c r="X115" i="34"/>
  <c r="X114" i="34"/>
  <c r="X113" i="34"/>
  <c r="X112" i="34"/>
  <c r="X111" i="34"/>
  <c r="X110" i="34"/>
  <c r="X109" i="34"/>
  <c r="X108" i="34"/>
  <c r="X120" i="34"/>
  <c r="S121" i="34"/>
  <c r="S120" i="34"/>
  <c r="S119" i="34"/>
  <c r="S118" i="34"/>
  <c r="S117" i="34"/>
  <c r="S116" i="34"/>
  <c r="S115" i="34"/>
  <c r="S114" i="34"/>
  <c r="S113" i="34"/>
  <c r="S112" i="34"/>
  <c r="S111" i="34"/>
  <c r="S110" i="34"/>
  <c r="S109" i="34"/>
  <c r="S108" i="34"/>
  <c r="S107" i="34"/>
  <c r="K116" i="34"/>
  <c r="J115" i="34"/>
  <c r="I115" i="34"/>
  <c r="AW121" i="31"/>
  <c r="AW120" i="31"/>
  <c r="AW117" i="31"/>
  <c r="AW116" i="31"/>
  <c r="AW113" i="31"/>
  <c r="AW112" i="31"/>
  <c r="AW109" i="31"/>
  <c r="AW108" i="31"/>
  <c r="AW107" i="31"/>
  <c r="AW119" i="31"/>
  <c r="AR121" i="31"/>
  <c r="AR118" i="31"/>
  <c r="AR117" i="31"/>
  <c r="AR114" i="31"/>
  <c r="AR113" i="31"/>
  <c r="AR110" i="31"/>
  <c r="AR109" i="31"/>
  <c r="AR108" i="31"/>
  <c r="AR120" i="31"/>
  <c r="AM118" i="31"/>
  <c r="AM114" i="31"/>
  <c r="AM110" i="31"/>
  <c r="AM108" i="31"/>
  <c r="J108" i="31"/>
  <c r="AM119" i="31"/>
  <c r="K108" i="31"/>
  <c r="AH119" i="31"/>
  <c r="AC121" i="31"/>
  <c r="AC120" i="31"/>
  <c r="AC117" i="31"/>
  <c r="AC116" i="31"/>
  <c r="AC113" i="31"/>
  <c r="AC112" i="31"/>
  <c r="AC109" i="31"/>
  <c r="AC108" i="31"/>
  <c r="AC107" i="31"/>
  <c r="AC119" i="31"/>
  <c r="X121" i="31"/>
  <c r="X118" i="31"/>
  <c r="X117" i="31"/>
  <c r="X114" i="31"/>
  <c r="X113" i="31"/>
  <c r="X110" i="31"/>
  <c r="X109" i="31"/>
  <c r="X108" i="31"/>
  <c r="X120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I108" i="31"/>
  <c r="AH115" i="34" l="1"/>
  <c r="AM119" i="34"/>
  <c r="I116" i="34"/>
  <c r="X119" i="34"/>
  <c r="AC118" i="34"/>
  <c r="AH117" i="34"/>
  <c r="AH121" i="34"/>
  <c r="AM107" i="34"/>
  <c r="AM120" i="34"/>
  <c r="AR119" i="34"/>
  <c r="AW118" i="34"/>
  <c r="AH107" i="34"/>
  <c r="AH120" i="34"/>
  <c r="X107" i="34"/>
  <c r="AH118" i="34"/>
  <c r="AM117" i="34"/>
  <c r="AR107" i="34"/>
  <c r="AH111" i="31"/>
  <c r="AH108" i="31"/>
  <c r="AH116" i="31"/>
  <c r="AM111" i="31"/>
  <c r="X111" i="31"/>
  <c r="X115" i="31"/>
  <c r="X119" i="31"/>
  <c r="AC110" i="31"/>
  <c r="AC114" i="31"/>
  <c r="AC118" i="31"/>
  <c r="AH109" i="31"/>
  <c r="AH113" i="31"/>
  <c r="AH117" i="31"/>
  <c r="AH121" i="31"/>
  <c r="AM107" i="31"/>
  <c r="AM112" i="31"/>
  <c r="AM116" i="31"/>
  <c r="AM120" i="31"/>
  <c r="AR111" i="31"/>
  <c r="AR115" i="31"/>
  <c r="AR119" i="31"/>
  <c r="AW110" i="31"/>
  <c r="AW114" i="31"/>
  <c r="AW118" i="31"/>
  <c r="AH107" i="31"/>
  <c r="AH112" i="31"/>
  <c r="AH120" i="31"/>
  <c r="AM115" i="31"/>
  <c r="X107" i="31"/>
  <c r="X112" i="31"/>
  <c r="X116" i="31"/>
  <c r="AC111" i="31"/>
  <c r="AC115" i="31"/>
  <c r="AH110" i="31"/>
  <c r="AH114" i="31"/>
  <c r="AH118" i="31"/>
  <c r="AM109" i="31"/>
  <c r="AM113" i="31"/>
  <c r="AM117" i="31"/>
  <c r="AM121" i="31"/>
  <c r="AR107" i="31"/>
  <c r="AR112" i="31"/>
  <c r="AR116" i="31"/>
  <c r="AW111" i="31"/>
  <c r="AW115" i="31"/>
  <c r="AH115" i="31"/>
  <c r="I40" i="5" l="1"/>
  <c r="I39" i="5"/>
  <c r="I38" i="5"/>
  <c r="I37" i="5"/>
  <c r="I36" i="5"/>
  <c r="I35" i="5"/>
  <c r="M119" i="41" l="1"/>
  <c r="K119" i="41"/>
  <c r="I119" i="41"/>
  <c r="G119" i="41"/>
  <c r="M118" i="41"/>
  <c r="K118" i="41"/>
  <c r="I118" i="41"/>
  <c r="G118" i="41"/>
  <c r="M114" i="41"/>
  <c r="K114" i="41"/>
  <c r="I114" i="41"/>
  <c r="G114" i="41"/>
  <c r="C114" i="41"/>
  <c r="M113" i="41"/>
  <c r="K113" i="41"/>
  <c r="I113" i="41"/>
  <c r="G113" i="41"/>
  <c r="C113" i="41"/>
  <c r="K130" i="36" l="1"/>
  <c r="J130" i="36"/>
  <c r="I130" i="36"/>
  <c r="H128" i="36"/>
  <c r="H128" i="35"/>
  <c r="J137" i="35"/>
  <c r="I137" i="35"/>
  <c r="J136" i="35"/>
  <c r="I136" i="35"/>
  <c r="J131" i="35"/>
  <c r="I131" i="35"/>
  <c r="H128" i="34"/>
  <c r="K114" i="34"/>
  <c r="J114" i="34"/>
  <c r="J135" i="34" s="1"/>
  <c r="I114" i="34"/>
  <c r="I135" i="34" s="1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AX107" i="34"/>
  <c r="AS107" i="34"/>
  <c r="AN107" i="34"/>
  <c r="AI107" i="34"/>
  <c r="AD107" i="34"/>
  <c r="Y107" i="34"/>
  <c r="T107" i="34"/>
  <c r="K107" i="34"/>
  <c r="J107" i="34"/>
  <c r="I107" i="34"/>
  <c r="H107" i="34"/>
  <c r="H218" i="33"/>
  <c r="K205" i="33"/>
  <c r="M205" i="33" s="1"/>
  <c r="J205" i="33"/>
  <c r="I205" i="33"/>
  <c r="K204" i="33"/>
  <c r="M204" i="33" s="1"/>
  <c r="J204" i="33"/>
  <c r="I204" i="33"/>
  <c r="K203" i="33"/>
  <c r="M203" i="33" s="1"/>
  <c r="J203" i="33"/>
  <c r="I203" i="33"/>
  <c r="K202" i="33"/>
  <c r="M202" i="33" s="1"/>
  <c r="J202" i="33"/>
  <c r="I202" i="33"/>
  <c r="K201" i="33"/>
  <c r="M201" i="33" s="1"/>
  <c r="J201" i="33"/>
  <c r="I201" i="33"/>
  <c r="K200" i="33"/>
  <c r="J200" i="33"/>
  <c r="I200" i="33"/>
  <c r="K199" i="33"/>
  <c r="M199" i="33" s="1"/>
  <c r="J199" i="33"/>
  <c r="I199" i="33"/>
  <c r="K198" i="33"/>
  <c r="M198" i="33" s="1"/>
  <c r="J198" i="33"/>
  <c r="I198" i="33"/>
  <c r="K197" i="33"/>
  <c r="M197" i="33" s="1"/>
  <c r="J197" i="33"/>
  <c r="I197" i="33"/>
  <c r="K196" i="33"/>
  <c r="J196" i="33"/>
  <c r="I196" i="33"/>
  <c r="K195" i="33"/>
  <c r="M195" i="33" s="1"/>
  <c r="J195" i="33"/>
  <c r="I195" i="33"/>
  <c r="K194" i="33"/>
  <c r="J194" i="33"/>
  <c r="I194" i="33"/>
  <c r="K193" i="33"/>
  <c r="M193" i="33" s="1"/>
  <c r="J193" i="33"/>
  <c r="I193" i="33"/>
  <c r="K192" i="33"/>
  <c r="J192" i="33"/>
  <c r="I192" i="33"/>
  <c r="K191" i="33"/>
  <c r="M191" i="33" s="1"/>
  <c r="J191" i="33"/>
  <c r="I191" i="33"/>
  <c r="K190" i="33"/>
  <c r="M190" i="33" s="1"/>
  <c r="J190" i="33"/>
  <c r="I190" i="33"/>
  <c r="K189" i="33"/>
  <c r="M189" i="33" s="1"/>
  <c r="J189" i="33"/>
  <c r="I189" i="33"/>
  <c r="K188" i="33"/>
  <c r="M188" i="33" s="1"/>
  <c r="J188" i="33"/>
  <c r="I188" i="33"/>
  <c r="K187" i="33"/>
  <c r="M187" i="33" s="1"/>
  <c r="J187" i="33"/>
  <c r="I187" i="33"/>
  <c r="K186" i="33"/>
  <c r="J186" i="33"/>
  <c r="I186" i="33"/>
  <c r="K185" i="33"/>
  <c r="M185" i="33" s="1"/>
  <c r="J185" i="33"/>
  <c r="I185" i="33"/>
  <c r="K184" i="33"/>
  <c r="J184" i="33"/>
  <c r="I184" i="33"/>
  <c r="K183" i="33"/>
  <c r="M183" i="33" s="1"/>
  <c r="J183" i="33"/>
  <c r="I183" i="33"/>
  <c r="AX182" i="33"/>
  <c r="AS182" i="33"/>
  <c r="AN182" i="33"/>
  <c r="AI182" i="33"/>
  <c r="AD182" i="33"/>
  <c r="Y182" i="33"/>
  <c r="T182" i="33"/>
  <c r="K182" i="33"/>
  <c r="M182" i="33" s="1"/>
  <c r="J182" i="33"/>
  <c r="I182" i="33"/>
  <c r="H182" i="33"/>
  <c r="H128" i="31"/>
  <c r="M108" i="31"/>
  <c r="AX107" i="31"/>
  <c r="AS107" i="31"/>
  <c r="AN107" i="31"/>
  <c r="AI107" i="31"/>
  <c r="AD107" i="31"/>
  <c r="Y107" i="31"/>
  <c r="T107" i="31"/>
  <c r="K107" i="31"/>
  <c r="M107" i="31" s="1"/>
  <c r="J107" i="31"/>
  <c r="I107" i="31"/>
  <c r="H107" i="31"/>
  <c r="H128" i="32"/>
  <c r="J138" i="32"/>
  <c r="I138" i="32"/>
  <c r="K132" i="30"/>
  <c r="J132" i="30"/>
  <c r="I132" i="30"/>
  <c r="K240" i="8"/>
  <c r="J240" i="8"/>
  <c r="I240" i="8"/>
  <c r="J239" i="8"/>
  <c r="I239" i="8"/>
  <c r="M109" i="34" l="1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K138" i="32"/>
  <c r="K239" i="8"/>
  <c r="H128" i="30"/>
  <c r="H218" i="8"/>
  <c r="L107" i="31"/>
  <c r="M130" i="36" l="1"/>
  <c r="I34" i="5"/>
  <c r="I33" i="5"/>
  <c r="I32" i="5"/>
  <c r="I31" i="5"/>
  <c r="I30" i="5"/>
  <c r="I29" i="5"/>
  <c r="I28" i="5"/>
  <c r="J28" i="5" s="1"/>
  <c r="I135" i="33" l="1"/>
  <c r="J135" i="33"/>
  <c r="K135" i="33"/>
  <c r="L20" i="21" l="1"/>
  <c r="L19" i="21"/>
  <c r="L18" i="21"/>
  <c r="L17" i="21"/>
  <c r="L16" i="21"/>
  <c r="L13" i="21"/>
  <c r="L12" i="21"/>
  <c r="L11" i="21"/>
  <c r="L10" i="21"/>
  <c r="L9" i="21"/>
  <c r="M106" i="41"/>
  <c r="K106" i="41"/>
  <c r="I106" i="41"/>
  <c r="G106" i="41"/>
  <c r="M105" i="41"/>
  <c r="K105" i="41"/>
  <c r="I105" i="41"/>
  <c r="G105" i="41"/>
  <c r="M101" i="41"/>
  <c r="K101" i="41"/>
  <c r="I101" i="41"/>
  <c r="G101" i="41"/>
  <c r="C101" i="41"/>
  <c r="M100" i="41"/>
  <c r="K100" i="41"/>
  <c r="I100" i="41"/>
  <c r="G100" i="41"/>
  <c r="C100" i="41"/>
  <c r="M93" i="41"/>
  <c r="K93" i="41"/>
  <c r="I93" i="41"/>
  <c r="G93" i="41"/>
  <c r="M92" i="41"/>
  <c r="K92" i="41"/>
  <c r="I92" i="41"/>
  <c r="G92" i="41"/>
  <c r="M88" i="41"/>
  <c r="K88" i="41"/>
  <c r="I88" i="41"/>
  <c r="G88" i="41"/>
  <c r="C88" i="41"/>
  <c r="M87" i="41"/>
  <c r="K87" i="41"/>
  <c r="I87" i="41"/>
  <c r="G87" i="41"/>
  <c r="C87" i="41"/>
  <c r="M80" i="41"/>
  <c r="K80" i="41"/>
  <c r="I80" i="41"/>
  <c r="G80" i="41"/>
  <c r="M79" i="41"/>
  <c r="K79" i="41"/>
  <c r="I79" i="41"/>
  <c r="G79" i="41"/>
  <c r="M75" i="41"/>
  <c r="K75" i="41"/>
  <c r="I75" i="41"/>
  <c r="G75" i="41"/>
  <c r="C75" i="41"/>
  <c r="M74" i="41"/>
  <c r="K74" i="41"/>
  <c r="I74" i="41"/>
  <c r="G74" i="41"/>
  <c r="C74" i="41"/>
  <c r="M67" i="41"/>
  <c r="K67" i="41"/>
  <c r="I67" i="41"/>
  <c r="G67" i="41"/>
  <c r="M66" i="41"/>
  <c r="K66" i="41"/>
  <c r="I66" i="41"/>
  <c r="G66" i="41"/>
  <c r="M62" i="41"/>
  <c r="K62" i="41"/>
  <c r="I62" i="41"/>
  <c r="G62" i="41"/>
  <c r="C62" i="41"/>
  <c r="M61" i="41"/>
  <c r="K61" i="41"/>
  <c r="I61" i="41"/>
  <c r="G61" i="41"/>
  <c r="C61" i="41"/>
  <c r="M41" i="41"/>
  <c r="K41" i="41"/>
  <c r="I41" i="41"/>
  <c r="G41" i="41"/>
  <c r="M40" i="41"/>
  <c r="K40" i="41"/>
  <c r="I40" i="41"/>
  <c r="G40" i="41"/>
  <c r="M36" i="41"/>
  <c r="K36" i="41"/>
  <c r="I36" i="41"/>
  <c r="G36" i="41"/>
  <c r="C36" i="41"/>
  <c r="M35" i="41"/>
  <c r="K35" i="41"/>
  <c r="I35" i="41"/>
  <c r="G35" i="41"/>
  <c r="C35" i="41"/>
  <c r="M28" i="41"/>
  <c r="K28" i="41"/>
  <c r="I28" i="41"/>
  <c r="G28" i="41"/>
  <c r="M27" i="41"/>
  <c r="K27" i="41"/>
  <c r="I27" i="41"/>
  <c r="G27" i="41"/>
  <c r="M23" i="41"/>
  <c r="K23" i="41"/>
  <c r="I23" i="41"/>
  <c r="G23" i="41"/>
  <c r="C23" i="41"/>
  <c r="M22" i="41"/>
  <c r="K22" i="41"/>
  <c r="I22" i="41"/>
  <c r="G22" i="41"/>
  <c r="C22" i="41"/>
  <c r="M15" i="41"/>
  <c r="K15" i="41"/>
  <c r="I15" i="41"/>
  <c r="G15" i="41"/>
  <c r="M14" i="41"/>
  <c r="K14" i="41"/>
  <c r="I14" i="41"/>
  <c r="G14" i="41"/>
  <c r="M10" i="41"/>
  <c r="K10" i="41"/>
  <c r="I10" i="41"/>
  <c r="G10" i="41"/>
  <c r="C10" i="41"/>
  <c r="M9" i="41"/>
  <c r="K9" i="41"/>
  <c r="I9" i="41"/>
  <c r="G9" i="41"/>
  <c r="C9" i="4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S101" i="37"/>
  <c r="S100" i="37"/>
  <c r="S99" i="37"/>
  <c r="S98" i="37"/>
  <c r="S97" i="37"/>
  <c r="S96" i="37"/>
  <c r="S95" i="37"/>
  <c r="S94" i="37"/>
  <c r="S93" i="37"/>
  <c r="S92" i="37"/>
  <c r="K92" i="37"/>
  <c r="J92" i="37"/>
  <c r="I92" i="37"/>
  <c r="S91" i="37"/>
  <c r="K91" i="37"/>
  <c r="J91" i="37"/>
  <c r="I91" i="37"/>
  <c r="S90" i="37"/>
  <c r="K90" i="37"/>
  <c r="J90" i="37"/>
  <c r="I90" i="37"/>
  <c r="S89" i="37"/>
  <c r="K89" i="37"/>
  <c r="J89" i="37"/>
  <c r="I89" i="37"/>
  <c r="S88" i="37"/>
  <c r="K88" i="37"/>
  <c r="J88" i="37"/>
  <c r="I88" i="37"/>
  <c r="T87" i="37"/>
  <c r="S87" i="37"/>
  <c r="K87" i="37"/>
  <c r="J87" i="37"/>
  <c r="I87" i="37"/>
  <c r="H87" i="37"/>
  <c r="S81" i="37"/>
  <c r="S80" i="37"/>
  <c r="S79" i="37"/>
  <c r="S78" i="37"/>
  <c r="S77" i="37"/>
  <c r="S76" i="37"/>
  <c r="S75" i="37"/>
  <c r="S74" i="37"/>
  <c r="S73" i="37"/>
  <c r="S72" i="37"/>
  <c r="K72" i="37"/>
  <c r="J72" i="37"/>
  <c r="I72" i="37"/>
  <c r="S71" i="37"/>
  <c r="K71" i="37"/>
  <c r="J71" i="37"/>
  <c r="I71" i="37"/>
  <c r="S70" i="37"/>
  <c r="K70" i="37"/>
  <c r="J70" i="37"/>
  <c r="I70" i="37"/>
  <c r="S69" i="37"/>
  <c r="K69" i="37"/>
  <c r="J69" i="37"/>
  <c r="I69" i="37"/>
  <c r="S68" i="37"/>
  <c r="K68" i="37"/>
  <c r="J68" i="37"/>
  <c r="I68" i="37"/>
  <c r="T67" i="37"/>
  <c r="S67" i="37"/>
  <c r="K67" i="37"/>
  <c r="J67" i="37"/>
  <c r="I67" i="37"/>
  <c r="H67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K47" i="37"/>
  <c r="J47" i="37"/>
  <c r="I47" i="37"/>
  <c r="H47" i="37"/>
  <c r="S41" i="37"/>
  <c r="S40" i="37"/>
  <c r="S39" i="37"/>
  <c r="S38" i="37"/>
  <c r="S37" i="37"/>
  <c r="S36" i="37"/>
  <c r="S35" i="37"/>
  <c r="S34" i="37"/>
  <c r="S33" i="37"/>
  <c r="S32" i="37"/>
  <c r="K32" i="37"/>
  <c r="J32" i="37"/>
  <c r="J133" i="37" s="1"/>
  <c r="I32" i="37"/>
  <c r="I133" i="37" s="1"/>
  <c r="S31" i="37"/>
  <c r="K31" i="37"/>
  <c r="J31" i="37"/>
  <c r="J132" i="37" s="1"/>
  <c r="I31" i="37"/>
  <c r="I132" i="37" s="1"/>
  <c r="S30" i="37"/>
  <c r="K30" i="37"/>
  <c r="K131" i="37" s="1"/>
  <c r="J30" i="37"/>
  <c r="J131" i="37" s="1"/>
  <c r="I30" i="37"/>
  <c r="I131" i="37" s="1"/>
  <c r="S29" i="37"/>
  <c r="K29" i="37"/>
  <c r="K130" i="37" s="1"/>
  <c r="J29" i="37"/>
  <c r="J130" i="37" s="1"/>
  <c r="I29" i="37"/>
  <c r="I130" i="37" s="1"/>
  <c r="S28" i="37"/>
  <c r="K28" i="37"/>
  <c r="J28" i="37"/>
  <c r="J129" i="37" s="1"/>
  <c r="I28" i="37"/>
  <c r="I129" i="37" s="1"/>
  <c r="T27" i="37"/>
  <c r="S27" i="37"/>
  <c r="K27" i="37"/>
  <c r="J27" i="37"/>
  <c r="J128" i="37" s="1"/>
  <c r="I27" i="37"/>
  <c r="I128" i="37" s="1"/>
  <c r="H27" i="37"/>
  <c r="S101" i="36"/>
  <c r="S100" i="36"/>
  <c r="S99" i="36"/>
  <c r="S98" i="36"/>
  <c r="S97" i="36"/>
  <c r="S96" i="36"/>
  <c r="S95" i="36"/>
  <c r="S94" i="36"/>
  <c r="S93" i="36"/>
  <c r="S92" i="36"/>
  <c r="S91" i="36"/>
  <c r="K91" i="36"/>
  <c r="J91" i="36"/>
  <c r="I91" i="36"/>
  <c r="S90" i="36"/>
  <c r="K90" i="36"/>
  <c r="J90" i="36"/>
  <c r="I90" i="36"/>
  <c r="S89" i="36"/>
  <c r="K89" i="36"/>
  <c r="J89" i="36"/>
  <c r="I89" i="36"/>
  <c r="S88" i="36"/>
  <c r="K88" i="36"/>
  <c r="J88" i="36"/>
  <c r="I88" i="36"/>
  <c r="T87" i="36"/>
  <c r="S87" i="36"/>
  <c r="K87" i="36"/>
  <c r="J87" i="36"/>
  <c r="I87" i="36"/>
  <c r="H87" i="36"/>
  <c r="S81" i="36"/>
  <c r="S80" i="36"/>
  <c r="S79" i="36"/>
  <c r="S78" i="36"/>
  <c r="S77" i="36"/>
  <c r="S76" i="36"/>
  <c r="S75" i="36"/>
  <c r="S74" i="36"/>
  <c r="S73" i="36"/>
  <c r="S72" i="36"/>
  <c r="S71" i="36"/>
  <c r="S70" i="36"/>
  <c r="K70" i="36"/>
  <c r="J70" i="36"/>
  <c r="I70" i="36"/>
  <c r="S69" i="36"/>
  <c r="K69" i="36"/>
  <c r="J69" i="36"/>
  <c r="I69" i="36"/>
  <c r="S68" i="36"/>
  <c r="K68" i="36"/>
  <c r="J68" i="36"/>
  <c r="I68" i="36"/>
  <c r="T67" i="36"/>
  <c r="S67" i="36"/>
  <c r="K67" i="36"/>
  <c r="J67" i="36"/>
  <c r="I67" i="36"/>
  <c r="H67" i="36"/>
  <c r="K50" i="36"/>
  <c r="J50" i="36"/>
  <c r="I50" i="36"/>
  <c r="K49" i="36"/>
  <c r="J49" i="36"/>
  <c r="I49" i="36"/>
  <c r="K48" i="36"/>
  <c r="J48" i="36"/>
  <c r="I48" i="36"/>
  <c r="K47" i="36"/>
  <c r="J47" i="36"/>
  <c r="I47" i="36"/>
  <c r="H47" i="36"/>
  <c r="S41" i="36"/>
  <c r="S40" i="36"/>
  <c r="S39" i="36"/>
  <c r="S38" i="36"/>
  <c r="S37" i="36"/>
  <c r="S36" i="36"/>
  <c r="S35" i="36"/>
  <c r="S34" i="36"/>
  <c r="S33" i="36"/>
  <c r="S32" i="36"/>
  <c r="S31" i="36"/>
  <c r="S30" i="36"/>
  <c r="K132" i="36"/>
  <c r="J132" i="36"/>
  <c r="I132" i="36"/>
  <c r="S29" i="36"/>
  <c r="K29" i="36"/>
  <c r="K131" i="36" s="1"/>
  <c r="J29" i="36"/>
  <c r="J131" i="36" s="1"/>
  <c r="I29" i="36"/>
  <c r="I131" i="36" s="1"/>
  <c r="S28" i="36"/>
  <c r="K28" i="36"/>
  <c r="J28" i="36"/>
  <c r="J129" i="36" s="1"/>
  <c r="I28" i="36"/>
  <c r="I129" i="36" s="1"/>
  <c r="T27" i="36"/>
  <c r="S27" i="36"/>
  <c r="K27" i="36"/>
  <c r="J27" i="36"/>
  <c r="J128" i="36" s="1"/>
  <c r="I27" i="36"/>
  <c r="I128" i="36" s="1"/>
  <c r="H27" i="36"/>
  <c r="S101" i="35"/>
  <c r="S100" i="35"/>
  <c r="S99" i="35"/>
  <c r="S98" i="35"/>
  <c r="S97" i="35"/>
  <c r="S96" i="35"/>
  <c r="S95" i="35"/>
  <c r="S94" i="35"/>
  <c r="S93" i="35"/>
  <c r="S92" i="35"/>
  <c r="K92" i="35"/>
  <c r="J92" i="35"/>
  <c r="I92" i="35"/>
  <c r="S91" i="35"/>
  <c r="K91" i="35"/>
  <c r="J91" i="35"/>
  <c r="I91" i="35"/>
  <c r="S90" i="35"/>
  <c r="K90" i="35"/>
  <c r="J90" i="35"/>
  <c r="I90" i="35"/>
  <c r="S89" i="35"/>
  <c r="K89" i="35"/>
  <c r="J89" i="35"/>
  <c r="I89" i="35"/>
  <c r="S88" i="35"/>
  <c r="K88" i="35"/>
  <c r="J88" i="35"/>
  <c r="I88" i="35"/>
  <c r="T87" i="35"/>
  <c r="S87" i="35"/>
  <c r="K87" i="35"/>
  <c r="J87" i="35"/>
  <c r="I87" i="35"/>
  <c r="H87" i="35"/>
  <c r="S81" i="35"/>
  <c r="S80" i="35"/>
  <c r="S79" i="35"/>
  <c r="S78" i="35"/>
  <c r="S77" i="35"/>
  <c r="S76" i="35"/>
  <c r="S75" i="35"/>
  <c r="S74" i="35"/>
  <c r="S73" i="35"/>
  <c r="S72" i="35"/>
  <c r="K72" i="35"/>
  <c r="J72" i="35"/>
  <c r="I72" i="35"/>
  <c r="S71" i="35"/>
  <c r="K71" i="35"/>
  <c r="J71" i="35"/>
  <c r="I71" i="35"/>
  <c r="S70" i="35"/>
  <c r="K70" i="35"/>
  <c r="J70" i="35"/>
  <c r="I70" i="35"/>
  <c r="S69" i="35"/>
  <c r="K69" i="35"/>
  <c r="J69" i="35"/>
  <c r="I69" i="35"/>
  <c r="S68" i="35"/>
  <c r="K68" i="35"/>
  <c r="J68" i="35"/>
  <c r="I68" i="35"/>
  <c r="T67" i="35"/>
  <c r="S67" i="35"/>
  <c r="K67" i="35"/>
  <c r="J67" i="35"/>
  <c r="I67" i="35"/>
  <c r="H67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H47" i="35"/>
  <c r="S41" i="35"/>
  <c r="S40" i="35"/>
  <c r="S39" i="35"/>
  <c r="S38" i="35"/>
  <c r="S37" i="35"/>
  <c r="S36" i="35"/>
  <c r="S35" i="35"/>
  <c r="S34" i="35"/>
  <c r="S33" i="35"/>
  <c r="K135" i="35"/>
  <c r="J135" i="35"/>
  <c r="I135" i="35"/>
  <c r="S32" i="35"/>
  <c r="K32" i="35"/>
  <c r="J32" i="35"/>
  <c r="J134" i="35" s="1"/>
  <c r="I32" i="35"/>
  <c r="I134" i="35" s="1"/>
  <c r="S31" i="35"/>
  <c r="K31" i="35"/>
  <c r="J31" i="35"/>
  <c r="J133" i="35" s="1"/>
  <c r="I31" i="35"/>
  <c r="I133" i="35" s="1"/>
  <c r="S30" i="35"/>
  <c r="K30" i="35"/>
  <c r="K132" i="35" s="1"/>
  <c r="J30" i="35"/>
  <c r="J132" i="35" s="1"/>
  <c r="I30" i="35"/>
  <c r="I132" i="35" s="1"/>
  <c r="S29" i="35"/>
  <c r="K29" i="35"/>
  <c r="K130" i="35" s="1"/>
  <c r="J29" i="35"/>
  <c r="J130" i="35" s="1"/>
  <c r="I29" i="35"/>
  <c r="I130" i="35" s="1"/>
  <c r="S28" i="35"/>
  <c r="K28" i="35"/>
  <c r="J28" i="35"/>
  <c r="J129" i="35" s="1"/>
  <c r="I28" i="35"/>
  <c r="I129" i="35" s="1"/>
  <c r="T27" i="35"/>
  <c r="S27" i="35"/>
  <c r="K27" i="35"/>
  <c r="J27" i="35"/>
  <c r="J128" i="35" s="1"/>
  <c r="I27" i="35"/>
  <c r="I128" i="35" s="1"/>
  <c r="H27" i="35"/>
  <c r="S101" i="34"/>
  <c r="S100" i="34"/>
  <c r="S99" i="34"/>
  <c r="S98" i="34"/>
  <c r="S97" i="34"/>
  <c r="S96" i="34"/>
  <c r="S95" i="34"/>
  <c r="S94" i="34"/>
  <c r="K94" i="34"/>
  <c r="J94" i="34"/>
  <c r="I94" i="34"/>
  <c r="S93" i="34"/>
  <c r="K93" i="34"/>
  <c r="J93" i="34"/>
  <c r="I93" i="34"/>
  <c r="S92" i="34"/>
  <c r="K92" i="34"/>
  <c r="J92" i="34"/>
  <c r="I92" i="34"/>
  <c r="S91" i="34"/>
  <c r="K91" i="34"/>
  <c r="J91" i="34"/>
  <c r="I91" i="34"/>
  <c r="S90" i="34"/>
  <c r="K90" i="34"/>
  <c r="J90" i="34"/>
  <c r="I90" i="34"/>
  <c r="S89" i="34"/>
  <c r="K89" i="34"/>
  <c r="J89" i="34"/>
  <c r="I89" i="34"/>
  <c r="S88" i="34"/>
  <c r="K88" i="34"/>
  <c r="J88" i="34"/>
  <c r="I88" i="34"/>
  <c r="T87" i="34"/>
  <c r="S87" i="34"/>
  <c r="K87" i="34"/>
  <c r="J87" i="34"/>
  <c r="I87" i="34"/>
  <c r="H87" i="34"/>
  <c r="S81" i="34"/>
  <c r="S80" i="34"/>
  <c r="S79" i="34"/>
  <c r="S78" i="34"/>
  <c r="S77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T67" i="34"/>
  <c r="K67" i="34"/>
  <c r="J67" i="34"/>
  <c r="I67" i="34"/>
  <c r="H67" i="34"/>
  <c r="K53" i="34"/>
  <c r="J53" i="34"/>
  <c r="I53" i="34"/>
  <c r="K52" i="34"/>
  <c r="J52" i="34"/>
  <c r="I52" i="34"/>
  <c r="K51" i="34"/>
  <c r="J51" i="34"/>
  <c r="I51" i="34"/>
  <c r="K50" i="34"/>
  <c r="J50" i="34"/>
  <c r="I50" i="34"/>
  <c r="K49" i="34"/>
  <c r="J49" i="34"/>
  <c r="I49" i="34"/>
  <c r="K48" i="34"/>
  <c r="J48" i="34"/>
  <c r="I48" i="34"/>
  <c r="K47" i="34"/>
  <c r="J47" i="34"/>
  <c r="I47" i="34"/>
  <c r="H47" i="34"/>
  <c r="S41" i="34"/>
  <c r="S40" i="34"/>
  <c r="S39" i="34"/>
  <c r="S38" i="34"/>
  <c r="S37" i="34"/>
  <c r="S36" i="34"/>
  <c r="S35" i="34"/>
  <c r="S34" i="34"/>
  <c r="S33" i="34"/>
  <c r="K33" i="34"/>
  <c r="J33" i="34"/>
  <c r="J134" i="34" s="1"/>
  <c r="I33" i="34"/>
  <c r="I134" i="34" s="1"/>
  <c r="S32" i="34"/>
  <c r="K32" i="34"/>
  <c r="K133" i="34" s="1"/>
  <c r="J32" i="34"/>
  <c r="J133" i="34" s="1"/>
  <c r="I32" i="34"/>
  <c r="I133" i="34" s="1"/>
  <c r="S31" i="34"/>
  <c r="K31" i="34"/>
  <c r="J31" i="34"/>
  <c r="J132" i="34" s="1"/>
  <c r="I31" i="34"/>
  <c r="I132" i="34" s="1"/>
  <c r="S30" i="34"/>
  <c r="K30" i="34"/>
  <c r="K131" i="34" s="1"/>
  <c r="J30" i="34"/>
  <c r="J131" i="34" s="1"/>
  <c r="I30" i="34"/>
  <c r="I131" i="34" s="1"/>
  <c r="S29" i="34"/>
  <c r="K29" i="34"/>
  <c r="J29" i="34"/>
  <c r="J130" i="34" s="1"/>
  <c r="I29" i="34"/>
  <c r="I130" i="34" s="1"/>
  <c r="S28" i="34"/>
  <c r="K28" i="34"/>
  <c r="K129" i="34" s="1"/>
  <c r="J28" i="34"/>
  <c r="J129" i="34" s="1"/>
  <c r="I28" i="34"/>
  <c r="I129" i="34" s="1"/>
  <c r="T27" i="34"/>
  <c r="S27" i="34"/>
  <c r="K27" i="34"/>
  <c r="J27" i="34"/>
  <c r="J128" i="34" s="1"/>
  <c r="I27" i="34"/>
  <c r="I128" i="34" s="1"/>
  <c r="H27" i="34"/>
  <c r="AW176" i="33"/>
  <c r="AR176" i="33"/>
  <c r="AM176" i="33"/>
  <c r="AH176" i="33"/>
  <c r="AC176" i="33"/>
  <c r="X176" i="33"/>
  <c r="S176" i="33"/>
  <c r="AW175" i="33"/>
  <c r="AR175" i="33"/>
  <c r="AM175" i="33"/>
  <c r="AH175" i="33"/>
  <c r="AC175" i="33"/>
  <c r="X175" i="33"/>
  <c r="S175" i="33"/>
  <c r="AW174" i="33"/>
  <c r="AR174" i="33"/>
  <c r="AM174" i="33"/>
  <c r="AH174" i="33"/>
  <c r="AC174" i="33"/>
  <c r="X174" i="33"/>
  <c r="S174" i="33"/>
  <c r="AW173" i="33"/>
  <c r="AR173" i="33"/>
  <c r="AM173" i="33"/>
  <c r="AH173" i="33"/>
  <c r="AC173" i="33"/>
  <c r="X173" i="33"/>
  <c r="S173" i="33"/>
  <c r="AW172" i="33"/>
  <c r="AR172" i="33"/>
  <c r="AM172" i="33"/>
  <c r="AH172" i="33"/>
  <c r="AC172" i="33"/>
  <c r="X172" i="33"/>
  <c r="S172" i="33"/>
  <c r="AW171" i="33"/>
  <c r="AR171" i="33"/>
  <c r="AM171" i="33"/>
  <c r="AH171" i="33"/>
  <c r="AC171" i="33"/>
  <c r="X171" i="33"/>
  <c r="S171" i="33"/>
  <c r="AW170" i="33"/>
  <c r="AR170" i="33"/>
  <c r="AM170" i="33"/>
  <c r="AH170" i="33"/>
  <c r="AC170" i="33"/>
  <c r="X170" i="33"/>
  <c r="S170" i="33"/>
  <c r="K170" i="33"/>
  <c r="J170" i="33"/>
  <c r="I170" i="33"/>
  <c r="AW169" i="33"/>
  <c r="AR169" i="33"/>
  <c r="AM169" i="33"/>
  <c r="AH169" i="33"/>
  <c r="AC169" i="33"/>
  <c r="X169" i="33"/>
  <c r="S169" i="33"/>
  <c r="K169" i="33"/>
  <c r="J169" i="33"/>
  <c r="I169" i="33"/>
  <c r="AW168" i="33"/>
  <c r="AR168" i="33"/>
  <c r="AM168" i="33"/>
  <c r="AH168" i="33"/>
  <c r="AC168" i="33"/>
  <c r="X168" i="33"/>
  <c r="S168" i="33"/>
  <c r="K168" i="33"/>
  <c r="J168" i="33"/>
  <c r="I168" i="33"/>
  <c r="AW167" i="33"/>
  <c r="AR167" i="33"/>
  <c r="AM167" i="33"/>
  <c r="AH167" i="33"/>
  <c r="AC167" i="33"/>
  <c r="X167" i="33"/>
  <c r="S167" i="33"/>
  <c r="K167" i="33"/>
  <c r="J167" i="33"/>
  <c r="I167" i="33"/>
  <c r="AW166" i="33"/>
  <c r="AR166" i="33"/>
  <c r="AM166" i="33"/>
  <c r="AH166" i="33"/>
  <c r="AC166" i="33"/>
  <c r="X166" i="33"/>
  <c r="S166" i="33"/>
  <c r="K166" i="33"/>
  <c r="J166" i="33"/>
  <c r="I166" i="33"/>
  <c r="AW165" i="33"/>
  <c r="AR165" i="33"/>
  <c r="AM165" i="33"/>
  <c r="AH165" i="33"/>
  <c r="AC165" i="33"/>
  <c r="X165" i="33"/>
  <c r="S165" i="33"/>
  <c r="K165" i="33"/>
  <c r="J165" i="33"/>
  <c r="I165" i="33"/>
  <c r="AW164" i="33"/>
  <c r="AR164" i="33"/>
  <c r="AM164" i="33"/>
  <c r="AH164" i="33"/>
  <c r="AC164" i="33"/>
  <c r="X164" i="33"/>
  <c r="S164" i="33"/>
  <c r="K164" i="33"/>
  <c r="J164" i="33"/>
  <c r="I164" i="33"/>
  <c r="AW163" i="33"/>
  <c r="AR163" i="33"/>
  <c r="AM163" i="33"/>
  <c r="AH163" i="33"/>
  <c r="AC163" i="33"/>
  <c r="X163" i="33"/>
  <c r="S163" i="33"/>
  <c r="K163" i="33"/>
  <c r="J163" i="33"/>
  <c r="I163" i="33"/>
  <c r="AW162" i="33"/>
  <c r="AR162" i="33"/>
  <c r="AM162" i="33"/>
  <c r="AH162" i="33"/>
  <c r="AC162" i="33"/>
  <c r="X162" i="33"/>
  <c r="S162" i="33"/>
  <c r="K162" i="33"/>
  <c r="J162" i="33"/>
  <c r="I162" i="33"/>
  <c r="AW161" i="33"/>
  <c r="AR161" i="33"/>
  <c r="AM161" i="33"/>
  <c r="AH161" i="33"/>
  <c r="AC161" i="33"/>
  <c r="X161" i="33"/>
  <c r="S161" i="33"/>
  <c r="K161" i="33"/>
  <c r="J161" i="33"/>
  <c r="I161" i="33"/>
  <c r="AW160" i="33"/>
  <c r="AR160" i="33"/>
  <c r="AM160" i="33"/>
  <c r="AH160" i="33"/>
  <c r="AC160" i="33"/>
  <c r="X160" i="33"/>
  <c r="S160" i="33"/>
  <c r="K160" i="33"/>
  <c r="J160" i="33"/>
  <c r="I160" i="33"/>
  <c r="AW159" i="33"/>
  <c r="AR159" i="33"/>
  <c r="AM159" i="33"/>
  <c r="AH159" i="33"/>
  <c r="AC159" i="33"/>
  <c r="X159" i="33"/>
  <c r="S159" i="33"/>
  <c r="K159" i="33"/>
  <c r="J159" i="33"/>
  <c r="I159" i="33"/>
  <c r="AW158" i="33"/>
  <c r="AR158" i="33"/>
  <c r="AM158" i="33"/>
  <c r="AH158" i="33"/>
  <c r="AC158" i="33"/>
  <c r="X158" i="33"/>
  <c r="S158" i="33"/>
  <c r="K158" i="33"/>
  <c r="J158" i="33"/>
  <c r="I158" i="33"/>
  <c r="AW157" i="33"/>
  <c r="AR157" i="33"/>
  <c r="AM157" i="33"/>
  <c r="AH157" i="33"/>
  <c r="AC157" i="33"/>
  <c r="X157" i="33"/>
  <c r="S157" i="33"/>
  <c r="K157" i="33"/>
  <c r="J157" i="33"/>
  <c r="I157" i="33"/>
  <c r="AW156" i="33"/>
  <c r="AR156" i="33"/>
  <c r="AM156" i="33"/>
  <c r="AH156" i="33"/>
  <c r="AC156" i="33"/>
  <c r="X156" i="33"/>
  <c r="S156" i="33"/>
  <c r="K156" i="33"/>
  <c r="J156" i="33"/>
  <c r="I156" i="33"/>
  <c r="AW155" i="33"/>
  <c r="AR155" i="33"/>
  <c r="AM155" i="33"/>
  <c r="AH155" i="33"/>
  <c r="AC155" i="33"/>
  <c r="X155" i="33"/>
  <c r="S155" i="33"/>
  <c r="K155" i="33"/>
  <c r="J155" i="33"/>
  <c r="I155" i="33"/>
  <c r="AW154" i="33"/>
  <c r="AR154" i="33"/>
  <c r="AM154" i="33"/>
  <c r="AH154" i="33"/>
  <c r="AC154" i="33"/>
  <c r="X154" i="33"/>
  <c r="S154" i="33"/>
  <c r="K154" i="33"/>
  <c r="J154" i="33"/>
  <c r="I154" i="33"/>
  <c r="AW153" i="33"/>
  <c r="AR153" i="33"/>
  <c r="AM153" i="33"/>
  <c r="AH153" i="33"/>
  <c r="AC153" i="33"/>
  <c r="X153" i="33"/>
  <c r="S153" i="33"/>
  <c r="K153" i="33"/>
  <c r="J153" i="33"/>
  <c r="I153" i="33"/>
  <c r="AW152" i="33"/>
  <c r="AR152" i="33"/>
  <c r="AM152" i="33"/>
  <c r="AH152" i="33"/>
  <c r="AC152" i="33"/>
  <c r="X152" i="33"/>
  <c r="S152" i="33"/>
  <c r="K152" i="33"/>
  <c r="J152" i="33"/>
  <c r="I152" i="33"/>
  <c r="AW151" i="33"/>
  <c r="AR151" i="33"/>
  <c r="AM151" i="33"/>
  <c r="AH151" i="33"/>
  <c r="AC151" i="33"/>
  <c r="X151" i="33"/>
  <c r="S151" i="33"/>
  <c r="K151" i="33"/>
  <c r="J151" i="33"/>
  <c r="I151" i="33"/>
  <c r="AW150" i="33"/>
  <c r="AR150" i="33"/>
  <c r="AM150" i="33"/>
  <c r="AH150" i="33"/>
  <c r="AC150" i="33"/>
  <c r="X150" i="33"/>
  <c r="S150" i="33"/>
  <c r="K150" i="33"/>
  <c r="J150" i="33"/>
  <c r="I150" i="33"/>
  <c r="AW149" i="33"/>
  <c r="AR149" i="33"/>
  <c r="AM149" i="33"/>
  <c r="AH149" i="33"/>
  <c r="AC149" i="33"/>
  <c r="X149" i="33"/>
  <c r="S149" i="33"/>
  <c r="K149" i="33"/>
  <c r="J149" i="33"/>
  <c r="I149" i="33"/>
  <c r="AW148" i="33"/>
  <c r="AR148" i="33"/>
  <c r="AM148" i="33"/>
  <c r="AH148" i="33"/>
  <c r="AC148" i="33"/>
  <c r="X148" i="33"/>
  <c r="S148" i="33"/>
  <c r="K148" i="33"/>
  <c r="J148" i="33"/>
  <c r="I148" i="33"/>
  <c r="AX147" i="33"/>
  <c r="AW147" i="33"/>
  <c r="AS147" i="33"/>
  <c r="AR147" i="33"/>
  <c r="AN147" i="33"/>
  <c r="AM147" i="33"/>
  <c r="AI147" i="33"/>
  <c r="AH147" i="33"/>
  <c r="AD147" i="33"/>
  <c r="AC147" i="33"/>
  <c r="Y147" i="33"/>
  <c r="X147" i="33"/>
  <c r="T147" i="33"/>
  <c r="S147" i="33"/>
  <c r="K147" i="33"/>
  <c r="J147" i="33"/>
  <c r="I147" i="33"/>
  <c r="H147" i="33"/>
  <c r="AW141" i="33"/>
  <c r="AR141" i="33"/>
  <c r="AM141" i="33"/>
  <c r="AH141" i="33"/>
  <c r="AC141" i="33"/>
  <c r="X141" i="33"/>
  <c r="S141" i="33"/>
  <c r="AW140" i="33"/>
  <c r="AR140" i="33"/>
  <c r="AM140" i="33"/>
  <c r="AH140" i="33"/>
  <c r="AC140" i="33"/>
  <c r="X140" i="33"/>
  <c r="S140" i="33"/>
  <c r="AW139" i="33"/>
  <c r="AR139" i="33"/>
  <c r="AM139" i="33"/>
  <c r="AH139" i="33"/>
  <c r="AC139" i="33"/>
  <c r="X139" i="33"/>
  <c r="S139" i="33"/>
  <c r="AW138" i="33"/>
  <c r="AR138" i="33"/>
  <c r="AM138" i="33"/>
  <c r="AH138" i="33"/>
  <c r="AC138" i="33"/>
  <c r="X138" i="33"/>
  <c r="S138" i="33"/>
  <c r="AW137" i="33"/>
  <c r="AR137" i="33"/>
  <c r="AM137" i="33"/>
  <c r="AH137" i="33"/>
  <c r="AC137" i="33"/>
  <c r="X137" i="33"/>
  <c r="S137" i="33"/>
  <c r="AW136" i="33"/>
  <c r="AR136" i="33"/>
  <c r="AM136" i="33"/>
  <c r="AH136" i="33"/>
  <c r="AC136" i="33"/>
  <c r="X136" i="33"/>
  <c r="S136" i="33"/>
  <c r="AW135" i="33"/>
  <c r="AR135" i="33"/>
  <c r="AM135" i="33"/>
  <c r="AH135" i="33"/>
  <c r="AC135" i="33"/>
  <c r="X135" i="33"/>
  <c r="S135" i="33"/>
  <c r="AW134" i="33"/>
  <c r="AR134" i="33"/>
  <c r="AM134" i="33"/>
  <c r="AH134" i="33"/>
  <c r="AC134" i="33"/>
  <c r="X134" i="33"/>
  <c r="S134" i="33"/>
  <c r="K134" i="33"/>
  <c r="J134" i="33"/>
  <c r="I134" i="33"/>
  <c r="AW133" i="33"/>
  <c r="AR133" i="33"/>
  <c r="AM133" i="33"/>
  <c r="AH133" i="33"/>
  <c r="AC133" i="33"/>
  <c r="X133" i="33"/>
  <c r="S133" i="33"/>
  <c r="K133" i="33"/>
  <c r="J133" i="33"/>
  <c r="I133" i="33"/>
  <c r="AW132" i="33"/>
  <c r="AR132" i="33"/>
  <c r="AM132" i="33"/>
  <c r="AH132" i="33"/>
  <c r="AC132" i="33"/>
  <c r="X132" i="33"/>
  <c r="S132" i="33"/>
  <c r="K132" i="33"/>
  <c r="J132" i="33"/>
  <c r="I132" i="33"/>
  <c r="AW131" i="33"/>
  <c r="AR131" i="33"/>
  <c r="AM131" i="33"/>
  <c r="AH131" i="33"/>
  <c r="AC131" i="33"/>
  <c r="X131" i="33"/>
  <c r="S131" i="33"/>
  <c r="K131" i="33"/>
  <c r="J131" i="33"/>
  <c r="I131" i="33"/>
  <c r="AW130" i="33"/>
  <c r="AR130" i="33"/>
  <c r="AM130" i="33"/>
  <c r="AH130" i="33"/>
  <c r="AC130" i="33"/>
  <c r="X130" i="33"/>
  <c r="S130" i="33"/>
  <c r="K130" i="33"/>
  <c r="J130" i="33"/>
  <c r="I130" i="33"/>
  <c r="AW129" i="33"/>
  <c r="AR129" i="33"/>
  <c r="AM129" i="33"/>
  <c r="AH129" i="33"/>
  <c r="AC129" i="33"/>
  <c r="X129" i="33"/>
  <c r="S129" i="33"/>
  <c r="K129" i="33"/>
  <c r="J129" i="33"/>
  <c r="I129" i="33"/>
  <c r="AW128" i="33"/>
  <c r="AR128" i="33"/>
  <c r="AM128" i="33"/>
  <c r="AH128" i="33"/>
  <c r="AC128" i="33"/>
  <c r="X128" i="33"/>
  <c r="S128" i="33"/>
  <c r="K128" i="33"/>
  <c r="J128" i="33"/>
  <c r="I128" i="33"/>
  <c r="AW127" i="33"/>
  <c r="AR127" i="33"/>
  <c r="AM127" i="33"/>
  <c r="AH127" i="33"/>
  <c r="AC127" i="33"/>
  <c r="X127" i="33"/>
  <c r="S127" i="33"/>
  <c r="K127" i="33"/>
  <c r="J127" i="33"/>
  <c r="I127" i="33"/>
  <c r="AW126" i="33"/>
  <c r="AR126" i="33"/>
  <c r="AM126" i="33"/>
  <c r="AH126" i="33"/>
  <c r="AC126" i="33"/>
  <c r="X126" i="33"/>
  <c r="S126" i="33"/>
  <c r="K126" i="33"/>
  <c r="J126" i="33"/>
  <c r="I126" i="33"/>
  <c r="AW125" i="33"/>
  <c r="AR125" i="33"/>
  <c r="AM125" i="33"/>
  <c r="AH125" i="33"/>
  <c r="AC125" i="33"/>
  <c r="X125" i="33"/>
  <c r="S125" i="33"/>
  <c r="K125" i="33"/>
  <c r="J125" i="33"/>
  <c r="I125" i="33"/>
  <c r="AW124" i="33"/>
  <c r="AR124" i="33"/>
  <c r="AM124" i="33"/>
  <c r="AH124" i="33"/>
  <c r="AC124" i="33"/>
  <c r="X124" i="33"/>
  <c r="S124" i="33"/>
  <c r="K124" i="33"/>
  <c r="J124" i="33"/>
  <c r="I124" i="33"/>
  <c r="AW123" i="33"/>
  <c r="AR123" i="33"/>
  <c r="AM123" i="33"/>
  <c r="AH123" i="33"/>
  <c r="AC123" i="33"/>
  <c r="X123" i="33"/>
  <c r="S123" i="33"/>
  <c r="K123" i="33"/>
  <c r="J123" i="33"/>
  <c r="I123" i="33"/>
  <c r="AW122" i="33"/>
  <c r="AR122" i="33"/>
  <c r="AM122" i="33"/>
  <c r="AH122" i="33"/>
  <c r="AC122" i="33"/>
  <c r="X122" i="33"/>
  <c r="S122" i="33"/>
  <c r="K122" i="33"/>
  <c r="J122" i="33"/>
  <c r="I122" i="33"/>
  <c r="AW121" i="33"/>
  <c r="AR121" i="33"/>
  <c r="AM121" i="33"/>
  <c r="AH121" i="33"/>
  <c r="AC121" i="33"/>
  <c r="X121" i="33"/>
  <c r="S121" i="33"/>
  <c r="K121" i="33"/>
  <c r="J121" i="33"/>
  <c r="I121" i="33"/>
  <c r="AW120" i="33"/>
  <c r="AR120" i="33"/>
  <c r="AM120" i="33"/>
  <c r="AH120" i="33"/>
  <c r="AC120" i="33"/>
  <c r="X120" i="33"/>
  <c r="S120" i="33"/>
  <c r="K120" i="33"/>
  <c r="J120" i="33"/>
  <c r="I120" i="33"/>
  <c r="AW119" i="33"/>
  <c r="AR119" i="33"/>
  <c r="AM119" i="33"/>
  <c r="AH119" i="33"/>
  <c r="AC119" i="33"/>
  <c r="X119" i="33"/>
  <c r="S119" i="33"/>
  <c r="K119" i="33"/>
  <c r="J119" i="33"/>
  <c r="I119" i="33"/>
  <c r="AW118" i="33"/>
  <c r="AR118" i="33"/>
  <c r="AM118" i="33"/>
  <c r="AH118" i="33"/>
  <c r="AC118" i="33"/>
  <c r="X118" i="33"/>
  <c r="S118" i="33"/>
  <c r="K118" i="33"/>
  <c r="J118" i="33"/>
  <c r="I118" i="33"/>
  <c r="AW117" i="33"/>
  <c r="AR117" i="33"/>
  <c r="AM117" i="33"/>
  <c r="AH117" i="33"/>
  <c r="AC117" i="33"/>
  <c r="X117" i="33"/>
  <c r="S117" i="33"/>
  <c r="K117" i="33"/>
  <c r="J117" i="33"/>
  <c r="I117" i="33"/>
  <c r="AW116" i="33"/>
  <c r="AR116" i="33"/>
  <c r="AM116" i="33"/>
  <c r="AH116" i="33"/>
  <c r="AC116" i="33"/>
  <c r="X116" i="33"/>
  <c r="S116" i="33"/>
  <c r="K116" i="33"/>
  <c r="J116" i="33"/>
  <c r="I116" i="33"/>
  <c r="AW115" i="33"/>
  <c r="AR115" i="33"/>
  <c r="AM115" i="33"/>
  <c r="AH115" i="33"/>
  <c r="AC115" i="33"/>
  <c r="X115" i="33"/>
  <c r="S115" i="33"/>
  <c r="K115" i="33"/>
  <c r="J115" i="33"/>
  <c r="I115" i="33"/>
  <c r="AW114" i="33"/>
  <c r="AR114" i="33"/>
  <c r="AM114" i="33"/>
  <c r="AH114" i="33"/>
  <c r="AC114" i="33"/>
  <c r="X114" i="33"/>
  <c r="S114" i="33"/>
  <c r="K114" i="33"/>
  <c r="J114" i="33"/>
  <c r="I114" i="33"/>
  <c r="AW113" i="33"/>
  <c r="AR113" i="33"/>
  <c r="AM113" i="33"/>
  <c r="AH113" i="33"/>
  <c r="AC113" i="33"/>
  <c r="X113" i="33"/>
  <c r="S113" i="33"/>
  <c r="K113" i="33"/>
  <c r="J113" i="33"/>
  <c r="I113" i="33"/>
  <c r="AX112" i="33"/>
  <c r="AW112" i="33"/>
  <c r="AS112" i="33"/>
  <c r="AR112" i="33"/>
  <c r="AN112" i="33"/>
  <c r="AM112" i="33"/>
  <c r="AI112" i="33"/>
  <c r="AH112" i="33"/>
  <c r="AD112" i="33"/>
  <c r="AC112" i="33"/>
  <c r="Y112" i="33"/>
  <c r="X112" i="33"/>
  <c r="T112" i="33"/>
  <c r="S112" i="33"/>
  <c r="K112" i="33"/>
  <c r="J112" i="33"/>
  <c r="I112" i="33"/>
  <c r="H112" i="33"/>
  <c r="AW106" i="33"/>
  <c r="AR106" i="33"/>
  <c r="AM106" i="33"/>
  <c r="AH106" i="33"/>
  <c r="AC106" i="33"/>
  <c r="X106" i="33"/>
  <c r="S106" i="33"/>
  <c r="AW105" i="33"/>
  <c r="AR105" i="33"/>
  <c r="AM105" i="33"/>
  <c r="AH105" i="33"/>
  <c r="AC105" i="33"/>
  <c r="X105" i="33"/>
  <c r="S105" i="33"/>
  <c r="AW104" i="33"/>
  <c r="AR104" i="33"/>
  <c r="AM104" i="33"/>
  <c r="AH104" i="33"/>
  <c r="AC104" i="33"/>
  <c r="X104" i="33"/>
  <c r="S104" i="33"/>
  <c r="AW103" i="33"/>
  <c r="AR103" i="33"/>
  <c r="AM103" i="33"/>
  <c r="AH103" i="33"/>
  <c r="AC103" i="33"/>
  <c r="X103" i="33"/>
  <c r="S103" i="33"/>
  <c r="AW102" i="33"/>
  <c r="AR102" i="33"/>
  <c r="AM102" i="33"/>
  <c r="AH102" i="33"/>
  <c r="AC102" i="33"/>
  <c r="X102" i="33"/>
  <c r="S102" i="33"/>
  <c r="AW101" i="33"/>
  <c r="AR101" i="33"/>
  <c r="AM101" i="33"/>
  <c r="AH101" i="33"/>
  <c r="AC101" i="33"/>
  <c r="X101" i="33"/>
  <c r="S101" i="33"/>
  <c r="AW100" i="33"/>
  <c r="AR100" i="33"/>
  <c r="AM100" i="33"/>
  <c r="AH100" i="33"/>
  <c r="AC100" i="33"/>
  <c r="X100" i="33"/>
  <c r="S100" i="33"/>
  <c r="AW99" i="33"/>
  <c r="AR99" i="33"/>
  <c r="AM99" i="33"/>
  <c r="AH99" i="33"/>
  <c r="AC99" i="33"/>
  <c r="X99" i="33"/>
  <c r="S99" i="33"/>
  <c r="K99" i="33"/>
  <c r="J99" i="33"/>
  <c r="I99" i="33"/>
  <c r="AW98" i="33"/>
  <c r="AR98" i="33"/>
  <c r="AM98" i="33"/>
  <c r="AH98" i="33"/>
  <c r="AC98" i="33"/>
  <c r="X98" i="33"/>
  <c r="S98" i="33"/>
  <c r="K98" i="33"/>
  <c r="J98" i="33"/>
  <c r="I98" i="33"/>
  <c r="AW97" i="33"/>
  <c r="AR97" i="33"/>
  <c r="AM97" i="33"/>
  <c r="AH97" i="33"/>
  <c r="AC97" i="33"/>
  <c r="X97" i="33"/>
  <c r="S97" i="33"/>
  <c r="K97" i="33"/>
  <c r="J97" i="33"/>
  <c r="I97" i="33"/>
  <c r="AW96" i="33"/>
  <c r="AR96" i="33"/>
  <c r="AM96" i="33"/>
  <c r="AH96" i="33"/>
  <c r="AC96" i="33"/>
  <c r="X96" i="33"/>
  <c r="S96" i="33"/>
  <c r="K96" i="33"/>
  <c r="J96" i="33"/>
  <c r="I96" i="33"/>
  <c r="AW95" i="33"/>
  <c r="AR95" i="33"/>
  <c r="AM95" i="33"/>
  <c r="AH95" i="33"/>
  <c r="AC95" i="33"/>
  <c r="X95" i="33"/>
  <c r="S95" i="33"/>
  <c r="K95" i="33"/>
  <c r="J95" i="33"/>
  <c r="I95" i="33"/>
  <c r="AW94" i="33"/>
  <c r="AR94" i="33"/>
  <c r="AM94" i="33"/>
  <c r="AH94" i="33"/>
  <c r="AC94" i="33"/>
  <c r="X94" i="33"/>
  <c r="S94" i="33"/>
  <c r="K94" i="33"/>
  <c r="J94" i="33"/>
  <c r="I94" i="33"/>
  <c r="AW93" i="33"/>
  <c r="AR93" i="33"/>
  <c r="AM93" i="33"/>
  <c r="AH93" i="33"/>
  <c r="AC93" i="33"/>
  <c r="X93" i="33"/>
  <c r="S93" i="33"/>
  <c r="K93" i="33"/>
  <c r="J93" i="33"/>
  <c r="I93" i="33"/>
  <c r="AW92" i="33"/>
  <c r="AR92" i="33"/>
  <c r="AM92" i="33"/>
  <c r="AH92" i="33"/>
  <c r="AC92" i="33"/>
  <c r="X92" i="33"/>
  <c r="S92" i="33"/>
  <c r="K92" i="33"/>
  <c r="J92" i="33"/>
  <c r="I92" i="33"/>
  <c r="AW91" i="33"/>
  <c r="AR91" i="33"/>
  <c r="AM91" i="33"/>
  <c r="AH91" i="33"/>
  <c r="AC91" i="33"/>
  <c r="X91" i="33"/>
  <c r="S91" i="33"/>
  <c r="K91" i="33"/>
  <c r="J91" i="33"/>
  <c r="I91" i="33"/>
  <c r="AW90" i="33"/>
  <c r="AR90" i="33"/>
  <c r="AM90" i="33"/>
  <c r="AH90" i="33"/>
  <c r="AC90" i="33"/>
  <c r="X90" i="33"/>
  <c r="S90" i="33"/>
  <c r="K90" i="33"/>
  <c r="J90" i="33"/>
  <c r="I90" i="33"/>
  <c r="AW89" i="33"/>
  <c r="AR89" i="33"/>
  <c r="AM89" i="33"/>
  <c r="AH89" i="33"/>
  <c r="AC89" i="33"/>
  <c r="X89" i="33"/>
  <c r="S89" i="33"/>
  <c r="K89" i="33"/>
  <c r="J89" i="33"/>
  <c r="I89" i="33"/>
  <c r="AW88" i="33"/>
  <c r="AR88" i="33"/>
  <c r="AM88" i="33"/>
  <c r="AH88" i="33"/>
  <c r="AC88" i="33"/>
  <c r="X88" i="33"/>
  <c r="S88" i="33"/>
  <c r="K88" i="33"/>
  <c r="J88" i="33"/>
  <c r="I88" i="33"/>
  <c r="AW87" i="33"/>
  <c r="AR87" i="33"/>
  <c r="AM87" i="33"/>
  <c r="AH87" i="33"/>
  <c r="AC87" i="33"/>
  <c r="X87" i="33"/>
  <c r="S87" i="33"/>
  <c r="K87" i="33"/>
  <c r="J87" i="33"/>
  <c r="I87" i="33"/>
  <c r="AW86" i="33"/>
  <c r="AR86" i="33"/>
  <c r="AM86" i="33"/>
  <c r="AH86" i="33"/>
  <c r="AC86" i="33"/>
  <c r="X86" i="33"/>
  <c r="S86" i="33"/>
  <c r="K86" i="33"/>
  <c r="J86" i="33"/>
  <c r="I86" i="33"/>
  <c r="AW85" i="33"/>
  <c r="AR85" i="33"/>
  <c r="AM85" i="33"/>
  <c r="AH85" i="33"/>
  <c r="AC85" i="33"/>
  <c r="X85" i="33"/>
  <c r="S85" i="33"/>
  <c r="K85" i="33"/>
  <c r="J85" i="33"/>
  <c r="I85" i="33"/>
  <c r="AW84" i="33"/>
  <c r="AR84" i="33"/>
  <c r="AM84" i="33"/>
  <c r="AH84" i="33"/>
  <c r="AC84" i="33"/>
  <c r="X84" i="33"/>
  <c r="S84" i="33"/>
  <c r="K84" i="33"/>
  <c r="J84" i="33"/>
  <c r="I84" i="33"/>
  <c r="AW83" i="33"/>
  <c r="AR83" i="33"/>
  <c r="AM83" i="33"/>
  <c r="AH83" i="33"/>
  <c r="AC83" i="33"/>
  <c r="X83" i="33"/>
  <c r="S83" i="33"/>
  <c r="K83" i="33"/>
  <c r="J83" i="33"/>
  <c r="I83" i="33"/>
  <c r="AW82" i="33"/>
  <c r="AR82" i="33"/>
  <c r="AM82" i="33"/>
  <c r="AH82" i="33"/>
  <c r="AC82" i="33"/>
  <c r="X82" i="33"/>
  <c r="S82" i="33"/>
  <c r="K82" i="33"/>
  <c r="J82" i="33"/>
  <c r="I82" i="33"/>
  <c r="AW81" i="33"/>
  <c r="AR81" i="33"/>
  <c r="AM81" i="33"/>
  <c r="AH81" i="33"/>
  <c r="AC81" i="33"/>
  <c r="X81" i="33"/>
  <c r="S81" i="33"/>
  <c r="K81" i="33"/>
  <c r="J81" i="33"/>
  <c r="I81" i="33"/>
  <c r="AW80" i="33"/>
  <c r="AR80" i="33"/>
  <c r="AM80" i="33"/>
  <c r="AH80" i="33"/>
  <c r="AC80" i="33"/>
  <c r="X80" i="33"/>
  <c r="S80" i="33"/>
  <c r="K80" i="33"/>
  <c r="J80" i="33"/>
  <c r="I80" i="33"/>
  <c r="AW79" i="33"/>
  <c r="AR79" i="33"/>
  <c r="AM79" i="33"/>
  <c r="AH79" i="33"/>
  <c r="AC79" i="33"/>
  <c r="X79" i="33"/>
  <c r="S79" i="33"/>
  <c r="K79" i="33"/>
  <c r="J79" i="33"/>
  <c r="I79" i="33"/>
  <c r="AW78" i="33"/>
  <c r="AR78" i="33"/>
  <c r="AM78" i="33"/>
  <c r="AH78" i="33"/>
  <c r="AC78" i="33"/>
  <c r="X78" i="33"/>
  <c r="S78" i="33"/>
  <c r="K78" i="33"/>
  <c r="J78" i="33"/>
  <c r="I78" i="33"/>
  <c r="AX77" i="33"/>
  <c r="AW77" i="33"/>
  <c r="AS77" i="33"/>
  <c r="AR77" i="33"/>
  <c r="AN77" i="33"/>
  <c r="AM77" i="33"/>
  <c r="AI77" i="33"/>
  <c r="AH77" i="33"/>
  <c r="AD77" i="33"/>
  <c r="AC77" i="33"/>
  <c r="Y77" i="33"/>
  <c r="X77" i="33"/>
  <c r="T77" i="33"/>
  <c r="S77" i="33"/>
  <c r="K77" i="33"/>
  <c r="J77" i="33"/>
  <c r="I77" i="33"/>
  <c r="H77" i="33"/>
  <c r="AW71" i="33"/>
  <c r="AR71" i="33"/>
  <c r="AM71" i="33"/>
  <c r="AH71" i="33"/>
  <c r="AC71" i="33"/>
  <c r="X71" i="33"/>
  <c r="S71" i="33"/>
  <c r="AW70" i="33"/>
  <c r="AR70" i="33"/>
  <c r="AM70" i="33"/>
  <c r="AH70" i="33"/>
  <c r="AC70" i="33"/>
  <c r="X70" i="33"/>
  <c r="S70" i="33"/>
  <c r="AW69" i="33"/>
  <c r="AR69" i="33"/>
  <c r="AM69" i="33"/>
  <c r="AH69" i="33"/>
  <c r="AC69" i="33"/>
  <c r="X69" i="33"/>
  <c r="S69" i="33"/>
  <c r="AW68" i="33"/>
  <c r="AR68" i="33"/>
  <c r="AM68" i="33"/>
  <c r="AH68" i="33"/>
  <c r="AC68" i="33"/>
  <c r="X68" i="33"/>
  <c r="S68" i="33"/>
  <c r="AW67" i="33"/>
  <c r="AR67" i="33"/>
  <c r="AM67" i="33"/>
  <c r="AH67" i="33"/>
  <c r="AC67" i="33"/>
  <c r="X67" i="33"/>
  <c r="S67" i="33"/>
  <c r="AW66" i="33"/>
  <c r="AR66" i="33"/>
  <c r="AM66" i="33"/>
  <c r="AH66" i="33"/>
  <c r="AC66" i="33"/>
  <c r="X66" i="33"/>
  <c r="S66" i="33"/>
  <c r="AW65" i="33"/>
  <c r="AR65" i="33"/>
  <c r="AM65" i="33"/>
  <c r="AH65" i="33"/>
  <c r="AC65" i="33"/>
  <c r="X65" i="33"/>
  <c r="S65" i="33"/>
  <c r="K65" i="33"/>
  <c r="J65" i="33"/>
  <c r="I65" i="33"/>
  <c r="AW64" i="33"/>
  <c r="AR64" i="33"/>
  <c r="AM64" i="33"/>
  <c r="AH64" i="33"/>
  <c r="AC64" i="33"/>
  <c r="X64" i="33"/>
  <c r="S64" i="33"/>
  <c r="K64" i="33"/>
  <c r="J64" i="33"/>
  <c r="I64" i="33"/>
  <c r="AW63" i="33"/>
  <c r="AR63" i="33"/>
  <c r="AM63" i="33"/>
  <c r="AH63" i="33"/>
  <c r="AC63" i="33"/>
  <c r="X63" i="33"/>
  <c r="S63" i="33"/>
  <c r="K63" i="33"/>
  <c r="K239" i="33" s="1"/>
  <c r="J63" i="33"/>
  <c r="I63" i="33"/>
  <c r="I239" i="33" s="1"/>
  <c r="AW62" i="33"/>
  <c r="AR62" i="33"/>
  <c r="AM62" i="33"/>
  <c r="AH62" i="33"/>
  <c r="AC62" i="33"/>
  <c r="X62" i="33"/>
  <c r="S62" i="33"/>
  <c r="K62" i="33"/>
  <c r="J62" i="33"/>
  <c r="I62" i="33"/>
  <c r="AW61" i="33"/>
  <c r="AR61" i="33"/>
  <c r="AM61" i="33"/>
  <c r="AH61" i="33"/>
  <c r="AC61" i="33"/>
  <c r="X61" i="33"/>
  <c r="S61" i="33"/>
  <c r="K61" i="33"/>
  <c r="J61" i="33"/>
  <c r="I61" i="33"/>
  <c r="AW60" i="33"/>
  <c r="AR60" i="33"/>
  <c r="AM60" i="33"/>
  <c r="AH60" i="33"/>
  <c r="AC60" i="33"/>
  <c r="X60" i="33"/>
  <c r="S60" i="33"/>
  <c r="K60" i="33"/>
  <c r="J60" i="33"/>
  <c r="I60" i="33"/>
  <c r="AW59" i="33"/>
  <c r="AR59" i="33"/>
  <c r="AM59" i="33"/>
  <c r="AH59" i="33"/>
  <c r="AC59" i="33"/>
  <c r="X59" i="33"/>
  <c r="S59" i="33"/>
  <c r="K59" i="33"/>
  <c r="J59" i="33"/>
  <c r="I59" i="33"/>
  <c r="AW58" i="33"/>
  <c r="AR58" i="33"/>
  <c r="AM58" i="33"/>
  <c r="AH58" i="33"/>
  <c r="AC58" i="33"/>
  <c r="X58" i="33"/>
  <c r="S58" i="33"/>
  <c r="K58" i="33"/>
  <c r="J58" i="33"/>
  <c r="I58" i="33"/>
  <c r="AW57" i="33"/>
  <c r="AR57" i="33"/>
  <c r="AM57" i="33"/>
  <c r="AH57" i="33"/>
  <c r="AC57" i="33"/>
  <c r="X57" i="33"/>
  <c r="S57" i="33"/>
  <c r="K57" i="33"/>
  <c r="J57" i="33"/>
  <c r="I57" i="33"/>
  <c r="AW56" i="33"/>
  <c r="AR56" i="33"/>
  <c r="AM56" i="33"/>
  <c r="AH56" i="33"/>
  <c r="AC56" i="33"/>
  <c r="X56" i="33"/>
  <c r="S56" i="33"/>
  <c r="K56" i="33"/>
  <c r="J56" i="33"/>
  <c r="I56" i="33"/>
  <c r="AW55" i="33"/>
  <c r="AR55" i="33"/>
  <c r="AM55" i="33"/>
  <c r="AH55" i="33"/>
  <c r="AC55" i="33"/>
  <c r="X55" i="33"/>
  <c r="S55" i="33"/>
  <c r="K55" i="33"/>
  <c r="J55" i="33"/>
  <c r="I55" i="33"/>
  <c r="AW54" i="33"/>
  <c r="AR54" i="33"/>
  <c r="AM54" i="33"/>
  <c r="AH54" i="33"/>
  <c r="AC54" i="33"/>
  <c r="X54" i="33"/>
  <c r="S54" i="33"/>
  <c r="K54" i="33"/>
  <c r="J54" i="33"/>
  <c r="I54" i="33"/>
  <c r="AW53" i="33"/>
  <c r="AR53" i="33"/>
  <c r="AM53" i="33"/>
  <c r="AH53" i="33"/>
  <c r="AC53" i="33"/>
  <c r="X53" i="33"/>
  <c r="S53" i="33"/>
  <c r="K53" i="33"/>
  <c r="J53" i="33"/>
  <c r="I53" i="33"/>
  <c r="AW52" i="33"/>
  <c r="AR52" i="33"/>
  <c r="AM52" i="33"/>
  <c r="AH52" i="33"/>
  <c r="AC52" i="33"/>
  <c r="X52" i="33"/>
  <c r="S52" i="33"/>
  <c r="K52" i="33"/>
  <c r="J52" i="33"/>
  <c r="I52" i="33"/>
  <c r="AW51" i="33"/>
  <c r="AR51" i="33"/>
  <c r="AM51" i="33"/>
  <c r="AH51" i="33"/>
  <c r="AC51" i="33"/>
  <c r="X51" i="33"/>
  <c r="S51" i="33"/>
  <c r="K51" i="33"/>
  <c r="K227" i="33" s="1"/>
  <c r="J51" i="33"/>
  <c r="I51" i="33"/>
  <c r="I227" i="33" s="1"/>
  <c r="AW50" i="33"/>
  <c r="AR50" i="33"/>
  <c r="AM50" i="33"/>
  <c r="AH50" i="33"/>
  <c r="AC50" i="33"/>
  <c r="X50" i="33"/>
  <c r="S50" i="33"/>
  <c r="K50" i="33"/>
  <c r="J50" i="33"/>
  <c r="I50" i="33"/>
  <c r="AW49" i="33"/>
  <c r="AR49" i="33"/>
  <c r="AM49" i="33"/>
  <c r="AH49" i="33"/>
  <c r="AC49" i="33"/>
  <c r="X49" i="33"/>
  <c r="S49" i="33"/>
  <c r="K49" i="33"/>
  <c r="J49" i="33"/>
  <c r="I49" i="33"/>
  <c r="AW48" i="33"/>
  <c r="AR48" i="33"/>
  <c r="AM48" i="33"/>
  <c r="AH48" i="33"/>
  <c r="AC48" i="33"/>
  <c r="X48" i="33"/>
  <c r="S48" i="33"/>
  <c r="K48" i="33"/>
  <c r="J48" i="33"/>
  <c r="I48" i="33"/>
  <c r="AW47" i="33"/>
  <c r="AR47" i="33"/>
  <c r="AM47" i="33"/>
  <c r="AH47" i="33"/>
  <c r="AC47" i="33"/>
  <c r="X47" i="33"/>
  <c r="S47" i="33"/>
  <c r="K47" i="33"/>
  <c r="J47" i="33"/>
  <c r="I47" i="33"/>
  <c r="AW46" i="33"/>
  <c r="AR46" i="33"/>
  <c r="AM46" i="33"/>
  <c r="AH46" i="33"/>
  <c r="AC46" i="33"/>
  <c r="X46" i="33"/>
  <c r="S46" i="33"/>
  <c r="K46" i="33"/>
  <c r="J46" i="33"/>
  <c r="I46" i="33"/>
  <c r="AW45" i="33"/>
  <c r="AR45" i="33"/>
  <c r="AM45" i="33"/>
  <c r="AH45" i="33"/>
  <c r="AC45" i="33"/>
  <c r="X45" i="33"/>
  <c r="S45" i="33"/>
  <c r="K45" i="33"/>
  <c r="J45" i="33"/>
  <c r="I45" i="33"/>
  <c r="AW44" i="33"/>
  <c r="AR44" i="33"/>
  <c r="AM44" i="33"/>
  <c r="AH44" i="33"/>
  <c r="AC44" i="33"/>
  <c r="X44" i="33"/>
  <c r="S44" i="33"/>
  <c r="K44" i="33"/>
  <c r="J44" i="33"/>
  <c r="I44" i="33"/>
  <c r="AW43" i="33"/>
  <c r="AR43" i="33"/>
  <c r="AM43" i="33"/>
  <c r="AH43" i="33"/>
  <c r="AC43" i="33"/>
  <c r="X43" i="33"/>
  <c r="S43" i="33"/>
  <c r="K43" i="33"/>
  <c r="J43" i="33"/>
  <c r="I43" i="33"/>
  <c r="AX42" i="33"/>
  <c r="AW42" i="33"/>
  <c r="AS42" i="33"/>
  <c r="AR42" i="33"/>
  <c r="AN42" i="33"/>
  <c r="AM42" i="33"/>
  <c r="AI42" i="33"/>
  <c r="AH42" i="33"/>
  <c r="AD42" i="33"/>
  <c r="AC42" i="33"/>
  <c r="Y42" i="33"/>
  <c r="X42" i="33"/>
  <c r="T42" i="33"/>
  <c r="S42" i="33"/>
  <c r="K42" i="33"/>
  <c r="J42" i="33"/>
  <c r="I42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AT2" i="33"/>
  <c r="P37" i="33" s="1"/>
  <c r="S101" i="31"/>
  <c r="S100" i="31"/>
  <c r="S99" i="31"/>
  <c r="S98" i="31"/>
  <c r="S97" i="31"/>
  <c r="S96" i="31"/>
  <c r="S95" i="31"/>
  <c r="S94" i="31"/>
  <c r="S93" i="31"/>
  <c r="S92" i="31"/>
  <c r="S91" i="31"/>
  <c r="S90" i="31"/>
  <c r="S89" i="31"/>
  <c r="S88" i="31"/>
  <c r="T87" i="31"/>
  <c r="S87" i="31"/>
  <c r="K87" i="31"/>
  <c r="J87" i="31"/>
  <c r="I87" i="31"/>
  <c r="H87" i="31"/>
  <c r="S81" i="31"/>
  <c r="S80" i="31"/>
  <c r="S79" i="31"/>
  <c r="S78" i="31"/>
  <c r="S77" i="31"/>
  <c r="S76" i="31"/>
  <c r="S75" i="31"/>
  <c r="S74" i="31"/>
  <c r="S73" i="31"/>
  <c r="S72" i="31"/>
  <c r="S71" i="31"/>
  <c r="S70" i="31"/>
  <c r="S69" i="31"/>
  <c r="S68" i="31"/>
  <c r="T67" i="31"/>
  <c r="S67" i="31"/>
  <c r="K67" i="31"/>
  <c r="M67" i="31" s="1"/>
  <c r="J67" i="31"/>
  <c r="I67" i="31"/>
  <c r="H67" i="31"/>
  <c r="S61" i="31"/>
  <c r="K47" i="31"/>
  <c r="J47" i="31"/>
  <c r="I47" i="31"/>
  <c r="H47" i="31"/>
  <c r="S41" i="31"/>
  <c r="S40" i="31"/>
  <c r="S39" i="31"/>
  <c r="S38" i="31"/>
  <c r="S37" i="31"/>
  <c r="S36" i="31"/>
  <c r="S35" i="31"/>
  <c r="S34" i="31"/>
  <c r="S33" i="31"/>
  <c r="S32" i="31"/>
  <c r="S31" i="31"/>
  <c r="S30" i="31"/>
  <c r="S29" i="31"/>
  <c r="S28" i="31"/>
  <c r="T27" i="31"/>
  <c r="S27" i="31"/>
  <c r="K27" i="31"/>
  <c r="M27" i="31" s="1"/>
  <c r="J27" i="31"/>
  <c r="I27" i="31"/>
  <c r="H27" i="31"/>
  <c r="AT2" i="31"/>
  <c r="S101" i="32"/>
  <c r="S100" i="32"/>
  <c r="S99" i="32"/>
  <c r="S98" i="32"/>
  <c r="S97" i="32"/>
  <c r="S96" i="32"/>
  <c r="K96" i="32"/>
  <c r="J96" i="32"/>
  <c r="I96" i="32"/>
  <c r="S95" i="32"/>
  <c r="K95" i="32"/>
  <c r="J95" i="32"/>
  <c r="I95" i="32"/>
  <c r="S94" i="32"/>
  <c r="K94" i="32"/>
  <c r="J94" i="32"/>
  <c r="I94" i="32"/>
  <c r="S93" i="32"/>
  <c r="K93" i="32"/>
  <c r="J93" i="32"/>
  <c r="I93" i="32"/>
  <c r="S92" i="32"/>
  <c r="K92" i="32"/>
  <c r="J92" i="32"/>
  <c r="I92" i="32"/>
  <c r="S91" i="32"/>
  <c r="K91" i="32"/>
  <c r="J91" i="32"/>
  <c r="I91" i="32"/>
  <c r="S90" i="32"/>
  <c r="K90" i="32"/>
  <c r="J90" i="32"/>
  <c r="I90" i="32"/>
  <c r="S89" i="32"/>
  <c r="K89" i="32"/>
  <c r="J89" i="32"/>
  <c r="I89" i="32"/>
  <c r="S88" i="32"/>
  <c r="K88" i="32"/>
  <c r="J88" i="32"/>
  <c r="I88" i="32"/>
  <c r="T87" i="32"/>
  <c r="S87" i="32"/>
  <c r="K87" i="32"/>
  <c r="J87" i="32"/>
  <c r="I87" i="32"/>
  <c r="H87" i="32"/>
  <c r="S81" i="32"/>
  <c r="S80" i="32"/>
  <c r="S79" i="32"/>
  <c r="S78" i="32"/>
  <c r="S77" i="32"/>
  <c r="S76" i="32"/>
  <c r="S75" i="32"/>
  <c r="K75" i="32"/>
  <c r="J75" i="32"/>
  <c r="I75" i="32"/>
  <c r="S74" i="32"/>
  <c r="K74" i="32"/>
  <c r="J74" i="32"/>
  <c r="I74" i="32"/>
  <c r="S73" i="32"/>
  <c r="K73" i="32"/>
  <c r="J73" i="32"/>
  <c r="I73" i="32"/>
  <c r="S72" i="32"/>
  <c r="K72" i="32"/>
  <c r="J72" i="32"/>
  <c r="I72" i="32"/>
  <c r="S71" i="32"/>
  <c r="K71" i="32"/>
  <c r="J71" i="32"/>
  <c r="I71" i="32"/>
  <c r="S70" i="32"/>
  <c r="K70" i="32"/>
  <c r="J70" i="32"/>
  <c r="I70" i="32"/>
  <c r="S69" i="32"/>
  <c r="K69" i="32"/>
  <c r="J69" i="32"/>
  <c r="I69" i="32"/>
  <c r="S68" i="32"/>
  <c r="K68" i="32"/>
  <c r="J68" i="32"/>
  <c r="I68" i="32"/>
  <c r="T67" i="32"/>
  <c r="S67" i="32"/>
  <c r="K67" i="32"/>
  <c r="J67" i="32"/>
  <c r="I67" i="32"/>
  <c r="H67" i="32"/>
  <c r="K56" i="32"/>
  <c r="J56" i="32"/>
  <c r="I56" i="32"/>
  <c r="K55" i="32"/>
  <c r="J55" i="32"/>
  <c r="I55" i="32"/>
  <c r="K54" i="32"/>
  <c r="J54" i="32"/>
  <c r="I54" i="32"/>
  <c r="K53" i="32"/>
  <c r="J53" i="32"/>
  <c r="I53" i="32"/>
  <c r="K52" i="32"/>
  <c r="J52" i="32"/>
  <c r="I52" i="32"/>
  <c r="K51" i="32"/>
  <c r="J51" i="32"/>
  <c r="I51" i="32"/>
  <c r="K50" i="32"/>
  <c r="J50" i="32"/>
  <c r="I50" i="32"/>
  <c r="K49" i="32"/>
  <c r="J49" i="32"/>
  <c r="I49" i="32"/>
  <c r="K48" i="32"/>
  <c r="J48" i="32"/>
  <c r="I48" i="32"/>
  <c r="K47" i="32"/>
  <c r="J47" i="32"/>
  <c r="I47" i="32"/>
  <c r="H47" i="32"/>
  <c r="K36" i="32"/>
  <c r="J36" i="32"/>
  <c r="I36" i="32"/>
  <c r="K35" i="32"/>
  <c r="J35" i="32"/>
  <c r="I35" i="32"/>
  <c r="K34" i="32"/>
  <c r="J34" i="32"/>
  <c r="I34" i="32"/>
  <c r="K33" i="32"/>
  <c r="J33" i="32"/>
  <c r="I33" i="32"/>
  <c r="K32" i="32"/>
  <c r="J32" i="32"/>
  <c r="I32" i="32"/>
  <c r="K31" i="32"/>
  <c r="J31" i="32"/>
  <c r="I31" i="32"/>
  <c r="K30" i="32"/>
  <c r="J30" i="32"/>
  <c r="I30" i="32"/>
  <c r="K29" i="32"/>
  <c r="J29" i="32"/>
  <c r="I29" i="32"/>
  <c r="K28" i="32"/>
  <c r="J28" i="32"/>
  <c r="I28" i="32"/>
  <c r="K27" i="32"/>
  <c r="J27" i="32"/>
  <c r="I27" i="32"/>
  <c r="H27" i="32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AT2" i="32"/>
  <c r="S101" i="30"/>
  <c r="S100" i="30"/>
  <c r="S99" i="30"/>
  <c r="S98" i="30"/>
  <c r="S97" i="30"/>
  <c r="S96" i="30"/>
  <c r="S95" i="30"/>
  <c r="S94" i="30"/>
  <c r="S93" i="30"/>
  <c r="S92" i="30"/>
  <c r="K92" i="30"/>
  <c r="J92" i="30"/>
  <c r="I92" i="30"/>
  <c r="S91" i="30"/>
  <c r="K91" i="30"/>
  <c r="J91" i="30"/>
  <c r="I91" i="30"/>
  <c r="S90" i="30"/>
  <c r="K90" i="30"/>
  <c r="J90" i="30"/>
  <c r="I90" i="30"/>
  <c r="S89" i="30"/>
  <c r="K89" i="30"/>
  <c r="J89" i="30"/>
  <c r="I89" i="30"/>
  <c r="S88" i="30"/>
  <c r="K88" i="30"/>
  <c r="J88" i="30"/>
  <c r="I88" i="30"/>
  <c r="T87" i="30"/>
  <c r="S87" i="30"/>
  <c r="K87" i="30"/>
  <c r="J87" i="30"/>
  <c r="I87" i="30"/>
  <c r="H87" i="30"/>
  <c r="K72" i="30"/>
  <c r="J72" i="30"/>
  <c r="I72" i="30"/>
  <c r="K71" i="30"/>
  <c r="J71" i="30"/>
  <c r="I71" i="30"/>
  <c r="K70" i="30"/>
  <c r="J70" i="30"/>
  <c r="I70" i="30"/>
  <c r="K69" i="30"/>
  <c r="M69" i="30" s="1"/>
  <c r="J69" i="30"/>
  <c r="I69" i="30"/>
  <c r="K68" i="30"/>
  <c r="J68" i="30"/>
  <c r="I68" i="30"/>
  <c r="K52" i="30"/>
  <c r="J52" i="30"/>
  <c r="I52" i="30"/>
  <c r="K51" i="30"/>
  <c r="J51" i="30"/>
  <c r="I51" i="30"/>
  <c r="K50" i="30"/>
  <c r="J50" i="30"/>
  <c r="I50" i="30"/>
  <c r="K49" i="30"/>
  <c r="J49" i="30"/>
  <c r="I49" i="30"/>
  <c r="K48" i="30"/>
  <c r="J48" i="30"/>
  <c r="I48" i="30"/>
  <c r="K47" i="30"/>
  <c r="J47" i="30"/>
  <c r="I47" i="30"/>
  <c r="H47" i="30"/>
  <c r="K134" i="30"/>
  <c r="J134" i="30"/>
  <c r="I134" i="30"/>
  <c r="K133" i="30"/>
  <c r="J133" i="30"/>
  <c r="J131" i="30"/>
  <c r="K129" i="30"/>
  <c r="J129" i="30"/>
  <c r="I129" i="30"/>
  <c r="J128" i="30"/>
  <c r="I128" i="30"/>
  <c r="AT2" i="30"/>
  <c r="P22" i="30" s="1"/>
  <c r="S176" i="8"/>
  <c r="S175" i="8"/>
  <c r="S174" i="8"/>
  <c r="S173" i="8"/>
  <c r="S172" i="8"/>
  <c r="S171" i="8"/>
  <c r="S170" i="8"/>
  <c r="S169" i="8"/>
  <c r="S168" i="8"/>
  <c r="S167" i="8"/>
  <c r="S166" i="8"/>
  <c r="K166" i="8"/>
  <c r="J166" i="8"/>
  <c r="I166" i="8"/>
  <c r="S165" i="8"/>
  <c r="K165" i="8"/>
  <c r="J165" i="8"/>
  <c r="I165" i="8"/>
  <c r="S164" i="8"/>
  <c r="K164" i="8"/>
  <c r="J164" i="8"/>
  <c r="I164" i="8"/>
  <c r="S163" i="8"/>
  <c r="K163" i="8"/>
  <c r="J163" i="8"/>
  <c r="I163" i="8"/>
  <c r="S162" i="8"/>
  <c r="K162" i="8"/>
  <c r="J162" i="8"/>
  <c r="I162" i="8"/>
  <c r="S161" i="8"/>
  <c r="K161" i="8"/>
  <c r="J161" i="8"/>
  <c r="I161" i="8"/>
  <c r="S160" i="8"/>
  <c r="K160" i="8"/>
  <c r="J160" i="8"/>
  <c r="I160" i="8"/>
  <c r="S159" i="8"/>
  <c r="K159" i="8"/>
  <c r="J159" i="8"/>
  <c r="I159" i="8"/>
  <c r="S158" i="8"/>
  <c r="K158" i="8"/>
  <c r="J158" i="8"/>
  <c r="I158" i="8"/>
  <c r="S157" i="8"/>
  <c r="K157" i="8"/>
  <c r="J157" i="8"/>
  <c r="I157" i="8"/>
  <c r="S156" i="8"/>
  <c r="K156" i="8"/>
  <c r="J156" i="8"/>
  <c r="I156" i="8"/>
  <c r="S155" i="8"/>
  <c r="K155" i="8"/>
  <c r="J155" i="8"/>
  <c r="I155" i="8"/>
  <c r="S154" i="8"/>
  <c r="K154" i="8"/>
  <c r="J154" i="8"/>
  <c r="I154" i="8"/>
  <c r="S153" i="8"/>
  <c r="K153" i="8"/>
  <c r="J153" i="8"/>
  <c r="I153" i="8"/>
  <c r="S152" i="8"/>
  <c r="K152" i="8"/>
  <c r="J152" i="8"/>
  <c r="I152" i="8"/>
  <c r="S151" i="8"/>
  <c r="K151" i="8"/>
  <c r="J151" i="8"/>
  <c r="I151" i="8"/>
  <c r="S150" i="8"/>
  <c r="K150" i="8"/>
  <c r="J150" i="8"/>
  <c r="I150" i="8"/>
  <c r="S149" i="8"/>
  <c r="K149" i="8"/>
  <c r="J149" i="8"/>
  <c r="I149" i="8"/>
  <c r="S148" i="8"/>
  <c r="K148" i="8"/>
  <c r="J148" i="8"/>
  <c r="I148" i="8"/>
  <c r="T147" i="8"/>
  <c r="S147" i="8"/>
  <c r="K147" i="8"/>
  <c r="M27" i="8" s="1"/>
  <c r="J147" i="8"/>
  <c r="I147" i="8"/>
  <c r="H147" i="8"/>
  <c r="S141" i="8"/>
  <c r="S140" i="8"/>
  <c r="S139" i="8"/>
  <c r="S138" i="8"/>
  <c r="S137" i="8"/>
  <c r="S136" i="8"/>
  <c r="S135" i="8"/>
  <c r="S134" i="8"/>
  <c r="S133" i="8"/>
  <c r="S132" i="8"/>
  <c r="S131" i="8"/>
  <c r="S130" i="8"/>
  <c r="K130" i="8"/>
  <c r="J130" i="8"/>
  <c r="I130" i="8"/>
  <c r="S129" i="8"/>
  <c r="K129" i="8"/>
  <c r="J129" i="8"/>
  <c r="I129" i="8"/>
  <c r="S128" i="8"/>
  <c r="K128" i="8"/>
  <c r="J128" i="8"/>
  <c r="I128" i="8"/>
  <c r="S127" i="8"/>
  <c r="K127" i="8"/>
  <c r="J127" i="8"/>
  <c r="I127" i="8"/>
  <c r="S126" i="8"/>
  <c r="K126" i="8"/>
  <c r="J126" i="8"/>
  <c r="I126" i="8"/>
  <c r="S125" i="8"/>
  <c r="K125" i="8"/>
  <c r="J125" i="8"/>
  <c r="I125" i="8"/>
  <c r="S124" i="8"/>
  <c r="K124" i="8"/>
  <c r="J124" i="8"/>
  <c r="I124" i="8"/>
  <c r="S123" i="8"/>
  <c r="K123" i="8"/>
  <c r="J123" i="8"/>
  <c r="I123" i="8"/>
  <c r="S122" i="8"/>
  <c r="K122" i="8"/>
  <c r="J122" i="8"/>
  <c r="I122" i="8"/>
  <c r="S121" i="8"/>
  <c r="K121" i="8"/>
  <c r="J121" i="8"/>
  <c r="I121" i="8"/>
  <c r="S120" i="8"/>
  <c r="K120" i="8"/>
  <c r="J120" i="8"/>
  <c r="I120" i="8"/>
  <c r="S119" i="8"/>
  <c r="K119" i="8"/>
  <c r="J119" i="8"/>
  <c r="I119" i="8"/>
  <c r="S118" i="8"/>
  <c r="K118" i="8"/>
  <c r="J118" i="8"/>
  <c r="I118" i="8"/>
  <c r="S117" i="8"/>
  <c r="K117" i="8"/>
  <c r="J117" i="8"/>
  <c r="I117" i="8"/>
  <c r="S116" i="8"/>
  <c r="K116" i="8"/>
  <c r="J116" i="8"/>
  <c r="I116" i="8"/>
  <c r="S115" i="8"/>
  <c r="K115" i="8"/>
  <c r="J115" i="8"/>
  <c r="I115" i="8"/>
  <c r="S114" i="8"/>
  <c r="K114" i="8"/>
  <c r="J114" i="8"/>
  <c r="I114" i="8"/>
  <c r="S113" i="8"/>
  <c r="K113" i="8"/>
  <c r="J113" i="8"/>
  <c r="I113" i="8"/>
  <c r="T112" i="8"/>
  <c r="S112" i="8"/>
  <c r="K112" i="8"/>
  <c r="J112" i="8"/>
  <c r="I112" i="8"/>
  <c r="H112" i="8"/>
  <c r="S106" i="8"/>
  <c r="S105" i="8"/>
  <c r="S104" i="8"/>
  <c r="S103" i="8"/>
  <c r="S102" i="8"/>
  <c r="S101" i="8"/>
  <c r="S100" i="8"/>
  <c r="S99" i="8"/>
  <c r="S98" i="8"/>
  <c r="S97" i="8"/>
  <c r="S96" i="8"/>
  <c r="S95" i="8"/>
  <c r="S94" i="8"/>
  <c r="S93" i="8"/>
  <c r="S92" i="8"/>
  <c r="S91" i="8"/>
  <c r="S90" i="8"/>
  <c r="S89" i="8"/>
  <c r="S88" i="8"/>
  <c r="S87" i="8"/>
  <c r="S86" i="8"/>
  <c r="S85" i="8"/>
  <c r="S84" i="8"/>
  <c r="S83" i="8"/>
  <c r="S82" i="8"/>
  <c r="S81" i="8"/>
  <c r="S80" i="8"/>
  <c r="S79" i="8"/>
  <c r="S78" i="8"/>
  <c r="T77" i="8"/>
  <c r="S77" i="8"/>
  <c r="H77" i="8"/>
  <c r="S71" i="8"/>
  <c r="S70" i="8"/>
  <c r="S69" i="8"/>
  <c r="S68" i="8"/>
  <c r="S67" i="8"/>
  <c r="S66" i="8"/>
  <c r="S65" i="8"/>
  <c r="S64" i="8"/>
  <c r="S63" i="8"/>
  <c r="S62" i="8"/>
  <c r="S61" i="8"/>
  <c r="S60" i="8"/>
  <c r="K60" i="8"/>
  <c r="K236" i="8" s="1"/>
  <c r="J60" i="8"/>
  <c r="I60" i="8"/>
  <c r="S59" i="8"/>
  <c r="K59" i="8"/>
  <c r="K235" i="8" s="1"/>
  <c r="J59" i="8"/>
  <c r="J235" i="8" s="1"/>
  <c r="I59" i="8"/>
  <c r="I235" i="8" s="1"/>
  <c r="S58" i="8"/>
  <c r="K58" i="8"/>
  <c r="J58" i="8"/>
  <c r="J234" i="8" s="1"/>
  <c r="I58" i="8"/>
  <c r="S57" i="8"/>
  <c r="K57" i="8"/>
  <c r="K233" i="8" s="1"/>
  <c r="J57" i="8"/>
  <c r="I57" i="8"/>
  <c r="S56" i="8"/>
  <c r="K56" i="8"/>
  <c r="K232" i="8" s="1"/>
  <c r="J56" i="8"/>
  <c r="I56" i="8"/>
  <c r="I232" i="8" s="1"/>
  <c r="S55" i="8"/>
  <c r="K55" i="8"/>
  <c r="J55" i="8"/>
  <c r="I55" i="8"/>
  <c r="S54" i="8"/>
  <c r="K54" i="8"/>
  <c r="J54" i="8"/>
  <c r="I54" i="8"/>
  <c r="S53" i="8"/>
  <c r="K53" i="8"/>
  <c r="K229" i="8" s="1"/>
  <c r="J53" i="8"/>
  <c r="I53" i="8"/>
  <c r="I229" i="8" s="1"/>
  <c r="S52" i="8"/>
  <c r="K52" i="8"/>
  <c r="J52" i="8"/>
  <c r="I52" i="8"/>
  <c r="S51" i="8"/>
  <c r="K51" i="8"/>
  <c r="J51" i="8"/>
  <c r="I51" i="8"/>
  <c r="S50" i="8"/>
  <c r="K50" i="8"/>
  <c r="K226" i="8" s="1"/>
  <c r="J50" i="8"/>
  <c r="I50" i="8"/>
  <c r="I226" i="8" s="1"/>
  <c r="S49" i="8"/>
  <c r="K49" i="8"/>
  <c r="K225" i="8" s="1"/>
  <c r="J49" i="8"/>
  <c r="J225" i="8" s="1"/>
  <c r="I49" i="8"/>
  <c r="I225" i="8" s="1"/>
  <c r="S48" i="8"/>
  <c r="K48" i="8"/>
  <c r="J48" i="8"/>
  <c r="J224" i="8" s="1"/>
  <c r="I48" i="8"/>
  <c r="I224" i="8" s="1"/>
  <c r="S47" i="8"/>
  <c r="K47" i="8"/>
  <c r="K223" i="8" s="1"/>
  <c r="J47" i="8"/>
  <c r="I47" i="8"/>
  <c r="I223" i="8" s="1"/>
  <c r="S46" i="8"/>
  <c r="K46" i="8"/>
  <c r="J46" i="8"/>
  <c r="I46" i="8"/>
  <c r="S45" i="8"/>
  <c r="K45" i="8"/>
  <c r="J45" i="8"/>
  <c r="I45" i="8"/>
  <c r="S44" i="8"/>
  <c r="K44" i="8"/>
  <c r="K220" i="8" s="1"/>
  <c r="J44" i="8"/>
  <c r="I44" i="8"/>
  <c r="I220" i="8" s="1"/>
  <c r="S43" i="8"/>
  <c r="K43" i="8"/>
  <c r="J43" i="8"/>
  <c r="I43" i="8"/>
  <c r="T42" i="8"/>
  <c r="S42" i="8"/>
  <c r="K42" i="8"/>
  <c r="J42" i="8"/>
  <c r="I42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47" i="6"/>
  <c r="AI47" i="6"/>
  <c r="AG47" i="6"/>
  <c r="H20" i="13"/>
  <c r="W47" i="6"/>
  <c r="U47" i="6"/>
  <c r="AC45" i="6"/>
  <c r="S45" i="6"/>
  <c r="M45" i="6"/>
  <c r="AC44" i="6"/>
  <c r="S44" i="6"/>
  <c r="M44" i="6"/>
  <c r="AC42" i="6"/>
  <c r="S42" i="6"/>
  <c r="M42" i="6"/>
  <c r="AC41" i="6"/>
  <c r="S41" i="6"/>
  <c r="M41" i="6"/>
  <c r="AC40" i="6"/>
  <c r="S40" i="6"/>
  <c r="M40" i="6"/>
  <c r="AC39" i="6"/>
  <c r="S39" i="6"/>
  <c r="M39" i="6"/>
  <c r="AC38" i="6"/>
  <c r="S38" i="6"/>
  <c r="M38" i="6"/>
  <c r="AC37" i="6"/>
  <c r="S37" i="6"/>
  <c r="M37" i="6"/>
  <c r="AC36" i="6"/>
  <c r="S36" i="6"/>
  <c r="M36" i="6"/>
  <c r="AC35" i="6"/>
  <c r="S35" i="6"/>
  <c r="M35" i="6"/>
  <c r="AC34" i="6"/>
  <c r="S34" i="6"/>
  <c r="M34" i="6"/>
  <c r="AC33" i="6"/>
  <c r="S33" i="6"/>
  <c r="M33" i="6"/>
  <c r="AC32" i="6"/>
  <c r="S32" i="6"/>
  <c r="M32" i="6"/>
  <c r="AC31" i="6"/>
  <c r="S31" i="6"/>
  <c r="M31" i="6"/>
  <c r="AC30" i="6"/>
  <c r="S30" i="6"/>
  <c r="M30" i="6"/>
  <c r="AC29" i="6"/>
  <c r="S29" i="6"/>
  <c r="M29" i="6"/>
  <c r="AC28" i="6"/>
  <c r="S28" i="6"/>
  <c r="AC27" i="6"/>
  <c r="S27" i="6"/>
  <c r="AC26" i="6"/>
  <c r="S26" i="6"/>
  <c r="AC25" i="6"/>
  <c r="S25" i="6"/>
  <c r="AC24" i="6"/>
  <c r="S24" i="6"/>
  <c r="AC23" i="6"/>
  <c r="S23" i="6"/>
  <c r="AC22" i="6"/>
  <c r="S22" i="6"/>
  <c r="AC21" i="6"/>
  <c r="S21" i="6"/>
  <c r="AC20" i="6"/>
  <c r="S20" i="6"/>
  <c r="AC19" i="6"/>
  <c r="S19" i="6"/>
  <c r="AC18" i="6"/>
  <c r="S18" i="6"/>
  <c r="AC17" i="6"/>
  <c r="S17" i="6"/>
  <c r="AC16" i="6"/>
  <c r="S16" i="6"/>
  <c r="AC15" i="6"/>
  <c r="S15" i="6"/>
  <c r="F14" i="6"/>
  <c r="F13" i="6"/>
  <c r="F12" i="6"/>
  <c r="F11" i="6"/>
  <c r="F10" i="6"/>
  <c r="F9" i="6"/>
  <c r="F8" i="6"/>
  <c r="G8" i="6" s="1"/>
  <c r="AK47" i="7"/>
  <c r="AI47" i="7"/>
  <c r="AG47" i="7"/>
  <c r="AE47" i="7"/>
  <c r="W47" i="7"/>
  <c r="U47" i="7"/>
  <c r="AC45" i="7"/>
  <c r="S45" i="7"/>
  <c r="M45" i="7"/>
  <c r="AC44" i="7"/>
  <c r="S44" i="7"/>
  <c r="M44" i="7"/>
  <c r="AC43" i="7"/>
  <c r="S43" i="7"/>
  <c r="M43" i="7"/>
  <c r="AC42" i="7"/>
  <c r="S42" i="7"/>
  <c r="M42" i="7"/>
  <c r="AC41" i="7"/>
  <c r="S41" i="7"/>
  <c r="M41" i="7"/>
  <c r="AC40" i="7"/>
  <c r="S40" i="7"/>
  <c r="M40" i="7"/>
  <c r="AC39" i="7"/>
  <c r="S39" i="7"/>
  <c r="M39" i="7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F13" i="7"/>
  <c r="F11" i="7"/>
  <c r="F9" i="7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10" i="13"/>
  <c r="K10" i="13" s="1"/>
  <c r="I6" i="5"/>
  <c r="J6" i="5" s="1"/>
  <c r="U41" i="3"/>
  <c r="O41" i="3"/>
  <c r="U40" i="3"/>
  <c r="O40" i="3"/>
  <c r="U39" i="3"/>
  <c r="O39" i="3"/>
  <c r="U38" i="3"/>
  <c r="O38" i="3"/>
  <c r="U37" i="3"/>
  <c r="O37" i="3"/>
  <c r="U36" i="3"/>
  <c r="O36" i="3"/>
  <c r="U35" i="3"/>
  <c r="O35" i="3"/>
  <c r="I20" i="39"/>
  <c r="K20" i="39" s="1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B11" i="1"/>
  <c r="E11" i="1" s="1"/>
  <c r="U10" i="1"/>
  <c r="W10" i="1" s="1"/>
  <c r="O10" i="1"/>
  <c r="Q10" i="1" s="1"/>
  <c r="E10" i="1"/>
  <c r="D10" i="1"/>
  <c r="U9" i="1"/>
  <c r="Q9" i="1"/>
  <c r="O9" i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J21" i="5" l="1"/>
  <c r="X34" i="1"/>
  <c r="V34" i="1" s="1"/>
  <c r="X48" i="1"/>
  <c r="V48" i="1" s="1"/>
  <c r="J7" i="5"/>
  <c r="M121" i="37"/>
  <c r="J14" i="5"/>
  <c r="I7" i="39" s="1"/>
  <c r="D9" i="39"/>
  <c r="M34" i="8"/>
  <c r="M30" i="8"/>
  <c r="M7" i="8"/>
  <c r="AZ36" i="8" s="1"/>
  <c r="M23" i="8"/>
  <c r="M22" i="8"/>
  <c r="M28" i="8"/>
  <c r="M25" i="8"/>
  <c r="M8" i="8"/>
  <c r="M24" i="8"/>
  <c r="M11" i="8"/>
  <c r="M10" i="8"/>
  <c r="M26" i="8"/>
  <c r="M9" i="8"/>
  <c r="M32" i="8"/>
  <c r="M12" i="8"/>
  <c r="M29" i="8"/>
  <c r="M15" i="8"/>
  <c r="M14" i="8"/>
  <c r="M31" i="8"/>
  <c r="M17" i="8"/>
  <c r="M36" i="8"/>
  <c r="M16" i="8"/>
  <c r="M33" i="8"/>
  <c r="M19" i="8"/>
  <c r="M18" i="8"/>
  <c r="M35" i="8"/>
  <c r="M21" i="8"/>
  <c r="M13" i="8"/>
  <c r="M20" i="8"/>
  <c r="AB8" i="6"/>
  <c r="R8" i="6"/>
  <c r="AB12" i="6"/>
  <c r="R12" i="6"/>
  <c r="R9" i="6"/>
  <c r="AB9" i="6"/>
  <c r="R13" i="6"/>
  <c r="AB13" i="6"/>
  <c r="R10" i="6"/>
  <c r="AB10" i="6"/>
  <c r="R14" i="6"/>
  <c r="AB14" i="6"/>
  <c r="AB11" i="6"/>
  <c r="R11" i="6"/>
  <c r="M70" i="30"/>
  <c r="M79" i="30"/>
  <c r="M68" i="30"/>
  <c r="L67" i="30"/>
  <c r="M75" i="30"/>
  <c r="M74" i="30"/>
  <c r="M72" i="30"/>
  <c r="M71" i="30"/>
  <c r="M81" i="30"/>
  <c r="M80" i="30"/>
  <c r="M78" i="30"/>
  <c r="M77" i="30"/>
  <c r="M76" i="30"/>
  <c r="M67" i="30"/>
  <c r="M73" i="30"/>
  <c r="AC46" i="6"/>
  <c r="M121" i="36"/>
  <c r="M121" i="35"/>
  <c r="M120" i="35"/>
  <c r="M119" i="35"/>
  <c r="M118" i="35"/>
  <c r="M117" i="35"/>
  <c r="M116" i="35"/>
  <c r="M110" i="35"/>
  <c r="M112" i="35"/>
  <c r="M114" i="35"/>
  <c r="M111" i="35"/>
  <c r="M108" i="35"/>
  <c r="M113" i="35"/>
  <c r="M109" i="35"/>
  <c r="M115" i="35"/>
  <c r="M107" i="35"/>
  <c r="M120" i="36"/>
  <c r="M119" i="36"/>
  <c r="M118" i="36"/>
  <c r="M117" i="36"/>
  <c r="M116" i="36"/>
  <c r="M115" i="36"/>
  <c r="M114" i="36"/>
  <c r="M113" i="36"/>
  <c r="M112" i="36"/>
  <c r="M108" i="36"/>
  <c r="M110" i="36"/>
  <c r="M109" i="36"/>
  <c r="M111" i="36"/>
  <c r="M107" i="36"/>
  <c r="M120" i="37"/>
  <c r="M119" i="37"/>
  <c r="M118" i="37"/>
  <c r="M117" i="37"/>
  <c r="M116" i="37"/>
  <c r="M115" i="37"/>
  <c r="M112" i="37"/>
  <c r="M114" i="37"/>
  <c r="M109" i="37"/>
  <c r="M107" i="37"/>
  <c r="M111" i="37"/>
  <c r="M108" i="37"/>
  <c r="M110" i="37"/>
  <c r="M113" i="37"/>
  <c r="M118" i="32"/>
  <c r="M112" i="32"/>
  <c r="M110" i="32"/>
  <c r="M116" i="32"/>
  <c r="M108" i="32"/>
  <c r="M114" i="32"/>
  <c r="M121" i="32"/>
  <c r="M120" i="32"/>
  <c r="M119" i="32"/>
  <c r="M111" i="32"/>
  <c r="M113" i="32"/>
  <c r="M109" i="32"/>
  <c r="M115" i="32"/>
  <c r="M107" i="32"/>
  <c r="M117" i="32"/>
  <c r="F23" i="6"/>
  <c r="S46" i="6"/>
  <c r="S47" i="6" s="1"/>
  <c r="H16" i="13" s="1"/>
  <c r="M46" i="6"/>
  <c r="F26" i="6"/>
  <c r="Z26" i="6" s="1"/>
  <c r="F20" i="6"/>
  <c r="V20" i="6" s="1"/>
  <c r="K10" i="5"/>
  <c r="K7" i="39" s="1"/>
  <c r="M71" i="36"/>
  <c r="AH10" i="6"/>
  <c r="AL10" i="6"/>
  <c r="X10" i="6"/>
  <c r="L10" i="6"/>
  <c r="J10" i="6"/>
  <c r="AF10" i="6"/>
  <c r="Z10" i="6"/>
  <c r="AJ10" i="6"/>
  <c r="V10" i="6"/>
  <c r="P10" i="6"/>
  <c r="AD10" i="6"/>
  <c r="T10" i="6"/>
  <c r="N10" i="6"/>
  <c r="AH14" i="6"/>
  <c r="X14" i="6"/>
  <c r="L14" i="6"/>
  <c r="P14" i="6"/>
  <c r="AF14" i="6"/>
  <c r="Z14" i="6"/>
  <c r="AL14" i="6"/>
  <c r="AJ14" i="6"/>
  <c r="V14" i="6"/>
  <c r="J14" i="6"/>
  <c r="N14" i="6"/>
  <c r="AD14" i="6"/>
  <c r="T14" i="6"/>
  <c r="AL11" i="6"/>
  <c r="X11" i="6"/>
  <c r="L11" i="6"/>
  <c r="AH11" i="6"/>
  <c r="Z11" i="6"/>
  <c r="AJ11" i="6"/>
  <c r="V11" i="6"/>
  <c r="P11" i="6"/>
  <c r="J11" i="6"/>
  <c r="AF11" i="6"/>
  <c r="T11" i="6"/>
  <c r="N11" i="6"/>
  <c r="AD11" i="6"/>
  <c r="AH8" i="6"/>
  <c r="AL8" i="6"/>
  <c r="X8" i="6"/>
  <c r="L8" i="6"/>
  <c r="P8" i="6"/>
  <c r="AF8" i="6"/>
  <c r="Z8" i="6"/>
  <c r="AJ8" i="6"/>
  <c r="V8" i="6"/>
  <c r="J8" i="6"/>
  <c r="N8" i="6"/>
  <c r="AD8" i="6"/>
  <c r="T8" i="6"/>
  <c r="AH12" i="6"/>
  <c r="AJ12" i="6"/>
  <c r="V12" i="6"/>
  <c r="J12" i="6"/>
  <c r="AF12" i="6"/>
  <c r="Z12" i="6"/>
  <c r="AL12" i="6"/>
  <c r="X12" i="6"/>
  <c r="L12" i="6"/>
  <c r="P12" i="6"/>
  <c r="AD12" i="6"/>
  <c r="N12" i="6"/>
  <c r="T12" i="6"/>
  <c r="AL9" i="6"/>
  <c r="X9" i="6"/>
  <c r="L9" i="6"/>
  <c r="Z9" i="6"/>
  <c r="AJ9" i="6"/>
  <c r="V9" i="6"/>
  <c r="P9" i="6"/>
  <c r="J9" i="6"/>
  <c r="AH9" i="6"/>
  <c r="AF9" i="6"/>
  <c r="T9" i="6"/>
  <c r="N9" i="6"/>
  <c r="AD9" i="6"/>
  <c r="AL13" i="6"/>
  <c r="X13" i="6"/>
  <c r="L13" i="6"/>
  <c r="AF13" i="6"/>
  <c r="AJ13" i="6"/>
  <c r="V13" i="6"/>
  <c r="P13" i="6"/>
  <c r="J13" i="6"/>
  <c r="AH13" i="6"/>
  <c r="Z13" i="6"/>
  <c r="AD13" i="6"/>
  <c r="N13" i="6"/>
  <c r="T13" i="6"/>
  <c r="F23" i="7"/>
  <c r="AH11" i="7"/>
  <c r="AB11" i="7"/>
  <c r="AF11" i="7"/>
  <c r="Z11" i="7"/>
  <c r="AL11" i="7"/>
  <c r="X11" i="7"/>
  <c r="R11" i="7"/>
  <c r="L11" i="7"/>
  <c r="AJ11" i="7"/>
  <c r="V11" i="7"/>
  <c r="P11" i="7"/>
  <c r="J11" i="7"/>
  <c r="AD11" i="7"/>
  <c r="T11" i="7"/>
  <c r="N11" i="7"/>
  <c r="AH13" i="7"/>
  <c r="AB13" i="7"/>
  <c r="AF13" i="7"/>
  <c r="Z13" i="7"/>
  <c r="AL13" i="7"/>
  <c r="X13" i="7"/>
  <c r="R13" i="7"/>
  <c r="L13" i="7"/>
  <c r="AJ13" i="7"/>
  <c r="V13" i="7"/>
  <c r="P13" i="7"/>
  <c r="J13" i="7"/>
  <c r="AD13" i="7"/>
  <c r="T13" i="7"/>
  <c r="N13" i="7"/>
  <c r="AH9" i="7"/>
  <c r="AB9" i="7"/>
  <c r="AF9" i="7"/>
  <c r="Z9" i="7"/>
  <c r="AL9" i="7"/>
  <c r="X9" i="7"/>
  <c r="R9" i="7"/>
  <c r="L9" i="7"/>
  <c r="AJ9" i="7"/>
  <c r="V9" i="7"/>
  <c r="P9" i="7"/>
  <c r="J9" i="7"/>
  <c r="AD9" i="7"/>
  <c r="T9" i="7"/>
  <c r="N9" i="7"/>
  <c r="M71" i="37"/>
  <c r="M81" i="37"/>
  <c r="M72" i="37"/>
  <c r="M70" i="37"/>
  <c r="M69" i="37"/>
  <c r="M68" i="37"/>
  <c r="M67" i="36"/>
  <c r="M68" i="36"/>
  <c r="M70" i="36"/>
  <c r="M69" i="36"/>
  <c r="M67" i="35"/>
  <c r="M70" i="35"/>
  <c r="M68" i="35"/>
  <c r="M74" i="35"/>
  <c r="M73" i="35"/>
  <c r="M72" i="35"/>
  <c r="M71" i="35"/>
  <c r="M76" i="35"/>
  <c r="M69" i="35"/>
  <c r="M75" i="35"/>
  <c r="M81" i="34"/>
  <c r="M73" i="34"/>
  <c r="M71" i="34"/>
  <c r="M69" i="34"/>
  <c r="M74" i="34"/>
  <c r="M68" i="34"/>
  <c r="M72" i="34"/>
  <c r="M70" i="34"/>
  <c r="M73" i="32"/>
  <c r="M77" i="32"/>
  <c r="M67" i="32"/>
  <c r="M71" i="32"/>
  <c r="L67" i="32"/>
  <c r="M70" i="32"/>
  <c r="M76" i="32"/>
  <c r="M69" i="32"/>
  <c r="M75" i="32"/>
  <c r="M72" i="32"/>
  <c r="M68" i="32"/>
  <c r="M74" i="32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X28" i="1"/>
  <c r="V28" i="1" s="1"/>
  <c r="D11" i="1"/>
  <c r="O14" i="1"/>
  <c r="B23" i="13"/>
  <c r="C23" i="13" s="1"/>
  <c r="E23" i="13" s="1"/>
  <c r="F31" i="7"/>
  <c r="AH31" i="7" s="1"/>
  <c r="F28" i="6"/>
  <c r="T28" i="6" s="1"/>
  <c r="F31" i="6"/>
  <c r="U14" i="1"/>
  <c r="F35" i="6"/>
  <c r="M47" i="37"/>
  <c r="M49" i="37"/>
  <c r="M59" i="37"/>
  <c r="M48" i="37"/>
  <c r="M50" i="37"/>
  <c r="M52" i="37"/>
  <c r="M57" i="37"/>
  <c r="M51" i="37"/>
  <c r="M61" i="37"/>
  <c r="M51" i="36"/>
  <c r="M48" i="36"/>
  <c r="M50" i="36"/>
  <c r="M49" i="36"/>
  <c r="M61" i="36"/>
  <c r="M52" i="35"/>
  <c r="L47" i="35"/>
  <c r="B34" i="39" s="1"/>
  <c r="M53" i="35"/>
  <c r="M61" i="35"/>
  <c r="M49" i="35"/>
  <c r="M51" i="35"/>
  <c r="M48" i="35"/>
  <c r="M50" i="35"/>
  <c r="M49" i="34"/>
  <c r="M52" i="34"/>
  <c r="M47" i="34"/>
  <c r="M51" i="34"/>
  <c r="M48" i="34"/>
  <c r="M53" i="34"/>
  <c r="M50" i="34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M47" i="32"/>
  <c r="M49" i="32"/>
  <c r="M54" i="32"/>
  <c r="M56" i="32"/>
  <c r="M48" i="32"/>
  <c r="M51" i="32"/>
  <c r="M53" i="32"/>
  <c r="M55" i="32"/>
  <c r="M50" i="32"/>
  <c r="M52" i="32"/>
  <c r="M61" i="30"/>
  <c r="M52" i="30"/>
  <c r="M49" i="30"/>
  <c r="M51" i="30"/>
  <c r="M53" i="30"/>
  <c r="M48" i="30"/>
  <c r="M50" i="30"/>
  <c r="L77" i="8"/>
  <c r="B28" i="39" s="1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P72" i="33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F45" i="6"/>
  <c r="J220" i="33"/>
  <c r="J232" i="33"/>
  <c r="J227" i="33"/>
  <c r="J239" i="33"/>
  <c r="L67" i="37"/>
  <c r="K128" i="30"/>
  <c r="M136" i="30" s="1"/>
  <c r="I221" i="33"/>
  <c r="I225" i="33"/>
  <c r="I233" i="33"/>
  <c r="L67" i="36"/>
  <c r="I229" i="33"/>
  <c r="J131" i="32"/>
  <c r="J135" i="32"/>
  <c r="AZ20" i="31"/>
  <c r="J221" i="33"/>
  <c r="J225" i="33"/>
  <c r="J229" i="33"/>
  <c r="J233" i="33"/>
  <c r="L67" i="34"/>
  <c r="M47" i="36"/>
  <c r="J130" i="30"/>
  <c r="K221" i="33"/>
  <c r="K225" i="33"/>
  <c r="K229" i="33"/>
  <c r="K233" i="33"/>
  <c r="K237" i="33"/>
  <c r="M54" i="37"/>
  <c r="K240" i="33"/>
  <c r="F36" i="6"/>
  <c r="M136" i="8"/>
  <c r="M139" i="8"/>
  <c r="K130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M58" i="37"/>
  <c r="M67" i="37"/>
  <c r="F35" i="7"/>
  <c r="AH35" i="7" s="1"/>
  <c r="F25" i="7"/>
  <c r="AD25" i="7" s="1"/>
  <c r="F29" i="7"/>
  <c r="AD29" i="7" s="1"/>
  <c r="D9" i="1"/>
  <c r="F33" i="7"/>
  <c r="K128" i="32"/>
  <c r="K132" i="32"/>
  <c r="K222" i="33"/>
  <c r="K226" i="33"/>
  <c r="K230" i="33"/>
  <c r="K234" i="33"/>
  <c r="K238" i="33"/>
  <c r="I241" i="33"/>
  <c r="I137" i="32"/>
  <c r="J241" i="33"/>
  <c r="F19" i="7"/>
  <c r="I131" i="32"/>
  <c r="F45" i="7"/>
  <c r="AH45" i="7" s="1"/>
  <c r="F18" i="6"/>
  <c r="F24" i="6"/>
  <c r="F27" i="6"/>
  <c r="F41" i="6"/>
  <c r="M135" i="8"/>
  <c r="M138" i="8"/>
  <c r="M141" i="8"/>
  <c r="L47" i="30"/>
  <c r="B29" i="39" s="1"/>
  <c r="J129" i="32"/>
  <c r="J133" i="32"/>
  <c r="J137" i="32"/>
  <c r="J219" i="33"/>
  <c r="J223" i="33"/>
  <c r="J231" i="33"/>
  <c r="M53" i="37"/>
  <c r="H21" i="13"/>
  <c r="L27" i="37"/>
  <c r="K128" i="37"/>
  <c r="M30" i="37"/>
  <c r="M32" i="37"/>
  <c r="K133" i="37"/>
  <c r="M27" i="37"/>
  <c r="M29" i="37"/>
  <c r="M28" i="37"/>
  <c r="K129" i="37"/>
  <c r="M31" i="37"/>
  <c r="K132" i="37"/>
  <c r="M31" i="36"/>
  <c r="M28" i="36"/>
  <c r="K129" i="36"/>
  <c r="M41" i="36"/>
  <c r="K128" i="36"/>
  <c r="M30" i="36"/>
  <c r="M27" i="36"/>
  <c r="M29" i="36"/>
  <c r="L27" i="35"/>
  <c r="M28" i="35"/>
  <c r="K129" i="35"/>
  <c r="M31" i="35"/>
  <c r="K133" i="35"/>
  <c r="M41" i="35"/>
  <c r="K128" i="35"/>
  <c r="M33" i="35"/>
  <c r="M30" i="35"/>
  <c r="M32" i="35"/>
  <c r="K134" i="35"/>
  <c r="M134" i="35" s="1"/>
  <c r="M27" i="35"/>
  <c r="M29" i="35"/>
  <c r="M27" i="34"/>
  <c r="M31" i="34"/>
  <c r="K132" i="34"/>
  <c r="M28" i="34"/>
  <c r="M33" i="34"/>
  <c r="K134" i="34"/>
  <c r="M41" i="34"/>
  <c r="K128" i="34"/>
  <c r="M30" i="34"/>
  <c r="M29" i="34"/>
  <c r="K130" i="34"/>
  <c r="M32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M28" i="32"/>
  <c r="M41" i="32"/>
  <c r="M30" i="32"/>
  <c r="M32" i="32"/>
  <c r="M34" i="32"/>
  <c r="M36" i="32"/>
  <c r="M35" i="32"/>
  <c r="M27" i="32"/>
  <c r="M29" i="32"/>
  <c r="M31" i="32"/>
  <c r="M33" i="32"/>
  <c r="I130" i="30"/>
  <c r="K131" i="30"/>
  <c r="I131" i="30"/>
  <c r="I133" i="30"/>
  <c r="M44" i="8"/>
  <c r="M46" i="8"/>
  <c r="M48" i="8"/>
  <c r="K224" i="8"/>
  <c r="M228" i="8" s="1"/>
  <c r="M50" i="8"/>
  <c r="M52" i="8"/>
  <c r="M54" i="8"/>
  <c r="M56" i="8"/>
  <c r="M58" i="8"/>
  <c r="M60" i="8"/>
  <c r="M59" i="8"/>
  <c r="B22" i="13"/>
  <c r="C22" i="13" s="1"/>
  <c r="E22" i="13" s="1"/>
  <c r="B21" i="13"/>
  <c r="C21" i="13" s="1"/>
  <c r="E21" i="13" s="1"/>
  <c r="B18" i="13"/>
  <c r="C18" i="13" s="1"/>
  <c r="E18" i="13" s="1"/>
  <c r="F17" i="7"/>
  <c r="AH17" i="7" s="1"/>
  <c r="F21" i="7"/>
  <c r="T21" i="7" s="1"/>
  <c r="F27" i="7"/>
  <c r="AH27" i="7" s="1"/>
  <c r="F16" i="6"/>
  <c r="F19" i="6"/>
  <c r="AD20" i="6"/>
  <c r="B17" i="13"/>
  <c r="C17" i="13" s="1"/>
  <c r="E17" i="13" s="1"/>
  <c r="F15" i="7"/>
  <c r="F10" i="7"/>
  <c r="F14" i="7"/>
  <c r="F8" i="7"/>
  <c r="G8" i="7" s="1"/>
  <c r="F12" i="7"/>
  <c r="F16" i="7"/>
  <c r="F20" i="7"/>
  <c r="N20" i="7" s="1"/>
  <c r="F24" i="7"/>
  <c r="N24" i="7" s="1"/>
  <c r="F28" i="7"/>
  <c r="N28" i="7" s="1"/>
  <c r="F32" i="7"/>
  <c r="AD32" i="7" s="1"/>
  <c r="F36" i="7"/>
  <c r="T36" i="7" s="1"/>
  <c r="F18" i="7"/>
  <c r="T18" i="7" s="1"/>
  <c r="F22" i="7"/>
  <c r="T22" i="7" s="1"/>
  <c r="F26" i="7"/>
  <c r="F30" i="7"/>
  <c r="F34" i="7"/>
  <c r="AD34" i="7" s="1"/>
  <c r="AC46" i="7"/>
  <c r="B19" i="13" s="1"/>
  <c r="C19" i="13" s="1"/>
  <c r="E19" i="13" s="1"/>
  <c r="F44" i="7"/>
  <c r="N44" i="7" s="1"/>
  <c r="AJ20" i="6"/>
  <c r="H23" i="13"/>
  <c r="F22" i="6"/>
  <c r="F32" i="6"/>
  <c r="F21" i="6"/>
  <c r="T23" i="6"/>
  <c r="AF23" i="6"/>
  <c r="AL23" i="6"/>
  <c r="X23" i="6"/>
  <c r="P23" i="6"/>
  <c r="AJ23" i="6"/>
  <c r="F25" i="6"/>
  <c r="F15" i="6"/>
  <c r="G9" i="6" s="1"/>
  <c r="J23" i="6"/>
  <c r="F30" i="6"/>
  <c r="F17" i="6"/>
  <c r="N45" i="6"/>
  <c r="AH45" i="6"/>
  <c r="F34" i="6"/>
  <c r="F44" i="6"/>
  <c r="J45" i="6"/>
  <c r="P45" i="6"/>
  <c r="V45" i="6"/>
  <c r="AJ45" i="6"/>
  <c r="F29" i="6"/>
  <c r="F33" i="6"/>
  <c r="L45" i="6"/>
  <c r="X45" i="6"/>
  <c r="AD45" i="6"/>
  <c r="AL45" i="6"/>
  <c r="Z45" i="6"/>
  <c r="L27" i="32"/>
  <c r="L27" i="34"/>
  <c r="M34" i="35"/>
  <c r="M35" i="35"/>
  <c r="M36" i="35"/>
  <c r="M37" i="35"/>
  <c r="M38" i="35"/>
  <c r="M39" i="35"/>
  <c r="M40" i="35"/>
  <c r="L27" i="3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34" i="34"/>
  <c r="M35" i="34"/>
  <c r="M36" i="34"/>
  <c r="M37" i="34"/>
  <c r="M38" i="34"/>
  <c r="M39" i="34"/>
  <c r="M40" i="34"/>
  <c r="M33" i="37"/>
  <c r="M34" i="37"/>
  <c r="M35" i="37"/>
  <c r="M36" i="37"/>
  <c r="M37" i="37"/>
  <c r="M38" i="37"/>
  <c r="M39" i="37"/>
  <c r="M40" i="37"/>
  <c r="M41" i="37"/>
  <c r="M37" i="32"/>
  <c r="M38" i="32"/>
  <c r="M39" i="32"/>
  <c r="M40" i="32"/>
  <c r="L27" i="36"/>
  <c r="M32" i="36"/>
  <c r="M33" i="36"/>
  <c r="M34" i="36"/>
  <c r="M35" i="36"/>
  <c r="M36" i="36"/>
  <c r="M37" i="36"/>
  <c r="M38" i="36"/>
  <c r="M39" i="36"/>
  <c r="M40" i="36"/>
  <c r="M54" i="34"/>
  <c r="M55" i="34"/>
  <c r="M56" i="34"/>
  <c r="M57" i="34"/>
  <c r="M58" i="34"/>
  <c r="M59" i="34"/>
  <c r="M60" i="34"/>
  <c r="M61" i="34"/>
  <c r="M57" i="32"/>
  <c r="M58" i="32"/>
  <c r="M59" i="32"/>
  <c r="M60" i="32"/>
  <c r="M61" i="32"/>
  <c r="M47" i="30"/>
  <c r="L47" i="32"/>
  <c r="B30" i="39" s="1"/>
  <c r="L47" i="34"/>
  <c r="B33" i="39" s="1"/>
  <c r="M47" i="35"/>
  <c r="M56" i="37"/>
  <c r="M60" i="37"/>
  <c r="M54" i="30"/>
  <c r="M55" i="30"/>
  <c r="M56" i="30"/>
  <c r="M57" i="30"/>
  <c r="M58" i="30"/>
  <c r="M59" i="30"/>
  <c r="M60" i="30"/>
  <c r="M54" i="35"/>
  <c r="M55" i="35"/>
  <c r="M56" i="35"/>
  <c r="M57" i="35"/>
  <c r="M58" i="35"/>
  <c r="M59" i="35"/>
  <c r="M60" i="35"/>
  <c r="L47" i="36"/>
  <c r="B35" i="39" s="1"/>
  <c r="M52" i="36"/>
  <c r="M53" i="36"/>
  <c r="M54" i="36"/>
  <c r="M55" i="36"/>
  <c r="M56" i="36"/>
  <c r="M57" i="36"/>
  <c r="M58" i="36"/>
  <c r="M59" i="36"/>
  <c r="M60" i="36"/>
  <c r="L47" i="37"/>
  <c r="B36" i="39" s="1"/>
  <c r="M55" i="37"/>
  <c r="M78" i="32"/>
  <c r="M79" i="32"/>
  <c r="M80" i="32"/>
  <c r="M81" i="32"/>
  <c r="M67" i="34"/>
  <c r="M75" i="34"/>
  <c r="M76" i="34"/>
  <c r="M77" i="34"/>
  <c r="M78" i="34"/>
  <c r="M79" i="34"/>
  <c r="M80" i="34"/>
  <c r="M77" i="35"/>
  <c r="M78" i="35"/>
  <c r="M79" i="35"/>
  <c r="M80" i="35"/>
  <c r="M81" i="35"/>
  <c r="M72" i="36"/>
  <c r="M73" i="36"/>
  <c r="M74" i="36"/>
  <c r="M75" i="36"/>
  <c r="M76" i="36"/>
  <c r="M77" i="36"/>
  <c r="M78" i="36"/>
  <c r="M79" i="36"/>
  <c r="M80" i="36"/>
  <c r="M81" i="36"/>
  <c r="L67" i="3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1" i="31"/>
  <c r="L67" i="35"/>
  <c r="M73" i="37"/>
  <c r="M74" i="37"/>
  <c r="M75" i="37"/>
  <c r="M76" i="37"/>
  <c r="M77" i="37"/>
  <c r="M78" i="37"/>
  <c r="M79" i="37"/>
  <c r="M80" i="37"/>
  <c r="M101" i="31"/>
  <c r="M118" i="31"/>
  <c r="M114" i="31"/>
  <c r="M110" i="31"/>
  <c r="M121" i="31"/>
  <c r="M117" i="31"/>
  <c r="M113" i="31"/>
  <c r="M109" i="31"/>
  <c r="M120" i="31"/>
  <c r="M116" i="31"/>
  <c r="M112" i="31"/>
  <c r="M119" i="31"/>
  <c r="M115" i="31"/>
  <c r="M111" i="31"/>
  <c r="U22" i="37"/>
  <c r="Z22" i="37" s="1"/>
  <c r="AE22" i="37" s="1"/>
  <c r="AJ22" i="37" s="1"/>
  <c r="AO22" i="37" s="1"/>
  <c r="AT22" i="37" s="1"/>
  <c r="P42" i="37"/>
  <c r="U22" i="36"/>
  <c r="Z22" i="36" s="1"/>
  <c r="AE22" i="36" s="1"/>
  <c r="AJ22" i="36" s="1"/>
  <c r="AO22" i="36" s="1"/>
  <c r="AT22" i="36" s="1"/>
  <c r="P42" i="36"/>
  <c r="P42" i="35"/>
  <c r="U22" i="35"/>
  <c r="Z22" i="35" s="1"/>
  <c r="AE22" i="35" s="1"/>
  <c r="AJ22" i="35" s="1"/>
  <c r="AO22" i="35" s="1"/>
  <c r="AT22" i="35" s="1"/>
  <c r="P42" i="34"/>
  <c r="U22" i="34"/>
  <c r="Z22" i="34" s="1"/>
  <c r="AE22" i="34" s="1"/>
  <c r="AJ22" i="34" s="1"/>
  <c r="AO22" i="34" s="1"/>
  <c r="AT22" i="34" s="1"/>
  <c r="P42" i="31"/>
  <c r="U22" i="31"/>
  <c r="Z22" i="31" s="1"/>
  <c r="AE22" i="31" s="1"/>
  <c r="AJ22" i="31" s="1"/>
  <c r="AO22" i="31" s="1"/>
  <c r="AT22" i="31" s="1"/>
  <c r="J128" i="31"/>
  <c r="P42" i="32"/>
  <c r="U22" i="32"/>
  <c r="Z22" i="32" s="1"/>
  <c r="AE22" i="32" s="1"/>
  <c r="AJ22" i="32" s="1"/>
  <c r="AO22" i="32" s="1"/>
  <c r="AT22" i="32" s="1"/>
  <c r="U22" i="30"/>
  <c r="Z22" i="30" s="1"/>
  <c r="AE22" i="30" s="1"/>
  <c r="AJ22" i="30" s="1"/>
  <c r="AO22" i="30" s="1"/>
  <c r="AT22" i="30" s="1"/>
  <c r="P42" i="30"/>
  <c r="M132" i="30"/>
  <c r="L42" i="33"/>
  <c r="M42" i="33"/>
  <c r="M66" i="33"/>
  <c r="M67" i="33"/>
  <c r="M68" i="33"/>
  <c r="M69" i="33"/>
  <c r="M70" i="33"/>
  <c r="L77" i="33"/>
  <c r="B32" i="39" s="1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M99" i="8"/>
  <c r="M100" i="8"/>
  <c r="M101" i="8"/>
  <c r="M102" i="8"/>
  <c r="M103" i="8"/>
  <c r="M104" i="8"/>
  <c r="M105" i="8"/>
  <c r="M106" i="8"/>
  <c r="M42" i="8"/>
  <c r="L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L47" i="31"/>
  <c r="B31" i="39" s="1"/>
  <c r="S47" i="31"/>
  <c r="M47" i="31"/>
  <c r="T47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1" i="31"/>
  <c r="S48" i="31"/>
  <c r="S49" i="31"/>
  <c r="S50" i="31"/>
  <c r="S51" i="31"/>
  <c r="S52" i="31"/>
  <c r="S53" i="31"/>
  <c r="S54" i="31"/>
  <c r="S55" i="31"/>
  <c r="S56" i="31"/>
  <c r="S57" i="31"/>
  <c r="S58" i="31"/>
  <c r="S59" i="31"/>
  <c r="S60" i="31"/>
  <c r="D10" i="39"/>
  <c r="I11" i="13"/>
  <c r="K11" i="13" s="1"/>
  <c r="AC47" i="6"/>
  <c r="F39" i="6"/>
  <c r="M47" i="6"/>
  <c r="F38" i="6"/>
  <c r="F42" i="6"/>
  <c r="F40" i="6"/>
  <c r="F43" i="7"/>
  <c r="AH43" i="7" s="1"/>
  <c r="S46" i="7"/>
  <c r="S47" i="7" s="1"/>
  <c r="F39" i="7"/>
  <c r="AH39" i="7" s="1"/>
  <c r="F38" i="7"/>
  <c r="N38" i="7" s="1"/>
  <c r="F42" i="7"/>
  <c r="N42" i="7" s="1"/>
  <c r="M46" i="7"/>
  <c r="B15" i="13" s="1"/>
  <c r="C15" i="13" s="1"/>
  <c r="F41" i="7"/>
  <c r="F40" i="7"/>
  <c r="N40" i="7" s="1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H22" i="13"/>
  <c r="AE47" i="6"/>
  <c r="F37" i="6"/>
  <c r="B20" i="13"/>
  <c r="C20" i="13" s="1"/>
  <c r="E20" i="13" s="1"/>
  <c r="F37" i="7"/>
  <c r="AL37" i="7" s="1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L87" i="37"/>
  <c r="M91" i="37"/>
  <c r="M88" i="37"/>
  <c r="M90" i="37"/>
  <c r="M92" i="37"/>
  <c r="M87" i="37"/>
  <c r="M89" i="37"/>
  <c r="M93" i="37"/>
  <c r="M94" i="37"/>
  <c r="M95" i="37"/>
  <c r="M96" i="37"/>
  <c r="M97" i="37"/>
  <c r="M98" i="37"/>
  <c r="M99" i="37"/>
  <c r="M100" i="37"/>
  <c r="M101" i="37"/>
  <c r="M101" i="36"/>
  <c r="M88" i="36"/>
  <c r="L87" i="36"/>
  <c r="M89" i="36"/>
  <c r="M87" i="36"/>
  <c r="M91" i="36"/>
  <c r="M92" i="36"/>
  <c r="M93" i="36"/>
  <c r="M94" i="36"/>
  <c r="M95" i="36"/>
  <c r="M96" i="36"/>
  <c r="M97" i="36"/>
  <c r="M98" i="36"/>
  <c r="M99" i="36"/>
  <c r="M100" i="36"/>
  <c r="M90" i="36"/>
  <c r="M91" i="35"/>
  <c r="L87" i="35"/>
  <c r="M88" i="35"/>
  <c r="M90" i="35"/>
  <c r="M92" i="35"/>
  <c r="M87" i="35"/>
  <c r="M89" i="35"/>
  <c r="M93" i="35"/>
  <c r="M94" i="35"/>
  <c r="M95" i="35"/>
  <c r="M96" i="35"/>
  <c r="M97" i="35"/>
  <c r="M98" i="35"/>
  <c r="M99" i="35"/>
  <c r="M100" i="35"/>
  <c r="M101" i="35"/>
  <c r="M88" i="34"/>
  <c r="M91" i="34"/>
  <c r="M101" i="34"/>
  <c r="M92" i="34"/>
  <c r="M89" i="34"/>
  <c r="M93" i="34"/>
  <c r="L87" i="34"/>
  <c r="M87" i="34"/>
  <c r="M90" i="34"/>
  <c r="M94" i="34"/>
  <c r="M95" i="34"/>
  <c r="M96" i="34"/>
  <c r="M97" i="34"/>
  <c r="M98" i="34"/>
  <c r="M99" i="34"/>
  <c r="M100" i="34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88" i="31"/>
  <c r="M89" i="31"/>
  <c r="M90" i="31"/>
  <c r="M91" i="31"/>
  <c r="M92" i="31"/>
  <c r="M93" i="31"/>
  <c r="M94" i="31"/>
  <c r="L87" i="31"/>
  <c r="M87" i="31"/>
  <c r="M95" i="31"/>
  <c r="M96" i="31"/>
  <c r="M97" i="31"/>
  <c r="M98" i="31"/>
  <c r="M99" i="31"/>
  <c r="M100" i="31"/>
  <c r="M95" i="32"/>
  <c r="L87" i="32"/>
  <c r="M88" i="32"/>
  <c r="M90" i="32"/>
  <c r="M92" i="32"/>
  <c r="M94" i="32"/>
  <c r="M96" i="32"/>
  <c r="M87" i="32"/>
  <c r="M89" i="32"/>
  <c r="M93" i="32"/>
  <c r="M97" i="32"/>
  <c r="M98" i="32"/>
  <c r="M99" i="32"/>
  <c r="M100" i="32"/>
  <c r="M101" i="32"/>
  <c r="M91" i="32"/>
  <c r="M91" i="30"/>
  <c r="M87" i="30"/>
  <c r="M90" i="30"/>
  <c r="M89" i="30"/>
  <c r="M93" i="30"/>
  <c r="M94" i="30"/>
  <c r="M95" i="30"/>
  <c r="M96" i="30"/>
  <c r="M97" i="30"/>
  <c r="M98" i="30"/>
  <c r="M99" i="30"/>
  <c r="M100" i="30"/>
  <c r="M101" i="30"/>
  <c r="M88" i="30"/>
  <c r="M92" i="30"/>
  <c r="L87" i="30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AH23" i="7" l="1"/>
  <c r="G23" i="7"/>
  <c r="AF45" i="6"/>
  <c r="AB45" i="6"/>
  <c r="R45" i="6"/>
  <c r="AD23" i="6"/>
  <c r="G23" i="6"/>
  <c r="AD30" i="7"/>
  <c r="G30" i="7"/>
  <c r="G30" i="6"/>
  <c r="R44" i="6"/>
  <c r="AB44" i="6"/>
  <c r="N40" i="6"/>
  <c r="AB40" i="6"/>
  <c r="R40" i="6"/>
  <c r="AJ41" i="6"/>
  <c r="AB41" i="6"/>
  <c r="R41" i="6"/>
  <c r="AB42" i="6"/>
  <c r="R42" i="6"/>
  <c r="G16" i="6"/>
  <c r="G16" i="7"/>
  <c r="G9" i="7"/>
  <c r="V26" i="6"/>
  <c r="AH16" i="6"/>
  <c r="AB16" i="6"/>
  <c r="R16" i="6"/>
  <c r="AB15" i="6"/>
  <c r="R15" i="6"/>
  <c r="N17" i="6"/>
  <c r="R17" i="6"/>
  <c r="AB17" i="6"/>
  <c r="L18" i="6"/>
  <c r="R18" i="6"/>
  <c r="AB18" i="6"/>
  <c r="C1" i="30"/>
  <c r="AH39" i="6"/>
  <c r="R39" i="6"/>
  <c r="AB39" i="6"/>
  <c r="N38" i="6"/>
  <c r="R38" i="6"/>
  <c r="AB38" i="6"/>
  <c r="AB34" i="6"/>
  <c r="R34" i="6"/>
  <c r="AF36" i="6"/>
  <c r="AB36" i="6"/>
  <c r="R36" i="6"/>
  <c r="AL37" i="6"/>
  <c r="AB37" i="6"/>
  <c r="R37" i="6"/>
  <c r="N33" i="6"/>
  <c r="R33" i="6"/>
  <c r="AB33" i="6"/>
  <c r="AF35" i="6"/>
  <c r="AB35" i="6"/>
  <c r="R35" i="6"/>
  <c r="AD33" i="7"/>
  <c r="D11" i="39"/>
  <c r="AD26" i="7"/>
  <c r="L26" i="6"/>
  <c r="AF28" i="6"/>
  <c r="AD26" i="6"/>
  <c r="AF26" i="6"/>
  <c r="L28" i="6"/>
  <c r="J26" i="6"/>
  <c r="AB30" i="6"/>
  <c r="R30" i="6"/>
  <c r="AH28" i="6"/>
  <c r="AB28" i="6"/>
  <c r="R28" i="6"/>
  <c r="AH26" i="6"/>
  <c r="AB26" i="6"/>
  <c r="R26" i="6"/>
  <c r="N29" i="6"/>
  <c r="AB29" i="6"/>
  <c r="R29" i="6"/>
  <c r="N32" i="6"/>
  <c r="AB32" i="6"/>
  <c r="R32" i="6"/>
  <c r="AD27" i="6"/>
  <c r="AB27" i="6"/>
  <c r="R27" i="6"/>
  <c r="AF31" i="6"/>
  <c r="AB31" i="6"/>
  <c r="R31" i="6"/>
  <c r="L23" i="6"/>
  <c r="Z23" i="6"/>
  <c r="N23" i="6"/>
  <c r="T20" i="6"/>
  <c r="AF20" i="6"/>
  <c r="V23" i="6"/>
  <c r="N25" i="6"/>
  <c r="R25" i="6"/>
  <c r="AB25" i="6"/>
  <c r="L22" i="6"/>
  <c r="R22" i="6"/>
  <c r="AB22" i="6"/>
  <c r="R19" i="6"/>
  <c r="AB19" i="6"/>
  <c r="N21" i="6"/>
  <c r="R21" i="6"/>
  <c r="AB21" i="6"/>
  <c r="AH20" i="6"/>
  <c r="AB20" i="6"/>
  <c r="R20" i="6"/>
  <c r="AH23" i="6"/>
  <c r="R23" i="6"/>
  <c r="AB23" i="6"/>
  <c r="V24" i="6"/>
  <c r="AB24" i="6"/>
  <c r="R24" i="6"/>
  <c r="AL20" i="6"/>
  <c r="N20" i="6"/>
  <c r="P20" i="6"/>
  <c r="AH19" i="6"/>
  <c r="AB19" i="7"/>
  <c r="AL28" i="6"/>
  <c r="T45" i="6"/>
  <c r="N35" i="6"/>
  <c r="J27" i="6"/>
  <c r="P26" i="6"/>
  <c r="X26" i="6"/>
  <c r="N26" i="6"/>
  <c r="T26" i="6"/>
  <c r="AJ26" i="6"/>
  <c r="AL26" i="6"/>
  <c r="V23" i="7"/>
  <c r="Z20" i="6"/>
  <c r="L20" i="6"/>
  <c r="X20" i="6"/>
  <c r="J20" i="6"/>
  <c r="H12" i="6"/>
  <c r="AF46" i="6" s="1"/>
  <c r="H12" i="7"/>
  <c r="AH46" i="7" s="1"/>
  <c r="Z18" i="6"/>
  <c r="AL18" i="6"/>
  <c r="Z28" i="6"/>
  <c r="AJ28" i="6"/>
  <c r="T31" i="6"/>
  <c r="V28" i="6"/>
  <c r="AL41" i="6"/>
  <c r="N36" i="6"/>
  <c r="AD31" i="6"/>
  <c r="V31" i="6"/>
  <c r="AB23" i="7"/>
  <c r="J23" i="7"/>
  <c r="N23" i="7"/>
  <c r="Z23" i="7"/>
  <c r="AL23" i="7"/>
  <c r="P23" i="7"/>
  <c r="AF23" i="7"/>
  <c r="L23" i="7"/>
  <c r="R23" i="7"/>
  <c r="AJ23" i="7"/>
  <c r="X23" i="7"/>
  <c r="AD23" i="7"/>
  <c r="X24" i="6"/>
  <c r="AD24" i="6"/>
  <c r="AF24" i="6"/>
  <c r="P24" i="6"/>
  <c r="AH24" i="6"/>
  <c r="AJ24" i="6"/>
  <c r="X28" i="6"/>
  <c r="AD28" i="6"/>
  <c r="N28" i="6"/>
  <c r="J28" i="6"/>
  <c r="P28" i="6"/>
  <c r="P19" i="7"/>
  <c r="V19" i="7"/>
  <c r="AL19" i="7"/>
  <c r="Z19" i="7"/>
  <c r="AH19" i="7"/>
  <c r="AH15" i="7"/>
  <c r="J18" i="6"/>
  <c r="P18" i="6"/>
  <c r="X18" i="6"/>
  <c r="N15" i="6"/>
  <c r="Z31" i="6"/>
  <c r="X31" i="6"/>
  <c r="P31" i="6"/>
  <c r="N31" i="6"/>
  <c r="AJ27" i="6"/>
  <c r="L31" i="6"/>
  <c r="J31" i="6"/>
  <c r="Z27" i="6"/>
  <c r="AL31" i="6"/>
  <c r="AJ31" i="6"/>
  <c r="AH31" i="6"/>
  <c r="AF27" i="6"/>
  <c r="T19" i="7"/>
  <c r="R35" i="7"/>
  <c r="J19" i="7"/>
  <c r="T23" i="7"/>
  <c r="N19" i="7"/>
  <c r="AF19" i="7"/>
  <c r="R19" i="7"/>
  <c r="N31" i="7"/>
  <c r="X19" i="7"/>
  <c r="AD19" i="7"/>
  <c r="AJ19" i="7"/>
  <c r="L19" i="7"/>
  <c r="J35" i="7"/>
  <c r="AL8" i="7"/>
  <c r="X8" i="7"/>
  <c r="R8" i="7"/>
  <c r="L8" i="7"/>
  <c r="AJ8" i="7"/>
  <c r="V8" i="7"/>
  <c r="P8" i="7"/>
  <c r="J8" i="7"/>
  <c r="AH8" i="7"/>
  <c r="AB8" i="7"/>
  <c r="AF8" i="7"/>
  <c r="Z8" i="7"/>
  <c r="N8" i="7"/>
  <c r="T8" i="7"/>
  <c r="AD8" i="7"/>
  <c r="AL14" i="7"/>
  <c r="X14" i="7"/>
  <c r="R14" i="7"/>
  <c r="L14" i="7"/>
  <c r="AJ14" i="7"/>
  <c r="V14" i="7"/>
  <c r="P14" i="7"/>
  <c r="J14" i="7"/>
  <c r="AH14" i="7"/>
  <c r="AB14" i="7"/>
  <c r="AF14" i="7"/>
  <c r="Z14" i="7"/>
  <c r="AD14" i="7"/>
  <c r="T14" i="7"/>
  <c r="N14" i="7"/>
  <c r="AL10" i="7"/>
  <c r="X10" i="7"/>
  <c r="R10" i="7"/>
  <c r="L10" i="7"/>
  <c r="AJ10" i="7"/>
  <c r="V10" i="7"/>
  <c r="P10" i="7"/>
  <c r="J10" i="7"/>
  <c r="AH10" i="7"/>
  <c r="AB10" i="7"/>
  <c r="AF10" i="7"/>
  <c r="Z10" i="7"/>
  <c r="N10" i="7"/>
  <c r="AD10" i="7"/>
  <c r="T10" i="7"/>
  <c r="AL12" i="7"/>
  <c r="X12" i="7"/>
  <c r="R12" i="7"/>
  <c r="L12" i="7"/>
  <c r="AJ12" i="7"/>
  <c r="V12" i="7"/>
  <c r="P12" i="7"/>
  <c r="J12" i="7"/>
  <c r="AH12" i="7"/>
  <c r="AB12" i="7"/>
  <c r="AF12" i="7"/>
  <c r="Z12" i="7"/>
  <c r="N12" i="7"/>
  <c r="AD12" i="7"/>
  <c r="T12" i="7"/>
  <c r="T36" i="6"/>
  <c r="AL35" i="7"/>
  <c r="J31" i="7"/>
  <c r="L31" i="7"/>
  <c r="X31" i="7"/>
  <c r="Z29" i="7"/>
  <c r="AB35" i="7"/>
  <c r="V35" i="7"/>
  <c r="AB31" i="7"/>
  <c r="L29" i="7"/>
  <c r="AL31" i="7"/>
  <c r="X29" i="7"/>
  <c r="R31" i="7"/>
  <c r="P31" i="7"/>
  <c r="V31" i="7"/>
  <c r="AJ31" i="7"/>
  <c r="Z31" i="7"/>
  <c r="L35" i="7"/>
  <c r="P35" i="7"/>
  <c r="AF31" i="7"/>
  <c r="X35" i="7"/>
  <c r="AH29" i="7"/>
  <c r="AF35" i="7"/>
  <c r="N35" i="7"/>
  <c r="AD35" i="7"/>
  <c r="N29" i="7"/>
  <c r="T35" i="7"/>
  <c r="T29" i="7"/>
  <c r="R33" i="7"/>
  <c r="AD31" i="7"/>
  <c r="T31" i="7"/>
  <c r="AL29" i="7"/>
  <c r="AB29" i="7"/>
  <c r="R29" i="7"/>
  <c r="L33" i="7"/>
  <c r="T33" i="7"/>
  <c r="AB33" i="7"/>
  <c r="Z33" i="7"/>
  <c r="AF29" i="7"/>
  <c r="AF33" i="7"/>
  <c r="J29" i="7"/>
  <c r="AH33" i="7"/>
  <c r="J33" i="7"/>
  <c r="P29" i="7"/>
  <c r="X33" i="7"/>
  <c r="P33" i="7"/>
  <c r="V29" i="7"/>
  <c r="N33" i="7"/>
  <c r="V33" i="7"/>
  <c r="AJ29" i="7"/>
  <c r="AD43" i="7"/>
  <c r="AH41" i="6"/>
  <c r="AZ18" i="30"/>
  <c r="P27" i="6"/>
  <c r="X36" i="6"/>
  <c r="J36" i="6"/>
  <c r="R45" i="7"/>
  <c r="AF41" i="6"/>
  <c r="AZ14" i="30"/>
  <c r="L27" i="6"/>
  <c r="L45" i="7"/>
  <c r="Z45" i="7"/>
  <c r="Z41" i="6"/>
  <c r="AZ27" i="33"/>
  <c r="X27" i="6"/>
  <c r="V45" i="7"/>
  <c r="T32" i="7"/>
  <c r="AL27" i="6"/>
  <c r="L36" i="6"/>
  <c r="N27" i="6"/>
  <c r="P41" i="6"/>
  <c r="L41" i="6"/>
  <c r="Z36" i="6"/>
  <c r="AJ36" i="6"/>
  <c r="V41" i="6"/>
  <c r="X41" i="6"/>
  <c r="J41" i="6"/>
  <c r="AD41" i="6"/>
  <c r="AH36" i="6"/>
  <c r="V36" i="6"/>
  <c r="P36" i="6"/>
  <c r="T41" i="6"/>
  <c r="N41" i="6"/>
  <c r="V27" i="6"/>
  <c r="AL36" i="6"/>
  <c r="AH27" i="6"/>
  <c r="AB45" i="7"/>
  <c r="AJ35" i="7"/>
  <c r="Z32" i="6"/>
  <c r="AD35" i="6"/>
  <c r="P35" i="6"/>
  <c r="AJ35" i="6"/>
  <c r="Z35" i="6"/>
  <c r="L35" i="6"/>
  <c r="AH35" i="6"/>
  <c r="AL35" i="6"/>
  <c r="J35" i="6"/>
  <c r="X35" i="6"/>
  <c r="V35" i="6"/>
  <c r="T35" i="6"/>
  <c r="C1" i="37"/>
  <c r="B36" i="13" s="1"/>
  <c r="L128" i="30"/>
  <c r="X27" i="7"/>
  <c r="T25" i="7"/>
  <c r="X25" i="7"/>
  <c r="L25" i="7"/>
  <c r="AH25" i="7"/>
  <c r="N25" i="7"/>
  <c r="J27" i="7"/>
  <c r="AB25" i="7"/>
  <c r="R25" i="7"/>
  <c r="AL25" i="7"/>
  <c r="Z25" i="7"/>
  <c r="AF25" i="7"/>
  <c r="J25" i="7"/>
  <c r="P25" i="7"/>
  <c r="V25" i="7"/>
  <c r="AJ25" i="7"/>
  <c r="T32" i="6"/>
  <c r="L17" i="7"/>
  <c r="AH18" i="6"/>
  <c r="AD18" i="6"/>
  <c r="L24" i="6"/>
  <c r="AD44" i="7"/>
  <c r="AJ45" i="7"/>
  <c r="AB27" i="7"/>
  <c r="T27" i="7"/>
  <c r="AZ18" i="33"/>
  <c r="AZ10" i="33"/>
  <c r="AZ17" i="30"/>
  <c r="AZ15" i="30"/>
  <c r="AZ9" i="31"/>
  <c r="AZ30" i="33"/>
  <c r="AZ22" i="33"/>
  <c r="AZ21" i="31"/>
  <c r="N43" i="7"/>
  <c r="M140" i="30"/>
  <c r="M133" i="30"/>
  <c r="T24" i="6"/>
  <c r="Z24" i="6"/>
  <c r="N18" i="6"/>
  <c r="T27" i="6"/>
  <c r="AD32" i="6"/>
  <c r="V27" i="7"/>
  <c r="AL33" i="7"/>
  <c r="AZ11" i="33"/>
  <c r="AZ34" i="33"/>
  <c r="AZ19" i="30"/>
  <c r="AZ10" i="31"/>
  <c r="AB43" i="7"/>
  <c r="M134" i="30"/>
  <c r="T39" i="7"/>
  <c r="M138" i="30"/>
  <c r="M131" i="30"/>
  <c r="AF18" i="6"/>
  <c r="Z27" i="7"/>
  <c r="X45" i="7"/>
  <c r="AZ19" i="33"/>
  <c r="AZ35" i="33"/>
  <c r="AZ8" i="30"/>
  <c r="AZ11" i="31"/>
  <c r="M141" i="30"/>
  <c r="AZ34" i="8"/>
  <c r="AZ30" i="8"/>
  <c r="AZ24" i="8"/>
  <c r="AZ22" i="8"/>
  <c r="AZ29" i="8"/>
  <c r="AZ12" i="8"/>
  <c r="AZ10" i="8"/>
  <c r="AZ17" i="8"/>
  <c r="AZ35" i="8"/>
  <c r="AZ18" i="8"/>
  <c r="AZ28" i="8"/>
  <c r="AZ23" i="8"/>
  <c r="AZ7" i="8"/>
  <c r="AZ33" i="8"/>
  <c r="AZ16" i="8"/>
  <c r="AZ11" i="8"/>
  <c r="AZ21" i="8"/>
  <c r="AZ27" i="8"/>
  <c r="AZ9" i="8"/>
  <c r="AZ15" i="8"/>
  <c r="AZ32" i="8"/>
  <c r="AZ26" i="8"/>
  <c r="AZ20" i="8"/>
  <c r="AZ14" i="8"/>
  <c r="AZ8" i="8"/>
  <c r="AZ25" i="8"/>
  <c r="AZ19" i="8"/>
  <c r="AZ31" i="8"/>
  <c r="AZ13" i="8"/>
  <c r="M142" i="30"/>
  <c r="M129" i="30"/>
  <c r="AF32" i="6"/>
  <c r="T18" i="6"/>
  <c r="N24" i="6"/>
  <c r="AL45" i="7"/>
  <c r="N45" i="7"/>
  <c r="AZ31" i="33"/>
  <c r="AZ12" i="33"/>
  <c r="AZ20" i="30"/>
  <c r="AZ12" i="31"/>
  <c r="AZ8" i="33"/>
  <c r="AZ24" i="33"/>
  <c r="AZ9" i="30"/>
  <c r="AZ13" i="31"/>
  <c r="AZ20" i="33"/>
  <c r="AZ13" i="33"/>
  <c r="AZ21" i="30"/>
  <c r="AZ15" i="31"/>
  <c r="X39" i="7"/>
  <c r="AZ32" i="33"/>
  <c r="AZ25" i="33"/>
  <c r="AZ11" i="30"/>
  <c r="AZ14" i="31"/>
  <c r="AD36" i="6"/>
  <c r="M128" i="30"/>
  <c r="M135" i="30"/>
  <c r="V18" i="6"/>
  <c r="J24" i="6"/>
  <c r="AF45" i="7"/>
  <c r="AZ16" i="33"/>
  <c r="AZ9" i="33"/>
  <c r="AZ14" i="33"/>
  <c r="AZ10" i="30"/>
  <c r="AZ7" i="31"/>
  <c r="AZ16" i="31"/>
  <c r="AZ28" i="33"/>
  <c r="AZ21" i="33"/>
  <c r="AZ26" i="33"/>
  <c r="AZ12" i="30"/>
  <c r="AZ19" i="31"/>
  <c r="AZ17" i="31"/>
  <c r="M139" i="30"/>
  <c r="M137" i="30"/>
  <c r="M130" i="30"/>
  <c r="AJ18" i="6"/>
  <c r="AL24" i="6"/>
  <c r="J45" i="7"/>
  <c r="AD45" i="7"/>
  <c r="C1" i="34"/>
  <c r="L27" i="7"/>
  <c r="P45" i="7"/>
  <c r="Z35" i="7"/>
  <c r="T45" i="7"/>
  <c r="AJ33" i="7"/>
  <c r="AZ17" i="33"/>
  <c r="AZ33" i="33"/>
  <c r="AZ15" i="33"/>
  <c r="AZ7" i="30"/>
  <c r="AZ13" i="30"/>
  <c r="AZ8" i="31"/>
  <c r="AZ18" i="31"/>
  <c r="AZ7" i="33"/>
  <c r="AZ29" i="33"/>
  <c r="AZ23" i="33"/>
  <c r="AZ16" i="30"/>
  <c r="P107" i="33"/>
  <c r="U72" i="33"/>
  <c r="Z72" i="33" s="1"/>
  <c r="AE72" i="33" s="1"/>
  <c r="AJ72" i="33" s="1"/>
  <c r="AO72" i="33" s="1"/>
  <c r="AT72" i="33" s="1"/>
  <c r="K15" i="39"/>
  <c r="I24" i="39"/>
  <c r="L19" i="6"/>
  <c r="AF19" i="6"/>
  <c r="AJ19" i="6"/>
  <c r="X19" i="6"/>
  <c r="Z19" i="6"/>
  <c r="V22" i="6"/>
  <c r="T22" i="6"/>
  <c r="J16" i="6"/>
  <c r="AD22" i="6"/>
  <c r="N22" i="6"/>
  <c r="AH22" i="6"/>
  <c r="P22" i="6"/>
  <c r="X22" i="6"/>
  <c r="AF22" i="6"/>
  <c r="AJ22" i="6"/>
  <c r="AL22" i="6"/>
  <c r="Z22" i="6"/>
  <c r="J22" i="6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AB21" i="7"/>
  <c r="AB17" i="7"/>
  <c r="X17" i="7"/>
  <c r="AL17" i="7"/>
  <c r="AF17" i="7"/>
  <c r="X21" i="7"/>
  <c r="P17" i="7"/>
  <c r="AD15" i="7"/>
  <c r="AJ17" i="7"/>
  <c r="J21" i="7"/>
  <c r="AC47" i="7"/>
  <c r="L21" i="7"/>
  <c r="Z21" i="7"/>
  <c r="Z15" i="7"/>
  <c r="V21" i="7"/>
  <c r="AB15" i="7"/>
  <c r="N15" i="7"/>
  <c r="J15" i="7"/>
  <c r="AH21" i="7"/>
  <c r="R21" i="7"/>
  <c r="P21" i="7"/>
  <c r="AL15" i="7"/>
  <c r="P15" i="7"/>
  <c r="X15" i="7"/>
  <c r="AD21" i="7"/>
  <c r="N21" i="7"/>
  <c r="AL21" i="7"/>
  <c r="AF21" i="7"/>
  <c r="AJ21" i="7"/>
  <c r="T15" i="7"/>
  <c r="L15" i="7"/>
  <c r="R15" i="7"/>
  <c r="AF15" i="7"/>
  <c r="B16" i="13"/>
  <c r="C16" i="13" s="1"/>
  <c r="E16" i="13" s="1"/>
  <c r="R17" i="7"/>
  <c r="Z17" i="7"/>
  <c r="V17" i="7"/>
  <c r="N17" i="7"/>
  <c r="T17" i="7"/>
  <c r="AD17" i="7"/>
  <c r="J17" i="7"/>
  <c r="AL27" i="7"/>
  <c r="P27" i="7"/>
  <c r="AF27" i="7"/>
  <c r="AD27" i="7"/>
  <c r="R27" i="7"/>
  <c r="AJ27" i="7"/>
  <c r="T24" i="7"/>
  <c r="N27" i="7"/>
  <c r="V15" i="7"/>
  <c r="AJ15" i="7"/>
  <c r="V19" i="6"/>
  <c r="AD19" i="6"/>
  <c r="J19" i="6"/>
  <c r="P19" i="6"/>
  <c r="AL19" i="6"/>
  <c r="AF16" i="6"/>
  <c r="N16" i="6"/>
  <c r="P16" i="6"/>
  <c r="T16" i="6"/>
  <c r="X16" i="6"/>
  <c r="L16" i="6"/>
  <c r="AD16" i="6"/>
  <c r="Z16" i="6"/>
  <c r="V16" i="6"/>
  <c r="AL16" i="6"/>
  <c r="AJ16" i="6"/>
  <c r="H15" i="13"/>
  <c r="T19" i="6"/>
  <c r="N19" i="6"/>
  <c r="I7" i="13"/>
  <c r="K7" i="13" s="1"/>
  <c r="AD28" i="7"/>
  <c r="AD24" i="7"/>
  <c r="AD20" i="7"/>
  <c r="T28" i="7"/>
  <c r="N16" i="7"/>
  <c r="T20" i="7"/>
  <c r="M47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N32" i="7"/>
  <c r="AH24" i="7"/>
  <c r="AB24" i="7"/>
  <c r="AL24" i="7"/>
  <c r="X24" i="7"/>
  <c r="R24" i="7"/>
  <c r="L24" i="7"/>
  <c r="AJ24" i="7"/>
  <c r="V24" i="7"/>
  <c r="J24" i="7"/>
  <c r="AF24" i="7"/>
  <c r="P24" i="7"/>
  <c r="Z24" i="7"/>
  <c r="N18" i="7"/>
  <c r="AL34" i="7"/>
  <c r="X34" i="7"/>
  <c r="R34" i="7"/>
  <c r="L34" i="7"/>
  <c r="AH34" i="7"/>
  <c r="AB34" i="7"/>
  <c r="P34" i="7"/>
  <c r="Z34" i="7"/>
  <c r="AJ34" i="7"/>
  <c r="V34" i="7"/>
  <c r="J34" i="7"/>
  <c r="AF34" i="7"/>
  <c r="AL30" i="7"/>
  <c r="X30" i="7"/>
  <c r="R30" i="7"/>
  <c r="L30" i="7"/>
  <c r="AH30" i="7"/>
  <c r="AB30" i="7"/>
  <c r="P30" i="7"/>
  <c r="Z30" i="7"/>
  <c r="AJ30" i="7"/>
  <c r="V30" i="7"/>
  <c r="J30" i="7"/>
  <c r="AF30" i="7"/>
  <c r="AL26" i="7"/>
  <c r="X26" i="7"/>
  <c r="R26" i="7"/>
  <c r="L26" i="7"/>
  <c r="AH26" i="7"/>
  <c r="AB26" i="7"/>
  <c r="P26" i="7"/>
  <c r="Z26" i="7"/>
  <c r="AJ26" i="7"/>
  <c r="V26" i="7"/>
  <c r="J26" i="7"/>
  <c r="AF26" i="7"/>
  <c r="AL22" i="7"/>
  <c r="X22" i="7"/>
  <c r="R22" i="7"/>
  <c r="L22" i="7"/>
  <c r="AH22" i="7"/>
  <c r="AB22" i="7"/>
  <c r="P22" i="7"/>
  <c r="Z22" i="7"/>
  <c r="AJ22" i="7"/>
  <c r="V22" i="7"/>
  <c r="J22" i="7"/>
  <c r="AF22" i="7"/>
  <c r="AH36" i="7"/>
  <c r="AB36" i="7"/>
  <c r="AL36" i="7"/>
  <c r="X36" i="7"/>
  <c r="R36" i="7"/>
  <c r="L36" i="7"/>
  <c r="AJ36" i="7"/>
  <c r="V36" i="7"/>
  <c r="J36" i="7"/>
  <c r="AF36" i="7"/>
  <c r="P36" i="7"/>
  <c r="Z36" i="7"/>
  <c r="T34" i="7"/>
  <c r="AD22" i="7"/>
  <c r="N34" i="7"/>
  <c r="N30" i="7"/>
  <c r="N26" i="7"/>
  <c r="N22" i="7"/>
  <c r="AD36" i="7"/>
  <c r="N36" i="7"/>
  <c r="AH28" i="7"/>
  <c r="AB28" i="7"/>
  <c r="AL28" i="7"/>
  <c r="X28" i="7"/>
  <c r="R28" i="7"/>
  <c r="L28" i="7"/>
  <c r="AJ28" i="7"/>
  <c r="V28" i="7"/>
  <c r="J28" i="7"/>
  <c r="AF28" i="7"/>
  <c r="P28" i="7"/>
  <c r="Z28" i="7"/>
  <c r="T26" i="7"/>
  <c r="AH20" i="7"/>
  <c r="AB20" i="7"/>
  <c r="AL20" i="7"/>
  <c r="X20" i="7"/>
  <c r="R20" i="7"/>
  <c r="L20" i="7"/>
  <c r="AJ20" i="7"/>
  <c r="V20" i="7"/>
  <c r="J20" i="7"/>
  <c r="P20" i="7"/>
  <c r="Z20" i="7"/>
  <c r="AF20" i="7"/>
  <c r="AH16" i="7"/>
  <c r="AB16" i="7"/>
  <c r="AL16" i="7"/>
  <c r="X16" i="7"/>
  <c r="R16" i="7"/>
  <c r="L16" i="7"/>
  <c r="AJ16" i="7"/>
  <c r="Z16" i="7"/>
  <c r="V16" i="7"/>
  <c r="J16" i="7"/>
  <c r="AF16" i="7"/>
  <c r="P16" i="7"/>
  <c r="T16" i="7"/>
  <c r="AD16" i="7"/>
  <c r="AL18" i="7"/>
  <c r="X18" i="7"/>
  <c r="R18" i="7"/>
  <c r="L18" i="7"/>
  <c r="AH18" i="7"/>
  <c r="AB18" i="7"/>
  <c r="AF18" i="7"/>
  <c r="Z18" i="7"/>
  <c r="V18" i="7"/>
  <c r="J18" i="7"/>
  <c r="AJ18" i="7"/>
  <c r="P18" i="7"/>
  <c r="AH32" i="7"/>
  <c r="AB32" i="7"/>
  <c r="AL32" i="7"/>
  <c r="X32" i="7"/>
  <c r="R32" i="7"/>
  <c r="L32" i="7"/>
  <c r="AJ32" i="7"/>
  <c r="V32" i="7"/>
  <c r="J32" i="7"/>
  <c r="AF32" i="7"/>
  <c r="P32" i="7"/>
  <c r="Z32" i="7"/>
  <c r="T30" i="7"/>
  <c r="AD18" i="7"/>
  <c r="AH32" i="6"/>
  <c r="AL32" i="6"/>
  <c r="J32" i="6"/>
  <c r="L32" i="6"/>
  <c r="AJ32" i="6"/>
  <c r="X32" i="6"/>
  <c r="P32" i="6"/>
  <c r="V32" i="6"/>
  <c r="AJ17" i="6"/>
  <c r="V17" i="6"/>
  <c r="P17" i="6"/>
  <c r="J17" i="6"/>
  <c r="AH17" i="6"/>
  <c r="T17" i="6"/>
  <c r="AF17" i="6"/>
  <c r="Z17" i="6"/>
  <c r="AD17" i="6"/>
  <c r="X17" i="6"/>
  <c r="L17" i="6"/>
  <c r="AL17" i="6"/>
  <c r="AJ29" i="6"/>
  <c r="V29" i="6"/>
  <c r="P29" i="6"/>
  <c r="J29" i="6"/>
  <c r="AH29" i="6"/>
  <c r="T29" i="6"/>
  <c r="AF29" i="6"/>
  <c r="Z29" i="6"/>
  <c r="AL29" i="6"/>
  <c r="X29" i="6"/>
  <c r="L29" i="6"/>
  <c r="AD29" i="6"/>
  <c r="AF15" i="6"/>
  <c r="Z15" i="6"/>
  <c r="AL15" i="6"/>
  <c r="AD15" i="6"/>
  <c r="X15" i="6"/>
  <c r="AJ15" i="6"/>
  <c r="P15" i="6"/>
  <c r="J15" i="6"/>
  <c r="AH15" i="6"/>
  <c r="T15" i="6"/>
  <c r="L15" i="6"/>
  <c r="V15" i="6"/>
  <c r="AJ33" i="6"/>
  <c r="V33" i="6"/>
  <c r="P33" i="6"/>
  <c r="J33" i="6"/>
  <c r="AH33" i="6"/>
  <c r="T33" i="6"/>
  <c r="AF33" i="6"/>
  <c r="Z33" i="6"/>
  <c r="AL33" i="6"/>
  <c r="AD33" i="6"/>
  <c r="X33" i="6"/>
  <c r="L33" i="6"/>
  <c r="AL44" i="6"/>
  <c r="AD44" i="6"/>
  <c r="X44" i="6"/>
  <c r="L44" i="6"/>
  <c r="AJ44" i="6"/>
  <c r="V44" i="6"/>
  <c r="P44" i="6"/>
  <c r="J44" i="6"/>
  <c r="AH44" i="6"/>
  <c r="T44" i="6"/>
  <c r="AF44" i="6"/>
  <c r="Z44" i="6"/>
  <c r="AL30" i="6"/>
  <c r="AD30" i="6"/>
  <c r="X30" i="6"/>
  <c r="L30" i="6"/>
  <c r="AJ30" i="6"/>
  <c r="V30" i="6"/>
  <c r="P30" i="6"/>
  <c r="J30" i="6"/>
  <c r="AH30" i="6"/>
  <c r="T30" i="6"/>
  <c r="AF30" i="6"/>
  <c r="Z30" i="6"/>
  <c r="N44" i="6"/>
  <c r="AJ25" i="6"/>
  <c r="V25" i="6"/>
  <c r="P25" i="6"/>
  <c r="J25" i="6"/>
  <c r="AH25" i="6"/>
  <c r="T25" i="6"/>
  <c r="AL25" i="6"/>
  <c r="AF25" i="6"/>
  <c r="Z25" i="6"/>
  <c r="AD25" i="6"/>
  <c r="X25" i="6"/>
  <c r="L25" i="6"/>
  <c r="AL34" i="6"/>
  <c r="AD34" i="6"/>
  <c r="X34" i="6"/>
  <c r="L34" i="6"/>
  <c r="AJ34" i="6"/>
  <c r="V34" i="6"/>
  <c r="P34" i="6"/>
  <c r="J34" i="6"/>
  <c r="AH34" i="6"/>
  <c r="T34" i="6"/>
  <c r="AF34" i="6"/>
  <c r="Z34" i="6"/>
  <c r="N30" i="6"/>
  <c r="N34" i="6"/>
  <c r="AJ21" i="6"/>
  <c r="V21" i="6"/>
  <c r="P21" i="6"/>
  <c r="J21" i="6"/>
  <c r="AH21" i="6"/>
  <c r="T21" i="6"/>
  <c r="AD21" i="6"/>
  <c r="X21" i="6"/>
  <c r="L21" i="6"/>
  <c r="AL21" i="6"/>
  <c r="AF21" i="6"/>
  <c r="Z21" i="6"/>
  <c r="H19" i="13"/>
  <c r="C1" i="32"/>
  <c r="AZ20" i="32"/>
  <c r="AZ12" i="32"/>
  <c r="AZ10" i="32"/>
  <c r="AZ18" i="32"/>
  <c r="AZ16" i="32"/>
  <c r="AZ8" i="32"/>
  <c r="AZ14" i="32"/>
  <c r="AZ21" i="32"/>
  <c r="AZ7" i="32"/>
  <c r="AZ17" i="32"/>
  <c r="AZ11" i="32"/>
  <c r="AZ15" i="32"/>
  <c r="AZ9" i="32"/>
  <c r="AZ19" i="32"/>
  <c r="AZ13" i="32"/>
  <c r="C1" i="36"/>
  <c r="D34" i="39"/>
  <c r="C1" i="35"/>
  <c r="E34" i="39" s="1"/>
  <c r="C1" i="31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U42" i="30"/>
  <c r="Z42" i="30" s="1"/>
  <c r="AE42" i="30" s="1"/>
  <c r="AJ42" i="30" s="1"/>
  <c r="AO42" i="30" s="1"/>
  <c r="AT42" i="30" s="1"/>
  <c r="C1" i="33"/>
  <c r="C1" i="8"/>
  <c r="AD39" i="6"/>
  <c r="T39" i="6"/>
  <c r="AF39" i="6"/>
  <c r="L39" i="6"/>
  <c r="AJ39" i="6"/>
  <c r="P39" i="6"/>
  <c r="X39" i="6"/>
  <c r="J39" i="6"/>
  <c r="N39" i="6"/>
  <c r="Z39" i="6"/>
  <c r="AL39" i="6"/>
  <c r="V39" i="6"/>
  <c r="AF38" i="6"/>
  <c r="Z38" i="6"/>
  <c r="AL38" i="6"/>
  <c r="AD38" i="6"/>
  <c r="X38" i="6"/>
  <c r="L38" i="6"/>
  <c r="AJ38" i="6"/>
  <c r="V38" i="6"/>
  <c r="P38" i="6"/>
  <c r="J38" i="6"/>
  <c r="AH38" i="6"/>
  <c r="T38" i="6"/>
  <c r="AF42" i="6"/>
  <c r="Z42" i="6"/>
  <c r="AL42" i="6"/>
  <c r="AD42" i="6"/>
  <c r="X42" i="6"/>
  <c r="L42" i="6"/>
  <c r="AJ42" i="6"/>
  <c r="V42" i="6"/>
  <c r="P42" i="6"/>
  <c r="J42" i="6"/>
  <c r="AH42" i="6"/>
  <c r="T42" i="6"/>
  <c r="N42" i="6"/>
  <c r="AJ40" i="6"/>
  <c r="V40" i="6"/>
  <c r="P40" i="6"/>
  <c r="J40" i="6"/>
  <c r="AH40" i="6"/>
  <c r="T40" i="6"/>
  <c r="AF40" i="6"/>
  <c r="Z40" i="6"/>
  <c r="AL40" i="6"/>
  <c r="AD40" i="6"/>
  <c r="X40" i="6"/>
  <c r="L40" i="6"/>
  <c r="Z39" i="7"/>
  <c r="Z43" i="7"/>
  <c r="R43" i="7"/>
  <c r="AJ43" i="7"/>
  <c r="AB39" i="7"/>
  <c r="X43" i="7"/>
  <c r="T43" i="7"/>
  <c r="AF43" i="7"/>
  <c r="AL43" i="7"/>
  <c r="V43" i="7"/>
  <c r="R39" i="7"/>
  <c r="P43" i="7"/>
  <c r="L43" i="7"/>
  <c r="J43" i="7"/>
  <c r="AJ39" i="7"/>
  <c r="AD39" i="7"/>
  <c r="P39" i="7"/>
  <c r="N39" i="7"/>
  <c r="AF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AJ40" i="7"/>
  <c r="V40" i="7"/>
  <c r="P40" i="7"/>
  <c r="J40" i="7"/>
  <c r="AH40" i="7"/>
  <c r="AB40" i="7"/>
  <c r="T40" i="7"/>
  <c r="AF40" i="7"/>
  <c r="Z40" i="7"/>
  <c r="AL40" i="7"/>
  <c r="AD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AF38" i="7"/>
  <c r="Z38" i="7"/>
  <c r="AL38" i="7"/>
  <c r="AD38" i="7"/>
  <c r="X38" i="7"/>
  <c r="R38" i="7"/>
  <c r="L38" i="7"/>
  <c r="AJ38" i="7"/>
  <c r="V38" i="7"/>
  <c r="P38" i="7"/>
  <c r="J38" i="7"/>
  <c r="AH38" i="7"/>
  <c r="AB38" i="7"/>
  <c r="T38" i="7"/>
  <c r="N41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AJ37" i="6"/>
  <c r="X37" i="6"/>
  <c r="N37" i="6"/>
  <c r="J37" i="6"/>
  <c r="AD37" i="6"/>
  <c r="Z37" i="6"/>
  <c r="T37" i="6"/>
  <c r="L37" i="6"/>
  <c r="P37" i="6"/>
  <c r="AF37" i="6"/>
  <c r="AH37" i="6"/>
  <c r="V37" i="6"/>
  <c r="E9" i="13"/>
  <c r="J37" i="7"/>
  <c r="AD37" i="7"/>
  <c r="R37" i="7"/>
  <c r="V37" i="7"/>
  <c r="AB37" i="7"/>
  <c r="Z37" i="7"/>
  <c r="L37" i="7"/>
  <c r="P37" i="7"/>
  <c r="T37" i="7"/>
  <c r="X37" i="7"/>
  <c r="AJ37" i="7"/>
  <c r="AH37" i="7"/>
  <c r="AF37" i="7"/>
  <c r="N37" i="7"/>
  <c r="E15" i="13"/>
  <c r="D8" i="13"/>
  <c r="E8" i="13"/>
  <c r="P107" i="8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AD46" i="6" l="1"/>
  <c r="T46" i="6"/>
  <c r="N46" i="6"/>
  <c r="AH46" i="6"/>
  <c r="P46" i="6"/>
  <c r="V46" i="6"/>
  <c r="L46" i="6"/>
  <c r="Z46" i="6"/>
  <c r="AB46" i="6"/>
  <c r="AJ46" i="6"/>
  <c r="R46" i="6"/>
  <c r="AL46" i="6"/>
  <c r="X46" i="6"/>
  <c r="J46" i="6"/>
  <c r="R46" i="7"/>
  <c r="AJ46" i="7"/>
  <c r="L46" i="7"/>
  <c r="P46" i="7"/>
  <c r="V46" i="7"/>
  <c r="X46" i="7"/>
  <c r="AF46" i="7"/>
  <c r="AB46" i="7"/>
  <c r="J46" i="7"/>
  <c r="Z46" i="7"/>
  <c r="AL46" i="7"/>
  <c r="C24" i="13"/>
  <c r="E36" i="39"/>
  <c r="P142" i="33"/>
  <c r="U107" i="33"/>
  <c r="Z107" i="33" s="1"/>
  <c r="AE107" i="33" s="1"/>
  <c r="AJ107" i="33" s="1"/>
  <c r="AO107" i="33" s="1"/>
  <c r="AT107" i="33" s="1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P82" i="30"/>
  <c r="U62" i="30"/>
  <c r="Z62" i="30" s="1"/>
  <c r="AE62" i="30" s="1"/>
  <c r="AJ62" i="30" s="1"/>
  <c r="AO62" i="30" s="1"/>
  <c r="AT62" i="30" s="1"/>
  <c r="E15" i="39"/>
  <c r="C24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46" i="7"/>
  <c r="AD46" i="7"/>
  <c r="T46" i="7"/>
  <c r="P142" i="8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P177" i="33" l="1"/>
  <c r="U177" i="33" s="1"/>
  <c r="Z177" i="33" s="1"/>
  <c r="AE177" i="33" s="1"/>
  <c r="AJ177" i="33" s="1"/>
  <c r="AO177" i="33" s="1"/>
  <c r="AT177" i="33" s="1"/>
  <c r="U142" i="33"/>
  <c r="Z142" i="33" s="1"/>
  <c r="AE142" i="33" s="1"/>
  <c r="AJ142" i="33" s="1"/>
  <c r="AO142" i="33" s="1"/>
  <c r="AT142" i="33" s="1"/>
  <c r="N34" i="13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U82" i="30"/>
  <c r="Z82" i="30" s="1"/>
  <c r="AE82" i="30" s="1"/>
  <c r="AJ82" i="30" s="1"/>
  <c r="AO82" i="30" s="1"/>
  <c r="AT82" i="30" s="1"/>
  <c r="U142" i="8"/>
  <c r="Z142" i="8" s="1"/>
  <c r="AE142" i="8" s="1"/>
  <c r="AJ142" i="8" s="1"/>
  <c r="AO142" i="8" s="1"/>
  <c r="AT142" i="8" s="1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<sst xmlns="http://schemas.openxmlformats.org/spreadsheetml/2006/main" count="7685" uniqueCount="1058">
  <si>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</si>
  <si>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</si>
  <si>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</si>
  <si>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</si>
  <si>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</si>
  <si>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</si>
  <si>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</si>
  <si>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</si>
  <si>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</si>
  <si>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</si>
  <si>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</si>
  <si>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</si>
  <si>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</si>
  <si>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</si>
  <si>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</si>
  <si>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</si>
  <si>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</si>
  <si>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</si>
  <si>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</si>
  <si>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</si>
  <si>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8"/>
  </si>
  <si>
    <t>（１）收支狀況</t>
    <phoneticPr fontId="8"/>
  </si>
  <si>
    <t>當月</t>
    <phoneticPr fontId="8"/>
  </si>
  <si>
    <t>※單位：千元</t>
    <phoneticPr fontId="8"/>
  </si>
  <si>
    <t>業績金額</t>
    <phoneticPr fontId="8"/>
  </si>
  <si>
    <t>訂單數量</t>
    <phoneticPr fontId="8"/>
  </si>
  <si>
    <t>半成品報廢</t>
    <phoneticPr fontId="8"/>
  </si>
  <si>
    <t>半成品超用</t>
    <phoneticPr fontId="8"/>
  </si>
  <si>
    <t>固定產線</t>
    <phoneticPr fontId="8"/>
  </si>
  <si>
    <t>教育訓練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</si>
  <si>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</si>
  <si>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8"/>
  </si>
  <si>
    <t>（３）業績構成比</t>
    <phoneticPr fontId="8"/>
  </si>
  <si>
    <t>（４）訂單數量構成比</t>
    <phoneticPr fontId="8"/>
  </si>
  <si>
    <t>飯糰</t>
    <phoneticPr fontId="8"/>
  </si>
  <si>
    <t>大口飯糰</t>
    <phoneticPr fontId="8"/>
  </si>
  <si>
    <t>便當</t>
    <phoneticPr fontId="8"/>
  </si>
  <si>
    <t>調理麵包</t>
    <phoneticPr fontId="8"/>
  </si>
  <si>
    <t>袋裝調理麵包</t>
    <phoneticPr fontId="8"/>
  </si>
  <si>
    <t>義大利麵</t>
    <phoneticPr fontId="8"/>
  </si>
  <si>
    <t>調理包</t>
    <phoneticPr fontId="8"/>
  </si>
  <si>
    <t>比例</t>
    <phoneticPr fontId="8"/>
  </si>
  <si>
    <t>作業原因</t>
    <phoneticPr fontId="8"/>
  </si>
  <si>
    <t>規格原因</t>
    <phoneticPr fontId="8"/>
  </si>
  <si>
    <t>調理麵</t>
    <phoneticPr fontId="8"/>
  </si>
  <si>
    <t>（６）人時生產性前幾名品項</t>
    <phoneticPr fontId="8"/>
  </si>
  <si>
    <t>人數</t>
    <phoneticPr fontId="8"/>
  </si>
  <si>
    <t>排名</t>
    <phoneticPr fontId="8"/>
  </si>
  <si>
    <t>產能</t>
    <phoneticPr fontId="8"/>
  </si>
  <si>
    <t>人時生產性</t>
    <phoneticPr fontId="8"/>
  </si>
  <si>
    <t>主要原因&amp;對策</t>
  </si>
  <si>
    <t>主要原因&amp;對策</t>
    <phoneticPr fontId="8"/>
  </si>
  <si>
    <t>（８）報廢原因別前幾名品項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</si>
  <si>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</si>
  <si>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</si>
  <si>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</si>
  <si>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</si>
  <si>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實績</t>
    <phoneticPr fontId="8"/>
  </si>
  <si>
    <t>前幾名合計比例</t>
    <phoneticPr fontId="8"/>
  </si>
  <si>
    <t>前幾名合計金額</t>
    <phoneticPr fontId="8"/>
  </si>
  <si>
    <t>※補充</t>
    <phoneticPr fontId="8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</si>
  <si>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8"/>
  </si>
  <si>
    <t>實施率</t>
    <phoneticPr fontId="8"/>
  </si>
  <si>
    <t>（５）品群別人時生產性</t>
    <phoneticPr fontId="8"/>
  </si>
  <si>
    <t>勞務成本</t>
    <phoneticPr fontId="8"/>
  </si>
  <si>
    <t>勞務費率</t>
    <phoneticPr fontId="8"/>
  </si>
  <si>
    <t>比例</t>
    <phoneticPr fontId="8"/>
  </si>
  <si>
    <t>前月</t>
    <phoneticPr fontId="8"/>
  </si>
  <si>
    <t>差異</t>
    <phoneticPr fontId="8"/>
  </si>
  <si>
    <t>KPI</t>
    <phoneticPr fontId="8"/>
  </si>
  <si>
    <t>當月</t>
    <phoneticPr fontId="8"/>
  </si>
  <si>
    <t>（２）ＫＰＩ達成進度</t>
    <phoneticPr fontId="8"/>
  </si>
  <si>
    <t>（７）原因別分析</t>
    <phoneticPr fontId="8"/>
  </si>
  <si>
    <t>月別</t>
    <phoneticPr fontId="8"/>
  </si>
  <si>
    <t>工廠名</t>
    <phoneticPr fontId="8"/>
  </si>
  <si>
    <t>手巻卵黄雞絞肉</t>
    <phoneticPr fontId="8"/>
  </si>
  <si>
    <t>減少暫時停止生產,人時UP</t>
    <phoneticPr fontId="8"/>
  </si>
  <si>
    <t>因組裝2食材,人員增加,產速減少</t>
    <phoneticPr fontId="8"/>
  </si>
  <si>
    <t>透由調整速度提升。</t>
    <phoneticPr fontId="8"/>
  </si>
  <si>
    <t>直巻明太子美奶茲</t>
    <phoneticPr fontId="8"/>
  </si>
  <si>
    <t>大口飯糰燒肉美奶滋</t>
    <phoneticPr fontId="8"/>
  </si>
  <si>
    <t>因摺疊增員。實施教育訓練。</t>
    <phoneticPr fontId="8"/>
  </si>
  <si>
    <t>明太子海苔便當</t>
    <phoneticPr fontId="8"/>
  </si>
  <si>
    <t>指導鋪開炒柴魚片</t>
    <phoneticPr fontId="8"/>
  </si>
  <si>
    <t>肉狀態不良，已連動開發</t>
    <phoneticPr fontId="8"/>
  </si>
  <si>
    <t>油炸白身魚</t>
    <phoneticPr fontId="8"/>
  </si>
  <si>
    <t>油調過多報廢。變更條件。</t>
    <phoneticPr fontId="8"/>
  </si>
  <si>
    <t>川燙蝦子拌醬</t>
    <phoneticPr fontId="8"/>
  </si>
  <si>
    <t>蝦子入數不足</t>
    <phoneticPr fontId="8"/>
  </si>
  <si>
    <t>特製醬汁炙燒牛五花便當</t>
    <phoneticPr fontId="8"/>
  </si>
  <si>
    <t>牛五花醬汁</t>
    <phoneticPr fontId="8"/>
  </si>
  <si>
    <t>難度有差異。調理指導。</t>
    <phoneticPr fontId="8"/>
  </si>
  <si>
    <t>因原料變更。</t>
    <phoneticPr fontId="8"/>
  </si>
  <si>
    <t>牛五花燒成</t>
    <phoneticPr fontId="8"/>
  </si>
  <si>
    <t>大口飯糰三種起司午餐肉</t>
    <phoneticPr fontId="8"/>
  </si>
  <si>
    <t>３種起司燒成</t>
    <phoneticPr fontId="8"/>
  </si>
  <si>
    <t>與燒成範本不同。</t>
    <phoneticPr fontId="8"/>
  </si>
  <si>
    <t>燒成過多，調整調理條件。</t>
    <phoneticPr fontId="8"/>
  </si>
  <si>
    <t>超用率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</si>
  <si>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</si>
  <si>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</si>
  <si>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</si>
  <si>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</si>
  <si>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8"/>
  </si>
  <si>
    <t>超用率</t>
    <phoneticPr fontId="8"/>
  </si>
  <si>
    <t>日期</t>
    <phoneticPr fontId="11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</si>
  <si>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</si>
  <si>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</si>
  <si>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</si>
  <si>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</si>
  <si>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</si>
  <si>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1" type="noConversion"/>
  </si>
  <si>
    <t>業績(元)</t>
    <phoneticPr fontId="11" type="noConversion"/>
  </si>
  <si>
    <t>比例(%)</t>
    <phoneticPr fontId="11" type="noConversion"/>
  </si>
  <si>
    <t>三</t>
    <phoneticPr fontId="11" type="noConversion"/>
  </si>
  <si>
    <t>日</t>
    <phoneticPr fontId="11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</si>
  <si>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1" type="noConversion"/>
  </si>
  <si>
    <t>週累積</t>
    <phoneticPr fontId="11" type="noConversion"/>
  </si>
  <si>
    <t>月累積</t>
    <phoneticPr fontId="11" type="noConversion"/>
  </si>
  <si>
    <t>訂單數量(個)</t>
    <phoneticPr fontId="11" type="noConversion"/>
  </si>
  <si>
    <t>材料費(元)</t>
    <phoneticPr fontId="11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</si>
  <si>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1" type="noConversion"/>
  </si>
  <si>
    <t>材料費率（材料費／營業額）</t>
    <phoneticPr fontId="11" type="noConversion"/>
  </si>
  <si>
    <t>勞務成本（全廠人事成本）</t>
    <phoneticPr fontId="11" type="noConversion"/>
  </si>
  <si>
    <t>勞務費率（勞務成本／營業額）</t>
    <phoneticPr fontId="11" type="noConversion"/>
  </si>
  <si>
    <t>（２）ＫＰＩ達成進度</t>
    <phoneticPr fontId="8"/>
  </si>
  <si>
    <t>（２）ＫＰＩ達成進度</t>
    <phoneticPr fontId="11" type="noConversion"/>
  </si>
  <si>
    <t>週平均</t>
    <phoneticPr fontId="11" type="noConversion"/>
  </si>
  <si>
    <t>月平均</t>
    <phoneticPr fontId="11" type="noConversion"/>
  </si>
  <si>
    <t>一配</t>
    <phoneticPr fontId="11" type="noConversion"/>
  </si>
  <si>
    <t>二配</t>
    <phoneticPr fontId="11" type="noConversion"/>
  </si>
  <si>
    <t>便當</t>
  </si>
  <si>
    <t>便當</t>
    <phoneticPr fontId="11" type="noConversion"/>
  </si>
  <si>
    <t>主食</t>
  </si>
  <si>
    <t>主食</t>
    <phoneticPr fontId="11" type="noConversion"/>
  </si>
  <si>
    <t>熱食義麵</t>
  </si>
  <si>
    <t>季節調理麵</t>
  </si>
  <si>
    <t>微波小吃</t>
  </si>
  <si>
    <t>微波小吃</t>
    <phoneticPr fontId="11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</si>
  <si>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</si>
  <si>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</si>
  <si>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</si>
  <si>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</si>
  <si>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1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</si>
  <si>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</si>
  <si>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</si>
  <si>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t>合計</t>
    <phoneticPr fontId="11" type="noConversion"/>
  </si>
  <si>
    <t>（４）訂單數量構成比</t>
    <phoneticPr fontId="8"/>
  </si>
  <si>
    <t>訂單量</t>
    <phoneticPr fontId="11" type="noConversion"/>
  </si>
  <si>
    <t>訂單數</t>
    <phoneticPr fontId="11" type="noConversion"/>
  </si>
  <si>
    <t>18℃-飯糰</t>
  </si>
  <si>
    <t>18℃-壽司手卷</t>
  </si>
  <si>
    <t>4℃-飯糰</t>
  </si>
  <si>
    <t>4℃-壽司手卷</t>
  </si>
  <si>
    <t>品群</t>
    <phoneticPr fontId="11" type="noConversion"/>
  </si>
  <si>
    <t>日期</t>
    <phoneticPr fontId="11" type="noConversion"/>
  </si>
  <si>
    <t>資料繳交</t>
    <phoneticPr fontId="11" type="noConversion"/>
  </si>
  <si>
    <t>五</t>
    <phoneticPr fontId="11" type="noConversion"/>
  </si>
  <si>
    <t>二</t>
    <phoneticPr fontId="11" type="noConversion"/>
  </si>
  <si>
    <t>四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</si>
  <si>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</si>
  <si>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</si>
  <si>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</si>
  <si>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t>產線配置圖－每週更新</t>
    <phoneticPr fontId="11" type="noConversion"/>
  </si>
  <si>
    <t>製程不穩</t>
    <phoneticPr fontId="8"/>
  </si>
  <si>
    <t>研發設定</t>
    <phoneticPr fontId="8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</si>
  <si>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</si>
  <si>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</si>
  <si>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</si>
  <si>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</si>
  <si>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</si>
  <si>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</si>
  <si>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</si>
  <si>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</si>
  <si>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</si>
  <si>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</si>
  <si>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</si>
  <si>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</si>
  <si>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</si>
  <si>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</si>
  <si>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</si>
  <si>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</si>
  <si>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</si>
  <si>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</si>
  <si>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</si>
  <si>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</si>
  <si>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8"/>
  </si>
  <si>
    <t>品群</t>
    <phoneticPr fontId="8"/>
  </si>
  <si>
    <t>原物料規格</t>
    <phoneticPr fontId="8"/>
  </si>
  <si>
    <t>其他原因</t>
    <phoneticPr fontId="8"/>
  </si>
  <si>
    <t>類型</t>
    <phoneticPr fontId="11" type="noConversion"/>
  </si>
  <si>
    <t>作業原因</t>
    <phoneticPr fontId="8"/>
  </si>
  <si>
    <t>類型</t>
    <phoneticPr fontId="11" type="noConversion"/>
  </si>
  <si>
    <t>原料原因</t>
    <phoneticPr fontId="8"/>
  </si>
  <si>
    <t>個／MH</t>
    <phoneticPr fontId="8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</si>
  <si>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8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</si>
  <si>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</si>
  <si>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項目</t>
    <phoneticPr fontId="11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</si>
  <si>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</si>
  <si>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</si>
  <si>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半成品-報廢(%)</t>
    <phoneticPr fontId="8"/>
  </si>
  <si>
    <t>半成品-超用(%)</t>
    <phoneticPr fontId="8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</si>
  <si>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8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</si>
  <si>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8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</si>
  <si>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</si>
  <si>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1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</si>
  <si>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</si>
  <si>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</si>
  <si>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</si>
  <si>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</si>
  <si>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</si>
  <si>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</si>
  <si>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</si>
  <si>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</si>
  <si>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</si>
  <si>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</si>
  <si>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</si>
  <si>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</si>
  <si>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1" type="noConversion"/>
  </si>
  <si>
    <t>4℃-壽司手卷(077)</t>
  </si>
  <si>
    <t>4℃-壽司手卷(077)</t>
    <phoneticPr fontId="11" type="noConversion"/>
  </si>
  <si>
    <t>18℃-壽司手卷(071,072,075,076)</t>
  </si>
  <si>
    <t>18℃-壽司手卷(071,072,075,076)</t>
    <phoneticPr fontId="11" type="noConversion"/>
  </si>
  <si>
    <t>主食(091,092,093,094,095)</t>
  </si>
  <si>
    <t>主食(091,092,093,094,095)</t>
    <phoneticPr fontId="11" type="noConversion"/>
  </si>
  <si>
    <t>便當(083)</t>
  </si>
  <si>
    <t>便當(083)</t>
    <phoneticPr fontId="11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</si>
  <si>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</si>
  <si>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1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</si>
  <si>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1" type="noConversion"/>
  </si>
  <si>
    <t>微波小吃(153,154,155)</t>
  </si>
  <si>
    <t>微波小吃(153,154,155)</t>
    <phoneticPr fontId="11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</si>
  <si>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</si>
  <si>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</si>
  <si>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</si>
  <si>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</si>
  <si>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</si>
  <si>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1" type="noConversion"/>
  </si>
  <si>
    <t>業績金額</t>
    <phoneticPr fontId="11" type="noConversion"/>
  </si>
  <si>
    <t>項目</t>
    <phoneticPr fontId="11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</si>
  <si>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</si>
  <si>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</si>
  <si>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抓樣不穩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</si>
  <si>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</si>
  <si>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</si>
  <si>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</si>
  <si>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</si>
  <si>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</si>
  <si>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</si>
  <si>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</si>
  <si>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展開量高於１０5％</t>
    <phoneticPr fontId="8"/>
  </si>
  <si>
    <t>18℃-壽司手卷(071,072,075,076)</t>
    <phoneticPr fontId="11" type="noConversion"/>
  </si>
  <si>
    <t>鮮食品群番</t>
    <phoneticPr fontId="11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</si>
  <si>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</si>
  <si>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</si>
  <si>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</si>
  <si>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</si>
  <si>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</si>
  <si>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</si>
  <si>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</si>
  <si>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</si>
  <si>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</si>
  <si>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</si>
  <si>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</si>
  <si>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</si>
  <si>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</si>
  <si>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</si>
  <si>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</si>
  <si>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</si>
  <si>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</si>
  <si>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</si>
  <si>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</si>
  <si>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</si>
  <si>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</si>
  <si>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</si>
  <si>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</si>
  <si>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</si>
  <si>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</si>
  <si>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</si>
  <si>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</si>
  <si>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</si>
  <si>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</si>
  <si>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</si>
  <si>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</si>
  <si>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</si>
  <si>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</si>
  <si>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</si>
  <si>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</si>
  <si>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</si>
  <si>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</si>
  <si>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</si>
  <si>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</si>
  <si>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</si>
  <si>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</si>
  <si>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</si>
  <si>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</si>
  <si>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</si>
  <si>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</si>
  <si>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</si>
  <si>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</si>
  <si>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</si>
  <si>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</si>
  <si>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</si>
  <si>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</si>
  <si>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</si>
  <si>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</si>
  <si>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</si>
  <si>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</si>
  <si>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</si>
  <si>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</si>
  <si>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</si>
  <si>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</si>
  <si>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</si>
  <si>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</si>
  <si>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</si>
  <si>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</si>
  <si>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</si>
  <si>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</si>
  <si>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1" type="noConversion"/>
  </si>
  <si>
    <t>（3）業績構成比</t>
    <phoneticPr fontId="11" type="noConversion"/>
  </si>
  <si>
    <t>（4）訂單數量構成比</t>
    <phoneticPr fontId="11" type="noConversion"/>
  </si>
  <si>
    <t>展開量高於１０5％</t>
    <phoneticPr fontId="8"/>
  </si>
  <si>
    <t>展開量高於１０5％</t>
    <phoneticPr fontId="8"/>
  </si>
  <si>
    <t>展開量高於１０5％</t>
    <phoneticPr fontId="8"/>
  </si>
  <si>
    <t xml:space="preserve">半成品報廢(%) </t>
    <phoneticPr fontId="11" type="noConversion"/>
  </si>
  <si>
    <t>月別</t>
    <phoneticPr fontId="8"/>
  </si>
  <si>
    <t>週別</t>
    <phoneticPr fontId="11" type="noConversion"/>
  </si>
  <si>
    <t>當週</t>
  </si>
  <si>
    <t>當週</t>
    <phoneticPr fontId="8"/>
  </si>
  <si>
    <t>前週</t>
  </si>
  <si>
    <t>前週</t>
    <phoneticPr fontId="11" type="noConversion"/>
  </si>
  <si>
    <t>前週</t>
    <phoneticPr fontId="8"/>
  </si>
  <si>
    <t>月平均人時性</t>
  </si>
  <si>
    <t>月平均人時性</t>
    <phoneticPr fontId="11" type="noConversion"/>
  </si>
  <si>
    <t>KPI</t>
    <phoneticPr fontId="11" type="noConversion"/>
  </si>
  <si>
    <t>18℃-飯糰(061,063)</t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</si>
  <si>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</si>
  <si>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</si>
  <si>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</si>
  <si>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</si>
  <si>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</si>
  <si>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</si>
  <si>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</si>
  <si>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</si>
  <si>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t>生產課</t>
  </si>
  <si>
    <t>二配香拌海鮮醬肉絲蛋炒飯</t>
  </si>
  <si>
    <t>其他</t>
  </si>
  <si>
    <t>二配金咖哩果香甘口咖哩飯</t>
  </si>
  <si>
    <t>北海道秋鮭親子飯糰</t>
  </si>
  <si>
    <t>香辣醬粉絲煲</t>
  </si>
  <si>
    <t>調配課</t>
  </si>
  <si>
    <t>調理多產</t>
  </si>
  <si>
    <t>共用類</t>
  </si>
  <si>
    <t>極上炙烤親子丼</t>
  </si>
  <si>
    <t>切-炙燒炭火燒肉片</t>
  </si>
  <si>
    <t>二配港式香滑嫩蛋牛肉燴飯</t>
  </si>
  <si>
    <t>營業額(元)</t>
    <phoneticPr fontId="11" type="noConversion"/>
  </si>
  <si>
    <t>營業額</t>
    <phoneticPr fontId="11" type="noConversion"/>
  </si>
  <si>
    <t>經典肉鬆飯糰</t>
  </si>
  <si>
    <t>蔬食鮪魚飯糰</t>
  </si>
  <si>
    <t>熟成紅鮭飯糰</t>
  </si>
  <si>
    <t>鮪魚飯糰</t>
  </si>
  <si>
    <t>贅沢鮭魚肚飯糰</t>
  </si>
  <si>
    <t>壹號醬炙烤牛飯糰</t>
  </si>
  <si>
    <t>明太子龍蝦風味沙拉飯糰</t>
  </si>
  <si>
    <t>鹽蔥燒肉飯糰</t>
  </si>
  <si>
    <t>雞肉飯飯糰</t>
  </si>
  <si>
    <t>碳烤燒肉飯飯糰(區)</t>
  </si>
  <si>
    <t>二配芝麻香鬆飯糰</t>
  </si>
  <si>
    <t>二配油蔥G絲飯糰</t>
  </si>
  <si>
    <t>長野稻荷壽司</t>
  </si>
  <si>
    <t>雙饗雙手卷</t>
  </si>
  <si>
    <t>海饌雙手卷</t>
  </si>
  <si>
    <t>優質池上飯</t>
  </si>
  <si>
    <t>壽喜燒牛丼</t>
  </si>
  <si>
    <t>二配粗飽系雞排炒飯</t>
  </si>
  <si>
    <t>二配哞哞培根奶香海陸焗飯</t>
  </si>
  <si>
    <t>二配黃金雞排蘑菇白醬歐姆蛋飯</t>
  </si>
  <si>
    <t>二配里肌豬排可可咖哩歐姆蛋飯</t>
  </si>
  <si>
    <t>二配香辣醬蒜味香腸蛋炒飯</t>
  </si>
  <si>
    <t>鐵板滑蛋炸豬排丼</t>
  </si>
  <si>
    <t>二配川味麻婆燒豆腐燴飯</t>
  </si>
  <si>
    <t>二配美味蟹煲</t>
  </si>
  <si>
    <t>嘉義劉里長雞肉飯</t>
  </si>
  <si>
    <t>嫩烤香料雞胸排蔬滿盒</t>
  </si>
  <si>
    <t>新招牌腿排便當</t>
  </si>
  <si>
    <t>美式雞丁餐盒</t>
  </si>
  <si>
    <t>健身G肉餐盒</t>
  </si>
  <si>
    <t>烤蛋白餐盒</t>
  </si>
  <si>
    <t>椒麻香蔥雞涼拌麵</t>
  </si>
  <si>
    <t>台式麻醬涼麵</t>
  </si>
  <si>
    <t>大滿足香辣涼麵</t>
  </si>
  <si>
    <t>大滿足麻醬涼麵</t>
  </si>
  <si>
    <t>多穀紫米飯</t>
  </si>
  <si>
    <t>糖燻豬耳絲</t>
  </si>
  <si>
    <t>韓式蒜味炸雞</t>
  </si>
  <si>
    <t>古早味炒炊粉</t>
  </si>
  <si>
    <t>麻油雞飯糰</t>
  </si>
  <si>
    <t>淡麗清酒蒸蛤蜊烤飯糰</t>
  </si>
  <si>
    <t>大口金黃薯牛堡飯糰</t>
  </si>
  <si>
    <t>大口日式塔塔醬蝦排飯糰</t>
  </si>
  <si>
    <t>大口歐風焙煎咖哩漢堡排飯糰</t>
  </si>
  <si>
    <t>大口蒜味香腸燒肉雙拼飯糰</t>
  </si>
  <si>
    <t>大口義式香草雞腿排飯糰</t>
  </si>
  <si>
    <t>晉欣廠</t>
    <phoneticPr fontId="11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</si>
  <si>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</si>
  <si>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t>累計</t>
    <phoneticPr fontId="11" type="noConversion"/>
  </si>
  <si>
    <t>製程不穩</t>
  </si>
  <si>
    <t>切烤雞胸肉</t>
  </si>
  <si>
    <t>粉絲煲湯凍</t>
  </si>
  <si>
    <t>準備課</t>
  </si>
  <si>
    <t>（７）原因別分析(8/1-8/11)</t>
  </si>
  <si>
    <r>
      <t>（７）</t>
    </r>
    <r>
      <rPr>
        <b/>
        <sz val="12"/>
        <color rgb="FF000000"/>
        <rFont val="Meiryo UI"/>
        <family val="2"/>
      </rPr>
      <t>原因別分析(8/12-8/18)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</si>
  <si>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</si>
  <si>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</si>
  <si>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</si>
  <si>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</si>
  <si>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</si>
  <si>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</si>
  <si>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</si>
  <si>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報廢</t>
    <phoneticPr fontId="8"/>
  </si>
  <si>
    <t>超用</t>
    <phoneticPr fontId="8"/>
  </si>
  <si>
    <t>項目</t>
    <phoneticPr fontId="11" type="noConversion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</si>
  <si>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</si>
  <si>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</si>
  <si>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</si>
  <si>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</si>
  <si>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比例</t>
    <phoneticPr fontId="8"/>
  </si>
  <si>
    <t>平均人時性</t>
    <phoneticPr fontId="11" type="noConversion"/>
  </si>
  <si>
    <t>排名</t>
    <phoneticPr fontId="11" type="noConversion"/>
  </si>
  <si>
    <t>實際</t>
    <phoneticPr fontId="11" type="noConversion"/>
  </si>
  <si>
    <t>品群</t>
    <phoneticPr fontId="11" type="noConversion"/>
  </si>
  <si>
    <t>計畫</t>
    <phoneticPr fontId="11" type="noConversion"/>
  </si>
  <si>
    <t>實績</t>
    <phoneticPr fontId="11" type="noConversion"/>
  </si>
  <si>
    <t>日報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</si>
  <si>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</si>
  <si>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</si>
  <si>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</si>
  <si>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</si>
  <si>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</si>
  <si>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</si>
  <si>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商品名稱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</si>
  <si>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</si>
  <si>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熱食義麵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</si>
  <si>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</si>
  <si>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</si>
  <si>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</si>
  <si>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</si>
  <si>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</si>
  <si>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</si>
  <si>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</si>
  <si>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</si>
  <si>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</si>
  <si>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</si>
  <si>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</si>
  <si>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r>
      <t>（７）</t>
    </r>
    <r>
      <rPr>
        <b/>
        <sz val="12"/>
        <color rgb="FF000000"/>
        <rFont val="Meiryo UI"/>
        <family val="2"/>
      </rPr>
      <t>原因別分析(8/19-8/25)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</si>
  <si>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</si>
  <si>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</si>
  <si>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</si>
  <si>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</si>
  <si>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</si>
  <si>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</si>
  <si>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</si>
  <si>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</si>
  <si>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</si>
  <si>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</si>
  <si>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</si>
  <si>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</si>
  <si>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</si>
  <si>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</si>
  <si>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燻之味-糖燻雞胗</t>
  </si>
  <si>
    <t>18切烤千層麵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</si>
  <si>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</si>
  <si>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</si>
  <si>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</si>
  <si>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</si>
  <si>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</si>
  <si>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</si>
  <si>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</si>
  <si>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</si>
  <si>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</si>
  <si>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</si>
  <si>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</si>
  <si>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</si>
  <si>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</si>
  <si>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</si>
  <si>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</si>
  <si>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</si>
  <si>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</si>
  <si>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熱食義麵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</si>
  <si>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</si>
  <si>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</si>
  <si>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</si>
  <si>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</si>
  <si>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</si>
  <si>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</si>
  <si>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</si>
  <si>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</si>
  <si>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</si>
  <si>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</si>
  <si>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</si>
  <si>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</si>
  <si>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</si>
  <si>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主食</t>
    <phoneticPr fontId="11" type="noConversion"/>
  </si>
  <si>
    <t>微波小吃</t>
    <phoneticPr fontId="11" type="noConversion"/>
  </si>
  <si>
    <t>▼3</t>
    <phoneticPr fontId="8"/>
  </si>
  <si>
    <t>▼5</t>
    <phoneticPr fontId="8"/>
  </si>
  <si>
    <t>季節調理麵</t>
    <phoneticPr fontId="11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</si>
  <si>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</si>
  <si>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</si>
  <si>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</si>
  <si>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</si>
  <si>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</si>
  <si>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糖燻野郎起司炙燒牛烤飯糰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</si>
  <si>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</si>
  <si>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</si>
  <si>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</si>
  <si>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</si>
  <si>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</si>
  <si>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</si>
  <si>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</si>
  <si>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</si>
  <si>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</si>
  <si>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</si>
  <si>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</si>
  <si>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生產實績</t>
    <phoneticPr fontId="11" type="noConversion"/>
  </si>
  <si>
    <t>排名</t>
    <phoneticPr fontId="11" type="noConversion"/>
  </si>
  <si>
    <t>人數</t>
    <phoneticPr fontId="11" type="noConversion"/>
  </si>
  <si>
    <t>人數</t>
    <phoneticPr fontId="11" type="noConversion"/>
  </si>
  <si>
    <t>產能／時</t>
    <phoneticPr fontId="11" type="noConversion"/>
  </si>
  <si>
    <t>二配乳酪燻腸紅醬焗飯</t>
  </si>
  <si>
    <t>計畫</t>
    <phoneticPr fontId="11" type="noConversion"/>
  </si>
  <si>
    <t>實績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</si>
  <si>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</si>
  <si>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</si>
  <si>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</si>
  <si>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</si>
  <si>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</si>
  <si>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</si>
  <si>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產線配置圖</t>
    <phoneticPr fontId="11" type="noConversion"/>
  </si>
  <si>
    <t>生產實績</t>
    <phoneticPr fontId="11" type="noConversion"/>
  </si>
  <si>
    <t>生產實績</t>
    <phoneticPr fontId="11" type="noConversion"/>
  </si>
  <si>
    <t>人數</t>
    <phoneticPr fontId="11" type="noConversion"/>
  </si>
  <si>
    <t>人時性</t>
    <phoneticPr fontId="11" type="noConversion"/>
  </si>
  <si>
    <t>人數</t>
    <phoneticPr fontId="11" type="noConversion"/>
  </si>
  <si>
    <t>人時性</t>
    <phoneticPr fontId="11" type="noConversion"/>
  </si>
  <si>
    <t>排名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</si>
  <si>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</si>
  <si>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</si>
  <si>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</si>
  <si>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產能／時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</si>
  <si>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</si>
  <si>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</si>
  <si>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</si>
  <si>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</si>
  <si>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</si>
  <si>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</si>
  <si>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</si>
  <si>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</si>
  <si>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</si>
  <si>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</si>
  <si>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</si>
  <si>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季節調理麵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</si>
  <si>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</si>
  <si>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</si>
  <si>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</si>
  <si>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排名</t>
    <phoneticPr fontId="11" type="noConversion"/>
  </si>
  <si>
    <t>日報</t>
    <phoneticPr fontId="11" type="noConversion"/>
  </si>
  <si>
    <t>產能／時</t>
    <phoneticPr fontId="11" type="noConversion"/>
  </si>
  <si>
    <t>微波小吃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</si>
  <si>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原因別分析(8/26-9/1)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</si>
  <si>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</si>
  <si>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</si>
  <si>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</si>
  <si>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</si>
  <si>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</si>
  <si>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</si>
  <si>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</si>
  <si>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</si>
  <si>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</si>
  <si>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</si>
  <si>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</si>
  <si>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</si>
  <si>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原因別分析(9/2-9/8)</t>
    </r>
    <phoneticPr fontId="11" type="noConversion"/>
  </si>
  <si>
    <t>增加線上抽秤頻率</t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</si>
  <si>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</si>
  <si>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</si>
  <si>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</si>
  <si>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</si>
  <si>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</si>
  <si>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</si>
  <si>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</si>
  <si>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</si>
  <si>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</si>
  <si>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</si>
  <si>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</si>
  <si>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</si>
  <si>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</si>
  <si>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</si>
  <si>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</si>
  <si>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</si>
  <si>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</si>
  <si>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</si>
  <si>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</si>
  <si>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</si>
  <si>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原因別分析(9/9-9/15)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</si>
  <si>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</si>
  <si>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</si>
  <si>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</si>
  <si>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</si>
  <si>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</si>
  <si>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</si>
  <si>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</si>
  <si>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</si>
  <si>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</si>
  <si>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</si>
  <si>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</si>
  <si>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</si>
  <si>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</si>
  <si>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</si>
  <si>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</si>
  <si>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</si>
  <si>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</si>
  <si>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</si>
  <si>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</si>
  <si>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</si>
  <si>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</si>
  <si>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</si>
  <si>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</si>
  <si>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</si>
  <si>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</si>
  <si>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</si>
  <si>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</si>
  <si>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季節調理麵</t>
    <phoneticPr fontId="11" type="noConversion"/>
  </si>
  <si>
    <t>微波小吃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</si>
  <si>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</si>
  <si>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</si>
  <si>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</si>
  <si>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</si>
  <si>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</si>
  <si>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</si>
  <si>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</si>
  <si>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</si>
  <si>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</si>
  <si>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</si>
  <si>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</si>
  <si>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</si>
  <si>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原因別分析(9/16-9/22)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</si>
  <si>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</si>
  <si>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</si>
  <si>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</si>
  <si>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</si>
  <si>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</si>
  <si>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</si>
  <si>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</si>
  <si>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</si>
  <si>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</si>
  <si>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</si>
  <si>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</si>
  <si>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</si>
  <si>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照燒雞肉飯糰</t>
  </si>
  <si>
    <r>
      <t>（７）</t>
    </r>
    <r>
      <rPr>
        <b/>
        <sz val="12"/>
        <color rgb="FF000000"/>
        <rFont val="Meiryo UI"/>
        <family val="2"/>
      </rPr>
      <t>原因別分析(9/23-9/29)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</si>
  <si>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</si>
  <si>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</si>
  <si>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</si>
  <si>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</si>
  <si>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</si>
  <si>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</si>
  <si>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</si>
  <si>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</si>
  <si>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</si>
  <si>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</si>
  <si>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</si>
  <si>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</si>
  <si>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產線配置圖－月表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</si>
  <si>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</si>
  <si>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</si>
  <si>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</si>
  <si>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</si>
  <si>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</si>
  <si>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</si>
  <si>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</si>
  <si>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</si>
  <si>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</si>
  <si>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</si>
  <si>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</si>
  <si>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</si>
  <si>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產線配置圖－月表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</si>
  <si>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</si>
  <si>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主食</t>
    <phoneticPr fontId="11" type="noConversion"/>
  </si>
  <si>
    <t>便當</t>
    <phoneticPr fontId="11" type="noConversion"/>
  </si>
  <si>
    <t>季節調理麵</t>
    <phoneticPr fontId="11" type="noConversion"/>
  </si>
  <si>
    <t>微波小吃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</si>
  <si>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原因別分析(9/30-10/6)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</si>
  <si>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</si>
  <si>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</si>
  <si>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</si>
  <si>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</si>
  <si>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</si>
  <si>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</si>
  <si>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</si>
  <si>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</si>
  <si>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</si>
  <si>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</si>
  <si>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</si>
  <si>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</si>
  <si>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韓式部隊鍋</t>
  </si>
  <si>
    <t>海陸雙拼肉肉餐盒</t>
  </si>
  <si>
    <t>經典鮪魚沙拉細卷</t>
  </si>
  <si>
    <t>取樣不穩</t>
  </si>
  <si>
    <t>蔬活腿排補力餐盒</t>
  </si>
  <si>
    <r>
      <t>（７）</t>
    </r>
    <r>
      <rPr>
        <b/>
        <sz val="12"/>
        <color rgb="FF000000"/>
        <rFont val="Meiryo UI"/>
        <family val="2"/>
      </rPr>
      <t>原因別分析(10/7-10/13)</t>
    </r>
    <phoneticPr fontId="11" type="noConversion"/>
  </si>
  <si>
    <t>類型</t>
    <phoneticPr fontId="11" type="noConversion"/>
  </si>
  <si>
    <t>展開量高於１０5％</t>
    <phoneticPr fontId="11" type="noConversion"/>
  </si>
  <si>
    <t>反應調配課級，追蹤三天備料狀況</t>
  </si>
  <si>
    <t>製程不穩</t>
    <phoneticPr fontId="11" type="noConversion"/>
  </si>
  <si>
    <t>二配西班牙風味海鮮燉飯</t>
  </si>
  <si>
    <t>其他原因</t>
    <phoneticPr fontId="11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</si>
  <si>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</si>
  <si>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t>（８）超用原因別前幾名品項</t>
    <phoneticPr fontId="11" type="noConversion"/>
  </si>
  <si>
    <t>展開量高於１０5％</t>
    <phoneticPr fontId="8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</si>
  <si>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</si>
  <si>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製程不穩</t>
    <phoneticPr fontId="8"/>
  </si>
  <si>
    <t>取樣不穩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</si>
  <si>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</si>
  <si>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</si>
  <si>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</si>
  <si>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</si>
  <si>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t>原物料大小、厚薄差異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</si>
  <si>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</si>
  <si>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月別</t>
    <phoneticPr fontId="11" type="noConversion"/>
  </si>
  <si>
    <t>分析原因</t>
    <phoneticPr fontId="11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</si>
  <si>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1" type="noConversion"/>
  </si>
  <si>
    <t>後續對策</t>
    <phoneticPr fontId="11" type="noConversion"/>
  </si>
  <si>
    <t>次數</t>
    <phoneticPr fontId="11" type="noConversion"/>
  </si>
  <si>
    <t>分析原因（件）</t>
    <phoneticPr fontId="11" type="noConversion"/>
  </si>
  <si>
    <t>報廢金額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</si>
  <si>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</si>
  <si>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</si>
  <si>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</si>
  <si>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</si>
  <si>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t>展開量高於１０5％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</si>
  <si>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</si>
  <si>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製程不穩</t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</si>
  <si>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</si>
  <si>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</si>
  <si>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</si>
  <si>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t>其他原因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</si>
  <si>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</si>
  <si>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月前二十</t>
    <phoneticPr fontId="11" type="noConversion"/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</si>
  <si>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1" type="noConversion"/>
  </si>
  <si>
    <t>其他原因</t>
  </si>
  <si>
    <t>步留因素</t>
    <phoneticPr fontId="11" type="noConversion"/>
  </si>
  <si>
    <t>占比</t>
    <phoneticPr fontId="11" type="noConversion"/>
  </si>
  <si>
    <t>金額</t>
    <phoneticPr fontId="11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</si>
  <si>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</si>
  <si>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原因說明</t>
    <phoneticPr fontId="11" type="noConversion"/>
  </si>
  <si>
    <t>次數</t>
    <phoneticPr fontId="11" type="noConversion"/>
  </si>
  <si>
    <t>分析原因（件）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</si>
  <si>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</si>
  <si>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</si>
  <si>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</si>
  <si>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</si>
  <si>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</si>
  <si>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</si>
  <si>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</si>
  <si>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</si>
  <si>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</si>
  <si>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二配三杯醬爆菇菇飯糰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</si>
  <si>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</si>
  <si>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14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20</t>
    </r>
    <r>
      <rPr>
        <b/>
        <sz val="12"/>
        <color rgb="FF000000"/>
        <rFont val="Meiryo UI"/>
        <family val="2"/>
      </rPr>
      <t>)</t>
    </r>
    <phoneticPr fontId="11" type="noConversion"/>
  </si>
  <si>
    <t>油蔥雞汁飯糰(區)</t>
  </si>
  <si>
    <t>雙鬆細卷</t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</si>
  <si>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21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27</t>
    </r>
    <r>
      <rPr>
        <b/>
        <sz val="12"/>
        <color rgb="FF000000"/>
        <rFont val="Meiryo UI"/>
        <family val="2"/>
      </rPr>
      <t>)</t>
    </r>
    <phoneticPr fontId="11" type="noConversion"/>
  </si>
  <si>
    <t>蕃茄起司手工千層麵(區2)</t>
  </si>
  <si>
    <t>明太子玉子脆卷</t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</si>
  <si>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28</t>
    </r>
    <r>
      <rPr>
        <b/>
        <sz val="12"/>
        <color rgb="FF000000"/>
        <rFont val="Meiryo UI"/>
        <family val="2"/>
      </rPr>
      <t>-11/03)</t>
    </r>
    <phoneticPr fontId="11" type="noConversion"/>
  </si>
  <si>
    <r>
      <rPr>
        <sz val="12"/>
        <color theme="1"/>
        <rFont val="細明體"/>
        <family val="3"/>
        <charset val="136"/>
      </rPr>
      <t>超用</t>
    </r>
    <r>
      <rPr>
        <sz val="12"/>
        <color theme="1"/>
        <rFont val="Meiryo UI"/>
        <family val="2"/>
      </rPr>
      <t>金額</t>
    </r>
    <phoneticPr fontId="11" type="noConversion"/>
  </si>
  <si>
    <t>兩粒飯糰(鮪魚.焦糖鮭魚)</t>
  </si>
  <si>
    <t/>
  </si>
  <si>
    <t>二配泰式綠咖哩雞</t>
  </si>
  <si>
    <t>香腸腿排雙拼便當</t>
  </si>
  <si>
    <t>日式蕎麥沾麵</t>
  </si>
  <si>
    <t>二配泰式椰香綠咖哩醬</t>
  </si>
  <si>
    <t>晉欣廠半成品管理日別總表</t>
    <phoneticPr fontId="11" type="noConversion"/>
  </si>
  <si>
    <t>日期</t>
    <phoneticPr fontId="89" type="noConversion"/>
  </si>
  <si>
    <t>營業額</t>
    <phoneticPr fontId="11" type="noConversion"/>
  </si>
  <si>
    <t>報廢額</t>
    <phoneticPr fontId="89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</si>
  <si>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1" type="noConversion"/>
  </si>
  <si>
    <t>超用額</t>
    <phoneticPr fontId="89" type="noConversion"/>
  </si>
  <si>
    <t>超用率</t>
    <phoneticPr fontId="11" type="noConversion"/>
  </si>
  <si>
    <t>廢棄前10名</t>
    <phoneticPr fontId="11" type="noConversion"/>
  </si>
  <si>
    <t>超用前10名</t>
    <phoneticPr fontId="11" type="noConversion"/>
  </si>
  <si>
    <t>共用類廢棄</t>
    <phoneticPr fontId="11" type="noConversion"/>
  </si>
  <si>
    <t>週累積</t>
    <phoneticPr fontId="11" type="noConversion"/>
  </si>
  <si>
    <t>金額總計</t>
    <phoneticPr fontId="11" type="noConversion"/>
  </si>
  <si>
    <t>構成比</t>
    <phoneticPr fontId="11" type="noConversion"/>
  </si>
  <si>
    <t>金額總計</t>
    <phoneticPr fontId="89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</si>
  <si>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9" type="noConversion"/>
  </si>
  <si>
    <t>營業額</t>
    <phoneticPr fontId="11" type="noConversion"/>
  </si>
  <si>
    <t>週報廢</t>
    <phoneticPr fontId="11" type="noConversion"/>
  </si>
  <si>
    <t>週超用</t>
    <phoneticPr fontId="11" type="noConversion"/>
  </si>
  <si>
    <t>平均</t>
    <phoneticPr fontId="89" type="noConversion"/>
  </si>
  <si>
    <t>合計</t>
    <phoneticPr fontId="89" type="noConversion"/>
  </si>
  <si>
    <r>
      <t>（７）</t>
    </r>
    <r>
      <rPr>
        <b/>
        <sz val="12"/>
        <color rgb="FF000000"/>
        <rFont val="Meiryo UI"/>
        <family val="2"/>
      </rPr>
      <t>原因別分析(11/04-11/10)</t>
    </r>
    <phoneticPr fontId="11" type="noConversion"/>
  </si>
  <si>
    <t>二配金咖哩濃厚辛口咖哩飯</t>
  </si>
  <si>
    <t>二配厚香料咖哩雞排飯</t>
  </si>
  <si>
    <r>
      <t>（７）</t>
    </r>
    <r>
      <rPr>
        <b/>
        <sz val="12"/>
        <color rgb="FF000000"/>
        <rFont val="Meiryo UI"/>
        <family val="2"/>
      </rPr>
      <t>原因別分析(11/11-11/17)</t>
    </r>
    <phoneticPr fontId="11" type="noConversion"/>
  </si>
  <si>
    <t>川燙青花菜</t>
  </si>
  <si>
    <t>麻婆豆腐波浪麵</t>
  </si>
  <si>
    <t>香料咖哩炸雞烤飯糰</t>
  </si>
  <si>
    <t>日式野菜烘蛋燴飯</t>
  </si>
  <si>
    <t>二配起司控培根白醬焗烤飯</t>
  </si>
  <si>
    <r>
      <t>（７）</t>
    </r>
    <r>
      <rPr>
        <b/>
        <sz val="12"/>
        <color rgb="FF000000"/>
        <rFont val="Meiryo UI"/>
        <family val="2"/>
      </rPr>
      <t>原因別分析(11/18-11/24)</t>
    </r>
    <phoneticPr fontId="11" type="noConversion"/>
  </si>
  <si>
    <t>香烤藍尾鱈魚五行餐盒</t>
  </si>
  <si>
    <r>
      <t>（７）</t>
    </r>
    <r>
      <rPr>
        <b/>
        <sz val="12"/>
        <color rgb="FF000000"/>
        <rFont val="Meiryo UI"/>
        <family val="2"/>
      </rPr>
      <t>原因別分析(11/25-12/01)</t>
    </r>
    <phoneticPr fontId="11" type="noConversion"/>
  </si>
  <si>
    <t>蔥蔥玉子拌麵</t>
  </si>
  <si>
    <t>煮無敵家日式肉燥</t>
  </si>
  <si>
    <t>煮無敵家拌麵醬</t>
  </si>
  <si>
    <t>確認備料量是否正確，調整出料率</t>
  </si>
  <si>
    <t>二配大飯糰韓式蒜烤豬五花</t>
  </si>
  <si>
    <t>和風牛肉咖哩炸飯糰</t>
  </si>
  <si>
    <t>二配失控起司薯餅焗飯</t>
  </si>
  <si>
    <r>
      <t>（７）</t>
    </r>
    <r>
      <rPr>
        <b/>
        <sz val="12"/>
        <color rgb="FF000000"/>
        <rFont val="Meiryo UI"/>
        <family val="2"/>
      </rPr>
      <t>原因別分析(12/02-12/08)</t>
    </r>
    <phoneticPr fontId="11" type="noConversion"/>
  </si>
  <si>
    <t>生產前及生產中確認設定及實際出料狀況</t>
  </si>
  <si>
    <t>回饋研發，後續開發列入考量，設定放料量範圍。</t>
  </si>
  <si>
    <t>蒜炒紅K高麗菜(111年)</t>
  </si>
  <si>
    <t>增加線上抽秤頻率，維持人員放料手感</t>
  </si>
  <si>
    <t>確認輔助工具型號，使用前先攪拌均勻。生產前及生產中確認設定及實際出料狀況</t>
  </si>
  <si>
    <t>大口起司熔岩白醬炸魚飯糰</t>
  </si>
  <si>
    <t>愛恨椒芝麵</t>
  </si>
  <si>
    <r>
      <t>（７）</t>
    </r>
    <r>
      <rPr>
        <b/>
        <sz val="12"/>
        <color rgb="FF000000"/>
        <rFont val="Meiryo UI"/>
        <family val="2"/>
      </rPr>
      <t>原因別分析(12/09-12/15)</t>
    </r>
    <phoneticPr fontId="11" type="noConversion"/>
  </si>
  <si>
    <t>二配北海道秋鮭親子飯糰</t>
  </si>
  <si>
    <t>冰杓放料，冰杓滿度差異</t>
  </si>
  <si>
    <t>二配蒙古風味烤肉飯</t>
  </si>
  <si>
    <t>二配麻油雞燴飯</t>
  </si>
  <si>
    <r>
      <t>（７）</t>
    </r>
    <r>
      <rPr>
        <b/>
        <sz val="12"/>
        <color rgb="FF000000"/>
        <rFont val="Meiryo UI"/>
        <family val="2"/>
      </rPr>
      <t>原因別分析(12/16-12/22)</t>
    </r>
    <phoneticPr fontId="11" type="noConversion"/>
  </si>
  <si>
    <t>壽喜燒牛五花</t>
  </si>
  <si>
    <t>二配炒蒙古烤肉蔬菜</t>
  </si>
  <si>
    <t>二配大飯糰滷肉飯加蛋</t>
  </si>
  <si>
    <t>二配鮭魚蛋炒飯</t>
  </si>
  <si>
    <r>
      <t>（７）</t>
    </r>
    <r>
      <rPr>
        <b/>
        <sz val="12"/>
        <color rgb="FF000000"/>
        <rFont val="Meiryo UI"/>
        <family val="2"/>
      </rPr>
      <t>原因別分析(12/23-12/29)</t>
    </r>
    <phoneticPr fontId="11" type="noConversion"/>
  </si>
  <si>
    <t>二配川燙枸杞</t>
  </si>
  <si>
    <t>鮭魚奶油醬油飯糰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</si>
  <si>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</si>
  <si>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</si>
  <si>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</si>
  <si>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</si>
  <si>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</si>
  <si>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</si>
  <si>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</si>
  <si>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</si>
  <si>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</si>
  <si>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</si>
  <si>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</si>
  <si>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</si>
  <si>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</si>
  <si>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</si>
  <si>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</si>
  <si>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</si>
  <si>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</si>
  <si>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</si>
  <si>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</si>
  <si>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</si>
  <si>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</si>
  <si>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</si>
  <si>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</si>
  <si>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</si>
  <si>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</si>
  <si>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</si>
  <si>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品群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</si>
  <si>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</si>
  <si>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</si>
  <si>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</si>
  <si>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</si>
  <si>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</si>
  <si>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</si>
  <si>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r>
      <t>（７）</t>
    </r>
    <r>
      <rPr>
        <b/>
        <sz val="12"/>
        <color rgb="FF000000"/>
        <rFont val="Meiryo UI"/>
        <family val="2"/>
      </rPr>
      <t>原因別分析(12/30-1/5)</t>
    </r>
    <phoneticPr fontId="11" type="noConversion"/>
  </si>
  <si>
    <t>二配鼎泰豐-麻婆豆腐燴汁(113年)</t>
  </si>
  <si>
    <t>解凍-醬油漬鮭魚卵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</si>
  <si>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</si>
  <si>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</si>
  <si>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</si>
  <si>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</si>
  <si>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</si>
  <si>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</si>
  <si>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</si>
  <si>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</si>
  <si>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</si>
  <si>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</si>
  <si>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</si>
  <si>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</si>
  <si>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</si>
  <si>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</si>
  <si>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</si>
  <si>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</si>
  <si>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</si>
  <si>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</si>
  <si>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</si>
  <si>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</si>
  <si>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</si>
  <si>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</si>
  <si>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</si>
  <si>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</si>
  <si>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</si>
  <si>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</si>
  <si>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</si>
  <si>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</si>
  <si>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明太子奶油炸飯糰</t>
  </si>
  <si>
    <t>明太子泡菜牛飯卷</t>
  </si>
  <si>
    <t>壹號醬雞豚雙拼</t>
  </si>
  <si>
    <t>好多蒜燒豚飯</t>
  </si>
  <si>
    <t>二配香炒沙茶豬肉飯</t>
  </si>
  <si>
    <t>二配滷-大白菜(115年)</t>
  </si>
  <si>
    <t>二配歐姆蛋(111年版)</t>
  </si>
  <si>
    <t>切-究極燒肉片</t>
  </si>
  <si>
    <t>單價高</t>
  </si>
  <si>
    <t>烤飯糰1</t>
    <phoneticPr fontId="11" type="noConversion"/>
  </si>
  <si>
    <t>烤飯糰2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</si>
  <si>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原因別分析(1/13-1/19)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</si>
  <si>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原因別分析(1/6-1/12)</t>
    </r>
    <phoneticPr fontId="11" type="noConversion"/>
  </si>
  <si>
    <t>二配炒培根片</t>
  </si>
  <si>
    <t>二配煮麻油雞丁</t>
  </si>
  <si>
    <t>二配雞肉香料咖哩</t>
  </si>
  <si>
    <t>二配川燙醃嫩化淨零碳排牛肉片</t>
  </si>
  <si>
    <t>二配紅燒牛肉燴飯</t>
  </si>
  <si>
    <t>二配切-蒸滷牛腱</t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</si>
  <si>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</si>
  <si>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</si>
  <si>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</si>
  <si>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</si>
  <si>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</si>
  <si>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</si>
  <si>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</si>
  <si>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</si>
  <si>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</si>
  <si>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</si>
  <si>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</si>
  <si>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</si>
  <si>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</si>
  <si>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</si>
  <si>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排名</t>
    <phoneticPr fontId="11" type="noConversion"/>
  </si>
  <si>
    <t>鴻運烏魚子紹興飯糰</t>
  </si>
  <si>
    <t>美乃炙烤雞肉飯</t>
  </si>
  <si>
    <t>福氣魚四喜開運便當</t>
  </si>
  <si>
    <t>鮑滿福氣中華燴麵</t>
  </si>
  <si>
    <t>鴻運番茄湯麵</t>
  </si>
  <si>
    <r>
      <t>（７）</t>
    </r>
    <r>
      <rPr>
        <b/>
        <sz val="12"/>
        <color rgb="FF000000"/>
        <rFont val="Meiryo UI"/>
        <family val="2"/>
      </rPr>
      <t>原因別分析(1/20-1/26)</t>
    </r>
    <phoneticPr fontId="11" type="noConversion"/>
  </si>
  <si>
    <t>煮愛恨芝麻醬</t>
  </si>
  <si>
    <t>二配蒸海鮮醬(料)</t>
  </si>
  <si>
    <t>碳香照燒雞腿丁</t>
  </si>
  <si>
    <t>紅運烏魚子紹興飯糰</t>
  </si>
  <si>
    <t>撥碎-解凍烏魚子丁</t>
  </si>
  <si>
    <t>雙倍德腸飯卷</t>
  </si>
  <si>
    <t>媽媽煮藝-(區)香滷牛肚絲</t>
  </si>
  <si>
    <r>
      <t>（７）</t>
    </r>
    <r>
      <rPr>
        <b/>
        <sz val="12"/>
        <color rgb="FF000000"/>
        <rFont val="Meiryo UI"/>
        <family val="2"/>
      </rPr>
      <t>原因別分析(1/27-2/2)</t>
    </r>
    <phoneticPr fontId="11" type="noConversion"/>
  </si>
  <si>
    <t>半成品結凍強度影響擠醬機出料量</t>
  </si>
  <si>
    <t>農產品原物料的大小差異</t>
  </si>
  <si>
    <t>菜梗、葉差異及均勻度，影響人員放料手感</t>
  </si>
  <si>
    <t>確認糖鹽度判定範圍，以中線作為判定標準</t>
  </si>
  <si>
    <t>肉片油脂、筋膜分布影響賣相狀況。</t>
  </si>
  <si>
    <t>冰杓放料，半成品均勻度及冰杓滿度差異</t>
  </si>
  <si>
    <t>0203-0209</t>
    <phoneticPr fontId="11" type="noConversion"/>
  </si>
  <si>
    <t>好吃雞肉便當</t>
  </si>
  <si>
    <t>媽媽煮藝-鹹酥雞</t>
  </si>
  <si>
    <t>－</t>
    <phoneticPr fontId="11" type="noConversion"/>
  </si>
  <si>
    <t>▲</t>
    <phoneticPr fontId="11" type="noConversion"/>
  </si>
  <si>
    <t>對比上週差異小</t>
    <phoneticPr fontId="11" type="noConversion"/>
  </si>
  <si>
    <t>▼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</si>
  <si>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</si>
  <si>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</si>
  <si>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</si>
  <si>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</si>
  <si>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</si>
  <si>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r>
      <t>人員熟悉度提升，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能及人時生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性較上週提升</t>
    </r>
    <phoneticPr fontId="11" type="noConversion"/>
  </si>
  <si>
    <t>－</t>
    <phoneticPr fontId="11" type="noConversion"/>
  </si>
  <si>
    <t>最後幾名皆為須定位擺放、半成品數較多餐盒類商品，產能及人時生產性較低</t>
    <phoneticPr fontId="11" type="noConversion"/>
  </si>
  <si>
    <t>▼</t>
    <phoneticPr fontId="11" type="noConversion"/>
  </si>
  <si>
    <t>▲</t>
    <phoneticPr fontId="11" type="noConversion"/>
  </si>
  <si>
    <t>鴻運番茄湯麵</t>
    <phoneticPr fontId="11" type="noConversion"/>
  </si>
  <si>
    <t>前三名皆為同性質涼麵商品，產能及人時生產性接近</t>
    <phoneticPr fontId="11" type="noConversion"/>
  </si>
  <si>
    <t>只須貼標，使用人數少，人時生產性高</t>
    <phoneticPr fontId="11" type="noConversion"/>
  </si>
  <si>
    <r>
      <t>2/3</t>
    </r>
    <r>
      <rPr>
        <sz val="12"/>
        <color theme="1"/>
        <rFont val="細明體"/>
        <family val="3"/>
        <charset val="136"/>
      </rPr>
      <t>新品，使用八爪機生產，產能及人時生產性差異小</t>
    </r>
    <phoneticPr fontId="11" type="noConversion"/>
  </si>
  <si>
    <t>為機台生產，產能平均，產能及人時生產性差異小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</si>
  <si>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原因別分析(2/3-2/9)</t>
    </r>
    <phoneticPr fontId="11" type="noConversion"/>
  </si>
  <si>
    <t>二配蒸蛤蜊-肉</t>
  </si>
  <si>
    <t>雞肉飯醬汁(113年)</t>
  </si>
  <si>
    <t>二配鹽蔥燒肉飯糰</t>
  </si>
  <si>
    <t>二配112年拌鹽烤豬肉片</t>
  </si>
  <si>
    <t>二配蒸果香甘口咖哩腿丁</t>
  </si>
  <si>
    <t>糖鹽度在設定範圍內，但偏低，導致產出量多</t>
  </si>
  <si>
    <t>(V)煮麻婆豆腐燴料(114年)</t>
  </si>
  <si>
    <t>原物料長短、厚薄差異，導致放料量有差異</t>
  </si>
  <si>
    <t>回饋研發，後續開發列入考量。</t>
  </si>
  <si>
    <t>W2</t>
    <phoneticPr fontId="11" type="noConversion"/>
  </si>
  <si>
    <t>▲</t>
    <phoneticPr fontId="11" type="noConversion"/>
  </si>
  <si>
    <t>飯糰前幾名為訂單量較高商品，產能及人時生產性接近。</t>
    <phoneticPr fontId="11" type="noConversion"/>
  </si>
  <si>
    <t>▼</t>
    <phoneticPr fontId="11" type="noConversion"/>
  </si>
  <si>
    <t>對比上週差異小</t>
    <phoneticPr fontId="11" type="noConversion"/>
  </si>
  <si>
    <t>－</t>
    <phoneticPr fontId="11" type="noConversion"/>
  </si>
  <si>
    <t>訂單量少，產能及人時生產性對比上週下降。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</si>
  <si>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</si>
  <si>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</si>
  <si>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</si>
  <si>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</si>
  <si>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</si>
  <si>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r>
      <t>炸飯</t>
    </r>
    <r>
      <rPr>
        <sz val="11"/>
        <color theme="1"/>
        <rFont val="細明體"/>
        <family val="3"/>
        <charset val="136"/>
      </rPr>
      <t>糰</t>
    </r>
    <r>
      <rPr>
        <sz val="11"/>
        <color theme="1"/>
        <rFont val="Meiryo UI"/>
        <family val="2"/>
      </rPr>
      <t>與</t>
    </r>
    <r>
      <rPr>
        <sz val="11"/>
        <color theme="1"/>
        <rFont val="細明體"/>
        <family val="3"/>
        <charset val="136"/>
      </rPr>
      <t>烤</t>
    </r>
    <r>
      <rPr>
        <sz val="11"/>
        <color theme="1"/>
        <rFont val="Meiryo UI"/>
        <family val="2"/>
      </rPr>
      <t>飯</t>
    </r>
    <r>
      <rPr>
        <sz val="11"/>
        <color theme="1"/>
        <rFont val="細明體"/>
        <family val="3"/>
        <charset val="136"/>
      </rPr>
      <t>糰</t>
    </r>
    <r>
      <rPr>
        <sz val="11"/>
        <color theme="1"/>
        <rFont val="Meiryo UI"/>
        <family val="2"/>
      </rPr>
      <t>商品，皆不須組裝，直接入機台包裝，</t>
    </r>
    <r>
      <rPr>
        <sz val="11"/>
        <color theme="1"/>
        <rFont val="細明體"/>
        <family val="3"/>
        <charset val="136"/>
      </rPr>
      <t>人時生產性差異小</t>
    </r>
    <r>
      <rPr>
        <sz val="11"/>
        <color theme="1"/>
        <rFont val="Meiryo UI"/>
        <family val="2"/>
      </rPr>
      <t>。</t>
    </r>
    <phoneticPr fontId="11" type="noConversion"/>
  </si>
  <si>
    <t>雙倍德腸飯卷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</si>
  <si>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原因別分析(2/10-2/16)</t>
    </r>
    <phoneticPr fontId="11" type="noConversion"/>
  </si>
  <si>
    <t>類型</t>
    <phoneticPr fontId="11" type="noConversion"/>
  </si>
  <si>
    <t>排名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</si>
  <si>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</si>
  <si>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</si>
  <si>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</si>
  <si>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</si>
  <si>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前月比</t>
    <phoneticPr fontId="11" type="noConversion"/>
  </si>
  <si>
    <t>展開量高於１０5％</t>
    <phoneticPr fontId="11" type="noConversion"/>
  </si>
  <si>
    <t>前幾名合計比例</t>
    <phoneticPr fontId="8"/>
  </si>
  <si>
    <t>前幾名合計金額</t>
    <phoneticPr fontId="8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</si>
  <si>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</si>
  <si>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二配炒綠咖哩腿肉片</t>
  </si>
  <si>
    <t>112年炒金鉤蝦肉燥</t>
  </si>
  <si>
    <t>(V)炒辣椒圓片</t>
  </si>
  <si>
    <t>製程不穩</t>
    <phoneticPr fontId="11" type="noConversion"/>
  </si>
  <si>
    <t>確認備料量是否正確，調整出料率</t>
    <phoneticPr fontId="11" type="noConversion"/>
  </si>
  <si>
    <t>增加放料抽秤頻率</t>
    <phoneticPr fontId="11" type="noConversion"/>
  </si>
  <si>
    <t>二配西班牙烤雞腿丁</t>
  </si>
  <si>
    <t>二配川燙青花菜</t>
  </si>
  <si>
    <t>製程報廢</t>
    <phoneticPr fontId="11" type="noConversion"/>
  </si>
  <si>
    <r>
      <t>賣相</t>
    </r>
    <r>
      <rPr>
        <sz val="11"/>
        <color theme="1"/>
        <rFont val="Arial"/>
        <family val="3"/>
        <charset val="136"/>
        <scheme val="minor"/>
      </rPr>
      <t>設定</t>
    </r>
    <phoneticPr fontId="11" type="noConversion"/>
  </si>
  <si>
    <t>其他原因</t>
    <phoneticPr fontId="11" type="noConversion"/>
  </si>
  <si>
    <t>單價高</t>
    <phoneticPr fontId="11" type="noConversion"/>
  </si>
  <si>
    <t>超用率</t>
    <phoneticPr fontId="8"/>
  </si>
  <si>
    <t>切3cm-炙烤牛五花(飯卷)</t>
  </si>
  <si>
    <t>煮愛恨椒麻湯凍</t>
  </si>
  <si>
    <t>蒸-醬香雞肉絲CL(全)</t>
  </si>
  <si>
    <t>二配薯餅焗飯-紅醬</t>
  </si>
  <si>
    <t>賣相設定</t>
    <phoneticPr fontId="11" type="noConversion"/>
  </si>
  <si>
    <t>回饋研發，後續開發列入考量</t>
    <phoneticPr fontId="11" type="noConversion"/>
  </si>
  <si>
    <t>秤重放料時亦有醬汁殘留，人員因怕不足重，導致有多秤的狀況，協調微提高出料</t>
  </si>
  <si>
    <t>固定磅秤清潔頻率，加以人員教育訓練。收集用料數據，調整出料量</t>
  </si>
  <si>
    <t>二配川燙切片青江菜</t>
  </si>
  <si>
    <t>二配蒸燻腸片</t>
  </si>
  <si>
    <t>白菜川燙後容易含水，瀝水較不容易瀝除，導致製成差異，協調生產調整用量</t>
  </si>
  <si>
    <t>在口味穩定的前提下，固定瀝水時間，穩定製成率</t>
  </si>
  <si>
    <t>二配鼎泰豐-煮麻婆豆腐(113年)</t>
  </si>
  <si>
    <t>清洗蔥花</t>
  </si>
  <si>
    <t>大部分品項的單品用量少，取樣易有差異</t>
  </si>
  <si>
    <t>尋找設定使用的輔助工具，穩定取樣量</t>
  </si>
  <si>
    <t>二配油亮後腿肉絲</t>
  </si>
  <si>
    <t>原物料肉片的大小及厚薄度差異</t>
  </si>
  <si>
    <t>二配114年拌鮭魚沙拉</t>
  </si>
  <si>
    <t>半成品殘袋</t>
    <phoneticPr fontId="11" type="noConversion"/>
  </si>
  <si>
    <t>尋找適用的盛裝工具及刮除工具</t>
    <phoneticPr fontId="11" type="noConversion"/>
  </si>
  <si>
    <t>半成品糾結，影響放料手感</t>
  </si>
  <si>
    <t>使用前先行把半成品撥散</t>
  </si>
  <si>
    <t>秤重放料時亦有油脂殘留，人員因怕不足重，導致有多秤的狀況，協調微提高出料</t>
    <phoneticPr fontId="11" type="noConversion"/>
  </si>
  <si>
    <t>0210-0216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</si>
</sst>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</numFmts>
  <fonts count="11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FF0000"/>
      <name val="Meiryo UI"/>
      <family val="2"/>
      <charset val="128"/>
    </font>
    <font>
      <sz val="10"/>
      <name val="Meiryo UI"/>
      <family val="2"/>
      <charset val="128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577">
    <xf numFmtId="0" fontId="0" fillId="0" borderId="0"/>
    <xf numFmtId="0" fontId="4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22" fillId="0" borderId="0"/>
    <xf numFmtId="0" fontId="3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96" fillId="0" borderId="0"/>
    <xf numFmtId="9" fontId="96" fillId="0" borderId="0" applyFont="0" applyFill="0" applyBorder="0" applyAlignment="0" applyProtection="0"/>
    <xf numFmtId="0" fontId="97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7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196" fontId="98" fillId="0" borderId="0"/>
    <xf numFmtId="0" fontId="7" fillId="0" borderId="0"/>
    <xf numFmtId="0" fontId="96" fillId="0" borderId="0">
      <alignment vertical="center"/>
    </xf>
    <xf numFmtId="0" fontId="99" fillId="0" borderId="0"/>
    <xf numFmtId="42" fontId="97" fillId="0" borderId="0" applyFont="0" applyFill="0" applyBorder="0" applyAlignment="0" applyProtection="0"/>
    <xf numFmtId="0" fontId="100" fillId="0" borderId="0" applyNumberFormat="0" applyFill="0" applyBorder="0" applyAlignment="0" applyProtection="0">
      <alignment vertical="top"/>
      <protection locked="0"/>
    </xf>
    <xf numFmtId="0" fontId="101" fillId="0" borderId="0">
      <alignment vertical="top"/>
    </xf>
    <xf numFmtId="0" fontId="7" fillId="0" borderId="0"/>
    <xf numFmtId="0" fontId="99" fillId="0" borderId="0">
      <alignment vertical="center"/>
    </xf>
    <xf numFmtId="0" fontId="96" fillId="0" borderId="0"/>
    <xf numFmtId="0" fontId="96" fillId="0" borderId="0"/>
    <xf numFmtId="0" fontId="96" fillId="0" borderId="0"/>
    <xf numFmtId="0" fontId="99" fillId="0" borderId="0">
      <alignment vertical="center"/>
    </xf>
    <xf numFmtId="0" fontId="96" fillId="0" borderId="0"/>
    <xf numFmtId="0" fontId="96" fillId="0" borderId="0"/>
    <xf numFmtId="0" fontId="99" fillId="0" borderId="0">
      <alignment vertical="center"/>
    </xf>
    <xf numFmtId="0" fontId="99" fillId="0" borderId="0">
      <alignment vertical="center"/>
    </xf>
    <xf numFmtId="0" fontId="96" fillId="0" borderId="0"/>
    <xf numFmtId="0" fontId="99" fillId="0" borderId="0">
      <alignment vertical="center"/>
    </xf>
    <xf numFmtId="0" fontId="96" fillId="0" borderId="0"/>
    <xf numFmtId="0" fontId="99" fillId="0" borderId="0">
      <alignment vertical="center"/>
    </xf>
    <xf numFmtId="0" fontId="96" fillId="0" borderId="0"/>
    <xf numFmtId="0" fontId="96" fillId="0" borderId="0"/>
    <xf numFmtId="0" fontId="96" fillId="0" borderId="0"/>
    <xf numFmtId="0" fontId="102" fillId="0" borderId="0"/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" fillId="0" borderId="0">
      <alignment vertical="center"/>
    </xf>
    <xf numFmtId="0" fontId="96" fillId="0" borderId="0"/>
    <xf numFmtId="0" fontId="96" fillId="0" borderId="0"/>
    <xf numFmtId="0" fontId="102" fillId="0" borderId="0"/>
    <xf numFmtId="0" fontId="1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99" fillId="0" borderId="0"/>
    <xf numFmtId="0" fontId="96" fillId="0" borderId="0"/>
    <xf numFmtId="0" fontId="1" fillId="0" borderId="0">
      <alignment vertical="center"/>
    </xf>
    <xf numFmtId="0" fontId="99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99" fillId="0" borderId="0">
      <alignment vertical="center"/>
    </xf>
    <xf numFmtId="0" fontId="96" fillId="0" borderId="0"/>
    <xf numFmtId="0" fontId="99" fillId="0" borderId="0">
      <alignment vertical="center"/>
    </xf>
    <xf numFmtId="0" fontId="99" fillId="0" borderId="0">
      <alignment vertical="center"/>
    </xf>
    <xf numFmtId="0" fontId="96" fillId="0" borderId="0"/>
    <xf numFmtId="0" fontId="99" fillId="0" borderId="0">
      <alignment vertical="center"/>
    </xf>
    <xf numFmtId="0" fontId="99" fillId="0" borderId="0">
      <alignment vertical="center"/>
    </xf>
    <xf numFmtId="0" fontId="1" fillId="0" borderId="0">
      <alignment vertical="center"/>
    </xf>
    <xf numFmtId="0" fontId="96" fillId="0" borderId="0"/>
    <xf numFmtId="0" fontId="99" fillId="0" borderId="0">
      <alignment vertical="center"/>
    </xf>
    <xf numFmtId="0" fontId="96" fillId="0" borderId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9" fillId="0" borderId="0" applyFont="0" applyFill="0" applyBorder="0" applyAlignment="0" applyProtection="0">
      <alignment vertical="center"/>
    </xf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0" fontId="104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103" fillId="0" borderId="0" applyFont="0" applyFill="0" applyBorder="0" applyAlignment="0" applyProtection="0">
      <alignment vertical="center"/>
    </xf>
    <xf numFmtId="9" fontId="9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/>
    <xf numFmtId="9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44" fontId="102" fillId="0" borderId="0" applyFont="0" applyFill="0" applyBorder="0" applyAlignment="0" applyProtection="0">
      <alignment vertical="center"/>
    </xf>
    <xf numFmtId="0" fontId="106" fillId="0" borderId="0">
      <alignment vertical="center"/>
    </xf>
    <xf numFmtId="0" fontId="107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920">
    <xf numFmtId="0" fontId="0" fillId="0" borderId="0" xfId="0" applyFont="1" applyAlignment="1"/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5" fillId="0" borderId="1" xfId="0" applyFont="1" applyBorder="1" applyAlignment="1">
      <alignment horizontal="right" shrinkToFit="1"/>
    </xf>
    <xf numFmtId="0" fontId="5" fillId="0" borderId="1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1" xfId="0" applyFont="1" applyFill="1" applyBorder="1" applyAlignment="1">
      <alignment shrinkToFit="1"/>
    </xf>
    <xf numFmtId="0" fontId="5" fillId="2" borderId="1" xfId="0" applyFont="1" applyFill="1" applyBorder="1" applyAlignment="1">
      <alignment shrinkToFit="1"/>
    </xf>
    <xf numFmtId="3" fontId="5" fillId="0" borderId="1" xfId="0" applyNumberFormat="1" applyFont="1" applyBorder="1" applyAlignment="1">
      <alignment shrinkToFit="1"/>
    </xf>
    <xf numFmtId="3" fontId="5" fillId="3" borderId="1" xfId="0" applyNumberFormat="1" applyFont="1" applyFill="1" applyBorder="1" applyAlignment="1">
      <alignment shrinkToFit="1"/>
    </xf>
    <xf numFmtId="4" fontId="5" fillId="0" borderId="1" xfId="0" applyNumberFormat="1" applyFont="1" applyBorder="1" applyAlignment="1">
      <alignment horizontal="right" shrinkToFit="1"/>
    </xf>
    <xf numFmtId="10" fontId="5" fillId="2" borderId="1" xfId="0" applyNumberFormat="1" applyFont="1" applyFill="1" applyBorder="1" applyAlignment="1">
      <alignment horizontal="right" shrinkToFit="1"/>
    </xf>
    <xf numFmtId="10" fontId="5" fillId="3" borderId="1" xfId="0" applyNumberFormat="1" applyFont="1" applyFill="1" applyBorder="1" applyAlignment="1">
      <alignment shrinkToFit="1"/>
    </xf>
    <xf numFmtId="10" fontId="5" fillId="0" borderId="1" xfId="0" applyNumberFormat="1" applyFont="1" applyBorder="1" applyAlignment="1">
      <alignment shrinkToFit="1"/>
    </xf>
    <xf numFmtId="10" fontId="6" fillId="0" borderId="0" xfId="0" applyNumberFormat="1" applyFont="1" applyAlignment="1">
      <alignment shrinkToFit="1"/>
    </xf>
    <xf numFmtId="0" fontId="5" fillId="3" borderId="1" xfId="0" applyFont="1" applyFill="1" applyBorder="1" applyAlignment="1">
      <alignment shrinkToFit="1"/>
    </xf>
    <xf numFmtId="4" fontId="5" fillId="0" borderId="1" xfId="0" applyNumberFormat="1" applyFont="1" applyBorder="1" applyAlignment="1">
      <alignment shrinkToFit="1"/>
    </xf>
    <xf numFmtId="0" fontId="6" fillId="2" borderId="5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6" fillId="0" borderId="8" xfId="0" applyFont="1" applyBorder="1" applyAlignment="1">
      <alignment shrinkToFit="1"/>
    </xf>
    <xf numFmtId="0" fontId="5" fillId="0" borderId="5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10" fontId="5" fillId="0" borderId="5" xfId="0" applyNumberFormat="1" applyFont="1" applyBorder="1" applyAlignment="1">
      <alignment shrinkToFit="1"/>
    </xf>
    <xf numFmtId="0" fontId="5" fillId="3" borderId="5" xfId="0" applyFont="1" applyFill="1" applyBorder="1" applyAlignment="1">
      <alignment shrinkToFit="1"/>
    </xf>
    <xf numFmtId="0" fontId="5" fillId="2" borderId="15" xfId="0" applyFont="1" applyFill="1" applyBorder="1" applyAlignment="1">
      <alignment shrinkToFit="1"/>
    </xf>
    <xf numFmtId="10" fontId="5" fillId="3" borderId="17" xfId="0" applyNumberFormat="1" applyFont="1" applyFill="1" applyBorder="1" applyAlignment="1">
      <alignment shrinkToFit="1"/>
    </xf>
    <xf numFmtId="0" fontId="5" fillId="3" borderId="18" xfId="0" applyFont="1" applyFill="1" applyBorder="1" applyAlignment="1">
      <alignment shrinkToFit="1"/>
    </xf>
    <xf numFmtId="0" fontId="5" fillId="0" borderId="6" xfId="0" applyFont="1" applyBorder="1" applyAlignment="1">
      <alignment shrinkToFit="1"/>
    </xf>
    <xf numFmtId="10" fontId="5" fillId="0" borderId="6" xfId="0" applyNumberFormat="1" applyFont="1" applyBorder="1" applyAlignment="1">
      <alignment shrinkToFit="1"/>
    </xf>
    <xf numFmtId="0" fontId="5" fillId="3" borderId="6" xfId="0" applyFont="1" applyFill="1" applyBorder="1" applyAlignment="1">
      <alignment shrinkToFit="1"/>
    </xf>
    <xf numFmtId="10" fontId="5" fillId="0" borderId="0" xfId="0" applyNumberFormat="1" applyFont="1" applyAlignment="1">
      <alignment shrinkToFit="1"/>
    </xf>
    <xf numFmtId="10" fontId="5" fillId="2" borderId="1" xfId="0" applyNumberFormat="1" applyFont="1" applyFill="1" applyBorder="1" applyAlignment="1">
      <alignment shrinkToFit="1"/>
    </xf>
    <xf numFmtId="0" fontId="5" fillId="3" borderId="7" xfId="0" applyFont="1" applyFill="1" applyBorder="1" applyAlignment="1">
      <alignment shrinkToFit="1"/>
    </xf>
    <xf numFmtId="10" fontId="5" fillId="3" borderId="5" xfId="0" applyNumberFormat="1" applyFont="1" applyFill="1" applyBorder="1" applyAlignment="1">
      <alignment shrinkToFit="1"/>
    </xf>
    <xf numFmtId="0" fontId="5" fillId="0" borderId="11" xfId="0" applyFont="1" applyBorder="1" applyAlignment="1">
      <alignment shrinkToFit="1"/>
    </xf>
    <xf numFmtId="10" fontId="5" fillId="0" borderId="14" xfId="0" applyNumberFormat="1" applyFont="1" applyBorder="1" applyAlignment="1">
      <alignment shrinkToFit="1"/>
    </xf>
    <xf numFmtId="10" fontId="5" fillId="3" borderId="14" xfId="0" applyNumberFormat="1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9" fillId="0" borderId="1" xfId="0" applyFont="1" applyBorder="1" applyAlignment="1">
      <alignment shrinkToFit="1"/>
    </xf>
    <xf numFmtId="0" fontId="9" fillId="2" borderId="1" xfId="0" applyFont="1" applyFill="1" applyBorder="1" applyAlignment="1">
      <alignment horizontal="left" shrinkToFit="1"/>
    </xf>
    <xf numFmtId="0" fontId="10" fillId="2" borderId="1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5" fillId="2" borderId="22" xfId="0" applyFont="1" applyFill="1" applyBorder="1" applyAlignment="1">
      <alignment shrinkToFit="1"/>
    </xf>
    <xf numFmtId="0" fontId="5" fillId="2" borderId="23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16" xfId="0" applyFont="1" applyFill="1" applyBorder="1" applyAlignment="1">
      <alignment shrinkToFit="1"/>
    </xf>
    <xf numFmtId="0" fontId="9" fillId="4" borderId="0" xfId="0" applyFont="1" applyFill="1" applyAlignment="1"/>
    <xf numFmtId="0" fontId="10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5" fillId="4" borderId="0" xfId="0" applyFont="1" applyFill="1" applyAlignment="1"/>
    <xf numFmtId="10" fontId="5" fillId="4" borderId="0" xfId="0" applyNumberFormat="1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5" fillId="2" borderId="24" xfId="0" applyFont="1" applyFill="1" applyBorder="1" applyAlignment="1">
      <alignment shrinkToFit="1"/>
    </xf>
    <xf numFmtId="0" fontId="10" fillId="0" borderId="11" xfId="0" applyFont="1" applyBorder="1" applyAlignment="1">
      <alignment horizontal="right" shrinkToFit="1"/>
    </xf>
    <xf numFmtId="0" fontId="10" fillId="0" borderId="3" xfId="0" applyFont="1" applyBorder="1" applyAlignment="1">
      <alignment horizontal="right" shrinkToFit="1"/>
    </xf>
    <xf numFmtId="0" fontId="12" fillId="0" borderId="0" xfId="0" applyFont="1" applyAlignment="1">
      <alignment horizontal="center"/>
    </xf>
    <xf numFmtId="10" fontId="12" fillId="0" borderId="0" xfId="0" applyNumberFormat="1" applyFont="1" applyAlignment="1"/>
    <xf numFmtId="0" fontId="12" fillId="0" borderId="0" xfId="0" applyFont="1" applyAlignment="1"/>
    <xf numFmtId="0" fontId="16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4" fillId="0" borderId="0" xfId="0" applyFont="1" applyAlignment="1"/>
    <xf numFmtId="176" fontId="25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12" fillId="0" borderId="0" xfId="0" applyFont="1" applyFill="1" applyAlignment="1">
      <alignment vertical="center"/>
    </xf>
    <xf numFmtId="0" fontId="24" fillId="0" borderId="0" xfId="0" applyFont="1" applyFill="1" applyAlignment="1"/>
    <xf numFmtId="0" fontId="24" fillId="0" borderId="0" xfId="0" applyFont="1" applyFill="1" applyAlignment="1">
      <alignment horizontal="center"/>
    </xf>
    <xf numFmtId="176" fontId="25" fillId="0" borderId="0" xfId="0" applyNumberFormat="1" applyFont="1" applyFill="1" applyAlignment="1">
      <alignment horizontal="center" vertical="center"/>
    </xf>
    <xf numFmtId="179" fontId="24" fillId="0" borderId="0" xfId="0" applyNumberFormat="1" applyFont="1" applyFill="1" applyAlignment="1">
      <alignment horizontal="center"/>
    </xf>
    <xf numFmtId="176" fontId="24" fillId="0" borderId="0" xfId="0" applyNumberFormat="1" applyFont="1" applyFill="1" applyAlignment="1"/>
    <xf numFmtId="177" fontId="24" fillId="0" borderId="0" xfId="0" applyNumberFormat="1" applyFont="1" applyFill="1" applyAlignment="1"/>
    <xf numFmtId="178" fontId="24" fillId="0" borderId="0" xfId="0" applyNumberFormat="1" applyFont="1" applyFill="1" applyAlignment="1"/>
    <xf numFmtId="10" fontId="24" fillId="0" borderId="0" xfId="0" applyNumberFormat="1" applyFont="1" applyFill="1" applyAlignment="1"/>
    <xf numFmtId="176" fontId="25" fillId="6" borderId="0" xfId="0" applyNumberFormat="1" applyFont="1" applyFill="1" applyAlignment="1">
      <alignment horizontal="center" vertical="center"/>
    </xf>
    <xf numFmtId="176" fontId="25" fillId="7" borderId="0" xfId="0" applyNumberFormat="1" applyFont="1" applyFill="1" applyAlignment="1">
      <alignment horizontal="center" vertical="center"/>
    </xf>
    <xf numFmtId="180" fontId="24" fillId="0" borderId="0" xfId="0" applyNumberFormat="1" applyFont="1" applyFill="1" applyAlignment="1"/>
    <xf numFmtId="180" fontId="12" fillId="0" borderId="0" xfId="0" applyNumberFormat="1" applyFont="1" applyAlignment="1"/>
    <xf numFmtId="176" fontId="15" fillId="0" borderId="0" xfId="0" applyNumberFormat="1" applyFont="1" applyFill="1" applyAlignment="1">
      <alignment horizontal="center" vertical="center"/>
    </xf>
    <xf numFmtId="180" fontId="15" fillId="0" borderId="0" xfId="0" applyNumberFormat="1" applyFont="1" applyFill="1" applyAlignment="1">
      <alignment horizontal="center" vertical="center"/>
    </xf>
    <xf numFmtId="182" fontId="24" fillId="0" borderId="0" xfId="0" applyNumberFormat="1" applyFont="1" applyFill="1" applyAlignment="1"/>
    <xf numFmtId="0" fontId="24" fillId="0" borderId="0" xfId="0" applyFont="1" applyFill="1" applyAlignment="1">
      <alignment vertical="center"/>
    </xf>
    <xf numFmtId="182" fontId="25" fillId="0" borderId="22" xfId="0" applyNumberFormat="1" applyFont="1" applyFill="1" applyBorder="1" applyAlignment="1">
      <alignment horizontal="center" vertical="center"/>
    </xf>
    <xf numFmtId="10" fontId="25" fillId="0" borderId="22" xfId="0" applyNumberFormat="1" applyFont="1" applyFill="1" applyBorder="1" applyAlignment="1">
      <alignment horizontal="center" vertical="center"/>
    </xf>
    <xf numFmtId="10" fontId="24" fillId="0" borderId="22" xfId="0" applyNumberFormat="1" applyFont="1" applyFill="1" applyBorder="1" applyAlignment="1"/>
    <xf numFmtId="182" fontId="24" fillId="0" borderId="0" xfId="0" applyNumberFormat="1" applyFont="1" applyFill="1" applyAlignment="1">
      <alignment horizontal="center"/>
    </xf>
    <xf numFmtId="0" fontId="27" fillId="0" borderId="0" xfId="0" applyFont="1" applyFill="1" applyAlignment="1"/>
    <xf numFmtId="177" fontId="24" fillId="0" borderId="0" xfId="0" applyNumberFormat="1" applyFont="1" applyFill="1" applyAlignment="1">
      <alignment horizontal="center"/>
    </xf>
    <xf numFmtId="177" fontId="15" fillId="0" borderId="22" xfId="0" applyNumberFormat="1" applyFont="1" applyFill="1" applyBorder="1" applyAlignment="1">
      <alignment horizontal="center" vertical="center"/>
    </xf>
    <xf numFmtId="177" fontId="24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5" fillId="0" borderId="3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shrinkToFit="1"/>
    </xf>
    <xf numFmtId="0" fontId="24" fillId="0" borderId="0" xfId="0" applyFont="1" applyAlignment="1">
      <alignment shrinkToFit="1"/>
    </xf>
    <xf numFmtId="0" fontId="24" fillId="4" borderId="0" xfId="0" applyFont="1" applyFill="1" applyAlignment="1">
      <alignment shrinkToFit="1"/>
    </xf>
    <xf numFmtId="0" fontId="24" fillId="0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4" fillId="0" borderId="22" xfId="0" applyFont="1" applyFill="1" applyBorder="1" applyAlignment="1">
      <alignment shrinkToFit="1"/>
    </xf>
    <xf numFmtId="0" fontId="24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shrinkToFit="1"/>
    </xf>
    <xf numFmtId="0" fontId="24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shrinkToFit="1"/>
    </xf>
    <xf numFmtId="0" fontId="24" fillId="4" borderId="0" xfId="0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4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4" fillId="0" borderId="0" xfId="0" applyFont="1" applyFill="1" applyBorder="1" applyAlignment="1">
      <alignment horizontal="center" shrinkToFit="1"/>
    </xf>
    <xf numFmtId="0" fontId="24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6" fillId="0" borderId="22" xfId="0" applyNumberFormat="1" applyFont="1" applyFill="1" applyBorder="1" applyAlignment="1">
      <alignment shrinkToFit="1"/>
    </xf>
    <xf numFmtId="10" fontId="26" fillId="0" borderId="22" xfId="0" applyNumberFormat="1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5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right" shrinkToFit="1"/>
    </xf>
    <xf numFmtId="0" fontId="9" fillId="0" borderId="0" xfId="0" applyFont="1" applyBorder="1" applyAlignment="1">
      <alignment shrinkToFit="1"/>
    </xf>
    <xf numFmtId="0" fontId="5" fillId="0" borderId="0" xfId="0" applyFont="1" applyBorder="1" applyAlignment="1">
      <alignment shrinkToFit="1"/>
    </xf>
    <xf numFmtId="0" fontId="24" fillId="0" borderId="0" xfId="0" applyFont="1" applyBorder="1" applyAlignment="1">
      <alignment shrinkToFit="1"/>
    </xf>
    <xf numFmtId="0" fontId="24" fillId="4" borderId="0" xfId="0" applyFont="1" applyFill="1" applyBorder="1" applyAlignment="1">
      <alignment horizontal="center" vertical="center" shrinkToFit="1"/>
    </xf>
    <xf numFmtId="0" fontId="24" fillId="0" borderId="0" xfId="0" applyFont="1" applyAlignment="1">
      <alignment horizontal="center" vertical="center" shrinkToFit="1"/>
    </xf>
    <xf numFmtId="0" fontId="24" fillId="4" borderId="0" xfId="0" applyFont="1" applyFill="1" applyBorder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4" fillId="4" borderId="22" xfId="0" applyFont="1" applyFill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4" fillId="0" borderId="0" xfId="0" applyFont="1" applyAlignment="1">
      <alignment vertical="center" shrinkToFit="1"/>
    </xf>
    <xf numFmtId="0" fontId="24" fillId="0" borderId="0" xfId="0" applyFont="1" applyAlignment="1">
      <alignment horizont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6" fillId="5" borderId="22" xfId="0" applyFont="1" applyFill="1" applyBorder="1" applyAlignment="1">
      <alignment horizontal="center" vertical="center" shrinkToFit="1"/>
    </xf>
    <xf numFmtId="0" fontId="26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4" fillId="5" borderId="22" xfId="0" applyFont="1" applyFill="1" applyBorder="1" applyAlignment="1">
      <alignment horizontal="center" shrinkToFit="1"/>
    </xf>
    <xf numFmtId="0" fontId="26" fillId="2" borderId="1" xfId="0" applyFont="1" applyFill="1" applyBorder="1" applyAlignment="1">
      <alignment horizontal="center" vertical="center" shrinkToFit="1"/>
    </xf>
    <xf numFmtId="0" fontId="26" fillId="0" borderId="3" xfId="0" applyFont="1" applyBorder="1" applyAlignment="1">
      <alignment vertical="center" shrinkToFit="1"/>
    </xf>
    <xf numFmtId="0" fontId="26" fillId="0" borderId="1" xfId="0" applyFont="1" applyBorder="1" applyAlignment="1">
      <alignment shrinkToFit="1"/>
    </xf>
    <xf numFmtId="0" fontId="26" fillId="0" borderId="8" xfId="0" applyFont="1" applyBorder="1" applyAlignment="1">
      <alignment vertical="center" shrinkToFit="1"/>
    </xf>
    <xf numFmtId="0" fontId="26" fillId="0" borderId="5" xfId="0" applyFont="1" applyBorder="1" applyAlignment="1">
      <alignment shrinkToFit="1"/>
    </xf>
    <xf numFmtId="0" fontId="24" fillId="0" borderId="0" xfId="0" applyFont="1" applyAlignment="1">
      <alignment wrapText="1" shrinkToFit="1"/>
    </xf>
    <xf numFmtId="0" fontId="24" fillId="0" borderId="0" xfId="0" applyFont="1" applyAlignment="1">
      <alignment horizontal="center" vertical="center" wrapText="1" shrinkToFit="1"/>
    </xf>
    <xf numFmtId="10" fontId="26" fillId="2" borderId="22" xfId="0" applyNumberFormat="1" applyFont="1" applyFill="1" applyBorder="1" applyAlignment="1">
      <alignment horizontal="center" vertical="center" shrinkToFit="1"/>
    </xf>
    <xf numFmtId="10" fontId="26" fillId="0" borderId="22" xfId="0" applyNumberFormat="1" applyFont="1" applyBorder="1" applyAlignment="1">
      <alignment shrinkToFit="1"/>
    </xf>
    <xf numFmtId="10" fontId="26" fillId="3" borderId="22" xfId="0" applyNumberFormat="1" applyFont="1" applyFill="1" applyBorder="1" applyAlignment="1">
      <alignment shrinkToFit="1"/>
    </xf>
    <xf numFmtId="0" fontId="26" fillId="2" borderId="23" xfId="0" applyFont="1" applyFill="1" applyBorder="1" applyAlignment="1">
      <alignment horizontal="center" vertical="center" shrinkToFit="1"/>
    </xf>
    <xf numFmtId="10" fontId="26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4" fillId="0" borderId="0" xfId="11" applyFont="1" applyAlignment="1">
      <alignment shrinkToFit="1"/>
    </xf>
    <xf numFmtId="0" fontId="24" fillId="4" borderId="0" xfId="11" applyFont="1" applyFill="1" applyAlignment="1">
      <alignment shrinkToFit="1"/>
    </xf>
    <xf numFmtId="0" fontId="24" fillId="0" borderId="0" xfId="11" applyFont="1" applyBorder="1" applyAlignment="1">
      <alignment shrinkToFit="1"/>
    </xf>
    <xf numFmtId="0" fontId="24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4" fillId="0" borderId="6" xfId="11" applyNumberFormat="1" applyFont="1" applyFill="1" applyBorder="1" applyAlignment="1">
      <alignment shrinkToFit="1"/>
    </xf>
    <xf numFmtId="10" fontId="34" fillId="0" borderId="6" xfId="11" applyNumberFormat="1" applyFont="1" applyFill="1" applyBorder="1" applyAlignment="1">
      <alignment shrinkToFit="1"/>
    </xf>
    <xf numFmtId="3" fontId="26" fillId="0" borderId="22" xfId="11" applyNumberFormat="1" applyFont="1" applyFill="1" applyBorder="1" applyAlignment="1">
      <alignment shrinkToFit="1"/>
    </xf>
    <xf numFmtId="10" fontId="26" fillId="0" borderId="22" xfId="11" applyNumberFormat="1" applyFont="1" applyFill="1" applyBorder="1" applyAlignment="1">
      <alignment shrinkToFit="1"/>
    </xf>
    <xf numFmtId="0" fontId="24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4" fillId="0" borderId="1" xfId="11" applyNumberFormat="1" applyFont="1" applyFill="1" applyBorder="1" applyAlignment="1">
      <alignment shrinkToFit="1"/>
    </xf>
    <xf numFmtId="0" fontId="33" fillId="0" borderId="34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left" vertical="center"/>
    </xf>
    <xf numFmtId="0" fontId="33" fillId="0" borderId="34" xfId="0" applyFont="1" applyFill="1" applyBorder="1" applyAlignment="1">
      <alignment horizontal="left" vertical="center"/>
    </xf>
    <xf numFmtId="0" fontId="33" fillId="0" borderId="26" xfId="0" applyFont="1" applyFill="1" applyBorder="1" applyAlignment="1">
      <alignment horizontal="left" vertical="center"/>
    </xf>
    <xf numFmtId="0" fontId="33" fillId="0" borderId="36" xfId="0" applyFont="1" applyFill="1" applyBorder="1" applyAlignment="1">
      <alignment horizontal="left" vertical="center"/>
    </xf>
    <xf numFmtId="0" fontId="33" fillId="0" borderId="32" xfId="0" applyFont="1" applyFill="1" applyBorder="1" applyAlignment="1">
      <alignment horizontal="left" vertical="center"/>
    </xf>
    <xf numFmtId="0" fontId="33" fillId="0" borderId="37" xfId="0" applyFont="1" applyFill="1" applyBorder="1" applyAlignment="1">
      <alignment horizontal="left" vertical="center"/>
    </xf>
    <xf numFmtId="0" fontId="5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5" fontId="24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69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70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7" fillId="5" borderId="23" xfId="11" applyFont="1" applyFill="1" applyBorder="1" applyAlignment="1">
      <alignment horizontal="center" vertical="center"/>
    </xf>
    <xf numFmtId="3" fontId="26" fillId="5" borderId="22" xfId="0" applyNumberFormat="1" applyFont="1" applyFill="1" applyBorder="1" applyAlignment="1">
      <alignment shrinkToFit="1"/>
    </xf>
    <xf numFmtId="10" fontId="26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3" fillId="0" borderId="22" xfId="0" applyNumberFormat="1" applyFont="1" applyFill="1" applyBorder="1" applyAlignment="1"/>
    <xf numFmtId="186" fontId="24" fillId="0" borderId="0" xfId="0" applyNumberFormat="1" applyFont="1" applyFill="1" applyAlignment="1"/>
    <xf numFmtId="180" fontId="24" fillId="9" borderId="0" xfId="0" applyNumberFormat="1" applyFont="1" applyFill="1" applyAlignment="1"/>
    <xf numFmtId="187" fontId="24" fillId="9" borderId="0" xfId="0" applyNumberFormat="1" applyFont="1" applyFill="1" applyAlignment="1"/>
    <xf numFmtId="177" fontId="24" fillId="9" borderId="0" xfId="0" applyNumberFormat="1" applyFont="1" applyFill="1" applyAlignment="1"/>
    <xf numFmtId="186" fontId="24" fillId="9" borderId="0" xfId="0" applyNumberFormat="1" applyFont="1" applyFill="1" applyAlignment="1"/>
    <xf numFmtId="185" fontId="24" fillId="9" borderId="0" xfId="0" applyNumberFormat="1" applyFont="1" applyFill="1" applyAlignment="1"/>
    <xf numFmtId="186" fontId="73" fillId="9" borderId="22" xfId="0" applyNumberFormat="1" applyFont="1" applyFill="1" applyBorder="1" applyAlignment="1"/>
    <xf numFmtId="177" fontId="24" fillId="9" borderId="22" xfId="0" applyNumberFormat="1" applyFont="1" applyFill="1" applyBorder="1" applyAlignment="1"/>
    <xf numFmtId="188" fontId="26" fillId="0" borderId="22" xfId="14" applyNumberFormat="1" applyFont="1" applyFill="1" applyBorder="1" applyAlignment="1">
      <alignment shrinkToFit="1"/>
    </xf>
    <xf numFmtId="189" fontId="26" fillId="5" borderId="22" xfId="0" applyNumberFormat="1" applyFont="1" applyFill="1" applyBorder="1" applyAlignment="1">
      <alignment shrinkToFit="1"/>
    </xf>
    <xf numFmtId="3" fontId="26" fillId="5" borderId="22" xfId="0" applyNumberFormat="1" applyFont="1" applyFill="1" applyBorder="1" applyAlignment="1">
      <alignment horizontal="right" shrinkToFit="1"/>
    </xf>
    <xf numFmtId="188" fontId="26" fillId="5" borderId="22" xfId="14" applyNumberFormat="1" applyFont="1" applyFill="1" applyBorder="1" applyAlignment="1">
      <alignment shrinkToFit="1"/>
    </xf>
    <xf numFmtId="0" fontId="76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horizontal="center" vertical="center" shrinkToFit="1"/>
    </xf>
    <xf numFmtId="190" fontId="26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shrinkToFit="1"/>
    </xf>
    <xf numFmtId="10" fontId="26" fillId="3" borderId="22" xfId="0" applyNumberFormat="1" applyFont="1" applyFill="1" applyBorder="1" applyAlignment="1">
      <alignment horizontal="center" shrinkToFit="1"/>
    </xf>
    <xf numFmtId="0" fontId="9" fillId="2" borderId="22" xfId="0" applyFont="1" applyFill="1" applyBorder="1" applyAlignment="1">
      <alignment horizontal="center" shrinkToFit="1"/>
    </xf>
    <xf numFmtId="183" fontId="26" fillId="3" borderId="18" xfId="0" applyNumberFormat="1" applyFont="1" applyFill="1" applyBorder="1" applyAlignment="1">
      <alignment shrinkToFit="1"/>
    </xf>
    <xf numFmtId="189" fontId="24" fillId="9" borderId="0" xfId="0" applyNumberFormat="1" applyFont="1" applyFill="1" applyAlignment="1"/>
    <xf numFmtId="189" fontId="26" fillId="0" borderId="22" xfId="0" applyNumberFormat="1" applyFont="1" applyFill="1" applyBorder="1" applyAlignment="1">
      <alignment shrinkToFit="1"/>
    </xf>
    <xf numFmtId="185" fontId="26" fillId="5" borderId="22" xfId="0" applyNumberFormat="1" applyFont="1" applyFill="1" applyBorder="1" applyAlignment="1">
      <alignment shrinkToFit="1"/>
    </xf>
    <xf numFmtId="185" fontId="26" fillId="0" borderId="22" xfId="0" applyNumberFormat="1" applyFont="1" applyFill="1" applyBorder="1" applyAlignment="1">
      <alignment shrinkToFit="1"/>
    </xf>
    <xf numFmtId="183" fontId="24" fillId="0" borderId="0" xfId="0" applyNumberFormat="1" applyFont="1" applyAlignment="1">
      <alignment shrinkToFit="1"/>
    </xf>
    <xf numFmtId="9" fontId="26" fillId="5" borderId="22" xfId="0" applyNumberFormat="1" applyFont="1" applyFill="1" applyBorder="1" applyAlignment="1">
      <alignment shrinkToFit="1"/>
    </xf>
    <xf numFmtId="9" fontId="26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horizontal="right"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6" fillId="0" borderId="22" xfId="14" applyNumberFormat="1" applyFont="1" applyFill="1" applyBorder="1" applyAlignment="1">
      <alignment horizontal="right" shrinkToFit="1"/>
    </xf>
    <xf numFmtId="0" fontId="0" fillId="0" borderId="0" xfId="0" applyFont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0" fontId="45" fillId="0" borderId="45" xfId="11" applyFont="1" applyBorder="1" applyAlignment="1">
      <alignment shrinkToFit="1"/>
    </xf>
    <xf numFmtId="0" fontId="24" fillId="0" borderId="46" xfId="11" applyFont="1" applyBorder="1" applyAlignment="1">
      <alignment shrinkToFit="1"/>
    </xf>
    <xf numFmtId="0" fontId="26" fillId="0" borderId="48" xfId="11" applyFont="1" applyFill="1" applyBorder="1" applyAlignment="1">
      <alignment horizontal="center" vertical="center" shrinkToFit="1"/>
    </xf>
    <xf numFmtId="0" fontId="44" fillId="0" borderId="49" xfId="11" applyFont="1" applyFill="1" applyBorder="1" applyAlignment="1">
      <alignment horizontal="center" shrinkToFit="1"/>
    </xf>
    <xf numFmtId="3" fontId="34" fillId="7" borderId="6" xfId="11" applyNumberFormat="1" applyFont="1" applyFill="1" applyBorder="1" applyAlignment="1">
      <alignment shrinkToFit="1"/>
    </xf>
    <xf numFmtId="3" fontId="26" fillId="7" borderId="22" xfId="11" applyNumberFormat="1" applyFont="1" applyFill="1" applyBorder="1" applyAlignment="1">
      <alignment shrinkToFit="1"/>
    </xf>
    <xf numFmtId="10" fontId="26" fillId="0" borderId="48" xfId="11" applyNumberFormat="1" applyFont="1" applyFill="1" applyBorder="1" applyAlignment="1">
      <alignment shrinkToFit="1"/>
    </xf>
    <xf numFmtId="0" fontId="44" fillId="0" borderId="50" xfId="11" applyFont="1" applyFill="1" applyBorder="1" applyAlignment="1">
      <alignment horizontal="center" shrinkToFit="1"/>
    </xf>
    <xf numFmtId="3" fontId="34" fillId="7" borderId="1" xfId="11" applyNumberFormat="1" applyFont="1" applyFill="1" applyBorder="1" applyAlignment="1">
      <alignment shrinkToFit="1"/>
    </xf>
    <xf numFmtId="0" fontId="24" fillId="0" borderId="45" xfId="11" applyFont="1" applyBorder="1" applyAlignment="1">
      <alignment shrinkToFit="1"/>
    </xf>
    <xf numFmtId="0" fontId="24" fillId="0" borderId="45" xfId="11" applyFont="1" applyFill="1" applyBorder="1" applyAlignment="1">
      <alignment shrinkToFit="1"/>
    </xf>
    <xf numFmtId="0" fontId="24" fillId="0" borderId="0" xfId="11" applyFont="1" applyFill="1" applyBorder="1" applyAlignment="1">
      <alignment shrinkToFit="1"/>
    </xf>
    <xf numFmtId="0" fontId="24" fillId="0" borderId="51" xfId="11" applyFont="1" applyFill="1" applyBorder="1" applyAlignment="1">
      <alignment shrinkToFit="1"/>
    </xf>
    <xf numFmtId="0" fontId="24" fillId="0" borderId="52" xfId="11" applyFont="1" applyFill="1" applyBorder="1" applyAlignment="1">
      <alignment shrinkToFit="1"/>
    </xf>
    <xf numFmtId="0" fontId="44" fillId="0" borderId="53" xfId="11" applyFont="1" applyFill="1" applyBorder="1" applyAlignment="1">
      <alignment horizontal="center" shrinkToFit="1"/>
    </xf>
    <xf numFmtId="3" fontId="26" fillId="7" borderId="54" xfId="11" applyNumberFormat="1" applyFont="1" applyFill="1" applyBorder="1" applyAlignment="1">
      <alignment shrinkToFit="1"/>
    </xf>
    <xf numFmtId="10" fontId="26" fillId="0" borderId="54" xfId="11" applyNumberFormat="1" applyFont="1" applyFill="1" applyBorder="1" applyAlignment="1">
      <alignment shrinkToFit="1"/>
    </xf>
    <xf numFmtId="10" fontId="26" fillId="0" borderId="55" xfId="11" applyNumberFormat="1" applyFont="1" applyFill="1" applyBorder="1" applyAlignment="1">
      <alignment shrinkToFit="1"/>
    </xf>
    <xf numFmtId="184" fontId="63" fillId="0" borderId="0" xfId="11" applyNumberFormat="1" applyFont="1" applyFill="1" applyBorder="1" applyAlignment="1">
      <alignment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10" fontId="24" fillId="11" borderId="22" xfId="0" applyNumberFormat="1" applyFont="1" applyFill="1" applyBorder="1" applyAlignment="1"/>
    <xf numFmtId="177" fontId="74" fillId="11" borderId="0" xfId="0" applyNumberFormat="1" applyFont="1" applyFill="1" applyAlignment="1"/>
    <xf numFmtId="177" fontId="74" fillId="0" borderId="0" xfId="0" applyNumberFormat="1" applyFont="1" applyFill="1" applyAlignment="1"/>
    <xf numFmtId="10" fontId="79" fillId="11" borderId="22" xfId="0" applyNumberFormat="1" applyFont="1" applyFill="1" applyBorder="1" applyAlignment="1"/>
    <xf numFmtId="177" fontId="79" fillId="0" borderId="0" xfId="0" applyNumberFormat="1" applyFont="1" applyFill="1" applyAlignment="1"/>
    <xf numFmtId="10" fontId="79" fillId="0" borderId="0" xfId="0" applyNumberFormat="1" applyFont="1" applyFill="1" applyAlignment="1"/>
    <xf numFmtId="3" fontId="79" fillId="0" borderId="0" xfId="0" applyNumberFormat="1" applyFont="1" applyFill="1" applyAlignment="1"/>
    <xf numFmtId="186" fontId="73" fillId="11" borderId="22" xfId="0" applyNumberFormat="1" applyFont="1" applyFill="1" applyBorder="1" applyAlignment="1"/>
    <xf numFmtId="3" fontId="26" fillId="12" borderId="22" xfId="0" applyNumberFormat="1" applyFont="1" applyFill="1" applyBorder="1" applyAlignment="1">
      <alignment shrinkToFit="1"/>
    </xf>
    <xf numFmtId="10" fontId="26" fillId="12" borderId="22" xfId="0" applyNumberFormat="1" applyFont="1" applyFill="1" applyBorder="1" applyAlignment="1">
      <alignment shrinkToFit="1"/>
    </xf>
    <xf numFmtId="183" fontId="26" fillId="0" borderId="22" xfId="0" applyNumberFormat="1" applyFont="1" applyFill="1" applyBorder="1" applyAlignment="1">
      <alignment shrinkToFit="1"/>
    </xf>
    <xf numFmtId="3" fontId="26" fillId="0" borderId="22" xfId="0" applyNumberFormat="1" applyFont="1" applyFill="1" applyBorder="1" applyAlignment="1">
      <alignment horizontal="right" shrinkToFit="1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183" fontId="0" fillId="0" borderId="22" xfId="0" applyNumberFormat="1" applyFont="1" applyBorder="1" applyAlignment="1">
      <alignment horizontal="center" vertical="center"/>
    </xf>
    <xf numFmtId="180" fontId="24" fillId="10" borderId="0" xfId="0" applyNumberFormat="1" applyFont="1" applyFill="1" applyAlignment="1"/>
    <xf numFmtId="4" fontId="26" fillId="12" borderId="22" xfId="0" applyNumberFormat="1" applyFont="1" applyFill="1" applyBorder="1" applyAlignment="1">
      <alignment horizontal="right" shrinkToFit="1"/>
    </xf>
    <xf numFmtId="189" fontId="26" fillId="12" borderId="22" xfId="0" applyNumberFormat="1" applyFont="1" applyFill="1" applyBorder="1" applyAlignment="1">
      <alignment shrinkToFit="1"/>
    </xf>
    <xf numFmtId="185" fontId="26" fillId="12" borderId="22" xfId="0" applyNumberFormat="1" applyFont="1" applyFill="1" applyBorder="1" applyAlignment="1">
      <alignment shrinkToFit="1"/>
    </xf>
    <xf numFmtId="183" fontId="5" fillId="0" borderId="0" xfId="0" applyNumberFormat="1" applyFont="1" applyBorder="1" applyAlignment="1">
      <alignment horizontal="right" vertical="center" shrinkToFit="1"/>
    </xf>
    <xf numFmtId="185" fontId="24" fillId="10" borderId="0" xfId="0" applyNumberFormat="1" applyFont="1" applyFill="1" applyAlignment="1"/>
    <xf numFmtId="189" fontId="24" fillId="10" borderId="0" xfId="0" applyNumberFormat="1" applyFont="1" applyFill="1" applyAlignment="1"/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91" fontId="24" fillId="0" borderId="0" xfId="0" applyNumberFormat="1" applyFont="1" applyFill="1" applyAlignment="1">
      <alignment shrinkToFit="1"/>
    </xf>
    <xf numFmtId="187" fontId="24" fillId="0" borderId="0" xfId="0" applyNumberFormat="1" applyFont="1" applyFill="1" applyAlignment="1"/>
    <xf numFmtId="189" fontId="24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3" fontId="5" fillId="3" borderId="1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77" fontId="24" fillId="0" borderId="0" xfId="0" applyNumberFormat="1" applyFont="1" applyFill="1" applyAlignment="1">
      <alignment horizontal="right"/>
    </xf>
    <xf numFmtId="0" fontId="26" fillId="0" borderId="22" xfId="11" applyFont="1" applyFill="1" applyBorder="1" applyAlignment="1">
      <alignment horizontal="center" vertical="center" shrinkToFit="1"/>
    </xf>
    <xf numFmtId="183" fontId="26" fillId="12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13" borderId="37" xfId="0" applyFont="1" applyFill="1" applyBorder="1" applyAlignment="1">
      <alignment horizontal="left" vertical="center"/>
    </xf>
    <xf numFmtId="0" fontId="33" fillId="13" borderId="32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3" fillId="13" borderId="36" xfId="0" applyFont="1" applyFill="1" applyBorder="1" applyAlignment="1">
      <alignment horizontal="left" vertical="center"/>
    </xf>
    <xf numFmtId="1" fontId="31" fillId="0" borderId="22" xfId="0" applyNumberFormat="1" applyFont="1" applyFill="1" applyBorder="1" applyAlignment="1">
      <alignment horizontal="center" vertical="center"/>
    </xf>
    <xf numFmtId="0" fontId="31" fillId="5" borderId="22" xfId="0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4" fontId="63" fillId="14" borderId="0" xfId="11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77" fontId="24" fillId="0" borderId="0" xfId="0" applyNumberFormat="1" applyFont="1" applyFill="1" applyBorder="1" applyAlignment="1"/>
    <xf numFmtId="186" fontId="74" fillId="0" borderId="34" xfId="0" applyNumberFormat="1" applyFont="1" applyFill="1" applyBorder="1" applyAlignment="1">
      <alignment vertical="center"/>
    </xf>
    <xf numFmtId="10" fontId="24" fillId="0" borderId="0" xfId="0" applyNumberFormat="1" applyFont="1" applyFill="1" applyAlignment="1">
      <alignment vertical="center"/>
    </xf>
    <xf numFmtId="187" fontId="24" fillId="0" borderId="0" xfId="0" applyNumberFormat="1" applyFont="1" applyFill="1" applyAlignment="1">
      <alignment vertical="center"/>
    </xf>
    <xf numFmtId="177" fontId="24" fillId="0" borderId="0" xfId="0" applyNumberFormat="1" applyFont="1" applyFill="1" applyAlignment="1">
      <alignment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shrinkToFit="1"/>
    </xf>
    <xf numFmtId="0" fontId="34" fillId="5" borderId="23" xfId="5" applyFont="1" applyFill="1" applyBorder="1" applyAlignment="1">
      <alignment horizontal="center" vertical="center"/>
    </xf>
    <xf numFmtId="0" fontId="62" fillId="2" borderId="1" xfId="0" applyFont="1" applyFill="1" applyBorder="1" applyAlignment="1">
      <alignment horizontal="center" vertical="center" shrinkToFit="1"/>
    </xf>
    <xf numFmtId="183" fontId="5" fillId="0" borderId="1" xfId="0" applyNumberFormat="1" applyFont="1" applyBorder="1" applyAlignment="1">
      <alignment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2" fillId="0" borderId="0" xfId="11" applyFont="1" applyAlignment="1">
      <alignment horizontal="center" vertical="center" shrinkToFit="1"/>
    </xf>
    <xf numFmtId="0" fontId="22" fillId="0" borderId="0" xfId="11" applyFont="1" applyAlignment="1">
      <alignment shrinkToFit="1"/>
    </xf>
    <xf numFmtId="0" fontId="22" fillId="0" borderId="0" xfId="11" applyFont="1" applyAlignment="1">
      <alignment wrapText="1" shrinkToFit="1"/>
    </xf>
    <xf numFmtId="0" fontId="22" fillId="0" borderId="0" xfId="11" applyFont="1" applyAlignment="1">
      <alignment vertical="center" shrinkToFit="1"/>
    </xf>
    <xf numFmtId="0" fontId="27" fillId="0" borderId="0" xfId="11" applyFont="1"/>
    <xf numFmtId="0" fontId="27" fillId="0" borderId="0" xfId="11" applyFont="1" applyAlignment="1">
      <alignment vertical="center"/>
    </xf>
    <xf numFmtId="0" fontId="34" fillId="5" borderId="22" xfId="15" applyFont="1" applyFill="1" applyBorder="1" applyAlignment="1">
      <alignment horizontal="center" vertical="center" wrapText="1"/>
    </xf>
    <xf numFmtId="0" fontId="34" fillId="5" borderId="22" xfId="15" applyFont="1" applyFill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left" vertical="center"/>
    </xf>
    <xf numFmtId="192" fontId="34" fillId="0" borderId="22" xfId="11" applyNumberFormat="1" applyFont="1" applyBorder="1" applyAlignment="1">
      <alignment horizontal="center" vertical="center"/>
    </xf>
    <xf numFmtId="185" fontId="34" fillId="8" borderId="22" xfId="13" applyNumberFormat="1" applyFont="1" applyFill="1" applyBorder="1" applyAlignment="1">
      <alignment horizontal="center" vertical="center"/>
    </xf>
    <xf numFmtId="192" fontId="34" fillId="0" borderId="22" xfId="19" applyNumberFormat="1" applyFont="1" applyBorder="1" applyAlignment="1">
      <alignment horizontal="center" vertical="center"/>
    </xf>
    <xf numFmtId="192" fontId="34" fillId="8" borderId="22" xfId="11" applyNumberFormat="1" applyFont="1" applyFill="1" applyBorder="1" applyAlignment="1">
      <alignment horizontal="center" vertical="center"/>
    </xf>
    <xf numFmtId="0" fontId="85" fillId="0" borderId="22" xfId="1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3" fillId="0" borderId="22" xfId="11" applyFont="1" applyBorder="1" applyAlignment="1">
      <alignment horizontal="left" vertical="center"/>
    </xf>
    <xf numFmtId="0" fontId="71" fillId="0" borderId="0" xfId="11" applyFont="1" applyAlignment="1">
      <alignment horizontal="center" vertical="center"/>
    </xf>
    <xf numFmtId="1" fontId="27" fillId="0" borderId="41" xfId="11" applyNumberFormat="1" applyFont="1" applyBorder="1" applyAlignment="1">
      <alignment horizontal="center" vertical="center"/>
    </xf>
    <xf numFmtId="0" fontId="27" fillId="0" borderId="41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86" fillId="0" borderId="22" xfId="11" applyFont="1" applyBorder="1" applyAlignment="1">
      <alignment horizontal="center" vertical="center"/>
    </xf>
    <xf numFmtId="1" fontId="66" fillId="0" borderId="41" xfId="11" applyNumberFormat="1" applyFont="1" applyBorder="1" applyAlignment="1">
      <alignment horizontal="center" vertical="center"/>
    </xf>
    <xf numFmtId="0" fontId="27" fillId="0" borderId="0" xfId="11" applyFont="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86" fillId="0" borderId="0" xfId="11" applyFont="1" applyAlignment="1">
      <alignment horizontal="center" vertical="center"/>
    </xf>
    <xf numFmtId="0" fontId="85" fillId="0" borderId="0" xfId="11" applyFont="1" applyAlignment="1">
      <alignment horizontal="center" vertical="center"/>
    </xf>
    <xf numFmtId="0" fontId="27" fillId="0" borderId="0" xfId="11" applyFont="1" applyAlignment="1">
      <alignment horizontal="center"/>
    </xf>
    <xf numFmtId="0" fontId="2" fillId="0" borderId="0" xfId="15">
      <alignment vertical="center"/>
    </xf>
    <xf numFmtId="0" fontId="91" fillId="16" borderId="22" xfId="15" applyFont="1" applyFill="1" applyBorder="1" applyAlignment="1">
      <alignment horizontal="center" vertical="center"/>
    </xf>
    <xf numFmtId="194" fontId="92" fillId="8" borderId="22" xfId="15" applyNumberFormat="1" applyFont="1" applyFill="1" applyBorder="1" applyAlignment="1">
      <alignment horizontal="center" vertical="center"/>
    </xf>
    <xf numFmtId="189" fontId="92" fillId="0" borderId="22" xfId="15" applyNumberFormat="1" applyFont="1" applyBorder="1" applyAlignment="1">
      <alignment horizontal="center" vertical="center"/>
    </xf>
    <xf numFmtId="194" fontId="92" fillId="8" borderId="22" xfId="18" applyNumberFormat="1" applyFont="1" applyFill="1" applyBorder="1" applyAlignment="1">
      <alignment horizontal="center" vertical="center"/>
    </xf>
    <xf numFmtId="189" fontId="92" fillId="0" borderId="22" xfId="3" applyNumberFormat="1" applyFont="1" applyBorder="1" applyAlignment="1">
      <alignment horizontal="center" vertical="center"/>
    </xf>
    <xf numFmtId="10" fontId="92" fillId="0" borderId="22" xfId="3" applyNumberFormat="1" applyFont="1" applyBorder="1" applyAlignment="1">
      <alignment horizontal="center" vertical="center"/>
    </xf>
    <xf numFmtId="194" fontId="92" fillId="8" borderId="22" xfId="3" applyNumberFormat="1" applyFont="1" applyFill="1" applyBorder="1" applyAlignment="1">
      <alignment horizontal="center" vertical="center"/>
    </xf>
    <xf numFmtId="195" fontId="92" fillId="8" borderId="22" xfId="15" applyNumberFormat="1" applyFont="1" applyFill="1" applyBorder="1" applyAlignment="1">
      <alignment horizontal="center" vertical="center"/>
    </xf>
    <xf numFmtId="10" fontId="92" fillId="0" borderId="22" xfId="15" applyNumberFormat="1" applyFont="1" applyBorder="1" applyAlignment="1">
      <alignment horizontal="center" vertical="center"/>
    </xf>
    <xf numFmtId="193" fontId="93" fillId="0" borderId="22" xfId="5" applyNumberFormat="1" applyFont="1" applyBorder="1" applyAlignment="1">
      <alignment horizontal="center" vertical="center"/>
    </xf>
    <xf numFmtId="3" fontId="2" fillId="0" borderId="0" xfId="15" applyNumberFormat="1">
      <alignment vertical="center"/>
    </xf>
    <xf numFmtId="189" fontId="2" fillId="0" borderId="0" xfId="3" applyNumberFormat="1" applyFont="1">
      <alignment vertical="center"/>
    </xf>
    <xf numFmtId="0" fontId="2" fillId="0" borderId="22" xfId="15" applyBorder="1" applyAlignment="1">
      <alignment vertical="center"/>
    </xf>
    <xf numFmtId="0" fontId="2" fillId="0" borderId="22" xfId="15" applyBorder="1">
      <alignment vertical="center"/>
    </xf>
    <xf numFmtId="189" fontId="94" fillId="0" borderId="22" xfId="20" applyNumberFormat="1" applyFont="1" applyBorder="1" applyAlignment="1">
      <alignment horizontal="center" vertical="center"/>
    </xf>
    <xf numFmtId="10" fontId="92" fillId="0" borderId="22" xfId="20" applyNumberFormat="1" applyFont="1" applyBorder="1" applyAlignment="1">
      <alignment horizontal="center" vertical="center"/>
    </xf>
    <xf numFmtId="0" fontId="92" fillId="0" borderId="0" xfId="15" applyFont="1">
      <alignment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22" fillId="0" borderId="22" xfId="0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65" fillId="0" borderId="22" xfId="1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 shrinkToFit="1"/>
    </xf>
    <xf numFmtId="194" fontId="92" fillId="8" borderId="22" xfId="4" applyNumberFormat="1" applyFont="1" applyFill="1" applyBorder="1" applyAlignment="1">
      <alignment horizontal="center" vertical="center"/>
    </xf>
    <xf numFmtId="194" fontId="92" fillId="8" borderId="22" xfId="6" applyNumberFormat="1" applyFont="1" applyFill="1" applyBorder="1" applyAlignment="1">
      <alignment horizontal="center" vertical="center"/>
    </xf>
    <xf numFmtId="195" fontId="92" fillId="8" borderId="22" xfId="4" applyNumberFormat="1" applyFont="1" applyFill="1" applyBorder="1" applyAlignment="1">
      <alignment horizontal="center" vertical="center"/>
    </xf>
    <xf numFmtId="10" fontId="92" fillId="0" borderId="22" xfId="4" applyNumberFormat="1" applyFont="1" applyBorder="1" applyAlignment="1">
      <alignment horizontal="center" vertical="center"/>
    </xf>
    <xf numFmtId="0" fontId="55" fillId="0" borderId="0" xfId="0" applyFont="1" applyFill="1" applyAlignment="1">
      <alignment vertical="center"/>
    </xf>
    <xf numFmtId="0" fontId="55" fillId="0" borderId="0" xfId="0" applyFont="1" applyFill="1" applyAlignment="1"/>
    <xf numFmtId="177" fontId="55" fillId="0" borderId="0" xfId="0" applyNumberFormat="1" applyFont="1" applyFill="1" applyAlignment="1"/>
    <xf numFmtId="177" fontId="55" fillId="0" borderId="0" xfId="0" applyNumberFormat="1" applyFont="1" applyFill="1" applyAlignment="1">
      <alignment horizontal="right"/>
    </xf>
    <xf numFmtId="177" fontId="55" fillId="9" borderId="22" xfId="0" applyNumberFormat="1" applyFont="1" applyFill="1" applyBorder="1" applyAlignment="1"/>
    <xf numFmtId="10" fontId="55" fillId="0" borderId="22" xfId="0" applyNumberFormat="1" applyFont="1" applyFill="1" applyBorder="1" applyAlignment="1"/>
    <xf numFmtId="177" fontId="55" fillId="0" borderId="22" xfId="0" applyNumberFormat="1" applyFont="1" applyFill="1" applyBorder="1" applyAlignment="1"/>
    <xf numFmtId="0" fontId="55" fillId="0" borderId="0" xfId="0" applyFont="1" applyAlignment="1"/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88" fillId="16" borderId="22" xfId="15" applyFont="1" applyFill="1" applyBorder="1" applyAlignment="1">
      <alignment horizontal="center" vertical="center" wrapText="1"/>
    </xf>
    <xf numFmtId="0" fontId="24" fillId="0" borderId="37" xfId="0" applyFont="1" applyFill="1" applyBorder="1" applyAlignment="1">
      <alignment vertical="center"/>
    </xf>
    <xf numFmtId="177" fontId="24" fillId="0" borderId="34" xfId="0" applyNumberFormat="1" applyFont="1" applyFill="1" applyBorder="1" applyAlignment="1">
      <alignment vertical="center"/>
    </xf>
    <xf numFmtId="194" fontId="92" fillId="8" borderId="22" xfId="2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9" fontId="92" fillId="0" borderId="54" xfId="3" applyNumberFormat="1" applyFont="1" applyBorder="1" applyAlignment="1">
      <alignment horizontal="center" vertical="center"/>
    </xf>
    <xf numFmtId="10" fontId="92" fillId="0" borderId="54" xfId="3" applyNumberFormat="1" applyFont="1" applyBorder="1" applyAlignment="1">
      <alignment horizontal="center" vertical="center"/>
    </xf>
    <xf numFmtId="194" fontId="92" fillId="8" borderId="54" xfId="3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89" fontId="92" fillId="0" borderId="22" xfId="4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94" fontId="92" fillId="8" borderId="54" xfId="4" applyNumberFormat="1" applyFont="1" applyFill="1" applyBorder="1" applyAlignment="1">
      <alignment horizontal="center" vertical="center"/>
    </xf>
    <xf numFmtId="189" fontId="92" fillId="0" borderId="54" xfId="4" applyNumberFormat="1" applyFont="1" applyBorder="1" applyAlignment="1">
      <alignment horizontal="center" vertical="center"/>
    </xf>
    <xf numFmtId="194" fontId="92" fillId="8" borderId="54" xfId="6" applyNumberFormat="1" applyFont="1" applyFill="1" applyBorder="1" applyAlignment="1">
      <alignment horizontal="center" vertical="center"/>
    </xf>
    <xf numFmtId="195" fontId="92" fillId="8" borderId="54" xfId="4" applyNumberFormat="1" applyFont="1" applyFill="1" applyBorder="1" applyAlignment="1">
      <alignment horizontal="center" vertical="center"/>
    </xf>
    <xf numFmtId="10" fontId="92" fillId="0" borderId="54" xfId="4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31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0" fontId="71" fillId="0" borderId="22" xfId="11" applyFont="1" applyBorder="1" applyAlignment="1">
      <alignment horizontal="center" vertical="center"/>
    </xf>
    <xf numFmtId="193" fontId="94" fillId="0" borderId="22" xfId="5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79" fontId="55" fillId="0" borderId="0" xfId="0" applyNumberFormat="1" applyFont="1" applyFill="1" applyAlignment="1">
      <alignment horizont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1" fontId="26" fillId="0" borderId="22" xfId="0" applyNumberFormat="1" applyFont="1" applyBorder="1" applyAlignment="1">
      <alignment shrinkToFit="1"/>
    </xf>
    <xf numFmtId="0" fontId="31" fillId="0" borderId="27" xfId="0" applyFont="1" applyBorder="1" applyAlignment="1">
      <alignment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0" applyFont="1" applyBorder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7" xfId="0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88" fillId="16" borderId="22" xfId="15" applyFont="1" applyFill="1" applyBorder="1" applyAlignment="1">
      <alignment horizontal="center" vertical="center" wrapText="1"/>
    </xf>
    <xf numFmtId="179" fontId="109" fillId="0" borderId="0" xfId="0" applyNumberFormat="1" applyFont="1" applyFill="1" applyAlignment="1">
      <alignment horizontal="center"/>
    </xf>
    <xf numFmtId="179" fontId="110" fillId="0" borderId="0" xfId="0" applyNumberFormat="1" applyFont="1" applyFill="1" applyAlignment="1">
      <alignment horizontal="center"/>
    </xf>
    <xf numFmtId="194" fontId="92" fillId="0" borderId="29" xfId="15" applyNumberFormat="1" applyFont="1" applyBorder="1" applyAlignment="1">
      <alignment horizontal="right" vertical="center"/>
    </xf>
    <xf numFmtId="194" fontId="35" fillId="0" borderId="29" xfId="15" applyNumberFormat="1" applyFont="1" applyBorder="1" applyAlignment="1">
      <alignment horizontal="right" vertical="center"/>
    </xf>
    <xf numFmtId="194" fontId="92" fillId="0" borderId="30" xfId="15" applyNumberFormat="1" applyFont="1" applyBorder="1" applyAlignment="1">
      <alignment horizontal="right" vertical="center"/>
    </xf>
    <xf numFmtId="194" fontId="35" fillId="0" borderId="30" xfId="15" applyNumberFormat="1" applyFont="1" applyBorder="1" applyAlignment="1">
      <alignment horizontal="right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26" fillId="0" borderId="22" xfId="0" applyFont="1" applyBorder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0" xfId="0" applyFont="1" applyAlignment="1">
      <alignment shrinkToFit="1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5" fillId="0" borderId="4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5" fillId="0" borderId="9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9" fillId="0" borderId="19" xfId="0" applyFont="1" applyBorder="1" applyAlignment="1">
      <alignment shrinkToFit="1"/>
    </xf>
    <xf numFmtId="0" fontId="7" fillId="0" borderId="21" xfId="0" applyFont="1" applyBorder="1" applyAlignment="1">
      <alignment shrinkToFit="1"/>
    </xf>
    <xf numFmtId="0" fontId="9" fillId="0" borderId="4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10" xfId="0" applyFont="1" applyBorder="1" applyAlignment="1">
      <alignment shrinkToFit="1"/>
    </xf>
    <xf numFmtId="0" fontId="9" fillId="0" borderId="12" xfId="0" applyFont="1" applyBorder="1" applyAlignment="1">
      <alignment shrinkToFit="1"/>
    </xf>
    <xf numFmtId="0" fontId="7" fillId="0" borderId="13" xfId="0" applyFont="1" applyBorder="1" applyAlignment="1">
      <alignment shrinkToFit="1"/>
    </xf>
    <xf numFmtId="0" fontId="7" fillId="0" borderId="11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6" fillId="0" borderId="4" xfId="0" applyFont="1" applyBorder="1" applyAlignment="1">
      <alignment shrinkToFit="1"/>
    </xf>
    <xf numFmtId="0" fontId="5" fillId="0" borderId="19" xfId="0" applyFont="1" applyBorder="1" applyAlignment="1">
      <alignment shrinkToFit="1"/>
    </xf>
    <xf numFmtId="0" fontId="7" fillId="0" borderId="20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6" fillId="0" borderId="9" xfId="0" applyFont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5" fillId="0" borderId="0" xfId="0" applyNumberFormat="1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177" fontId="25" fillId="7" borderId="0" xfId="0" applyNumberFormat="1" applyFont="1" applyFill="1" applyAlignment="1">
      <alignment horizontal="center" vertical="center"/>
    </xf>
    <xf numFmtId="178" fontId="25" fillId="6" borderId="0" xfId="0" applyNumberFormat="1" applyFont="1" applyFill="1" applyAlignment="1">
      <alignment horizontal="center" vertical="center"/>
    </xf>
    <xf numFmtId="176" fontId="25" fillId="5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26" fillId="0" borderId="0" xfId="0" applyFont="1" applyFill="1" applyBorder="1" applyAlignment="1">
      <alignment horizontal="center" vertical="center" shrinkToFit="1"/>
    </xf>
    <xf numFmtId="178" fontId="25" fillId="0" borderId="0" xfId="0" applyNumberFormat="1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181" fontId="13" fillId="0" borderId="0" xfId="0" applyNumberFormat="1" applyFont="1" applyFill="1" applyAlignment="1">
      <alignment horizontal="center" vertical="center"/>
    </xf>
    <xf numFmtId="10" fontId="13" fillId="5" borderId="0" xfId="0" applyNumberFormat="1" applyFont="1" applyFill="1" applyAlignment="1">
      <alignment horizontal="center" vertical="center"/>
    </xf>
    <xf numFmtId="10" fontId="13" fillId="0" borderId="0" xfId="0" applyNumberFormat="1" applyFont="1" applyFill="1" applyAlignment="1">
      <alignment horizontal="center" vertical="center"/>
    </xf>
    <xf numFmtId="182" fontId="25" fillId="0" borderId="22" xfId="0" applyNumberFormat="1" applyFont="1" applyFill="1" applyBorder="1" applyAlignment="1">
      <alignment horizontal="center" vertical="center"/>
    </xf>
    <xf numFmtId="0" fontId="28" fillId="0" borderId="22" xfId="0" applyFont="1" applyFill="1" applyBorder="1" applyAlignment="1">
      <alignment horizontal="center" vertical="center"/>
    </xf>
    <xf numFmtId="0" fontId="21" fillId="0" borderId="22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/>
    </xf>
    <xf numFmtId="0" fontId="26" fillId="0" borderId="22" xfId="0" applyFont="1" applyFill="1" applyBorder="1" applyAlignment="1">
      <alignment horizontal="center" vertical="center" shrinkToFit="1"/>
    </xf>
    <xf numFmtId="182" fontId="26" fillId="0" borderId="22" xfId="0" applyNumberFormat="1" applyFont="1" applyFill="1" applyBorder="1" applyAlignment="1">
      <alignment horizontal="center" vertical="center" shrinkToFit="1"/>
    </xf>
    <xf numFmtId="0" fontId="16" fillId="0" borderId="22" xfId="0" applyFont="1" applyFill="1" applyBorder="1" applyAlignment="1">
      <alignment horizontal="center" vertical="center"/>
    </xf>
    <xf numFmtId="177" fontId="28" fillId="0" borderId="22" xfId="0" applyNumberFormat="1" applyFont="1" applyFill="1" applyBorder="1" applyAlignment="1">
      <alignment horizontal="center" vertical="center"/>
    </xf>
    <xf numFmtId="177" fontId="21" fillId="0" borderId="22" xfId="0" applyNumberFormat="1" applyFont="1" applyFill="1" applyBorder="1" applyAlignment="1">
      <alignment horizontal="center" vertical="center"/>
    </xf>
    <xf numFmtId="177" fontId="25" fillId="0" borderId="22" xfId="0" applyNumberFormat="1" applyFont="1" applyFill="1" applyBorder="1" applyAlignment="1">
      <alignment horizontal="center" vertical="center"/>
    </xf>
    <xf numFmtId="177" fontId="16" fillId="0" borderId="22" xfId="0" applyNumberFormat="1" applyFont="1" applyFill="1" applyBorder="1" applyAlignment="1">
      <alignment horizontal="center" vertical="center"/>
    </xf>
    <xf numFmtId="177" fontId="20" fillId="0" borderId="22" xfId="0" applyNumberFormat="1" applyFont="1" applyFill="1" applyBorder="1" applyAlignment="1">
      <alignment horizontal="center" vertical="center" shrinkToFit="1"/>
    </xf>
    <xf numFmtId="177" fontId="26" fillId="0" borderId="22" xfId="0" applyNumberFormat="1" applyFont="1" applyFill="1" applyBorder="1" applyAlignment="1">
      <alignment horizontal="center" vertical="center" shrinkToFit="1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31" xfId="0" applyFont="1" applyFill="1" applyBorder="1" applyAlignment="1">
      <alignment horizontal="center" vertical="center"/>
    </xf>
    <xf numFmtId="0" fontId="31" fillId="0" borderId="33" xfId="0" applyFont="1" applyFill="1" applyBorder="1" applyAlignment="1">
      <alignment horizontal="center" vertical="center"/>
    </xf>
    <xf numFmtId="0" fontId="31" fillId="0" borderId="35" xfId="0" applyFont="1" applyFill="1" applyBorder="1" applyAlignment="1">
      <alignment horizontal="center" vertical="center"/>
    </xf>
    <xf numFmtId="0" fontId="31" fillId="0" borderId="27" xfId="0" applyFont="1" applyFill="1" applyBorder="1" applyAlignment="1">
      <alignment horizontal="center" vertical="center"/>
    </xf>
    <xf numFmtId="0" fontId="31" fillId="0" borderId="28" xfId="0" applyFont="1" applyFill="1" applyBorder="1" applyAlignment="1">
      <alignment horizontal="center" vertical="center"/>
    </xf>
    <xf numFmtId="0" fontId="31" fillId="0" borderId="25" xfId="0" applyFont="1" applyFill="1" applyBorder="1" applyAlignment="1">
      <alignment horizontal="center" vertical="center"/>
    </xf>
    <xf numFmtId="0" fontId="31" fillId="0" borderId="23" xfId="0" applyFont="1" applyFill="1" applyBorder="1" applyAlignment="1">
      <alignment horizontal="center" vertical="center"/>
    </xf>
    <xf numFmtId="0" fontId="31" fillId="0" borderId="29" xfId="0" applyFont="1" applyFill="1" applyBorder="1" applyAlignment="1">
      <alignment horizontal="center" vertical="center"/>
    </xf>
    <xf numFmtId="0" fontId="31" fillId="0" borderId="30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179" fontId="31" fillId="0" borderId="27" xfId="0" applyNumberFormat="1" applyFont="1" applyBorder="1" applyAlignment="1">
      <alignment horizontal="center" vertical="center"/>
    </xf>
    <xf numFmtId="179" fontId="31" fillId="0" borderId="28" xfId="0" applyNumberFormat="1" applyFont="1" applyBorder="1" applyAlignment="1">
      <alignment horizontal="center" vertical="center"/>
    </xf>
    <xf numFmtId="179" fontId="31" fillId="0" borderId="25" xfId="0" applyNumberFormat="1" applyFont="1" applyBorder="1" applyAlignment="1">
      <alignment horizontal="center" vertical="center"/>
    </xf>
    <xf numFmtId="179" fontId="31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2" fillId="0" borderId="37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179" fontId="72" fillId="5" borderId="27" xfId="0" applyNumberFormat="1" applyFont="1" applyFill="1" applyBorder="1" applyAlignment="1">
      <alignment horizontal="center" vertical="center"/>
    </xf>
    <xf numFmtId="179" fontId="72" fillId="5" borderId="28" xfId="0" applyNumberFormat="1" applyFont="1" applyFill="1" applyBorder="1" applyAlignment="1">
      <alignment horizontal="center" vertical="center"/>
    </xf>
    <xf numFmtId="179" fontId="72" fillId="5" borderId="25" xfId="0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left" vertical="center"/>
    </xf>
    <xf numFmtId="0" fontId="22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31" fillId="4" borderId="27" xfId="0" applyFont="1" applyFill="1" applyBorder="1" applyAlignment="1">
      <alignment horizontal="center" vertical="center"/>
    </xf>
    <xf numFmtId="0" fontId="31" fillId="4" borderId="28" xfId="0" applyFont="1" applyFill="1" applyBorder="1" applyAlignment="1">
      <alignment horizontal="center" vertical="center"/>
    </xf>
    <xf numFmtId="0" fontId="31" fillId="4" borderId="25" xfId="0" applyFont="1" applyFill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183" fontId="0" fillId="4" borderId="22" xfId="0" applyNumberFormat="1" applyFill="1" applyBorder="1" applyAlignment="1">
      <alignment horizontal="center" vertical="center"/>
    </xf>
    <xf numFmtId="0" fontId="32" fillId="13" borderId="0" xfId="0" applyFont="1" applyFill="1" applyAlignment="1">
      <alignment horizontal="left" vertical="center"/>
    </xf>
    <xf numFmtId="0" fontId="33" fillId="13" borderId="0" xfId="0" applyFont="1" applyFill="1" applyAlignment="1">
      <alignment horizontal="left" vertical="center"/>
    </xf>
    <xf numFmtId="0" fontId="33" fillId="13" borderId="0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1" fontId="31" fillId="0" borderId="22" xfId="0" applyNumberFormat="1" applyFont="1" applyFill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179" fontId="72" fillId="5" borderId="22" xfId="0" applyNumberFormat="1" applyFont="1" applyFill="1" applyBorder="1" applyAlignment="1">
      <alignment horizontal="center" vertical="center"/>
    </xf>
    <xf numFmtId="0" fontId="72" fillId="5" borderId="22" xfId="0" applyFont="1" applyFill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179" fontId="31" fillId="15" borderId="27" xfId="0" applyNumberFormat="1" applyFont="1" applyFill="1" applyBorder="1" applyAlignment="1">
      <alignment horizontal="center" vertical="center"/>
    </xf>
    <xf numFmtId="179" fontId="31" fillId="15" borderId="28" xfId="0" applyNumberFormat="1" applyFont="1" applyFill="1" applyBorder="1" applyAlignment="1">
      <alignment horizontal="center" vertical="center"/>
    </xf>
    <xf numFmtId="179" fontId="31" fillId="15" borderId="25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1" fillId="0" borderId="31" xfId="0" applyNumberFormat="1" applyFont="1" applyFill="1" applyBorder="1" applyAlignment="1">
      <alignment horizontal="center" vertical="center"/>
    </xf>
    <xf numFmtId="1" fontId="31" fillId="0" borderId="33" xfId="0" applyNumberFormat="1" applyFont="1" applyFill="1" applyBorder="1" applyAlignment="1">
      <alignment horizontal="center" vertical="center"/>
    </xf>
    <xf numFmtId="1" fontId="31" fillId="0" borderId="35" xfId="0" applyNumberFormat="1" applyFont="1" applyFill="1" applyBorder="1" applyAlignment="1">
      <alignment horizontal="center" vertical="center"/>
    </xf>
    <xf numFmtId="1" fontId="31" fillId="0" borderId="23" xfId="0" applyNumberFormat="1" applyFont="1" applyFill="1" applyBorder="1" applyAlignment="1">
      <alignment horizontal="center" vertical="center"/>
    </xf>
    <xf numFmtId="1" fontId="31" fillId="0" borderId="29" xfId="0" applyNumberFormat="1" applyFont="1" applyFill="1" applyBorder="1" applyAlignment="1">
      <alignment horizontal="center" vertical="center"/>
    </xf>
    <xf numFmtId="1" fontId="31" fillId="0" borderId="30" xfId="0" applyNumberFormat="1" applyFont="1" applyFill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24" fillId="0" borderId="22" xfId="0" applyFont="1" applyBorder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26" fillId="0" borderId="22" xfId="0" applyFont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20" fillId="0" borderId="31" xfId="0" applyFont="1" applyBorder="1" applyAlignment="1">
      <alignment horizontal="center" vertical="center" shrinkToFit="1"/>
    </xf>
    <xf numFmtId="0" fontId="26" fillId="0" borderId="32" xfId="0" applyFont="1" applyBorder="1" applyAlignment="1">
      <alignment horizontal="center" vertical="center" shrinkToFit="1"/>
    </xf>
    <xf numFmtId="0" fontId="26" fillId="0" borderId="33" xfId="0" applyFont="1" applyBorder="1" applyAlignment="1">
      <alignment horizontal="center" vertical="center" shrinkToFit="1"/>
    </xf>
    <xf numFmtId="0" fontId="26" fillId="0" borderId="34" xfId="0" applyFont="1" applyBorder="1" applyAlignment="1">
      <alignment horizontal="center" vertical="center" shrinkToFit="1"/>
    </xf>
    <xf numFmtId="0" fontId="26" fillId="0" borderId="35" xfId="0" applyFont="1" applyBorder="1" applyAlignment="1">
      <alignment horizontal="center" vertical="center" shrinkToFit="1"/>
    </xf>
    <xf numFmtId="0" fontId="26" fillId="0" borderId="36" xfId="0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 shrinkToFit="1"/>
    </xf>
    <xf numFmtId="0" fontId="44" fillId="0" borderId="31" xfId="0" applyFont="1" applyBorder="1" applyAlignment="1">
      <alignment horizontal="center" vertical="center" shrinkToFit="1"/>
    </xf>
    <xf numFmtId="0" fontId="44" fillId="0" borderId="32" xfId="0" applyFont="1" applyBorder="1" applyAlignment="1">
      <alignment horizontal="center" vertical="center" shrinkToFit="1"/>
    </xf>
    <xf numFmtId="0" fontId="44" fillId="0" borderId="33" xfId="0" applyFont="1" applyBorder="1" applyAlignment="1">
      <alignment horizontal="center" vertical="center" shrinkToFit="1"/>
    </xf>
    <xf numFmtId="0" fontId="44" fillId="0" borderId="34" xfId="0" applyFont="1" applyBorder="1" applyAlignment="1">
      <alignment horizontal="center" vertical="center" shrinkToFit="1"/>
    </xf>
    <xf numFmtId="0" fontId="44" fillId="0" borderId="35" xfId="0" applyFont="1" applyBorder="1" applyAlignment="1">
      <alignment horizontal="center" vertical="center" shrinkToFit="1"/>
    </xf>
    <xf numFmtId="0" fontId="44" fillId="0" borderId="36" xfId="0" applyFont="1" applyBorder="1" applyAlignment="1">
      <alignment horizontal="center" vertical="center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44" fillId="0" borderId="22" xfId="0" applyFont="1" applyBorder="1" applyAlignment="1">
      <alignment horizontal="center" shrinkToFit="1"/>
    </xf>
    <xf numFmtId="0" fontId="26" fillId="0" borderId="31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shrinkToFit="1"/>
    </xf>
    <xf numFmtId="0" fontId="52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vertical="center" shrinkToFit="1"/>
    </xf>
    <xf numFmtId="0" fontId="52" fillId="0" borderId="31" xfId="0" applyFont="1" applyBorder="1" applyAlignment="1">
      <alignment horizontal="center" vertical="center" shrinkToFit="1"/>
    </xf>
    <xf numFmtId="0" fontId="52" fillId="0" borderId="32" xfId="0" applyFont="1" applyBorder="1" applyAlignment="1">
      <alignment horizontal="center" vertical="center" shrinkToFit="1"/>
    </xf>
    <xf numFmtId="0" fontId="52" fillId="0" borderId="33" xfId="0" applyFont="1" applyBorder="1" applyAlignment="1">
      <alignment horizontal="center" vertical="center" shrinkToFit="1"/>
    </xf>
    <xf numFmtId="0" fontId="52" fillId="0" borderId="34" xfId="0" applyFont="1" applyBorder="1" applyAlignment="1">
      <alignment horizontal="center" vertical="center" shrinkToFit="1"/>
    </xf>
    <xf numFmtId="0" fontId="52" fillId="0" borderId="35" xfId="0" applyFont="1" applyBorder="1" applyAlignment="1">
      <alignment horizontal="center" vertical="center" shrinkToFit="1"/>
    </xf>
    <xf numFmtId="0" fontId="52" fillId="0" borderId="36" xfId="0" applyFont="1" applyBorder="1" applyAlignment="1">
      <alignment horizontal="center" vertical="center" shrinkToFit="1"/>
    </xf>
    <xf numFmtId="0" fontId="26" fillId="0" borderId="27" xfId="0" applyFont="1" applyBorder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52" fillId="0" borderId="27" xfId="0" applyFont="1" applyBorder="1" applyAlignment="1">
      <alignment horizontal="center" vertical="center" shrinkToFit="1"/>
    </xf>
    <xf numFmtId="0" fontId="44" fillId="0" borderId="25" xfId="0" applyFont="1" applyBorder="1" applyAlignment="1">
      <alignment horizontal="center" vertical="center" shrinkToFit="1"/>
    </xf>
    <xf numFmtId="0" fontId="24" fillId="0" borderId="23" xfId="0" applyFont="1" applyBorder="1" applyAlignment="1">
      <alignment horizontal="center" vertical="center" shrinkToFit="1"/>
    </xf>
    <xf numFmtId="0" fontId="24" fillId="0" borderId="30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24" fillId="0" borderId="29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26" fillId="0" borderId="27" xfId="0" applyFont="1" applyBorder="1" applyAlignment="1">
      <alignment shrinkToFit="1"/>
    </xf>
    <xf numFmtId="0" fontId="26" fillId="0" borderId="25" xfId="0" applyFont="1" applyBorder="1" applyAlignment="1">
      <alignment shrinkToFit="1"/>
    </xf>
    <xf numFmtId="0" fontId="20" fillId="0" borderId="27" xfId="0" applyFont="1" applyBorder="1" applyAlignment="1">
      <alignment horizontal="center" vertical="center" shrinkToFit="1"/>
    </xf>
    <xf numFmtId="0" fontId="34" fillId="0" borderId="27" xfId="0" applyFont="1" applyBorder="1" applyAlignment="1">
      <alignment vertical="center" shrinkToFit="1"/>
    </xf>
    <xf numFmtId="0" fontId="34" fillId="0" borderId="25" xfId="0" applyFont="1" applyBorder="1" applyAlignment="1">
      <alignment vertical="center" shrinkToFit="1"/>
    </xf>
    <xf numFmtId="0" fontId="52" fillId="0" borderId="31" xfId="0" applyFont="1" applyBorder="1" applyAlignment="1">
      <alignment horizontal="center" vertical="center" wrapText="1" shrinkToFit="1"/>
    </xf>
    <xf numFmtId="0" fontId="52" fillId="0" borderId="32" xfId="0" applyFont="1" applyBorder="1" applyAlignment="1">
      <alignment horizontal="center" vertical="center" wrapText="1" shrinkToFit="1"/>
    </xf>
    <xf numFmtId="0" fontId="52" fillId="0" borderId="33" xfId="0" applyFont="1" applyBorder="1" applyAlignment="1">
      <alignment horizontal="center" vertical="center" wrapText="1" shrinkToFit="1"/>
    </xf>
    <xf numFmtId="0" fontId="52" fillId="0" borderId="34" xfId="0" applyFont="1" applyBorder="1" applyAlignment="1">
      <alignment horizontal="center" vertical="center" wrapText="1" shrinkToFit="1"/>
    </xf>
    <xf numFmtId="0" fontId="52" fillId="0" borderId="35" xfId="0" applyFont="1" applyBorder="1" applyAlignment="1">
      <alignment horizontal="center" vertical="center" wrapText="1" shrinkToFit="1"/>
    </xf>
    <xf numFmtId="0" fontId="52" fillId="0" borderId="36" xfId="0" applyFont="1" applyBorder="1" applyAlignment="1">
      <alignment horizontal="center" vertical="center" wrapText="1" shrinkToFit="1"/>
    </xf>
    <xf numFmtId="0" fontId="26" fillId="0" borderId="28" xfId="0" applyFont="1" applyBorder="1" applyAlignment="1">
      <alignment shrinkToFit="1"/>
    </xf>
    <xf numFmtId="0" fontId="44" fillId="0" borderId="28" xfId="0" applyFont="1" applyBorder="1" applyAlignment="1">
      <alignment shrinkToFit="1"/>
    </xf>
    <xf numFmtId="0" fontId="60" fillId="0" borderId="22" xfId="11" applyFont="1" applyFill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37" xfId="11" applyFont="1" applyFill="1" applyBorder="1" applyAlignment="1">
      <alignment horizontal="center" vertical="center" shrinkToFit="1"/>
    </xf>
    <xf numFmtId="0" fontId="26" fillId="0" borderId="0" xfId="11" applyFont="1" applyFill="1" applyBorder="1" applyAlignment="1">
      <alignment horizontal="center" vertical="center" shrinkToFit="1"/>
    </xf>
    <xf numFmtId="0" fontId="24" fillId="0" borderId="22" xfId="11" applyFont="1" applyFill="1" applyBorder="1" applyAlignment="1">
      <alignment horizontal="center" vertical="center" shrinkToFit="1"/>
    </xf>
    <xf numFmtId="0" fontId="24" fillId="0" borderId="22" xfId="11" applyFont="1" applyBorder="1" applyAlignment="1">
      <alignment horizontal="center" shrinkToFit="1"/>
    </xf>
    <xf numFmtId="0" fontId="53" fillId="0" borderId="42" xfId="11" applyFont="1" applyBorder="1" applyAlignment="1">
      <alignment horizontal="left" vertical="center" shrinkToFit="1"/>
    </xf>
    <xf numFmtId="0" fontId="53" fillId="0" borderId="43" xfId="11" applyFont="1" applyBorder="1" applyAlignment="1">
      <alignment horizontal="left" vertical="center" shrinkToFit="1"/>
    </xf>
    <xf numFmtId="0" fontId="53" fillId="0" borderId="44" xfId="11" applyFont="1" applyBorder="1" applyAlignment="1">
      <alignment horizontal="left" vertical="center" shrinkToFit="1"/>
    </xf>
    <xf numFmtId="0" fontId="53" fillId="0" borderId="45" xfId="11" applyFont="1" applyBorder="1" applyAlignment="1">
      <alignment horizontal="left" vertical="center" shrinkToFit="1"/>
    </xf>
    <xf numFmtId="0" fontId="53" fillId="0" borderId="46" xfId="11" applyFont="1" applyBorder="1" applyAlignment="1">
      <alignment horizontal="left" vertical="center" shrinkToFit="1"/>
    </xf>
    <xf numFmtId="0" fontId="45" fillId="0" borderId="47" xfId="11" applyFont="1" applyFill="1" applyBorder="1" applyAlignment="1">
      <alignment horizontal="center" vertical="center"/>
    </xf>
    <xf numFmtId="0" fontId="26" fillId="0" borderId="52" xfId="11" applyFont="1" applyFill="1" applyBorder="1" applyAlignment="1">
      <alignment horizontal="center" vertical="center" shrinkToFit="1"/>
    </xf>
    <xf numFmtId="0" fontId="24" fillId="0" borderId="48" xfId="11" applyFont="1" applyFill="1" applyBorder="1" applyAlignment="1">
      <alignment horizontal="center" vertical="center" shrinkToFit="1"/>
    </xf>
    <xf numFmtId="0" fontId="60" fillId="0" borderId="48" xfId="11" applyFont="1" applyFill="1" applyBorder="1" applyAlignment="1">
      <alignment horizontal="center" vertical="center" shrinkToFit="1"/>
    </xf>
    <xf numFmtId="0" fontId="24" fillId="0" borderId="27" xfId="11" applyFont="1" applyFill="1" applyBorder="1" applyAlignment="1">
      <alignment horizontal="center" vertical="center" shrinkToFit="1"/>
    </xf>
    <xf numFmtId="0" fontId="24" fillId="0" borderId="25" xfId="11" applyFont="1" applyFill="1" applyBorder="1" applyAlignment="1">
      <alignment horizontal="center" vertical="center" shrinkToFit="1"/>
    </xf>
    <xf numFmtId="0" fontId="24" fillId="0" borderId="27" xfId="11" applyFont="1" applyBorder="1" applyAlignment="1">
      <alignment horizontal="center" shrinkToFit="1"/>
    </xf>
    <xf numFmtId="0" fontId="24" fillId="0" borderId="58" xfId="11" applyFont="1" applyBorder="1" applyAlignment="1">
      <alignment horizontal="center" shrinkToFit="1"/>
    </xf>
    <xf numFmtId="0" fontId="60" fillId="0" borderId="27" xfId="11" applyFont="1" applyFill="1" applyBorder="1" applyAlignment="1">
      <alignment horizontal="center" vertical="center" shrinkToFit="1"/>
    </xf>
    <xf numFmtId="0" fontId="60" fillId="0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58" xfId="11" applyFont="1" applyBorder="1" applyAlignment="1">
      <alignment horizontal="center" vertical="center" shrinkToFit="1"/>
    </xf>
    <xf numFmtId="0" fontId="24" fillId="0" borderId="48" xfId="11" applyFont="1" applyBorder="1" applyAlignment="1">
      <alignment horizontal="center" shrinkToFit="1"/>
    </xf>
    <xf numFmtId="0" fontId="28" fillId="0" borderId="48" xfId="11" applyFont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vertical="center" shrinkToFit="1"/>
    </xf>
    <xf numFmtId="0" fontId="26" fillId="2" borderId="28" xfId="0" applyFont="1" applyFill="1" applyBorder="1" applyAlignment="1">
      <alignment horizontal="center" vertical="center" shrinkToFit="1"/>
    </xf>
    <xf numFmtId="0" fontId="26" fillId="2" borderId="25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shrinkToFit="1"/>
    </xf>
    <xf numFmtId="0" fontId="26" fillId="2" borderId="28" xfId="0" applyFont="1" applyFill="1" applyBorder="1" applyAlignment="1">
      <alignment horizontal="center" shrinkToFit="1"/>
    </xf>
    <xf numFmtId="0" fontId="26" fillId="2" borderId="25" xfId="0" applyFont="1" applyFill="1" applyBorder="1" applyAlignment="1">
      <alignment horizontal="center" shrinkToFit="1"/>
    </xf>
    <xf numFmtId="0" fontId="24" fillId="0" borderId="23" xfId="0" applyFont="1" applyBorder="1" applyAlignment="1">
      <alignment horizontal="center" vertical="center" wrapText="1" shrinkToFit="1"/>
    </xf>
    <xf numFmtId="0" fontId="24" fillId="0" borderId="29" xfId="0" applyFont="1" applyBorder="1" applyAlignment="1">
      <alignment horizontal="center" vertical="center" wrapText="1" shrinkToFit="1"/>
    </xf>
    <xf numFmtId="0" fontId="24" fillId="0" borderId="30" xfId="0" applyFont="1" applyBorder="1" applyAlignment="1">
      <alignment horizontal="center" vertical="center" wrapText="1" shrinkToFit="1"/>
    </xf>
    <xf numFmtId="0" fontId="5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26" fillId="2" borderId="35" xfId="0" applyFont="1" applyFill="1" applyBorder="1" applyAlignment="1">
      <alignment horizontal="center" vertical="center" shrinkToFit="1"/>
    </xf>
    <xf numFmtId="0" fontId="26" fillId="2" borderId="26" xfId="0" applyFont="1" applyFill="1" applyBorder="1" applyAlignment="1">
      <alignment horizontal="center" vertical="center" shrinkToFit="1"/>
    </xf>
    <xf numFmtId="0" fontId="26" fillId="2" borderId="36" xfId="0" applyFont="1" applyFill="1" applyBorder="1" applyAlignment="1">
      <alignment horizontal="center" vertical="center" shrinkToFit="1"/>
    </xf>
    <xf numFmtId="0" fontId="5" fillId="0" borderId="56" xfId="0" applyFont="1" applyBorder="1" applyAlignment="1">
      <alignment shrinkToFit="1"/>
    </xf>
    <xf numFmtId="0" fontId="5" fillId="0" borderId="59" xfId="0" applyFont="1" applyBorder="1" applyAlignment="1">
      <alignment shrinkToFit="1"/>
    </xf>
    <xf numFmtId="0" fontId="5" fillId="0" borderId="57" xfId="0" applyFont="1" applyBorder="1" applyAlignment="1">
      <alignment shrinkToFit="1"/>
    </xf>
    <xf numFmtId="0" fontId="9" fillId="0" borderId="4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24" fillId="0" borderId="27" xfId="0" applyFont="1" applyBorder="1" applyAlignment="1">
      <alignment horizontal="center" vertical="center" shrinkToFit="1"/>
    </xf>
    <xf numFmtId="0" fontId="24" fillId="0" borderId="25" xfId="0" applyFont="1" applyBorder="1" applyAlignment="1">
      <alignment horizontal="center" vertical="center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24" fillId="0" borderId="22" xfId="0" applyFont="1" applyFill="1" applyBorder="1" applyAlignment="1">
      <alignment horizontal="center" vertical="center" shrinkToFit="1"/>
    </xf>
    <xf numFmtId="0" fontId="9" fillId="0" borderId="56" xfId="0" applyFont="1" applyBorder="1" applyAlignment="1">
      <alignment horizontal="center" shrinkToFit="1"/>
    </xf>
    <xf numFmtId="0" fontId="9" fillId="0" borderId="57" xfId="0" applyFont="1" applyBorder="1" applyAlignment="1">
      <alignment horizont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4" fillId="8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wrapText="1" shrinkToFit="1"/>
    </xf>
    <xf numFmtId="0" fontId="0" fillId="0" borderId="22" xfId="0" applyFont="1" applyBorder="1" applyAlignment="1">
      <alignment horizontal="center" vertical="center" wrapText="1" shrinkToFit="1"/>
    </xf>
    <xf numFmtId="0" fontId="5" fillId="2" borderId="0" xfId="0" applyFont="1" applyFill="1" applyBorder="1" applyAlignment="1">
      <alignment horizontal="center" vertical="center" shrinkToFit="1"/>
    </xf>
    <xf numFmtId="0" fontId="5" fillId="2" borderId="40" xfId="0" applyFont="1" applyFill="1" applyBorder="1" applyAlignment="1">
      <alignment horizontal="center" vertical="center" shrinkToFit="1"/>
    </xf>
    <xf numFmtId="0" fontId="5" fillId="2" borderId="39" xfId="0" applyFont="1" applyFill="1" applyBorder="1" applyAlignment="1">
      <alignment horizontal="center" shrinkToFit="1"/>
    </xf>
    <xf numFmtId="0" fontId="5" fillId="2" borderId="2" xfId="0" applyFont="1" applyFill="1" applyBorder="1" applyAlignment="1">
      <alignment horizontal="center" shrinkToFit="1"/>
    </xf>
    <xf numFmtId="0" fontId="5" fillId="2" borderId="3" xfId="0" applyFont="1" applyFill="1" applyBorder="1" applyAlignment="1">
      <alignment horizontal="center" shrinkToFit="1"/>
    </xf>
    <xf numFmtId="0" fontId="5" fillId="0" borderId="3" xfId="0" applyFont="1" applyBorder="1" applyAlignment="1">
      <alignment horizontal="center" shrinkToFit="1"/>
    </xf>
    <xf numFmtId="0" fontId="5" fillId="2" borderId="22" xfId="0" applyFont="1" applyFill="1" applyBorder="1" applyAlignment="1">
      <alignment horizontal="center" shrinkToFit="1"/>
    </xf>
    <xf numFmtId="0" fontId="5" fillId="2" borderId="22" xfId="0" applyFont="1" applyFill="1" applyBorder="1" applyAlignment="1">
      <alignment horizontal="center" vertic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24" fillId="8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0" xfId="0" applyFont="1" applyFill="1" applyBorder="1" applyAlignment="1">
      <alignment horizontal="center" shrinkToFit="1"/>
    </xf>
    <xf numFmtId="0" fontId="26" fillId="0" borderId="38" xfId="0" applyFont="1" applyFill="1" applyBorder="1" applyAlignment="1">
      <alignment horizontal="center" shrinkToFit="1"/>
    </xf>
    <xf numFmtId="0" fontId="26" fillId="2" borderId="23" xfId="0" applyFont="1" applyFill="1" applyBorder="1" applyAlignment="1">
      <alignment horizontal="center" vertical="center" shrinkToFit="1"/>
    </xf>
    <xf numFmtId="0" fontId="26" fillId="2" borderId="29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6" fillId="2" borderId="33" xfId="0" applyFont="1" applyFill="1" applyBorder="1" applyAlignment="1">
      <alignment horizontal="center" vertical="center" shrinkToFit="1"/>
    </xf>
    <xf numFmtId="0" fontId="26" fillId="2" borderId="0" xfId="0" applyFont="1" applyFill="1" applyBorder="1" applyAlignment="1">
      <alignment horizontal="center" vertical="center" shrinkToFit="1"/>
    </xf>
    <xf numFmtId="0" fontId="84" fillId="0" borderId="31" xfId="11" applyFont="1" applyBorder="1" applyAlignment="1">
      <alignment horizontal="center" vertical="center"/>
    </xf>
    <xf numFmtId="0" fontId="84" fillId="0" borderId="32" xfId="11" applyFont="1" applyBorder="1" applyAlignment="1">
      <alignment horizontal="center" vertical="center"/>
    </xf>
    <xf numFmtId="0" fontId="84" fillId="0" borderId="33" xfId="11" applyFont="1" applyBorder="1" applyAlignment="1">
      <alignment horizontal="center" vertical="center"/>
    </xf>
    <xf numFmtId="0" fontId="84" fillId="0" borderId="34" xfId="11" applyFont="1" applyBorder="1" applyAlignment="1">
      <alignment horizontal="center" vertical="center"/>
    </xf>
    <xf numFmtId="0" fontId="84" fillId="0" borderId="35" xfId="11" applyFont="1" applyBorder="1" applyAlignment="1">
      <alignment horizontal="center" vertical="center"/>
    </xf>
    <xf numFmtId="0" fontId="84" fillId="0" borderId="36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34" fillId="5" borderId="22" xfId="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 wrapText="1"/>
    </xf>
    <xf numFmtId="0" fontId="36" fillId="5" borderId="22" xfId="15" applyFont="1" applyFill="1" applyBorder="1" applyAlignment="1">
      <alignment horizontal="center"/>
    </xf>
    <xf numFmtId="0" fontId="38" fillId="0" borderId="26" xfId="11" applyFont="1" applyBorder="1" applyAlignment="1">
      <alignment horizontal="center" vertical="center"/>
    </xf>
    <xf numFmtId="0" fontId="30" fillId="0" borderId="26" xfId="11" applyFont="1" applyBorder="1" applyAlignment="1">
      <alignment horizontal="center" vertical="center"/>
    </xf>
    <xf numFmtId="0" fontId="71" fillId="5" borderId="31" xfId="11" applyFont="1" applyFill="1" applyBorder="1" applyAlignment="1">
      <alignment horizontal="center" vertical="center"/>
    </xf>
    <xf numFmtId="0" fontId="27" fillId="5" borderId="32" xfId="11" applyFont="1" applyFill="1" applyBorder="1" applyAlignment="1">
      <alignment horizontal="center" vertical="center"/>
    </xf>
    <xf numFmtId="0" fontId="27" fillId="5" borderId="33" xfId="11" applyFont="1" applyFill="1" applyBorder="1" applyAlignment="1">
      <alignment horizontal="center" vertical="center"/>
    </xf>
    <xf numFmtId="0" fontId="27" fillId="5" borderId="34" xfId="11" applyFont="1" applyFill="1" applyBorder="1" applyAlignment="1">
      <alignment horizontal="center" vertical="center"/>
    </xf>
    <xf numFmtId="0" fontId="27" fillId="5" borderId="35" xfId="11" applyFont="1" applyFill="1" applyBorder="1" applyAlignment="1">
      <alignment horizontal="center" vertical="center"/>
    </xf>
    <xf numFmtId="0" fontId="27" fillId="5" borderId="36" xfId="11" applyFont="1" applyFill="1" applyBorder="1" applyAlignment="1">
      <alignment horizontal="center" vertical="center"/>
    </xf>
    <xf numFmtId="0" fontId="34" fillId="5" borderId="31" xfId="5" applyFont="1" applyFill="1" applyBorder="1" applyAlignment="1">
      <alignment horizontal="center" vertical="center"/>
    </xf>
    <xf numFmtId="0" fontId="34" fillId="5" borderId="33" xfId="5" applyFont="1" applyFill="1" applyBorder="1" applyAlignment="1">
      <alignment horizontal="center" vertical="center"/>
    </xf>
    <xf numFmtId="0" fontId="34" fillId="5" borderId="35" xfId="5" applyFont="1" applyFill="1" applyBorder="1" applyAlignment="1">
      <alignment horizontal="center" vertical="center"/>
    </xf>
    <xf numFmtId="0" fontId="83" fillId="5" borderId="23" xfId="5" applyFont="1" applyFill="1" applyBorder="1" applyAlignment="1">
      <alignment horizontal="center" vertical="center"/>
    </xf>
    <xf numFmtId="0" fontId="83" fillId="5" borderId="29" xfId="5" applyFont="1" applyFill="1" applyBorder="1" applyAlignment="1">
      <alignment horizontal="center" vertical="center"/>
    </xf>
    <xf numFmtId="0" fontId="83" fillId="5" borderId="30" xfId="5" applyFont="1" applyFill="1" applyBorder="1" applyAlignment="1">
      <alignment horizontal="center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9" xfId="5" applyFont="1" applyFill="1" applyBorder="1" applyAlignment="1">
      <alignment horizontal="center" vertical="center"/>
    </xf>
    <xf numFmtId="0" fontId="34" fillId="5" borderId="30" xfId="5" applyFont="1" applyFill="1" applyBorder="1" applyAlignment="1">
      <alignment horizontal="center" vertical="center"/>
    </xf>
    <xf numFmtId="0" fontId="65" fillId="5" borderId="23" xfId="5" applyFont="1" applyFill="1" applyBorder="1" applyAlignment="1">
      <alignment horizontal="center" vertical="center"/>
    </xf>
    <xf numFmtId="0" fontId="65" fillId="5" borderId="29" xfId="5" applyFont="1" applyFill="1" applyBorder="1" applyAlignment="1">
      <alignment horizontal="center" vertical="center"/>
    </xf>
    <xf numFmtId="0" fontId="65" fillId="5" borderId="30" xfId="5" applyFont="1" applyFill="1" applyBorder="1" applyAlignment="1">
      <alignment horizontal="center" vertical="center"/>
    </xf>
    <xf numFmtId="0" fontId="87" fillId="5" borderId="22" xfId="15" applyFont="1" applyFill="1" applyBorder="1" applyAlignment="1">
      <alignment horizontal="center" vertical="center"/>
    </xf>
    <xf numFmtId="0" fontId="88" fillId="16" borderId="22" xfId="15" applyFont="1" applyFill="1" applyBorder="1" applyAlignment="1">
      <alignment horizontal="center" vertical="center" wrapText="1"/>
    </xf>
    <xf numFmtId="0" fontId="91" fillId="16" borderId="22" xfId="15" applyFont="1" applyFill="1" applyBorder="1" applyAlignment="1">
      <alignment horizontal="center" vertical="center"/>
    </xf>
    <xf numFmtId="0" fontId="35" fillId="5" borderId="22" xfId="5" applyFont="1" applyFill="1" applyBorder="1" applyAlignment="1">
      <alignment horizontal="center"/>
    </xf>
  </cellXfs>
  <cellStyles count="577">
    <cellStyle name="??_x000c_鞜_x0007__x000d_槉U_x0001_??_x0007__x0001__x0001_" xfId="25"/>
    <cellStyle name="_98-春節暫停營業明細-ToDC" xfId="26"/>
    <cellStyle name="_98-春節暫停營業明細-ToDC_1-晉欣鮮食廠-2012年春節作業體制" xfId="27"/>
    <cellStyle name="_excel報告書" xfId="28"/>
    <cellStyle name="_excel報告書_1-晉欣鮮食廠-2012年春節作業體制" xfId="29"/>
    <cellStyle name="_excel報告書_96年月餅預購競賽獎勵案" xfId="30"/>
    <cellStyle name="_excel報告書_96年月餅預購競賽獎勵案_1-晉欣鮮食廠-2012年春節作業體制" xfId="31"/>
    <cellStyle name="_excel報告書_96年月餅預購競賽獎勵案_97年春節保全回收報告書" xfId="32"/>
    <cellStyle name="_excel報告書_96年月餅預購競賽獎勵案_97年春節保全回收報告書_1-晉欣鮮食廠-2012年春節作業體制" xfId="33"/>
    <cellStyle name="_excel報告書_96年月餅預購競賽獎勵案_97年春節保全回收報告書_Book1" xfId="34"/>
    <cellStyle name="_excel報告書_96年月餅預購競賽獎勵案_97年春節保全回收報告書_Book1_1-晉欣鮮食廠-2012年春節作業體制" xfId="35"/>
    <cellStyle name="_excel報告書_96年月餅預購競賽獎勵案_97年春節保全回收報告書_春節作業手冊-981217" xfId="36"/>
    <cellStyle name="_excel報告書_96年月餅預購競賽獎勵案_97年春節保全回收報告書_春節作業手冊-981217_1-晉欣鮮食廠-2012年春節作業體制" xfId="37"/>
    <cellStyle name="_excel報告書_96年月餅預購競賽獎勵案_97年營業競賽提案報告書" xfId="38"/>
    <cellStyle name="_excel報告書_96年月餅預購競賽獎勵案_97年營業競賽提案報告書_1-晉欣鮮食廠-2012年春節作業體制" xfId="39"/>
    <cellStyle name="_excel報告書_96年月餅預購競賽獎勵案_97年營業競賽提案報告書_97年春節保全回收報告書" xfId="40"/>
    <cellStyle name="_excel報告書_96年月餅預購競賽獎勵案_97年營業競賽提案報告書_97年春節保全回收報告書_1-晉欣鮮食廠-2012年春節作業體制" xfId="41"/>
    <cellStyle name="_excel報告書_96年月餅預購競賽獎勵案_97年營業競賽提案報告書_97年春節保全回收報告書_Book1" xfId="42"/>
    <cellStyle name="_excel報告書_96年月餅預購競賽獎勵案_97年營業競賽提案報告書_97年春節保全回收報告書_Book1_1-晉欣鮮食廠-2012年春節作業體制" xfId="43"/>
    <cellStyle name="_excel報告書_96年月餅預購競賽獎勵案_97年營業競賽提案報告書_97年春節保全回收報告書_春節作業手冊-981217" xfId="44"/>
    <cellStyle name="_excel報告書_96年月餅預購競賽獎勵案_97年營業競賽提案報告書_97年春節保全回收報告書_春節作業手冊-981217_1-晉欣鮮食廠-2012年春節作業體制" xfId="45"/>
    <cellStyle name="_excel報告書_96年月餅預購競賽獎勵案_97年營業競賽提案報告書_97年營業競賽提案報告書" xfId="46"/>
    <cellStyle name="_excel報告書_96年月餅預購競賽獎勵案_97年營業競賽提案報告書_97年營業競賽提案報告書_1-晉欣鮮食廠-2012年春節作業體制" xfId="47"/>
    <cellStyle name="_excel報告書_96年月餅預購競賽獎勵案_97年營業競賽提案報告書_97年營業競賽提案報告書_97年春節保全回收報告書" xfId="48"/>
    <cellStyle name="_excel報告書_96年月餅預購競賽獎勵案_97年營業競賽提案報告書_97年營業競賽提案報告書_97年春節保全回收報告書_1-晉欣鮮食廠-2012年春節作業體制" xfId="49"/>
    <cellStyle name="_excel報告書_96年月餅預購競賽獎勵案_97年營業競賽提案報告書_97年營業競賽提案報告書_97年春節保全回收報告書_Book1" xfId="50"/>
    <cellStyle name="_excel報告書_96年月餅預購競賽獎勵案_97年營業競賽提案報告書_97年營業競賽提案報告書_97年春節保全回收報告書_Book1_1-晉欣鮮食廠-2012年春節作業體制" xfId="51"/>
    <cellStyle name="_excel報告書_96年月餅預購競賽獎勵案_97年營業競賽提案報告書_97年營業競賽提案報告書_97年春節保全回收報告書_春節作業手冊-981217" xfId="52"/>
    <cellStyle name="_excel報告書_96年月餅預購競賽獎勵案_97年營業競賽提案報告書_97年營業競賽提案報告書_97年春節保全回收報告書_春節作業手冊-981217_1-晉欣鮮食廠-2012年春節作業體制" xfId="53"/>
    <cellStyle name="_excel報告書_96年月餅預購競賽獎勵案_97年營業競賽提案報告書_97年營業競賽提案報告書_97年營業競賽提案報告書" xfId="54"/>
    <cellStyle name="_excel報告書_96年月餅預購競賽獎勵案_97年營業競賽提案報告書_97年營業競賽提案報告書_97年營業競賽提案報告書_1-晉欣鮮食廠-2012年春節作業體制" xfId="55"/>
    <cellStyle name="_excel報告書_96年月餅預購競賽獎勵案_97年營業競賽提案報告書_97年營業競賽提案報告書_97年營業競賽提案報告書_97年春節保全回收報告書" xfId="56"/>
    <cellStyle name="_excel報告書_96年月餅預購競賽獎勵案_97年營業競賽提案報告書_97年營業競賽提案報告書_97年營業競賽提案報告書_97年春節保全回收報告書_1-晉欣鮮食廠-2012年春節作業體制" xfId="57"/>
    <cellStyle name="_excel報告書_96年月餅預購競賽獎勵案_97年營業競賽提案報告書_97年營業競賽提案報告書_97年營業競賽提案報告書_97年春節保全回收報告書_Book1" xfId="58"/>
    <cellStyle name="_excel報告書_96年月餅預購競賽獎勵案_97年營業競賽提案報告書_97年營業競賽提案報告書_97年營業競賽提案報告書_97年春節保全回收報告書_Book1_1-晉欣鮮食廠-2012年春節作業體制" xfId="59"/>
    <cellStyle name="_excel報告書_96年月餅預購競賽獎勵案_97年營業競賽提案報告書_97年營業競賽提案報告書_97年營業競賽提案報告書_97年春節保全回收報告書_春節作業手冊-981217" xfId="60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/>
    <cellStyle name="_excel報告書_96年月餅預購競賽獎勵案_97年營業競賽提案報告書_97年營業競賽提案報告書_97年營業競賽提案報告書_Book1" xfId="62"/>
    <cellStyle name="_excel報告書_96年月餅預購競賽獎勵案_97年營業競賽提案報告書_97年營業競賽提案報告書_97年營業競賽提案報告書_Book1_1-晉欣鮮食廠-2012年春節作業體制" xfId="63"/>
    <cellStyle name="_excel報告書_96年月餅預購競賽獎勵案_97年營業競賽提案報告書_97年營業競賽提案報告書_97年營業競賽提案報告書_春節作業手冊-981217" xfId="64"/>
    <cellStyle name="_excel報告書_96年月餅預購競賽獎勵案_97年營業競賽提案報告書_97年營業競賽提案報告書_97年營業競賽提案報告書_春節作業手冊-981217_1-晉欣鮮食廠-2012年春節作業體制" xfId="65"/>
    <cellStyle name="_excel報告書_96年月餅預購競賽獎勵案_97年營業競賽提案報告書_97年營業競賽提案報告書_Book1" xfId="66"/>
    <cellStyle name="_excel報告書_96年月餅預購競賽獎勵案_97年營業競賽提案報告書_97年營業競賽提案報告書_Book1_1-晉欣鮮食廠-2012年春節作業體制" xfId="67"/>
    <cellStyle name="_excel報告書_96年月餅預購競賽獎勵案_97年營業競賽提案報告書_97年營業競賽提案報告書_春節作業手冊-981217" xfId="68"/>
    <cellStyle name="_excel報告書_96年月餅預購競賽獎勵案_97年營業競賽提案報告書_97年營業競賽提案報告書_春節作業手冊-981217_1-晉欣鮮食廠-2012年春節作業體制" xfId="69"/>
    <cellStyle name="_excel報告書_96年月餅預購競賽獎勵案_97年營業競賽提案報告書_Book1" xfId="70"/>
    <cellStyle name="_excel報告書_96年月餅預購競賽獎勵案_97年營業競賽提案報告書_Book1_1-晉欣鮮食廠-2012年春節作業體制" xfId="71"/>
    <cellStyle name="_excel報告書_96年月餅預購競賽獎勵案_97年營業競賽提案報告書_春節作業手冊-981217" xfId="72"/>
    <cellStyle name="_excel報告書_96年月餅預購競賽獎勵案_97年營業競賽提案報告書_春節作業手冊-981217_1-晉欣鮮食廠-2012年春節作業體制" xfId="73"/>
    <cellStyle name="_excel報告書_96年月餅預購競賽獎勵案_Book1" xfId="74"/>
    <cellStyle name="_excel報告書_96年月餅預購競賽獎勵案_Book1_1-晉欣鮮食廠-2012年春節作業體制" xfId="75"/>
    <cellStyle name="_excel報告書_96年月餅預購競賽獎勵案_春節作業手冊-981217" xfId="76"/>
    <cellStyle name="_excel報告書_96年月餅預購競賽獎勵案_春節作業手冊-981217_1-晉欣鮮食廠-2012年春節作業體制" xfId="77"/>
    <cellStyle name="_excel報告書_97年春節保全回收報告書" xfId="78"/>
    <cellStyle name="_excel報告書_97年春節保全回收報告書_1-晉欣鮮食廠-2012年春節作業體制" xfId="79"/>
    <cellStyle name="_excel報告書_97年春節保全回收報告書_Book1" xfId="80"/>
    <cellStyle name="_excel報告書_97年春節保全回收報告書_Book1_1-晉欣鮮食廠-2012年春節作業體制" xfId="81"/>
    <cellStyle name="_excel報告書_97年春節保全回收報告書_春節作業手冊-981217" xfId="82"/>
    <cellStyle name="_excel報告書_97年春節保全回收報告書_春節作業手冊-981217_1-晉欣鮮食廠-2012年春節作業體制" xfId="83"/>
    <cellStyle name="_excel報告書_97年營業競賽提案報告書" xfId="84"/>
    <cellStyle name="_excel報告書_97年營業競賽提案報告書_1-晉欣鮮食廠-2012年春節作業體制" xfId="85"/>
    <cellStyle name="_excel報告書_97年營業競賽提案報告書_97年春節保全回收報告書" xfId="86"/>
    <cellStyle name="_excel報告書_97年營業競賽提案報告書_97年春節保全回收報告書_1-晉欣鮮食廠-2012年春節作業體制" xfId="87"/>
    <cellStyle name="_excel報告書_97年營業競賽提案報告書_97年春節保全回收報告書_Book1" xfId="88"/>
    <cellStyle name="_excel報告書_97年營業競賽提案報告書_97年春節保全回收報告書_Book1_1-晉欣鮮食廠-2012年春節作業體制" xfId="89"/>
    <cellStyle name="_excel報告書_97年營業競賽提案報告書_97年春節保全回收報告書_春節作業手冊-981217" xfId="90"/>
    <cellStyle name="_excel報告書_97年營業競賽提案報告書_97年春節保全回收報告書_春節作業手冊-981217_1-晉欣鮮食廠-2012年春節作業體制" xfId="91"/>
    <cellStyle name="_excel報告書_97年營業競賽提案報告書_97年營業競賽提案報告書" xfId="92"/>
    <cellStyle name="_excel報告書_97年營業競賽提案報告書_97年營業競賽提案報告書_1-晉欣鮮食廠-2012年春節作業體制" xfId="93"/>
    <cellStyle name="_excel報告書_97年營業競賽提案報告書_97年營業競賽提案報告書_97年春節保全回收報告書" xfId="94"/>
    <cellStyle name="_excel報告書_97年營業競賽提案報告書_97年營業競賽提案報告書_97年春節保全回收報告書_1-晉欣鮮食廠-2012年春節作業體制" xfId="95"/>
    <cellStyle name="_excel報告書_97年營業競賽提案報告書_97年營業競賽提案報告書_97年春節保全回收報告書_Book1" xfId="96"/>
    <cellStyle name="_excel報告書_97年營業競賽提案報告書_97年營業競賽提案報告書_97年春節保全回收報告書_Book1_1-晉欣鮮食廠-2012年春節作業體制" xfId="97"/>
    <cellStyle name="_excel報告書_97年營業競賽提案報告書_97年營業競賽提案報告書_97年春節保全回收報告書_春節作業手冊-981217" xfId="98"/>
    <cellStyle name="_excel報告書_97年營業競賽提案報告書_97年營業競賽提案報告書_97年春節保全回收報告書_春節作業手冊-981217_1-晉欣鮮食廠-2012年春節作業體制" xfId="99"/>
    <cellStyle name="_excel報告書_97年營業競賽提案報告書_97年營業競賽提案報告書_97年營業競賽提案報告書" xfId="100"/>
    <cellStyle name="_excel報告書_97年營業競賽提案報告書_97年營業競賽提案報告書_97年營業競賽提案報告書_1-晉欣鮮食廠-2012年春節作業體制" xfId="101"/>
    <cellStyle name="_excel報告書_97年營業競賽提案報告書_97年營業競賽提案報告書_97年營業競賽提案報告書_97年春節保全回收報告書" xfId="102"/>
    <cellStyle name="_excel報告書_97年營業競賽提案報告書_97年營業競賽提案報告書_97年營業競賽提案報告書_97年春節保全回收報告書_1-晉欣鮮食廠-2012年春節作業體制" xfId="103"/>
    <cellStyle name="_excel報告書_97年營業競賽提案報告書_97年營業競賽提案報告書_97年營業競賽提案報告書_97年春節保全回收報告書_Book1" xfId="104"/>
    <cellStyle name="_excel報告書_97年營業競賽提案報告書_97年營業競賽提案報告書_97年營業競賽提案報告書_97年春節保全回收報告書_Book1_1-晉欣鮮食廠-2012年春節作業體制" xfId="105"/>
    <cellStyle name="_excel報告書_97年營業競賽提案報告書_97年營業競賽提案報告書_97年營業競賽提案報告書_97年春節保全回收報告書_春節作業手冊-981217" xfId="106"/>
    <cellStyle name="_excel報告書_97年營業競賽提案報告書_97年營業競賽提案報告書_97年營業競賽提案報告書_97年春節保全回收報告書_春節作業手冊-981217_1-晉欣鮮食廠-2012年春節作業體制" xfId="107"/>
    <cellStyle name="_excel報告書_97年營業競賽提案報告書_97年營業競賽提案報告書_97年營業競賽提案報告書_Book1" xfId="108"/>
    <cellStyle name="_excel報告書_97年營業競賽提案報告書_97年營業競賽提案報告書_97年營業競賽提案報告書_Book1_1-晉欣鮮食廠-2012年春節作業體制" xfId="109"/>
    <cellStyle name="_excel報告書_97年營業競賽提案報告書_97年營業競賽提案報告書_97年營業競賽提案報告書_春節作業手冊-981217" xfId="110"/>
    <cellStyle name="_excel報告書_97年營業競賽提案報告書_97年營業競賽提案報告書_97年營業競賽提案報告書_春節作業手冊-981217_1-晉欣鮮食廠-2012年春節作業體制" xfId="111"/>
    <cellStyle name="_excel報告書_97年營業競賽提案報告書_97年營業競賽提案報告書_Book1" xfId="112"/>
    <cellStyle name="_excel報告書_97年營業競賽提案報告書_97年營業競賽提案報告書_Book1_1-晉欣鮮食廠-2012年春節作業體制" xfId="113"/>
    <cellStyle name="_excel報告書_97年營業競賽提案報告書_97年營業競賽提案報告書_春節作業手冊-981217" xfId="114"/>
    <cellStyle name="_excel報告書_97年營業競賽提案報告書_97年營業競賽提案報告書_春節作業手冊-981217_1-晉欣鮮食廠-2012年春節作業體制" xfId="115"/>
    <cellStyle name="_excel報告書_97年營業競賽提案報告書_Book1" xfId="116"/>
    <cellStyle name="_excel報告書_97年營業競賽提案報告書_Book1_1-晉欣鮮食廠-2012年春節作業體制" xfId="117"/>
    <cellStyle name="_excel報告書_97年營業競賽提案報告書_春節作業手冊-981217" xfId="118"/>
    <cellStyle name="_excel報告書_97年營業競賽提案報告書_春節作業手冊-981217_1-晉欣鮮食廠-2012年春節作業體制" xfId="119"/>
    <cellStyle name="_excel報告書_Book1" xfId="120"/>
    <cellStyle name="_excel報告書_Book1_1-晉欣鮮食廠-2012年春節作業體制" xfId="121"/>
    <cellStyle name="_excel報告書_春節作業手冊-981217" xfId="122"/>
    <cellStyle name="_excel報告書_春節作業手冊-981217_1-晉欣鮮食廠-2012年春節作業體制" xfId="123"/>
    <cellStyle name="_日翊98年春節作業-To毓琦" xfId="124"/>
    <cellStyle name="_封閉型商圈日商" xfId="125"/>
    <cellStyle name="_封閉型商圈日商_1-晉欣鮮食廠-2012年春節作業體制" xfId="126"/>
    <cellStyle name="_封閉型商圈日商_97年春節保全回收報告書" xfId="127"/>
    <cellStyle name="_封閉型商圈日商_97年春節保全回收報告書_1-晉欣鮮食廠-2012年春節作業體制" xfId="128"/>
    <cellStyle name="_封閉型商圈日商_97年春節保全回收報告書_Book1" xfId="129"/>
    <cellStyle name="_封閉型商圈日商_97年春節保全回收報告書_Book1_1-晉欣鮮食廠-2012年春節作業體制" xfId="130"/>
    <cellStyle name="_封閉型商圈日商_97年春節保全回收報告書_春節作業手冊-981217" xfId="131"/>
    <cellStyle name="_封閉型商圈日商_97年春節保全回收報告書_春節作業手冊-981217_1-晉欣鮮食廠-2012年春節作業體制" xfId="132"/>
    <cellStyle name="_封閉型商圈日商_97年營業競賽提案報告書" xfId="133"/>
    <cellStyle name="_封閉型商圈日商_97年營業競賽提案報告書_1-晉欣鮮食廠-2012年春節作業體制" xfId="134"/>
    <cellStyle name="_封閉型商圈日商_97年營業競賽提案報告書_97年春節保全回收報告書" xfId="135"/>
    <cellStyle name="_封閉型商圈日商_97年營業競賽提案報告書_97年春節保全回收報告書_1-晉欣鮮食廠-2012年春節作業體制" xfId="136"/>
    <cellStyle name="_封閉型商圈日商_97年營業競賽提案報告書_97年春節保全回收報告書_Book1" xfId="137"/>
    <cellStyle name="_封閉型商圈日商_97年營業競賽提案報告書_97年春節保全回收報告書_Book1_1-晉欣鮮食廠-2012年春節作業體制" xfId="138"/>
    <cellStyle name="_封閉型商圈日商_97年營業競賽提案報告書_97年春節保全回收報告書_春節作業手冊-981217" xfId="139"/>
    <cellStyle name="_封閉型商圈日商_97年營業競賽提案報告書_97年春節保全回收報告書_春節作業手冊-981217_1-晉欣鮮食廠-2012年春節作業體制" xfId="140"/>
    <cellStyle name="_封閉型商圈日商_97年營業競賽提案報告書_97年營業競賽提案報告書" xfId="141"/>
    <cellStyle name="_封閉型商圈日商_97年營業競賽提案報告書_97年營業競賽提案報告書_1-晉欣鮮食廠-2012年春節作業體制" xfId="142"/>
    <cellStyle name="_封閉型商圈日商_97年營業競賽提案報告書_97年營業競賽提案報告書_97年春節保全回收報告書" xfId="143"/>
    <cellStyle name="_封閉型商圈日商_97年營業競賽提案報告書_97年營業競賽提案報告書_97年春節保全回收報告書_1-晉欣鮮食廠-2012年春節作業體制" xfId="144"/>
    <cellStyle name="_封閉型商圈日商_97年營業競賽提案報告書_97年營業競賽提案報告書_97年春節保全回收報告書_Book1" xfId="145"/>
    <cellStyle name="_封閉型商圈日商_97年營業競賽提案報告書_97年營業競賽提案報告書_97年春節保全回收報告書_Book1_1-晉欣鮮食廠-2012年春節作業體制" xfId="146"/>
    <cellStyle name="_封閉型商圈日商_97年營業競賽提案報告書_97年營業競賽提案報告書_97年春節保全回收報告書_春節作業手冊-981217" xfId="147"/>
    <cellStyle name="_封閉型商圈日商_97年營業競賽提案報告書_97年營業競賽提案報告書_97年春節保全回收報告書_春節作業手冊-981217_1-晉欣鮮食廠-2012年春節作業體制" xfId="148"/>
    <cellStyle name="_封閉型商圈日商_97年營業競賽提案報告書_97年營業競賽提案報告書_97年營業競賽提案報告書" xfId="149"/>
    <cellStyle name="_封閉型商圈日商_97年營業競賽提案報告書_97年營業競賽提案報告書_97年營業競賽提案報告書_1-晉欣鮮食廠-2012年春節作業體制" xfId="150"/>
    <cellStyle name="_封閉型商圈日商_97年營業競賽提案報告書_97年營業競賽提案報告書_97年營業競賽提案報告書_97年春節保全回收報告書" xfId="151"/>
    <cellStyle name="_封閉型商圈日商_97年營業競賽提案報告書_97年營業競賽提案報告書_97年營業競賽提案報告書_97年春節保全回收報告書_1-晉欣鮮食廠-2012年春節作業體制" xfId="152"/>
    <cellStyle name="_封閉型商圈日商_97年營業競賽提案報告書_97年營業競賽提案報告書_97年營業競賽提案報告書_97年春節保全回收報告書_Book1" xfId="153"/>
    <cellStyle name="_封閉型商圈日商_97年營業競賽提案報告書_97年營業競賽提案報告書_97年營業競賽提案報告書_97年春節保全回收報告書_Book1_1-晉欣鮮食廠-2012年春節作業體制" xfId="154"/>
    <cellStyle name="_封閉型商圈日商_97年營業競賽提案報告書_97年營業競賽提案報告書_97年營業競賽提案報告書_97年春節保全回收報告書_春節作業手冊-981217" xfId="155"/>
    <cellStyle name="_封閉型商圈日商_97年營業競賽提案報告書_97年營業競賽提案報告書_97年營業競賽提案報告書_97年春節保全回收報告書_春節作業手冊-981217_1-晉欣鮮食廠-2012年春節作業體制" xfId="156"/>
    <cellStyle name="_封閉型商圈日商_97年營業競賽提案報告書_97年營業競賽提案報告書_97年營業競賽提案報告書_Book1" xfId="157"/>
    <cellStyle name="_封閉型商圈日商_97年營業競賽提案報告書_97年營業競賽提案報告書_97年營業競賽提案報告書_Book1_1-晉欣鮮食廠-2012年春節作業體制" xfId="158"/>
    <cellStyle name="_封閉型商圈日商_97年營業競賽提案報告書_97年營業競賽提案報告書_97年營業競賽提案報告書_春節作業手冊-981217" xfId="159"/>
    <cellStyle name="_封閉型商圈日商_97年營業競賽提案報告書_97年營業競賽提案報告書_97年營業競賽提案報告書_春節作業手冊-981217_1-晉欣鮮食廠-2012年春節作業體制" xfId="160"/>
    <cellStyle name="_封閉型商圈日商_97年營業競賽提案報告書_97年營業競賽提案報告書_Book1" xfId="161"/>
    <cellStyle name="_封閉型商圈日商_97年營業競賽提案報告書_97年營業競賽提案報告書_Book1_1-晉欣鮮食廠-2012年春節作業體制" xfId="162"/>
    <cellStyle name="_封閉型商圈日商_97年營業競賽提案報告書_97年營業競賽提案報告書_春節作業手冊-981217" xfId="163"/>
    <cellStyle name="_封閉型商圈日商_97年營業競賽提案報告書_97年營業競賽提案報告書_春節作業手冊-981217_1-晉欣鮮食廠-2012年春節作業體制" xfId="164"/>
    <cellStyle name="_封閉型商圈日商_97年營業競賽提案報告書_Book1" xfId="165"/>
    <cellStyle name="_封閉型商圈日商_97年營業競賽提案報告書_Book1_1-晉欣鮮食廠-2012年春節作業體制" xfId="166"/>
    <cellStyle name="_封閉型商圈日商_97年營業競賽提案報告書_春節作業手冊-981217" xfId="167"/>
    <cellStyle name="_封閉型商圈日商_97年營業競賽提案報告書_春節作業手冊-981217_1-晉欣鮮食廠-2012年春節作業體制" xfId="168"/>
    <cellStyle name="_封閉型商圈日商_Book1" xfId="169"/>
    <cellStyle name="_封閉型商圈日商_Book1_1-晉欣鮮食廠-2012年春節作業體制" xfId="170"/>
    <cellStyle name="_封閉型商圈日商_春節作業手冊-981217" xfId="171"/>
    <cellStyle name="_封閉型商圈日商_春節作業手冊-981217_1-晉欣鮮食廠-2012年春節作業體制" xfId="172"/>
    <cellStyle name="_封閉型商圈日商-1" xfId="173"/>
    <cellStyle name="_封閉型商圈日商-1_1-晉欣鮮食廠-2012年春節作業體制" xfId="174"/>
    <cellStyle name="_封閉型商圈日商-1_97年春節保全回收報告書" xfId="175"/>
    <cellStyle name="_封閉型商圈日商-1_97年春節保全回收報告書_1-晉欣鮮食廠-2012年春節作業體制" xfId="176"/>
    <cellStyle name="_封閉型商圈日商-1_97年春節保全回收報告書_Book1" xfId="177"/>
    <cellStyle name="_封閉型商圈日商-1_97年春節保全回收報告書_Book1_1-晉欣鮮食廠-2012年春節作業體制" xfId="178"/>
    <cellStyle name="_封閉型商圈日商-1_97年春節保全回收報告書_春節作業手冊-981217" xfId="179"/>
    <cellStyle name="_封閉型商圈日商-1_97年春節保全回收報告書_春節作業手冊-981217_1-晉欣鮮食廠-2012年春節作業體制" xfId="180"/>
    <cellStyle name="_封閉型商圈日商-1_97年營業競賽提案報告書" xfId="181"/>
    <cellStyle name="_封閉型商圈日商-1_97年營業競賽提案報告書_1-晉欣鮮食廠-2012年春節作業體制" xfId="182"/>
    <cellStyle name="_封閉型商圈日商-1_97年營業競賽提案報告書_97年春節保全回收報告書" xfId="183"/>
    <cellStyle name="_封閉型商圈日商-1_97年營業競賽提案報告書_97年春節保全回收報告書_1-晉欣鮮食廠-2012年春節作業體制" xfId="184"/>
    <cellStyle name="_封閉型商圈日商-1_97年營業競賽提案報告書_97年春節保全回收報告書_Book1" xfId="185"/>
    <cellStyle name="_封閉型商圈日商-1_97年營業競賽提案報告書_97年春節保全回收報告書_Book1_1-晉欣鮮食廠-2012年春節作業體制" xfId="186"/>
    <cellStyle name="_封閉型商圈日商-1_97年營業競賽提案報告書_97年春節保全回收報告書_春節作業手冊-981217" xfId="187"/>
    <cellStyle name="_封閉型商圈日商-1_97年營業競賽提案報告書_97年春節保全回收報告書_春節作業手冊-981217_1-晉欣鮮食廠-2012年春節作業體制" xfId="188"/>
    <cellStyle name="_封閉型商圈日商-1_97年營業競賽提案報告書_97年營業競賽提案報告書" xfId="189"/>
    <cellStyle name="_封閉型商圈日商-1_97年營業競賽提案報告書_97年營業競賽提案報告書_1-晉欣鮮食廠-2012年春節作業體制" xfId="190"/>
    <cellStyle name="_封閉型商圈日商-1_97年營業競賽提案報告書_97年營業競賽提案報告書_97年春節保全回收報告書" xfId="191"/>
    <cellStyle name="_封閉型商圈日商-1_97年營業競賽提案報告書_97年營業競賽提案報告書_97年春節保全回收報告書_1-晉欣鮮食廠-2012年春節作業體制" xfId="192"/>
    <cellStyle name="_封閉型商圈日商-1_97年營業競賽提案報告書_97年營業競賽提案報告書_97年春節保全回收報告書_Book1" xfId="193"/>
    <cellStyle name="_封閉型商圈日商-1_97年營業競賽提案報告書_97年營業競賽提案報告書_97年春節保全回收報告書_Book1_1-晉欣鮮食廠-2012年春節作業體制" xfId="194"/>
    <cellStyle name="_封閉型商圈日商-1_97年營業競賽提案報告書_97年營業競賽提案報告書_97年春節保全回收報告書_春節作業手冊-981217" xfId="195"/>
    <cellStyle name="_封閉型商圈日商-1_97年營業競賽提案報告書_97年營業競賽提案報告書_97年春節保全回收報告書_春節作業手冊-981217_1-晉欣鮮食廠-2012年春節作業體制" xfId="196"/>
    <cellStyle name="_封閉型商圈日商-1_97年營業競賽提案報告書_97年營業競賽提案報告書_97年營業競賽提案報告書" xfId="197"/>
    <cellStyle name="_封閉型商圈日商-1_97年營業競賽提案報告書_97年營業競賽提案報告書_97年營業競賽提案報告書_1-晉欣鮮食廠-2012年春節作業體制" xfId="198"/>
    <cellStyle name="_封閉型商圈日商-1_97年營業競賽提案報告書_97年營業競賽提案報告書_97年營業競賽提案報告書_97年春節保全回收報告書" xfId="199"/>
    <cellStyle name="_封閉型商圈日商-1_97年營業競賽提案報告書_97年營業競賽提案報告書_97年營業競賽提案報告書_97年春節保全回收報告書_1-晉欣鮮食廠-2012年春節作業體制" xfId="200"/>
    <cellStyle name="_封閉型商圈日商-1_97年營業競賽提案報告書_97年營業競賽提案報告書_97年營業競賽提案報告書_97年春節保全回收報告書_Book1" xfId="201"/>
    <cellStyle name="_封閉型商圈日商-1_97年營業競賽提案報告書_97年營業競賽提案報告書_97年營業競賽提案報告書_97年春節保全回收報告書_Book1_1-晉欣鮮食廠-2012年春節作業體制" xfId="202"/>
    <cellStyle name="_封閉型商圈日商-1_97年營業競賽提案報告書_97年營業競賽提案報告書_97年營業競賽提案報告書_97年春節保全回收報告書_春節作業手冊-981217" xfId="203"/>
    <cellStyle name="_封閉型商圈日商-1_97年營業競賽提案報告書_97年營業競賽提案報告書_97年營業競賽提案報告書_97年春節保全回收報告書_春節作業手冊-981217_1-晉欣鮮食廠-2012年春節作業體制" xfId="204"/>
    <cellStyle name="_封閉型商圈日商-1_97年營業競賽提案報告書_97年營業競賽提案報告書_97年營業競賽提案報告書_Book1" xfId="205"/>
    <cellStyle name="_封閉型商圈日商-1_97年營業競賽提案報告書_97年營業競賽提案報告書_97年營業競賽提案報告書_Book1_1-晉欣鮮食廠-2012年春節作業體制" xfId="206"/>
    <cellStyle name="_封閉型商圈日商-1_97年營業競賽提案報告書_97年營業競賽提案報告書_97年營業競賽提案報告書_春節作業手冊-981217" xfId="207"/>
    <cellStyle name="_封閉型商圈日商-1_97年營業競賽提案報告書_97年營業競賽提案報告書_97年營業競賽提案報告書_春節作業手冊-981217_1-晉欣鮮食廠-2012年春節作業體制" xfId="208"/>
    <cellStyle name="_封閉型商圈日商-1_97年營業競賽提案報告書_97年營業競賽提案報告書_Book1" xfId="209"/>
    <cellStyle name="_封閉型商圈日商-1_97年營業競賽提案報告書_97年營業競賽提案報告書_Book1_1-晉欣鮮食廠-2012年春節作業體制" xfId="210"/>
    <cellStyle name="_封閉型商圈日商-1_97年營業競賽提案報告書_97年營業競賽提案報告書_春節作業手冊-981217" xfId="211"/>
    <cellStyle name="_封閉型商圈日商-1_97年營業競賽提案報告書_97年營業競賽提案報告書_春節作業手冊-981217_1-晉欣鮮食廠-2012年春節作業體制" xfId="212"/>
    <cellStyle name="_封閉型商圈日商-1_97年營業競賽提案報告書_Book1" xfId="213"/>
    <cellStyle name="_封閉型商圈日商-1_97年營業競賽提案報告書_Book1_1-晉欣鮮食廠-2012年春節作業體制" xfId="214"/>
    <cellStyle name="_封閉型商圈日商-1_97年營業競賽提案報告書_春節作業手冊-981217" xfId="215"/>
    <cellStyle name="_封閉型商圈日商-1_97年營業競賽提案報告書_春節作業手冊-981217_1-晉欣鮮食廠-2012年春節作業體制" xfId="216"/>
    <cellStyle name="_封閉型商圈日商-1_Book1" xfId="217"/>
    <cellStyle name="_封閉型商圈日商-1_Book1_1-晉欣鮮食廠-2012年春節作業體制" xfId="218"/>
    <cellStyle name="_封閉型商圈日商-1_春節作業手冊-981217" xfId="219"/>
    <cellStyle name="_封閉型商圈日商-1_春節作業手冊-981217_1-晉欣鮮食廠-2012年春節作業體制" xfId="220"/>
    <cellStyle name="_封閉型商圈店舖明細" xfId="221"/>
    <cellStyle name="_封閉型商圈店舖明細_1-晉欣鮮食廠-2012年春節作業體制" xfId="222"/>
    <cellStyle name="_封閉型商圈店舖明細_97年春節保全回收報告書" xfId="223"/>
    <cellStyle name="_封閉型商圈店舖明細_97年春節保全回收報告書_1-晉欣鮮食廠-2012年春節作業體制" xfId="224"/>
    <cellStyle name="_封閉型商圈店舖明細_97年春節保全回收報告書_Book1" xfId="225"/>
    <cellStyle name="_封閉型商圈店舖明細_97年春節保全回收報告書_Book1_1-晉欣鮮食廠-2012年春節作業體制" xfId="226"/>
    <cellStyle name="_封閉型商圈店舖明細_97年春節保全回收報告書_春節作業手冊-981217" xfId="227"/>
    <cellStyle name="_封閉型商圈店舖明細_97年春節保全回收報告書_春節作業手冊-981217_1-晉欣鮮食廠-2012年春節作業體制" xfId="228"/>
    <cellStyle name="_封閉型商圈店舖明細_97年營業競賽提案報告書" xfId="229"/>
    <cellStyle name="_封閉型商圈店舖明細_97年營業競賽提案報告書_1-晉欣鮮食廠-2012年春節作業體制" xfId="230"/>
    <cellStyle name="_封閉型商圈店舖明細_97年營業競賽提案報告書_97年春節保全回收報告書" xfId="231"/>
    <cellStyle name="_封閉型商圈店舖明細_97年營業競賽提案報告書_97年春節保全回收報告書_1-晉欣鮮食廠-2012年春節作業體制" xfId="232"/>
    <cellStyle name="_封閉型商圈店舖明細_97年營業競賽提案報告書_97年春節保全回收報告書_Book1" xfId="233"/>
    <cellStyle name="_封閉型商圈店舖明細_97年營業競賽提案報告書_97年春節保全回收報告書_Book1_1-晉欣鮮食廠-2012年春節作業體制" xfId="234"/>
    <cellStyle name="_封閉型商圈店舖明細_97年營業競賽提案報告書_97年春節保全回收報告書_春節作業手冊-981217" xfId="235"/>
    <cellStyle name="_封閉型商圈店舖明細_97年營業競賽提案報告書_97年春節保全回收報告書_春節作業手冊-981217_1-晉欣鮮食廠-2012年春節作業體制" xfId="236"/>
    <cellStyle name="_封閉型商圈店舖明細_97年營業競賽提案報告書_97年營業競賽提案報告書" xfId="237"/>
    <cellStyle name="_封閉型商圈店舖明細_97年營業競賽提案報告書_97年營業競賽提案報告書_1-晉欣鮮食廠-2012年春節作業體制" xfId="238"/>
    <cellStyle name="_封閉型商圈店舖明細_97年營業競賽提案報告書_97年營業競賽提案報告書_97年春節保全回收報告書" xfId="239"/>
    <cellStyle name="_封閉型商圈店舖明細_97年營業競賽提案報告書_97年營業競賽提案報告書_97年春節保全回收報告書_1-晉欣鮮食廠-2012年春節作業體制" xfId="240"/>
    <cellStyle name="_封閉型商圈店舖明細_97年營業競賽提案報告書_97年營業競賽提案報告書_97年春節保全回收報告書_Book1" xfId="241"/>
    <cellStyle name="_封閉型商圈店舖明細_97年營業競賽提案報告書_97年營業競賽提案報告書_97年春節保全回收報告書_Book1_1-晉欣鮮食廠-2012年春節作業體制" xfId="242"/>
    <cellStyle name="_封閉型商圈店舖明細_97年營業競賽提案報告書_97年營業競賽提案報告書_97年春節保全回收報告書_春節作業手冊-981217" xfId="243"/>
    <cellStyle name="_封閉型商圈店舖明細_97年營業競賽提案報告書_97年營業競賽提案報告書_97年春節保全回收報告書_春節作業手冊-981217_1-晉欣鮮食廠-2012年春節作業體制" xfId="244"/>
    <cellStyle name="_封閉型商圈店舖明細_97年營業競賽提案報告書_97年營業競賽提案報告書_97年營業競賽提案報告書" xfId="245"/>
    <cellStyle name="_封閉型商圈店舖明細_97年營業競賽提案報告書_97年營業競賽提案報告書_97年營業競賽提案報告書_1-晉欣鮮食廠-2012年春節作業體制" xfId="246"/>
    <cellStyle name="_封閉型商圈店舖明細_97年營業競賽提案報告書_97年營業競賽提案報告書_97年營業競賽提案報告書_97年春節保全回收報告書" xfId="247"/>
    <cellStyle name="_封閉型商圈店舖明細_97年營業競賽提案報告書_97年營業競賽提案報告書_97年營業競賽提案報告書_97年春節保全回收報告書_1-晉欣鮮食廠-2012年春節作業體制" xfId="248"/>
    <cellStyle name="_封閉型商圈店舖明細_97年營業競賽提案報告書_97年營業競賽提案報告書_97年營業競賽提案報告書_97年春節保全回收報告書_Book1" xfId="249"/>
    <cellStyle name="_封閉型商圈店舖明細_97年營業競賽提案報告書_97年營業競賽提案報告書_97年營業競賽提案報告書_97年春節保全回收報告書_Book1_1-晉欣鮮食廠-2012年春節作業體制" xfId="250"/>
    <cellStyle name="_封閉型商圈店舖明細_97年營業競賽提案報告書_97年營業競賽提案報告書_97年營業競賽提案報告書_97年春節保全回收報告書_春節作業手冊-981217" xfId="251"/>
    <cellStyle name="_封閉型商圈店舖明細_97年營業競賽提案報告書_97年營業競賽提案報告書_97年營業競賽提案報告書_97年春節保全回收報告書_春節作業手冊-981217_1-晉欣鮮食廠-2012年春節作業體制" xfId="252"/>
    <cellStyle name="_封閉型商圈店舖明細_97年營業競賽提案報告書_97年營業競賽提案報告書_97年營業競賽提案報告書_Book1" xfId="253"/>
    <cellStyle name="_封閉型商圈店舖明細_97年營業競賽提案報告書_97年營業競賽提案報告書_97年營業競賽提案報告書_Book1_1-晉欣鮮食廠-2012年春節作業體制" xfId="254"/>
    <cellStyle name="_封閉型商圈店舖明細_97年營業競賽提案報告書_97年營業競賽提案報告書_97年營業競賽提案報告書_春節作業手冊-981217" xfId="255"/>
    <cellStyle name="_封閉型商圈店舖明細_97年營業競賽提案報告書_97年營業競賽提案報告書_97年營業競賽提案報告書_春節作業手冊-981217_1-晉欣鮮食廠-2012年春節作業體制" xfId="256"/>
    <cellStyle name="_封閉型商圈店舖明細_97年營業競賽提案報告書_97年營業競賽提案報告書_Book1" xfId="257"/>
    <cellStyle name="_封閉型商圈店舖明細_97年營業競賽提案報告書_97年營業競賽提案報告書_Book1_1-晉欣鮮食廠-2012年春節作業體制" xfId="258"/>
    <cellStyle name="_封閉型商圈店舖明細_97年營業競賽提案報告書_97年營業競賽提案報告書_春節作業手冊-981217" xfId="259"/>
    <cellStyle name="_封閉型商圈店舖明細_97年營業競賽提案報告書_97年營業競賽提案報告書_春節作業手冊-981217_1-晉欣鮮食廠-2012年春節作業體制" xfId="260"/>
    <cellStyle name="_封閉型商圈店舖明細_97年營業競賽提案報告書_Book1" xfId="261"/>
    <cellStyle name="_封閉型商圈店舖明細_97年營業競賽提案報告書_Book1_1-晉欣鮮食廠-2012年春節作業體制" xfId="262"/>
    <cellStyle name="_封閉型商圈店舖明細_97年營業競賽提案報告書_春節作業手冊-981217" xfId="263"/>
    <cellStyle name="_封閉型商圈店舖明細_97年營業競賽提案報告書_春節作業手冊-981217_1-晉欣鮮食廠-2012年春節作業體制" xfId="264"/>
    <cellStyle name="_封閉型商圈店舖明細_Book1" xfId="265"/>
    <cellStyle name="_封閉型商圈店舖明細_Book1_1-晉欣鮮食廠-2012年春節作業體制" xfId="266"/>
    <cellStyle name="_封閉型商圈店舖明細_春節作業手冊-981217" xfId="267"/>
    <cellStyle name="_封閉型商圈店舖明細_春節作業手冊-981217_1-晉欣鮮食廠-2012年春節作業體制" xfId="268"/>
    <cellStyle name="_封閉型商圈建議台整品項" xfId="269"/>
    <cellStyle name="_封閉型商圈建議台整品項_1-晉欣鮮食廠-2012年春節作業體制" xfId="270"/>
    <cellStyle name="_封閉型商圈建議台整品項_97年春節保全回收報告書" xfId="271"/>
    <cellStyle name="_封閉型商圈建議台整品項_97年春節保全回收報告書_1-晉欣鮮食廠-2012年春節作業體制" xfId="272"/>
    <cellStyle name="_封閉型商圈建議台整品項_97年春節保全回收報告書_Book1" xfId="273"/>
    <cellStyle name="_封閉型商圈建議台整品項_97年春節保全回收報告書_Book1_1-晉欣鮮食廠-2012年春節作業體制" xfId="274"/>
    <cellStyle name="_封閉型商圈建議台整品項_97年春節保全回收報告書_春節作業手冊-981217" xfId="275"/>
    <cellStyle name="_封閉型商圈建議台整品項_97年春節保全回收報告書_春節作業手冊-981217_1-晉欣鮮食廠-2012年春節作業體制" xfId="276"/>
    <cellStyle name="_封閉型商圈建議台整品項_97年營業競賽提案報告書" xfId="277"/>
    <cellStyle name="_封閉型商圈建議台整品項_97年營業競賽提案報告書_1-晉欣鮮食廠-2012年春節作業體制" xfId="278"/>
    <cellStyle name="_封閉型商圈建議台整品項_97年營業競賽提案報告書_97年春節保全回收報告書" xfId="279"/>
    <cellStyle name="_封閉型商圈建議台整品項_97年營業競賽提案報告書_97年春節保全回收報告書_1-晉欣鮮食廠-2012年春節作業體制" xfId="280"/>
    <cellStyle name="_封閉型商圈建議台整品項_97年營業競賽提案報告書_97年春節保全回收報告書_Book1" xfId="281"/>
    <cellStyle name="_封閉型商圈建議台整品項_97年營業競賽提案報告書_97年春節保全回收報告書_Book1_1-晉欣鮮食廠-2012年春節作業體制" xfId="282"/>
    <cellStyle name="_封閉型商圈建議台整品項_97年營業競賽提案報告書_97年春節保全回收報告書_春節作業手冊-981217" xfId="283"/>
    <cellStyle name="_封閉型商圈建議台整品項_97年營業競賽提案報告書_97年春節保全回收報告書_春節作業手冊-981217_1-晉欣鮮食廠-2012年春節作業體制" xfId="284"/>
    <cellStyle name="_封閉型商圈建議台整品項_97年營業競賽提案報告書_97年營業競賽提案報告書" xfId="285"/>
    <cellStyle name="_封閉型商圈建議台整品項_97年營業競賽提案報告書_97年營業競賽提案報告書_1-晉欣鮮食廠-2012年春節作業體制" xfId="286"/>
    <cellStyle name="_封閉型商圈建議台整品項_97年營業競賽提案報告書_97年營業競賽提案報告書_97年春節保全回收報告書" xfId="287"/>
    <cellStyle name="_封閉型商圈建議台整品項_97年營業競賽提案報告書_97年營業競賽提案報告書_97年春節保全回收報告書_1-晉欣鮮食廠-2012年春節作業體制" xfId="288"/>
    <cellStyle name="_封閉型商圈建議台整品項_97年營業競賽提案報告書_97年營業競賽提案報告書_97年春節保全回收報告書_Book1" xfId="289"/>
    <cellStyle name="_封閉型商圈建議台整品項_97年營業競賽提案報告書_97年營業競賽提案報告書_97年春節保全回收報告書_Book1_1-晉欣鮮食廠-2012年春節作業體制" xfId="290"/>
    <cellStyle name="_封閉型商圈建議台整品項_97年營業競賽提案報告書_97年營業競賽提案報告書_97年春節保全回收報告書_春節作業手冊-981217" xfId="291"/>
    <cellStyle name="_封閉型商圈建議台整品項_97年營業競賽提案報告書_97年營業競賽提案報告書_97年春節保全回收報告書_春節作業手冊-981217_1-晉欣鮮食廠-2012年春節作業體制" xfId="292"/>
    <cellStyle name="_封閉型商圈建議台整品項_97年營業競賽提案報告書_97年營業競賽提案報告書_97年營業競賽提案報告書" xfId="293"/>
    <cellStyle name="_封閉型商圈建議台整品項_97年營業競賽提案報告書_97年營業競賽提案報告書_97年營業競賽提案報告書_1-晉欣鮮食廠-2012年春節作業體制" xfId="294"/>
    <cellStyle name="_封閉型商圈建議台整品項_97年營業競賽提案報告書_97年營業競賽提案報告書_97年營業競賽提案報告書_97年春節保全回收報告書" xfId="295"/>
    <cellStyle name="_封閉型商圈建議台整品項_97年營業競賽提案報告書_97年營業競賽提案報告書_97年營業競賽提案報告書_97年春節保全回收報告書_1-晉欣鮮食廠-2012年春節作業體制" xfId="296"/>
    <cellStyle name="_封閉型商圈建議台整品項_97年營業競賽提案報告書_97年營業競賽提案報告書_97年營業競賽提案報告書_97年春節保全回收報告書_Book1" xfId="297"/>
    <cellStyle name="_封閉型商圈建議台整品項_97年營業競賽提案報告書_97年營業競賽提案報告書_97年營業競賽提案報告書_97年春節保全回收報告書_Book1_1-晉欣鮮食廠-2012年春節作業體制" xfId="298"/>
    <cellStyle name="_封閉型商圈建議台整品項_97年營業競賽提案報告書_97年營業競賽提案報告書_97年營業競賽提案報告書_97年春節保全回收報告書_春節作業手冊-981217" xfId="299"/>
    <cellStyle name="_封閉型商圈建議台整品項_97年營業競賽提案報告書_97年營業競賽提案報告書_97年營業競賽提案報告書_97年春節保全回收報告書_春節作業手冊-981217_1-晉欣鮮食廠-2012年春節作業體制" xfId="300"/>
    <cellStyle name="_封閉型商圈建議台整品項_97年營業競賽提案報告書_97年營業競賽提案報告書_97年營業競賽提案報告書_Book1" xfId="301"/>
    <cellStyle name="_封閉型商圈建議台整品項_97年營業競賽提案報告書_97年營業競賽提案報告書_97年營業競賽提案報告書_Book1_1-晉欣鮮食廠-2012年春節作業體制" xfId="302"/>
    <cellStyle name="_封閉型商圈建議台整品項_97年營業競賽提案報告書_97年營業競賽提案報告書_97年營業競賽提案報告書_春節作業手冊-981217" xfId="303"/>
    <cellStyle name="_封閉型商圈建議台整品項_97年營業競賽提案報告書_97年營業競賽提案報告書_97年營業競賽提案報告書_春節作業手冊-981217_1-晉欣鮮食廠-2012年春節作業體制" xfId="304"/>
    <cellStyle name="_封閉型商圈建議台整品項_97年營業競賽提案報告書_97年營業競賽提案報告書_Book1" xfId="305"/>
    <cellStyle name="_封閉型商圈建議台整品項_97年營業競賽提案報告書_97年營業競賽提案報告書_Book1_1-晉欣鮮食廠-2012年春節作業體制" xfId="306"/>
    <cellStyle name="_封閉型商圈建議台整品項_97年營業競賽提案報告書_97年營業競賽提案報告書_春節作業手冊-981217" xfId="307"/>
    <cellStyle name="_封閉型商圈建議台整品項_97年營業競賽提案報告書_97年營業競賽提案報告書_春節作業手冊-981217_1-晉欣鮮食廠-2012年春節作業體制" xfId="308"/>
    <cellStyle name="_封閉型商圈建議台整品項_97年營業競賽提案報告書_Book1" xfId="309"/>
    <cellStyle name="_封閉型商圈建議台整品項_97年營業競賽提案報告書_Book1_1-晉欣鮮食廠-2012年春節作業體制" xfId="310"/>
    <cellStyle name="_封閉型商圈建議台整品項_97年營業競賽提案報告書_春節作業手冊-981217" xfId="311"/>
    <cellStyle name="_封閉型商圈建議台整品項_97年營業競賽提案報告書_春節作業手冊-981217_1-晉欣鮮食廠-2012年春節作業體制" xfId="312"/>
    <cellStyle name="_封閉型商圈建議台整品項_Book1" xfId="313"/>
    <cellStyle name="_封閉型商圈建議台整品項_Book1_1-晉欣鮮食廠-2012年春節作業體制" xfId="314"/>
    <cellStyle name="_封閉型商圈建議台整品項_春節作業手冊-981217" xfId="315"/>
    <cellStyle name="_封閉型商圈建議台整品項_春節作業手冊-981217_1-晉欣鮮食廠-2012年春節作業體制" xfId="316"/>
    <cellStyle name="_樂清9507租賃用品申請" xfId="317"/>
    <cellStyle name="_樂清9507租賃用品申請_1-晉欣鮮食廠-2012年春節作業體制" xfId="318"/>
    <cellStyle name="_樂清9507租賃用品申請_96年月餅預購競賽獎勵案" xfId="319"/>
    <cellStyle name="_樂清9507租賃用品申請_96年月餅預購競賽獎勵案_1-晉欣鮮食廠-2012年春節作業體制" xfId="320"/>
    <cellStyle name="_樂清9507租賃用品申請_96年月餅預購競賽獎勵案_96年月餅預購競賽獎勵案" xfId="321"/>
    <cellStyle name="_樂清9507租賃用品申請_96年月餅預購競賽獎勵案_96年月餅預購競賽獎勵案_1-晉欣鮮食廠-2012年春節作業體制" xfId="322"/>
    <cellStyle name="_樂清9507租賃用品申請_96年月餅預購競賽獎勵案_96年月餅預購競賽獎勵案_97年春節保全回收報告書" xfId="323"/>
    <cellStyle name="_樂清9507租賃用品申請_96年月餅預購競賽獎勵案_96年月餅預購競賽獎勵案_97年春節保全回收報告書_1-晉欣鮮食廠-2012年春節作業體制" xfId="324"/>
    <cellStyle name="_樂清9507租賃用品申請_96年月餅預購競賽獎勵案_96年月餅預購競賽獎勵案_97年春節保全回收報告書_Book1" xfId="325"/>
    <cellStyle name="_樂清9507租賃用品申請_96年月餅預購競賽獎勵案_96年月餅預購競賽獎勵案_97年春節保全回收報告書_Book1_1-晉欣鮮食廠-2012年春節作業體制" xfId="326"/>
    <cellStyle name="_樂清9507租賃用品申請_96年月餅預購競賽獎勵案_96年月餅預購競賽獎勵案_97年春節保全回收報告書_春節作業手冊-981217" xfId="327"/>
    <cellStyle name="_樂清9507租賃用品申請_96年月餅預購競賽獎勵案_96年月餅預購競賽獎勵案_97年春節保全回收報告書_春節作業手冊-981217_1-晉欣鮮食廠-2012年春節作業體制" xfId="328"/>
    <cellStyle name="_樂清9507租賃用品申請_96年月餅預購競賽獎勵案_96年月餅預購競賽獎勵案_97年營業競賽提案報告書" xfId="329"/>
    <cellStyle name="_樂清9507租賃用品申請_96年月餅預購競賽獎勵案_96年月餅預購競賽獎勵案_97年營業競賽提案報告書_1-晉欣鮮食廠-2012年春節作業體制" xfId="330"/>
    <cellStyle name="_樂清9507租賃用品申請_96年月餅預購競賽獎勵案_96年月餅預購競賽獎勵案_97年營業競賽提案報告書_97年春節保全回收報告書" xfId="331"/>
    <cellStyle name="_樂清9507租賃用品申請_96年月餅預購競賽獎勵案_96年月餅預購競賽獎勵案_97年營業競賽提案報告書_97年春節保全回收報告書_1-晉欣鮮食廠-2012年春節作業體制" xfId="332"/>
    <cellStyle name="_樂清9507租賃用品申請_96年月餅預購競賽獎勵案_96年月餅預購競賽獎勵案_97年營業競賽提案報告書_97年春節保全回收報告書_Book1" xfId="333"/>
    <cellStyle name="_樂清9507租賃用品申請_96年月餅預購競賽獎勵案_96年月餅預購競賽獎勵案_97年營業競賽提案報告書_97年春節保全回收報告書_Book1_1-晉欣鮮食廠-2012年春節作業體制" xfId="334"/>
    <cellStyle name="_樂清9507租賃用品申請_96年月餅預購競賽獎勵案_96年月餅預購競賽獎勵案_97年營業競賽提案報告書_97年春節保全回收報告書_春節作業手冊-981217" xfId="335"/>
    <cellStyle name="_樂清9507租賃用品申請_96年月餅預購競賽獎勵案_96年月餅預購競賽獎勵案_97年營業競賽提案報告書_97年春節保全回收報告書_春節作業手冊-981217_1-晉欣鮮食廠-2012年春節作業體制" xfId="336"/>
    <cellStyle name="_樂清9507租賃用品申請_96年月餅預購競賽獎勵案_96年月餅預購競賽獎勵案_97年營業競賽提案報告書_97年營業競賽提案報告書" xfId="337"/>
    <cellStyle name="_樂清9507租賃用品申請_96年月餅預購競賽獎勵案_96年月餅預購競賽獎勵案_97年營業競賽提案報告書_97年營業競賽提案報告書_1-晉欣鮮食廠-2012年春節作業體制" xfId="338"/>
    <cellStyle name="_樂清9507租賃用品申請_96年月餅預購競賽獎勵案_96年月餅預購競賽獎勵案_97年營業競賽提案報告書_97年營業競賽提案報告書_97年春節保全回收報告書" xfId="339"/>
    <cellStyle name="_樂清9507租賃用品申請_96年月餅預購競賽獎勵案_96年月餅預購競賽獎勵案_97年營業競賽提案報告書_97年營業競賽提案報告書_97年春節保全回收報告書_1-晉欣鮮食廠-2012年春節作業體制" xfId="340"/>
    <cellStyle name="_樂清9507租賃用品申請_96年月餅預購競賽獎勵案_96年月餅預購競賽獎勵案_97年營業競賽提案報告書_97年營業競賽提案報告書_97年春節保全回收報告書_Book1" xfId="341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/>
    <cellStyle name="_樂清9507租賃用品申請_96年月餅預購競賽獎勵案_96年月餅預購競賽獎勵案_97年營業競賽提案報告書_97年營業競賽提案報告書_97年春節保全回收報告書_春節作業手冊-981217" xfId="343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/>
    <cellStyle name="_樂清9507租賃用品申請_96年月餅預購競賽獎勵案_96年月餅預購競賽獎勵案_97年營業競賽提案報告書_97年營業競賽提案報告書_97年營業競賽提案報告書" xfId="345"/>
    <cellStyle name="_樂清9507租賃用品申請_96年月餅預購競賽獎勵案_96年月餅預購競賽獎勵案_97年營業競賽提案報告書_97年營業競賽提案報告書_97年營業競賽提案報告書_1-晉欣鮮食廠-2012年春節作業體制" xfId="346"/>
    <cellStyle name="_樂清9507租賃用品申請_96年月餅預購競賽獎勵案_96年月餅預購競賽獎勵案_97年營業競賽提案報告書_97年營業競賽提案報告書_97年營業競賽提案報告書_97年春節保全回收報告書" xfId="347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/>
    <cellStyle name="_樂清9507租賃用品申請_96年月餅預購競賽獎勵案_96年月餅預購競賽獎勵案_97年營業競賽提案報告書_97年營業競賽提案報告書_97年營業競賽提案報告書_97年春節保全回收報告書_Book1" xfId="349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/>
    <cellStyle name="_樂清9507租賃用品申請_96年月餅預購競賽獎勵案_96年月餅預購競賽獎勵案_97年營業競賽提案報告書_97年營業競賽提案報告書_97年營業競賽提案報告書_Book1" xfId="353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/>
    <cellStyle name="_樂清9507租賃用品申請_96年月餅預購競賽獎勵案_96年月餅預購競賽獎勵案_97年營業競賽提案報告書_97年營業競賽提案報告書_97年營業競賽提案報告書_春節作業手冊-981217" xfId="355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/>
    <cellStyle name="_樂清9507租賃用品申請_96年月餅預購競賽獎勵案_96年月餅預購競賽獎勵案_97年營業競賽提案報告書_97年營業競賽提案報告書_Book1" xfId="357"/>
    <cellStyle name="_樂清9507租賃用品申請_96年月餅預購競賽獎勵案_96年月餅預購競賽獎勵案_97年營業競賽提案報告書_97年營業競賽提案報告書_Book1_1-晉欣鮮食廠-2012年春節作業體制" xfId="358"/>
    <cellStyle name="_樂清9507租賃用品申請_96年月餅預購競賽獎勵案_96年月餅預購競賽獎勵案_97年營業競賽提案報告書_97年營業競賽提案報告書_春節作業手冊-981217" xfId="359"/>
    <cellStyle name="_樂清9507租賃用品申請_96年月餅預購競賽獎勵案_96年月餅預購競賽獎勵案_97年營業競賽提案報告書_97年營業競賽提案報告書_春節作業手冊-981217_1-晉欣鮮食廠-2012年春節作業體制" xfId="360"/>
    <cellStyle name="_樂清9507租賃用品申請_96年月餅預購競賽獎勵案_96年月餅預購競賽獎勵案_97年營業競賽提案報告書_Book1" xfId="361"/>
    <cellStyle name="_樂清9507租賃用品申請_96年月餅預購競賽獎勵案_96年月餅預購競賽獎勵案_97年營業競賽提案報告書_Book1_1-晉欣鮮食廠-2012年春節作業體制" xfId="362"/>
    <cellStyle name="_樂清9507租賃用品申請_96年月餅預購競賽獎勵案_96年月餅預購競賽獎勵案_97年營業競賽提案報告書_春節作業手冊-981217" xfId="363"/>
    <cellStyle name="_樂清9507租賃用品申請_96年月餅預購競賽獎勵案_96年月餅預購競賽獎勵案_97年營業競賽提案報告書_春節作業手冊-981217_1-晉欣鮮食廠-2012年春節作業體制" xfId="364"/>
    <cellStyle name="_樂清9507租賃用品申請_96年月餅預購競賽獎勵案_96年月餅預購競賽獎勵案_Book1" xfId="365"/>
    <cellStyle name="_樂清9507租賃用品申請_96年月餅預購競賽獎勵案_96年月餅預購競賽獎勵案_Book1_1-晉欣鮮食廠-2012年春節作業體制" xfId="366"/>
    <cellStyle name="_樂清9507租賃用品申請_96年月餅預購競賽獎勵案_96年月餅預購競賽獎勵案_春節作業手冊-981217" xfId="367"/>
    <cellStyle name="_樂清9507租賃用品申請_96年月餅預購競賽獎勵案_96年月餅預購競賽獎勵案_春節作業手冊-981217_1-晉欣鮮食廠-2012年春節作業體制" xfId="368"/>
    <cellStyle name="_樂清9507租賃用品申請_96年月餅預購競賽獎勵案_97年春節保全回收報告書" xfId="369"/>
    <cellStyle name="_樂清9507租賃用品申請_96年月餅預購競賽獎勵案_97年春節保全回收報告書_1-晉欣鮮食廠-2012年春節作業體制" xfId="370"/>
    <cellStyle name="_樂清9507租賃用品申請_96年月餅預購競賽獎勵案_97年春節保全回收報告書_Book1" xfId="371"/>
    <cellStyle name="_樂清9507租賃用品申請_96年月餅預購競賽獎勵案_97年春節保全回收報告書_Book1_1-晉欣鮮食廠-2012年春節作業體制" xfId="372"/>
    <cellStyle name="_樂清9507租賃用品申請_96年月餅預購競賽獎勵案_97年春節保全回收報告書_春節作業手冊-981217" xfId="373"/>
    <cellStyle name="_樂清9507租賃用品申請_96年月餅預購競賽獎勵案_97年春節保全回收報告書_春節作業手冊-981217_1-晉欣鮮食廠-2012年春節作業體制" xfId="374"/>
    <cellStyle name="_樂清9507租賃用品申請_96年月餅預購競賽獎勵案_97年營業競賽提案報告書" xfId="375"/>
    <cellStyle name="_樂清9507租賃用品申請_96年月餅預購競賽獎勵案_97年營業競賽提案報告書_1-晉欣鮮食廠-2012年春節作業體制" xfId="376"/>
    <cellStyle name="_樂清9507租賃用品申請_96年月餅預購競賽獎勵案_97年營業競賽提案報告書_97年春節保全回收報告書" xfId="377"/>
    <cellStyle name="_樂清9507租賃用品申請_96年月餅預購競賽獎勵案_97年營業競賽提案報告書_97年春節保全回收報告書_1-晉欣鮮食廠-2012年春節作業體制" xfId="378"/>
    <cellStyle name="_樂清9507租賃用品申請_96年月餅預購競賽獎勵案_97年營業競賽提案報告書_97年春節保全回收報告書_Book1" xfId="379"/>
    <cellStyle name="_樂清9507租賃用品申請_96年月餅預購競賽獎勵案_97年營業競賽提案報告書_97年春節保全回收報告書_Book1_1-晉欣鮮食廠-2012年春節作業體制" xfId="380"/>
    <cellStyle name="_樂清9507租賃用品申請_96年月餅預購競賽獎勵案_97年營業競賽提案報告書_97年春節保全回收報告書_春節作業手冊-981217" xfId="381"/>
    <cellStyle name="_樂清9507租賃用品申請_96年月餅預購競賽獎勵案_97年營業競賽提案報告書_97年春節保全回收報告書_春節作業手冊-981217_1-晉欣鮮食廠-2012年春節作業體制" xfId="382"/>
    <cellStyle name="_樂清9507租賃用品申請_96年月餅預購競賽獎勵案_97年營業競賽提案報告書_97年營業競賽提案報告書" xfId="383"/>
    <cellStyle name="_樂清9507租賃用品申請_96年月餅預購競賽獎勵案_97年營業競賽提案報告書_97年營業競賽提案報告書_1-晉欣鮮食廠-2012年春節作業體制" xfId="384"/>
    <cellStyle name="_樂清9507租賃用品申請_96年月餅預購競賽獎勵案_97年營業競賽提案報告書_97年營業競賽提案報告書_97年春節保全回收報告書" xfId="385"/>
    <cellStyle name="_樂清9507租賃用品申請_96年月餅預購競賽獎勵案_97年營業競賽提案報告書_97年營業競賽提案報告書_97年春節保全回收報告書_1-晉欣鮮食廠-2012年春節作業體制" xfId="386"/>
    <cellStyle name="_樂清9507租賃用品申請_96年月餅預購競賽獎勵案_97年營業競賽提案報告書_97年營業競賽提案報告書_97年春節保全回收報告書_Book1" xfId="387"/>
    <cellStyle name="_樂清9507租賃用品申請_96年月餅預購競賽獎勵案_97年營業競賽提案報告書_97年營業競賽提案報告書_97年春節保全回收報告書_Book1_1-晉欣鮮食廠-2012年春節作業體制" xfId="388"/>
    <cellStyle name="_樂清9507租賃用品申請_96年月餅預購競賽獎勵案_97年營業競賽提案報告書_97年營業競賽提案報告書_97年春節保全回收報告書_春節作業手冊-981217" xfId="389"/>
    <cellStyle name="_樂清9507租賃用品申請_96年月餅預購競賽獎勵案_97年營業競賽提案報告書_97年營業競賽提案報告書_97年春節保全回收報告書_春節作業手冊-981217_1-晉欣鮮食廠-2012年春節作業體制" xfId="390"/>
    <cellStyle name="_樂清9507租賃用品申請_96年月餅預購競賽獎勵案_97年營業競賽提案報告書_97年營業競賽提案報告書_97年營業競賽提案報告書" xfId="391"/>
    <cellStyle name="_樂清9507租賃用品申請_96年月餅預購競賽獎勵案_97年營業競賽提案報告書_97年營業競賽提案報告書_97年營業競賽提案報告書_1-晉欣鮮食廠-2012年春節作業體制" xfId="392"/>
    <cellStyle name="_樂清9507租賃用品申請_96年月餅預購競賽獎勵案_97年營業競賽提案報告書_97年營業競賽提案報告書_97年營業競賽提案報告書_97年春節保全回收報告書" xfId="393"/>
    <cellStyle name="_樂清9507租賃用品申請_96年月餅預購競賽獎勵案_97年營業競賽提案報告書_97年營業競賽提案報告書_97年營業競賽提案報告書_97年春節保全回收報告書_1-晉欣鮮食廠-2012年春節作業體制" xfId="394"/>
    <cellStyle name="_樂清9507租賃用品申請_96年月餅預購競賽獎勵案_97年營業競賽提案報告書_97年營業競賽提案報告書_97年營業競賽提案報告書_97年春節保全回收報告書_Book1" xfId="395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/>
    <cellStyle name="_樂清9507租賃用品申請_96年月餅預購競賽獎勵案_97年營業競賽提案報告書_97年營業競賽提案報告書_97年營業競賽提案報告書_97年春節保全回收報告書_春節作業手冊-981217" xfId="397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/>
    <cellStyle name="_樂清9507租賃用品申請_96年月餅預購競賽獎勵案_97年營業競賽提案報告書_97年營業競賽提案報告書_97年營業競賽提案報告書_Book1" xfId="399"/>
    <cellStyle name="_樂清9507租賃用品申請_96年月餅預購競賽獎勵案_97年營業競賽提案報告書_97年營業競賽提案報告書_97年營業競賽提案報告書_Book1_1-晉欣鮮食廠-2012年春節作業體制" xfId="400"/>
    <cellStyle name="_樂清9507租賃用品申請_96年月餅預購競賽獎勵案_97年營業競賽提案報告書_97年營業競賽提案報告書_97年營業競賽提案報告書_春節作業手冊-981217" xfId="401"/>
    <cellStyle name="_樂清9507租賃用品申請_96年月餅預購競賽獎勵案_97年營業競賽提案報告書_97年營業競賽提案報告書_97年營業競賽提案報告書_春節作業手冊-981217_1-晉欣鮮食廠-2012年春節作業體制" xfId="402"/>
    <cellStyle name="_樂清9507租賃用品申請_96年月餅預購競賽獎勵案_97年營業競賽提案報告書_97年營業競賽提案報告書_Book1" xfId="403"/>
    <cellStyle name="_樂清9507租賃用品申請_96年月餅預購競賽獎勵案_97年營業競賽提案報告書_97年營業競賽提案報告書_Book1_1-晉欣鮮食廠-2012年春節作業體制" xfId="404"/>
    <cellStyle name="_樂清9507租賃用品申請_96年月餅預購競賽獎勵案_97年營業競賽提案報告書_97年營業競賽提案報告書_春節作業手冊-981217" xfId="405"/>
    <cellStyle name="_樂清9507租賃用品申請_96年月餅預購競賽獎勵案_97年營業競賽提案報告書_97年營業競賽提案報告書_春節作業手冊-981217_1-晉欣鮮食廠-2012年春節作業體制" xfId="406"/>
    <cellStyle name="_樂清9507租賃用品申請_96年月餅預購競賽獎勵案_97年營業競賽提案報告書_Book1" xfId="407"/>
    <cellStyle name="_樂清9507租賃用品申請_96年月餅預購競賽獎勵案_97年營業競賽提案報告書_Book1_1-晉欣鮮食廠-2012年春節作業體制" xfId="408"/>
    <cellStyle name="_樂清9507租賃用品申請_96年月餅預購競賽獎勵案_97年營業競賽提案報告書_春節作業手冊-981217" xfId="409"/>
    <cellStyle name="_樂清9507租賃用品申請_96年月餅預購競賽獎勵案_97年營業競賽提案報告書_春節作業手冊-981217_1-晉欣鮮食廠-2012年春節作業體制" xfId="410"/>
    <cellStyle name="_樂清9507租賃用品申請_96年月餅預購競賽獎勵案_Book1" xfId="411"/>
    <cellStyle name="_樂清9507租賃用品申請_96年月餅預購競賽獎勵案_Book1_1-晉欣鮮食廠-2012年春節作業體制" xfId="412"/>
    <cellStyle name="_樂清9507租賃用品申請_96年月餅預購競賽獎勵案_春節作業手冊-981217" xfId="413"/>
    <cellStyle name="_樂清9507租賃用品申請_96年月餅預購競賽獎勵案_春節作業手冊-981217_1-晉欣鮮食廠-2012年春節作業體制" xfId="414"/>
    <cellStyle name="_樂清9507租賃用品申請_97年春節保全回收報告書" xfId="415"/>
    <cellStyle name="_樂清9507租賃用品申請_97年春節保全回收報告書_1-晉欣鮮食廠-2012年春節作業體制" xfId="416"/>
    <cellStyle name="_樂清9507租賃用品申請_97年春節保全回收報告書_Book1" xfId="417"/>
    <cellStyle name="_樂清9507租賃用品申請_97年春節保全回收報告書_Book1_1-晉欣鮮食廠-2012年春節作業體制" xfId="418"/>
    <cellStyle name="_樂清9507租賃用品申請_97年春節保全回收報告書_春節作業手冊-981217" xfId="419"/>
    <cellStyle name="_樂清9507租賃用品申請_97年春節保全回收報告書_春節作業手冊-981217_1-晉欣鮮食廠-2012年春節作業體制" xfId="420"/>
    <cellStyle name="_樂清9507租賃用品申請_97年營業競賽提案報告書" xfId="421"/>
    <cellStyle name="_樂清9507租賃用品申請_97年營業競賽提案報告書_1-晉欣鮮食廠-2012年春節作業體制" xfId="422"/>
    <cellStyle name="_樂清9507租賃用品申請_97年營業競賽提案報告書_97年春節保全回收報告書" xfId="423"/>
    <cellStyle name="_樂清9507租賃用品申請_97年營業競賽提案報告書_97年春節保全回收報告書_1-晉欣鮮食廠-2012年春節作業體制" xfId="424"/>
    <cellStyle name="_樂清9507租賃用品申請_97年營業競賽提案報告書_97年春節保全回收報告書_Book1" xfId="425"/>
    <cellStyle name="_樂清9507租賃用品申請_97年營業競賽提案報告書_97年春節保全回收報告書_Book1_1-晉欣鮮食廠-2012年春節作業體制" xfId="426"/>
    <cellStyle name="_樂清9507租賃用品申請_97年營業競賽提案報告書_97年春節保全回收報告書_春節作業手冊-981217" xfId="427"/>
    <cellStyle name="_樂清9507租賃用品申請_97年營業競賽提案報告書_97年春節保全回收報告書_春節作業手冊-981217_1-晉欣鮮食廠-2012年春節作業體制" xfId="428"/>
    <cellStyle name="_樂清9507租賃用品申請_97年營業競賽提案報告書_97年營業競賽提案報告書" xfId="429"/>
    <cellStyle name="_樂清9507租賃用品申請_97年營業競賽提案報告書_97年營業競賽提案報告書_1-晉欣鮮食廠-2012年春節作業體制" xfId="430"/>
    <cellStyle name="_樂清9507租賃用品申請_97年營業競賽提案報告書_97年營業競賽提案報告書_97年春節保全回收報告書" xfId="431"/>
    <cellStyle name="_樂清9507租賃用品申請_97年營業競賽提案報告書_97年營業競賽提案報告書_97年春節保全回收報告書_1-晉欣鮮食廠-2012年春節作業體制" xfId="432"/>
    <cellStyle name="_樂清9507租賃用品申請_97年營業競賽提案報告書_97年營業競賽提案報告書_97年春節保全回收報告書_Book1" xfId="433"/>
    <cellStyle name="_樂清9507租賃用品申請_97年營業競賽提案報告書_97年營業競賽提案報告書_97年春節保全回收報告書_Book1_1-晉欣鮮食廠-2012年春節作業體制" xfId="434"/>
    <cellStyle name="_樂清9507租賃用品申請_97年營業競賽提案報告書_97年營業競賽提案報告書_97年春節保全回收報告書_春節作業手冊-981217" xfId="435"/>
    <cellStyle name="_樂清9507租賃用品申請_97年營業競賽提案報告書_97年營業競賽提案報告書_97年春節保全回收報告書_春節作業手冊-981217_1-晉欣鮮食廠-2012年春節作業體制" xfId="436"/>
    <cellStyle name="_樂清9507租賃用品申請_97年營業競賽提案報告書_97年營業競賽提案報告書_97年營業競賽提案報告書" xfId="437"/>
    <cellStyle name="_樂清9507租賃用品申請_97年營業競賽提案報告書_97年營業競賽提案報告書_97年營業競賽提案報告書_1-晉欣鮮食廠-2012年春節作業體制" xfId="438"/>
    <cellStyle name="_樂清9507租賃用品申請_97年營業競賽提案報告書_97年營業競賽提案報告書_97年營業競賽提案報告書_97年春節保全回收報告書" xfId="439"/>
    <cellStyle name="_樂清9507租賃用品申請_97年營業競賽提案報告書_97年營業競賽提案報告書_97年營業競賽提案報告書_97年春節保全回收報告書_1-晉欣鮮食廠-2012年春節作業體制" xfId="440"/>
    <cellStyle name="_樂清9507租賃用品申請_97年營業競賽提案報告書_97年營業競賽提案報告書_97年營業競賽提案報告書_97年春節保全回收報告書_Book1" xfId="441"/>
    <cellStyle name="_樂清9507租賃用品申請_97年營業競賽提案報告書_97年營業競賽提案報告書_97年營業競賽提案報告書_97年春節保全回收報告書_Book1_1-晉欣鮮食廠-2012年春節作業體制" xfId="442"/>
    <cellStyle name="_樂清9507租賃用品申請_97年營業競賽提案報告書_97年營業競賽提案報告書_97年營業競賽提案報告書_97年春節保全回收報告書_春節作業手冊-981217" xfId="443"/>
    <cellStyle name="_樂清9507租賃用品申請_97年營業競賽提案報告書_97年營業競賽提案報告書_97年營業競賽提案報告書_97年春節保全回收報告書_春節作業手冊-981217_1-晉欣鮮食廠-2012年春節作業體制" xfId="444"/>
    <cellStyle name="_樂清9507租賃用品申請_97年營業競賽提案報告書_97年營業競賽提案報告書_97年營業競賽提案報告書_Book1" xfId="445"/>
    <cellStyle name="_樂清9507租賃用品申請_97年營業競賽提案報告書_97年營業競賽提案報告書_97年營業競賽提案報告書_Book1_1-晉欣鮮食廠-2012年春節作業體制" xfId="446"/>
    <cellStyle name="_樂清9507租賃用品申請_97年營業競賽提案報告書_97年營業競賽提案報告書_97年營業競賽提案報告書_春節作業手冊-981217" xfId="447"/>
    <cellStyle name="_樂清9507租賃用品申請_97年營業競賽提案報告書_97年營業競賽提案報告書_97年營業競賽提案報告書_春節作業手冊-981217_1-晉欣鮮食廠-2012年春節作業體制" xfId="448"/>
    <cellStyle name="_樂清9507租賃用品申請_97年營業競賽提案報告書_97年營業競賽提案報告書_Book1" xfId="449"/>
    <cellStyle name="_樂清9507租賃用品申請_97年營業競賽提案報告書_97年營業競賽提案報告書_Book1_1-晉欣鮮食廠-2012年春節作業體制" xfId="450"/>
    <cellStyle name="_樂清9507租賃用品申請_97年營業競賽提案報告書_97年營業競賽提案報告書_春節作業手冊-981217" xfId="451"/>
    <cellStyle name="_樂清9507租賃用品申請_97年營業競賽提案報告書_97年營業競賽提案報告書_春節作業手冊-981217_1-晉欣鮮食廠-2012年春節作業體制" xfId="452"/>
    <cellStyle name="_樂清9507租賃用品申請_97年營業競賽提案報告書_Book1" xfId="453"/>
    <cellStyle name="_樂清9507租賃用品申請_97年營業競賽提案報告書_Book1_1-晉欣鮮食廠-2012年春節作業體制" xfId="454"/>
    <cellStyle name="_樂清9507租賃用品申請_97年營業競賽提案報告書_春節作業手冊-981217" xfId="455"/>
    <cellStyle name="_樂清9507租賃用品申請_97年營業競賽提案報告書_春節作業手冊-981217_1-晉欣鮮食廠-2012年春節作業體制" xfId="456"/>
    <cellStyle name="_樂清9507租賃用品申請_Book1" xfId="457"/>
    <cellStyle name="_樂清9507租賃用品申請_Book1_1-晉欣鮮食廠-2012年春節作業體制" xfId="458"/>
    <cellStyle name="_樂清9507租賃用品申請_春節作業手冊-981217" xfId="459"/>
    <cellStyle name="_樂清9507租賃用品申請_春節作業手冊-981217_1-晉欣鮮食廠-2012年春節作業體制" xfId="460"/>
    <cellStyle name="Normal - Style1" xfId="461"/>
    <cellStyle name="Normal_Co-wide Monthly" xfId="462"/>
    <cellStyle name="一般" xfId="0" builtinId="0"/>
    <cellStyle name="一般 10" xfId="469"/>
    <cellStyle name="一般 10 2" xfId="470"/>
    <cellStyle name="一般 11" xfId="471"/>
    <cellStyle name="一般 12" xfId="472"/>
    <cellStyle name="一般 13" xfId="473"/>
    <cellStyle name="一般 14" xfId="474"/>
    <cellStyle name="一般 15" xfId="475"/>
    <cellStyle name="一般 15 2" xfId="476"/>
    <cellStyle name="一般 16" xfId="477"/>
    <cellStyle name="一般 17" xfId="478"/>
    <cellStyle name="一般 18" xfId="479"/>
    <cellStyle name="一般 19" xfId="480"/>
    <cellStyle name="一般 2" xfId="1"/>
    <cellStyle name="一般 2 2" xfId="481"/>
    <cellStyle name="一般 2 2 2" xfId="9"/>
    <cellStyle name="一般 2 2 2 2" xfId="482"/>
    <cellStyle name="一般 2 2 3" xfId="483"/>
    <cellStyle name="一般 2 2 30 2 2 30 2" xfId="4"/>
    <cellStyle name="一般 2 2 30 2 2 30 2 2" xfId="12"/>
    <cellStyle name="一般 2 2 30 2 2 30 2 2 2" xfId="15"/>
    <cellStyle name="一般 2 2 30 2 2 30 2 2 3" xfId="16"/>
    <cellStyle name="一般 2 2 30 2 2 30 2 2 4" xfId="17"/>
    <cellStyle name="一般 2 2 30 2 3 2" xfId="6"/>
    <cellStyle name="一般 2 2 30 2 3 2 2 2" xfId="18"/>
    <cellStyle name="一般 2 2 30 3 30" xfId="7"/>
    <cellStyle name="一般 2 3" xfId="484"/>
    <cellStyle name="一般 2 4" xfId="485"/>
    <cellStyle name="一般 2 5" xfId="486"/>
    <cellStyle name="一般 2 6" xfId="487"/>
    <cellStyle name="一般 2 7" xfId="488"/>
    <cellStyle name="一般 2 8" xfId="489"/>
    <cellStyle name="一般 2 9" xfId="23"/>
    <cellStyle name="一般 20" xfId="490"/>
    <cellStyle name="一般 21" xfId="491"/>
    <cellStyle name="一般 22" xfId="492"/>
    <cellStyle name="一般 23" xfId="493"/>
    <cellStyle name="一般 24" xfId="21"/>
    <cellStyle name="一般 3" xfId="11"/>
    <cellStyle name="一般 3 2" xfId="494"/>
    <cellStyle name="一般 3 2 2" xfId="495"/>
    <cellStyle name="一般 3 3" xfId="496"/>
    <cellStyle name="一般 3 4" xfId="497"/>
    <cellStyle name="一般 3 5" xfId="498"/>
    <cellStyle name="一般 3 5 2" xfId="499"/>
    <cellStyle name="一般 3 6" xfId="500"/>
    <cellStyle name="一般 3 7" xfId="501"/>
    <cellStyle name="一般 3 8" xfId="463"/>
    <cellStyle name="一般 4" xfId="5"/>
    <cellStyle name="一般 4 2" xfId="502"/>
    <cellStyle name="一般 4 3" xfId="503"/>
    <cellStyle name="一般 4 4" xfId="464"/>
    <cellStyle name="一般 5" xfId="504"/>
    <cellStyle name="一般 5 2" xfId="505"/>
    <cellStyle name="一般 6" xfId="506"/>
    <cellStyle name="一般 6 2" xfId="507"/>
    <cellStyle name="一般 7" xfId="508"/>
    <cellStyle name="一般 8" xfId="509"/>
    <cellStyle name="一般 8 2" xfId="510"/>
    <cellStyle name="一般 9" xfId="511"/>
    <cellStyle name="一般 9 2" xfId="512"/>
    <cellStyle name="千分位" xfId="14" builtinId="3"/>
    <cellStyle name="千分位 2" xfId="2"/>
    <cellStyle name="千分位 2 2" xfId="514"/>
    <cellStyle name="千分位 2 3" xfId="515"/>
    <cellStyle name="千分位 2 4" xfId="516"/>
    <cellStyle name="千分位 2 5" xfId="517"/>
    <cellStyle name="千分位 2 6" xfId="518"/>
    <cellStyle name="千分位 2 7" xfId="519"/>
    <cellStyle name="千分位 2 8" xfId="513"/>
    <cellStyle name="千分位 3" xfId="19"/>
    <cellStyle name="千分位 3 2" xfId="520"/>
    <cellStyle name="千分位 4" xfId="521"/>
    <cellStyle name="千分位 5" xfId="522"/>
    <cellStyle name="千分位 5 2" xfId="523"/>
    <cellStyle name="千分位 6" xfId="524"/>
    <cellStyle name="千分位 7" xfId="525"/>
    <cellStyle name="千分位 8" xfId="526"/>
    <cellStyle name="千分位 9" xfId="576"/>
    <cellStyle name="好_1001024-晉欣重要管制流程 (3)" xfId="527"/>
    <cellStyle name="好_Sheet1" xfId="528"/>
    <cellStyle name="好_工作日報表---" xfId="529"/>
    <cellStyle name="好_晉欣重要管制流程-油炸作業" xfId="530"/>
    <cellStyle name="好_晉欣重要管制流程-原物料驗收" xfId="531"/>
    <cellStyle name="好_晉欣重要管制流程-烤箱作業" xfId="532"/>
    <cellStyle name="好_晉欣重要管制流程-理貨作業" xfId="533"/>
    <cellStyle name="好_晉欣重要管制流程-煮麵作業" xfId="534"/>
    <cellStyle name="好_晉欣重要管制流程-飯糰機操作&amp;丼飯作業&amp;三明治&amp;標籤&amp;炊飯&amp;美生菜" xfId="535"/>
    <cellStyle name="好_晉欣重要管制流程-準備室作業" xfId="536"/>
    <cellStyle name="好_晉欣重要管制流程-補料作業" xfId="537"/>
    <cellStyle name="好_配料相關一、二--------" xfId="538"/>
    <cellStyle name="百分比 2" xfId="8"/>
    <cellStyle name="百分比 2 2" xfId="10"/>
    <cellStyle name="百分比 2 2 2" xfId="20"/>
    <cellStyle name="百分比 2 2 2 2" xfId="540"/>
    <cellStyle name="百分比 2 2 3" xfId="539"/>
    <cellStyle name="百分比 2 3" xfId="541"/>
    <cellStyle name="百分比 2 4" xfId="542"/>
    <cellStyle name="百分比 2 5" xfId="24"/>
    <cellStyle name="百分比 3" xfId="3"/>
    <cellStyle name="百分比 3 2" xfId="544"/>
    <cellStyle name="百分比 3 3" xfId="545"/>
    <cellStyle name="百分比 3 4" xfId="543"/>
    <cellStyle name="百分比 4" xfId="13"/>
    <cellStyle name="百分比 4 2" xfId="547"/>
    <cellStyle name="百分比 4 2 2" xfId="548"/>
    <cellStyle name="百分比 4 2 2 2" xfId="549"/>
    <cellStyle name="百分比 4 2 3" xfId="550"/>
    <cellStyle name="百分比 4 3" xfId="551"/>
    <cellStyle name="百分比 4 3 2" xfId="552"/>
    <cellStyle name="百分比 4 3 2 2" xfId="553"/>
    <cellStyle name="百分比 4 3 2 2 2" xfId="554"/>
    <cellStyle name="百分比 4 3 2 2 2 2" xfId="555"/>
    <cellStyle name="百分比 4 3 2 2 2 2 2" xfId="556"/>
    <cellStyle name="百分比 4 4" xfId="557"/>
    <cellStyle name="百分比 4 5" xfId="546"/>
    <cellStyle name="百分比 5" xfId="558"/>
    <cellStyle name="百分比 5 2" xfId="559"/>
    <cellStyle name="百分比 5 3" xfId="560"/>
    <cellStyle name="百分比 6" xfId="561"/>
    <cellStyle name="百分比 7" xfId="22"/>
    <cellStyle name="貨幣 2" xfId="562"/>
    <cellStyle name="貨幣[0]_ AUDIT" xfId="465"/>
    <cellStyle name="超連結 2" xfId="466"/>
    <cellStyle name="標準 2_關所SOP" xfId="563"/>
    <cellStyle name="樣式 1" xfId="467"/>
    <cellStyle name="樣式 2" xfId="468"/>
    <cellStyle name="壞_1001024-晉欣重要管制流程 (3)" xfId="564"/>
    <cellStyle name="壞_Sheet1" xfId="565"/>
    <cellStyle name="壞_工作日報表---" xfId="566"/>
    <cellStyle name="壞_晉欣重要管制流程-油炸作業" xfId="567"/>
    <cellStyle name="壞_晉欣重要管制流程-原物料驗收" xfId="568"/>
    <cellStyle name="壞_晉欣重要管制流程-烤箱作業" xfId="569"/>
    <cellStyle name="壞_晉欣重要管制流程-理貨作業" xfId="570"/>
    <cellStyle name="壞_晉欣重要管制流程-煮麵作業" xfId="571"/>
    <cellStyle name="壞_晉欣重要管制流程-飯糰機操作&amp;丼飯作業&amp;三明治&amp;標籤&amp;炊飯&amp;美生菜" xfId="572"/>
    <cellStyle name="壞_晉欣重要管制流程-準備室作業" xfId="573"/>
    <cellStyle name="壞_晉欣重要管制流程-補料作業" xfId="574"/>
    <cellStyle name="壞_配料相關一、二--------" xfId="575"/>
  </cellStyles>
  <dxfs count="43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7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603" t="s">
        <v>12</v>
      </c>
      <c r="D21" s="586"/>
      <c r="E21" s="579"/>
      <c r="F21" s="50" t="s">
        <v>46</v>
      </c>
      <c r="G21" s="50" t="s">
        <v>48</v>
      </c>
      <c r="H21" s="50" t="s">
        <v>49</v>
      </c>
      <c r="I21" s="8" t="s">
        <v>13</v>
      </c>
      <c r="J21" s="595" t="s">
        <v>51</v>
      </c>
      <c r="K21" s="579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578" t="s">
        <v>14</v>
      </c>
      <c r="D22" s="586"/>
      <c r="E22" s="579"/>
      <c r="F22" s="4">
        <v>3</v>
      </c>
      <c r="G22" s="4">
        <v>3000</v>
      </c>
      <c r="H22" s="4">
        <v>1000</v>
      </c>
      <c r="I22" s="4">
        <v>10</v>
      </c>
      <c r="J22" s="585" t="s">
        <v>76</v>
      </c>
      <c r="K22" s="579"/>
      <c r="M22" s="53" t="s">
        <v>26</v>
      </c>
      <c r="N22" s="58" t="s">
        <v>47</v>
      </c>
      <c r="O22" s="591" t="s">
        <v>12</v>
      </c>
      <c r="P22" s="586"/>
      <c r="Q22" s="579"/>
      <c r="R22" s="597" t="s">
        <v>53</v>
      </c>
      <c r="S22" s="586"/>
      <c r="T22" s="579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595" t="s">
        <v>51</v>
      </c>
      <c r="AA22" s="579"/>
    </row>
    <row r="23" spans="1:27" ht="15.75" customHeight="1">
      <c r="A23" s="23"/>
      <c r="B23" s="6">
        <v>2</v>
      </c>
      <c r="C23" s="600"/>
      <c r="D23" s="586"/>
      <c r="E23" s="579"/>
      <c r="F23" s="4"/>
      <c r="G23" s="4"/>
      <c r="H23" s="4"/>
      <c r="I23" s="4"/>
      <c r="J23" s="600"/>
      <c r="K23" s="579"/>
      <c r="M23" s="57" t="s">
        <v>42</v>
      </c>
      <c r="N23" s="24">
        <v>1</v>
      </c>
      <c r="O23" s="585" t="s">
        <v>82</v>
      </c>
      <c r="P23" s="586"/>
      <c r="Q23" s="579"/>
      <c r="R23" s="585" t="s">
        <v>85</v>
      </c>
      <c r="S23" s="586"/>
      <c r="T23" s="579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585" t="s">
        <v>86</v>
      </c>
      <c r="AA23" s="579"/>
    </row>
    <row r="24" spans="1:27" ht="15.75" customHeight="1">
      <c r="A24" s="23"/>
      <c r="B24" s="6">
        <v>3</v>
      </c>
      <c r="C24" s="600"/>
      <c r="D24" s="586"/>
      <c r="E24" s="579"/>
      <c r="F24" s="4"/>
      <c r="G24" s="4"/>
      <c r="H24" s="4"/>
      <c r="I24" s="4"/>
      <c r="J24" s="600"/>
      <c r="K24" s="579"/>
      <c r="M24" s="25"/>
      <c r="N24" s="24">
        <v>2</v>
      </c>
      <c r="O24" s="578"/>
      <c r="P24" s="586"/>
      <c r="Q24" s="579"/>
      <c r="R24" s="578"/>
      <c r="S24" s="586"/>
      <c r="T24" s="579"/>
      <c r="U24" s="4"/>
      <c r="V24" s="14"/>
      <c r="W24" s="4"/>
      <c r="X24" s="16">
        <f>W24*U24</f>
        <v>0</v>
      </c>
      <c r="Y24" s="4"/>
      <c r="Z24" s="578"/>
      <c r="AA24" s="579"/>
    </row>
    <row r="25" spans="1:27" ht="15.75" customHeight="1">
      <c r="A25" s="23"/>
      <c r="B25" s="6">
        <v>4</v>
      </c>
      <c r="C25" s="600"/>
      <c r="D25" s="586"/>
      <c r="E25" s="579"/>
      <c r="F25" s="4"/>
      <c r="G25" s="4"/>
      <c r="H25" s="4"/>
      <c r="I25" s="4"/>
      <c r="J25" s="600"/>
      <c r="K25" s="579"/>
      <c r="M25" s="25"/>
      <c r="N25" s="24">
        <v>3</v>
      </c>
      <c r="O25" s="578"/>
      <c r="P25" s="586"/>
      <c r="Q25" s="579"/>
      <c r="R25" s="578"/>
      <c r="S25" s="586"/>
      <c r="T25" s="579"/>
      <c r="U25" s="4"/>
      <c r="V25" s="14"/>
      <c r="W25" s="4"/>
      <c r="X25" s="16">
        <f>W25*U25</f>
        <v>0</v>
      </c>
      <c r="Y25" s="4"/>
      <c r="Z25" s="578"/>
      <c r="AA25" s="579"/>
    </row>
    <row r="26" spans="1:27" ht="15.75" customHeight="1">
      <c r="A26" s="23"/>
      <c r="B26" s="26">
        <v>5</v>
      </c>
      <c r="C26" s="604"/>
      <c r="D26" s="587"/>
      <c r="E26" s="581"/>
      <c r="F26" s="27"/>
      <c r="G26" s="27"/>
      <c r="H26" s="27"/>
      <c r="I26" s="27"/>
      <c r="J26" s="604"/>
      <c r="K26" s="581"/>
      <c r="M26" s="25"/>
      <c r="N26" s="24">
        <v>4</v>
      </c>
      <c r="O26" s="578"/>
      <c r="P26" s="586"/>
      <c r="Q26" s="579"/>
      <c r="R26" s="578"/>
      <c r="S26" s="586"/>
      <c r="T26" s="579"/>
      <c r="U26" s="4"/>
      <c r="V26" s="14"/>
      <c r="W26" s="4"/>
      <c r="X26" s="16">
        <f>W26*U26</f>
        <v>0</v>
      </c>
      <c r="Y26" s="4"/>
      <c r="Z26" s="578"/>
      <c r="AA26" s="579"/>
    </row>
    <row r="27" spans="1:27" ht="15.75" customHeight="1">
      <c r="A27" s="23"/>
      <c r="B27" s="70" t="s">
        <v>101</v>
      </c>
      <c r="C27" s="588" t="s">
        <v>75</v>
      </c>
      <c r="D27" s="589"/>
      <c r="E27" s="590"/>
      <c r="F27" s="28">
        <v>4</v>
      </c>
      <c r="G27" s="28">
        <v>2800</v>
      </c>
      <c r="H27" s="28">
        <v>700</v>
      </c>
      <c r="I27" s="28" t="s">
        <v>15</v>
      </c>
      <c r="J27" s="588" t="s">
        <v>77</v>
      </c>
      <c r="K27" s="590"/>
      <c r="M27" s="25"/>
      <c r="N27" s="29">
        <v>5</v>
      </c>
      <c r="O27" s="580"/>
      <c r="P27" s="587"/>
      <c r="Q27" s="581"/>
      <c r="R27" s="580"/>
      <c r="S27" s="587"/>
      <c r="T27" s="581"/>
      <c r="U27" s="27"/>
      <c r="V27" s="30"/>
      <c r="W27" s="27"/>
      <c r="X27" s="31">
        <f>W27*U27</f>
        <v>0</v>
      </c>
      <c r="Y27" s="4"/>
      <c r="Z27" s="580"/>
      <c r="AA27" s="581"/>
    </row>
    <row r="28" spans="1:27" ht="15.75" customHeight="1">
      <c r="A28" s="23"/>
      <c r="B28" s="71" t="s">
        <v>102</v>
      </c>
      <c r="C28" s="600"/>
      <c r="D28" s="586"/>
      <c r="E28" s="579"/>
      <c r="F28" s="4"/>
      <c r="G28" s="4"/>
      <c r="H28" s="4"/>
      <c r="I28" s="4"/>
      <c r="J28" s="600"/>
      <c r="K28" s="579"/>
      <c r="M28" s="32"/>
      <c r="N28" s="56"/>
      <c r="O28" s="582"/>
      <c r="P28" s="586"/>
      <c r="Q28" s="586"/>
      <c r="R28" s="582"/>
      <c r="S28" s="586"/>
      <c r="T28" s="586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582"/>
      <c r="AA28" s="579"/>
    </row>
    <row r="29" spans="1:27" ht="15.75" customHeight="1">
      <c r="A29" s="23"/>
      <c r="B29" s="71" t="s">
        <v>100</v>
      </c>
      <c r="C29" s="600"/>
      <c r="D29" s="586"/>
      <c r="E29" s="579"/>
      <c r="F29" s="4"/>
      <c r="G29" s="4"/>
      <c r="H29" s="4"/>
      <c r="I29" s="4"/>
      <c r="J29" s="600"/>
      <c r="K29" s="579"/>
      <c r="M29" s="57" t="s">
        <v>43</v>
      </c>
      <c r="N29" s="24">
        <v>1</v>
      </c>
      <c r="O29" s="601" t="s">
        <v>16</v>
      </c>
      <c r="P29" s="602"/>
      <c r="Q29" s="584"/>
      <c r="R29" s="583" t="s">
        <v>87</v>
      </c>
      <c r="S29" s="602"/>
      <c r="T29" s="584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583" t="s">
        <v>88</v>
      </c>
      <c r="AA29" s="584"/>
    </row>
    <row r="30" spans="1:27" ht="15.75" customHeight="1">
      <c r="A30" s="23"/>
      <c r="B30" s="71" t="s">
        <v>99</v>
      </c>
      <c r="C30" s="600"/>
      <c r="D30" s="586"/>
      <c r="E30" s="579"/>
      <c r="F30" s="4"/>
      <c r="G30" s="4"/>
      <c r="H30" s="4"/>
      <c r="I30" s="4"/>
      <c r="J30" s="600"/>
      <c r="K30" s="579"/>
      <c r="M30" s="25"/>
      <c r="N30" s="24">
        <v>2</v>
      </c>
      <c r="O30" s="578"/>
      <c r="P30" s="586"/>
      <c r="Q30" s="579"/>
      <c r="R30" s="578"/>
      <c r="S30" s="586"/>
      <c r="T30" s="579"/>
      <c r="U30" s="4"/>
      <c r="V30" s="14"/>
      <c r="W30" s="4"/>
      <c r="X30" s="16">
        <f>W30*U30</f>
        <v>0</v>
      </c>
      <c r="Y30" s="4"/>
      <c r="Z30" s="578"/>
      <c r="AA30" s="579"/>
    </row>
    <row r="31" spans="1:27" ht="15.75" customHeight="1">
      <c r="A31" s="20"/>
      <c r="B31" s="71" t="s">
        <v>103</v>
      </c>
      <c r="C31" s="600"/>
      <c r="D31" s="586"/>
      <c r="E31" s="579"/>
      <c r="F31" s="4"/>
      <c r="G31" s="4"/>
      <c r="H31" s="4"/>
      <c r="I31" s="4"/>
      <c r="J31" s="600"/>
      <c r="K31" s="579"/>
      <c r="M31" s="25"/>
      <c r="N31" s="24">
        <v>3</v>
      </c>
      <c r="O31" s="578"/>
      <c r="P31" s="586"/>
      <c r="Q31" s="579"/>
      <c r="R31" s="578"/>
      <c r="S31" s="586"/>
      <c r="T31" s="579"/>
      <c r="U31" s="4"/>
      <c r="V31" s="14"/>
      <c r="W31" s="4"/>
      <c r="X31" s="16">
        <f>W31*U31</f>
        <v>0</v>
      </c>
      <c r="Y31" s="4"/>
      <c r="Z31" s="578"/>
      <c r="AA31" s="579"/>
    </row>
    <row r="32" spans="1:27" ht="15.75" customHeight="1">
      <c r="A32" s="68"/>
      <c r="M32" s="25"/>
      <c r="N32" s="24">
        <v>4</v>
      </c>
      <c r="O32" s="578"/>
      <c r="P32" s="586"/>
      <c r="Q32" s="579"/>
      <c r="R32" s="578"/>
      <c r="S32" s="586"/>
      <c r="T32" s="579"/>
      <c r="U32" s="4"/>
      <c r="V32" s="14"/>
      <c r="W32" s="4"/>
      <c r="X32" s="16">
        <f>W32*U32</f>
        <v>0</v>
      </c>
      <c r="Y32" s="4"/>
      <c r="Z32" s="578"/>
      <c r="AA32" s="579"/>
    </row>
    <row r="33" spans="1:27" ht="15.75" customHeight="1">
      <c r="A33" s="18"/>
      <c r="B33" s="50" t="s">
        <v>47</v>
      </c>
      <c r="C33" s="603" t="s">
        <v>12</v>
      </c>
      <c r="D33" s="586"/>
      <c r="E33" s="579"/>
      <c r="F33" s="50" t="s">
        <v>46</v>
      </c>
      <c r="G33" s="50" t="s">
        <v>48</v>
      </c>
      <c r="H33" s="50" t="s">
        <v>49</v>
      </c>
      <c r="I33" s="8" t="s">
        <v>13</v>
      </c>
      <c r="J33" s="595" t="s">
        <v>51</v>
      </c>
      <c r="K33" s="579"/>
      <c r="M33" s="25"/>
      <c r="N33" s="29">
        <v>5</v>
      </c>
      <c r="O33" s="578"/>
      <c r="P33" s="586"/>
      <c r="Q33" s="579"/>
      <c r="R33" s="578"/>
      <c r="S33" s="586"/>
      <c r="T33" s="579"/>
      <c r="U33" s="27"/>
      <c r="V33" s="30"/>
      <c r="W33" s="27"/>
      <c r="X33" s="31">
        <f>W33*U33</f>
        <v>0</v>
      </c>
      <c r="Y33" s="4"/>
      <c r="Z33" s="578"/>
      <c r="AA33" s="579"/>
    </row>
    <row r="34" spans="1:27" ht="15.75" customHeight="1">
      <c r="A34" s="53" t="s">
        <v>35</v>
      </c>
      <c r="B34" s="6">
        <v>1</v>
      </c>
      <c r="C34" s="585" t="s">
        <v>79</v>
      </c>
      <c r="D34" s="586"/>
      <c r="E34" s="579"/>
      <c r="F34" s="4">
        <v>3</v>
      </c>
      <c r="G34" s="4">
        <v>2500</v>
      </c>
      <c r="H34" s="4">
        <v>833.33</v>
      </c>
      <c r="I34" s="4">
        <v>20</v>
      </c>
      <c r="J34" s="585" t="s">
        <v>78</v>
      </c>
      <c r="K34" s="579"/>
      <c r="M34" s="69"/>
      <c r="N34" s="45"/>
      <c r="O34" s="582"/>
      <c r="P34" s="586"/>
      <c r="Q34" s="586"/>
      <c r="R34" s="582"/>
      <c r="S34" s="586"/>
      <c r="T34" s="586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582"/>
      <c r="AA34" s="579"/>
    </row>
    <row r="35" spans="1:27" ht="15.75" customHeight="1">
      <c r="A35" s="23"/>
      <c r="B35" s="6">
        <v>2</v>
      </c>
      <c r="C35" s="578"/>
      <c r="D35" s="586"/>
      <c r="E35" s="579"/>
      <c r="F35" s="4"/>
      <c r="G35" s="4"/>
      <c r="H35" s="4"/>
      <c r="I35" s="4"/>
      <c r="J35" s="578"/>
      <c r="K35" s="579"/>
      <c r="M35" s="1"/>
      <c r="N35" s="1"/>
      <c r="O35" s="593"/>
      <c r="P35" s="594"/>
      <c r="Q35" s="594"/>
      <c r="R35" s="593"/>
      <c r="S35" s="594"/>
      <c r="T35" s="594"/>
      <c r="U35" s="1"/>
      <c r="V35" s="38"/>
      <c r="W35" s="1"/>
      <c r="X35" s="1"/>
      <c r="Y35" s="593"/>
      <c r="Z35" s="594"/>
      <c r="AA35" s="594"/>
    </row>
    <row r="36" spans="1:27" ht="15.75" customHeight="1">
      <c r="A36" s="23"/>
      <c r="B36" s="6">
        <v>3</v>
      </c>
      <c r="C36" s="578"/>
      <c r="D36" s="586"/>
      <c r="E36" s="579"/>
      <c r="F36" s="4"/>
      <c r="G36" s="4"/>
      <c r="H36" s="4"/>
      <c r="I36" s="4"/>
      <c r="J36" s="578"/>
      <c r="K36" s="579"/>
      <c r="M36" s="53" t="s">
        <v>27</v>
      </c>
      <c r="N36" s="58" t="s">
        <v>47</v>
      </c>
      <c r="O36" s="591" t="s">
        <v>12</v>
      </c>
      <c r="P36" s="582"/>
      <c r="Q36" s="592"/>
      <c r="R36" s="597" t="s">
        <v>53</v>
      </c>
      <c r="S36" s="598"/>
      <c r="T36" s="599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595" t="s">
        <v>51</v>
      </c>
      <c r="AA36" s="596"/>
    </row>
    <row r="37" spans="1:27" ht="15.75" customHeight="1">
      <c r="A37" s="23"/>
      <c r="B37" s="6">
        <v>4</v>
      </c>
      <c r="C37" s="578"/>
      <c r="D37" s="586"/>
      <c r="E37" s="579"/>
      <c r="F37" s="4"/>
      <c r="G37" s="4"/>
      <c r="H37" s="4"/>
      <c r="I37" s="4"/>
      <c r="J37" s="578"/>
      <c r="K37" s="579"/>
      <c r="M37" s="57" t="s">
        <v>42</v>
      </c>
      <c r="N37" s="24">
        <v>1</v>
      </c>
      <c r="O37" s="585" t="s">
        <v>89</v>
      </c>
      <c r="P37" s="586"/>
      <c r="Q37" s="579"/>
      <c r="R37" s="585" t="s">
        <v>90</v>
      </c>
      <c r="S37" s="586"/>
      <c r="T37" s="579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585" t="s">
        <v>91</v>
      </c>
      <c r="AA37" s="579"/>
    </row>
    <row r="38" spans="1:27" ht="15.75" customHeight="1">
      <c r="A38" s="23"/>
      <c r="B38" s="26">
        <v>5</v>
      </c>
      <c r="C38" s="580"/>
      <c r="D38" s="587"/>
      <c r="E38" s="581"/>
      <c r="F38" s="27"/>
      <c r="G38" s="27"/>
      <c r="H38" s="27"/>
      <c r="I38" s="27"/>
      <c r="J38" s="580"/>
      <c r="K38" s="581"/>
      <c r="M38" s="25"/>
      <c r="N38" s="24">
        <v>2</v>
      </c>
      <c r="O38" s="578"/>
      <c r="P38" s="586"/>
      <c r="Q38" s="579"/>
      <c r="R38" s="578"/>
      <c r="S38" s="586"/>
      <c r="T38" s="579"/>
      <c r="U38" s="4"/>
      <c r="V38" s="14"/>
      <c r="W38" s="4"/>
      <c r="X38" s="16">
        <f>W38*U38</f>
        <v>0</v>
      </c>
      <c r="Y38" s="4"/>
      <c r="Z38" s="578"/>
      <c r="AA38" s="579"/>
    </row>
    <row r="39" spans="1:27" ht="14.25">
      <c r="A39" s="23"/>
      <c r="B39" s="70" t="s">
        <v>101</v>
      </c>
      <c r="C39" s="588" t="s">
        <v>80</v>
      </c>
      <c r="D39" s="589"/>
      <c r="E39" s="590"/>
      <c r="F39" s="28">
        <v>7</v>
      </c>
      <c r="G39" s="28">
        <v>2200</v>
      </c>
      <c r="H39" s="28">
        <v>314.29000000000002</v>
      </c>
      <c r="I39" s="28">
        <v>-15</v>
      </c>
      <c r="J39" s="588" t="s">
        <v>81</v>
      </c>
      <c r="K39" s="590"/>
      <c r="M39" s="25"/>
      <c r="N39" s="24">
        <v>3</v>
      </c>
      <c r="O39" s="578"/>
      <c r="P39" s="586"/>
      <c r="Q39" s="579"/>
      <c r="R39" s="578"/>
      <c r="S39" s="586"/>
      <c r="T39" s="579"/>
      <c r="U39" s="4"/>
      <c r="V39" s="14"/>
      <c r="W39" s="4"/>
      <c r="X39" s="16">
        <f>W39*U39</f>
        <v>0</v>
      </c>
      <c r="Y39" s="4"/>
      <c r="Z39" s="578"/>
      <c r="AA39" s="579"/>
    </row>
    <row r="40" spans="1:27" ht="14.25">
      <c r="A40" s="23"/>
      <c r="B40" s="71" t="s">
        <v>102</v>
      </c>
      <c r="C40" s="578"/>
      <c r="D40" s="586"/>
      <c r="E40" s="579"/>
      <c r="F40" s="4"/>
      <c r="G40" s="4"/>
      <c r="H40" s="4"/>
      <c r="I40" s="4"/>
      <c r="J40" s="578"/>
      <c r="K40" s="579"/>
      <c r="M40" s="25"/>
      <c r="N40" s="24">
        <v>4</v>
      </c>
      <c r="O40" s="578"/>
      <c r="P40" s="586"/>
      <c r="Q40" s="579"/>
      <c r="R40" s="578"/>
      <c r="S40" s="586"/>
      <c r="T40" s="579"/>
      <c r="U40" s="4"/>
      <c r="V40" s="14"/>
      <c r="W40" s="4"/>
      <c r="X40" s="16">
        <f>W40*U40</f>
        <v>0</v>
      </c>
      <c r="Y40" s="4"/>
      <c r="Z40" s="578"/>
      <c r="AA40" s="579"/>
    </row>
    <row r="41" spans="1:27" ht="14.25">
      <c r="A41" s="23"/>
      <c r="B41" s="71" t="s">
        <v>100</v>
      </c>
      <c r="C41" s="578"/>
      <c r="D41" s="586"/>
      <c r="E41" s="579"/>
      <c r="F41" s="4"/>
      <c r="G41" s="4"/>
      <c r="H41" s="4"/>
      <c r="I41" s="4"/>
      <c r="J41" s="578"/>
      <c r="K41" s="579"/>
      <c r="M41" s="25"/>
      <c r="N41" s="29">
        <v>5</v>
      </c>
      <c r="O41" s="580"/>
      <c r="P41" s="587"/>
      <c r="Q41" s="581"/>
      <c r="R41" s="580"/>
      <c r="S41" s="587"/>
      <c r="T41" s="581"/>
      <c r="U41" s="27"/>
      <c r="V41" s="30"/>
      <c r="W41" s="27"/>
      <c r="X41" s="31">
        <f>W41*U41</f>
        <v>0</v>
      </c>
      <c r="Y41" s="4"/>
      <c r="Z41" s="578"/>
      <c r="AA41" s="579"/>
    </row>
    <row r="42" spans="1:27" ht="14.25">
      <c r="A42" s="23"/>
      <c r="B42" s="71" t="s">
        <v>99</v>
      </c>
      <c r="C42" s="578"/>
      <c r="D42" s="586"/>
      <c r="E42" s="579"/>
      <c r="F42" s="4"/>
      <c r="G42" s="4"/>
      <c r="H42" s="4"/>
      <c r="I42" s="4"/>
      <c r="J42" s="578"/>
      <c r="K42" s="579"/>
      <c r="M42" s="32"/>
      <c r="N42" s="55"/>
      <c r="O42" s="582"/>
      <c r="P42" s="586"/>
      <c r="Q42" s="586"/>
      <c r="R42" s="582"/>
      <c r="S42" s="586"/>
      <c r="T42" s="586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582"/>
      <c r="AA42" s="579"/>
    </row>
    <row r="43" spans="1:27" ht="14.25">
      <c r="A43" s="20"/>
      <c r="B43" s="71" t="s">
        <v>103</v>
      </c>
      <c r="C43" s="578"/>
      <c r="D43" s="586"/>
      <c r="E43" s="579"/>
      <c r="F43" s="4"/>
      <c r="G43" s="4"/>
      <c r="H43" s="4"/>
      <c r="I43" s="4"/>
      <c r="J43" s="578"/>
      <c r="K43" s="579"/>
      <c r="M43" s="57" t="s">
        <v>43</v>
      </c>
      <c r="N43" s="24">
        <v>1</v>
      </c>
      <c r="O43" s="585" t="s">
        <v>89</v>
      </c>
      <c r="P43" s="586"/>
      <c r="Q43" s="579"/>
      <c r="R43" s="583" t="s">
        <v>93</v>
      </c>
      <c r="S43" s="602"/>
      <c r="T43" s="584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585" t="s">
        <v>92</v>
      </c>
      <c r="AA43" s="579"/>
    </row>
    <row r="44" spans="1:27" ht="14.25">
      <c r="A44" s="68"/>
      <c r="M44" s="25"/>
      <c r="N44" s="24">
        <v>2</v>
      </c>
      <c r="O44" s="578"/>
      <c r="P44" s="586"/>
      <c r="Q44" s="579"/>
      <c r="R44" s="578"/>
      <c r="S44" s="586"/>
      <c r="T44" s="579"/>
      <c r="U44" s="4"/>
      <c r="V44" s="14"/>
      <c r="W44" s="4"/>
      <c r="X44" s="37">
        <f>W44*U44</f>
        <v>0</v>
      </c>
      <c r="Y44" s="4"/>
      <c r="Z44" s="578"/>
      <c r="AA44" s="579"/>
    </row>
    <row r="45" spans="1:27" ht="14.25">
      <c r="A45" s="18"/>
      <c r="B45" s="50" t="s">
        <v>47</v>
      </c>
      <c r="C45" s="603" t="s">
        <v>12</v>
      </c>
      <c r="D45" s="586"/>
      <c r="E45" s="579"/>
      <c r="F45" s="50" t="s">
        <v>46</v>
      </c>
      <c r="G45" s="50" t="s">
        <v>48</v>
      </c>
      <c r="H45" s="50" t="s">
        <v>49</v>
      </c>
      <c r="I45" s="8" t="s">
        <v>13</v>
      </c>
      <c r="J45" s="595" t="s">
        <v>51</v>
      </c>
      <c r="K45" s="579"/>
      <c r="M45" s="25"/>
      <c r="N45" s="24">
        <v>3</v>
      </c>
      <c r="O45" s="578"/>
      <c r="P45" s="586"/>
      <c r="Q45" s="579"/>
      <c r="R45" s="578"/>
      <c r="S45" s="586"/>
      <c r="T45" s="579"/>
      <c r="U45" s="4"/>
      <c r="V45" s="14"/>
      <c r="W45" s="4"/>
      <c r="X45" s="37">
        <f>W45*U45</f>
        <v>0</v>
      </c>
      <c r="Y45" s="4"/>
      <c r="Z45" s="578"/>
      <c r="AA45" s="579"/>
    </row>
    <row r="46" spans="1:27" ht="14.25">
      <c r="A46" s="53" t="s">
        <v>36</v>
      </c>
      <c r="B46" s="6">
        <v>1</v>
      </c>
      <c r="C46" s="585" t="s">
        <v>82</v>
      </c>
      <c r="D46" s="586"/>
      <c r="E46" s="579"/>
      <c r="F46" s="4">
        <v>15</v>
      </c>
      <c r="G46" s="4">
        <v>1200</v>
      </c>
      <c r="H46" s="4">
        <v>80</v>
      </c>
      <c r="I46" s="4">
        <v>5</v>
      </c>
      <c r="J46" s="585" t="s">
        <v>83</v>
      </c>
      <c r="K46" s="579"/>
      <c r="M46" s="25"/>
      <c r="N46" s="24">
        <v>4</v>
      </c>
      <c r="O46" s="578"/>
      <c r="P46" s="586"/>
      <c r="Q46" s="579"/>
      <c r="R46" s="578"/>
      <c r="S46" s="586"/>
      <c r="T46" s="579"/>
      <c r="U46" s="4"/>
      <c r="V46" s="14"/>
      <c r="W46" s="4"/>
      <c r="X46" s="37">
        <f>W46*U46</f>
        <v>0</v>
      </c>
      <c r="Y46" s="4"/>
      <c r="Z46" s="578"/>
      <c r="AA46" s="579"/>
    </row>
    <row r="47" spans="1:27" ht="14.25">
      <c r="A47" s="23"/>
      <c r="B47" s="6">
        <v>2</v>
      </c>
      <c r="C47" s="578"/>
      <c r="D47" s="586"/>
      <c r="E47" s="579"/>
      <c r="F47" s="4"/>
      <c r="G47" s="4"/>
      <c r="H47" s="4"/>
      <c r="I47" s="4"/>
      <c r="J47" s="578"/>
      <c r="K47" s="579"/>
      <c r="M47" s="25"/>
      <c r="N47" s="29">
        <v>5</v>
      </c>
      <c r="O47" s="578"/>
      <c r="P47" s="586"/>
      <c r="Q47" s="579"/>
      <c r="R47" s="578"/>
      <c r="S47" s="586"/>
      <c r="T47" s="579"/>
      <c r="U47" s="27"/>
      <c r="V47" s="30"/>
      <c r="W47" s="27"/>
      <c r="X47" s="40">
        <f>W47*U47</f>
        <v>0</v>
      </c>
      <c r="Y47" s="4"/>
      <c r="Z47" s="578"/>
      <c r="AA47" s="579"/>
    </row>
    <row r="48" spans="1:27" ht="14.25">
      <c r="A48" s="23"/>
      <c r="B48" s="6">
        <v>3</v>
      </c>
      <c r="C48" s="578"/>
      <c r="D48" s="586"/>
      <c r="E48" s="579"/>
      <c r="F48" s="4"/>
      <c r="G48" s="4"/>
      <c r="H48" s="4"/>
      <c r="I48" s="4"/>
      <c r="J48" s="578"/>
      <c r="K48" s="579"/>
      <c r="M48" s="69"/>
      <c r="N48" s="45"/>
      <c r="O48" s="582"/>
      <c r="P48" s="586"/>
      <c r="Q48" s="586"/>
      <c r="R48" s="582"/>
      <c r="S48" s="586"/>
      <c r="T48" s="586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582"/>
      <c r="AA48" s="579"/>
    </row>
    <row r="49" spans="1:27" ht="14.25">
      <c r="A49" s="23"/>
      <c r="B49" s="6">
        <v>4</v>
      </c>
      <c r="C49" s="578"/>
      <c r="D49" s="586"/>
      <c r="E49" s="579"/>
      <c r="F49" s="4"/>
      <c r="G49" s="4"/>
      <c r="H49" s="4"/>
      <c r="I49" s="4"/>
      <c r="J49" s="578"/>
      <c r="K49" s="579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80"/>
      <c r="D50" s="587"/>
      <c r="E50" s="581"/>
      <c r="F50" s="27"/>
      <c r="G50" s="27"/>
      <c r="H50" s="27"/>
      <c r="I50" s="27"/>
      <c r="J50" s="580"/>
      <c r="K50" s="581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101</v>
      </c>
      <c r="C51" s="588" t="s">
        <v>89</v>
      </c>
      <c r="D51" s="589"/>
      <c r="E51" s="590"/>
      <c r="F51" s="28">
        <v>18</v>
      </c>
      <c r="G51" s="28">
        <v>800</v>
      </c>
      <c r="H51" s="28">
        <v>44.44</v>
      </c>
      <c r="I51" s="28">
        <v>-15</v>
      </c>
      <c r="J51" s="588" t="s">
        <v>84</v>
      </c>
      <c r="K51" s="590"/>
      <c r="M51" s="8"/>
      <c r="N51" s="8" t="s">
        <v>18</v>
      </c>
      <c r="O51" s="591" t="s">
        <v>12</v>
      </c>
      <c r="P51" s="582"/>
      <c r="Q51" s="592"/>
      <c r="R51" s="597" t="s">
        <v>53</v>
      </c>
      <c r="S51" s="598"/>
      <c r="T51" s="599"/>
      <c r="U51" s="58" t="s">
        <v>54</v>
      </c>
      <c r="V51" s="39" t="s">
        <v>19</v>
      </c>
      <c r="W51" s="58" t="s">
        <v>57</v>
      </c>
      <c r="X51" s="8" t="s">
        <v>2</v>
      </c>
      <c r="Y51" s="591" t="s">
        <v>50</v>
      </c>
      <c r="Z51" s="582"/>
      <c r="AA51" s="592"/>
    </row>
    <row r="52" spans="1:27" ht="14.25">
      <c r="A52" s="23"/>
      <c r="B52" s="71" t="s">
        <v>102</v>
      </c>
      <c r="C52" s="578"/>
      <c r="D52" s="586"/>
      <c r="E52" s="579"/>
      <c r="F52" s="4"/>
      <c r="G52" s="4"/>
      <c r="H52" s="4"/>
      <c r="I52" s="4"/>
      <c r="J52" s="578"/>
      <c r="K52" s="579"/>
      <c r="M52" s="57" t="s">
        <v>42</v>
      </c>
      <c r="N52" s="24">
        <v>1</v>
      </c>
      <c r="O52" s="585" t="s">
        <v>89</v>
      </c>
      <c r="P52" s="586"/>
      <c r="Q52" s="579"/>
      <c r="R52" s="583" t="s">
        <v>93</v>
      </c>
      <c r="S52" s="602"/>
      <c r="T52" s="584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585" t="s">
        <v>97</v>
      </c>
      <c r="Z52" s="586"/>
      <c r="AA52" s="579"/>
    </row>
    <row r="53" spans="1:27" ht="14.25">
      <c r="A53" s="23"/>
      <c r="B53" s="71" t="s">
        <v>100</v>
      </c>
      <c r="C53" s="578"/>
      <c r="D53" s="586"/>
      <c r="E53" s="579"/>
      <c r="F53" s="4"/>
      <c r="G53" s="4"/>
      <c r="H53" s="4"/>
      <c r="I53" s="4"/>
      <c r="J53" s="578"/>
      <c r="K53" s="579"/>
      <c r="M53" s="25"/>
      <c r="N53" s="29">
        <v>2</v>
      </c>
      <c r="O53" s="580"/>
      <c r="P53" s="587"/>
      <c r="Q53" s="581"/>
      <c r="R53" s="580"/>
      <c r="S53" s="587"/>
      <c r="T53" s="581"/>
      <c r="U53" s="27"/>
      <c r="V53" s="30"/>
      <c r="W53" s="30"/>
      <c r="X53" s="41">
        <f>W53-V53</f>
        <v>0</v>
      </c>
      <c r="Y53" s="580"/>
      <c r="Z53" s="587"/>
      <c r="AA53" s="581"/>
    </row>
    <row r="54" spans="1:27" ht="14.25">
      <c r="A54" s="23"/>
      <c r="B54" s="71" t="s">
        <v>99</v>
      </c>
      <c r="C54" s="578"/>
      <c r="D54" s="586"/>
      <c r="E54" s="579"/>
      <c r="F54" s="4"/>
      <c r="G54" s="4"/>
      <c r="H54" s="4"/>
      <c r="I54" s="4"/>
      <c r="J54" s="578"/>
      <c r="K54" s="579"/>
      <c r="M54" s="57" t="s">
        <v>43</v>
      </c>
      <c r="N54" s="42">
        <v>1</v>
      </c>
      <c r="O54" s="588" t="s">
        <v>94</v>
      </c>
      <c r="P54" s="589"/>
      <c r="Q54" s="590"/>
      <c r="R54" s="588" t="s">
        <v>95</v>
      </c>
      <c r="S54" s="589"/>
      <c r="T54" s="590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588" t="s">
        <v>96</v>
      </c>
      <c r="Z54" s="589"/>
      <c r="AA54" s="590"/>
    </row>
    <row r="55" spans="1:27" ht="14.25">
      <c r="A55" s="20"/>
      <c r="B55" s="71" t="s">
        <v>103</v>
      </c>
      <c r="C55" s="578"/>
      <c r="D55" s="586"/>
      <c r="E55" s="579"/>
      <c r="F55" s="4"/>
      <c r="G55" s="4"/>
      <c r="H55" s="4"/>
      <c r="I55" s="4"/>
      <c r="J55" s="578"/>
      <c r="K55" s="579"/>
      <c r="M55" s="22"/>
      <c r="N55" s="24">
        <v>2</v>
      </c>
      <c r="O55" s="578"/>
      <c r="P55" s="586"/>
      <c r="Q55" s="579"/>
      <c r="R55" s="578"/>
      <c r="S55" s="586"/>
      <c r="T55" s="579"/>
      <c r="U55" s="4"/>
      <c r="V55" s="14"/>
      <c r="W55" s="14"/>
      <c r="X55" s="13">
        <f>W55-V55</f>
        <v>0</v>
      </c>
      <c r="Y55" s="578"/>
      <c r="Z55" s="586"/>
      <c r="AA55" s="579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8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2" ht="15.75" customHeight="1">
      <c r="A1" s="605" t="s">
        <v>405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120"/>
    </row>
    <row r="2" spans="1:12" s="121" customFormat="1" ht="15.75" customHeight="1">
      <c r="A2" s="605"/>
      <c r="B2" s="605"/>
      <c r="C2" s="605"/>
      <c r="D2" s="605"/>
      <c r="E2" s="605"/>
      <c r="F2" s="605"/>
      <c r="G2" s="605"/>
      <c r="H2" s="605"/>
      <c r="I2" s="605"/>
      <c r="J2" s="605"/>
      <c r="K2" s="605"/>
    </row>
    <row r="3" spans="1:12" ht="21.6" customHeight="1">
      <c r="A3" s="140" t="s">
        <v>325</v>
      </c>
      <c r="B3" s="141">
        <v>10</v>
      </c>
      <c r="C3" s="140" t="s">
        <v>20</v>
      </c>
      <c r="D3" s="606" t="s">
        <v>404</v>
      </c>
      <c r="E3" s="606"/>
      <c r="F3" s="131"/>
      <c r="G3" s="132"/>
      <c r="H3" s="131"/>
      <c r="I3" s="131"/>
      <c r="J3" s="131"/>
      <c r="K3" s="131"/>
    </row>
    <row r="4" spans="1:12" s="122" customFormat="1" ht="15.75" customHeight="1">
      <c r="A4" s="133" t="s">
        <v>195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2" s="126" customFormat="1" ht="15.75" customHeight="1">
      <c r="A5" s="147" t="s">
        <v>197</v>
      </c>
      <c r="B5" s="142" t="s">
        <v>22</v>
      </c>
      <c r="C5" s="142" t="s">
        <v>1</v>
      </c>
      <c r="D5" s="142" t="s">
        <v>2</v>
      </c>
      <c r="E5" s="142" t="s">
        <v>3</v>
      </c>
      <c r="F5" s="136"/>
      <c r="G5" s="147" t="s">
        <v>197</v>
      </c>
      <c r="H5" s="142" t="s">
        <v>69</v>
      </c>
      <c r="I5" s="142" t="s">
        <v>22</v>
      </c>
      <c r="J5" s="142" t="s">
        <v>67</v>
      </c>
      <c r="K5" s="142" t="s">
        <v>3</v>
      </c>
      <c r="L5" s="127" t="s">
        <v>60</v>
      </c>
    </row>
    <row r="6" spans="1:12" s="122" customFormat="1" ht="18" customHeight="1">
      <c r="A6" s="129" t="s">
        <v>24</v>
      </c>
      <c r="B6" s="143">
        <f>'（１）收支狀況'!H10/1000</f>
        <v>107829.431</v>
      </c>
      <c r="C6" s="296">
        <v>224463.48699999999</v>
      </c>
      <c r="D6" s="143">
        <f t="shared" ref="D6:D11" si="0">B6-C6</f>
        <v>-116634.056</v>
      </c>
      <c r="E6" s="143">
        <f t="shared" ref="E6:E11" si="1">B6</f>
        <v>107829.431</v>
      </c>
      <c r="F6" s="134"/>
      <c r="G6" s="129" t="s">
        <v>198</v>
      </c>
      <c r="H6" s="299">
        <v>266</v>
      </c>
      <c r="I6" s="145">
        <f>'（２）ＫＰＩ達成進度'!H6</f>
        <v>0</v>
      </c>
      <c r="J6" s="314">
        <v>330.21457859125206</v>
      </c>
      <c r="K6" s="145">
        <f t="shared" ref="K6:K11" si="2">I6</f>
        <v>0</v>
      </c>
      <c r="L6" s="123" t="s">
        <v>194</v>
      </c>
    </row>
    <row r="7" spans="1:12" s="122" customFormat="1" ht="18" customHeight="1">
      <c r="A7" s="129" t="s">
        <v>25</v>
      </c>
      <c r="B7" s="143">
        <f>'（１）收支狀況'!K10</f>
        <v>3266413</v>
      </c>
      <c r="C7" s="296">
        <v>6964636</v>
      </c>
      <c r="D7" s="143">
        <f t="shared" si="0"/>
        <v>-3698223</v>
      </c>
      <c r="E7" s="143">
        <f t="shared" si="1"/>
        <v>3266413</v>
      </c>
      <c r="F7" s="134"/>
      <c r="G7" s="129" t="s">
        <v>199</v>
      </c>
      <c r="H7" s="255">
        <v>0.8</v>
      </c>
      <c r="I7" s="144">
        <f>'（２）ＫＰＩ達成進度'!K6</f>
        <v>0</v>
      </c>
      <c r="J7" s="297">
        <v>0.90222562456626254</v>
      </c>
      <c r="K7" s="144">
        <f t="shared" si="2"/>
        <v>0</v>
      </c>
      <c r="L7" s="123" t="s">
        <v>4</v>
      </c>
    </row>
    <row r="8" spans="1:12" s="122" customFormat="1" ht="18" customHeight="1">
      <c r="A8" s="129" t="s">
        <v>5</v>
      </c>
      <c r="B8" s="143">
        <f>'（１）收支狀況'!N10/1000</f>
        <v>71263.432000000001</v>
      </c>
      <c r="C8" s="296">
        <v>150244.29199999999</v>
      </c>
      <c r="D8" s="143">
        <f>B8-C8</f>
        <v>-78980.859999999986</v>
      </c>
      <c r="E8" s="143">
        <f t="shared" si="1"/>
        <v>71263.432000000001</v>
      </c>
      <c r="F8" s="134"/>
      <c r="G8" s="129" t="s">
        <v>200</v>
      </c>
      <c r="H8" s="250">
        <v>2.5000000000000001E-3</v>
      </c>
      <c r="I8" s="250">
        <f>'（２）ＫＰＩ達成進度'!N6</f>
        <v>0</v>
      </c>
      <c r="J8" s="315">
        <v>2.4646256819628254E-3</v>
      </c>
      <c r="K8" s="250">
        <f t="shared" si="2"/>
        <v>0</v>
      </c>
      <c r="L8" s="123" t="s">
        <v>55</v>
      </c>
    </row>
    <row r="9" spans="1:12" s="122" customFormat="1" ht="18" customHeight="1">
      <c r="A9" s="129" t="s">
        <v>6</v>
      </c>
      <c r="B9" s="144">
        <f>'（１）收支狀況'!Q10</f>
        <v>0.66089036489490516</v>
      </c>
      <c r="C9" s="297">
        <v>0.66934847180735457</v>
      </c>
      <c r="D9" s="144">
        <f t="shared" si="0"/>
        <v>-8.4581069124494146E-3</v>
      </c>
      <c r="E9" s="144">
        <f t="shared" si="1"/>
        <v>0.66089036489490516</v>
      </c>
      <c r="F9" s="134"/>
      <c r="G9" s="129" t="s">
        <v>201</v>
      </c>
      <c r="H9" s="250">
        <v>2.5999999999999999E-3</v>
      </c>
      <c r="I9" s="250">
        <f>'（２）ＫＰＩ達成進度'!Q6</f>
        <v>0</v>
      </c>
      <c r="J9" s="315">
        <v>2.3405370745029669E-3</v>
      </c>
      <c r="K9" s="250">
        <f t="shared" si="2"/>
        <v>0</v>
      </c>
      <c r="L9" s="123" t="s">
        <v>98</v>
      </c>
    </row>
    <row r="10" spans="1:12" s="122" customFormat="1" ht="18" customHeight="1">
      <c r="A10" s="129" t="s">
        <v>64</v>
      </c>
      <c r="B10" s="143">
        <f>'（１）收支狀況'!T10/1000</f>
        <v>16160.446281904773</v>
      </c>
      <c r="C10" s="296">
        <v>32105.786706827967</v>
      </c>
      <c r="D10" s="143">
        <f t="shared" si="0"/>
        <v>-15945.340424923193</v>
      </c>
      <c r="E10" s="143">
        <f t="shared" si="1"/>
        <v>16160.446281904773</v>
      </c>
      <c r="F10" s="134"/>
      <c r="G10" s="129" t="s">
        <v>202</v>
      </c>
      <c r="H10" s="252">
        <v>0.8</v>
      </c>
      <c r="I10" s="252">
        <f>'（２）ＫＰＩ達成進度'!T6</f>
        <v>0</v>
      </c>
      <c r="J10" s="316">
        <v>0.91666666666666707</v>
      </c>
      <c r="K10" s="252">
        <f t="shared" si="2"/>
        <v>0</v>
      </c>
      <c r="L10" s="123" t="s">
        <v>7</v>
      </c>
    </row>
    <row r="11" spans="1:12" s="122" customFormat="1" ht="18" customHeight="1">
      <c r="A11" s="129" t="s">
        <v>65</v>
      </c>
      <c r="B11" s="144">
        <f>'（１）收支狀況'!W10</f>
        <v>0.14987045866823479</v>
      </c>
      <c r="C11" s="297">
        <v>0.14303344894053066</v>
      </c>
      <c r="D11" s="144">
        <f t="shared" si="0"/>
        <v>6.8370097277041242E-3</v>
      </c>
      <c r="E11" s="144">
        <f t="shared" si="1"/>
        <v>0.14987045866823479</v>
      </c>
      <c r="F11" s="134"/>
      <c r="G11" s="129" t="s">
        <v>203</v>
      </c>
      <c r="H11" s="252">
        <v>1</v>
      </c>
      <c r="I11" s="144">
        <f>'（２）ＫＰＩ達成進度'!W6</f>
        <v>0</v>
      </c>
      <c r="J11" s="297">
        <v>0.84941935483870945</v>
      </c>
      <c r="K11" s="144">
        <f t="shared" si="2"/>
        <v>0</v>
      </c>
      <c r="L11" s="123" t="s">
        <v>62</v>
      </c>
    </row>
    <row r="12" spans="1:12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2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2" s="128" customFormat="1" ht="12">
      <c r="A14" s="146"/>
      <c r="B14" s="146" t="s">
        <v>22</v>
      </c>
      <c r="C14" s="146" t="s">
        <v>66</v>
      </c>
      <c r="D14" s="146" t="s">
        <v>67</v>
      </c>
      <c r="E14" s="146" t="s">
        <v>68</v>
      </c>
      <c r="F14" s="137"/>
      <c r="G14" s="146"/>
      <c r="H14" s="146" t="s">
        <v>22</v>
      </c>
      <c r="I14" s="146" t="s">
        <v>66</v>
      </c>
      <c r="J14" s="146" t="s">
        <v>67</v>
      </c>
      <c r="K14" s="146" t="s">
        <v>68</v>
      </c>
    </row>
    <row r="15" spans="1:12" s="122" customFormat="1" ht="18" customHeight="1">
      <c r="A15" s="129" t="s">
        <v>227</v>
      </c>
      <c r="B15" s="143">
        <f>'（３）業績構成比'!M46/1000</f>
        <v>16735.732379340698</v>
      </c>
      <c r="C15" s="144">
        <f>IFERROR(B15/$B$6,"")</f>
        <v>0.15520560782093618</v>
      </c>
      <c r="D15" s="297">
        <v>0.19061185820038584</v>
      </c>
      <c r="E15" s="144">
        <f>IFERROR(C15-D15,"")</f>
        <v>-3.5406250379449666E-2</v>
      </c>
      <c r="F15" s="134"/>
      <c r="G15" s="129" t="s">
        <v>232</v>
      </c>
      <c r="H15" s="143">
        <f>'（４）訂單數量構成比'!M46</f>
        <v>948350</v>
      </c>
      <c r="I15" s="144">
        <f t="shared" ref="I15:I23" si="3">IFERROR(H15/$B$7,"")</f>
        <v>0.29033376979579739</v>
      </c>
      <c r="J15" s="297">
        <v>0.33067557299476957</v>
      </c>
      <c r="K15" s="144">
        <f t="shared" ref="K15:K23" si="4">IFERROR(I15-J15,"")</f>
        <v>-4.0341803198972181E-2</v>
      </c>
    </row>
    <row r="16" spans="1:12" s="122" customFormat="1" ht="18" customHeight="1">
      <c r="A16" s="129" t="s">
        <v>222</v>
      </c>
      <c r="B16" s="143">
        <f>'（３）業績構成比'!S46/1000</f>
        <v>2830.4319698312775</v>
      </c>
      <c r="C16" s="144">
        <f t="shared" ref="C16:C23" si="5">IFERROR(B16/$B$6,"")</f>
        <v>2.6249159840519586E-2</v>
      </c>
      <c r="D16" s="297">
        <v>4.2789233591899609E-2</v>
      </c>
      <c r="E16" s="144">
        <f t="shared" ref="E16:E23" si="6">IFERROR(C16-D16,"")</f>
        <v>-1.6540073751380023E-2</v>
      </c>
      <c r="F16" s="134"/>
      <c r="G16" s="129" t="s">
        <v>251</v>
      </c>
      <c r="H16" s="143">
        <f>'（４）訂單數量構成比'!S47</f>
        <v>115584</v>
      </c>
      <c r="I16" s="144">
        <f t="shared" si="3"/>
        <v>3.5385604943404279E-2</v>
      </c>
      <c r="J16" s="297">
        <v>6.1681041191528174E-2</v>
      </c>
      <c r="K16" s="144">
        <f t="shared" si="4"/>
        <v>-2.6295436248123895E-2</v>
      </c>
    </row>
    <row r="17" spans="1:18" s="122" customFormat="1" ht="18" customHeight="1">
      <c r="A17" s="129" t="s">
        <v>218</v>
      </c>
      <c r="B17" s="143">
        <f>'（３）業績構成比'!U46/1000</f>
        <v>17505.758943494006</v>
      </c>
      <c r="C17" s="144">
        <f t="shared" si="5"/>
        <v>0.16234676174349846</v>
      </c>
      <c r="D17" s="297">
        <v>8.6938303169141445E-2</v>
      </c>
      <c r="E17" s="144">
        <f t="shared" si="6"/>
        <v>7.5408458574357018E-2</v>
      </c>
      <c r="F17" s="134"/>
      <c r="G17" s="129" t="s">
        <v>233</v>
      </c>
      <c r="H17" s="143">
        <f>'（４）訂單數量構成比'!U46</f>
        <v>529272</v>
      </c>
      <c r="I17" s="144">
        <f t="shared" si="3"/>
        <v>0.16203462330085019</v>
      </c>
      <c r="J17" s="297">
        <v>8.2530228428305513E-2</v>
      </c>
      <c r="K17" s="144">
        <f t="shared" si="4"/>
        <v>7.9504394872544681E-2</v>
      </c>
    </row>
    <row r="18" spans="1:18" s="122" customFormat="1" ht="18" customHeight="1">
      <c r="A18" s="129" t="s">
        <v>220</v>
      </c>
      <c r="B18" s="143">
        <f>'（３）業績構成比'!W46/1000</f>
        <v>2020.852159882071</v>
      </c>
      <c r="C18" s="144">
        <f t="shared" si="5"/>
        <v>1.8741192837065709E-2</v>
      </c>
      <c r="D18" s="297">
        <v>1.4659145993880142E-2</v>
      </c>
      <c r="E18" s="144">
        <f t="shared" si="6"/>
        <v>4.0820468431855671E-3</v>
      </c>
      <c r="F18" s="134"/>
      <c r="G18" s="129" t="s">
        <v>219</v>
      </c>
      <c r="H18" s="143">
        <f>'（４）訂單數量構成比'!W46</f>
        <v>58512</v>
      </c>
      <c r="I18" s="144">
        <f t="shared" si="3"/>
        <v>1.7913227751665206E-2</v>
      </c>
      <c r="J18" s="297">
        <v>1.6773740939224964E-2</v>
      </c>
      <c r="K18" s="144">
        <f t="shared" si="4"/>
        <v>1.1394868124402421E-3</v>
      </c>
    </row>
    <row r="19" spans="1:18" s="122" customFormat="1" ht="18" customHeight="1">
      <c r="A19" s="129" t="s">
        <v>224</v>
      </c>
      <c r="B19" s="143">
        <f>'（３）業績構成比'!AC46/1000</f>
        <v>27951.09842625057</v>
      </c>
      <c r="C19" s="144">
        <f t="shared" si="5"/>
        <v>0.25921585755423832</v>
      </c>
      <c r="D19" s="297">
        <v>0.24409177848792188</v>
      </c>
      <c r="E19" s="144">
        <f t="shared" si="6"/>
        <v>1.5124079066316437E-2</v>
      </c>
      <c r="F19" s="134"/>
      <c r="G19" s="129" t="s">
        <v>223</v>
      </c>
      <c r="H19" s="143">
        <f>'（４）訂單數量構成比'!AC46</f>
        <v>725464</v>
      </c>
      <c r="I19" s="144">
        <f t="shared" si="3"/>
        <v>0.22209806292100845</v>
      </c>
      <c r="J19" s="297">
        <v>0.19673059726308739</v>
      </c>
      <c r="K19" s="144">
        <f t="shared" si="4"/>
        <v>2.5367465657921057E-2</v>
      </c>
    </row>
    <row r="20" spans="1:18" s="122" customFormat="1" ht="18" customHeight="1">
      <c r="A20" s="129" t="s">
        <v>226</v>
      </c>
      <c r="B20" s="143">
        <f>'（３）業績構成比'!AE46/1000</f>
        <v>16734.563261703315</v>
      </c>
      <c r="C20" s="144">
        <f t="shared" si="5"/>
        <v>0.15519476553394143</v>
      </c>
      <c r="D20" s="297">
        <v>0.1397972381723295</v>
      </c>
      <c r="E20" s="144">
        <f t="shared" si="6"/>
        <v>1.5397527361611929E-2</v>
      </c>
      <c r="F20" s="134"/>
      <c r="G20" s="129" t="s">
        <v>225</v>
      </c>
      <c r="H20" s="143">
        <f>'（４）訂單數量構成比'!AE46</f>
        <v>304967</v>
      </c>
      <c r="I20" s="144">
        <f t="shared" si="3"/>
        <v>9.3364494936800699E-2</v>
      </c>
      <c r="J20" s="297">
        <v>7.9797709456746913E-2</v>
      </c>
      <c r="K20" s="144">
        <f t="shared" si="4"/>
        <v>1.3566785480053786E-2</v>
      </c>
    </row>
    <row r="21" spans="1:18" s="122" customFormat="1" ht="18" customHeight="1">
      <c r="A21" s="129" t="s">
        <v>228</v>
      </c>
      <c r="B21" s="143">
        <f>'（３）業績構成比'!AG46/1000</f>
        <v>5822.1478233826119</v>
      </c>
      <c r="C21" s="144">
        <f>IFERROR(B21/$B$6,"")</f>
        <v>5.3994051247313102E-2</v>
      </c>
      <c r="D21" s="297">
        <v>0.13619626613806221</v>
      </c>
      <c r="E21" s="144">
        <f>IFERROR(C21-D21,"")</f>
        <v>-8.2202214890749109E-2</v>
      </c>
      <c r="F21" s="134"/>
      <c r="G21" s="129" t="s">
        <v>234</v>
      </c>
      <c r="H21" s="143">
        <f>'（４）訂單數量構成比'!AG46</f>
        <v>119185</v>
      </c>
      <c r="I21" s="144">
        <f>IFERROR(H21/$B$7,"")</f>
        <v>3.648803748944178E-2</v>
      </c>
      <c r="J21" s="297">
        <v>9.0009011239065476E-2</v>
      </c>
      <c r="K21" s="144">
        <f>IFERROR(I21-J21,"")</f>
        <v>-5.3520973749623696E-2</v>
      </c>
    </row>
    <row r="22" spans="1:18" s="122" customFormat="1" ht="18" customHeight="1">
      <c r="A22" s="129" t="s">
        <v>229</v>
      </c>
      <c r="B22" s="143">
        <f>'（３）業績構成比'!AI46/1000</f>
        <v>7244.4458560693683</v>
      </c>
      <c r="C22" s="144">
        <f t="shared" si="5"/>
        <v>6.7184309412421622E-2</v>
      </c>
      <c r="D22" s="297">
        <v>6.8175373790099608E-2</v>
      </c>
      <c r="E22" s="144">
        <f t="shared" si="6"/>
        <v>-9.9106437767798594E-4</v>
      </c>
      <c r="F22" s="134"/>
      <c r="G22" s="129" t="s">
        <v>235</v>
      </c>
      <c r="H22" s="143">
        <f>'（４）訂單數量構成比'!AI46</f>
        <v>195719</v>
      </c>
      <c r="I22" s="144">
        <f t="shared" si="3"/>
        <v>5.9918632457071408E-2</v>
      </c>
      <c r="J22" s="297">
        <v>5.972113976954431E-2</v>
      </c>
      <c r="K22" s="144">
        <f t="shared" si="4"/>
        <v>1.9749268752709825E-4</v>
      </c>
    </row>
    <row r="23" spans="1:18" s="122" customFormat="1" ht="18" customHeight="1">
      <c r="A23" s="129" t="s">
        <v>231</v>
      </c>
      <c r="B23" s="143">
        <f>'（３）業績構成比'!AK46/1000</f>
        <v>7666.3991711059216</v>
      </c>
      <c r="C23" s="144">
        <f t="shared" si="5"/>
        <v>7.1097464764568047E-2</v>
      </c>
      <c r="D23" s="297">
        <v>7.674080245627983E-2</v>
      </c>
      <c r="E23" s="144">
        <f t="shared" si="6"/>
        <v>-5.6433376917117833E-3</v>
      </c>
      <c r="F23" s="134"/>
      <c r="G23" s="129" t="s">
        <v>230</v>
      </c>
      <c r="H23" s="143">
        <f>'（４）訂單數量構成比'!AK46</f>
        <v>269360</v>
      </c>
      <c r="I23" s="144">
        <f t="shared" si="3"/>
        <v>8.2463546403960558E-2</v>
      </c>
      <c r="J23" s="297">
        <v>8.2080958717727678E-2</v>
      </c>
      <c r="K23" s="144">
        <f t="shared" si="4"/>
        <v>3.8258768623287975E-4</v>
      </c>
    </row>
    <row r="24" spans="1:18" s="122" customFormat="1" ht="15.75" customHeight="1">
      <c r="A24" s="134"/>
      <c r="B24" s="134"/>
      <c r="C24" s="138">
        <f>SUM(C15:C23)</f>
        <v>0.96922917075450232</v>
      </c>
      <c r="D24" s="138">
        <f>SUM(D15:D23)</f>
        <v>1.0000000000000002</v>
      </c>
      <c r="E24" s="134"/>
      <c r="F24" s="134"/>
      <c r="G24" s="134"/>
      <c r="H24" s="134"/>
      <c r="I24" s="138">
        <f>SUM(I15:I23)</f>
        <v>0.99999999999999978</v>
      </c>
      <c r="J24" s="138">
        <f>SUM(J15:J23)</f>
        <v>1</v>
      </c>
      <c r="K24" s="134"/>
    </row>
    <row r="25" spans="1:18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8" s="122" customFormat="1" ht="15.75" customHeight="1">
      <c r="A26" s="133" t="s">
        <v>196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</row>
    <row r="27" spans="1:18" s="122" customFormat="1" ht="15.75" customHeight="1">
      <c r="A27" s="129" t="s">
        <v>186</v>
      </c>
      <c r="B27" s="129" t="s">
        <v>22</v>
      </c>
      <c r="C27" s="129" t="s">
        <v>1</v>
      </c>
      <c r="D27" s="129" t="s">
        <v>2</v>
      </c>
      <c r="E27" s="129" t="s">
        <v>3</v>
      </c>
      <c r="F27" s="134"/>
      <c r="G27" s="134"/>
      <c r="H27" s="134"/>
      <c r="I27" s="134"/>
      <c r="M27" s="136" t="s">
        <v>508</v>
      </c>
      <c r="N27" s="136" t="s">
        <v>509</v>
      </c>
      <c r="O27" s="136" t="s">
        <v>510</v>
      </c>
      <c r="P27" s="136" t="s">
        <v>511</v>
      </c>
      <c r="Q27" s="136" t="s">
        <v>512</v>
      </c>
      <c r="R27" s="134"/>
    </row>
    <row r="28" spans="1:18" s="122" customFormat="1" ht="18" customHeight="1">
      <c r="A28" s="129" t="s">
        <v>232</v>
      </c>
      <c r="B28" s="298">
        <f>'（５-1）品群別人時生產性（18℃-飯糰）'!$C$1</f>
        <v>794.21438405609206</v>
      </c>
      <c r="C28" s="343">
        <v>756.20246993670457</v>
      </c>
      <c r="D28" s="245">
        <f t="shared" ref="D28:D36" si="7">B28-C28</f>
        <v>38.011914119387484</v>
      </c>
      <c r="E28" s="298">
        <f>R28</f>
        <v>755.8709594920258</v>
      </c>
      <c r="F28" s="134"/>
      <c r="G28" s="148"/>
      <c r="H28" s="148"/>
      <c r="I28" s="148"/>
      <c r="M28" s="298">
        <v>717.52753492795955</v>
      </c>
      <c r="N28" s="298">
        <f>B28</f>
        <v>794.21438405609206</v>
      </c>
      <c r="O28" s="298"/>
      <c r="P28" s="298"/>
      <c r="Q28" s="298"/>
      <c r="R28" s="317">
        <f>AVERAGE(M28:Q28)</f>
        <v>755.8709594920258</v>
      </c>
    </row>
    <row r="29" spans="1:18" s="122" customFormat="1" ht="18" customHeight="1">
      <c r="A29" s="129" t="s">
        <v>221</v>
      </c>
      <c r="B29" s="298">
        <f>'（５-2）品群別人時生產性（18-壽司手卷)'!$C$1</f>
        <v>182.26675861033209</v>
      </c>
      <c r="C29" s="343">
        <v>198.82982221081653</v>
      </c>
      <c r="D29" s="245">
        <f t="shared" si="7"/>
        <v>-16.56306360048444</v>
      </c>
      <c r="E29" s="298">
        <f t="shared" ref="E29:E36" si="8">R29</f>
        <v>189.9497377483201</v>
      </c>
      <c r="F29" s="134"/>
      <c r="G29" s="149"/>
      <c r="H29" s="149"/>
      <c r="I29" s="149"/>
      <c r="M29" s="298">
        <v>197.63271688630809</v>
      </c>
      <c r="N29" s="298">
        <f t="shared" ref="N29:N36" si="9">B29</f>
        <v>182.26675861033209</v>
      </c>
      <c r="O29" s="298"/>
      <c r="P29" s="298"/>
      <c r="Q29" s="298"/>
      <c r="R29" s="317">
        <f t="shared" ref="R29:R36" si="10">AVERAGE(M29:Q29)</f>
        <v>189.9497377483201</v>
      </c>
    </row>
    <row r="30" spans="1:18" s="122" customFormat="1" ht="18" customHeight="1">
      <c r="A30" s="129" t="s">
        <v>233</v>
      </c>
      <c r="B30" s="298">
        <f>'（５-3）品群別人時生產性（4℃-飯糰)'!$C$1</f>
        <v>250.60178249244078</v>
      </c>
      <c r="C30" s="343">
        <v>253.36933201602551</v>
      </c>
      <c r="D30" s="245">
        <f t="shared" si="7"/>
        <v>-2.7675495235847336</v>
      </c>
      <c r="E30" s="298">
        <f t="shared" si="8"/>
        <v>245.53017693537203</v>
      </c>
      <c r="F30" s="134"/>
      <c r="G30" s="134"/>
      <c r="H30" s="134"/>
      <c r="I30" s="134"/>
      <c r="M30" s="298">
        <v>240.45857137830325</v>
      </c>
      <c r="N30" s="298">
        <f t="shared" si="9"/>
        <v>250.60178249244078</v>
      </c>
      <c r="O30" s="298"/>
      <c r="P30" s="298"/>
      <c r="Q30" s="298"/>
      <c r="R30" s="317">
        <f t="shared" si="10"/>
        <v>245.53017693537203</v>
      </c>
    </row>
    <row r="31" spans="1:18" s="122" customFormat="1" ht="18" customHeight="1">
      <c r="A31" s="129" t="s">
        <v>219</v>
      </c>
      <c r="B31" s="298">
        <f>'（５-4）品群別人時生產性（4℃-壽司手卷)'!$C$1</f>
        <v>121.10114129115043</v>
      </c>
      <c r="C31" s="343">
        <v>112.99131142028241</v>
      </c>
      <c r="D31" s="245">
        <f t="shared" si="7"/>
        <v>8.1098298708680119</v>
      </c>
      <c r="E31" s="298">
        <f t="shared" si="8"/>
        <v>113.98313209964401</v>
      </c>
      <c r="F31" s="134"/>
      <c r="G31" s="134"/>
      <c r="H31" s="134"/>
      <c r="I31" s="134"/>
      <c r="M31" s="298">
        <v>106.86512290813759</v>
      </c>
      <c r="N31" s="298">
        <f t="shared" si="9"/>
        <v>121.10114129115043</v>
      </c>
      <c r="O31" s="298"/>
      <c r="P31" s="298"/>
      <c r="Q31" s="298"/>
      <c r="R31" s="317">
        <f t="shared" si="10"/>
        <v>113.98313209964401</v>
      </c>
    </row>
    <row r="32" spans="1:18" s="122" customFormat="1" ht="18" customHeight="1">
      <c r="A32" s="129" t="s">
        <v>223</v>
      </c>
      <c r="B32" s="298">
        <f>'（５-5）品群別人時生產性(主食) '!$C$1</f>
        <v>82.125877442164509</v>
      </c>
      <c r="C32" s="343">
        <v>85.495684450909806</v>
      </c>
      <c r="D32" s="245">
        <f t="shared" si="7"/>
        <v>-3.3698070087452976</v>
      </c>
      <c r="E32" s="298">
        <f t="shared" si="8"/>
        <v>85.718152923448898</v>
      </c>
      <c r="F32" s="134"/>
      <c r="G32" s="134"/>
      <c r="H32" s="134"/>
      <c r="I32" s="134"/>
      <c r="M32" s="298">
        <v>89.310428404733287</v>
      </c>
      <c r="N32" s="298">
        <f t="shared" si="9"/>
        <v>82.125877442164509</v>
      </c>
      <c r="O32" s="298"/>
      <c r="P32" s="298"/>
      <c r="Q32" s="298"/>
      <c r="R32" s="317">
        <f t="shared" si="10"/>
        <v>85.718152923448898</v>
      </c>
    </row>
    <row r="33" spans="1:18" s="122" customFormat="1" ht="18" customHeight="1">
      <c r="A33" s="129" t="s">
        <v>225</v>
      </c>
      <c r="B33" s="298">
        <f>'（５-6）品群別人時生產性(便當)'!$C$1</f>
        <v>67.197008537031252</v>
      </c>
      <c r="C33" s="343">
        <v>66.943613625537381</v>
      </c>
      <c r="D33" s="245">
        <f t="shared" si="7"/>
        <v>0.25339491149387072</v>
      </c>
      <c r="E33" s="298">
        <f t="shared" si="8"/>
        <v>66.434875498155506</v>
      </c>
      <c r="F33" s="134"/>
      <c r="G33" s="134"/>
      <c r="H33" s="134"/>
      <c r="I33" s="134"/>
      <c r="M33" s="298">
        <v>65.67274245927976</v>
      </c>
      <c r="N33" s="298">
        <f t="shared" si="9"/>
        <v>67.197008537031252</v>
      </c>
      <c r="O33" s="298"/>
      <c r="P33" s="298"/>
      <c r="Q33" s="298"/>
      <c r="R33" s="317">
        <f t="shared" si="10"/>
        <v>66.434875498155506</v>
      </c>
    </row>
    <row r="34" spans="1:18" s="122" customFormat="1" ht="18" customHeight="1">
      <c r="A34" s="129" t="s">
        <v>234</v>
      </c>
      <c r="B34" s="298">
        <f>'（５-7）品群別人時生產性(熱食義麵) '!$C$1</f>
        <v>73.961937239024678</v>
      </c>
      <c r="C34" s="343">
        <v>80.555861357885718</v>
      </c>
      <c r="D34" s="245">
        <f t="shared" si="7"/>
        <v>-6.5939241188610396</v>
      </c>
      <c r="E34" s="298">
        <f t="shared" si="8"/>
        <v>74.720253130488729</v>
      </c>
      <c r="F34" s="134"/>
      <c r="G34" s="134"/>
      <c r="H34" s="134"/>
      <c r="I34" s="134"/>
      <c r="M34" s="298">
        <v>75.478569021952779</v>
      </c>
      <c r="N34" s="298">
        <f t="shared" si="9"/>
        <v>73.961937239024678</v>
      </c>
      <c r="O34" s="298"/>
      <c r="P34" s="298"/>
      <c r="Q34" s="298"/>
      <c r="R34" s="317">
        <f t="shared" si="10"/>
        <v>74.720253130488729</v>
      </c>
    </row>
    <row r="35" spans="1:18" s="122" customFormat="1" ht="18" customHeight="1">
      <c r="A35" s="129" t="s">
        <v>235</v>
      </c>
      <c r="B35" s="298">
        <f>'（５-8）品群別人時生產性(季節調理麵) '!$C$1</f>
        <v>121.67688101190991</v>
      </c>
      <c r="C35" s="343">
        <v>121.13262609451999</v>
      </c>
      <c r="D35" s="245">
        <f t="shared" si="7"/>
        <v>0.54425491738992093</v>
      </c>
      <c r="E35" s="298">
        <f t="shared" si="8"/>
        <v>118.09122651925647</v>
      </c>
      <c r="F35" s="134"/>
      <c r="G35" s="134"/>
      <c r="H35" s="134"/>
      <c r="I35" s="134"/>
      <c r="M35" s="298">
        <v>114.50557202660302</v>
      </c>
      <c r="N35" s="298">
        <f t="shared" si="9"/>
        <v>121.67688101190991</v>
      </c>
      <c r="O35" s="298"/>
      <c r="P35" s="298"/>
      <c r="Q35" s="298"/>
      <c r="R35" s="317">
        <f t="shared" si="10"/>
        <v>118.09122651925647</v>
      </c>
    </row>
    <row r="36" spans="1:18" s="122" customFormat="1" ht="18" customHeight="1">
      <c r="A36" s="125" t="s">
        <v>230</v>
      </c>
      <c r="B36" s="298">
        <f>'（５-9）品群別人時生產性(微波小吃)'!$C$1</f>
        <v>156.93672872478291</v>
      </c>
      <c r="C36" s="343">
        <v>115.3662253913358</v>
      </c>
      <c r="D36" s="245">
        <f t="shared" si="7"/>
        <v>41.570503333447107</v>
      </c>
      <c r="E36" s="298">
        <f t="shared" si="8"/>
        <v>128.29253538332432</v>
      </c>
      <c r="F36" s="134"/>
      <c r="G36" s="134"/>
      <c r="H36" s="134"/>
      <c r="I36" s="134"/>
      <c r="M36" s="298">
        <v>99.648342041865732</v>
      </c>
      <c r="N36" s="298">
        <f t="shared" si="9"/>
        <v>156.93672872478291</v>
      </c>
      <c r="O36" s="298"/>
      <c r="P36" s="298"/>
      <c r="Q36" s="298"/>
      <c r="R36" s="317">
        <f t="shared" si="10"/>
        <v>128.29253538332432</v>
      </c>
    </row>
    <row r="37" spans="1:18" s="122" customFormat="1" ht="15.75" customHeight="1"/>
    <row r="38" spans="1:18" s="122" customFormat="1" ht="15.75" customHeight="1"/>
  </sheetData>
  <mergeCells count="2">
    <mergeCell ref="A1:K2"/>
    <mergeCell ref="D3:E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topLeftCell="A7" zoomScale="90" zoomScaleNormal="90" zoomScaleSheetLayoutView="100" workbookViewId="0">
      <selection activeCell="C21" sqref="C21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8" ht="15.75" customHeight="1">
      <c r="A1" s="605" t="s">
        <v>405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120"/>
    </row>
    <row r="2" spans="1:18" s="121" customFormat="1" ht="15.75" customHeight="1">
      <c r="A2" s="605"/>
      <c r="B2" s="605"/>
      <c r="C2" s="605"/>
      <c r="D2" s="605"/>
      <c r="E2" s="605"/>
      <c r="F2" s="605"/>
      <c r="G2" s="605"/>
      <c r="H2" s="605"/>
      <c r="I2" s="605"/>
      <c r="J2" s="605"/>
      <c r="K2" s="605"/>
    </row>
    <row r="3" spans="1:18" ht="21.6" customHeight="1">
      <c r="A3" s="140" t="s">
        <v>325</v>
      </c>
      <c r="B3" s="215">
        <v>2</v>
      </c>
      <c r="C3" s="218" t="s">
        <v>326</v>
      </c>
      <c r="D3" s="215" t="s">
        <v>994</v>
      </c>
      <c r="E3" s="140" t="s">
        <v>20</v>
      </c>
      <c r="F3" s="606" t="s">
        <v>404</v>
      </c>
      <c r="G3" s="606"/>
      <c r="H3" s="131"/>
      <c r="I3" s="132"/>
      <c r="J3" s="131"/>
      <c r="K3" s="131"/>
      <c r="L3" s="131"/>
      <c r="M3" s="131"/>
      <c r="N3" s="121"/>
    </row>
    <row r="4" spans="1:18" s="122" customFormat="1" ht="15.75" customHeight="1">
      <c r="A4" s="133" t="s">
        <v>195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8" s="126" customFormat="1" ht="15.75" customHeight="1">
      <c r="A5" s="147" t="s">
        <v>197</v>
      </c>
      <c r="B5" s="147" t="s">
        <v>328</v>
      </c>
      <c r="C5" s="147" t="s">
        <v>330</v>
      </c>
      <c r="D5" s="142" t="s">
        <v>2</v>
      </c>
      <c r="E5" s="142" t="s">
        <v>3</v>
      </c>
      <c r="F5" s="136"/>
      <c r="G5" s="147" t="s">
        <v>197</v>
      </c>
      <c r="H5" s="142" t="s">
        <v>69</v>
      </c>
      <c r="I5" s="142" t="s">
        <v>327</v>
      </c>
      <c r="J5" s="142" t="s">
        <v>329</v>
      </c>
      <c r="K5" s="142" t="s">
        <v>3</v>
      </c>
      <c r="L5" s="127" t="s">
        <v>60</v>
      </c>
    </row>
    <row r="6" spans="1:18" s="122" customFormat="1" ht="18" customHeight="1">
      <c r="A6" s="129" t="s">
        <v>24</v>
      </c>
      <c r="B6" s="225">
        <f>'（１）收支狀況'!G14/1000</f>
        <v>46841.476999999999</v>
      </c>
      <c r="C6" s="256">
        <v>47419.360000000001</v>
      </c>
      <c r="D6" s="143">
        <f t="shared" ref="D6:D11" si="0">B6-C6</f>
        <v>-577.88300000000163</v>
      </c>
      <c r="E6" s="237">
        <f>'（１）收支狀況'!H10/1000</f>
        <v>107829.431</v>
      </c>
      <c r="F6" s="134"/>
      <c r="G6" s="129" t="s">
        <v>198</v>
      </c>
      <c r="H6" s="239">
        <v>366</v>
      </c>
      <c r="I6" s="261">
        <f>'（２）ＫＰＩ達成進度'!G14</f>
        <v>326.29233866658018</v>
      </c>
      <c r="J6" s="262">
        <v>328.52974623391975</v>
      </c>
      <c r="K6" s="263">
        <f>'（２）ＫＰＩ達成進度'!H10</f>
        <v>326.73540847062867</v>
      </c>
      <c r="L6" s="123" t="s">
        <v>194</v>
      </c>
    </row>
    <row r="7" spans="1:18" s="122" customFormat="1" ht="18" customHeight="1">
      <c r="A7" s="129" t="s">
        <v>25</v>
      </c>
      <c r="B7" s="225">
        <f>'（１）收支狀況'!J14</f>
        <v>1411398</v>
      </c>
      <c r="C7" s="256">
        <v>1439164</v>
      </c>
      <c r="D7" s="143">
        <f t="shared" si="0"/>
        <v>-27766</v>
      </c>
      <c r="E7" s="237">
        <f>'（１）收支狀況'!K10</f>
        <v>3266413</v>
      </c>
      <c r="F7" s="134"/>
      <c r="G7" s="129" t="s">
        <v>199</v>
      </c>
      <c r="H7" s="254">
        <v>0.8</v>
      </c>
      <c r="I7" s="252">
        <f>'（２）ＫＰＩ達成進度'!J14</f>
        <v>0.89150912203983668</v>
      </c>
      <c r="J7" s="259">
        <v>0.8976222574697259</v>
      </c>
      <c r="K7" s="255">
        <f>'（２）ＫＰＩ達成進度'!K10</f>
        <v>0.46075855239996999</v>
      </c>
      <c r="L7" s="123" t="s">
        <v>4</v>
      </c>
    </row>
    <row r="8" spans="1:18" s="122" customFormat="1" ht="18" customHeight="1">
      <c r="A8" s="129" t="s">
        <v>5</v>
      </c>
      <c r="B8" s="225">
        <f>'（１）收支狀況'!M14/1000</f>
        <v>30527.907999999999</v>
      </c>
      <c r="C8" s="256">
        <v>31794.253000000001</v>
      </c>
      <c r="D8" s="143">
        <f>B8-C8</f>
        <v>-1266.3450000000012</v>
      </c>
      <c r="E8" s="237">
        <f>'（１）收支狀況'!N10/1000</f>
        <v>71263.432000000001</v>
      </c>
      <c r="F8" s="134"/>
      <c r="G8" s="129" t="s">
        <v>200</v>
      </c>
      <c r="H8" s="238">
        <v>2.5000000000000001E-3</v>
      </c>
      <c r="I8" s="250">
        <f>'（２）ＫＰＩ達成進度'!M14</f>
        <v>2.4361097007369742E-3</v>
      </c>
      <c r="J8" s="258">
        <v>2.4321591984267435E-3</v>
      </c>
      <c r="K8" s="250">
        <f>'（２）ＫＰＩ達成進度'!N10</f>
        <v>2.432957427053288E-3</v>
      </c>
      <c r="L8" s="123" t="s">
        <v>55</v>
      </c>
    </row>
    <row r="9" spans="1:18" s="122" customFormat="1" ht="18" customHeight="1">
      <c r="A9" s="129" t="s">
        <v>6</v>
      </c>
      <c r="B9" s="226">
        <f>'（１）收支狀況'!P14</f>
        <v>0.65172812548161108</v>
      </c>
      <c r="C9" s="257">
        <v>0.67049097668125424</v>
      </c>
      <c r="D9" s="144">
        <f t="shared" si="0"/>
        <v>-1.876285119964316E-2</v>
      </c>
      <c r="E9" s="144">
        <f>'（１）收支狀況'!Q10</f>
        <v>0.66089036489490516</v>
      </c>
      <c r="F9" s="134"/>
      <c r="G9" s="129" t="s">
        <v>201</v>
      </c>
      <c r="H9" s="238">
        <v>2.5999999999999999E-3</v>
      </c>
      <c r="I9" s="250">
        <f>'（２）ＫＰＩ達成進度'!P14</f>
        <v>2.0768652263756368E-3</v>
      </c>
      <c r="J9" s="258">
        <v>2.035712054743719E-3</v>
      </c>
      <c r="K9" s="250">
        <f>'（２）ＫＰＩ達成進度'!Q10</f>
        <v>2.0555671754155726E-3</v>
      </c>
      <c r="L9" s="123" t="s">
        <v>98</v>
      </c>
    </row>
    <row r="10" spans="1:18" s="122" customFormat="1" ht="18" customHeight="1">
      <c r="A10" s="129" t="s">
        <v>64</v>
      </c>
      <c r="B10" s="225">
        <f>'（１）收支狀況'!S14/1000</f>
        <v>6755.9564533333387</v>
      </c>
      <c r="C10" s="256">
        <v>7428.487933333342</v>
      </c>
      <c r="D10" s="143">
        <f t="shared" si="0"/>
        <v>-672.53148000000328</v>
      </c>
      <c r="E10" s="237">
        <f>'（１）收支狀況'!T10/1000</f>
        <v>16160.446281904773</v>
      </c>
      <c r="F10" s="134"/>
      <c r="G10" s="129" t="s">
        <v>202</v>
      </c>
      <c r="H10" s="251">
        <v>0.8</v>
      </c>
      <c r="I10" s="252">
        <v>0.91139999999999999</v>
      </c>
      <c r="J10" s="259">
        <v>0.91700000000000004</v>
      </c>
      <c r="K10" s="252">
        <v>0.91700000000000004</v>
      </c>
      <c r="L10" s="123" t="s">
        <v>7</v>
      </c>
    </row>
    <row r="11" spans="1:18" s="122" customFormat="1" ht="18" customHeight="1">
      <c r="A11" s="129" t="s">
        <v>65</v>
      </c>
      <c r="B11" s="226">
        <f>'（１）收支狀況'!V14</f>
        <v>0.14423021830275204</v>
      </c>
      <c r="C11" s="257">
        <v>0.15665517065884782</v>
      </c>
      <c r="D11" s="144">
        <f t="shared" si="0"/>
        <v>-1.2424952356095781E-2</v>
      </c>
      <c r="E11" s="144">
        <f>'（１）收支狀況'!W10</f>
        <v>0.14987045866823479</v>
      </c>
      <c r="F11" s="134"/>
      <c r="G11" s="129" t="s">
        <v>203</v>
      </c>
      <c r="H11" s="251">
        <v>1</v>
      </c>
      <c r="I11" s="252">
        <f>'（２）ＫＰＩ達成進度'!V14</f>
        <v>0.11528571428571428</v>
      </c>
      <c r="J11" s="259">
        <v>9.3428571428571416E-2</v>
      </c>
      <c r="K11" s="252">
        <f>'（２）ＫＰＩ達成進度'!W10</f>
        <v>0.10168750000000001</v>
      </c>
      <c r="L11" s="123" t="s">
        <v>62</v>
      </c>
    </row>
    <row r="12" spans="1:18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8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8" s="128" customFormat="1" ht="14.25">
      <c r="A14" s="146"/>
      <c r="B14" s="219" t="s">
        <v>328</v>
      </c>
      <c r="C14" s="146" t="s">
        <v>66</v>
      </c>
      <c r="D14" s="219" t="s">
        <v>331</v>
      </c>
      <c r="E14" s="146" t="s">
        <v>68</v>
      </c>
      <c r="F14" s="137"/>
      <c r="G14" s="146"/>
      <c r="H14" s="219" t="s">
        <v>328</v>
      </c>
      <c r="I14" s="146" t="s">
        <v>66</v>
      </c>
      <c r="J14" s="219" t="s">
        <v>331</v>
      </c>
      <c r="K14" s="146" t="s">
        <v>68</v>
      </c>
      <c r="M14" s="122"/>
      <c r="N14" s="122"/>
      <c r="O14" s="122"/>
      <c r="P14" s="122"/>
      <c r="Q14" s="122"/>
      <c r="R14" s="122"/>
    </row>
    <row r="15" spans="1:18" s="122" customFormat="1" ht="18" customHeight="1">
      <c r="A15" s="129" t="s">
        <v>335</v>
      </c>
      <c r="B15" s="240">
        <f>SUM('（３）業績構成比'!I16:I22,'（３）業績構成比'!K16:K22)/1000</f>
        <v>7498.5088270915967</v>
      </c>
      <c r="C15" s="144">
        <f>IFERROR(B15/$B$6,"")</f>
        <v>0.160082672608543</v>
      </c>
      <c r="D15" s="257">
        <v>0.1696833917461209</v>
      </c>
      <c r="E15" s="144">
        <f>IFERROR(C15-D15,"")</f>
        <v>-9.6007191375779011E-3</v>
      </c>
      <c r="F15" s="134"/>
      <c r="G15" s="129" t="s">
        <v>335</v>
      </c>
      <c r="H15" s="240">
        <f>SUM(,'（４）訂單數量構成比'!I16:I22,'（４）訂單數量構成比'!K16:K22)</f>
        <v>397534</v>
      </c>
      <c r="I15" s="144">
        <f t="shared" ref="I15:I23" si="1">IFERROR(H15/$B$7,"")</f>
        <v>0.28165974445195474</v>
      </c>
      <c r="J15" s="257">
        <v>0.29475167527814761</v>
      </c>
      <c r="K15" s="144">
        <f t="shared" ref="K15:K23" si="2">IFERROR(I15-J15,"")</f>
        <v>-1.3091930826192866E-2</v>
      </c>
    </row>
    <row r="16" spans="1:18" s="122" customFormat="1" ht="18" customHeight="1">
      <c r="A16" s="129" t="s">
        <v>222</v>
      </c>
      <c r="B16" s="240">
        <f>SUM('（３）業績構成比'!O16:O22,'（３）業績構成比'!Q16:Q22)/1000</f>
        <v>1360.6791882769253</v>
      </c>
      <c r="C16" s="144">
        <f t="shared" ref="C16:C23" si="3">IFERROR(B16/$B$6,"")</f>
        <v>2.904859700040896E-2</v>
      </c>
      <c r="D16" s="257">
        <v>2.7171204065952425E-2</v>
      </c>
      <c r="E16" s="144">
        <f t="shared" ref="E16:E23" si="4">IFERROR(C16-D16,"")</f>
        <v>1.877392934456535E-3</v>
      </c>
      <c r="F16" s="134"/>
      <c r="G16" s="129" t="s">
        <v>251</v>
      </c>
      <c r="H16" s="240">
        <f>SUM('（４）訂單數量構成比'!O16:O22,'（４）訂單數量構成比'!Q16:Q22)</f>
        <v>52226</v>
      </c>
      <c r="I16" s="144">
        <f t="shared" si="1"/>
        <v>3.7003028203242458E-2</v>
      </c>
      <c r="J16" s="257">
        <v>3.4366479428334783E-2</v>
      </c>
      <c r="K16" s="144">
        <f t="shared" si="2"/>
        <v>2.6365487749076752E-3</v>
      </c>
    </row>
    <row r="17" spans="1:11" s="122" customFormat="1" ht="18" customHeight="1">
      <c r="A17" s="129" t="s">
        <v>218</v>
      </c>
      <c r="B17" s="240">
        <f>SUM('（３）業績構成比'!U16:U22)/1000</f>
        <v>7827.0959121966844</v>
      </c>
      <c r="C17" s="144">
        <f t="shared" si="3"/>
        <v>0.1670975471630983</v>
      </c>
      <c r="D17" s="257">
        <v>0.1546681123692249</v>
      </c>
      <c r="E17" s="144">
        <f t="shared" si="4"/>
        <v>1.2429434793873401E-2</v>
      </c>
      <c r="F17" s="134"/>
      <c r="G17" s="129" t="s">
        <v>233</v>
      </c>
      <c r="H17" s="240">
        <f>SUM('（４）訂單數量構成比'!U16:U22)</f>
        <v>235047</v>
      </c>
      <c r="I17" s="144">
        <f t="shared" si="1"/>
        <v>0.16653488243571268</v>
      </c>
      <c r="J17" s="257">
        <v>0.15479820228966262</v>
      </c>
      <c r="K17" s="144">
        <f t="shared" si="2"/>
        <v>1.173668014605006E-2</v>
      </c>
    </row>
    <row r="18" spans="1:11" s="122" customFormat="1" ht="18" customHeight="1">
      <c r="A18" s="129" t="s">
        <v>220</v>
      </c>
      <c r="B18" s="240">
        <f>SUM('（３）業績構成比'!W16:W22)/1000</f>
        <v>714.0168803000347</v>
      </c>
      <c r="C18" s="144">
        <f t="shared" si="3"/>
        <v>1.524326144327248E-2</v>
      </c>
      <c r="D18" s="257">
        <v>1.8691148551468164E-2</v>
      </c>
      <c r="E18" s="144">
        <f t="shared" si="4"/>
        <v>-3.4478871081956835E-3</v>
      </c>
      <c r="F18" s="134"/>
      <c r="G18" s="129" t="s">
        <v>219</v>
      </c>
      <c r="H18" s="240">
        <f>SUM('（４）訂單數量構成比'!W16:W22)</f>
        <v>20762</v>
      </c>
      <c r="I18" s="144">
        <f t="shared" si="1"/>
        <v>1.4710237650896487E-2</v>
      </c>
      <c r="J18" s="257">
        <v>1.7883298915203547E-2</v>
      </c>
      <c r="K18" s="144">
        <f t="shared" si="2"/>
        <v>-3.1730612643070602E-3</v>
      </c>
    </row>
    <row r="19" spans="1:11" s="122" customFormat="1" ht="18" customHeight="1">
      <c r="A19" s="129" t="s">
        <v>224</v>
      </c>
      <c r="B19" s="240">
        <f>SUM('（３）業績構成比'!Y16:Y22,'（３）業績構成比'!AA16:AA22)/1000</f>
        <v>13741.741390665067</v>
      </c>
      <c r="C19" s="144">
        <f t="shared" si="3"/>
        <v>0.2933669531954568</v>
      </c>
      <c r="D19" s="257">
        <v>0.26158613003161141</v>
      </c>
      <c r="E19" s="144">
        <f t="shared" si="4"/>
        <v>3.1780823163845395E-2</v>
      </c>
      <c r="F19" s="134"/>
      <c r="G19" s="129" t="s">
        <v>223</v>
      </c>
      <c r="H19" s="240">
        <f>SUM('（４）訂單數量構成比'!Y16:Y22,'（４）訂單數量構成比'!AA16:AA22)</f>
        <v>332066</v>
      </c>
      <c r="I19" s="144">
        <f t="shared" si="1"/>
        <v>0.23527452922563302</v>
      </c>
      <c r="J19" s="257">
        <v>0.21059100978067824</v>
      </c>
      <c r="K19" s="144">
        <f t="shared" si="2"/>
        <v>2.4683519444954782E-2</v>
      </c>
    </row>
    <row r="20" spans="1:11" s="122" customFormat="1" ht="18" customHeight="1">
      <c r="A20" s="129" t="s">
        <v>226</v>
      </c>
      <c r="B20" s="240">
        <f>SUM('（３）業績構成比'!AE16:AE22)/1000</f>
        <v>7125.7796720543947</v>
      </c>
      <c r="C20" s="144">
        <f t="shared" si="3"/>
        <v>0.15212542661825959</v>
      </c>
      <c r="D20" s="257">
        <v>0.16609775441684752</v>
      </c>
      <c r="E20" s="144">
        <f t="shared" si="4"/>
        <v>-1.3972327798587925E-2</v>
      </c>
      <c r="F20" s="134"/>
      <c r="G20" s="129" t="s">
        <v>225</v>
      </c>
      <c r="H20" s="240">
        <f>SUM('（４）訂單數量構成比'!AE16:AE22)</f>
        <v>129692</v>
      </c>
      <c r="I20" s="144">
        <f t="shared" si="1"/>
        <v>9.1889034843467263E-2</v>
      </c>
      <c r="J20" s="257">
        <v>0.10016579069515358</v>
      </c>
      <c r="K20" s="144">
        <f t="shared" si="2"/>
        <v>-8.2767558516863154E-3</v>
      </c>
    </row>
    <row r="21" spans="1:11" s="122" customFormat="1" ht="18" customHeight="1">
      <c r="A21" s="129" t="s">
        <v>228</v>
      </c>
      <c r="B21" s="240">
        <f>SUM('（３）業績構成比'!AG16:AG22)/1000</f>
        <v>2130.7205589294304</v>
      </c>
      <c r="C21" s="144">
        <f t="shared" si="3"/>
        <v>4.5487902931187041E-2</v>
      </c>
      <c r="D21" s="257">
        <v>5.9250037452254205E-2</v>
      </c>
      <c r="E21" s="144">
        <f t="shared" si="4"/>
        <v>-1.3762134521067164E-2</v>
      </c>
      <c r="F21" s="134"/>
      <c r="G21" s="129" t="s">
        <v>234</v>
      </c>
      <c r="H21" s="240">
        <f>SUM('（４）訂單數量構成比'!AG16:AG22)</f>
        <v>43930</v>
      </c>
      <c r="I21" s="144">
        <f t="shared" si="1"/>
        <v>3.1125168095746204E-2</v>
      </c>
      <c r="J21" s="257">
        <v>3.9734873857322724E-2</v>
      </c>
      <c r="K21" s="144">
        <f t="shared" si="2"/>
        <v>-8.6097057615765193E-3</v>
      </c>
    </row>
    <row r="22" spans="1:11" s="122" customFormat="1" ht="18" customHeight="1">
      <c r="A22" s="129" t="s">
        <v>229</v>
      </c>
      <c r="B22" s="240">
        <f>SUM('（３）業績構成比'!AI16:AI22)/1000</f>
        <v>3359.8898601237283</v>
      </c>
      <c r="C22" s="144">
        <f t="shared" si="3"/>
        <v>7.1728947832360807E-2</v>
      </c>
      <c r="D22" s="257">
        <v>6.4124919325227278E-2</v>
      </c>
      <c r="E22" s="144">
        <f t="shared" si="4"/>
        <v>7.6040285071335284E-3</v>
      </c>
      <c r="F22" s="134"/>
      <c r="G22" s="129" t="s">
        <v>235</v>
      </c>
      <c r="H22" s="240">
        <f>SUM('（４）訂單數量構成比'!AI16:AI22)</f>
        <v>90783</v>
      </c>
      <c r="I22" s="144">
        <f t="shared" si="1"/>
        <v>6.4321332466108078E-2</v>
      </c>
      <c r="J22" s="257">
        <v>5.7078275999121714E-2</v>
      </c>
      <c r="K22" s="144">
        <f t="shared" si="2"/>
        <v>7.243056466986364E-3</v>
      </c>
    </row>
    <row r="23" spans="1:11" s="122" customFormat="1" ht="18" customHeight="1">
      <c r="A23" s="129" t="s">
        <v>231</v>
      </c>
      <c r="B23" s="240">
        <f>SUM('（３）業績構成比'!AK16:AK22)/1000</f>
        <v>3083.0447103621336</v>
      </c>
      <c r="C23" s="144">
        <f t="shared" si="3"/>
        <v>6.5818691207412905E-2</v>
      </c>
      <c r="D23" s="257">
        <v>7.8727302041293204E-2</v>
      </c>
      <c r="E23" s="144">
        <f t="shared" si="4"/>
        <v>-1.2908610833880299E-2</v>
      </c>
      <c r="F23" s="134"/>
      <c r="G23" s="129" t="s">
        <v>230</v>
      </c>
      <c r="H23" s="240">
        <f>SUM('（４）訂單數量構成比'!AK16:AK22)</f>
        <v>109358</v>
      </c>
      <c r="I23" s="144">
        <f t="shared" si="1"/>
        <v>7.7482042627239095E-2</v>
      </c>
      <c r="J23" s="257">
        <v>9.063039375637523E-2</v>
      </c>
      <c r="K23" s="144">
        <f t="shared" si="2"/>
        <v>-1.3148351129136135E-2</v>
      </c>
    </row>
    <row r="24" spans="1:11" s="122" customFormat="1" ht="15.75" customHeight="1">
      <c r="A24" s="134"/>
      <c r="B24" s="134"/>
      <c r="C24" s="138">
        <f>SUM(C15:C23)</f>
        <v>0.99999999999999989</v>
      </c>
      <c r="D24" s="138">
        <f>SUM(D15:D23)</f>
        <v>0.99999999999999989</v>
      </c>
      <c r="E24" s="134"/>
      <c r="F24" s="134"/>
      <c r="G24" s="134"/>
      <c r="H24" s="134"/>
      <c r="I24" s="138">
        <f>SUM(I15:I23)</f>
        <v>1</v>
      </c>
      <c r="J24" s="138">
        <f>SUM(J15:J23)</f>
        <v>1</v>
      </c>
      <c r="K24" s="134"/>
    </row>
    <row r="25" spans="1:11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1" s="122" customFormat="1" ht="15.75" customHeight="1">
      <c r="A26" s="133" t="s">
        <v>596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</row>
    <row r="27" spans="1:11" s="122" customFormat="1" ht="15.75" customHeight="1">
      <c r="A27" s="129" t="s">
        <v>186</v>
      </c>
      <c r="B27" s="220" t="s">
        <v>328</v>
      </c>
      <c r="C27" s="220" t="s">
        <v>330</v>
      </c>
      <c r="D27" s="129" t="s">
        <v>2</v>
      </c>
      <c r="E27" s="129" t="s">
        <v>406</v>
      </c>
      <c r="F27" s="134"/>
      <c r="G27" s="134"/>
      <c r="H27" s="134"/>
      <c r="I27" s="134"/>
      <c r="J27" s="134"/>
      <c r="K27" s="134"/>
    </row>
    <row r="28" spans="1:11" s="122" customFormat="1" ht="18" customHeight="1">
      <c r="A28" s="129" t="s">
        <v>335</v>
      </c>
      <c r="B28" s="244">
        <f>'（５-1）品群別人時生產性（18℃-飯糰）'!L77</f>
        <v>789.53037359408268</v>
      </c>
      <c r="C28" s="260">
        <v>797.11710799003481</v>
      </c>
      <c r="D28" s="245">
        <f t="shared" ref="D28:D36" si="5">B28-C28</f>
        <v>-7.5867343959521349</v>
      </c>
      <c r="E28" s="130">
        <f>'（５-1）品群別人時生產性（18℃-飯糰）'!C1</f>
        <v>794.21438405609206</v>
      </c>
      <c r="F28" s="134"/>
      <c r="G28" s="148"/>
      <c r="H28" s="148"/>
      <c r="I28" s="148"/>
      <c r="J28" s="148"/>
      <c r="K28" s="134"/>
    </row>
    <row r="29" spans="1:11" s="122" customFormat="1" ht="18" customHeight="1">
      <c r="A29" s="129" t="s">
        <v>221</v>
      </c>
      <c r="B29" s="244">
        <f>'（５-2）品群別人時生產性（18-壽司手卷)'!L47</f>
        <v>179.39643407891558</v>
      </c>
      <c r="C29" s="260">
        <v>183.38212061918293</v>
      </c>
      <c r="D29" s="245">
        <f t="shared" si="5"/>
        <v>-3.985686540267352</v>
      </c>
      <c r="E29" s="130">
        <f>'（５-2）品群別人時生產性（18-壽司手卷)'!C1</f>
        <v>182.26675861033209</v>
      </c>
      <c r="F29" s="134"/>
      <c r="G29" s="149"/>
      <c r="H29" s="149"/>
      <c r="I29" s="150"/>
      <c r="J29" s="151"/>
      <c r="K29" s="134"/>
    </row>
    <row r="30" spans="1:11" s="122" customFormat="1" ht="18" customHeight="1">
      <c r="A30" s="129" t="s">
        <v>233</v>
      </c>
      <c r="B30" s="244">
        <f>'（５-3）品群別人時生產性（4℃-飯糰)'!L47</f>
        <v>244.55582725360242</v>
      </c>
      <c r="C30" s="260">
        <v>253.38927043933504</v>
      </c>
      <c r="D30" s="245">
        <f t="shared" si="5"/>
        <v>-8.8334431857326194</v>
      </c>
      <c r="E30" s="130">
        <f>'（５-3）品群別人時生產性（4℃-飯糰)'!C1</f>
        <v>250.60178249244078</v>
      </c>
      <c r="F30" s="134"/>
      <c r="G30" s="134"/>
      <c r="H30" s="134"/>
      <c r="I30" s="134"/>
      <c r="J30" s="134"/>
      <c r="K30" s="134"/>
    </row>
    <row r="31" spans="1:11" s="122" customFormat="1" ht="18" customHeight="1">
      <c r="A31" s="129" t="s">
        <v>219</v>
      </c>
      <c r="B31" s="244">
        <f>'（５-4）品群別人時生產性（4℃-壽司手卷)'!L47</f>
        <v>130.57973338053168</v>
      </c>
      <c r="C31" s="260">
        <v>120.59560849088804</v>
      </c>
      <c r="D31" s="245">
        <f t="shared" si="5"/>
        <v>9.9841248896436383</v>
      </c>
      <c r="E31" s="130">
        <f>'（５-4）品群別人時生產性（4℃-壽司手卷)'!C1</f>
        <v>121.10114129115043</v>
      </c>
      <c r="F31" s="134"/>
      <c r="G31" s="134"/>
      <c r="H31" s="134"/>
      <c r="I31" s="134"/>
      <c r="J31" s="134"/>
      <c r="K31" s="134"/>
    </row>
    <row r="32" spans="1:11" s="122" customFormat="1" ht="18" customHeight="1">
      <c r="A32" s="129" t="s">
        <v>223</v>
      </c>
      <c r="B32" s="244">
        <f>'（５-5）品群別人時生產性(主食) '!L77</f>
        <v>82.300953557265444</v>
      </c>
      <c r="C32" s="260">
        <v>82.578411810548161</v>
      </c>
      <c r="D32" s="245">
        <f t="shared" si="5"/>
        <v>-0.27745825328271678</v>
      </c>
      <c r="E32" s="130">
        <f>'（５-5）品群別人時生產性(主食) '!C1</f>
        <v>82.125877442164509</v>
      </c>
      <c r="F32" s="134"/>
      <c r="G32" s="134"/>
      <c r="H32" s="134"/>
      <c r="I32" s="134"/>
      <c r="J32" s="134"/>
      <c r="K32" s="134"/>
    </row>
    <row r="33" spans="1:11" s="122" customFormat="1" ht="18" customHeight="1">
      <c r="A33" s="129" t="s">
        <v>225</v>
      </c>
      <c r="B33" s="244">
        <f>'（５-6）品群別人時生產性(便當)'!L47</f>
        <v>66.840558374728332</v>
      </c>
      <c r="C33" s="260">
        <v>67.398039368256164</v>
      </c>
      <c r="D33" s="245">
        <f t="shared" si="5"/>
        <v>-0.55748099352783242</v>
      </c>
      <c r="E33" s="130">
        <f>'（５-6）品群別人時生產性(便當)'!C1</f>
        <v>67.197008537031252</v>
      </c>
      <c r="F33" s="134"/>
      <c r="G33" s="134"/>
      <c r="H33" s="134"/>
      <c r="I33" s="134"/>
      <c r="J33" s="134"/>
      <c r="K33" s="134"/>
    </row>
    <row r="34" spans="1:11" s="122" customFormat="1" ht="18" customHeight="1">
      <c r="A34" s="129" t="s">
        <v>234</v>
      </c>
      <c r="B34" s="244">
        <f>'（５-7）品群別人時生產性(熱食義麵) '!L47</f>
        <v>73.15300705306052</v>
      </c>
      <c r="C34" s="260">
        <v>73.989565548759813</v>
      </c>
      <c r="D34" s="245">
        <f t="shared" si="5"/>
        <v>-0.8365584956992933</v>
      </c>
      <c r="E34" s="130">
        <f>'（５-7）品群別人時生產性(熱食義麵) '!C1</f>
        <v>73.961937239024678</v>
      </c>
      <c r="F34" s="134"/>
      <c r="G34" s="134"/>
      <c r="H34" s="134"/>
      <c r="I34" s="134"/>
      <c r="J34" s="134"/>
      <c r="K34" s="134"/>
    </row>
    <row r="35" spans="1:11" s="122" customFormat="1" ht="18" customHeight="1">
      <c r="A35" s="129" t="s">
        <v>235</v>
      </c>
      <c r="B35" s="244">
        <f>'（５-8）品群別人時生產性(季節調理麵) '!L47</f>
        <v>120.60107916068269</v>
      </c>
      <c r="C35" s="260">
        <v>123.88484312944816</v>
      </c>
      <c r="D35" s="245">
        <f t="shared" si="5"/>
        <v>-3.2837639687654701</v>
      </c>
      <c r="E35" s="130">
        <f>'（５-8）品群別人時生產性(季節調理麵) '!C1</f>
        <v>121.67688101190991</v>
      </c>
      <c r="F35" s="134"/>
      <c r="G35" s="134"/>
      <c r="H35" s="134"/>
      <c r="I35" s="134"/>
      <c r="J35" s="134"/>
      <c r="K35" s="134"/>
    </row>
    <row r="36" spans="1:11" s="122" customFormat="1" ht="18" customHeight="1">
      <c r="A36" s="125" t="s">
        <v>230</v>
      </c>
      <c r="B36" s="244">
        <f>'（５-9）品群別人時生產性(微波小吃)'!L47</f>
        <v>169.20395026952025</v>
      </c>
      <c r="C36" s="260">
        <v>157.4761610896756</v>
      </c>
      <c r="D36" s="245">
        <f t="shared" si="5"/>
        <v>11.727789179844649</v>
      </c>
      <c r="E36" s="130">
        <f>'（５-9）品群別人時生產性(微波小吃)'!C1</f>
        <v>156.93672872478291</v>
      </c>
      <c r="F36" s="134"/>
      <c r="G36" s="134"/>
      <c r="H36" s="134"/>
      <c r="I36" s="134"/>
      <c r="J36" s="134"/>
      <c r="K36" s="134"/>
    </row>
    <row r="37" spans="1:11" s="122" customFormat="1" ht="15.75" customHeight="1">
      <c r="D37" s="330"/>
    </row>
    <row r="38" spans="1:11" s="122" customFormat="1" ht="15.75" customHeight="1"/>
  </sheetData>
  <mergeCells count="2">
    <mergeCell ref="A1:K2"/>
    <mergeCell ref="F3:G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58"/>
  <sheetViews>
    <sheetView zoomScale="65" zoomScaleNormal="6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P36" sqref="P36"/>
    </sheetView>
  </sheetViews>
  <sheetFormatPr defaultColWidth="8.85546875" defaultRowHeight="12"/>
  <cols>
    <col min="1" max="1" width="8.85546875" style="83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83" customWidth="1"/>
    <col min="24" max="16384" width="8.85546875" style="83"/>
  </cols>
  <sheetData>
    <row r="2" spans="2:23" ht="38.1" customHeight="1">
      <c r="B2" s="608" t="s">
        <v>121</v>
      </c>
      <c r="C2" s="608"/>
      <c r="D2" s="608"/>
      <c r="E2" s="608"/>
      <c r="F2" s="608"/>
      <c r="G2" s="608"/>
      <c r="H2" s="608"/>
      <c r="I2" s="608"/>
      <c r="J2" s="608"/>
      <c r="K2" s="608"/>
      <c r="L2" s="608"/>
      <c r="M2" s="608"/>
      <c r="N2" s="608"/>
      <c r="O2" s="608"/>
      <c r="P2" s="608"/>
      <c r="Q2" s="608"/>
      <c r="R2" s="608"/>
      <c r="S2" s="608"/>
      <c r="T2" s="608"/>
      <c r="U2" s="608"/>
      <c r="V2" s="608"/>
      <c r="W2" s="608"/>
    </row>
    <row r="3" spans="2:23" s="84" customFormat="1" ht="23.45" customHeight="1">
      <c r="B3" s="98"/>
      <c r="C3" s="612" t="s">
        <v>116</v>
      </c>
      <c r="D3" s="613" t="s">
        <v>105</v>
      </c>
      <c r="E3" s="613"/>
      <c r="F3" s="611" t="s">
        <v>356</v>
      </c>
      <c r="G3" s="611"/>
      <c r="H3" s="611"/>
      <c r="I3" s="609" t="s">
        <v>119</v>
      </c>
      <c r="J3" s="609"/>
      <c r="K3" s="609"/>
      <c r="L3" s="610" t="s">
        <v>120</v>
      </c>
      <c r="M3" s="610"/>
      <c r="N3" s="610"/>
      <c r="O3" s="607" t="s">
        <v>122</v>
      </c>
      <c r="P3" s="607"/>
      <c r="Q3" s="607"/>
      <c r="R3" s="614" t="s">
        <v>123</v>
      </c>
      <c r="S3" s="614"/>
      <c r="T3" s="614"/>
      <c r="U3" s="607" t="s">
        <v>124</v>
      </c>
      <c r="V3" s="607"/>
      <c r="W3" s="607"/>
    </row>
    <row r="4" spans="2:23" s="84" customFormat="1" ht="23.45" customHeight="1">
      <c r="B4" s="98"/>
      <c r="C4" s="612"/>
      <c r="D4" s="613"/>
      <c r="E4" s="613"/>
      <c r="F4" s="78" t="s">
        <v>115</v>
      </c>
      <c r="G4" s="78" t="s">
        <v>117</v>
      </c>
      <c r="H4" s="78" t="s">
        <v>118</v>
      </c>
      <c r="I4" s="92" t="s">
        <v>115</v>
      </c>
      <c r="J4" s="92" t="s">
        <v>117</v>
      </c>
      <c r="K4" s="92" t="s">
        <v>118</v>
      </c>
      <c r="L4" s="91" t="s">
        <v>115</v>
      </c>
      <c r="M4" s="91" t="s">
        <v>117</v>
      </c>
      <c r="N4" s="91" t="s">
        <v>118</v>
      </c>
      <c r="O4" s="85" t="s">
        <v>115</v>
      </c>
      <c r="P4" s="85" t="s">
        <v>117</v>
      </c>
      <c r="Q4" s="334" t="s">
        <v>604</v>
      </c>
      <c r="R4" s="85" t="s">
        <v>115</v>
      </c>
      <c r="S4" s="85" t="s">
        <v>117</v>
      </c>
      <c r="T4" s="85" t="s">
        <v>118</v>
      </c>
      <c r="U4" s="85" t="s">
        <v>115</v>
      </c>
      <c r="V4" s="85" t="s">
        <v>117</v>
      </c>
      <c r="W4" s="334" t="s">
        <v>604</v>
      </c>
    </row>
    <row r="5" spans="2:23">
      <c r="B5" s="98"/>
      <c r="C5" s="98"/>
      <c r="D5" s="86">
        <v>46054</v>
      </c>
      <c r="E5" s="86" t="s">
        <v>603</v>
      </c>
      <c r="F5" s="231">
        <v>6940443</v>
      </c>
      <c r="H5" s="367"/>
      <c r="I5" s="232">
        <v>213372</v>
      </c>
      <c r="K5" s="368"/>
      <c r="L5" s="231">
        <v>4404292</v>
      </c>
      <c r="M5" s="331"/>
      <c r="N5" s="367"/>
      <c r="O5" s="90">
        <f t="shared" ref="O5:O39" si="0">L5/F5</f>
        <v>0.63458370020472754</v>
      </c>
      <c r="P5" s="332"/>
      <c r="Q5" s="366"/>
      <c r="R5" s="233">
        <v>933426.80761904782</v>
      </c>
      <c r="S5" s="331"/>
      <c r="T5" s="367"/>
      <c r="U5" s="90">
        <f t="shared" ref="U5:U41" si="1">R5/F5</f>
        <v>0.1344909550613769</v>
      </c>
      <c r="V5" s="332"/>
      <c r="W5" s="366"/>
    </row>
    <row r="6" spans="2:23">
      <c r="B6" s="98"/>
      <c r="C6" s="98"/>
      <c r="D6" s="86">
        <f t="shared" ref="D6:D9" si="2">D5+1</f>
        <v>46055</v>
      </c>
      <c r="E6" s="523" t="s">
        <v>597</v>
      </c>
      <c r="F6" s="231">
        <v>6628151</v>
      </c>
      <c r="G6" s="331">
        <f>SUM(F5:F6)</f>
        <v>13568594</v>
      </c>
      <c r="H6" s="367"/>
      <c r="I6" s="232">
        <v>202479</v>
      </c>
      <c r="J6" s="88">
        <f>SUM(I5:I6)</f>
        <v>415851</v>
      </c>
      <c r="K6" s="368"/>
      <c r="L6" s="231">
        <v>4536979</v>
      </c>
      <c r="M6" s="331">
        <f>SUM(L5:L6)</f>
        <v>8941271</v>
      </c>
      <c r="N6" s="367"/>
      <c r="O6" s="90">
        <f t="shared" si="0"/>
        <v>0.68450145447802868</v>
      </c>
      <c r="P6" s="90">
        <f>M6/G6</f>
        <v>0.65896812890119638</v>
      </c>
      <c r="Q6" s="366"/>
      <c r="R6" s="233">
        <v>1064015.5276190483</v>
      </c>
      <c r="S6" s="331">
        <f>SUM(R5:R6)</f>
        <v>1997442.3352380961</v>
      </c>
      <c r="T6" s="367"/>
      <c r="U6" s="90">
        <f t="shared" si="1"/>
        <v>0.16052976578521647</v>
      </c>
      <c r="V6" s="90">
        <f>S6/G6</f>
        <v>0.14721070843729986</v>
      </c>
      <c r="W6" s="366"/>
    </row>
    <row r="7" spans="2:23" ht="16.5" customHeight="1">
      <c r="B7" s="98"/>
      <c r="C7" s="98"/>
      <c r="D7" s="333">
        <f t="shared" si="2"/>
        <v>46056</v>
      </c>
      <c r="E7" s="333" t="s">
        <v>598</v>
      </c>
      <c r="F7" s="231">
        <v>7316700</v>
      </c>
      <c r="G7" s="331">
        <f>SUM(F7:F13)</f>
        <v>47419360</v>
      </c>
      <c r="I7" s="232">
        <v>221093</v>
      </c>
      <c r="J7" s="88">
        <f>SUM(I7:I13)</f>
        <v>1439164</v>
      </c>
      <c r="L7" s="231">
        <v>4959178</v>
      </c>
      <c r="M7" s="331">
        <f>SUM(L7:L13)</f>
        <v>31794253</v>
      </c>
      <c r="O7" s="90">
        <f t="shared" si="0"/>
        <v>0.67778889390025554</v>
      </c>
      <c r="P7" s="90">
        <f>M7/G7</f>
        <v>0.67049097668125424</v>
      </c>
      <c r="R7" s="233">
        <v>1094499.8476190488</v>
      </c>
      <c r="S7" s="331">
        <f>SUM(R7:R13)</f>
        <v>7407047.4933333388</v>
      </c>
      <c r="U7" s="90">
        <f t="shared" si="1"/>
        <v>0.14958927489428961</v>
      </c>
      <c r="V7" s="90">
        <f>S7/G7</f>
        <v>0.15620302537472752</v>
      </c>
    </row>
    <row r="8" spans="2:23" ht="16.5" customHeight="1">
      <c r="B8" s="98"/>
      <c r="C8" s="98"/>
      <c r="D8" s="560">
        <f t="shared" si="2"/>
        <v>46057</v>
      </c>
      <c r="E8" s="560" t="s">
        <v>599</v>
      </c>
      <c r="F8" s="231">
        <v>6974914</v>
      </c>
      <c r="G8" s="331"/>
      <c r="H8" s="367"/>
      <c r="I8" s="232">
        <v>212942</v>
      </c>
      <c r="K8" s="368"/>
      <c r="L8" s="231">
        <v>4716785</v>
      </c>
      <c r="M8" s="331"/>
      <c r="N8" s="367"/>
      <c r="O8" s="90">
        <f t="shared" si="0"/>
        <v>0.67624991505271603</v>
      </c>
      <c r="P8" s="332"/>
      <c r="Q8" s="366"/>
      <c r="R8" s="233">
        <v>1069698.1009523817</v>
      </c>
      <c r="S8" s="331"/>
      <c r="T8" s="367"/>
      <c r="U8" s="90">
        <f t="shared" si="1"/>
        <v>0.15336362583859553</v>
      </c>
      <c r="V8" s="332"/>
      <c r="W8" s="366"/>
    </row>
    <row r="9" spans="2:23" ht="16.5" customHeight="1">
      <c r="B9" s="98"/>
      <c r="C9" s="98"/>
      <c r="D9" s="560">
        <f t="shared" si="2"/>
        <v>46058</v>
      </c>
      <c r="E9" s="560" t="s">
        <v>600</v>
      </c>
      <c r="F9" s="231">
        <v>6570703</v>
      </c>
      <c r="G9" s="331"/>
      <c r="H9" s="367"/>
      <c r="I9" s="232">
        <v>201476</v>
      </c>
      <c r="K9" s="368"/>
      <c r="L9" s="231">
        <v>4496489</v>
      </c>
      <c r="M9" s="331"/>
      <c r="N9" s="367"/>
      <c r="O9" s="90">
        <f t="shared" si="0"/>
        <v>0.68432388436975466</v>
      </c>
      <c r="P9" s="332"/>
      <c r="Q9" s="366"/>
      <c r="R9" s="233">
        <v>1040411.0476190485</v>
      </c>
      <c r="S9" s="331"/>
      <c r="T9" s="367"/>
      <c r="U9" s="90">
        <f t="shared" si="1"/>
        <v>0.15834090319088362</v>
      </c>
      <c r="V9" s="332"/>
      <c r="W9" s="366"/>
    </row>
    <row r="10" spans="2:23" ht="16.5" customHeight="1">
      <c r="B10" s="98"/>
      <c r="C10" s="98"/>
      <c r="D10" s="560">
        <f t="shared" ref="D10:D34" si="3">D9+1</f>
        <v>46059</v>
      </c>
      <c r="E10" s="560" t="s">
        <v>601</v>
      </c>
      <c r="F10" s="231">
        <v>6000072</v>
      </c>
      <c r="H10" s="367">
        <f>SUM(F5:F35)</f>
        <v>107829431</v>
      </c>
      <c r="I10" s="232">
        <v>182653</v>
      </c>
      <c r="K10" s="368">
        <f>SUM(I5:I35)</f>
        <v>3266413</v>
      </c>
      <c r="L10" s="231">
        <v>4113039</v>
      </c>
      <c r="M10" s="331"/>
      <c r="N10" s="367">
        <f>SUM(L5:L35)</f>
        <v>71263432</v>
      </c>
      <c r="O10" s="90">
        <f t="shared" si="0"/>
        <v>0.68549827402071173</v>
      </c>
      <c r="P10" s="332"/>
      <c r="Q10" s="366">
        <f>N10/H10</f>
        <v>0.66089036489490516</v>
      </c>
      <c r="R10" s="233">
        <v>1037455.2742857145</v>
      </c>
      <c r="S10" s="331"/>
      <c r="T10" s="367">
        <f>SUM(R5:R35)</f>
        <v>16160446.281904774</v>
      </c>
      <c r="U10" s="90">
        <f t="shared" si="1"/>
        <v>0.17290713749530248</v>
      </c>
      <c r="V10" s="332"/>
      <c r="W10" s="366">
        <f>T10/H10</f>
        <v>0.14987045866823479</v>
      </c>
    </row>
    <row r="11" spans="2:23" ht="16.5" customHeight="1">
      <c r="B11" s="98"/>
      <c r="C11" s="98"/>
      <c r="D11" s="560">
        <f t="shared" si="3"/>
        <v>46060</v>
      </c>
      <c r="E11" s="560" t="s">
        <v>602</v>
      </c>
      <c r="F11" s="231">
        <v>6372390</v>
      </c>
      <c r="G11" s="331"/>
      <c r="H11" s="367"/>
      <c r="I11" s="232">
        <v>191738</v>
      </c>
      <c r="K11" s="368"/>
      <c r="L11" s="231">
        <v>4263315</v>
      </c>
      <c r="M11" s="331"/>
      <c r="N11" s="367"/>
      <c r="O11" s="90">
        <f t="shared" si="0"/>
        <v>0.66902920254410037</v>
      </c>
      <c r="P11" s="332"/>
      <c r="Q11" s="366"/>
      <c r="R11" s="233">
        <v>1033100.8609523816</v>
      </c>
      <c r="S11" s="331"/>
      <c r="T11" s="367"/>
      <c r="U11" s="90">
        <f t="shared" si="1"/>
        <v>0.16212141142528652</v>
      </c>
      <c r="V11" s="332"/>
      <c r="W11" s="366"/>
    </row>
    <row r="12" spans="2:23" ht="16.5" customHeight="1">
      <c r="B12" s="98"/>
      <c r="C12" s="98"/>
      <c r="D12" s="560">
        <f t="shared" si="3"/>
        <v>46061</v>
      </c>
      <c r="E12" s="560" t="s">
        <v>603</v>
      </c>
      <c r="F12" s="231">
        <v>7231076</v>
      </c>
      <c r="G12" s="331"/>
      <c r="H12" s="367"/>
      <c r="I12" s="232">
        <v>218352</v>
      </c>
      <c r="K12" s="368"/>
      <c r="L12" s="231">
        <v>4640613</v>
      </c>
      <c r="M12" s="331"/>
      <c r="N12" s="367"/>
      <c r="O12" s="90">
        <f t="shared" si="0"/>
        <v>0.64175967725964989</v>
      </c>
      <c r="P12" s="332"/>
      <c r="Q12" s="366"/>
      <c r="R12" s="233">
        <v>1073653.4609523816</v>
      </c>
      <c r="S12" s="331"/>
      <c r="T12" s="367"/>
      <c r="U12" s="90">
        <f t="shared" si="1"/>
        <v>0.14847769003567127</v>
      </c>
      <c r="V12" s="332"/>
      <c r="W12" s="366"/>
    </row>
    <row r="13" spans="2:23" ht="16.5" customHeight="1">
      <c r="B13" s="98"/>
      <c r="C13" s="98"/>
      <c r="D13" s="560">
        <f t="shared" si="3"/>
        <v>46062</v>
      </c>
      <c r="E13" s="560" t="s">
        <v>597</v>
      </c>
      <c r="F13" s="231">
        <v>6953505</v>
      </c>
      <c r="H13" s="367"/>
      <c r="I13" s="232">
        <v>210910</v>
      </c>
      <c r="K13" s="368"/>
      <c r="L13" s="231">
        <v>4604834</v>
      </c>
      <c r="M13" s="331"/>
      <c r="N13" s="367"/>
      <c r="O13" s="90">
        <f t="shared" si="0"/>
        <v>0.66223206857548822</v>
      </c>
      <c r="P13" s="332"/>
      <c r="Q13" s="366"/>
      <c r="R13" s="231">
        <v>1058228.9009523818</v>
      </c>
      <c r="S13" s="331"/>
      <c r="T13" s="367"/>
      <c r="U13" s="90">
        <f t="shared" si="1"/>
        <v>0.15218640109590512</v>
      </c>
      <c r="V13" s="332"/>
      <c r="W13" s="366"/>
    </row>
    <row r="14" spans="2:23" ht="16.5" customHeight="1">
      <c r="B14" s="98"/>
      <c r="C14" s="98"/>
      <c r="D14" s="523">
        <f t="shared" si="3"/>
        <v>46063</v>
      </c>
      <c r="E14" s="523" t="s">
        <v>598</v>
      </c>
      <c r="F14" s="231">
        <v>6822744</v>
      </c>
      <c r="G14" s="331">
        <f>SUM(F14:F20)</f>
        <v>46841477</v>
      </c>
      <c r="H14" s="367"/>
      <c r="I14" s="232">
        <v>208026</v>
      </c>
      <c r="J14" s="88">
        <f>SUM(I14:I20)</f>
        <v>1411398</v>
      </c>
      <c r="K14" s="368"/>
      <c r="L14" s="231">
        <v>4499537</v>
      </c>
      <c r="M14" s="331">
        <f>SUM(L14:L20)</f>
        <v>30527908</v>
      </c>
      <c r="N14" s="367"/>
      <c r="O14" s="90">
        <f t="shared" si="0"/>
        <v>0.65949081483930805</v>
      </c>
      <c r="P14" s="90">
        <f>M14/G14</f>
        <v>0.65172812548161108</v>
      </c>
      <c r="Q14" s="366"/>
      <c r="R14" s="231">
        <v>1017605.6209523822</v>
      </c>
      <c r="S14" s="331">
        <f>SUM(R14:R20)</f>
        <v>6755956.4533333387</v>
      </c>
      <c r="T14" s="367"/>
      <c r="U14" s="90">
        <f t="shared" si="1"/>
        <v>0.14914902581019926</v>
      </c>
      <c r="V14" s="90">
        <f>S14/G14</f>
        <v>0.14423021830275204</v>
      </c>
      <c r="W14" s="366"/>
    </row>
    <row r="15" spans="2:23" ht="16.5" customHeight="1">
      <c r="B15" s="98"/>
      <c r="C15" s="98"/>
      <c r="D15" s="561">
        <f t="shared" si="3"/>
        <v>46064</v>
      </c>
      <c r="E15" s="561" t="s">
        <v>599</v>
      </c>
      <c r="F15" s="231">
        <v>6624486</v>
      </c>
      <c r="G15" s="331"/>
      <c r="H15" s="367"/>
      <c r="I15" s="232">
        <v>201231</v>
      </c>
      <c r="K15" s="368"/>
      <c r="L15" s="231">
        <v>4384850</v>
      </c>
      <c r="M15" s="331"/>
      <c r="N15" s="367"/>
      <c r="O15" s="90">
        <f t="shared" si="0"/>
        <v>0.66191550559545298</v>
      </c>
      <c r="P15" s="332"/>
      <c r="Q15" s="366"/>
      <c r="R15" s="231">
        <v>975334.72761904844</v>
      </c>
      <c r="S15" s="331"/>
      <c r="T15" s="367"/>
      <c r="U15" s="90">
        <f t="shared" si="1"/>
        <v>0.14723175920653292</v>
      </c>
      <c r="V15" s="332"/>
      <c r="W15" s="366"/>
    </row>
    <row r="16" spans="2:23" ht="16.5" customHeight="1">
      <c r="B16" s="98"/>
      <c r="C16" s="98"/>
      <c r="D16" s="561">
        <f t="shared" si="3"/>
        <v>46065</v>
      </c>
      <c r="E16" s="561" t="s">
        <v>600</v>
      </c>
      <c r="F16" s="231">
        <v>6520982</v>
      </c>
      <c r="G16" s="331"/>
      <c r="H16" s="367"/>
      <c r="I16" s="232">
        <v>195501</v>
      </c>
      <c r="K16" s="368"/>
      <c r="L16" s="231">
        <v>4297786</v>
      </c>
      <c r="M16" s="331"/>
      <c r="N16" s="367"/>
      <c r="O16" s="90">
        <f t="shared" si="0"/>
        <v>0.65907036700914068</v>
      </c>
      <c r="P16" s="332"/>
      <c r="Q16" s="366"/>
      <c r="R16" s="231">
        <v>948807.51428571495</v>
      </c>
      <c r="S16" s="331"/>
      <c r="T16" s="367"/>
      <c r="U16" s="90">
        <f t="shared" si="1"/>
        <v>0.14550071051962954</v>
      </c>
      <c r="V16" s="332"/>
      <c r="W16" s="366"/>
    </row>
    <row r="17" spans="2:23" ht="16.5" customHeight="1">
      <c r="B17" s="98"/>
      <c r="C17" s="98"/>
      <c r="D17" s="561">
        <f t="shared" si="3"/>
        <v>46066</v>
      </c>
      <c r="E17" s="561" t="s">
        <v>601</v>
      </c>
      <c r="F17" s="231">
        <v>6287200</v>
      </c>
      <c r="H17" s="367"/>
      <c r="I17" s="232">
        <v>188964</v>
      </c>
      <c r="K17" s="368"/>
      <c r="L17" s="231">
        <v>4157276</v>
      </c>
      <c r="M17" s="331"/>
      <c r="N17" s="367"/>
      <c r="O17" s="90">
        <f t="shared" si="0"/>
        <v>0.66122852780251939</v>
      </c>
      <c r="P17" s="332"/>
      <c r="Q17" s="366"/>
      <c r="R17" s="231">
        <v>961598.07428571489</v>
      </c>
      <c r="S17" s="331"/>
      <c r="T17" s="367"/>
      <c r="U17" s="90">
        <f t="shared" si="1"/>
        <v>0.1529453610964682</v>
      </c>
      <c r="V17" s="332"/>
      <c r="W17" s="366"/>
    </row>
    <row r="18" spans="2:23" ht="16.5" customHeight="1">
      <c r="B18" s="98"/>
      <c r="C18" s="98"/>
      <c r="D18" s="561">
        <f t="shared" si="3"/>
        <v>46067</v>
      </c>
      <c r="E18" s="561" t="s">
        <v>602</v>
      </c>
      <c r="F18" s="231">
        <v>6831701</v>
      </c>
      <c r="G18" s="331"/>
      <c r="H18" s="367"/>
      <c r="I18" s="232">
        <v>202302</v>
      </c>
      <c r="K18" s="368"/>
      <c r="L18" s="231">
        <v>4449159</v>
      </c>
      <c r="M18" s="331"/>
      <c r="N18" s="367"/>
      <c r="O18" s="90">
        <f t="shared" si="0"/>
        <v>0.65125200883352474</v>
      </c>
      <c r="P18" s="332"/>
      <c r="Q18" s="366"/>
      <c r="R18" s="231">
        <v>973170.6209523821</v>
      </c>
      <c r="S18" s="331"/>
      <c r="T18" s="367"/>
      <c r="U18" s="90">
        <f t="shared" si="1"/>
        <v>0.14244924081899693</v>
      </c>
      <c r="V18" s="332"/>
      <c r="W18" s="366"/>
    </row>
    <row r="19" spans="2:23" ht="16.5" customHeight="1">
      <c r="B19" s="98"/>
      <c r="C19" s="98"/>
      <c r="D19" s="561">
        <f t="shared" si="3"/>
        <v>46068</v>
      </c>
      <c r="E19" s="561" t="s">
        <v>603</v>
      </c>
      <c r="F19" s="231">
        <v>6930409</v>
      </c>
      <c r="G19" s="331"/>
      <c r="H19" s="367"/>
      <c r="I19" s="232">
        <v>207251</v>
      </c>
      <c r="K19" s="368"/>
      <c r="L19" s="231">
        <v>4268783</v>
      </c>
      <c r="M19" s="331"/>
      <c r="N19" s="367"/>
      <c r="O19" s="90">
        <f t="shared" si="0"/>
        <v>0.61594965030202398</v>
      </c>
      <c r="P19" s="332"/>
      <c r="Q19" s="366"/>
      <c r="R19" s="231">
        <v>957126.92761904805</v>
      </c>
      <c r="S19" s="331"/>
      <c r="T19" s="367"/>
      <c r="U19" s="90">
        <f t="shared" si="1"/>
        <v>0.13810540295948595</v>
      </c>
      <c r="V19" s="332"/>
      <c r="W19" s="366"/>
    </row>
    <row r="20" spans="2:23" ht="16.5" customHeight="1">
      <c r="B20" s="98"/>
      <c r="C20" s="98"/>
      <c r="D20" s="561">
        <f t="shared" si="3"/>
        <v>46069</v>
      </c>
      <c r="E20" s="561" t="s">
        <v>597</v>
      </c>
      <c r="F20" s="231">
        <v>6823955</v>
      </c>
      <c r="H20" s="367"/>
      <c r="I20" s="232">
        <v>208123</v>
      </c>
      <c r="K20" s="368"/>
      <c r="L20" s="231">
        <v>4470517</v>
      </c>
      <c r="M20" s="331"/>
      <c r="N20" s="367"/>
      <c r="O20" s="90">
        <f t="shared" si="0"/>
        <v>0.65512111378225679</v>
      </c>
      <c r="P20" s="332"/>
      <c r="Q20" s="366"/>
      <c r="R20" s="231">
        <v>922312.96761904785</v>
      </c>
      <c r="S20" s="331"/>
      <c r="T20" s="367"/>
      <c r="U20" s="90">
        <f t="shared" si="1"/>
        <v>0.1351581256938312</v>
      </c>
      <c r="V20" s="332"/>
      <c r="W20" s="366"/>
    </row>
    <row r="21" spans="2:23" ht="16.5" customHeight="1">
      <c r="B21" s="98"/>
      <c r="C21" s="98"/>
      <c r="D21" s="333">
        <f t="shared" si="3"/>
        <v>46070</v>
      </c>
      <c r="E21" s="333" t="s">
        <v>598</v>
      </c>
      <c r="F21" s="231"/>
      <c r="G21" s="331">
        <f>SUM(F21:F27)</f>
        <v>0</v>
      </c>
      <c r="H21" s="367"/>
      <c r="I21" s="232"/>
      <c r="J21" s="88">
        <f>SUM(I21:I27)</f>
        <v>0</v>
      </c>
      <c r="K21" s="368"/>
      <c r="L21" s="231"/>
      <c r="M21" s="331">
        <f>SUM(L21:L27)</f>
        <v>0</v>
      </c>
      <c r="N21" s="367"/>
      <c r="O21" s="90" t="e">
        <f t="shared" si="0"/>
        <v>#DIV/0!</v>
      </c>
      <c r="P21" s="90" t="e">
        <f>M21/G21</f>
        <v>#DIV/0!</v>
      </c>
      <c r="Q21" s="366"/>
      <c r="R21" s="231"/>
      <c r="S21" s="331">
        <f>SUM(R21:R27)</f>
        <v>0</v>
      </c>
      <c r="T21" s="367"/>
      <c r="U21" s="90" t="e">
        <f t="shared" si="1"/>
        <v>#DIV/0!</v>
      </c>
      <c r="V21" s="90" t="e">
        <f>S21/G21</f>
        <v>#DIV/0!</v>
      </c>
      <c r="W21" s="366"/>
    </row>
    <row r="22" spans="2:23" ht="16.5" customHeight="1">
      <c r="B22" s="98"/>
      <c r="C22" s="98"/>
      <c r="D22" s="560">
        <f t="shared" si="3"/>
        <v>46071</v>
      </c>
      <c r="E22" s="560" t="s">
        <v>599</v>
      </c>
      <c r="F22" s="231"/>
      <c r="G22" s="331"/>
      <c r="H22" s="367"/>
      <c r="I22" s="232"/>
      <c r="K22" s="368"/>
      <c r="L22" s="231"/>
      <c r="M22" s="331"/>
      <c r="N22" s="367"/>
      <c r="O22" s="90" t="e">
        <f t="shared" si="0"/>
        <v>#DIV/0!</v>
      </c>
      <c r="P22" s="332"/>
      <c r="Q22" s="366"/>
      <c r="R22" s="231"/>
      <c r="S22" s="331"/>
      <c r="T22" s="367"/>
      <c r="U22" s="90" t="e">
        <f t="shared" si="1"/>
        <v>#DIV/0!</v>
      </c>
      <c r="V22" s="332"/>
      <c r="W22" s="366"/>
    </row>
    <row r="23" spans="2:23" ht="16.5" customHeight="1">
      <c r="B23" s="98"/>
      <c r="C23" s="98"/>
      <c r="D23" s="560">
        <f t="shared" si="3"/>
        <v>46072</v>
      </c>
      <c r="E23" s="560" t="s">
        <v>600</v>
      </c>
      <c r="F23" s="231"/>
      <c r="G23" s="331"/>
      <c r="H23" s="367"/>
      <c r="I23" s="232"/>
      <c r="K23" s="368"/>
      <c r="L23" s="231"/>
      <c r="M23" s="331"/>
      <c r="N23" s="367"/>
      <c r="O23" s="90" t="e">
        <f t="shared" si="0"/>
        <v>#DIV/0!</v>
      </c>
      <c r="P23" s="332"/>
      <c r="Q23" s="366"/>
      <c r="R23" s="231"/>
      <c r="S23" s="331"/>
      <c r="T23" s="367"/>
      <c r="U23" s="90" t="e">
        <f t="shared" si="1"/>
        <v>#DIV/0!</v>
      </c>
      <c r="V23" s="332"/>
      <c r="W23" s="366"/>
    </row>
    <row r="24" spans="2:23" ht="16.5" customHeight="1">
      <c r="B24" s="98"/>
      <c r="C24" s="98"/>
      <c r="D24" s="560">
        <f t="shared" si="3"/>
        <v>46073</v>
      </c>
      <c r="E24" s="560" t="s">
        <v>601</v>
      </c>
      <c r="F24" s="231"/>
      <c r="H24" s="367"/>
      <c r="I24" s="232"/>
      <c r="K24" s="368"/>
      <c r="L24" s="231"/>
      <c r="M24" s="331"/>
      <c r="N24" s="367"/>
      <c r="O24" s="90" t="e">
        <f t="shared" si="0"/>
        <v>#DIV/0!</v>
      </c>
      <c r="P24" s="332"/>
      <c r="Q24" s="366"/>
      <c r="R24" s="231"/>
      <c r="S24" s="331"/>
      <c r="T24" s="367"/>
      <c r="U24" s="90" t="e">
        <f t="shared" si="1"/>
        <v>#DIV/0!</v>
      </c>
      <c r="V24" s="332"/>
      <c r="W24" s="366"/>
    </row>
    <row r="25" spans="2:23" ht="16.5" customHeight="1">
      <c r="B25" s="98"/>
      <c r="C25" s="98"/>
      <c r="D25" s="560">
        <f t="shared" si="3"/>
        <v>46074</v>
      </c>
      <c r="E25" s="560" t="s">
        <v>602</v>
      </c>
      <c r="F25" s="231"/>
      <c r="G25" s="331"/>
      <c r="H25" s="367"/>
      <c r="I25" s="232"/>
      <c r="K25" s="368"/>
      <c r="L25" s="231"/>
      <c r="M25" s="331"/>
      <c r="N25" s="367"/>
      <c r="O25" s="90" t="e">
        <f t="shared" si="0"/>
        <v>#DIV/0!</v>
      </c>
      <c r="P25" s="332"/>
      <c r="Q25" s="366"/>
      <c r="R25" s="231"/>
      <c r="S25" s="331"/>
      <c r="T25" s="367"/>
      <c r="U25" s="90" t="e">
        <f t="shared" si="1"/>
        <v>#DIV/0!</v>
      </c>
      <c r="V25" s="332"/>
      <c r="W25" s="366"/>
    </row>
    <row r="26" spans="2:23" ht="16.5" customHeight="1">
      <c r="B26" s="98"/>
      <c r="C26" s="98"/>
      <c r="D26" s="560">
        <f t="shared" si="3"/>
        <v>46075</v>
      </c>
      <c r="E26" s="560" t="s">
        <v>603</v>
      </c>
      <c r="F26" s="231"/>
      <c r="G26" s="331"/>
      <c r="H26" s="367"/>
      <c r="I26" s="232"/>
      <c r="K26" s="368"/>
      <c r="L26" s="231"/>
      <c r="M26" s="331"/>
      <c r="N26" s="367"/>
      <c r="O26" s="90" t="e">
        <f t="shared" si="0"/>
        <v>#DIV/0!</v>
      </c>
      <c r="P26" s="332"/>
      <c r="Q26" s="366"/>
      <c r="R26" s="231"/>
      <c r="S26" s="331"/>
      <c r="T26" s="367"/>
      <c r="U26" s="90" t="e">
        <f t="shared" si="1"/>
        <v>#DIV/0!</v>
      </c>
      <c r="V26" s="332"/>
      <c r="W26" s="366"/>
    </row>
    <row r="27" spans="2:23">
      <c r="B27" s="98"/>
      <c r="C27" s="98"/>
      <c r="D27" s="560">
        <f t="shared" si="3"/>
        <v>46076</v>
      </c>
      <c r="E27" s="560" t="s">
        <v>597</v>
      </c>
      <c r="F27" s="231"/>
      <c r="H27" s="367"/>
      <c r="I27" s="232"/>
      <c r="K27" s="368"/>
      <c r="L27" s="231"/>
      <c r="M27" s="331"/>
      <c r="N27" s="367"/>
      <c r="O27" s="90" t="e">
        <f t="shared" si="0"/>
        <v>#DIV/0!</v>
      </c>
      <c r="P27" s="332"/>
      <c r="Q27" s="366"/>
      <c r="R27" s="231"/>
      <c r="S27" s="331"/>
      <c r="T27" s="367"/>
      <c r="U27" s="90" t="e">
        <f t="shared" si="1"/>
        <v>#DIV/0!</v>
      </c>
      <c r="V27" s="332"/>
      <c r="W27" s="366"/>
    </row>
    <row r="28" spans="2:23">
      <c r="B28" s="98"/>
      <c r="C28" s="98"/>
      <c r="D28" s="523">
        <f t="shared" si="3"/>
        <v>46077</v>
      </c>
      <c r="E28" s="523" t="s">
        <v>598</v>
      </c>
      <c r="F28" s="231"/>
      <c r="G28" s="331">
        <f>SUM(F28:F34)</f>
        <v>0</v>
      </c>
      <c r="H28" s="367"/>
      <c r="I28" s="232"/>
      <c r="J28" s="88">
        <f>SUM(I28:I34)</f>
        <v>0</v>
      </c>
      <c r="K28" s="368"/>
      <c r="L28" s="231"/>
      <c r="M28" s="331">
        <f>SUM(L28:L34)</f>
        <v>0</v>
      </c>
      <c r="N28" s="367"/>
      <c r="O28" s="90" t="e">
        <f t="shared" si="0"/>
        <v>#DIV/0!</v>
      </c>
      <c r="P28" s="90" t="e">
        <f>M28/G28</f>
        <v>#DIV/0!</v>
      </c>
      <c r="Q28" s="366"/>
      <c r="R28" s="231"/>
      <c r="S28" s="331">
        <f>SUM(R28:R34)</f>
        <v>0</v>
      </c>
      <c r="T28" s="367"/>
      <c r="U28" s="90" t="e">
        <f t="shared" si="1"/>
        <v>#DIV/0!</v>
      </c>
      <c r="V28" s="90" t="e">
        <f>S28/G28</f>
        <v>#DIV/0!</v>
      </c>
      <c r="W28" s="366"/>
    </row>
    <row r="29" spans="2:23">
      <c r="B29" s="98"/>
      <c r="C29" s="98"/>
      <c r="D29" s="561">
        <f t="shared" si="3"/>
        <v>46078</v>
      </c>
      <c r="E29" s="561" t="s">
        <v>599</v>
      </c>
      <c r="F29" s="231"/>
      <c r="G29" s="331"/>
      <c r="H29" s="367"/>
      <c r="I29" s="232"/>
      <c r="K29" s="368"/>
      <c r="L29" s="231"/>
      <c r="M29" s="331"/>
      <c r="N29" s="367"/>
      <c r="O29" s="90" t="e">
        <f t="shared" si="0"/>
        <v>#DIV/0!</v>
      </c>
      <c r="P29" s="332"/>
      <c r="Q29" s="366"/>
      <c r="R29" s="231"/>
      <c r="S29" s="331"/>
      <c r="T29" s="367"/>
      <c r="U29" s="90" t="e">
        <f t="shared" si="1"/>
        <v>#DIV/0!</v>
      </c>
      <c r="V29" s="332"/>
      <c r="W29" s="366"/>
    </row>
    <row r="30" spans="2:23">
      <c r="B30" s="98"/>
      <c r="C30" s="98"/>
      <c r="D30" s="561">
        <f t="shared" si="3"/>
        <v>46079</v>
      </c>
      <c r="E30" s="561" t="s">
        <v>600</v>
      </c>
      <c r="F30" s="231"/>
      <c r="G30" s="331"/>
      <c r="H30" s="367"/>
      <c r="I30" s="232"/>
      <c r="K30" s="368"/>
      <c r="L30" s="231"/>
      <c r="M30" s="331"/>
      <c r="N30" s="367"/>
      <c r="O30" s="90" t="e">
        <f t="shared" si="0"/>
        <v>#DIV/0!</v>
      </c>
      <c r="P30" s="332"/>
      <c r="Q30" s="366"/>
      <c r="R30" s="231"/>
      <c r="S30" s="331"/>
      <c r="T30" s="367"/>
      <c r="U30" s="90" t="e">
        <f t="shared" si="1"/>
        <v>#DIV/0!</v>
      </c>
      <c r="V30" s="332"/>
      <c r="W30" s="366"/>
    </row>
    <row r="31" spans="2:23">
      <c r="B31" s="98"/>
      <c r="C31" s="98"/>
      <c r="D31" s="561">
        <f t="shared" si="3"/>
        <v>46080</v>
      </c>
      <c r="E31" s="561" t="s">
        <v>601</v>
      </c>
      <c r="F31" s="231"/>
      <c r="H31" s="367"/>
      <c r="I31" s="232"/>
      <c r="K31" s="368"/>
      <c r="L31" s="231"/>
      <c r="M31" s="331"/>
      <c r="N31" s="367"/>
      <c r="O31" s="90" t="e">
        <f t="shared" si="0"/>
        <v>#DIV/0!</v>
      </c>
      <c r="P31" s="332"/>
      <c r="Q31" s="366"/>
      <c r="R31" s="231"/>
      <c r="S31" s="331"/>
      <c r="T31" s="367"/>
      <c r="U31" s="90" t="e">
        <f t="shared" si="1"/>
        <v>#DIV/0!</v>
      </c>
      <c r="V31" s="332"/>
      <c r="W31" s="366"/>
    </row>
    <row r="32" spans="2:23">
      <c r="B32" s="98"/>
      <c r="C32" s="98"/>
      <c r="D32" s="561">
        <f t="shared" si="3"/>
        <v>46081</v>
      </c>
      <c r="E32" s="561" t="s">
        <v>602</v>
      </c>
      <c r="F32" s="231"/>
      <c r="G32" s="331"/>
      <c r="H32" s="367"/>
      <c r="I32" s="232"/>
      <c r="K32" s="368"/>
      <c r="L32" s="231"/>
      <c r="M32" s="331"/>
      <c r="N32" s="367"/>
      <c r="O32" s="90" t="e">
        <f t="shared" si="0"/>
        <v>#DIV/0!</v>
      </c>
      <c r="P32" s="332"/>
      <c r="Q32" s="366"/>
      <c r="R32" s="231"/>
      <c r="S32" s="331"/>
      <c r="T32" s="367"/>
      <c r="U32" s="90" t="e">
        <f t="shared" si="1"/>
        <v>#DIV/0!</v>
      </c>
      <c r="V32" s="90"/>
      <c r="W32" s="366"/>
    </row>
    <row r="33" spans="2:23">
      <c r="B33" s="98"/>
      <c r="C33" s="98"/>
      <c r="D33" s="561">
        <f t="shared" si="3"/>
        <v>46082</v>
      </c>
      <c r="E33" s="561" t="s">
        <v>603</v>
      </c>
      <c r="F33" s="231"/>
      <c r="G33" s="331"/>
      <c r="H33" s="367"/>
      <c r="I33" s="232"/>
      <c r="K33" s="368"/>
      <c r="L33" s="231"/>
      <c r="M33" s="331"/>
      <c r="N33" s="367"/>
      <c r="O33" s="90" t="e">
        <f t="shared" si="0"/>
        <v>#DIV/0!</v>
      </c>
      <c r="Q33" s="366"/>
      <c r="R33" s="231"/>
      <c r="S33" s="331"/>
      <c r="T33" s="367"/>
      <c r="U33" s="90" t="e">
        <f t="shared" si="1"/>
        <v>#DIV/0!</v>
      </c>
      <c r="V33" s="90"/>
      <c r="W33" s="366"/>
    </row>
    <row r="34" spans="2:23">
      <c r="B34" s="98"/>
      <c r="C34" s="98"/>
      <c r="D34" s="561">
        <f t="shared" si="3"/>
        <v>46083</v>
      </c>
      <c r="E34" s="561" t="s">
        <v>597</v>
      </c>
      <c r="F34" s="231"/>
      <c r="H34" s="367"/>
      <c r="I34" s="232"/>
      <c r="K34" s="368"/>
      <c r="L34" s="231"/>
      <c r="M34" s="331"/>
      <c r="N34" s="367"/>
      <c r="O34" s="90" t="e">
        <f t="shared" si="0"/>
        <v>#DIV/0!</v>
      </c>
      <c r="Q34" s="366"/>
      <c r="R34" s="231"/>
      <c r="S34" s="331"/>
      <c r="T34" s="367"/>
      <c r="U34" s="90" t="e">
        <f t="shared" si="1"/>
        <v>#DIV/0!</v>
      </c>
      <c r="V34" s="90"/>
      <c r="W34" s="366"/>
    </row>
    <row r="35" spans="2:23">
      <c r="B35" s="98"/>
      <c r="C35" s="98"/>
      <c r="D35" s="523"/>
      <c r="E35" s="523"/>
      <c r="F35" s="231"/>
      <c r="G35" s="331"/>
      <c r="H35" s="367"/>
      <c r="I35" s="232"/>
      <c r="K35" s="368"/>
      <c r="L35" s="231"/>
      <c r="M35" s="331"/>
      <c r="N35" s="367"/>
      <c r="O35" s="90" t="e">
        <f t="shared" si="0"/>
        <v>#DIV/0!</v>
      </c>
      <c r="Q35" s="366"/>
      <c r="R35" s="231"/>
      <c r="S35" s="331"/>
      <c r="T35" s="367"/>
      <c r="U35" s="90" t="e">
        <f t="shared" si="1"/>
        <v>#DIV/0!</v>
      </c>
      <c r="V35" s="90"/>
      <c r="W35" s="366"/>
    </row>
    <row r="36" spans="2:23">
      <c r="B36" s="98"/>
      <c r="C36" s="98"/>
      <c r="D36" s="523"/>
      <c r="E36" s="523"/>
      <c r="F36" s="231"/>
      <c r="G36" s="331"/>
      <c r="H36" s="367"/>
      <c r="I36" s="232"/>
      <c r="K36" s="368"/>
      <c r="L36" s="231"/>
      <c r="M36" s="331"/>
      <c r="N36" s="367"/>
      <c r="O36" s="90" t="e">
        <f t="shared" si="0"/>
        <v>#DIV/0!</v>
      </c>
      <c r="Q36" s="366"/>
      <c r="R36" s="231"/>
      <c r="S36" s="331"/>
      <c r="T36" s="367"/>
      <c r="U36" s="90" t="e">
        <f t="shared" si="1"/>
        <v>#DIV/0!</v>
      </c>
      <c r="V36" s="90"/>
      <c r="W36" s="366"/>
    </row>
    <row r="37" spans="2:23">
      <c r="B37" s="98"/>
      <c r="D37" s="523"/>
      <c r="E37" s="523"/>
      <c r="F37" s="231"/>
      <c r="G37" s="331"/>
      <c r="I37" s="232"/>
      <c r="L37" s="231"/>
      <c r="M37" s="331"/>
      <c r="N37" s="87"/>
      <c r="O37" s="90" t="e">
        <f t="shared" si="0"/>
        <v>#DIV/0!</v>
      </c>
      <c r="Q37" s="87"/>
      <c r="R37" s="231"/>
      <c r="S37" s="331"/>
      <c r="T37" s="87"/>
      <c r="U37" s="90" t="e">
        <f t="shared" si="1"/>
        <v>#DIV/0!</v>
      </c>
      <c r="V37" s="90"/>
      <c r="W37" s="87"/>
    </row>
    <row r="38" spans="2:23">
      <c r="B38" s="98"/>
      <c r="D38" s="523"/>
      <c r="E38" s="523"/>
      <c r="F38" s="231"/>
      <c r="G38" s="331"/>
      <c r="I38" s="232"/>
      <c r="L38" s="231"/>
      <c r="M38" s="331"/>
      <c r="N38" s="87"/>
      <c r="O38" s="90" t="e">
        <f t="shared" si="0"/>
        <v>#DIV/0!</v>
      </c>
      <c r="Q38" s="87"/>
      <c r="R38" s="231"/>
      <c r="S38" s="331"/>
      <c r="T38" s="87"/>
      <c r="U38" s="90" t="e">
        <f t="shared" si="1"/>
        <v>#DIV/0!</v>
      </c>
      <c r="V38" s="90"/>
      <c r="W38" s="87"/>
    </row>
    <row r="39" spans="2:23">
      <c r="B39" s="98"/>
      <c r="D39" s="523"/>
      <c r="E39" s="523"/>
      <c r="F39" s="231"/>
      <c r="G39" s="331"/>
      <c r="I39" s="232"/>
      <c r="L39" s="231"/>
      <c r="M39" s="331"/>
      <c r="N39" s="87"/>
      <c r="O39" s="90" t="e">
        <f t="shared" si="0"/>
        <v>#DIV/0!</v>
      </c>
      <c r="Q39" s="87"/>
      <c r="R39" s="231"/>
      <c r="S39" s="331"/>
      <c r="T39" s="87"/>
      <c r="U39" s="90" t="e">
        <f t="shared" si="1"/>
        <v>#DIV/0!</v>
      </c>
      <c r="V39" s="90"/>
      <c r="W39" s="87"/>
    </row>
    <row r="40" spans="2:23">
      <c r="B40" s="98"/>
      <c r="D40" s="523"/>
      <c r="E40" s="523"/>
      <c r="F40" s="231"/>
      <c r="G40" s="331"/>
      <c r="I40" s="232"/>
      <c r="L40" s="231"/>
      <c r="M40" s="331"/>
      <c r="N40" s="87"/>
      <c r="O40" s="90" t="e">
        <f>L40/F40</f>
        <v>#DIV/0!</v>
      </c>
      <c r="Q40" s="87"/>
      <c r="R40" s="231"/>
      <c r="S40" s="331"/>
      <c r="T40" s="87"/>
      <c r="U40" s="90" t="e">
        <f t="shared" si="1"/>
        <v>#DIV/0!</v>
      </c>
      <c r="V40" s="90"/>
      <c r="W40" s="87"/>
    </row>
    <row r="41" spans="2:23">
      <c r="B41" s="98"/>
      <c r="D41" s="86"/>
      <c r="E41" s="86"/>
      <c r="F41" s="231"/>
      <c r="G41" s="331"/>
      <c r="I41" s="232"/>
      <c r="L41" s="231"/>
      <c r="M41" s="331"/>
      <c r="N41" s="87"/>
      <c r="O41" s="90" t="e">
        <f>L41/F41</f>
        <v>#DIV/0!</v>
      </c>
      <c r="Q41" s="87"/>
      <c r="R41" s="233"/>
      <c r="S41" s="331"/>
      <c r="T41" s="87"/>
      <c r="U41" s="90" t="e">
        <f t="shared" si="1"/>
        <v>#DIV/0!</v>
      </c>
      <c r="V41" s="90"/>
      <c r="W41" s="87"/>
    </row>
    <row r="42" spans="2:23">
      <c r="B42" s="98"/>
      <c r="D42" s="86"/>
      <c r="E42" s="86"/>
      <c r="G42" s="331"/>
      <c r="M42" s="331"/>
      <c r="N42" s="87"/>
      <c r="Q42" s="87"/>
      <c r="S42" s="331"/>
      <c r="T42" s="87"/>
      <c r="V42" s="90"/>
      <c r="W42" s="87"/>
    </row>
    <row r="43" spans="2:23">
      <c r="B43" s="98"/>
      <c r="D43" s="86"/>
      <c r="E43" s="86"/>
      <c r="G43" s="331"/>
      <c r="M43" s="331"/>
      <c r="N43" s="87"/>
      <c r="Q43" s="87"/>
      <c r="S43" s="331"/>
      <c r="T43" s="87"/>
      <c r="V43" s="90"/>
      <c r="W43" s="87"/>
    </row>
    <row r="44" spans="2:23">
      <c r="B44" s="98"/>
      <c r="D44" s="86"/>
      <c r="E44" s="86"/>
      <c r="G44" s="331"/>
      <c r="M44" s="331"/>
      <c r="N44" s="87"/>
      <c r="Q44" s="87"/>
      <c r="S44" s="331"/>
      <c r="T44" s="87"/>
      <c r="V44" s="90"/>
      <c r="W44" s="87"/>
    </row>
    <row r="45" spans="2:23">
      <c r="B45" s="98"/>
      <c r="M45" s="87"/>
      <c r="S45" s="87"/>
    </row>
    <row r="46" spans="2:23">
      <c r="B46" s="98"/>
      <c r="M46" s="87"/>
    </row>
    <row r="47" spans="2:23">
      <c r="B47" s="98"/>
      <c r="M47" s="87"/>
    </row>
    <row r="48" spans="2:23">
      <c r="B48" s="98"/>
      <c r="M48" s="87"/>
    </row>
    <row r="49" spans="2:13">
      <c r="B49" s="98"/>
      <c r="M49" s="87"/>
    </row>
    <row r="50" spans="2:13">
      <c r="B50" s="98"/>
      <c r="M50" s="87"/>
    </row>
    <row r="51" spans="2:13">
      <c r="M51" s="87"/>
    </row>
    <row r="52" spans="2:13">
      <c r="M52" s="87"/>
    </row>
    <row r="53" spans="2:13">
      <c r="M53" s="87"/>
    </row>
    <row r="54" spans="2:13">
      <c r="M54" s="87"/>
    </row>
    <row r="55" spans="2:13">
      <c r="M55" s="87"/>
    </row>
    <row r="56" spans="2:13">
      <c r="M56" s="87"/>
    </row>
    <row r="57" spans="2:13">
      <c r="M57" s="87"/>
    </row>
    <row r="58" spans="2:13">
      <c r="M58" s="87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50"/>
  <sheetViews>
    <sheetView zoomScale="75" zoomScaleNormal="7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O14" sqref="O14:O20"/>
    </sheetView>
  </sheetViews>
  <sheetFormatPr defaultColWidth="8.85546875" defaultRowHeight="12"/>
  <cols>
    <col min="1" max="1" width="4.42578125" style="74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25.5703125" style="94" customWidth="1"/>
    <col min="9" max="11" width="15" style="73" customWidth="1"/>
    <col min="12" max="17" width="14.5703125" style="73" customWidth="1"/>
    <col min="18" max="21" width="14.140625" style="73" customWidth="1"/>
    <col min="22" max="23" width="14.140625" style="74" customWidth="1"/>
    <col min="24" max="16384" width="8.85546875" style="74"/>
  </cols>
  <sheetData>
    <row r="1" spans="2:23">
      <c r="B1" s="82" t="s">
        <v>334</v>
      </c>
      <c r="C1" s="83">
        <v>366</v>
      </c>
    </row>
    <row r="2" spans="2:23" ht="38.1" customHeight="1">
      <c r="B2" s="608" t="s">
        <v>126</v>
      </c>
      <c r="C2" s="615"/>
      <c r="D2" s="615"/>
      <c r="E2" s="615"/>
      <c r="F2" s="615"/>
      <c r="G2" s="615"/>
      <c r="H2" s="615"/>
      <c r="I2" s="615"/>
      <c r="J2" s="615"/>
      <c r="K2" s="615"/>
      <c r="L2" s="615"/>
      <c r="M2" s="615"/>
      <c r="N2" s="615"/>
      <c r="O2" s="615"/>
      <c r="P2" s="615"/>
      <c r="Q2" s="615"/>
      <c r="R2" s="615"/>
      <c r="S2" s="615"/>
      <c r="T2" s="615"/>
      <c r="U2" s="615"/>
    </row>
    <row r="3" spans="2:23" s="72" customFormat="1" ht="23.45" customHeight="1">
      <c r="B3" s="98"/>
      <c r="C3" s="612" t="s">
        <v>116</v>
      </c>
      <c r="D3" s="613" t="s">
        <v>105</v>
      </c>
      <c r="E3" s="613"/>
      <c r="F3" s="616" t="s">
        <v>107</v>
      </c>
      <c r="G3" s="616"/>
      <c r="H3" s="616"/>
      <c r="I3" s="618" t="s">
        <v>108</v>
      </c>
      <c r="J3" s="618"/>
      <c r="K3" s="618"/>
      <c r="L3" s="617" t="s">
        <v>324</v>
      </c>
      <c r="M3" s="617"/>
      <c r="N3" s="617"/>
      <c r="O3" s="617" t="s">
        <v>106</v>
      </c>
      <c r="P3" s="617"/>
      <c r="Q3" s="617"/>
      <c r="R3" s="617" t="s">
        <v>109</v>
      </c>
      <c r="S3" s="617"/>
      <c r="T3" s="617"/>
      <c r="U3" s="617" t="s">
        <v>110</v>
      </c>
      <c r="V3" s="617"/>
      <c r="W3" s="617"/>
    </row>
    <row r="4" spans="2:23" ht="15.75">
      <c r="B4" s="98"/>
      <c r="C4" s="612"/>
      <c r="D4" s="613"/>
      <c r="E4" s="613"/>
      <c r="F4" s="85" t="s">
        <v>115</v>
      </c>
      <c r="G4" s="96" t="s">
        <v>127</v>
      </c>
      <c r="H4" s="96" t="s">
        <v>128</v>
      </c>
      <c r="I4" s="85" t="s">
        <v>115</v>
      </c>
      <c r="J4" s="95" t="s">
        <v>127</v>
      </c>
      <c r="K4" s="95" t="s">
        <v>128</v>
      </c>
      <c r="L4" s="85" t="s">
        <v>115</v>
      </c>
      <c r="M4" s="95" t="s">
        <v>127</v>
      </c>
      <c r="N4" s="95" t="s">
        <v>128</v>
      </c>
      <c r="O4" s="85" t="s">
        <v>115</v>
      </c>
      <c r="P4" s="95" t="s">
        <v>127</v>
      </c>
      <c r="Q4" s="95" t="s">
        <v>128</v>
      </c>
      <c r="R4" s="85" t="s">
        <v>115</v>
      </c>
      <c r="S4" s="95" t="s">
        <v>127</v>
      </c>
      <c r="T4" s="95" t="s">
        <v>128</v>
      </c>
      <c r="U4" s="85" t="s">
        <v>115</v>
      </c>
      <c r="V4" s="95" t="s">
        <v>127</v>
      </c>
      <c r="W4" s="95" t="s">
        <v>128</v>
      </c>
    </row>
    <row r="5" spans="2:23" ht="14.45" customHeight="1">
      <c r="B5" s="98"/>
      <c r="C5" s="98"/>
      <c r="D5" s="86">
        <v>46054</v>
      </c>
      <c r="E5" s="86" t="s">
        <v>603</v>
      </c>
      <c r="F5" s="230">
        <v>323.1028061942244</v>
      </c>
      <c r="G5" s="93"/>
      <c r="H5" s="93"/>
      <c r="I5" s="90">
        <f>F5/$C$1</f>
        <v>0.88279455244323601</v>
      </c>
      <c r="J5" s="214"/>
      <c r="K5" s="214"/>
      <c r="L5" s="249">
        <v>2.4214592641997059E-3</v>
      </c>
      <c r="M5" s="214"/>
      <c r="N5" s="332"/>
      <c r="O5" s="249">
        <v>1.8847340641129035E-3</v>
      </c>
      <c r="P5" s="214"/>
      <c r="Q5" s="332"/>
      <c r="R5" s="234">
        <v>0.91700000000000004</v>
      </c>
      <c r="S5" s="214"/>
      <c r="T5" s="332"/>
      <c r="U5" s="234">
        <v>8.2000000000000003E-2</v>
      </c>
      <c r="V5" s="214"/>
      <c r="W5" s="332"/>
    </row>
    <row r="6" spans="2:23" ht="14.45" customHeight="1">
      <c r="B6" s="98"/>
      <c r="C6" s="98"/>
      <c r="D6" s="86">
        <f t="shared" ref="D6:D34" si="0">D5+1</f>
        <v>46055</v>
      </c>
      <c r="E6" s="523" t="s">
        <v>597</v>
      </c>
      <c r="F6" s="230">
        <v>320.90913503233554</v>
      </c>
      <c r="G6" s="94">
        <f>AVERAGE(F5:F6)</f>
        <v>322.00597061327994</v>
      </c>
      <c r="H6" s="93"/>
      <c r="I6" s="90">
        <f>F6/$C$1</f>
        <v>0.87680091538889493</v>
      </c>
      <c r="J6" s="214">
        <f>AVERAGE(I5:I6)</f>
        <v>0.87979773391606542</v>
      </c>
      <c r="K6" s="214"/>
      <c r="L6" s="249">
        <v>2.4279772745068721E-3</v>
      </c>
      <c r="M6" s="214">
        <f>AVERAGE(L5:L6)</f>
        <v>2.424718269353289E-3</v>
      </c>
      <c r="N6" s="332"/>
      <c r="O6" s="249">
        <v>2.2162997747007702E-3</v>
      </c>
      <c r="P6" s="214">
        <f>AVERAGE(O5:O6)</f>
        <v>2.0505169194068367E-3</v>
      </c>
      <c r="Q6" s="332"/>
      <c r="R6" s="234">
        <v>0.91700000000000004</v>
      </c>
      <c r="S6" s="214">
        <f>AVERAGE(R5:R6)</f>
        <v>0.91700000000000004</v>
      </c>
      <c r="T6" s="332"/>
      <c r="U6" s="234">
        <v>8.4000000000000005E-2</v>
      </c>
      <c r="V6" s="214">
        <f>AVERAGE(U5:U6)</f>
        <v>8.3000000000000004E-2</v>
      </c>
      <c r="W6" s="332"/>
    </row>
    <row r="7" spans="2:23" ht="14.45" customHeight="1">
      <c r="B7" s="98"/>
      <c r="C7" s="98"/>
      <c r="D7" s="333">
        <f t="shared" si="0"/>
        <v>46056</v>
      </c>
      <c r="E7" s="333" t="s">
        <v>598</v>
      </c>
      <c r="F7" s="230">
        <v>333.80028367144752</v>
      </c>
      <c r="G7" s="93">
        <f>AVERAGE(F7:F13)</f>
        <v>328.52974623391975</v>
      </c>
      <c r="I7" s="90">
        <f t="shared" ref="I7:I40" si="1">F7/$C$1</f>
        <v>0.91202263298209707</v>
      </c>
      <c r="J7" s="214">
        <f>AVERAGE(I7:I13)</f>
        <v>0.8976222574697259</v>
      </c>
      <c r="L7" s="249">
        <v>2.4228135634917379E-3</v>
      </c>
      <c r="M7" s="214">
        <f>AVERAGE(L7:L13)</f>
        <v>2.4321591984267435E-3</v>
      </c>
      <c r="O7" s="249">
        <v>1.8216541502930788E-3</v>
      </c>
      <c r="P7" s="214">
        <f>AVERAGE(O7:O13)</f>
        <v>2.035712054743719E-3</v>
      </c>
      <c r="R7" s="234">
        <v>0.91700000000000004</v>
      </c>
      <c r="S7" s="214">
        <f>AVERAGE(R7:R13)</f>
        <v>0.91699999999999993</v>
      </c>
      <c r="U7" s="234">
        <v>8.5999999999999993E-2</v>
      </c>
      <c r="V7" s="214">
        <f>AVERAGE(U7:U13)</f>
        <v>9.3428571428571416E-2</v>
      </c>
    </row>
    <row r="8" spans="2:23" ht="14.45" customHeight="1">
      <c r="B8" s="98"/>
      <c r="C8" s="98"/>
      <c r="D8" s="560">
        <f t="shared" si="0"/>
        <v>46057</v>
      </c>
      <c r="E8" s="560" t="s">
        <v>599</v>
      </c>
      <c r="F8" s="230">
        <v>324.76916159622317</v>
      </c>
      <c r="G8" s="93"/>
      <c r="H8" s="93"/>
      <c r="I8" s="90">
        <f t="shared" si="1"/>
        <v>0.88734743605525457</v>
      </c>
      <c r="J8" s="214"/>
      <c r="K8" s="214"/>
      <c r="L8" s="249">
        <v>2.4406035687321737E-3</v>
      </c>
      <c r="M8" s="214"/>
      <c r="N8" s="332"/>
      <c r="O8" s="249">
        <v>1.8920317479522114E-3</v>
      </c>
      <c r="P8" s="214"/>
      <c r="Q8" s="332"/>
      <c r="R8" s="234">
        <v>0.91700000000000004</v>
      </c>
      <c r="S8" s="214"/>
      <c r="T8" s="332"/>
      <c r="U8" s="234">
        <v>0.09</v>
      </c>
      <c r="V8" s="214"/>
      <c r="W8" s="332"/>
    </row>
    <row r="9" spans="2:23" ht="14.45" customHeight="1">
      <c r="B9" s="98"/>
      <c r="C9" s="98"/>
      <c r="D9" s="560">
        <f t="shared" si="0"/>
        <v>46058</v>
      </c>
      <c r="E9" s="560" t="s">
        <v>600</v>
      </c>
      <c r="F9" s="230">
        <v>332.74906906650148</v>
      </c>
      <c r="G9" s="93"/>
      <c r="H9" s="93"/>
      <c r="I9" s="90">
        <f t="shared" si="1"/>
        <v>0.90915046193033189</v>
      </c>
      <c r="J9" s="214"/>
      <c r="K9" s="214"/>
      <c r="L9" s="249">
        <v>2.4215064963368457E-3</v>
      </c>
      <c r="M9" s="214"/>
      <c r="N9" s="332"/>
      <c r="O9" s="249">
        <v>2.1779171616208444E-3</v>
      </c>
      <c r="P9" s="214"/>
      <c r="Q9" s="332"/>
      <c r="R9" s="234">
        <v>0.91700000000000004</v>
      </c>
      <c r="S9" s="214"/>
      <c r="T9" s="332"/>
      <c r="U9" s="234">
        <v>9.1999999999999998E-2</v>
      </c>
      <c r="V9" s="214"/>
      <c r="W9" s="332"/>
    </row>
    <row r="10" spans="2:23" ht="14.45" customHeight="1">
      <c r="B10" s="98"/>
      <c r="C10" s="98"/>
      <c r="D10" s="560">
        <f t="shared" si="0"/>
        <v>46059</v>
      </c>
      <c r="E10" s="560" t="s">
        <v>601</v>
      </c>
      <c r="F10" s="230">
        <v>333.30436692862668</v>
      </c>
      <c r="G10" s="93"/>
      <c r="H10" s="93">
        <f>AVERAGE(F5:F35)</f>
        <v>326.73540847062867</v>
      </c>
      <c r="I10" s="90">
        <f t="shared" si="1"/>
        <v>0.91066766920389808</v>
      </c>
      <c r="J10" s="214"/>
      <c r="K10" s="214">
        <f>AVERAGE(I5:I35)</f>
        <v>0.46075855239996999</v>
      </c>
      <c r="L10" s="249">
        <v>2.4294708463498439E-3</v>
      </c>
      <c r="M10" s="214"/>
      <c r="N10" s="332">
        <f>AVERAGE(L5:L35)</f>
        <v>2.432957427053288E-3</v>
      </c>
      <c r="O10" s="249">
        <v>2.4178253168523835E-3</v>
      </c>
      <c r="P10" s="214"/>
      <c r="Q10" s="214">
        <f>AVERAGE(O5:O35)</f>
        <v>2.0555671754155726E-3</v>
      </c>
      <c r="R10" s="234">
        <v>0.91700000000000004</v>
      </c>
      <c r="S10" s="214"/>
      <c r="T10" s="214">
        <f>AVERAGE(R5:R35)</f>
        <v>0.91699999999999993</v>
      </c>
      <c r="U10" s="234">
        <v>9.1999999999999998E-2</v>
      </c>
      <c r="V10" s="214"/>
      <c r="W10" s="214">
        <f>AVERAGE(U5:U35)</f>
        <v>0.10168750000000001</v>
      </c>
    </row>
    <row r="11" spans="2:23" ht="14.45" customHeight="1">
      <c r="B11" s="98"/>
      <c r="C11" s="98"/>
      <c r="D11" s="560">
        <f t="shared" si="0"/>
        <v>46060</v>
      </c>
      <c r="E11" s="560" t="s">
        <v>602</v>
      </c>
      <c r="F11" s="230">
        <v>330.50138708802143</v>
      </c>
      <c r="G11" s="93"/>
      <c r="H11" s="93"/>
      <c r="I11" s="90">
        <f t="shared" si="1"/>
        <v>0.90300925433885637</v>
      </c>
      <c r="J11" s="214"/>
      <c r="K11" s="214"/>
      <c r="L11" s="249">
        <v>2.4086724133331452E-3</v>
      </c>
      <c r="M11" s="214"/>
      <c r="N11" s="332"/>
      <c r="O11" s="249">
        <v>2.2596868399695665E-3</v>
      </c>
      <c r="P11" s="214"/>
      <c r="Q11" s="332"/>
      <c r="R11" s="234">
        <v>0.91700000000000004</v>
      </c>
      <c r="S11" s="214"/>
      <c r="T11" s="332"/>
      <c r="U11" s="234">
        <v>9.6000000000000002E-2</v>
      </c>
      <c r="V11" s="214"/>
      <c r="W11" s="332"/>
    </row>
    <row r="12" spans="2:23" ht="14.45" customHeight="1">
      <c r="B12" s="98"/>
      <c r="C12" s="98"/>
      <c r="D12" s="560">
        <f t="shared" si="0"/>
        <v>46061</v>
      </c>
      <c r="E12" s="560" t="s">
        <v>603</v>
      </c>
      <c r="F12" s="230">
        <v>322.72396576802868</v>
      </c>
      <c r="G12" s="93"/>
      <c r="H12" s="93"/>
      <c r="I12" s="90">
        <f t="shared" si="1"/>
        <v>0.8817594693115538</v>
      </c>
      <c r="J12" s="214"/>
      <c r="K12" s="214"/>
      <c r="L12" s="249">
        <v>2.4618392892012207E-3</v>
      </c>
      <c r="M12" s="214"/>
      <c r="N12" s="332"/>
      <c r="O12" s="249">
        <v>1.9072107127944293E-3</v>
      </c>
      <c r="P12" s="214"/>
      <c r="Q12" s="332"/>
      <c r="R12" s="234">
        <v>0.91700000000000004</v>
      </c>
      <c r="S12" s="214"/>
      <c r="T12" s="332"/>
      <c r="U12" s="234">
        <v>9.8000000000000004E-2</v>
      </c>
      <c r="V12" s="214"/>
      <c r="W12" s="332"/>
    </row>
    <row r="13" spans="2:23" ht="14.45" customHeight="1">
      <c r="B13" s="98"/>
      <c r="C13" s="98"/>
      <c r="D13" s="560">
        <f t="shared" si="0"/>
        <v>46062</v>
      </c>
      <c r="E13" s="560" t="s">
        <v>597</v>
      </c>
      <c r="F13" s="230">
        <v>321.85998951858892</v>
      </c>
      <c r="H13" s="93"/>
      <c r="I13" s="90">
        <f t="shared" si="1"/>
        <v>0.87939887846608999</v>
      </c>
      <c r="J13" s="214"/>
      <c r="K13" s="214"/>
      <c r="L13" s="249">
        <v>2.4402082115422366E-3</v>
      </c>
      <c r="M13" s="214"/>
      <c r="N13" s="332"/>
      <c r="O13" s="249">
        <v>1.7736584537235182E-3</v>
      </c>
      <c r="P13" s="214"/>
      <c r="Q13" s="332"/>
      <c r="R13" s="234">
        <v>0.91700000000000004</v>
      </c>
      <c r="S13" s="214"/>
      <c r="T13" s="332"/>
      <c r="U13" s="234">
        <v>0.1</v>
      </c>
      <c r="V13" s="214"/>
      <c r="W13" s="332"/>
    </row>
    <row r="14" spans="2:23" ht="14.45" customHeight="1">
      <c r="B14" s="98"/>
      <c r="C14" s="98"/>
      <c r="D14" s="523">
        <f t="shared" si="0"/>
        <v>46063</v>
      </c>
      <c r="E14" s="523" t="s">
        <v>598</v>
      </c>
      <c r="F14" s="230">
        <v>333.04338866629314</v>
      </c>
      <c r="G14" s="93">
        <f>AVERAGE(F14:F20)</f>
        <v>326.29233866658018</v>
      </c>
      <c r="H14" s="93"/>
      <c r="I14" s="90">
        <f t="shared" si="1"/>
        <v>0.90995461384233101</v>
      </c>
      <c r="J14" s="214">
        <f>AVERAGE(I14:I20)</f>
        <v>0.89150912203983668</v>
      </c>
      <c r="K14" s="214"/>
      <c r="L14" s="249">
        <v>2.4403671015650009E-3</v>
      </c>
      <c r="M14" s="214">
        <f>AVERAGE(L14:L20)</f>
        <v>2.4361097007369742E-3</v>
      </c>
      <c r="N14" s="332"/>
      <c r="O14" s="249">
        <v>2.2025453561799906E-3</v>
      </c>
      <c r="P14" s="214">
        <f>AVERAGE(O14:O20)</f>
        <v>2.0768652263756368E-3</v>
      </c>
      <c r="Q14" s="332"/>
      <c r="R14" s="234">
        <v>0.91700000000000004</v>
      </c>
      <c r="S14" s="214">
        <f>AVERAGE(R14:R20)</f>
        <v>0.91699999999999993</v>
      </c>
      <c r="T14" s="332"/>
      <c r="U14" s="234">
        <v>0.11</v>
      </c>
      <c r="V14" s="214">
        <f>AVERAGE(U14:U20)</f>
        <v>0.11528571428571428</v>
      </c>
      <c r="W14" s="332"/>
    </row>
    <row r="15" spans="2:23" ht="14.45" customHeight="1">
      <c r="B15" s="98"/>
      <c r="C15" s="98"/>
      <c r="D15" s="561">
        <f t="shared" si="0"/>
        <v>46064</v>
      </c>
      <c r="E15" s="561" t="s">
        <v>599</v>
      </c>
      <c r="F15" s="230">
        <v>324.64231936940098</v>
      </c>
      <c r="G15" s="93"/>
      <c r="H15" s="93"/>
      <c r="I15" s="90">
        <f t="shared" si="1"/>
        <v>0.88700087259399174</v>
      </c>
      <c r="J15" s="214"/>
      <c r="K15" s="214"/>
      <c r="L15" s="249">
        <v>2.4291695989696409E-3</v>
      </c>
      <c r="M15" s="214"/>
      <c r="N15" s="332"/>
      <c r="O15" s="249">
        <v>2.1457755867691944E-3</v>
      </c>
      <c r="P15" s="214"/>
      <c r="Q15" s="332"/>
      <c r="R15" s="234">
        <v>0.91700000000000004</v>
      </c>
      <c r="S15" s="214"/>
      <c r="T15" s="332"/>
      <c r="U15" s="234">
        <v>0.112</v>
      </c>
      <c r="V15" s="214"/>
      <c r="W15" s="332"/>
    </row>
    <row r="16" spans="2:23" ht="14.45" customHeight="1">
      <c r="B16" s="98"/>
      <c r="C16" s="98"/>
      <c r="D16" s="561">
        <f t="shared" si="0"/>
        <v>46065</v>
      </c>
      <c r="E16" s="561" t="s">
        <v>600</v>
      </c>
      <c r="F16" s="230">
        <v>318.76280273134137</v>
      </c>
      <c r="G16" s="93"/>
      <c r="H16" s="93"/>
      <c r="I16" s="90">
        <f t="shared" si="1"/>
        <v>0.87093661948453927</v>
      </c>
      <c r="J16" s="214"/>
      <c r="K16" s="214"/>
      <c r="L16" s="249">
        <v>2.4408900377274464E-3</v>
      </c>
      <c r="M16" s="214"/>
      <c r="N16" s="332"/>
      <c r="O16" s="249">
        <v>2.1437911801747162E-3</v>
      </c>
      <c r="P16" s="214"/>
      <c r="Q16" s="332"/>
      <c r="R16" s="234">
        <v>0.91700000000000004</v>
      </c>
      <c r="S16" s="214"/>
      <c r="T16" s="332"/>
      <c r="U16" s="234">
        <v>0.112</v>
      </c>
      <c r="V16" s="214"/>
      <c r="W16" s="332"/>
    </row>
    <row r="17" spans="2:23" ht="14.45" customHeight="1">
      <c r="B17" s="98"/>
      <c r="C17" s="98"/>
      <c r="D17" s="561">
        <f t="shared" si="0"/>
        <v>46066</v>
      </c>
      <c r="E17" s="561" t="s">
        <v>601</v>
      </c>
      <c r="F17" s="230">
        <v>329.16386092260325</v>
      </c>
      <c r="G17" s="93"/>
      <c r="H17" s="93"/>
      <c r="I17" s="90">
        <f t="shared" si="1"/>
        <v>0.89935481126394334</v>
      </c>
      <c r="J17" s="214"/>
      <c r="K17" s="214"/>
      <c r="L17" s="249">
        <v>2.4513296857106501E-3</v>
      </c>
      <c r="M17" s="214"/>
      <c r="N17" s="332"/>
      <c r="O17" s="249">
        <v>2.1559003978587421E-3</v>
      </c>
      <c r="P17" s="214"/>
      <c r="Q17" s="332"/>
      <c r="R17" s="234">
        <v>0.91700000000000004</v>
      </c>
      <c r="S17" s="214"/>
      <c r="T17" s="332"/>
      <c r="U17" s="234">
        <v>0.115</v>
      </c>
      <c r="V17" s="214"/>
      <c r="W17" s="332"/>
    </row>
    <row r="18" spans="2:23" ht="14.45" customHeight="1">
      <c r="B18" s="98"/>
      <c r="C18" s="98"/>
      <c r="D18" s="561">
        <f t="shared" si="0"/>
        <v>46067</v>
      </c>
      <c r="E18" s="561" t="s">
        <v>602</v>
      </c>
      <c r="F18" s="230">
        <v>327.57200098769221</v>
      </c>
      <c r="G18" s="93"/>
      <c r="H18" s="93"/>
      <c r="I18" s="90">
        <f t="shared" si="1"/>
        <v>0.89500546717948692</v>
      </c>
      <c r="J18" s="214"/>
      <c r="K18" s="214"/>
      <c r="L18" s="249">
        <v>2.4206270151460084E-3</v>
      </c>
      <c r="M18" s="214"/>
      <c r="N18" s="332"/>
      <c r="O18" s="249">
        <v>2.058236320840403E-3</v>
      </c>
      <c r="P18" s="214"/>
      <c r="Q18" s="332"/>
      <c r="R18" s="234">
        <v>0.91700000000000004</v>
      </c>
      <c r="S18" s="214"/>
      <c r="T18" s="332"/>
      <c r="U18" s="234">
        <v>0.11799999999999999</v>
      </c>
      <c r="V18" s="214"/>
      <c r="W18" s="332"/>
    </row>
    <row r="19" spans="2:23" ht="14.45" customHeight="1">
      <c r="B19" s="98"/>
      <c r="C19" s="98"/>
      <c r="D19" s="561">
        <f t="shared" si="0"/>
        <v>46068</v>
      </c>
      <c r="E19" s="561" t="s">
        <v>603</v>
      </c>
      <c r="F19" s="230">
        <v>324.8748880428069</v>
      </c>
      <c r="G19" s="93"/>
      <c r="H19" s="93"/>
      <c r="I19" s="90">
        <f t="shared" si="1"/>
        <v>0.88763630612788769</v>
      </c>
      <c r="J19" s="214"/>
      <c r="K19" s="214"/>
      <c r="L19" s="249">
        <v>2.4303038969272954E-3</v>
      </c>
      <c r="M19" s="214"/>
      <c r="N19" s="332"/>
      <c r="O19" s="249">
        <v>1.9145252567064051E-3</v>
      </c>
      <c r="P19" s="214"/>
      <c r="Q19" s="332"/>
      <c r="R19" s="234">
        <v>0.91700000000000004</v>
      </c>
      <c r="S19" s="214"/>
      <c r="T19" s="332"/>
      <c r="U19" s="234">
        <v>0.12</v>
      </c>
      <c r="V19" s="214"/>
      <c r="W19" s="332"/>
    </row>
    <row r="20" spans="2:23" ht="14.45" customHeight="1">
      <c r="B20" s="98"/>
      <c r="C20" s="98"/>
      <c r="D20" s="561">
        <f t="shared" si="0"/>
        <v>46069</v>
      </c>
      <c r="E20" s="561" t="s">
        <v>597</v>
      </c>
      <c r="F20" s="230">
        <v>325.98710994592341</v>
      </c>
      <c r="G20" s="93"/>
      <c r="H20" s="93"/>
      <c r="I20" s="90">
        <f t="shared" si="1"/>
        <v>0.89067516378667599</v>
      </c>
      <c r="J20" s="214"/>
      <c r="K20" s="214"/>
      <c r="L20" s="249">
        <v>2.4400805691127798E-3</v>
      </c>
      <c r="M20" s="214"/>
      <c r="N20" s="332"/>
      <c r="O20" s="249">
        <v>1.9172824861000064E-3</v>
      </c>
      <c r="P20" s="214"/>
      <c r="Q20" s="332"/>
      <c r="R20" s="234">
        <v>0.91700000000000004</v>
      </c>
      <c r="S20" s="214"/>
      <c r="T20" s="332"/>
      <c r="U20" s="234">
        <v>0.12</v>
      </c>
      <c r="V20" s="214"/>
      <c r="W20" s="332"/>
    </row>
    <row r="21" spans="2:23" ht="14.45" customHeight="1">
      <c r="B21" s="98"/>
      <c r="C21" s="98"/>
      <c r="D21" s="333">
        <f t="shared" si="0"/>
        <v>46070</v>
      </c>
      <c r="E21" s="333" t="s">
        <v>598</v>
      </c>
      <c r="F21" s="230"/>
      <c r="G21" s="93" t="e">
        <f>AVERAGE(F21:F27)</f>
        <v>#DIV/0!</v>
      </c>
      <c r="H21" s="93"/>
      <c r="I21" s="90">
        <f t="shared" si="1"/>
        <v>0</v>
      </c>
      <c r="J21" s="214">
        <f>AVERAGE(I21:I27)</f>
        <v>0</v>
      </c>
      <c r="K21" s="214"/>
      <c r="L21" s="249"/>
      <c r="M21" s="214" t="e">
        <f>AVERAGE(L21:L27)</f>
        <v>#DIV/0!</v>
      </c>
      <c r="N21" s="332"/>
      <c r="O21" s="249"/>
      <c r="P21" s="214" t="e">
        <f>AVERAGE(O21:O27)</f>
        <v>#DIV/0!</v>
      </c>
      <c r="Q21" s="332"/>
      <c r="R21" s="234"/>
      <c r="S21" s="214" t="e">
        <f>AVERAGE(R21:R27)</f>
        <v>#DIV/0!</v>
      </c>
      <c r="T21" s="332"/>
      <c r="U21" s="234"/>
      <c r="V21" s="214" t="e">
        <f>AVERAGE(U21:U27)</f>
        <v>#DIV/0!</v>
      </c>
      <c r="W21" s="332"/>
    </row>
    <row r="22" spans="2:23" ht="14.45" customHeight="1">
      <c r="B22" s="98"/>
      <c r="C22" s="98"/>
      <c r="D22" s="560">
        <f t="shared" si="0"/>
        <v>46071</v>
      </c>
      <c r="E22" s="560" t="s">
        <v>599</v>
      </c>
      <c r="F22" s="230"/>
      <c r="G22" s="93"/>
      <c r="H22" s="93"/>
      <c r="I22" s="90">
        <f t="shared" si="1"/>
        <v>0</v>
      </c>
      <c r="J22" s="214"/>
      <c r="K22" s="214"/>
      <c r="L22" s="249"/>
      <c r="M22" s="214"/>
      <c r="N22" s="332"/>
      <c r="O22" s="249"/>
      <c r="P22" s="214"/>
      <c r="Q22" s="332"/>
      <c r="R22" s="234"/>
      <c r="S22" s="214"/>
      <c r="T22" s="332"/>
      <c r="U22" s="234"/>
      <c r="V22" s="214"/>
      <c r="W22" s="332"/>
    </row>
    <row r="23" spans="2:23" ht="14.45" customHeight="1">
      <c r="B23" s="98"/>
      <c r="C23" s="98"/>
      <c r="D23" s="560">
        <f t="shared" si="0"/>
        <v>46072</v>
      </c>
      <c r="E23" s="560" t="s">
        <v>600</v>
      </c>
      <c r="F23" s="230"/>
      <c r="G23" s="93"/>
      <c r="H23" s="93"/>
      <c r="I23" s="90">
        <f t="shared" si="1"/>
        <v>0</v>
      </c>
      <c r="J23" s="214"/>
      <c r="K23" s="214"/>
      <c r="L23" s="249"/>
      <c r="M23" s="214"/>
      <c r="N23" s="332"/>
      <c r="O23" s="249"/>
      <c r="P23" s="214"/>
      <c r="Q23" s="332"/>
      <c r="R23" s="234"/>
      <c r="S23" s="214"/>
      <c r="T23" s="332"/>
      <c r="U23" s="234"/>
      <c r="V23" s="214"/>
      <c r="W23" s="332"/>
    </row>
    <row r="24" spans="2:23" ht="14.45" customHeight="1">
      <c r="B24" s="98"/>
      <c r="C24" s="98"/>
      <c r="D24" s="560">
        <f t="shared" si="0"/>
        <v>46073</v>
      </c>
      <c r="E24" s="560" t="s">
        <v>601</v>
      </c>
      <c r="F24" s="230"/>
      <c r="G24" s="93"/>
      <c r="H24" s="93"/>
      <c r="I24" s="90">
        <f t="shared" si="1"/>
        <v>0</v>
      </c>
      <c r="J24" s="214"/>
      <c r="K24" s="214"/>
      <c r="L24" s="249"/>
      <c r="M24" s="214"/>
      <c r="N24" s="332"/>
      <c r="O24" s="249"/>
      <c r="P24" s="214"/>
      <c r="Q24" s="332"/>
      <c r="R24" s="234"/>
      <c r="S24" s="214"/>
      <c r="T24" s="332"/>
      <c r="U24" s="234"/>
      <c r="V24" s="214"/>
      <c r="W24" s="332"/>
    </row>
    <row r="25" spans="2:23" ht="14.45" customHeight="1">
      <c r="B25" s="98"/>
      <c r="C25" s="98"/>
      <c r="D25" s="560">
        <f t="shared" si="0"/>
        <v>46074</v>
      </c>
      <c r="E25" s="560" t="s">
        <v>602</v>
      </c>
      <c r="F25" s="230"/>
      <c r="G25" s="93"/>
      <c r="H25" s="93"/>
      <c r="I25" s="90">
        <f t="shared" si="1"/>
        <v>0</v>
      </c>
      <c r="J25" s="214"/>
      <c r="K25" s="214"/>
      <c r="L25" s="249"/>
      <c r="M25" s="214"/>
      <c r="N25" s="332"/>
      <c r="O25" s="249"/>
      <c r="P25" s="214"/>
      <c r="Q25" s="332"/>
      <c r="R25" s="234"/>
      <c r="S25" s="214"/>
      <c r="T25" s="332"/>
      <c r="U25" s="234"/>
      <c r="V25" s="214"/>
      <c r="W25" s="332"/>
    </row>
    <row r="26" spans="2:23" ht="14.45" customHeight="1">
      <c r="B26" s="98"/>
      <c r="C26" s="98"/>
      <c r="D26" s="560">
        <f t="shared" si="0"/>
        <v>46075</v>
      </c>
      <c r="E26" s="560" t="s">
        <v>603</v>
      </c>
      <c r="F26" s="230"/>
      <c r="G26" s="93"/>
      <c r="H26" s="93"/>
      <c r="I26" s="90">
        <f t="shared" si="1"/>
        <v>0</v>
      </c>
      <c r="J26" s="214"/>
      <c r="K26" s="214"/>
      <c r="L26" s="249"/>
      <c r="M26" s="214"/>
      <c r="N26" s="332"/>
      <c r="O26" s="249"/>
      <c r="P26" s="214"/>
      <c r="Q26" s="332"/>
      <c r="R26" s="234"/>
      <c r="S26" s="214"/>
      <c r="T26" s="332"/>
      <c r="U26" s="234"/>
      <c r="V26" s="214"/>
      <c r="W26" s="332"/>
    </row>
    <row r="27" spans="2:23" ht="14.45" customHeight="1">
      <c r="B27" s="98"/>
      <c r="C27" s="98"/>
      <c r="D27" s="560">
        <f t="shared" si="0"/>
        <v>46076</v>
      </c>
      <c r="E27" s="560" t="s">
        <v>597</v>
      </c>
      <c r="F27" s="230"/>
      <c r="G27" s="93"/>
      <c r="H27" s="93"/>
      <c r="I27" s="90">
        <f t="shared" si="1"/>
        <v>0</v>
      </c>
      <c r="J27" s="214"/>
      <c r="K27" s="214"/>
      <c r="L27" s="249"/>
      <c r="M27" s="214"/>
      <c r="N27" s="332"/>
      <c r="O27" s="249"/>
      <c r="P27" s="214"/>
      <c r="Q27" s="332"/>
      <c r="R27" s="234"/>
      <c r="S27" s="214"/>
      <c r="T27" s="332"/>
      <c r="U27" s="234"/>
      <c r="V27" s="214"/>
      <c r="W27" s="332"/>
    </row>
    <row r="28" spans="2:23" ht="14.45" customHeight="1">
      <c r="B28" s="98"/>
      <c r="C28" s="98"/>
      <c r="D28" s="523">
        <f t="shared" si="0"/>
        <v>46077</v>
      </c>
      <c r="E28" s="523" t="s">
        <v>598</v>
      </c>
      <c r="F28" s="230"/>
      <c r="G28" s="93" t="e">
        <f>AVERAGE(F28:F34)</f>
        <v>#DIV/0!</v>
      </c>
      <c r="H28" s="93"/>
      <c r="I28" s="90">
        <f t="shared" si="1"/>
        <v>0</v>
      </c>
      <c r="J28" s="214">
        <f>AVERAGE(I28:I34)</f>
        <v>0</v>
      </c>
      <c r="K28" s="214"/>
      <c r="L28" s="249"/>
      <c r="M28" s="214" t="e">
        <f>AVERAGE(L28:L34)</f>
        <v>#DIV/0!</v>
      </c>
      <c r="N28" s="332"/>
      <c r="O28" s="249"/>
      <c r="P28" s="214" t="e">
        <f>AVERAGE(O28:O34)</f>
        <v>#DIV/0!</v>
      </c>
      <c r="Q28" s="332"/>
      <c r="R28" s="234"/>
      <c r="S28" s="214" t="e">
        <f>AVERAGE(R28:R34)</f>
        <v>#DIV/0!</v>
      </c>
      <c r="T28" s="332"/>
      <c r="U28" s="234"/>
      <c r="V28" s="214" t="e">
        <f>AVERAGE(U28:U34)</f>
        <v>#DIV/0!</v>
      </c>
      <c r="W28" s="332"/>
    </row>
    <row r="29" spans="2:23" ht="14.45" customHeight="1">
      <c r="B29" s="98"/>
      <c r="C29" s="98"/>
      <c r="D29" s="561">
        <f t="shared" si="0"/>
        <v>46078</v>
      </c>
      <c r="E29" s="561" t="s">
        <v>599</v>
      </c>
      <c r="F29" s="230"/>
      <c r="G29" s="93"/>
      <c r="H29" s="93"/>
      <c r="I29" s="90">
        <f t="shared" si="1"/>
        <v>0</v>
      </c>
      <c r="J29" s="214"/>
      <c r="K29" s="214"/>
      <c r="L29" s="249"/>
      <c r="M29" s="214"/>
      <c r="N29" s="332"/>
      <c r="O29" s="249"/>
      <c r="P29" s="214"/>
      <c r="Q29" s="332"/>
      <c r="R29" s="234"/>
      <c r="S29" s="214"/>
      <c r="T29" s="332"/>
      <c r="U29" s="234"/>
      <c r="V29" s="214"/>
      <c r="W29" s="332"/>
    </row>
    <row r="30" spans="2:23" ht="14.45" customHeight="1">
      <c r="B30" s="98"/>
      <c r="C30" s="98"/>
      <c r="D30" s="561">
        <f t="shared" si="0"/>
        <v>46079</v>
      </c>
      <c r="E30" s="561" t="s">
        <v>600</v>
      </c>
      <c r="F30" s="230"/>
      <c r="G30" s="93"/>
      <c r="H30" s="93"/>
      <c r="I30" s="90">
        <f t="shared" si="1"/>
        <v>0</v>
      </c>
      <c r="J30" s="214"/>
      <c r="K30" s="214"/>
      <c r="L30" s="249"/>
      <c r="M30" s="214"/>
      <c r="N30" s="332"/>
      <c r="O30" s="249"/>
      <c r="P30" s="214"/>
      <c r="Q30" s="332"/>
      <c r="R30" s="234"/>
      <c r="S30" s="214"/>
      <c r="T30" s="332"/>
      <c r="U30" s="234"/>
      <c r="V30" s="214"/>
      <c r="W30" s="332"/>
    </row>
    <row r="31" spans="2:23" ht="14.45" customHeight="1">
      <c r="B31" s="98"/>
      <c r="C31" s="98"/>
      <c r="D31" s="561">
        <f t="shared" si="0"/>
        <v>46080</v>
      </c>
      <c r="E31" s="561" t="s">
        <v>601</v>
      </c>
      <c r="F31" s="230"/>
      <c r="G31" s="93"/>
      <c r="H31" s="93"/>
      <c r="I31" s="90">
        <f t="shared" si="1"/>
        <v>0</v>
      </c>
      <c r="J31" s="214"/>
      <c r="K31" s="214"/>
      <c r="L31" s="249"/>
      <c r="M31" s="214"/>
      <c r="N31" s="332"/>
      <c r="O31" s="249"/>
      <c r="P31" s="214"/>
      <c r="Q31" s="332"/>
      <c r="R31" s="234"/>
      <c r="S31" s="214"/>
      <c r="T31" s="332"/>
      <c r="U31" s="234"/>
      <c r="V31" s="214"/>
      <c r="W31" s="332"/>
    </row>
    <row r="32" spans="2:23" ht="14.45" customHeight="1">
      <c r="B32" s="98"/>
      <c r="C32" s="98"/>
      <c r="D32" s="561">
        <f t="shared" si="0"/>
        <v>46081</v>
      </c>
      <c r="E32" s="561" t="s">
        <v>602</v>
      </c>
      <c r="F32" s="230"/>
      <c r="G32" s="93"/>
      <c r="H32" s="93"/>
      <c r="I32" s="90">
        <f t="shared" si="1"/>
        <v>0</v>
      </c>
      <c r="J32" s="214"/>
      <c r="K32" s="214"/>
      <c r="L32" s="249"/>
      <c r="M32" s="214"/>
      <c r="N32" s="332"/>
      <c r="O32" s="249"/>
      <c r="P32" s="214"/>
      <c r="Q32" s="332"/>
      <c r="R32" s="234"/>
      <c r="S32" s="214"/>
      <c r="T32" s="332"/>
      <c r="U32" s="234"/>
      <c r="V32" s="214"/>
      <c r="W32" s="332"/>
    </row>
    <row r="33" spans="2:23" ht="14.45" customHeight="1">
      <c r="B33" s="98"/>
      <c r="C33" s="98"/>
      <c r="D33" s="561">
        <f t="shared" si="0"/>
        <v>46082</v>
      </c>
      <c r="E33" s="561" t="s">
        <v>603</v>
      </c>
      <c r="F33" s="230"/>
      <c r="G33" s="93"/>
      <c r="H33" s="93"/>
      <c r="I33" s="90">
        <f t="shared" si="1"/>
        <v>0</v>
      </c>
      <c r="J33" s="214"/>
      <c r="K33" s="214"/>
      <c r="L33" s="249"/>
      <c r="M33" s="214"/>
      <c r="N33" s="332"/>
      <c r="O33" s="249"/>
      <c r="P33" s="214"/>
      <c r="Q33" s="332"/>
      <c r="R33" s="234"/>
      <c r="S33" s="214"/>
      <c r="T33" s="332"/>
      <c r="U33" s="234"/>
      <c r="V33" s="214"/>
      <c r="W33" s="332"/>
    </row>
    <row r="34" spans="2:23" ht="14.45" customHeight="1">
      <c r="B34" s="98"/>
      <c r="C34" s="98"/>
      <c r="D34" s="561">
        <f t="shared" si="0"/>
        <v>46083</v>
      </c>
      <c r="E34" s="561" t="s">
        <v>597</v>
      </c>
      <c r="F34" s="230"/>
      <c r="G34" s="93"/>
      <c r="H34" s="93"/>
      <c r="I34" s="90">
        <f t="shared" si="1"/>
        <v>0</v>
      </c>
      <c r="J34" s="214"/>
      <c r="K34" s="214"/>
      <c r="L34" s="249"/>
      <c r="M34" s="214"/>
      <c r="N34" s="332"/>
      <c r="O34" s="249"/>
      <c r="P34" s="214"/>
      <c r="Q34" s="332"/>
      <c r="R34" s="234"/>
      <c r="S34" s="214"/>
      <c r="T34" s="332"/>
      <c r="U34" s="234"/>
      <c r="V34" s="214"/>
      <c r="W34" s="332"/>
    </row>
    <row r="35" spans="2:23" ht="14.45" customHeight="1">
      <c r="B35" s="98"/>
      <c r="C35" s="98"/>
      <c r="D35" s="523"/>
      <c r="E35" s="523"/>
      <c r="F35" s="230"/>
      <c r="G35" s="93"/>
      <c r="H35" s="93"/>
      <c r="I35" s="90">
        <f t="shared" si="1"/>
        <v>0</v>
      </c>
      <c r="J35" s="214"/>
      <c r="K35" s="214"/>
      <c r="L35" s="249"/>
      <c r="M35" s="214"/>
      <c r="N35" s="332"/>
      <c r="O35" s="249"/>
      <c r="P35" s="214"/>
      <c r="Q35" s="332"/>
      <c r="R35" s="234"/>
      <c r="S35" s="214"/>
      <c r="T35" s="332"/>
      <c r="U35" s="234"/>
      <c r="V35" s="214"/>
      <c r="W35" s="332"/>
    </row>
    <row r="36" spans="2:23">
      <c r="B36" s="98"/>
      <c r="C36" s="98"/>
      <c r="D36" s="523"/>
      <c r="E36" s="523"/>
      <c r="F36" s="230"/>
      <c r="G36" s="93"/>
      <c r="H36" s="93"/>
      <c r="I36" s="90">
        <f t="shared" si="1"/>
        <v>0</v>
      </c>
      <c r="J36" s="214"/>
      <c r="K36" s="214"/>
      <c r="L36" s="249"/>
      <c r="M36" s="214"/>
      <c r="N36" s="332"/>
      <c r="O36" s="249"/>
      <c r="P36" s="214"/>
      <c r="Q36" s="332"/>
      <c r="R36" s="234"/>
      <c r="S36" s="214"/>
      <c r="T36" s="214"/>
      <c r="U36" s="234"/>
      <c r="V36" s="214"/>
      <c r="W36" s="214"/>
    </row>
    <row r="37" spans="2:23">
      <c r="B37" s="98"/>
      <c r="D37" s="523"/>
      <c r="E37" s="523"/>
      <c r="F37" s="230"/>
      <c r="G37" s="93"/>
      <c r="H37" s="93"/>
      <c r="I37" s="90">
        <f t="shared" si="1"/>
        <v>0</v>
      </c>
      <c r="J37" s="214"/>
      <c r="K37" s="87"/>
      <c r="L37" s="249"/>
      <c r="M37" s="214"/>
      <c r="N37" s="90"/>
      <c r="O37" s="249"/>
      <c r="P37" s="214"/>
      <c r="Q37" s="90"/>
      <c r="R37" s="234"/>
      <c r="S37" s="214"/>
      <c r="T37" s="214"/>
      <c r="U37" s="234"/>
      <c r="V37" s="214"/>
      <c r="W37" s="214"/>
    </row>
    <row r="38" spans="2:23">
      <c r="B38" s="98"/>
      <c r="D38" s="523"/>
      <c r="E38" s="523"/>
      <c r="F38" s="230"/>
      <c r="G38" s="93"/>
      <c r="H38" s="93"/>
      <c r="I38" s="90">
        <f t="shared" si="1"/>
        <v>0</v>
      </c>
      <c r="J38" s="214"/>
      <c r="K38" s="87"/>
      <c r="L38" s="249"/>
      <c r="M38" s="214"/>
      <c r="N38" s="90"/>
      <c r="O38" s="249"/>
      <c r="P38" s="214"/>
      <c r="Q38" s="90"/>
      <c r="R38" s="234"/>
      <c r="S38" s="214"/>
      <c r="T38" s="214"/>
      <c r="U38" s="234"/>
      <c r="V38" s="214"/>
      <c r="W38" s="214"/>
    </row>
    <row r="39" spans="2:23">
      <c r="B39" s="98"/>
      <c r="D39" s="86"/>
      <c r="E39" s="86"/>
      <c r="F39" s="230"/>
      <c r="G39" s="93"/>
      <c r="H39" s="93"/>
      <c r="I39" s="90">
        <f t="shared" si="1"/>
        <v>0</v>
      </c>
      <c r="J39" s="214"/>
      <c r="K39" s="87"/>
      <c r="L39" s="249"/>
      <c r="M39" s="214"/>
      <c r="N39" s="90"/>
      <c r="O39" s="249"/>
      <c r="P39" s="214"/>
      <c r="Q39" s="90"/>
      <c r="R39" s="234"/>
      <c r="S39" s="214"/>
      <c r="T39" s="214"/>
      <c r="U39" s="234"/>
      <c r="V39" s="214"/>
      <c r="W39" s="214"/>
    </row>
    <row r="40" spans="2:23">
      <c r="B40" s="98"/>
      <c r="D40" s="86"/>
      <c r="E40" s="86"/>
      <c r="F40" s="230"/>
      <c r="G40" s="93"/>
      <c r="H40" s="93"/>
      <c r="I40" s="90">
        <f t="shared" si="1"/>
        <v>0</v>
      </c>
      <c r="J40" s="214"/>
      <c r="K40" s="87"/>
      <c r="L40" s="249"/>
      <c r="M40" s="214"/>
      <c r="N40" s="90"/>
      <c r="O40" s="249"/>
      <c r="P40" s="214"/>
      <c r="Q40" s="90"/>
      <c r="R40" s="234"/>
      <c r="S40" s="214"/>
      <c r="T40" s="214"/>
      <c r="U40" s="234"/>
      <c r="V40" s="214"/>
      <c r="W40" s="214"/>
    </row>
    <row r="41" spans="2:23">
      <c r="B41" s="98"/>
    </row>
    <row r="42" spans="2:23">
      <c r="B42" s="98"/>
      <c r="D42" s="86"/>
      <c r="E42" s="86"/>
      <c r="F42" s="313"/>
      <c r="G42" s="93"/>
      <c r="H42" s="93"/>
      <c r="I42" s="90"/>
      <c r="J42" s="214"/>
      <c r="K42" s="87"/>
      <c r="L42" s="319"/>
      <c r="M42" s="90"/>
      <c r="N42" s="90"/>
      <c r="O42" s="319"/>
      <c r="P42" s="90"/>
      <c r="Q42" s="90"/>
      <c r="R42" s="318"/>
      <c r="S42" s="214"/>
      <c r="T42" s="214"/>
      <c r="U42" s="318"/>
      <c r="V42" s="214"/>
      <c r="W42" s="214"/>
    </row>
    <row r="43" spans="2:23">
      <c r="B43" s="98"/>
      <c r="D43" s="86"/>
      <c r="E43" s="86"/>
      <c r="F43" s="313"/>
      <c r="G43" s="93"/>
      <c r="H43" s="93"/>
      <c r="I43" s="90"/>
      <c r="J43" s="214"/>
      <c r="K43" s="87"/>
      <c r="L43" s="319"/>
      <c r="M43" s="90"/>
      <c r="N43" s="90"/>
      <c r="O43" s="319"/>
      <c r="P43" s="90"/>
      <c r="Q43" s="90"/>
      <c r="R43" s="318"/>
      <c r="S43" s="214"/>
      <c r="T43" s="214"/>
      <c r="U43" s="318"/>
      <c r="V43" s="214"/>
      <c r="W43" s="214"/>
    </row>
    <row r="44" spans="2:23">
      <c r="B44" s="98"/>
      <c r="D44" s="86"/>
      <c r="E44" s="86"/>
      <c r="F44" s="313"/>
      <c r="G44" s="93"/>
      <c r="H44" s="93"/>
      <c r="I44" s="90"/>
      <c r="J44" s="214"/>
      <c r="K44" s="87"/>
      <c r="L44" s="319"/>
      <c r="M44" s="90"/>
      <c r="N44" s="90"/>
      <c r="O44" s="319"/>
      <c r="P44" s="90"/>
      <c r="Q44" s="90"/>
      <c r="R44" s="318"/>
      <c r="S44" s="214"/>
      <c r="T44" s="214"/>
      <c r="U44" s="318"/>
      <c r="V44" s="214"/>
      <c r="W44" s="214"/>
    </row>
    <row r="45" spans="2:23">
      <c r="B45" s="98"/>
    </row>
    <row r="46" spans="2:23">
      <c r="B46" s="98"/>
    </row>
    <row r="47" spans="2:23">
      <c r="B47" s="98"/>
    </row>
    <row r="48" spans="2:23">
      <c r="B48" s="98"/>
    </row>
    <row r="49" spans="2:2">
      <c r="B49" s="98"/>
    </row>
    <row r="50" spans="2:2">
      <c r="B50" s="98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T102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K16" sqref="AK16:AK22"/>
    </sheetView>
  </sheetViews>
  <sheetFormatPr defaultColWidth="8.85546875" defaultRowHeight="14.25"/>
  <cols>
    <col min="1" max="1" width="0" style="77" hidden="1" customWidth="1"/>
    <col min="2" max="2" width="13.140625" style="77" hidden="1" customWidth="1"/>
    <col min="3" max="3" width="0" style="103" hidden="1" customWidth="1"/>
    <col min="4" max="4" width="11" style="103" bestFit="1" customWidth="1"/>
    <col min="5" max="5" width="8.5703125" style="84" customWidth="1"/>
    <col min="6" max="8" width="17.42578125" style="102" customWidth="1"/>
    <col min="9" max="9" width="10.5703125" style="97" customWidth="1"/>
    <col min="10" max="10" width="10.5703125" style="90" customWidth="1"/>
    <col min="11" max="11" width="10.5703125" style="97" customWidth="1"/>
    <col min="12" max="14" width="10.5703125" style="90" customWidth="1"/>
    <col min="15" max="15" width="10.5703125" style="97" customWidth="1"/>
    <col min="16" max="16" width="10.5703125" style="90" customWidth="1"/>
    <col min="17" max="17" width="10.5703125" style="97" customWidth="1"/>
    <col min="18" max="18" width="10.5703125" style="90" customWidth="1"/>
    <col min="19" max="19" width="10.5703125" style="97" customWidth="1"/>
    <col min="20" max="20" width="10.5703125" style="90" customWidth="1"/>
    <col min="21" max="21" width="10.5703125" style="97" customWidth="1"/>
    <col min="22" max="22" width="10.5703125" style="90" customWidth="1"/>
    <col min="23" max="23" width="10.5703125" style="97" customWidth="1"/>
    <col min="24" max="24" width="10.5703125" style="90" customWidth="1"/>
    <col min="25" max="25" width="10.5703125" style="97" customWidth="1"/>
    <col min="26" max="26" width="10.5703125" style="90" customWidth="1"/>
    <col min="27" max="27" width="10.5703125" style="97" customWidth="1"/>
    <col min="28" max="28" width="10.5703125" style="90" customWidth="1"/>
    <col min="29" max="29" width="10.5703125" style="97" customWidth="1"/>
    <col min="30" max="30" width="10.5703125" style="90" customWidth="1"/>
    <col min="31" max="31" width="10.5703125" style="97" customWidth="1"/>
    <col min="32" max="32" width="10.5703125" style="90" customWidth="1"/>
    <col min="33" max="33" width="10.42578125" style="97" customWidth="1"/>
    <col min="34" max="34" width="10.42578125" style="90" customWidth="1"/>
    <col min="35" max="35" width="10.42578125" style="97" customWidth="1"/>
    <col min="36" max="36" width="10.42578125" style="90" customWidth="1"/>
    <col min="37" max="37" width="10.42578125" style="97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622" t="s">
        <v>319</v>
      </c>
      <c r="C2" s="622"/>
      <c r="D2" s="622"/>
      <c r="E2" s="622"/>
      <c r="F2" s="622"/>
      <c r="G2" s="622"/>
      <c r="H2" s="622"/>
      <c r="I2" s="622"/>
      <c r="J2" s="622"/>
      <c r="K2" s="622"/>
      <c r="L2" s="622"/>
      <c r="M2" s="622"/>
      <c r="N2" s="622"/>
      <c r="O2" s="622"/>
      <c r="P2" s="622"/>
      <c r="Q2" s="622"/>
      <c r="R2" s="622"/>
      <c r="S2" s="622"/>
      <c r="T2" s="622"/>
      <c r="U2" s="622"/>
      <c r="V2" s="622"/>
      <c r="W2" s="622"/>
      <c r="X2" s="622"/>
      <c r="Y2" s="622"/>
      <c r="Z2" s="622"/>
      <c r="AA2" s="622"/>
      <c r="AB2" s="622"/>
      <c r="AC2" s="622"/>
      <c r="AD2" s="622"/>
      <c r="AE2" s="622"/>
      <c r="AF2" s="622"/>
      <c r="AG2" s="622"/>
      <c r="AH2" s="622"/>
      <c r="AI2" s="622"/>
      <c r="AJ2" s="622"/>
      <c r="AK2" s="622"/>
      <c r="AL2" s="622"/>
    </row>
    <row r="3" spans="1:38" ht="25.35" customHeight="1">
      <c r="B3" s="98"/>
      <c r="C3" s="623" t="s">
        <v>139</v>
      </c>
      <c r="D3" s="624" t="s">
        <v>105</v>
      </c>
      <c r="E3" s="624"/>
      <c r="F3" s="625" t="s">
        <v>357</v>
      </c>
      <c r="G3" s="625"/>
      <c r="H3" s="625"/>
      <c r="I3" s="626" t="s">
        <v>111</v>
      </c>
      <c r="J3" s="626"/>
      <c r="K3" s="626"/>
      <c r="L3" s="626"/>
      <c r="M3" s="626"/>
      <c r="N3" s="626"/>
      <c r="O3" s="626"/>
      <c r="P3" s="626"/>
      <c r="Q3" s="626"/>
      <c r="R3" s="626"/>
      <c r="S3" s="626"/>
      <c r="T3" s="626"/>
      <c r="U3" s="626"/>
      <c r="V3" s="626"/>
      <c r="W3" s="626"/>
      <c r="X3" s="626"/>
      <c r="Y3" s="626"/>
      <c r="Z3" s="626"/>
      <c r="AA3" s="626"/>
      <c r="AB3" s="626"/>
      <c r="AC3" s="626"/>
      <c r="AD3" s="626"/>
      <c r="AE3" s="626"/>
      <c r="AF3" s="626"/>
      <c r="AG3" s="626"/>
      <c r="AH3" s="626"/>
      <c r="AI3" s="626"/>
      <c r="AJ3" s="626"/>
      <c r="AK3" s="626"/>
      <c r="AL3" s="626"/>
    </row>
    <row r="4" spans="1:38" ht="25.35" customHeight="1">
      <c r="B4" s="98"/>
      <c r="C4" s="623"/>
      <c r="D4" s="624"/>
      <c r="E4" s="624"/>
      <c r="F4" s="625"/>
      <c r="G4" s="625"/>
      <c r="H4" s="625"/>
      <c r="I4" s="620" t="s">
        <v>140</v>
      </c>
      <c r="J4" s="620"/>
      <c r="K4" s="620"/>
      <c r="L4" s="620"/>
      <c r="M4" s="620"/>
      <c r="N4" s="620"/>
      <c r="O4" s="620" t="s">
        <v>141</v>
      </c>
      <c r="P4" s="620"/>
      <c r="Q4" s="620"/>
      <c r="R4" s="620"/>
      <c r="S4" s="620"/>
      <c r="T4" s="620"/>
      <c r="U4" s="620" t="s">
        <v>343</v>
      </c>
      <c r="V4" s="620"/>
      <c r="W4" s="620" t="s">
        <v>143</v>
      </c>
      <c r="X4" s="620"/>
      <c r="Y4" s="620" t="s">
        <v>134</v>
      </c>
      <c r="Z4" s="620"/>
      <c r="AA4" s="620"/>
      <c r="AB4" s="620"/>
      <c r="AC4" s="620"/>
      <c r="AD4" s="620"/>
      <c r="AE4" s="620" t="s">
        <v>132</v>
      </c>
      <c r="AF4" s="620"/>
      <c r="AG4" s="620" t="s">
        <v>144</v>
      </c>
      <c r="AH4" s="620"/>
      <c r="AI4" s="620" t="s">
        <v>145</v>
      </c>
      <c r="AJ4" s="620"/>
      <c r="AK4" s="620" t="s">
        <v>138</v>
      </c>
      <c r="AL4" s="620"/>
    </row>
    <row r="5" spans="1:38" ht="25.35" customHeight="1">
      <c r="B5" s="98"/>
      <c r="C5" s="623"/>
      <c r="D5" s="624"/>
      <c r="E5" s="624"/>
      <c r="F5" s="619" t="s">
        <v>115</v>
      </c>
      <c r="G5" s="619" t="s">
        <v>117</v>
      </c>
      <c r="H5" s="619" t="s">
        <v>118</v>
      </c>
      <c r="I5" s="620" t="s">
        <v>129</v>
      </c>
      <c r="J5" s="620"/>
      <c r="K5" s="620" t="s">
        <v>130</v>
      </c>
      <c r="L5" s="620"/>
      <c r="M5" s="621" t="s">
        <v>146</v>
      </c>
      <c r="N5" s="620"/>
      <c r="O5" s="620" t="s">
        <v>129</v>
      </c>
      <c r="P5" s="620"/>
      <c r="Q5" s="620" t="s">
        <v>130</v>
      </c>
      <c r="R5" s="620"/>
      <c r="S5" s="621" t="s">
        <v>146</v>
      </c>
      <c r="T5" s="620"/>
      <c r="U5" s="620" t="s">
        <v>129</v>
      </c>
      <c r="V5" s="620"/>
      <c r="W5" s="620" t="s">
        <v>129</v>
      </c>
      <c r="X5" s="620"/>
      <c r="Y5" s="620" t="s">
        <v>129</v>
      </c>
      <c r="Z5" s="620"/>
      <c r="AA5" s="620" t="s">
        <v>130</v>
      </c>
      <c r="AB5" s="620"/>
      <c r="AC5" s="621" t="s">
        <v>146</v>
      </c>
      <c r="AD5" s="620"/>
      <c r="AE5" s="620" t="s">
        <v>129</v>
      </c>
      <c r="AF5" s="620"/>
      <c r="AG5" s="620" t="s">
        <v>129</v>
      </c>
      <c r="AH5" s="620"/>
      <c r="AI5" s="620" t="s">
        <v>129</v>
      </c>
      <c r="AJ5" s="620"/>
      <c r="AK5" s="620" t="s">
        <v>129</v>
      </c>
      <c r="AL5" s="620"/>
    </row>
    <row r="6" spans="1:38" s="80" customFormat="1" ht="23.45" customHeight="1">
      <c r="B6" s="98"/>
      <c r="C6" s="623"/>
      <c r="D6" s="624"/>
      <c r="E6" s="624"/>
      <c r="F6" s="619"/>
      <c r="G6" s="619"/>
      <c r="H6" s="619"/>
      <c r="I6" s="99" t="s">
        <v>112</v>
      </c>
      <c r="J6" s="100" t="s">
        <v>113</v>
      </c>
      <c r="K6" s="99" t="s">
        <v>112</v>
      </c>
      <c r="L6" s="100" t="s">
        <v>113</v>
      </c>
      <c r="M6" s="99" t="s">
        <v>112</v>
      </c>
      <c r="N6" s="100" t="s">
        <v>113</v>
      </c>
      <c r="O6" s="99" t="s">
        <v>112</v>
      </c>
      <c r="P6" s="100" t="s">
        <v>113</v>
      </c>
      <c r="Q6" s="99" t="s">
        <v>112</v>
      </c>
      <c r="R6" s="100" t="s">
        <v>113</v>
      </c>
      <c r="S6" s="99" t="s">
        <v>112</v>
      </c>
      <c r="T6" s="100" t="s">
        <v>113</v>
      </c>
      <c r="U6" s="99" t="s">
        <v>112</v>
      </c>
      <c r="V6" s="100" t="s">
        <v>113</v>
      </c>
      <c r="W6" s="99" t="s">
        <v>112</v>
      </c>
      <c r="X6" s="100" t="s">
        <v>113</v>
      </c>
      <c r="Y6" s="99" t="s">
        <v>112</v>
      </c>
      <c r="Z6" s="100" t="s">
        <v>113</v>
      </c>
      <c r="AA6" s="99" t="s">
        <v>112</v>
      </c>
      <c r="AB6" s="100" t="s">
        <v>113</v>
      </c>
      <c r="AC6" s="99" t="s">
        <v>112</v>
      </c>
      <c r="AD6" s="100" t="s">
        <v>113</v>
      </c>
      <c r="AE6" s="99" t="s">
        <v>112</v>
      </c>
      <c r="AF6" s="100" t="s">
        <v>113</v>
      </c>
      <c r="AG6" s="99" t="s">
        <v>112</v>
      </c>
      <c r="AH6" s="100" t="s">
        <v>113</v>
      </c>
      <c r="AI6" s="99" t="s">
        <v>112</v>
      </c>
      <c r="AJ6" s="100" t="s">
        <v>113</v>
      </c>
      <c r="AK6" s="99" t="s">
        <v>112</v>
      </c>
      <c r="AL6" s="100" t="s">
        <v>113</v>
      </c>
    </row>
    <row r="7" spans="1:38" ht="12">
      <c r="B7" s="98"/>
      <c r="C7" s="83"/>
      <c r="D7" s="86">
        <v>46054</v>
      </c>
      <c r="E7" s="86" t="s">
        <v>603</v>
      </c>
      <c r="F7" s="229">
        <f t="shared" ref="F7" si="0">SUM(M7,S7,U7,W7,AC7,AE7,AG7,AI7,AK7)</f>
        <v>6940443.0000000009</v>
      </c>
      <c r="G7" s="331"/>
      <c r="I7" s="235">
        <v>539916.47267635853</v>
      </c>
      <c r="J7" s="101">
        <f>I7/F7</f>
        <v>7.7792796897310224E-2</v>
      </c>
      <c r="K7" s="235">
        <v>674880.79821207945</v>
      </c>
      <c r="L7" s="101">
        <f>K7/F7</f>
        <v>9.723886475432178E-2</v>
      </c>
      <c r="M7" s="228">
        <f>SUM(I7+K7)</f>
        <v>1214797.270888438</v>
      </c>
      <c r="N7" s="101">
        <f>M7/F7</f>
        <v>0.175031661651632</v>
      </c>
      <c r="O7" s="235">
        <v>105678.18510939245</v>
      </c>
      <c r="P7" s="101">
        <f>O7/F7</f>
        <v>1.5226432247825165E-2</v>
      </c>
      <c r="Q7" s="235">
        <v>78454.278806507791</v>
      </c>
      <c r="R7" s="101">
        <f t="shared" ref="R7" si="1">Q7/$F7</f>
        <v>1.1303929562782632E-2</v>
      </c>
      <c r="S7" s="228">
        <f t="shared" ref="S7" si="2">SUM(O7+Q7)</f>
        <v>184132.46391590024</v>
      </c>
      <c r="T7" s="101">
        <f>S7/F7</f>
        <v>2.6530361810607798E-2</v>
      </c>
      <c r="U7" s="235">
        <v>1196835.9337648738</v>
      </c>
      <c r="V7" s="101">
        <f>U7/F7</f>
        <v>0.17244373792348322</v>
      </c>
      <c r="W7" s="235">
        <v>245158.97627293746</v>
      </c>
      <c r="X7" s="101">
        <f>W7/F7</f>
        <v>3.5323246120303478E-2</v>
      </c>
      <c r="Y7" s="235">
        <v>603906.95655072958</v>
      </c>
      <c r="Z7" s="101">
        <f>Y7/F7</f>
        <v>8.7012739179722312E-2</v>
      </c>
      <c r="AA7" s="235">
        <v>1315164.3175850846</v>
      </c>
      <c r="AB7" s="101">
        <f t="shared" ref="AB7" si="3">AA7/$F7</f>
        <v>0.18949284902780478</v>
      </c>
      <c r="AC7" s="228">
        <f>SUM(Y7+AA7)</f>
        <v>1919071.274135814</v>
      </c>
      <c r="AD7" s="101">
        <f>AC7/F7</f>
        <v>0.27650558820752708</v>
      </c>
      <c r="AE7" s="235">
        <v>896775.99342307553</v>
      </c>
      <c r="AF7" s="101">
        <f>AE7/F7</f>
        <v>0.12921019500096398</v>
      </c>
      <c r="AG7" s="235">
        <v>444742.25344316894</v>
      </c>
      <c r="AH7" s="101">
        <f>AG7/F7</f>
        <v>6.407980779370552E-2</v>
      </c>
      <c r="AI7" s="235">
        <v>419263.83312506514</v>
      </c>
      <c r="AJ7" s="101">
        <f>AI7/F7</f>
        <v>6.0408800003841988E-2</v>
      </c>
      <c r="AK7" s="235">
        <v>419665.00103072805</v>
      </c>
      <c r="AL7" s="101">
        <f>AK7/F7</f>
        <v>6.0466601487934993E-2</v>
      </c>
    </row>
    <row r="8" spans="1:38" ht="12">
      <c r="B8" s="98"/>
      <c r="C8" s="456"/>
      <c r="D8" s="86">
        <f t="shared" ref="D8:D36" si="4">D7+1</f>
        <v>46055</v>
      </c>
      <c r="E8" s="523" t="s">
        <v>597</v>
      </c>
      <c r="F8" s="229">
        <f>SUM(M8,S8,U8,W8,AC8,AE8,AG8,AI8,AK8)</f>
        <v>6628150.9999999991</v>
      </c>
      <c r="G8" s="331">
        <f>SUM(F7:F8)</f>
        <v>13568594</v>
      </c>
      <c r="I8" s="235">
        <v>522832.64683963376</v>
      </c>
      <c r="J8" s="101">
        <f t="shared" ref="J8:J13" si="5">I8/F8</f>
        <v>7.8880617964140198E-2</v>
      </c>
      <c r="K8" s="235">
        <v>668113.06617913174</v>
      </c>
      <c r="L8" s="101">
        <f t="shared" ref="L8:L13" si="6">K8/F8</f>
        <v>0.10079931283688796</v>
      </c>
      <c r="M8" s="228">
        <f t="shared" ref="M8:M13" si="7">SUM(I8+K8)</f>
        <v>1190945.7130187654</v>
      </c>
      <c r="N8" s="101">
        <f t="shared" ref="N8:N13" si="8">M8/F8</f>
        <v>0.17967993080102815</v>
      </c>
      <c r="O8" s="235">
        <v>101888.32743018056</v>
      </c>
      <c r="P8" s="101">
        <f t="shared" ref="P8:P13" si="9">O8/F8</f>
        <v>1.5372058878891048E-2</v>
      </c>
      <c r="Q8" s="235">
        <v>79423.346887309759</v>
      </c>
      <c r="R8" s="101">
        <f t="shared" ref="R8:R14" si="10">Q8/$F8</f>
        <v>1.1982730460924891E-2</v>
      </c>
      <c r="S8" s="228">
        <f t="shared" ref="S8:S14" si="11">SUM(O8+Q8)</f>
        <v>181311.67431749031</v>
      </c>
      <c r="T8" s="101">
        <f t="shared" ref="T8:T13" si="12">S8/F8</f>
        <v>2.7354789339815937E-2</v>
      </c>
      <c r="U8" s="235">
        <v>1147564.1965757203</v>
      </c>
      <c r="V8" s="101">
        <f t="shared" ref="V8:V13" si="13">U8/F8</f>
        <v>0.1731348903450933</v>
      </c>
      <c r="W8" s="235">
        <v>175354.0013335518</v>
      </c>
      <c r="X8" s="101">
        <f t="shared" ref="X8:X13" si="14">W8/F8</f>
        <v>2.6455945456515976E-2</v>
      </c>
      <c r="Y8" s="235">
        <v>574289.71672664676</v>
      </c>
      <c r="Z8" s="101">
        <f t="shared" ref="Z8:Z13" si="15">Y8/F8</f>
        <v>8.6644030398017005E-2</v>
      </c>
      <c r="AA8" s="235">
        <v>1230820.4478830644</v>
      </c>
      <c r="AB8" s="101">
        <f t="shared" ref="AB8:AB14" si="16">AA8/$F8</f>
        <v>0.18569589737516007</v>
      </c>
      <c r="AC8" s="228">
        <f t="shared" ref="AC8:AC13" si="17">SUM(Y8+AA8)</f>
        <v>1805110.1646097112</v>
      </c>
      <c r="AD8" s="101">
        <f t="shared" ref="AD8:AD13" si="18">AC8/F8</f>
        <v>0.27233992777317706</v>
      </c>
      <c r="AE8" s="235">
        <v>835758.38434176357</v>
      </c>
      <c r="AF8" s="101">
        <f t="shared" ref="AF8:AF13" si="19">AE8/F8</f>
        <v>0.12609223663458538</v>
      </c>
      <c r="AG8" s="235">
        <v>437086.15504808887</v>
      </c>
      <c r="AH8" s="101">
        <f t="shared" ref="AH8:AH13" si="20">AG8/F8</f>
        <v>6.5943904272562429E-2</v>
      </c>
      <c r="AI8" s="235">
        <v>424529.52836666506</v>
      </c>
      <c r="AJ8" s="101">
        <f t="shared" ref="AJ8:AJ13" si="21">AI8/F8</f>
        <v>6.404946543412561E-2</v>
      </c>
      <c r="AK8" s="235">
        <v>430491.18238824268</v>
      </c>
      <c r="AL8" s="101">
        <f t="shared" ref="AL8:AL13" si="22">AK8/F8</f>
        <v>6.4948909943096156E-2</v>
      </c>
    </row>
    <row r="9" spans="1:38" ht="12">
      <c r="B9" s="98"/>
      <c r="C9" s="98"/>
      <c r="D9" s="333">
        <f t="shared" si="4"/>
        <v>46056</v>
      </c>
      <c r="E9" s="333" t="s">
        <v>598</v>
      </c>
      <c r="F9" s="229">
        <f t="shared" ref="F9:F45" si="23">SUM(M9,S9,U9,W9,AC9,AE9,AG9,AI9,AK9)</f>
        <v>7316700</v>
      </c>
      <c r="G9" s="331">
        <f>SUM(F9:F15)</f>
        <v>47419360</v>
      </c>
      <c r="I9" s="235">
        <v>535868.8994291157</v>
      </c>
      <c r="J9" s="101">
        <f t="shared" si="5"/>
        <v>7.3239151452036536E-2</v>
      </c>
      <c r="K9" s="235">
        <v>670774.66829810699</v>
      </c>
      <c r="L9" s="101">
        <f t="shared" si="6"/>
        <v>9.1677213538631758E-2</v>
      </c>
      <c r="M9" s="228">
        <f t="shared" si="7"/>
        <v>1206643.5677272226</v>
      </c>
      <c r="N9" s="101">
        <f t="shared" si="8"/>
        <v>0.16491636499066828</v>
      </c>
      <c r="O9" s="235">
        <v>106444.88089468241</v>
      </c>
      <c r="P9" s="101">
        <f t="shared" si="9"/>
        <v>1.4548209014266324E-2</v>
      </c>
      <c r="Q9" s="235">
        <v>84110.77013721806</v>
      </c>
      <c r="R9" s="101">
        <f t="shared" si="10"/>
        <v>1.1495724867388039E-2</v>
      </c>
      <c r="S9" s="228">
        <f t="shared" si="11"/>
        <v>190555.65103190049</v>
      </c>
      <c r="T9" s="101">
        <f t="shared" si="12"/>
        <v>2.6043933881654366E-2</v>
      </c>
      <c r="U9" s="235">
        <v>1073750.6068545966</v>
      </c>
      <c r="V9" s="101">
        <f t="shared" si="13"/>
        <v>0.14675340069356357</v>
      </c>
      <c r="W9" s="235">
        <v>156793.71224775494</v>
      </c>
      <c r="X9" s="101">
        <f t="shared" si="14"/>
        <v>2.1429566915105846E-2</v>
      </c>
      <c r="Y9" s="235">
        <v>569885.78628534556</v>
      </c>
      <c r="Z9" s="101">
        <f t="shared" si="15"/>
        <v>7.7888363098848598E-2</v>
      </c>
      <c r="AA9" s="235">
        <v>1269672.1782869808</v>
      </c>
      <c r="AB9" s="101">
        <f t="shared" si="16"/>
        <v>0.17353071443232343</v>
      </c>
      <c r="AC9" s="228">
        <f t="shared" si="17"/>
        <v>1839557.9645723263</v>
      </c>
      <c r="AD9" s="101">
        <f t="shared" si="18"/>
        <v>0.25141907753117204</v>
      </c>
      <c r="AE9" s="235">
        <v>1297448.5655675877</v>
      </c>
      <c r="AF9" s="101">
        <f t="shared" si="19"/>
        <v>0.1773270143052999</v>
      </c>
      <c r="AG9" s="235">
        <v>408027.82848806994</v>
      </c>
      <c r="AH9" s="101">
        <f t="shared" si="20"/>
        <v>5.5766647325716505E-2</v>
      </c>
      <c r="AI9" s="235">
        <v>412055.2169679362</v>
      </c>
      <c r="AJ9" s="101">
        <f t="shared" si="21"/>
        <v>5.6317085156960954E-2</v>
      </c>
      <c r="AK9" s="235">
        <v>731866.88654260512</v>
      </c>
      <c r="AL9" s="101">
        <f t="shared" si="22"/>
        <v>0.10002690919985856</v>
      </c>
    </row>
    <row r="10" spans="1:38" ht="12">
      <c r="B10" s="98"/>
      <c r="C10" s="98"/>
      <c r="D10" s="560">
        <f t="shared" si="4"/>
        <v>46057</v>
      </c>
      <c r="E10" s="560" t="s">
        <v>599</v>
      </c>
      <c r="F10" s="229">
        <f t="shared" si="23"/>
        <v>6974914.0000000019</v>
      </c>
      <c r="G10" s="331"/>
      <c r="H10" s="365"/>
      <c r="I10" s="235">
        <v>538786.21190713602</v>
      </c>
      <c r="J10" s="101">
        <f t="shared" si="5"/>
        <v>7.7246287467793273E-2</v>
      </c>
      <c r="K10" s="235">
        <v>665112.57148152252</v>
      </c>
      <c r="L10" s="101">
        <f t="shared" si="6"/>
        <v>9.5357816810576063E-2</v>
      </c>
      <c r="M10" s="228">
        <f t="shared" si="7"/>
        <v>1203898.7833886584</v>
      </c>
      <c r="N10" s="101">
        <f t="shared" si="8"/>
        <v>0.17260410427836934</v>
      </c>
      <c r="O10" s="235">
        <v>116131.30023622957</v>
      </c>
      <c r="P10" s="101">
        <f t="shared" si="9"/>
        <v>1.6649854067911023E-2</v>
      </c>
      <c r="Q10" s="235">
        <v>87555.806444305374</v>
      </c>
      <c r="R10" s="101">
        <f t="shared" si="10"/>
        <v>1.2552958566127891E-2</v>
      </c>
      <c r="S10" s="228">
        <f t="shared" si="11"/>
        <v>203687.10668053495</v>
      </c>
      <c r="T10" s="101">
        <f t="shared" si="12"/>
        <v>2.9202812634038913E-2</v>
      </c>
      <c r="U10" s="235">
        <v>1068468.3732219788</v>
      </c>
      <c r="V10" s="101">
        <f t="shared" si="13"/>
        <v>0.15318731861381782</v>
      </c>
      <c r="W10" s="235">
        <v>117671.51876854144</v>
      </c>
      <c r="X10" s="101">
        <f t="shared" si="14"/>
        <v>1.6870676651861431E-2</v>
      </c>
      <c r="Y10" s="235">
        <v>577562.66987274273</v>
      </c>
      <c r="Z10" s="101">
        <f t="shared" si="15"/>
        <v>8.2805704826287838E-2</v>
      </c>
      <c r="AA10" s="235">
        <v>1255657.5742128282</v>
      </c>
      <c r="AB10" s="101">
        <f t="shared" si="16"/>
        <v>0.18002481094574468</v>
      </c>
      <c r="AC10" s="228">
        <f t="shared" si="17"/>
        <v>1833220.2440855708</v>
      </c>
      <c r="AD10" s="101">
        <f t="shared" si="18"/>
        <v>0.26283051577203248</v>
      </c>
      <c r="AE10" s="235">
        <v>1067001.8713077614</v>
      </c>
      <c r="AF10" s="101">
        <f t="shared" si="19"/>
        <v>0.15297706485094456</v>
      </c>
      <c r="AG10" s="235">
        <v>459685.96523143433</v>
      </c>
      <c r="AH10" s="101">
        <f t="shared" si="20"/>
        <v>6.5905610482284688E-2</v>
      </c>
      <c r="AI10" s="235">
        <v>459496.85484977806</v>
      </c>
      <c r="AJ10" s="101">
        <f t="shared" si="21"/>
        <v>6.5878497548468404E-2</v>
      </c>
      <c r="AK10" s="235">
        <v>561783.28246574255</v>
      </c>
      <c r="AL10" s="101">
        <f t="shared" si="22"/>
        <v>8.0543399168182206E-2</v>
      </c>
    </row>
    <row r="11" spans="1:38" ht="12">
      <c r="B11" s="98"/>
      <c r="C11" s="98"/>
      <c r="D11" s="560">
        <f t="shared" si="4"/>
        <v>46058</v>
      </c>
      <c r="E11" s="560" t="s">
        <v>600</v>
      </c>
      <c r="F11" s="229">
        <f t="shared" si="23"/>
        <v>6570703</v>
      </c>
      <c r="G11" s="331"/>
      <c r="H11" s="365"/>
      <c r="I11" s="235">
        <v>502646.74009423557</v>
      </c>
      <c r="J11" s="101">
        <f t="shared" si="5"/>
        <v>7.6498167714205853E-2</v>
      </c>
      <c r="K11" s="235">
        <v>622892.07738986425</v>
      </c>
      <c r="L11" s="101">
        <f t="shared" si="6"/>
        <v>9.4798391799152129E-2</v>
      </c>
      <c r="M11" s="228">
        <f t="shared" si="7"/>
        <v>1125538.8174840999</v>
      </c>
      <c r="N11" s="101">
        <f t="shared" si="8"/>
        <v>0.17129655951335798</v>
      </c>
      <c r="O11" s="235">
        <v>113127.44365871989</v>
      </c>
      <c r="P11" s="101">
        <f t="shared" si="9"/>
        <v>1.7216946749643056E-2</v>
      </c>
      <c r="Q11" s="235">
        <v>88087.604164620061</v>
      </c>
      <c r="R11" s="101">
        <f t="shared" si="10"/>
        <v>1.3406115626382758E-2</v>
      </c>
      <c r="S11" s="228">
        <f t="shared" si="11"/>
        <v>201215.04782333993</v>
      </c>
      <c r="T11" s="101">
        <f t="shared" si="12"/>
        <v>3.0623062376025811E-2</v>
      </c>
      <c r="U11" s="235">
        <v>1023043.4220539016</v>
      </c>
      <c r="V11" s="101">
        <f t="shared" si="13"/>
        <v>0.15569771180555592</v>
      </c>
      <c r="W11" s="235">
        <v>129445.80872902019</v>
      </c>
      <c r="X11" s="101">
        <f t="shared" si="14"/>
        <v>1.9700450428062292E-2</v>
      </c>
      <c r="Y11" s="235">
        <v>560632.6538664843</v>
      </c>
      <c r="Z11" s="101">
        <f t="shared" si="15"/>
        <v>8.5323085500361884E-2</v>
      </c>
      <c r="AA11" s="235">
        <v>1080737.144325813</v>
      </c>
      <c r="AB11" s="101">
        <f t="shared" si="16"/>
        <v>0.16447816075780827</v>
      </c>
      <c r="AC11" s="228">
        <f t="shared" si="17"/>
        <v>1641369.7981922973</v>
      </c>
      <c r="AD11" s="101">
        <f t="shared" si="18"/>
        <v>0.24980124625817016</v>
      </c>
      <c r="AE11" s="235">
        <v>1042774.5416724643</v>
      </c>
      <c r="AF11" s="101">
        <f t="shared" si="19"/>
        <v>0.15870060504522338</v>
      </c>
      <c r="AG11" s="235">
        <v>433809.60680347617</v>
      </c>
      <c r="AH11" s="101">
        <f t="shared" si="20"/>
        <v>6.6021795050465099E-2</v>
      </c>
      <c r="AI11" s="235">
        <v>441448.53623261419</v>
      </c>
      <c r="AJ11" s="101">
        <f t="shared" si="21"/>
        <v>6.7184369196509747E-2</v>
      </c>
      <c r="AK11" s="235">
        <v>532057.42100878619</v>
      </c>
      <c r="AL11" s="101">
        <f t="shared" si="22"/>
        <v>8.0974200326629608E-2</v>
      </c>
    </row>
    <row r="12" spans="1:38" ht="12">
      <c r="B12" s="98"/>
      <c r="C12" s="98"/>
      <c r="D12" s="560">
        <f t="shared" si="4"/>
        <v>46059</v>
      </c>
      <c r="E12" s="560" t="s">
        <v>601</v>
      </c>
      <c r="F12" s="229">
        <f t="shared" si="23"/>
        <v>6000072.0000000009</v>
      </c>
      <c r="G12" s="331"/>
      <c r="H12" s="365">
        <f>SUM(F7:F37)</f>
        <v>107829431</v>
      </c>
      <c r="I12" s="235">
        <v>448847.29595207301</v>
      </c>
      <c r="J12" s="101">
        <f t="shared" si="5"/>
        <v>7.4806984974859131E-2</v>
      </c>
      <c r="K12" s="235">
        <v>603064.94154209853</v>
      </c>
      <c r="L12" s="101">
        <f t="shared" si="6"/>
        <v>0.10050961747494004</v>
      </c>
      <c r="M12" s="228">
        <f t="shared" si="7"/>
        <v>1051912.2374941716</v>
      </c>
      <c r="N12" s="101">
        <f t="shared" si="8"/>
        <v>0.17531660244979919</v>
      </c>
      <c r="O12" s="235">
        <v>88253.658437561913</v>
      </c>
      <c r="P12" s="101">
        <f t="shared" si="9"/>
        <v>1.470876656772817E-2</v>
      </c>
      <c r="Q12" s="235">
        <v>74256.584895265114</v>
      </c>
      <c r="R12" s="101">
        <f t="shared" si="10"/>
        <v>1.237594897115653E-2</v>
      </c>
      <c r="S12" s="228">
        <f t="shared" si="11"/>
        <v>162510.24333282703</v>
      </c>
      <c r="T12" s="101">
        <f t="shared" si="12"/>
        <v>2.70847155388847E-2</v>
      </c>
      <c r="U12" s="235">
        <v>887971.01015530282</v>
      </c>
      <c r="V12" s="101">
        <f t="shared" si="13"/>
        <v>0.14799339243850784</v>
      </c>
      <c r="W12" s="235">
        <v>121738.12229992718</v>
      </c>
      <c r="X12" s="101">
        <f t="shared" si="14"/>
        <v>2.0289443576664942E-2</v>
      </c>
      <c r="Y12" s="235">
        <v>492969.79929839983</v>
      </c>
      <c r="Z12" s="101">
        <f t="shared" si="15"/>
        <v>8.2160647288632496E-2</v>
      </c>
      <c r="AA12" s="235">
        <v>1176798.8853896491</v>
      </c>
      <c r="AB12" s="101">
        <f t="shared" si="16"/>
        <v>0.19613079399541353</v>
      </c>
      <c r="AC12" s="228">
        <f t="shared" si="17"/>
        <v>1669768.6846880489</v>
      </c>
      <c r="AD12" s="101">
        <f t="shared" si="18"/>
        <v>0.27829144128404604</v>
      </c>
      <c r="AE12" s="235">
        <v>959483.26611513412</v>
      </c>
      <c r="AF12" s="101">
        <f t="shared" si="19"/>
        <v>0.15991195874235076</v>
      </c>
      <c r="AG12" s="235">
        <v>325856.9112124907</v>
      </c>
      <c r="AH12" s="101">
        <f t="shared" si="20"/>
        <v>5.4308833496079824E-2</v>
      </c>
      <c r="AI12" s="235">
        <v>414640.89249813237</v>
      </c>
      <c r="AJ12" s="101">
        <f t="shared" si="21"/>
        <v>6.9105986144521653E-2</v>
      </c>
      <c r="AK12" s="235">
        <v>406190.6322039651</v>
      </c>
      <c r="AL12" s="101">
        <f t="shared" si="22"/>
        <v>6.7697626329144889E-2</v>
      </c>
    </row>
    <row r="13" spans="1:38" ht="12">
      <c r="B13" s="98"/>
      <c r="C13" s="98"/>
      <c r="D13" s="560">
        <f t="shared" si="4"/>
        <v>46060</v>
      </c>
      <c r="E13" s="560" t="s">
        <v>602</v>
      </c>
      <c r="F13" s="229">
        <f t="shared" si="23"/>
        <v>6372390</v>
      </c>
      <c r="G13" s="331"/>
      <c r="H13" s="365"/>
      <c r="I13" s="235">
        <v>433293.69491693209</v>
      </c>
      <c r="J13" s="101">
        <f t="shared" si="5"/>
        <v>6.799547656639536E-2</v>
      </c>
      <c r="K13" s="235">
        <v>648107.00828501675</v>
      </c>
      <c r="L13" s="101">
        <f t="shared" si="6"/>
        <v>0.10170548385849214</v>
      </c>
      <c r="M13" s="228">
        <f t="shared" si="7"/>
        <v>1081400.7032019489</v>
      </c>
      <c r="N13" s="101">
        <f t="shared" si="8"/>
        <v>0.1697009604248875</v>
      </c>
      <c r="O13" s="235">
        <v>82091.694569574116</v>
      </c>
      <c r="P13" s="101">
        <f t="shared" si="9"/>
        <v>1.2882402767183759E-2</v>
      </c>
      <c r="Q13" s="235">
        <v>69098.76439354154</v>
      </c>
      <c r="R13" s="101">
        <f t="shared" si="10"/>
        <v>1.08434613062825E-2</v>
      </c>
      <c r="S13" s="228">
        <f t="shared" si="11"/>
        <v>151190.45896311564</v>
      </c>
      <c r="T13" s="101">
        <f t="shared" si="12"/>
        <v>2.3725864073466257E-2</v>
      </c>
      <c r="U13" s="235">
        <v>964707.41451466619</v>
      </c>
      <c r="V13" s="101">
        <f t="shared" si="13"/>
        <v>0.15138863354481855</v>
      </c>
      <c r="W13" s="235">
        <v>107300.12574677118</v>
      </c>
      <c r="X13" s="101">
        <f t="shared" si="14"/>
        <v>1.6838286066416398E-2</v>
      </c>
      <c r="Y13" s="235">
        <v>534070.86451533763</v>
      </c>
      <c r="Z13" s="101">
        <f t="shared" si="15"/>
        <v>8.3810134739922951E-2</v>
      </c>
      <c r="AA13" s="235">
        <v>1189482.6163548988</v>
      </c>
      <c r="AB13" s="101">
        <f t="shared" si="16"/>
        <v>0.18666193003800752</v>
      </c>
      <c r="AC13" s="228">
        <f t="shared" si="17"/>
        <v>1723553.4808702364</v>
      </c>
      <c r="AD13" s="101">
        <f t="shared" si="18"/>
        <v>0.27047206477793045</v>
      </c>
      <c r="AE13" s="235">
        <v>1135028.2769247899</v>
      </c>
      <c r="AF13" s="101">
        <f t="shared" si="19"/>
        <v>0.17811657430332886</v>
      </c>
      <c r="AG13" s="235">
        <v>360416.99696415383</v>
      </c>
      <c r="AH13" s="101">
        <f t="shared" si="20"/>
        <v>5.6559155507455418E-2</v>
      </c>
      <c r="AI13" s="235">
        <v>405504.38561962586</v>
      </c>
      <c r="AJ13" s="101">
        <f t="shared" si="21"/>
        <v>6.363458382484842E-2</v>
      </c>
      <c r="AK13" s="235">
        <v>443288.15719469299</v>
      </c>
      <c r="AL13" s="101">
        <f t="shared" si="22"/>
        <v>6.9563877476848252E-2</v>
      </c>
    </row>
    <row r="14" spans="1:38" ht="12">
      <c r="B14" s="98"/>
      <c r="C14" s="98"/>
      <c r="D14" s="560">
        <f t="shared" si="4"/>
        <v>46061</v>
      </c>
      <c r="E14" s="560" t="s">
        <v>603</v>
      </c>
      <c r="F14" s="229">
        <f t="shared" si="23"/>
        <v>7231075.9999999991</v>
      </c>
      <c r="G14" s="331"/>
      <c r="H14" s="365"/>
      <c r="I14" s="235">
        <v>518525.02927042748</v>
      </c>
      <c r="J14" s="101">
        <f>I14/F14</f>
        <v>7.1707866058996969E-2</v>
      </c>
      <c r="K14" s="235">
        <v>682632.99614938919</v>
      </c>
      <c r="L14" s="101">
        <f>K14/F14</f>
        <v>9.4402685872668091E-2</v>
      </c>
      <c r="M14" s="228">
        <f>SUM(I14+K14)</f>
        <v>1201158.0254198166</v>
      </c>
      <c r="N14" s="101">
        <f>M14/F14</f>
        <v>0.16611055193166505</v>
      </c>
      <c r="O14" s="235">
        <v>110471.8943097408</v>
      </c>
      <c r="P14" s="101">
        <f>O14/F14</f>
        <v>1.5277379785489853E-2</v>
      </c>
      <c r="Q14" s="235">
        <v>81251.401129969236</v>
      </c>
      <c r="R14" s="101">
        <f t="shared" si="10"/>
        <v>1.1236419189892244E-2</v>
      </c>
      <c r="S14" s="228">
        <f t="shared" si="11"/>
        <v>191723.29543971003</v>
      </c>
      <c r="T14" s="101">
        <f>S14/F14</f>
        <v>2.6513798975382093E-2</v>
      </c>
      <c r="U14" s="235">
        <v>1160061.8428876793</v>
      </c>
      <c r="V14" s="101">
        <f>U14/F14</f>
        <v>0.16042727844205751</v>
      </c>
      <c r="W14" s="235">
        <v>125909.6206887263</v>
      </c>
      <c r="X14" s="101">
        <f>W14/F14</f>
        <v>1.7412293922609349E-2</v>
      </c>
      <c r="Y14" s="235">
        <v>572925.22380713536</v>
      </c>
      <c r="Z14" s="101">
        <f>Y14/F14</f>
        <v>7.9230978046301193E-2</v>
      </c>
      <c r="AA14" s="235">
        <v>1314188.5637405096</v>
      </c>
      <c r="AB14" s="101">
        <f t="shared" si="16"/>
        <v>0.18174177172809547</v>
      </c>
      <c r="AC14" s="228">
        <f>SUM(Y14+AA14)</f>
        <v>1887113.7875476449</v>
      </c>
      <c r="AD14" s="101">
        <f>AC14/F14</f>
        <v>0.26097274977439666</v>
      </c>
      <c r="AE14" s="235">
        <v>1264749.0532900118</v>
      </c>
      <c r="AF14" s="101">
        <f>AE14/F14</f>
        <v>0.17490468269037859</v>
      </c>
      <c r="AG14" s="235">
        <v>403502.32655978168</v>
      </c>
      <c r="AH14" s="101">
        <f>AG14/F14</f>
        <v>5.5801145854335057E-2</v>
      </c>
      <c r="AI14" s="235">
        <v>445153.92100301245</v>
      </c>
      <c r="AJ14" s="101">
        <f>AI14/F14</f>
        <v>6.1561228370855529E-2</v>
      </c>
      <c r="AK14" s="235">
        <v>551704.12716361601</v>
      </c>
      <c r="AL14" s="101">
        <f>AK14/F14</f>
        <v>7.6296270038320166E-2</v>
      </c>
    </row>
    <row r="15" spans="1:38" ht="12">
      <c r="B15" s="98"/>
      <c r="C15" s="98"/>
      <c r="D15" s="560">
        <f t="shared" si="4"/>
        <v>46062</v>
      </c>
      <c r="E15" s="560" t="s">
        <v>597</v>
      </c>
      <c r="F15" s="229">
        <f t="shared" si="23"/>
        <v>6953505.0000000009</v>
      </c>
      <c r="G15" s="331"/>
      <c r="H15" s="365"/>
      <c r="I15" s="235">
        <v>502959.83491837321</v>
      </c>
      <c r="J15" s="101">
        <f t="shared" ref="J15" si="24">I15/F15</f>
        <v>7.2331843425491621E-2</v>
      </c>
      <c r="K15" s="235">
        <v>672765.86959604453</v>
      </c>
      <c r="L15" s="101">
        <f t="shared" ref="L15" si="25">K15/F15</f>
        <v>9.675205088599842E-2</v>
      </c>
      <c r="M15" s="228">
        <f t="shared" ref="M15" si="26">SUM(I15+K15)</f>
        <v>1175725.7045144178</v>
      </c>
      <c r="N15" s="101">
        <f t="shared" ref="N15" si="27">M15/F15</f>
        <v>0.16908389431149004</v>
      </c>
      <c r="O15" s="235">
        <v>106518.79093316385</v>
      </c>
      <c r="P15" s="101">
        <f t="shared" ref="P15" si="28">O15/F15</f>
        <v>1.5318719254989222E-2</v>
      </c>
      <c r="Q15" s="235">
        <v>81040.513032270261</v>
      </c>
      <c r="R15" s="101">
        <f t="shared" ref="R15" si="29">Q15/$F15</f>
        <v>1.1654627850597685E-2</v>
      </c>
      <c r="S15" s="228">
        <f t="shared" ref="S15" si="30">SUM(O15+Q15)</f>
        <v>187559.30396543411</v>
      </c>
      <c r="T15" s="101">
        <f t="shared" ref="T15" si="31">S15/F15</f>
        <v>2.6973347105586905E-2</v>
      </c>
      <c r="U15" s="235">
        <v>1156260.2312686036</v>
      </c>
      <c r="V15" s="101">
        <f t="shared" ref="V15" si="32">U15/F15</f>
        <v>0.16628451856561596</v>
      </c>
      <c r="W15" s="235">
        <v>127463.39349480598</v>
      </c>
      <c r="X15" s="101">
        <f t="shared" ref="X15" si="33">W15/F15</f>
        <v>1.8330812086107071E-2</v>
      </c>
      <c r="Y15" s="235">
        <v>570294.95921710168</v>
      </c>
      <c r="Z15" s="101">
        <f t="shared" ref="Z15" si="34">Y15/F15</f>
        <v>8.2015466907279372E-2</v>
      </c>
      <c r="AA15" s="235">
        <v>1239367.9518025683</v>
      </c>
      <c r="AB15" s="101">
        <f t="shared" ref="AB15" si="35">AA15/$F15</f>
        <v>0.17823643641624881</v>
      </c>
      <c r="AC15" s="228">
        <f t="shared" ref="AC15" si="36">SUM(Y15+AA15)</f>
        <v>1809662.9110196698</v>
      </c>
      <c r="AD15" s="101">
        <f t="shared" ref="AD15" si="37">AC15/F15</f>
        <v>0.26025190332352816</v>
      </c>
      <c r="AE15" s="235">
        <v>1109763.6370063319</v>
      </c>
      <c r="AF15" s="101">
        <f t="shared" ref="AF15" si="38">AE15/F15</f>
        <v>0.15959773337422375</v>
      </c>
      <c r="AG15" s="235">
        <v>418299.2207025183</v>
      </c>
      <c r="AH15" s="101">
        <f t="shared" ref="AH15" si="39">AG15/F15</f>
        <v>6.0156600261669226E-2</v>
      </c>
      <c r="AI15" s="235">
        <v>462462.82728281064</v>
      </c>
      <c r="AJ15" s="101">
        <f t="shared" ref="AJ15" si="40">AI15/F15</f>
        <v>6.6507872976694568E-2</v>
      </c>
      <c r="AK15" s="235">
        <v>506307.77074540907</v>
      </c>
      <c r="AL15" s="101">
        <f t="shared" ref="AL15" si="41">AK15/F15</f>
        <v>7.2813317995084351E-2</v>
      </c>
    </row>
    <row r="16" spans="1:38" ht="12">
      <c r="B16" s="98"/>
      <c r="C16" s="98"/>
      <c r="D16" s="523">
        <f t="shared" si="4"/>
        <v>46063</v>
      </c>
      <c r="E16" s="523" t="s">
        <v>598</v>
      </c>
      <c r="F16" s="229">
        <f t="shared" si="23"/>
        <v>6822744</v>
      </c>
      <c r="G16" s="331">
        <f>SUM(F16:F22)</f>
        <v>46841477</v>
      </c>
      <c r="H16" s="365"/>
      <c r="I16" s="235">
        <v>501483.23581478017</v>
      </c>
      <c r="J16" s="101">
        <f t="shared" ref="J16:J41" si="42">I16/F16</f>
        <v>7.3501693133258439E-2</v>
      </c>
      <c r="K16" s="235">
        <v>661441.07637413056</v>
      </c>
      <c r="L16" s="101">
        <f t="shared" ref="L16:L41" si="43">K16/F16</f>
        <v>9.6946489033463742E-2</v>
      </c>
      <c r="M16" s="228">
        <f t="shared" ref="M16:M41" si="44">SUM(I16+K16)</f>
        <v>1162924.3121889108</v>
      </c>
      <c r="N16" s="101">
        <f t="shared" ref="N16:N41" si="45">M16/F16</f>
        <v>0.1704481821667222</v>
      </c>
      <c r="O16" s="235">
        <v>103837.39469706042</v>
      </c>
      <c r="P16" s="101">
        <f t="shared" ref="P16:P41" si="46">O16/F16</f>
        <v>1.5219301016872451E-2</v>
      </c>
      <c r="Q16" s="235">
        <v>81270.91077909329</v>
      </c>
      <c r="R16" s="101">
        <f t="shared" ref="R16:R45" si="47">Q16/$F16</f>
        <v>1.1911763181953375E-2</v>
      </c>
      <c r="S16" s="228">
        <f t="shared" ref="S16:S45" si="48">SUM(O16+Q16)</f>
        <v>185108.30547615371</v>
      </c>
      <c r="T16" s="101">
        <f t="shared" ref="T16:T41" si="49">S16/F16</f>
        <v>2.7131064198825824E-2</v>
      </c>
      <c r="U16" s="235">
        <v>1124896.9213556468</v>
      </c>
      <c r="V16" s="101">
        <f t="shared" ref="V16:V41" si="50">U16/F16</f>
        <v>0.16487456093261696</v>
      </c>
      <c r="W16" s="235">
        <v>131981.28825196077</v>
      </c>
      <c r="X16" s="101">
        <f t="shared" ref="X16:X41" si="51">W16/F16</f>
        <v>1.9344311944279421E-2</v>
      </c>
      <c r="Y16" s="235">
        <v>570393.50210784434</v>
      </c>
      <c r="Z16" s="101">
        <f t="shared" ref="Z16:Z41" si="52">Y16/F16</f>
        <v>8.360177402344926E-2</v>
      </c>
      <c r="AA16" s="235">
        <v>1257083.3535786469</v>
      </c>
      <c r="AB16" s="101">
        <f t="shared" ref="AB16:AB45" si="53">AA16/$F16</f>
        <v>0.18424894054044047</v>
      </c>
      <c r="AC16" s="228">
        <f t="shared" ref="AC16:AC41" si="54">SUM(Y16+AA16)</f>
        <v>1827476.8556864914</v>
      </c>
      <c r="AD16" s="101">
        <f t="shared" ref="AD16:AD41" si="55">AC16/F16</f>
        <v>0.26785071456388976</v>
      </c>
      <c r="AE16" s="235">
        <v>1142087.7758778632</v>
      </c>
      <c r="AF16" s="101">
        <f t="shared" ref="AF16:AF41" si="56">AE16/F16</f>
        <v>0.16739420032143418</v>
      </c>
      <c r="AG16" s="235">
        <v>387338.52169364796</v>
      </c>
      <c r="AH16" s="101">
        <f t="shared" ref="AH16:AH41" si="57">AG16/F16</f>
        <v>5.6771662793393386E-2</v>
      </c>
      <c r="AI16" s="235">
        <v>400884.80981749046</v>
      </c>
      <c r="AJ16" s="101">
        <f t="shared" ref="AJ16:AJ41" si="58">AI16/F16</f>
        <v>5.87571232069517E-2</v>
      </c>
      <c r="AK16" s="235">
        <v>460045.20965183497</v>
      </c>
      <c r="AL16" s="101">
        <f t="shared" ref="AL16:AL41" si="59">AK16/F16</f>
        <v>6.7428179871886582E-2</v>
      </c>
    </row>
    <row r="17" spans="2:38" ht="12">
      <c r="B17" s="98"/>
      <c r="C17" s="98"/>
      <c r="D17" s="561">
        <f t="shared" si="4"/>
        <v>46064</v>
      </c>
      <c r="E17" s="561" t="s">
        <v>599</v>
      </c>
      <c r="F17" s="229">
        <f t="shared" si="23"/>
        <v>6624486.0000000019</v>
      </c>
      <c r="G17" s="331"/>
      <c r="H17" s="365"/>
      <c r="I17" s="235">
        <v>489879.85755042412</v>
      </c>
      <c r="J17" s="101">
        <f t="shared" si="42"/>
        <v>7.3949866835015421E-2</v>
      </c>
      <c r="K17" s="235">
        <v>621873.1816320112</v>
      </c>
      <c r="L17" s="101">
        <f t="shared" si="43"/>
        <v>9.3874933335508753E-2</v>
      </c>
      <c r="M17" s="228">
        <f t="shared" si="44"/>
        <v>1111753.0391824353</v>
      </c>
      <c r="N17" s="101">
        <f t="shared" si="45"/>
        <v>0.16782480017052417</v>
      </c>
      <c r="O17" s="235">
        <v>115920.42378959323</v>
      </c>
      <c r="P17" s="101">
        <f t="shared" si="46"/>
        <v>1.7498780100009752E-2</v>
      </c>
      <c r="Q17" s="235">
        <v>86902.950702843678</v>
      </c>
      <c r="R17" s="101">
        <f t="shared" si="47"/>
        <v>1.3118444314448495E-2</v>
      </c>
      <c r="S17" s="228">
        <f t="shared" si="48"/>
        <v>202823.37449243691</v>
      </c>
      <c r="T17" s="101">
        <f t="shared" si="49"/>
        <v>3.0617224414458247E-2</v>
      </c>
      <c r="U17" s="235">
        <v>1062800.6755350102</v>
      </c>
      <c r="V17" s="101">
        <f t="shared" si="50"/>
        <v>0.16043519082612748</v>
      </c>
      <c r="W17" s="235">
        <v>144581.23700241005</v>
      </c>
      <c r="X17" s="101">
        <f t="shared" si="51"/>
        <v>2.1825276255759318E-2</v>
      </c>
      <c r="Y17" s="235">
        <v>546572.24244415108</v>
      </c>
      <c r="Z17" s="101">
        <f t="shared" si="52"/>
        <v>8.2507871923067078E-2</v>
      </c>
      <c r="AA17" s="235">
        <v>1344484.4363932887</v>
      </c>
      <c r="AB17" s="101">
        <f t="shared" si="53"/>
        <v>0.20295679338642852</v>
      </c>
      <c r="AC17" s="228">
        <f t="shared" si="54"/>
        <v>1891056.6788374397</v>
      </c>
      <c r="AD17" s="101">
        <f t="shared" si="55"/>
        <v>0.2854646653094956</v>
      </c>
      <c r="AE17" s="235">
        <v>1030116.852145495</v>
      </c>
      <c r="AF17" s="101">
        <f t="shared" si="56"/>
        <v>0.15550140073441091</v>
      </c>
      <c r="AG17" s="235">
        <v>359546.43011923222</v>
      </c>
      <c r="AH17" s="101">
        <f t="shared" si="57"/>
        <v>5.427537021275796E-2</v>
      </c>
      <c r="AI17" s="235">
        <v>384392.51573642518</v>
      </c>
      <c r="AJ17" s="101">
        <f t="shared" si="58"/>
        <v>5.8026013752074508E-2</v>
      </c>
      <c r="AK17" s="235">
        <v>437415.19694911648</v>
      </c>
      <c r="AL17" s="101">
        <f t="shared" si="59"/>
        <v>6.6030058324391711E-2</v>
      </c>
    </row>
    <row r="18" spans="2:38" ht="12">
      <c r="B18" s="98"/>
      <c r="C18" s="98"/>
      <c r="D18" s="561">
        <f t="shared" si="4"/>
        <v>46065</v>
      </c>
      <c r="E18" s="561" t="s">
        <v>600</v>
      </c>
      <c r="F18" s="229">
        <f t="shared" si="23"/>
        <v>6520981.9999999991</v>
      </c>
      <c r="G18" s="331"/>
      <c r="H18" s="365"/>
      <c r="I18" s="235">
        <v>443756.31163249636</v>
      </c>
      <c r="J18" s="101">
        <f t="shared" si="42"/>
        <v>6.8050534663720352E-2</v>
      </c>
      <c r="K18" s="235">
        <v>577781.1699528473</v>
      </c>
      <c r="L18" s="101">
        <f t="shared" si="43"/>
        <v>8.8603398990036678E-2</v>
      </c>
      <c r="M18" s="228">
        <f t="shared" si="44"/>
        <v>1021537.4815853436</v>
      </c>
      <c r="N18" s="101">
        <f t="shared" si="45"/>
        <v>0.15665393365375702</v>
      </c>
      <c r="O18" s="235">
        <v>115895.89777792458</v>
      </c>
      <c r="P18" s="101">
        <f t="shared" si="46"/>
        <v>1.7772767625784672E-2</v>
      </c>
      <c r="Q18" s="235">
        <v>91564.496615713666</v>
      </c>
      <c r="R18" s="101">
        <f t="shared" si="47"/>
        <v>1.4041519607892444E-2</v>
      </c>
      <c r="S18" s="228">
        <f t="shared" si="48"/>
        <v>207460.39439363824</v>
      </c>
      <c r="T18" s="101">
        <f t="shared" si="49"/>
        <v>3.1814287233677116E-2</v>
      </c>
      <c r="U18" s="235">
        <v>1136269.9052149593</v>
      </c>
      <c r="V18" s="101">
        <f t="shared" si="50"/>
        <v>0.17424828119675217</v>
      </c>
      <c r="W18" s="235">
        <v>94208.689430164028</v>
      </c>
      <c r="X18" s="101">
        <f t="shared" si="51"/>
        <v>1.4447009580790753E-2</v>
      </c>
      <c r="Y18" s="235">
        <v>539696.38304725941</v>
      </c>
      <c r="Z18" s="101">
        <f t="shared" si="52"/>
        <v>8.2763053639353629E-2</v>
      </c>
      <c r="AA18" s="235">
        <v>1272389.7163873932</v>
      </c>
      <c r="AB18" s="101">
        <f t="shared" si="53"/>
        <v>0.19512240892359362</v>
      </c>
      <c r="AC18" s="228">
        <f t="shared" si="54"/>
        <v>1812086.0994346526</v>
      </c>
      <c r="AD18" s="101">
        <f t="shared" si="55"/>
        <v>0.27788546256294727</v>
      </c>
      <c r="AE18" s="235">
        <v>1004083.5310342648</v>
      </c>
      <c r="AF18" s="101">
        <f t="shared" si="56"/>
        <v>0.15397735050246497</v>
      </c>
      <c r="AG18" s="235">
        <v>335847.93700915016</v>
      </c>
      <c r="AH18" s="101">
        <f t="shared" si="57"/>
        <v>5.150266279053526E-2</v>
      </c>
      <c r="AI18" s="235">
        <v>468355.49229734374</v>
      </c>
      <c r="AJ18" s="101">
        <f t="shared" si="58"/>
        <v>7.1822846972640589E-2</v>
      </c>
      <c r="AK18" s="235">
        <v>441132.46960048319</v>
      </c>
      <c r="AL18" s="101">
        <f t="shared" si="59"/>
        <v>6.764816550643496E-2</v>
      </c>
    </row>
    <row r="19" spans="2:38" ht="12">
      <c r="B19" s="98"/>
      <c r="C19" s="98"/>
      <c r="D19" s="561">
        <f t="shared" si="4"/>
        <v>46066</v>
      </c>
      <c r="E19" s="561" t="s">
        <v>601</v>
      </c>
      <c r="F19" s="229">
        <f t="shared" si="23"/>
        <v>6287199.9999999991</v>
      </c>
      <c r="G19" s="331"/>
      <c r="H19" s="365"/>
      <c r="I19" s="235">
        <v>436072.58184061013</v>
      </c>
      <c r="J19" s="101">
        <f t="shared" si="42"/>
        <v>6.9358789578923871E-2</v>
      </c>
      <c r="K19" s="235">
        <v>565939.74738742458</v>
      </c>
      <c r="L19" s="101">
        <f t="shared" si="43"/>
        <v>9.001459272608231E-2</v>
      </c>
      <c r="M19" s="228">
        <f t="shared" si="44"/>
        <v>1002012.3292280347</v>
      </c>
      <c r="N19" s="101">
        <f t="shared" si="45"/>
        <v>0.15937338230500617</v>
      </c>
      <c r="O19" s="235">
        <v>111877.87277941762</v>
      </c>
      <c r="P19" s="101">
        <f t="shared" si="46"/>
        <v>1.7794546503915518E-2</v>
      </c>
      <c r="Q19" s="235">
        <v>73399.434328659117</v>
      </c>
      <c r="R19" s="101">
        <f t="shared" si="47"/>
        <v>1.1674423324955326E-2</v>
      </c>
      <c r="S19" s="228">
        <f t="shared" si="48"/>
        <v>185277.30710807675</v>
      </c>
      <c r="T19" s="101">
        <f t="shared" si="49"/>
        <v>2.9468969828870845E-2</v>
      </c>
      <c r="U19" s="235">
        <v>1019281.5412304194</v>
      </c>
      <c r="V19" s="101">
        <f t="shared" si="50"/>
        <v>0.16212010771574303</v>
      </c>
      <c r="W19" s="235">
        <v>79404.578114909731</v>
      </c>
      <c r="X19" s="101">
        <f t="shared" si="51"/>
        <v>1.2629561349234913E-2</v>
      </c>
      <c r="Y19" s="235">
        <v>523490.73135211464</v>
      </c>
      <c r="Z19" s="101">
        <f t="shared" si="52"/>
        <v>8.3262936021140529E-2</v>
      </c>
      <c r="AA19" s="235">
        <v>1421755.0019819702</v>
      </c>
      <c r="AB19" s="101">
        <f t="shared" si="53"/>
        <v>0.22613484571541709</v>
      </c>
      <c r="AC19" s="228">
        <f t="shared" si="54"/>
        <v>1945245.7333340847</v>
      </c>
      <c r="AD19" s="101">
        <f t="shared" si="55"/>
        <v>0.30939778173655763</v>
      </c>
      <c r="AE19" s="235">
        <v>911062.89115167595</v>
      </c>
      <c r="AF19" s="101">
        <f t="shared" si="56"/>
        <v>0.14490757271148938</v>
      </c>
      <c r="AG19" s="235">
        <v>234534.46748791277</v>
      </c>
      <c r="AH19" s="101">
        <f t="shared" si="57"/>
        <v>3.7303484458568646E-2</v>
      </c>
      <c r="AI19" s="235">
        <v>475621.55016762059</v>
      </c>
      <c r="AJ19" s="101">
        <f t="shared" si="58"/>
        <v>7.5649184083156365E-2</v>
      </c>
      <c r="AK19" s="235">
        <v>434759.60217726533</v>
      </c>
      <c r="AL19" s="101">
        <f t="shared" si="59"/>
        <v>6.9149955811373176E-2</v>
      </c>
    </row>
    <row r="20" spans="2:38" ht="12">
      <c r="B20" s="98"/>
      <c r="C20" s="98"/>
      <c r="D20" s="561">
        <f t="shared" si="4"/>
        <v>46067</v>
      </c>
      <c r="E20" s="561" t="s">
        <v>602</v>
      </c>
      <c r="F20" s="229">
        <f t="shared" si="23"/>
        <v>6831701</v>
      </c>
      <c r="G20" s="331"/>
      <c r="H20" s="365"/>
      <c r="I20" s="235">
        <v>427794.03244710941</v>
      </c>
      <c r="J20" s="101">
        <f t="shared" si="42"/>
        <v>6.2618963044066098E-2</v>
      </c>
      <c r="K20" s="235">
        <v>571544.84473500343</v>
      </c>
      <c r="L20" s="101">
        <f t="shared" si="43"/>
        <v>8.3660693688878282E-2</v>
      </c>
      <c r="M20" s="228">
        <f t="shared" si="44"/>
        <v>999338.87718211277</v>
      </c>
      <c r="N20" s="101">
        <f t="shared" si="45"/>
        <v>0.14627965673294438</v>
      </c>
      <c r="O20" s="235">
        <v>108315.94550302232</v>
      </c>
      <c r="P20" s="101">
        <f t="shared" si="46"/>
        <v>1.5854901363953476E-2</v>
      </c>
      <c r="Q20" s="235">
        <v>73601.901343411213</v>
      </c>
      <c r="R20" s="101">
        <f t="shared" si="47"/>
        <v>1.0773583525305223E-2</v>
      </c>
      <c r="S20" s="228">
        <f t="shared" si="48"/>
        <v>181917.84684643353</v>
      </c>
      <c r="T20" s="101">
        <f t="shared" si="49"/>
        <v>2.6628484889258699E-2</v>
      </c>
      <c r="U20" s="235">
        <v>1125137.798119003</v>
      </c>
      <c r="V20" s="101">
        <f t="shared" si="50"/>
        <v>0.16469365361847702</v>
      </c>
      <c r="W20" s="235">
        <v>84694.134246931237</v>
      </c>
      <c r="X20" s="101">
        <f t="shared" si="51"/>
        <v>1.2397224973243302E-2</v>
      </c>
      <c r="Y20" s="235">
        <v>597074.75008280866</v>
      </c>
      <c r="Z20" s="101">
        <f t="shared" si="52"/>
        <v>8.7397670079941828E-2</v>
      </c>
      <c r="AA20" s="235">
        <v>1519564.7879469155</v>
      </c>
      <c r="AB20" s="101">
        <f t="shared" si="53"/>
        <v>0.22242846809995279</v>
      </c>
      <c r="AC20" s="228">
        <f t="shared" si="54"/>
        <v>2116639.5380297243</v>
      </c>
      <c r="AD20" s="101">
        <f t="shared" si="55"/>
        <v>0.30982613817989463</v>
      </c>
      <c r="AE20" s="235">
        <v>983366.33380179538</v>
      </c>
      <c r="AF20" s="101">
        <f t="shared" si="56"/>
        <v>0.14394165286241237</v>
      </c>
      <c r="AG20" s="235">
        <v>301020.88642478822</v>
      </c>
      <c r="AH20" s="101">
        <f t="shared" si="57"/>
        <v>4.4062362568969018E-2</v>
      </c>
      <c r="AI20" s="235">
        <v>582647.15151019557</v>
      </c>
      <c r="AJ20" s="101">
        <f t="shared" si="58"/>
        <v>8.5285809714183272E-2</v>
      </c>
      <c r="AK20" s="235">
        <v>456938.43383901584</v>
      </c>
      <c r="AL20" s="101">
        <f t="shared" si="59"/>
        <v>6.6885016460617328E-2</v>
      </c>
    </row>
    <row r="21" spans="2:38" ht="12">
      <c r="B21" s="98"/>
      <c r="C21" s="98"/>
      <c r="D21" s="561">
        <f t="shared" si="4"/>
        <v>46068</v>
      </c>
      <c r="E21" s="561" t="s">
        <v>603</v>
      </c>
      <c r="F21" s="229">
        <f t="shared" si="23"/>
        <v>6930409</v>
      </c>
      <c r="G21" s="331"/>
      <c r="H21" s="365"/>
      <c r="I21" s="235">
        <v>437348.16883778613</v>
      </c>
      <c r="J21" s="101">
        <f t="shared" si="42"/>
        <v>6.3105679453808017E-2</v>
      </c>
      <c r="K21" s="235">
        <v>615340.56347607076</v>
      </c>
      <c r="L21" s="101">
        <f t="shared" si="43"/>
        <v>8.8788491916721043E-2</v>
      </c>
      <c r="M21" s="228">
        <f t="shared" si="44"/>
        <v>1052688.7323138569</v>
      </c>
      <c r="N21" s="101">
        <f t="shared" si="45"/>
        <v>0.15189417137052907</v>
      </c>
      <c r="O21" s="235">
        <v>105261.50957593814</v>
      </c>
      <c r="P21" s="101">
        <f t="shared" si="46"/>
        <v>1.5188354623217494E-2</v>
      </c>
      <c r="Q21" s="235">
        <v>74978.046092127828</v>
      </c>
      <c r="R21" s="101">
        <f t="shared" si="47"/>
        <v>1.0818704363931167E-2</v>
      </c>
      <c r="S21" s="228">
        <f t="shared" si="48"/>
        <v>180239.55566806596</v>
      </c>
      <c r="T21" s="101">
        <f t="shared" si="49"/>
        <v>2.6007058987148661E-2</v>
      </c>
      <c r="U21" s="235">
        <v>1163813.4255772626</v>
      </c>
      <c r="V21" s="101">
        <f t="shared" si="50"/>
        <v>0.16792853431554511</v>
      </c>
      <c r="W21" s="235">
        <v>85115.302569639229</v>
      </c>
      <c r="X21" s="101">
        <f t="shared" si="51"/>
        <v>1.2281425608450991E-2</v>
      </c>
      <c r="Y21" s="235">
        <v>593365.59622526087</v>
      </c>
      <c r="Z21" s="101">
        <f t="shared" si="52"/>
        <v>8.5617688108344095E-2</v>
      </c>
      <c r="AA21" s="235">
        <v>1508357.8574954977</v>
      </c>
      <c r="AB21" s="101">
        <f t="shared" si="53"/>
        <v>0.2176434114488045</v>
      </c>
      <c r="AC21" s="228">
        <f t="shared" si="54"/>
        <v>2101723.4537207587</v>
      </c>
      <c r="AD21" s="101">
        <f t="shared" si="55"/>
        <v>0.30326109955714858</v>
      </c>
      <c r="AE21" s="235">
        <v>1097847.9670066377</v>
      </c>
      <c r="AF21" s="101">
        <f t="shared" si="56"/>
        <v>0.15841027088107465</v>
      </c>
      <c r="AG21" s="235">
        <v>257056.61717552174</v>
      </c>
      <c r="AH21" s="101">
        <f t="shared" si="57"/>
        <v>3.709111787998684E-2</v>
      </c>
      <c r="AI21" s="235">
        <v>561068.62642688875</v>
      </c>
      <c r="AJ21" s="101">
        <f t="shared" si="58"/>
        <v>8.0957505744161523E-2</v>
      </c>
      <c r="AK21" s="235">
        <v>430855.31954136834</v>
      </c>
      <c r="AL21" s="101">
        <f t="shared" si="59"/>
        <v>6.2168815655954557E-2</v>
      </c>
    </row>
    <row r="22" spans="2:38" ht="12">
      <c r="B22" s="98"/>
      <c r="C22" s="98"/>
      <c r="D22" s="561">
        <f t="shared" si="4"/>
        <v>46069</v>
      </c>
      <c r="E22" s="561" t="s">
        <v>597</v>
      </c>
      <c r="F22" s="229">
        <f t="shared" si="23"/>
        <v>6823954.9999999991</v>
      </c>
      <c r="G22" s="331"/>
      <c r="H22" s="365"/>
      <c r="I22" s="235">
        <v>479223.98969444819</v>
      </c>
      <c r="J22" s="101">
        <f t="shared" si="42"/>
        <v>7.0226721848905549E-2</v>
      </c>
      <c r="K22" s="235">
        <v>669030.06571645604</v>
      </c>
      <c r="L22" s="101">
        <f t="shared" si="43"/>
        <v>9.8041394721456412E-2</v>
      </c>
      <c r="M22" s="228">
        <f t="shared" si="44"/>
        <v>1148254.0554109043</v>
      </c>
      <c r="N22" s="101">
        <f t="shared" si="45"/>
        <v>0.16826811657036198</v>
      </c>
      <c r="O22" s="235">
        <v>123178.40986970962</v>
      </c>
      <c r="P22" s="101">
        <f t="shared" si="46"/>
        <v>1.8050882496984468E-2</v>
      </c>
      <c r="Q22" s="235">
        <v>94673.994422410353</v>
      </c>
      <c r="R22" s="101">
        <f t="shared" si="47"/>
        <v>1.3873771796914014E-2</v>
      </c>
      <c r="S22" s="228">
        <f t="shared" si="48"/>
        <v>217852.40429211996</v>
      </c>
      <c r="T22" s="101">
        <f t="shared" si="49"/>
        <v>3.1924654293898479E-2</v>
      </c>
      <c r="U22" s="235">
        <v>1194895.6451643838</v>
      </c>
      <c r="V22" s="101">
        <f t="shared" si="50"/>
        <v>0.17510309566290869</v>
      </c>
      <c r="W22" s="235">
        <v>94031.650684019638</v>
      </c>
      <c r="X22" s="101">
        <f t="shared" si="51"/>
        <v>1.3779641085561034E-2</v>
      </c>
      <c r="Y22" s="235">
        <v>573813.6804095119</v>
      </c>
      <c r="Z22" s="101">
        <f t="shared" si="52"/>
        <v>8.4088139562689374E-2</v>
      </c>
      <c r="AA22" s="235">
        <v>1473699.3512124054</v>
      </c>
      <c r="AB22" s="101">
        <f t="shared" si="53"/>
        <v>0.21595971122500157</v>
      </c>
      <c r="AC22" s="228">
        <f t="shared" si="54"/>
        <v>2047513.0316219172</v>
      </c>
      <c r="AD22" s="101">
        <f t="shared" si="55"/>
        <v>0.30004785078769092</v>
      </c>
      <c r="AE22" s="235">
        <v>957214.32103666337</v>
      </c>
      <c r="AF22" s="101">
        <f t="shared" si="56"/>
        <v>0.14027266021488469</v>
      </c>
      <c r="AG22" s="235">
        <v>255375.69901917723</v>
      </c>
      <c r="AH22" s="101">
        <f t="shared" si="57"/>
        <v>3.7423414869995078E-2</v>
      </c>
      <c r="AI22" s="235">
        <v>486919.71416776418</v>
      </c>
      <c r="AJ22" s="101">
        <f t="shared" si="58"/>
        <v>7.1354473200330934E-2</v>
      </c>
      <c r="AK22" s="235">
        <v>421898.47860304941</v>
      </c>
      <c r="AL22" s="101">
        <f t="shared" si="59"/>
        <v>6.1826093314368204E-2</v>
      </c>
    </row>
    <row r="23" spans="2:38" ht="12">
      <c r="B23" s="98"/>
      <c r="C23" s="98"/>
      <c r="D23" s="333">
        <f t="shared" si="4"/>
        <v>46070</v>
      </c>
      <c r="E23" s="333" t="s">
        <v>598</v>
      </c>
      <c r="F23" s="229">
        <f t="shared" si="23"/>
        <v>0</v>
      </c>
      <c r="G23" s="331">
        <f>SUM(F23:F29)</f>
        <v>0</v>
      </c>
      <c r="H23" s="365"/>
      <c r="I23" s="235"/>
      <c r="J23" s="101" t="e">
        <f t="shared" si="42"/>
        <v>#DIV/0!</v>
      </c>
      <c r="K23" s="235"/>
      <c r="L23" s="101" t="e">
        <f t="shared" si="43"/>
        <v>#DIV/0!</v>
      </c>
      <c r="M23" s="228">
        <f t="shared" si="44"/>
        <v>0</v>
      </c>
      <c r="N23" s="101" t="e">
        <f t="shared" si="45"/>
        <v>#DIV/0!</v>
      </c>
      <c r="O23" s="235"/>
      <c r="P23" s="101" t="e">
        <f t="shared" si="46"/>
        <v>#DIV/0!</v>
      </c>
      <c r="Q23" s="235"/>
      <c r="R23" s="101" t="e">
        <f t="shared" si="47"/>
        <v>#DIV/0!</v>
      </c>
      <c r="S23" s="228">
        <f t="shared" si="48"/>
        <v>0</v>
      </c>
      <c r="T23" s="101" t="e">
        <f t="shared" si="49"/>
        <v>#DIV/0!</v>
      </c>
      <c r="U23" s="235"/>
      <c r="V23" s="101" t="e">
        <f t="shared" si="50"/>
        <v>#DIV/0!</v>
      </c>
      <c r="W23" s="235"/>
      <c r="X23" s="101" t="e">
        <f t="shared" si="51"/>
        <v>#DIV/0!</v>
      </c>
      <c r="Y23" s="235"/>
      <c r="Z23" s="101" t="e">
        <f t="shared" si="52"/>
        <v>#DIV/0!</v>
      </c>
      <c r="AA23" s="235"/>
      <c r="AB23" s="101" t="e">
        <f t="shared" si="53"/>
        <v>#DIV/0!</v>
      </c>
      <c r="AC23" s="228">
        <f t="shared" si="54"/>
        <v>0</v>
      </c>
      <c r="AD23" s="101" t="e">
        <f t="shared" si="55"/>
        <v>#DIV/0!</v>
      </c>
      <c r="AE23" s="235"/>
      <c r="AF23" s="101" t="e">
        <f t="shared" si="56"/>
        <v>#DIV/0!</v>
      </c>
      <c r="AG23" s="235"/>
      <c r="AH23" s="101" t="e">
        <f t="shared" si="57"/>
        <v>#DIV/0!</v>
      </c>
      <c r="AI23" s="235"/>
      <c r="AJ23" s="101" t="e">
        <f t="shared" si="58"/>
        <v>#DIV/0!</v>
      </c>
      <c r="AK23" s="235"/>
      <c r="AL23" s="101" t="e">
        <f t="shared" si="59"/>
        <v>#DIV/0!</v>
      </c>
    </row>
    <row r="24" spans="2:38" ht="12">
      <c r="B24" s="98"/>
      <c r="C24" s="98"/>
      <c r="D24" s="560">
        <f t="shared" si="4"/>
        <v>46071</v>
      </c>
      <c r="E24" s="560" t="s">
        <v>599</v>
      </c>
      <c r="F24" s="229">
        <f t="shared" si="23"/>
        <v>0</v>
      </c>
      <c r="G24" s="331"/>
      <c r="H24" s="365"/>
      <c r="I24" s="235"/>
      <c r="J24" s="101" t="e">
        <f t="shared" si="42"/>
        <v>#DIV/0!</v>
      </c>
      <c r="K24" s="235"/>
      <c r="L24" s="101" t="e">
        <f t="shared" si="43"/>
        <v>#DIV/0!</v>
      </c>
      <c r="M24" s="228">
        <f t="shared" si="44"/>
        <v>0</v>
      </c>
      <c r="N24" s="101" t="e">
        <f t="shared" si="45"/>
        <v>#DIV/0!</v>
      </c>
      <c r="O24" s="235"/>
      <c r="P24" s="101" t="e">
        <f t="shared" si="46"/>
        <v>#DIV/0!</v>
      </c>
      <c r="Q24" s="235"/>
      <c r="R24" s="101" t="e">
        <f t="shared" si="47"/>
        <v>#DIV/0!</v>
      </c>
      <c r="S24" s="228">
        <f t="shared" si="48"/>
        <v>0</v>
      </c>
      <c r="T24" s="101" t="e">
        <f t="shared" si="49"/>
        <v>#DIV/0!</v>
      </c>
      <c r="U24" s="235"/>
      <c r="V24" s="101" t="e">
        <f t="shared" si="50"/>
        <v>#DIV/0!</v>
      </c>
      <c r="W24" s="235"/>
      <c r="X24" s="101" t="e">
        <f t="shared" si="51"/>
        <v>#DIV/0!</v>
      </c>
      <c r="Y24" s="235"/>
      <c r="Z24" s="101" t="e">
        <f t="shared" si="52"/>
        <v>#DIV/0!</v>
      </c>
      <c r="AA24" s="235"/>
      <c r="AB24" s="101" t="e">
        <f t="shared" si="53"/>
        <v>#DIV/0!</v>
      </c>
      <c r="AC24" s="228">
        <f t="shared" si="54"/>
        <v>0</v>
      </c>
      <c r="AD24" s="101" t="e">
        <f t="shared" si="55"/>
        <v>#DIV/0!</v>
      </c>
      <c r="AE24" s="235"/>
      <c r="AF24" s="101" t="e">
        <f t="shared" si="56"/>
        <v>#DIV/0!</v>
      </c>
      <c r="AG24" s="235"/>
      <c r="AH24" s="101" t="e">
        <f t="shared" si="57"/>
        <v>#DIV/0!</v>
      </c>
      <c r="AI24" s="235"/>
      <c r="AJ24" s="101" t="e">
        <f t="shared" si="58"/>
        <v>#DIV/0!</v>
      </c>
      <c r="AK24" s="235"/>
      <c r="AL24" s="101" t="e">
        <f t="shared" si="59"/>
        <v>#DIV/0!</v>
      </c>
    </row>
    <row r="25" spans="2:38" ht="12">
      <c r="B25" s="98"/>
      <c r="C25" s="98"/>
      <c r="D25" s="560">
        <f t="shared" si="4"/>
        <v>46072</v>
      </c>
      <c r="E25" s="560" t="s">
        <v>600</v>
      </c>
      <c r="F25" s="229">
        <f t="shared" si="23"/>
        <v>0</v>
      </c>
      <c r="G25" s="331"/>
      <c r="H25" s="365"/>
      <c r="I25" s="235"/>
      <c r="J25" s="101" t="e">
        <f t="shared" si="42"/>
        <v>#DIV/0!</v>
      </c>
      <c r="K25" s="235"/>
      <c r="L25" s="101" t="e">
        <f t="shared" si="43"/>
        <v>#DIV/0!</v>
      </c>
      <c r="M25" s="228">
        <f t="shared" si="44"/>
        <v>0</v>
      </c>
      <c r="N25" s="101" t="e">
        <f t="shared" si="45"/>
        <v>#DIV/0!</v>
      </c>
      <c r="O25" s="235"/>
      <c r="P25" s="101" t="e">
        <f t="shared" si="46"/>
        <v>#DIV/0!</v>
      </c>
      <c r="Q25" s="235"/>
      <c r="R25" s="101" t="e">
        <f t="shared" si="47"/>
        <v>#DIV/0!</v>
      </c>
      <c r="S25" s="228">
        <f t="shared" si="48"/>
        <v>0</v>
      </c>
      <c r="T25" s="101" t="e">
        <f t="shared" si="49"/>
        <v>#DIV/0!</v>
      </c>
      <c r="U25" s="235"/>
      <c r="V25" s="101" t="e">
        <f t="shared" si="50"/>
        <v>#DIV/0!</v>
      </c>
      <c r="W25" s="235"/>
      <c r="X25" s="101" t="e">
        <f t="shared" si="51"/>
        <v>#DIV/0!</v>
      </c>
      <c r="Y25" s="235"/>
      <c r="Z25" s="101" t="e">
        <f t="shared" si="52"/>
        <v>#DIV/0!</v>
      </c>
      <c r="AA25" s="235"/>
      <c r="AB25" s="101" t="e">
        <f t="shared" si="53"/>
        <v>#DIV/0!</v>
      </c>
      <c r="AC25" s="228">
        <f t="shared" si="54"/>
        <v>0</v>
      </c>
      <c r="AD25" s="101" t="e">
        <f t="shared" si="55"/>
        <v>#DIV/0!</v>
      </c>
      <c r="AE25" s="235"/>
      <c r="AF25" s="101" t="e">
        <f t="shared" si="56"/>
        <v>#DIV/0!</v>
      </c>
      <c r="AG25" s="235"/>
      <c r="AH25" s="101" t="e">
        <f t="shared" si="57"/>
        <v>#DIV/0!</v>
      </c>
      <c r="AI25" s="235"/>
      <c r="AJ25" s="101" t="e">
        <f t="shared" si="58"/>
        <v>#DIV/0!</v>
      </c>
      <c r="AK25" s="235"/>
      <c r="AL25" s="101" t="e">
        <f t="shared" si="59"/>
        <v>#DIV/0!</v>
      </c>
    </row>
    <row r="26" spans="2:38" ht="12">
      <c r="B26" s="98"/>
      <c r="C26" s="98"/>
      <c r="D26" s="560">
        <f t="shared" si="4"/>
        <v>46073</v>
      </c>
      <c r="E26" s="560" t="s">
        <v>601</v>
      </c>
      <c r="F26" s="229">
        <f t="shared" si="23"/>
        <v>0</v>
      </c>
      <c r="G26" s="331"/>
      <c r="H26" s="365"/>
      <c r="I26" s="235"/>
      <c r="J26" s="101" t="e">
        <f t="shared" si="42"/>
        <v>#DIV/0!</v>
      </c>
      <c r="K26" s="235"/>
      <c r="L26" s="101" t="e">
        <f t="shared" si="43"/>
        <v>#DIV/0!</v>
      </c>
      <c r="M26" s="228">
        <f t="shared" si="44"/>
        <v>0</v>
      </c>
      <c r="N26" s="101" t="e">
        <f t="shared" si="45"/>
        <v>#DIV/0!</v>
      </c>
      <c r="O26" s="235"/>
      <c r="P26" s="101" t="e">
        <f t="shared" si="46"/>
        <v>#DIV/0!</v>
      </c>
      <c r="Q26" s="235"/>
      <c r="R26" s="101" t="e">
        <f t="shared" si="47"/>
        <v>#DIV/0!</v>
      </c>
      <c r="S26" s="228">
        <f t="shared" si="48"/>
        <v>0</v>
      </c>
      <c r="T26" s="101" t="e">
        <f t="shared" si="49"/>
        <v>#DIV/0!</v>
      </c>
      <c r="U26" s="235"/>
      <c r="V26" s="101" t="e">
        <f t="shared" si="50"/>
        <v>#DIV/0!</v>
      </c>
      <c r="W26" s="235"/>
      <c r="X26" s="101" t="e">
        <f t="shared" si="51"/>
        <v>#DIV/0!</v>
      </c>
      <c r="Y26" s="235"/>
      <c r="Z26" s="101" t="e">
        <f t="shared" si="52"/>
        <v>#DIV/0!</v>
      </c>
      <c r="AA26" s="235"/>
      <c r="AB26" s="101" t="e">
        <f t="shared" si="53"/>
        <v>#DIV/0!</v>
      </c>
      <c r="AC26" s="228">
        <f t="shared" si="54"/>
        <v>0</v>
      </c>
      <c r="AD26" s="101" t="e">
        <f t="shared" si="55"/>
        <v>#DIV/0!</v>
      </c>
      <c r="AE26" s="235"/>
      <c r="AF26" s="101" t="e">
        <f t="shared" si="56"/>
        <v>#DIV/0!</v>
      </c>
      <c r="AG26" s="235"/>
      <c r="AH26" s="101" t="e">
        <f t="shared" si="57"/>
        <v>#DIV/0!</v>
      </c>
      <c r="AI26" s="235"/>
      <c r="AJ26" s="101" t="e">
        <f t="shared" si="58"/>
        <v>#DIV/0!</v>
      </c>
      <c r="AK26" s="235"/>
      <c r="AL26" s="101" t="e">
        <f t="shared" si="59"/>
        <v>#DIV/0!</v>
      </c>
    </row>
    <row r="27" spans="2:38" ht="12">
      <c r="B27" s="98"/>
      <c r="C27" s="98"/>
      <c r="D27" s="560">
        <f t="shared" si="4"/>
        <v>46074</v>
      </c>
      <c r="E27" s="560" t="s">
        <v>602</v>
      </c>
      <c r="F27" s="229">
        <f t="shared" si="23"/>
        <v>0</v>
      </c>
      <c r="G27" s="331"/>
      <c r="H27" s="365"/>
      <c r="I27" s="235"/>
      <c r="J27" s="101" t="e">
        <f t="shared" si="42"/>
        <v>#DIV/0!</v>
      </c>
      <c r="K27" s="235"/>
      <c r="L27" s="101" t="e">
        <f t="shared" si="43"/>
        <v>#DIV/0!</v>
      </c>
      <c r="M27" s="228">
        <f t="shared" si="44"/>
        <v>0</v>
      </c>
      <c r="N27" s="101" t="e">
        <f t="shared" si="45"/>
        <v>#DIV/0!</v>
      </c>
      <c r="O27" s="235"/>
      <c r="P27" s="101" t="e">
        <f t="shared" si="46"/>
        <v>#DIV/0!</v>
      </c>
      <c r="Q27" s="235"/>
      <c r="R27" s="101" t="e">
        <f t="shared" si="47"/>
        <v>#DIV/0!</v>
      </c>
      <c r="S27" s="228">
        <f t="shared" si="48"/>
        <v>0</v>
      </c>
      <c r="T27" s="101" t="e">
        <f t="shared" si="49"/>
        <v>#DIV/0!</v>
      </c>
      <c r="U27" s="235"/>
      <c r="V27" s="101" t="e">
        <f t="shared" si="50"/>
        <v>#DIV/0!</v>
      </c>
      <c r="W27" s="235"/>
      <c r="X27" s="101" t="e">
        <f t="shared" si="51"/>
        <v>#DIV/0!</v>
      </c>
      <c r="Y27" s="235"/>
      <c r="Z27" s="101" t="e">
        <f t="shared" si="52"/>
        <v>#DIV/0!</v>
      </c>
      <c r="AA27" s="235"/>
      <c r="AB27" s="101" t="e">
        <f t="shared" si="53"/>
        <v>#DIV/0!</v>
      </c>
      <c r="AC27" s="228">
        <f t="shared" si="54"/>
        <v>0</v>
      </c>
      <c r="AD27" s="101" t="e">
        <f t="shared" si="55"/>
        <v>#DIV/0!</v>
      </c>
      <c r="AE27" s="235"/>
      <c r="AF27" s="101" t="e">
        <f t="shared" si="56"/>
        <v>#DIV/0!</v>
      </c>
      <c r="AG27" s="235"/>
      <c r="AH27" s="101" t="e">
        <f t="shared" si="57"/>
        <v>#DIV/0!</v>
      </c>
      <c r="AI27" s="235"/>
      <c r="AJ27" s="101" t="e">
        <f t="shared" si="58"/>
        <v>#DIV/0!</v>
      </c>
      <c r="AK27" s="235"/>
      <c r="AL27" s="101" t="e">
        <f t="shared" si="59"/>
        <v>#DIV/0!</v>
      </c>
    </row>
    <row r="28" spans="2:38" ht="12">
      <c r="B28" s="98"/>
      <c r="C28" s="98"/>
      <c r="D28" s="560">
        <f t="shared" si="4"/>
        <v>46075</v>
      </c>
      <c r="E28" s="560" t="s">
        <v>603</v>
      </c>
      <c r="F28" s="229">
        <f t="shared" si="23"/>
        <v>0</v>
      </c>
      <c r="G28" s="331"/>
      <c r="H28" s="365"/>
      <c r="I28" s="235"/>
      <c r="J28" s="101" t="e">
        <f t="shared" si="42"/>
        <v>#DIV/0!</v>
      </c>
      <c r="K28" s="235"/>
      <c r="L28" s="101" t="e">
        <f t="shared" si="43"/>
        <v>#DIV/0!</v>
      </c>
      <c r="M28" s="228">
        <f t="shared" si="44"/>
        <v>0</v>
      </c>
      <c r="N28" s="101" t="e">
        <f t="shared" si="45"/>
        <v>#DIV/0!</v>
      </c>
      <c r="O28" s="235"/>
      <c r="P28" s="101" t="e">
        <f t="shared" si="46"/>
        <v>#DIV/0!</v>
      </c>
      <c r="Q28" s="235"/>
      <c r="R28" s="101" t="e">
        <f t="shared" si="47"/>
        <v>#DIV/0!</v>
      </c>
      <c r="S28" s="228">
        <f t="shared" si="48"/>
        <v>0</v>
      </c>
      <c r="T28" s="101" t="e">
        <f t="shared" si="49"/>
        <v>#DIV/0!</v>
      </c>
      <c r="U28" s="235"/>
      <c r="V28" s="101" t="e">
        <f t="shared" si="50"/>
        <v>#DIV/0!</v>
      </c>
      <c r="W28" s="235"/>
      <c r="X28" s="101" t="e">
        <f t="shared" si="51"/>
        <v>#DIV/0!</v>
      </c>
      <c r="Y28" s="235"/>
      <c r="Z28" s="101" t="e">
        <f t="shared" si="52"/>
        <v>#DIV/0!</v>
      </c>
      <c r="AA28" s="235"/>
      <c r="AB28" s="101" t="e">
        <f t="shared" si="53"/>
        <v>#DIV/0!</v>
      </c>
      <c r="AC28" s="228">
        <f t="shared" si="54"/>
        <v>0</v>
      </c>
      <c r="AD28" s="101" t="e">
        <f t="shared" si="55"/>
        <v>#DIV/0!</v>
      </c>
      <c r="AE28" s="235"/>
      <c r="AF28" s="101" t="e">
        <f t="shared" si="56"/>
        <v>#DIV/0!</v>
      </c>
      <c r="AG28" s="235"/>
      <c r="AH28" s="101" t="e">
        <f t="shared" si="57"/>
        <v>#DIV/0!</v>
      </c>
      <c r="AI28" s="235"/>
      <c r="AJ28" s="101" t="e">
        <f t="shared" si="58"/>
        <v>#DIV/0!</v>
      </c>
      <c r="AK28" s="235"/>
      <c r="AL28" s="101" t="e">
        <f t="shared" si="59"/>
        <v>#DIV/0!</v>
      </c>
    </row>
    <row r="29" spans="2:38" ht="12">
      <c r="B29" s="98"/>
      <c r="C29" s="98"/>
      <c r="D29" s="560">
        <f t="shared" si="4"/>
        <v>46076</v>
      </c>
      <c r="E29" s="560" t="s">
        <v>597</v>
      </c>
      <c r="F29" s="229">
        <f t="shared" si="23"/>
        <v>0</v>
      </c>
      <c r="G29" s="331"/>
      <c r="H29" s="365"/>
      <c r="I29" s="235"/>
      <c r="J29" s="101" t="e">
        <f t="shared" si="42"/>
        <v>#DIV/0!</v>
      </c>
      <c r="K29" s="235"/>
      <c r="L29" s="101" t="e">
        <f t="shared" si="43"/>
        <v>#DIV/0!</v>
      </c>
      <c r="M29" s="228">
        <f t="shared" si="44"/>
        <v>0</v>
      </c>
      <c r="N29" s="101" t="e">
        <f t="shared" si="45"/>
        <v>#DIV/0!</v>
      </c>
      <c r="O29" s="235"/>
      <c r="P29" s="101" t="e">
        <f t="shared" si="46"/>
        <v>#DIV/0!</v>
      </c>
      <c r="Q29" s="235"/>
      <c r="R29" s="101" t="e">
        <f t="shared" si="47"/>
        <v>#DIV/0!</v>
      </c>
      <c r="S29" s="228">
        <f t="shared" si="48"/>
        <v>0</v>
      </c>
      <c r="T29" s="101" t="e">
        <f t="shared" si="49"/>
        <v>#DIV/0!</v>
      </c>
      <c r="U29" s="235"/>
      <c r="V29" s="101" t="e">
        <f t="shared" si="50"/>
        <v>#DIV/0!</v>
      </c>
      <c r="W29" s="235"/>
      <c r="X29" s="101" t="e">
        <f t="shared" si="51"/>
        <v>#DIV/0!</v>
      </c>
      <c r="Y29" s="235"/>
      <c r="Z29" s="101" t="e">
        <f t="shared" si="52"/>
        <v>#DIV/0!</v>
      </c>
      <c r="AA29" s="235"/>
      <c r="AB29" s="101" t="e">
        <f t="shared" si="53"/>
        <v>#DIV/0!</v>
      </c>
      <c r="AC29" s="228">
        <f t="shared" si="54"/>
        <v>0</v>
      </c>
      <c r="AD29" s="101" t="e">
        <f t="shared" si="55"/>
        <v>#DIV/0!</v>
      </c>
      <c r="AE29" s="235"/>
      <c r="AF29" s="101" t="e">
        <f t="shared" si="56"/>
        <v>#DIV/0!</v>
      </c>
      <c r="AG29" s="235"/>
      <c r="AH29" s="101" t="e">
        <f t="shared" si="57"/>
        <v>#DIV/0!</v>
      </c>
      <c r="AI29" s="235"/>
      <c r="AJ29" s="101" t="e">
        <f t="shared" si="58"/>
        <v>#DIV/0!</v>
      </c>
      <c r="AK29" s="235"/>
      <c r="AL29" s="101" t="e">
        <f t="shared" si="59"/>
        <v>#DIV/0!</v>
      </c>
    </row>
    <row r="30" spans="2:38" ht="12">
      <c r="B30" s="98"/>
      <c r="C30" s="98"/>
      <c r="D30" s="523">
        <f t="shared" si="4"/>
        <v>46077</v>
      </c>
      <c r="E30" s="523" t="s">
        <v>598</v>
      </c>
      <c r="F30" s="229">
        <f t="shared" si="23"/>
        <v>0</v>
      </c>
      <c r="G30" s="331">
        <f>SUM(F30:F36)</f>
        <v>0</v>
      </c>
      <c r="H30" s="365"/>
      <c r="I30" s="235"/>
      <c r="J30" s="101" t="e">
        <f t="shared" si="42"/>
        <v>#DIV/0!</v>
      </c>
      <c r="K30" s="235"/>
      <c r="L30" s="101" t="e">
        <f t="shared" si="43"/>
        <v>#DIV/0!</v>
      </c>
      <c r="M30" s="228">
        <f t="shared" si="44"/>
        <v>0</v>
      </c>
      <c r="N30" s="101" t="e">
        <f t="shared" si="45"/>
        <v>#DIV/0!</v>
      </c>
      <c r="O30" s="235"/>
      <c r="P30" s="101" t="e">
        <f t="shared" si="46"/>
        <v>#DIV/0!</v>
      </c>
      <c r="Q30" s="235"/>
      <c r="R30" s="101" t="e">
        <f t="shared" si="47"/>
        <v>#DIV/0!</v>
      </c>
      <c r="S30" s="228">
        <f t="shared" si="48"/>
        <v>0</v>
      </c>
      <c r="T30" s="101" t="e">
        <f t="shared" si="49"/>
        <v>#DIV/0!</v>
      </c>
      <c r="U30" s="235"/>
      <c r="V30" s="101" t="e">
        <f t="shared" si="50"/>
        <v>#DIV/0!</v>
      </c>
      <c r="W30" s="235"/>
      <c r="X30" s="101" t="e">
        <f t="shared" si="51"/>
        <v>#DIV/0!</v>
      </c>
      <c r="Y30" s="235"/>
      <c r="Z30" s="101" t="e">
        <f t="shared" si="52"/>
        <v>#DIV/0!</v>
      </c>
      <c r="AA30" s="235"/>
      <c r="AB30" s="101" t="e">
        <f t="shared" si="53"/>
        <v>#DIV/0!</v>
      </c>
      <c r="AC30" s="228">
        <f t="shared" si="54"/>
        <v>0</v>
      </c>
      <c r="AD30" s="101" t="e">
        <f t="shared" si="55"/>
        <v>#DIV/0!</v>
      </c>
      <c r="AE30" s="235"/>
      <c r="AF30" s="101" t="e">
        <f t="shared" si="56"/>
        <v>#DIV/0!</v>
      </c>
      <c r="AG30" s="235"/>
      <c r="AH30" s="101" t="e">
        <f t="shared" si="57"/>
        <v>#DIV/0!</v>
      </c>
      <c r="AI30" s="235"/>
      <c r="AJ30" s="101" t="e">
        <f t="shared" si="58"/>
        <v>#DIV/0!</v>
      </c>
      <c r="AK30" s="235"/>
      <c r="AL30" s="101" t="e">
        <f t="shared" si="59"/>
        <v>#DIV/0!</v>
      </c>
    </row>
    <row r="31" spans="2:38" ht="12">
      <c r="B31" s="98"/>
      <c r="C31" s="98"/>
      <c r="D31" s="561">
        <f t="shared" si="4"/>
        <v>46078</v>
      </c>
      <c r="E31" s="561" t="s">
        <v>599</v>
      </c>
      <c r="F31" s="229">
        <f t="shared" si="23"/>
        <v>0</v>
      </c>
      <c r="G31" s="331"/>
      <c r="H31" s="365"/>
      <c r="I31" s="235"/>
      <c r="J31" s="101" t="e">
        <f t="shared" si="42"/>
        <v>#DIV/0!</v>
      </c>
      <c r="K31" s="235"/>
      <c r="L31" s="101" t="e">
        <f t="shared" si="43"/>
        <v>#DIV/0!</v>
      </c>
      <c r="M31" s="228">
        <f t="shared" si="44"/>
        <v>0</v>
      </c>
      <c r="N31" s="101" t="e">
        <f t="shared" si="45"/>
        <v>#DIV/0!</v>
      </c>
      <c r="O31" s="235"/>
      <c r="P31" s="101" t="e">
        <f t="shared" si="46"/>
        <v>#DIV/0!</v>
      </c>
      <c r="Q31" s="235"/>
      <c r="R31" s="101" t="e">
        <f t="shared" si="47"/>
        <v>#DIV/0!</v>
      </c>
      <c r="S31" s="228">
        <f t="shared" si="48"/>
        <v>0</v>
      </c>
      <c r="T31" s="101" t="e">
        <f t="shared" si="49"/>
        <v>#DIV/0!</v>
      </c>
      <c r="U31" s="235"/>
      <c r="V31" s="101" t="e">
        <f t="shared" si="50"/>
        <v>#DIV/0!</v>
      </c>
      <c r="W31" s="235"/>
      <c r="X31" s="101" t="e">
        <f t="shared" si="51"/>
        <v>#DIV/0!</v>
      </c>
      <c r="Y31" s="235"/>
      <c r="Z31" s="101" t="e">
        <f t="shared" si="52"/>
        <v>#DIV/0!</v>
      </c>
      <c r="AA31" s="235"/>
      <c r="AB31" s="101" t="e">
        <f t="shared" si="53"/>
        <v>#DIV/0!</v>
      </c>
      <c r="AC31" s="228">
        <f t="shared" si="54"/>
        <v>0</v>
      </c>
      <c r="AD31" s="101" t="e">
        <f t="shared" si="55"/>
        <v>#DIV/0!</v>
      </c>
      <c r="AE31" s="235"/>
      <c r="AF31" s="101" t="e">
        <f t="shared" si="56"/>
        <v>#DIV/0!</v>
      </c>
      <c r="AG31" s="235"/>
      <c r="AH31" s="101" t="e">
        <f t="shared" si="57"/>
        <v>#DIV/0!</v>
      </c>
      <c r="AI31" s="235"/>
      <c r="AJ31" s="101" t="e">
        <f t="shared" si="58"/>
        <v>#DIV/0!</v>
      </c>
      <c r="AK31" s="235"/>
      <c r="AL31" s="101" t="e">
        <f t="shared" si="59"/>
        <v>#DIV/0!</v>
      </c>
    </row>
    <row r="32" spans="2:38" ht="12">
      <c r="B32" s="98"/>
      <c r="C32" s="98"/>
      <c r="D32" s="561">
        <f t="shared" si="4"/>
        <v>46079</v>
      </c>
      <c r="E32" s="561" t="s">
        <v>600</v>
      </c>
      <c r="F32" s="229">
        <f t="shared" si="23"/>
        <v>0</v>
      </c>
      <c r="G32" s="331"/>
      <c r="H32" s="365"/>
      <c r="I32" s="235"/>
      <c r="J32" s="101" t="e">
        <f t="shared" si="42"/>
        <v>#DIV/0!</v>
      </c>
      <c r="K32" s="235"/>
      <c r="L32" s="101" t="e">
        <f t="shared" si="43"/>
        <v>#DIV/0!</v>
      </c>
      <c r="M32" s="228">
        <f t="shared" si="44"/>
        <v>0</v>
      </c>
      <c r="N32" s="101" t="e">
        <f t="shared" si="45"/>
        <v>#DIV/0!</v>
      </c>
      <c r="O32" s="235"/>
      <c r="P32" s="101" t="e">
        <f t="shared" si="46"/>
        <v>#DIV/0!</v>
      </c>
      <c r="Q32" s="235"/>
      <c r="R32" s="101" t="e">
        <f t="shared" si="47"/>
        <v>#DIV/0!</v>
      </c>
      <c r="S32" s="228">
        <f t="shared" si="48"/>
        <v>0</v>
      </c>
      <c r="T32" s="101" t="e">
        <f t="shared" si="49"/>
        <v>#DIV/0!</v>
      </c>
      <c r="U32" s="235"/>
      <c r="V32" s="101" t="e">
        <f t="shared" si="50"/>
        <v>#DIV/0!</v>
      </c>
      <c r="W32" s="235"/>
      <c r="X32" s="101" t="e">
        <f t="shared" si="51"/>
        <v>#DIV/0!</v>
      </c>
      <c r="Y32" s="235"/>
      <c r="Z32" s="101" t="e">
        <f t="shared" si="52"/>
        <v>#DIV/0!</v>
      </c>
      <c r="AA32" s="235"/>
      <c r="AB32" s="101" t="e">
        <f t="shared" si="53"/>
        <v>#DIV/0!</v>
      </c>
      <c r="AC32" s="228">
        <f t="shared" si="54"/>
        <v>0</v>
      </c>
      <c r="AD32" s="101" t="e">
        <f t="shared" si="55"/>
        <v>#DIV/0!</v>
      </c>
      <c r="AE32" s="235"/>
      <c r="AF32" s="101" t="e">
        <f t="shared" si="56"/>
        <v>#DIV/0!</v>
      </c>
      <c r="AG32" s="235"/>
      <c r="AH32" s="101" t="e">
        <f t="shared" si="57"/>
        <v>#DIV/0!</v>
      </c>
      <c r="AI32" s="235"/>
      <c r="AJ32" s="101" t="e">
        <f t="shared" si="58"/>
        <v>#DIV/0!</v>
      </c>
      <c r="AK32" s="235"/>
      <c r="AL32" s="101" t="e">
        <f t="shared" si="59"/>
        <v>#DIV/0!</v>
      </c>
    </row>
    <row r="33" spans="2:38" ht="12">
      <c r="B33" s="98"/>
      <c r="C33" s="98"/>
      <c r="D33" s="561">
        <f t="shared" si="4"/>
        <v>46080</v>
      </c>
      <c r="E33" s="561" t="s">
        <v>601</v>
      </c>
      <c r="F33" s="229">
        <f t="shared" si="23"/>
        <v>0</v>
      </c>
      <c r="G33" s="331"/>
      <c r="H33" s="365"/>
      <c r="I33" s="235"/>
      <c r="J33" s="101" t="e">
        <f t="shared" si="42"/>
        <v>#DIV/0!</v>
      </c>
      <c r="K33" s="235"/>
      <c r="L33" s="101" t="e">
        <f t="shared" si="43"/>
        <v>#DIV/0!</v>
      </c>
      <c r="M33" s="228">
        <f t="shared" si="44"/>
        <v>0</v>
      </c>
      <c r="N33" s="101" t="e">
        <f t="shared" si="45"/>
        <v>#DIV/0!</v>
      </c>
      <c r="O33" s="235"/>
      <c r="P33" s="101" t="e">
        <f t="shared" si="46"/>
        <v>#DIV/0!</v>
      </c>
      <c r="Q33" s="235"/>
      <c r="R33" s="101" t="e">
        <f t="shared" si="47"/>
        <v>#DIV/0!</v>
      </c>
      <c r="S33" s="228">
        <f t="shared" si="48"/>
        <v>0</v>
      </c>
      <c r="T33" s="101" t="e">
        <f t="shared" si="49"/>
        <v>#DIV/0!</v>
      </c>
      <c r="U33" s="235"/>
      <c r="V33" s="101" t="e">
        <f t="shared" si="50"/>
        <v>#DIV/0!</v>
      </c>
      <c r="W33" s="235"/>
      <c r="X33" s="101" t="e">
        <f t="shared" si="51"/>
        <v>#DIV/0!</v>
      </c>
      <c r="Y33" s="235"/>
      <c r="Z33" s="101" t="e">
        <f t="shared" si="52"/>
        <v>#DIV/0!</v>
      </c>
      <c r="AA33" s="235"/>
      <c r="AB33" s="101" t="e">
        <f t="shared" si="53"/>
        <v>#DIV/0!</v>
      </c>
      <c r="AC33" s="228">
        <f t="shared" si="54"/>
        <v>0</v>
      </c>
      <c r="AD33" s="101" t="e">
        <f t="shared" si="55"/>
        <v>#DIV/0!</v>
      </c>
      <c r="AE33" s="235"/>
      <c r="AF33" s="101" t="e">
        <f t="shared" si="56"/>
        <v>#DIV/0!</v>
      </c>
      <c r="AG33" s="235"/>
      <c r="AH33" s="101" t="e">
        <f t="shared" si="57"/>
        <v>#DIV/0!</v>
      </c>
      <c r="AI33" s="235"/>
      <c r="AJ33" s="101" t="e">
        <f t="shared" si="58"/>
        <v>#DIV/0!</v>
      </c>
      <c r="AK33" s="235"/>
      <c r="AL33" s="101" t="e">
        <f t="shared" si="59"/>
        <v>#DIV/0!</v>
      </c>
    </row>
    <row r="34" spans="2:38" ht="12">
      <c r="B34" s="98"/>
      <c r="C34" s="98"/>
      <c r="D34" s="561">
        <f t="shared" si="4"/>
        <v>46081</v>
      </c>
      <c r="E34" s="561" t="s">
        <v>602</v>
      </c>
      <c r="F34" s="229">
        <f t="shared" si="23"/>
        <v>0</v>
      </c>
      <c r="G34" s="331"/>
      <c r="H34" s="365"/>
      <c r="I34" s="235"/>
      <c r="J34" s="101" t="e">
        <f t="shared" si="42"/>
        <v>#DIV/0!</v>
      </c>
      <c r="K34" s="235"/>
      <c r="L34" s="101" t="e">
        <f t="shared" si="43"/>
        <v>#DIV/0!</v>
      </c>
      <c r="M34" s="228">
        <f t="shared" si="44"/>
        <v>0</v>
      </c>
      <c r="N34" s="101" t="e">
        <f t="shared" si="45"/>
        <v>#DIV/0!</v>
      </c>
      <c r="O34" s="235"/>
      <c r="P34" s="101" t="e">
        <f t="shared" si="46"/>
        <v>#DIV/0!</v>
      </c>
      <c r="Q34" s="235"/>
      <c r="R34" s="101" t="e">
        <f t="shared" si="47"/>
        <v>#DIV/0!</v>
      </c>
      <c r="S34" s="228">
        <f t="shared" si="48"/>
        <v>0</v>
      </c>
      <c r="T34" s="101" t="e">
        <f t="shared" si="49"/>
        <v>#DIV/0!</v>
      </c>
      <c r="U34" s="235"/>
      <c r="V34" s="101" t="e">
        <f t="shared" si="50"/>
        <v>#DIV/0!</v>
      </c>
      <c r="W34" s="235"/>
      <c r="X34" s="101" t="e">
        <f t="shared" si="51"/>
        <v>#DIV/0!</v>
      </c>
      <c r="Y34" s="235"/>
      <c r="Z34" s="101" t="e">
        <f t="shared" si="52"/>
        <v>#DIV/0!</v>
      </c>
      <c r="AA34" s="235"/>
      <c r="AB34" s="101" t="e">
        <f t="shared" si="53"/>
        <v>#DIV/0!</v>
      </c>
      <c r="AC34" s="228">
        <f t="shared" si="54"/>
        <v>0</v>
      </c>
      <c r="AD34" s="101" t="e">
        <f t="shared" si="55"/>
        <v>#DIV/0!</v>
      </c>
      <c r="AE34" s="235"/>
      <c r="AF34" s="101" t="e">
        <f t="shared" si="56"/>
        <v>#DIV/0!</v>
      </c>
      <c r="AG34" s="235"/>
      <c r="AH34" s="101" t="e">
        <f t="shared" si="57"/>
        <v>#DIV/0!</v>
      </c>
      <c r="AI34" s="235"/>
      <c r="AJ34" s="101" t="e">
        <f t="shared" si="58"/>
        <v>#DIV/0!</v>
      </c>
      <c r="AK34" s="235"/>
      <c r="AL34" s="101" t="e">
        <f t="shared" si="59"/>
        <v>#DIV/0!</v>
      </c>
    </row>
    <row r="35" spans="2:38" ht="12">
      <c r="B35" s="98"/>
      <c r="C35" s="98"/>
      <c r="D35" s="561">
        <f t="shared" si="4"/>
        <v>46082</v>
      </c>
      <c r="E35" s="561" t="s">
        <v>603</v>
      </c>
      <c r="F35" s="229">
        <f t="shared" si="23"/>
        <v>0</v>
      </c>
      <c r="G35" s="331"/>
      <c r="H35" s="365"/>
      <c r="I35" s="235"/>
      <c r="J35" s="101" t="e">
        <f t="shared" si="42"/>
        <v>#DIV/0!</v>
      </c>
      <c r="K35" s="235"/>
      <c r="L35" s="101" t="e">
        <f t="shared" si="43"/>
        <v>#DIV/0!</v>
      </c>
      <c r="M35" s="228">
        <f t="shared" si="44"/>
        <v>0</v>
      </c>
      <c r="N35" s="101" t="e">
        <f t="shared" si="45"/>
        <v>#DIV/0!</v>
      </c>
      <c r="O35" s="235"/>
      <c r="P35" s="101" t="e">
        <f t="shared" si="46"/>
        <v>#DIV/0!</v>
      </c>
      <c r="Q35" s="235"/>
      <c r="R35" s="101" t="e">
        <f t="shared" si="47"/>
        <v>#DIV/0!</v>
      </c>
      <c r="S35" s="228">
        <f t="shared" si="48"/>
        <v>0</v>
      </c>
      <c r="T35" s="101" t="e">
        <f t="shared" si="49"/>
        <v>#DIV/0!</v>
      </c>
      <c r="U35" s="235"/>
      <c r="V35" s="101" t="e">
        <f t="shared" si="50"/>
        <v>#DIV/0!</v>
      </c>
      <c r="W35" s="235"/>
      <c r="X35" s="101" t="e">
        <f t="shared" si="51"/>
        <v>#DIV/0!</v>
      </c>
      <c r="Y35" s="235"/>
      <c r="Z35" s="101" t="e">
        <f t="shared" si="52"/>
        <v>#DIV/0!</v>
      </c>
      <c r="AA35" s="235"/>
      <c r="AB35" s="101" t="e">
        <f t="shared" si="53"/>
        <v>#DIV/0!</v>
      </c>
      <c r="AC35" s="228">
        <f t="shared" si="54"/>
        <v>0</v>
      </c>
      <c r="AD35" s="101" t="e">
        <f t="shared" si="55"/>
        <v>#DIV/0!</v>
      </c>
      <c r="AE35" s="235"/>
      <c r="AF35" s="101" t="e">
        <f t="shared" si="56"/>
        <v>#DIV/0!</v>
      </c>
      <c r="AG35" s="235"/>
      <c r="AH35" s="101" t="e">
        <f t="shared" si="57"/>
        <v>#DIV/0!</v>
      </c>
      <c r="AI35" s="235"/>
      <c r="AJ35" s="101" t="e">
        <f t="shared" si="58"/>
        <v>#DIV/0!</v>
      </c>
      <c r="AK35" s="235"/>
      <c r="AL35" s="101" t="e">
        <f t="shared" si="59"/>
        <v>#DIV/0!</v>
      </c>
    </row>
    <row r="36" spans="2:38" ht="12">
      <c r="B36" s="98"/>
      <c r="C36" s="98"/>
      <c r="D36" s="561">
        <f t="shared" si="4"/>
        <v>46083</v>
      </c>
      <c r="E36" s="561" t="s">
        <v>597</v>
      </c>
      <c r="F36" s="229">
        <f t="shared" si="23"/>
        <v>0</v>
      </c>
      <c r="G36" s="331"/>
      <c r="H36" s="365"/>
      <c r="I36" s="235"/>
      <c r="J36" s="101" t="e">
        <f t="shared" si="42"/>
        <v>#DIV/0!</v>
      </c>
      <c r="K36" s="235"/>
      <c r="L36" s="101" t="e">
        <f t="shared" si="43"/>
        <v>#DIV/0!</v>
      </c>
      <c r="M36" s="228">
        <f t="shared" si="44"/>
        <v>0</v>
      </c>
      <c r="N36" s="101" t="e">
        <f t="shared" si="45"/>
        <v>#DIV/0!</v>
      </c>
      <c r="O36" s="235"/>
      <c r="P36" s="101" t="e">
        <f t="shared" si="46"/>
        <v>#DIV/0!</v>
      </c>
      <c r="Q36" s="235"/>
      <c r="R36" s="101" t="e">
        <f t="shared" si="47"/>
        <v>#DIV/0!</v>
      </c>
      <c r="S36" s="228">
        <f t="shared" si="48"/>
        <v>0</v>
      </c>
      <c r="T36" s="101" t="e">
        <f t="shared" si="49"/>
        <v>#DIV/0!</v>
      </c>
      <c r="U36" s="235"/>
      <c r="V36" s="101" t="e">
        <f t="shared" si="50"/>
        <v>#DIV/0!</v>
      </c>
      <c r="W36" s="235"/>
      <c r="X36" s="101" t="e">
        <f t="shared" si="51"/>
        <v>#DIV/0!</v>
      </c>
      <c r="Y36" s="235"/>
      <c r="Z36" s="101" t="e">
        <f t="shared" si="52"/>
        <v>#DIV/0!</v>
      </c>
      <c r="AA36" s="235"/>
      <c r="AB36" s="101" t="e">
        <f t="shared" si="53"/>
        <v>#DIV/0!</v>
      </c>
      <c r="AC36" s="228">
        <f t="shared" si="54"/>
        <v>0</v>
      </c>
      <c r="AD36" s="101" t="e">
        <f t="shared" si="55"/>
        <v>#DIV/0!</v>
      </c>
      <c r="AE36" s="235"/>
      <c r="AF36" s="101" t="e">
        <f t="shared" si="56"/>
        <v>#DIV/0!</v>
      </c>
      <c r="AG36" s="235"/>
      <c r="AH36" s="101" t="e">
        <f t="shared" si="57"/>
        <v>#DIV/0!</v>
      </c>
      <c r="AI36" s="235"/>
      <c r="AJ36" s="101" t="e">
        <f t="shared" si="58"/>
        <v>#DIV/0!</v>
      </c>
      <c r="AK36" s="235"/>
      <c r="AL36" s="101" t="e">
        <f t="shared" si="59"/>
        <v>#DIV/0!</v>
      </c>
    </row>
    <row r="37" spans="2:38" ht="12">
      <c r="B37" s="98"/>
      <c r="C37" s="98"/>
      <c r="D37" s="523"/>
      <c r="E37" s="523"/>
      <c r="F37" s="229">
        <f t="shared" si="23"/>
        <v>0</v>
      </c>
      <c r="G37" s="331"/>
      <c r="H37" s="365"/>
      <c r="I37" s="235"/>
      <c r="J37" s="101" t="e">
        <f t="shared" si="42"/>
        <v>#DIV/0!</v>
      </c>
      <c r="K37" s="235"/>
      <c r="L37" s="101" t="e">
        <f t="shared" si="43"/>
        <v>#DIV/0!</v>
      </c>
      <c r="M37" s="228">
        <f t="shared" si="44"/>
        <v>0</v>
      </c>
      <c r="N37" s="101" t="e">
        <f t="shared" si="45"/>
        <v>#DIV/0!</v>
      </c>
      <c r="O37" s="235"/>
      <c r="P37" s="101" t="e">
        <f t="shared" si="46"/>
        <v>#DIV/0!</v>
      </c>
      <c r="Q37" s="235"/>
      <c r="R37" s="101" t="e">
        <f t="shared" si="47"/>
        <v>#DIV/0!</v>
      </c>
      <c r="S37" s="228">
        <f t="shared" si="48"/>
        <v>0</v>
      </c>
      <c r="T37" s="101" t="e">
        <f t="shared" si="49"/>
        <v>#DIV/0!</v>
      </c>
      <c r="U37" s="235"/>
      <c r="V37" s="101" t="e">
        <f t="shared" si="50"/>
        <v>#DIV/0!</v>
      </c>
      <c r="W37" s="235"/>
      <c r="X37" s="101" t="e">
        <f t="shared" si="51"/>
        <v>#DIV/0!</v>
      </c>
      <c r="Y37" s="235"/>
      <c r="Z37" s="101" t="e">
        <f t="shared" si="52"/>
        <v>#DIV/0!</v>
      </c>
      <c r="AA37" s="235"/>
      <c r="AB37" s="101" t="e">
        <f t="shared" si="53"/>
        <v>#DIV/0!</v>
      </c>
      <c r="AC37" s="228">
        <f t="shared" si="54"/>
        <v>0</v>
      </c>
      <c r="AD37" s="101" t="e">
        <f t="shared" si="55"/>
        <v>#DIV/0!</v>
      </c>
      <c r="AE37" s="235"/>
      <c r="AF37" s="101" t="e">
        <f t="shared" si="56"/>
        <v>#DIV/0!</v>
      </c>
      <c r="AG37" s="235"/>
      <c r="AH37" s="101" t="e">
        <f t="shared" si="57"/>
        <v>#DIV/0!</v>
      </c>
      <c r="AI37" s="235"/>
      <c r="AJ37" s="101" t="e">
        <f t="shared" si="58"/>
        <v>#DIV/0!</v>
      </c>
      <c r="AK37" s="235"/>
      <c r="AL37" s="101" t="e">
        <f t="shared" si="59"/>
        <v>#DIV/0!</v>
      </c>
    </row>
    <row r="38" spans="2:38" ht="12">
      <c r="B38" s="98"/>
      <c r="C38" s="98"/>
      <c r="D38" s="523"/>
      <c r="E38" s="523"/>
      <c r="F38" s="229">
        <f t="shared" si="23"/>
        <v>0</v>
      </c>
      <c r="G38" s="331"/>
      <c r="H38" s="365"/>
      <c r="I38" s="235"/>
      <c r="J38" s="101" t="e">
        <f t="shared" si="42"/>
        <v>#DIV/0!</v>
      </c>
      <c r="K38" s="235"/>
      <c r="L38" s="101" t="e">
        <f t="shared" si="43"/>
        <v>#DIV/0!</v>
      </c>
      <c r="M38" s="228">
        <f t="shared" si="44"/>
        <v>0</v>
      </c>
      <c r="N38" s="101" t="e">
        <f t="shared" si="45"/>
        <v>#DIV/0!</v>
      </c>
      <c r="O38" s="235"/>
      <c r="P38" s="101" t="e">
        <f t="shared" si="46"/>
        <v>#DIV/0!</v>
      </c>
      <c r="Q38" s="235"/>
      <c r="R38" s="101" t="e">
        <f t="shared" si="47"/>
        <v>#DIV/0!</v>
      </c>
      <c r="S38" s="228">
        <f t="shared" si="48"/>
        <v>0</v>
      </c>
      <c r="T38" s="101" t="e">
        <f t="shared" si="49"/>
        <v>#DIV/0!</v>
      </c>
      <c r="U38" s="235"/>
      <c r="V38" s="101" t="e">
        <f t="shared" si="50"/>
        <v>#DIV/0!</v>
      </c>
      <c r="W38" s="235"/>
      <c r="X38" s="101" t="e">
        <f t="shared" si="51"/>
        <v>#DIV/0!</v>
      </c>
      <c r="Y38" s="235"/>
      <c r="Z38" s="101" t="e">
        <f t="shared" si="52"/>
        <v>#DIV/0!</v>
      </c>
      <c r="AA38" s="235"/>
      <c r="AB38" s="101" t="e">
        <f t="shared" si="53"/>
        <v>#DIV/0!</v>
      </c>
      <c r="AC38" s="228">
        <f t="shared" si="54"/>
        <v>0</v>
      </c>
      <c r="AD38" s="101" t="e">
        <f t="shared" si="55"/>
        <v>#DIV/0!</v>
      </c>
      <c r="AE38" s="235"/>
      <c r="AF38" s="101" t="e">
        <f t="shared" si="56"/>
        <v>#DIV/0!</v>
      </c>
      <c r="AG38" s="235"/>
      <c r="AH38" s="101" t="e">
        <f t="shared" si="57"/>
        <v>#DIV/0!</v>
      </c>
      <c r="AI38" s="235"/>
      <c r="AJ38" s="101" t="e">
        <f t="shared" si="58"/>
        <v>#DIV/0!</v>
      </c>
      <c r="AK38" s="235"/>
      <c r="AL38" s="101" t="e">
        <f t="shared" si="59"/>
        <v>#DIV/0!</v>
      </c>
    </row>
    <row r="39" spans="2:38" ht="12">
      <c r="B39" s="98"/>
      <c r="C39" s="83"/>
      <c r="D39" s="523"/>
      <c r="E39" s="523"/>
      <c r="F39" s="229">
        <f t="shared" si="23"/>
        <v>0</v>
      </c>
      <c r="G39" s="331"/>
      <c r="H39" s="97"/>
      <c r="I39" s="235"/>
      <c r="J39" s="101" t="e">
        <f t="shared" si="42"/>
        <v>#DIV/0!</v>
      </c>
      <c r="K39" s="235"/>
      <c r="L39" s="101" t="e">
        <f t="shared" si="43"/>
        <v>#DIV/0!</v>
      </c>
      <c r="M39" s="228">
        <f t="shared" si="44"/>
        <v>0</v>
      </c>
      <c r="N39" s="101" t="e">
        <f t="shared" si="45"/>
        <v>#DIV/0!</v>
      </c>
      <c r="O39" s="235"/>
      <c r="P39" s="101" t="e">
        <f t="shared" si="46"/>
        <v>#DIV/0!</v>
      </c>
      <c r="Q39" s="235"/>
      <c r="R39" s="101" t="e">
        <f t="shared" si="47"/>
        <v>#DIV/0!</v>
      </c>
      <c r="S39" s="228">
        <f t="shared" si="48"/>
        <v>0</v>
      </c>
      <c r="T39" s="101" t="e">
        <f t="shared" si="49"/>
        <v>#DIV/0!</v>
      </c>
      <c r="U39" s="235"/>
      <c r="V39" s="101" t="e">
        <f t="shared" si="50"/>
        <v>#DIV/0!</v>
      </c>
      <c r="W39" s="235"/>
      <c r="X39" s="101" t="e">
        <f t="shared" si="51"/>
        <v>#DIV/0!</v>
      </c>
      <c r="Y39" s="235"/>
      <c r="Z39" s="101" t="e">
        <f t="shared" si="52"/>
        <v>#DIV/0!</v>
      </c>
      <c r="AA39" s="235"/>
      <c r="AB39" s="101" t="e">
        <f t="shared" si="53"/>
        <v>#DIV/0!</v>
      </c>
      <c r="AC39" s="228">
        <f t="shared" si="54"/>
        <v>0</v>
      </c>
      <c r="AD39" s="101" t="e">
        <f t="shared" si="55"/>
        <v>#DIV/0!</v>
      </c>
      <c r="AE39" s="235"/>
      <c r="AF39" s="101" t="e">
        <f t="shared" si="56"/>
        <v>#DIV/0!</v>
      </c>
      <c r="AG39" s="235"/>
      <c r="AH39" s="101" t="e">
        <f t="shared" si="57"/>
        <v>#DIV/0!</v>
      </c>
      <c r="AI39" s="235"/>
      <c r="AJ39" s="101" t="e">
        <f t="shared" si="58"/>
        <v>#DIV/0!</v>
      </c>
      <c r="AK39" s="235"/>
      <c r="AL39" s="101" t="e">
        <f t="shared" si="59"/>
        <v>#DIV/0!</v>
      </c>
    </row>
    <row r="40" spans="2:38" ht="12">
      <c r="B40" s="98"/>
      <c r="C40" s="83"/>
      <c r="D40" s="86"/>
      <c r="E40" s="86"/>
      <c r="F40" s="229">
        <f t="shared" si="23"/>
        <v>0</v>
      </c>
      <c r="G40" s="331"/>
      <c r="H40" s="97"/>
      <c r="I40" s="235"/>
      <c r="J40" s="101" t="e">
        <f t="shared" si="42"/>
        <v>#DIV/0!</v>
      </c>
      <c r="K40" s="235"/>
      <c r="L40" s="101" t="e">
        <f t="shared" si="43"/>
        <v>#DIV/0!</v>
      </c>
      <c r="M40" s="228">
        <f t="shared" si="44"/>
        <v>0</v>
      </c>
      <c r="N40" s="101" t="e">
        <f t="shared" si="45"/>
        <v>#DIV/0!</v>
      </c>
      <c r="O40" s="235"/>
      <c r="P40" s="101" t="e">
        <f t="shared" si="46"/>
        <v>#DIV/0!</v>
      </c>
      <c r="Q40" s="235"/>
      <c r="R40" s="101" t="e">
        <f t="shared" si="47"/>
        <v>#DIV/0!</v>
      </c>
      <c r="S40" s="228">
        <f t="shared" si="48"/>
        <v>0</v>
      </c>
      <c r="T40" s="101" t="e">
        <f t="shared" si="49"/>
        <v>#DIV/0!</v>
      </c>
      <c r="U40" s="235"/>
      <c r="V40" s="101" t="e">
        <f t="shared" si="50"/>
        <v>#DIV/0!</v>
      </c>
      <c r="W40" s="235"/>
      <c r="X40" s="101" t="e">
        <f t="shared" si="51"/>
        <v>#DIV/0!</v>
      </c>
      <c r="Y40" s="235"/>
      <c r="Z40" s="101" t="e">
        <f t="shared" si="52"/>
        <v>#DIV/0!</v>
      </c>
      <c r="AA40" s="235"/>
      <c r="AB40" s="101" t="e">
        <f t="shared" si="53"/>
        <v>#DIV/0!</v>
      </c>
      <c r="AC40" s="228">
        <f t="shared" si="54"/>
        <v>0</v>
      </c>
      <c r="AD40" s="101" t="e">
        <f t="shared" si="55"/>
        <v>#DIV/0!</v>
      </c>
      <c r="AE40" s="235"/>
      <c r="AF40" s="101" t="e">
        <f t="shared" si="56"/>
        <v>#DIV/0!</v>
      </c>
      <c r="AG40" s="235"/>
      <c r="AH40" s="101" t="e">
        <f t="shared" si="57"/>
        <v>#DIV/0!</v>
      </c>
      <c r="AI40" s="235"/>
      <c r="AJ40" s="101" t="e">
        <f t="shared" si="58"/>
        <v>#DIV/0!</v>
      </c>
      <c r="AK40" s="235"/>
      <c r="AL40" s="101" t="e">
        <f t="shared" si="59"/>
        <v>#DIV/0!</v>
      </c>
    </row>
    <row r="41" spans="2:38" ht="12">
      <c r="B41" s="98"/>
      <c r="C41" s="83"/>
      <c r="D41" s="86"/>
      <c r="E41" s="86"/>
      <c r="F41" s="229">
        <f t="shared" si="23"/>
        <v>0</v>
      </c>
      <c r="G41" s="331"/>
      <c r="H41" s="97"/>
      <c r="I41" s="235"/>
      <c r="J41" s="101" t="e">
        <f t="shared" si="42"/>
        <v>#DIV/0!</v>
      </c>
      <c r="K41" s="235"/>
      <c r="L41" s="101" t="e">
        <f t="shared" si="43"/>
        <v>#DIV/0!</v>
      </c>
      <c r="M41" s="228">
        <f t="shared" si="44"/>
        <v>0</v>
      </c>
      <c r="N41" s="101" t="e">
        <f t="shared" si="45"/>
        <v>#DIV/0!</v>
      </c>
      <c r="O41" s="235"/>
      <c r="P41" s="101" t="e">
        <f t="shared" si="46"/>
        <v>#DIV/0!</v>
      </c>
      <c r="Q41" s="235"/>
      <c r="R41" s="101" t="e">
        <f t="shared" si="47"/>
        <v>#DIV/0!</v>
      </c>
      <c r="S41" s="228">
        <f t="shared" si="48"/>
        <v>0</v>
      </c>
      <c r="T41" s="101" t="e">
        <f t="shared" si="49"/>
        <v>#DIV/0!</v>
      </c>
      <c r="U41" s="235"/>
      <c r="V41" s="101" t="e">
        <f t="shared" si="50"/>
        <v>#DIV/0!</v>
      </c>
      <c r="W41" s="235"/>
      <c r="X41" s="101" t="e">
        <f t="shared" si="51"/>
        <v>#DIV/0!</v>
      </c>
      <c r="Y41" s="235"/>
      <c r="Z41" s="101" t="e">
        <f t="shared" si="52"/>
        <v>#DIV/0!</v>
      </c>
      <c r="AA41" s="235"/>
      <c r="AB41" s="101" t="e">
        <f t="shared" si="53"/>
        <v>#DIV/0!</v>
      </c>
      <c r="AC41" s="228">
        <f t="shared" si="54"/>
        <v>0</v>
      </c>
      <c r="AD41" s="101" t="e">
        <f t="shared" si="55"/>
        <v>#DIV/0!</v>
      </c>
      <c r="AE41" s="235"/>
      <c r="AF41" s="101" t="e">
        <f t="shared" si="56"/>
        <v>#DIV/0!</v>
      </c>
      <c r="AG41" s="235"/>
      <c r="AH41" s="101" t="e">
        <f t="shared" si="57"/>
        <v>#DIV/0!</v>
      </c>
      <c r="AI41" s="235"/>
      <c r="AJ41" s="101" t="e">
        <f t="shared" si="58"/>
        <v>#DIV/0!</v>
      </c>
      <c r="AK41" s="235"/>
      <c r="AL41" s="101" t="e">
        <f t="shared" si="59"/>
        <v>#DIV/0!</v>
      </c>
    </row>
    <row r="42" spans="2:38" ht="12">
      <c r="B42" s="98"/>
      <c r="C42" s="83"/>
      <c r="D42" s="86"/>
      <c r="E42" s="86"/>
      <c r="F42" s="229">
        <f t="shared" si="23"/>
        <v>0</v>
      </c>
      <c r="G42" s="331"/>
      <c r="H42" s="97"/>
      <c r="I42" s="235"/>
      <c r="J42" s="101" t="e">
        <f>I42/F42</f>
        <v>#DIV/0!</v>
      </c>
      <c r="K42" s="235"/>
      <c r="L42" s="101" t="e">
        <f>K42/F42</f>
        <v>#DIV/0!</v>
      </c>
      <c r="M42" s="228">
        <f>SUM(I42+K42)</f>
        <v>0</v>
      </c>
      <c r="N42" s="101" t="e">
        <f>M42/F42</f>
        <v>#DIV/0!</v>
      </c>
      <c r="O42" s="235"/>
      <c r="P42" s="101" t="e">
        <f>O42/F42</f>
        <v>#DIV/0!</v>
      </c>
      <c r="Q42" s="235"/>
      <c r="R42" s="101" t="e">
        <f t="shared" si="47"/>
        <v>#DIV/0!</v>
      </c>
      <c r="S42" s="228">
        <f t="shared" si="48"/>
        <v>0</v>
      </c>
      <c r="T42" s="101" t="e">
        <f>S42/F42</f>
        <v>#DIV/0!</v>
      </c>
      <c r="U42" s="235"/>
      <c r="V42" s="101" t="e">
        <f>U42/F42</f>
        <v>#DIV/0!</v>
      </c>
      <c r="W42" s="235"/>
      <c r="X42" s="101" t="e">
        <f>W42/F42</f>
        <v>#DIV/0!</v>
      </c>
      <c r="Y42" s="235"/>
      <c r="Z42" s="101" t="e">
        <f>Y42/F42</f>
        <v>#DIV/0!</v>
      </c>
      <c r="AA42" s="235"/>
      <c r="AB42" s="101" t="e">
        <f t="shared" si="53"/>
        <v>#DIV/0!</v>
      </c>
      <c r="AC42" s="228">
        <f>SUM(Y42+AA42)</f>
        <v>0</v>
      </c>
      <c r="AD42" s="101" t="e">
        <f>AC42/F42</f>
        <v>#DIV/0!</v>
      </c>
      <c r="AE42" s="235"/>
      <c r="AF42" s="101" t="e">
        <f>AE42/F42</f>
        <v>#DIV/0!</v>
      </c>
      <c r="AG42" s="235"/>
      <c r="AH42" s="101" t="e">
        <f>AG42/F42</f>
        <v>#DIV/0!</v>
      </c>
      <c r="AI42" s="235"/>
      <c r="AJ42" s="101" t="e">
        <f>AI42/F42</f>
        <v>#DIV/0!</v>
      </c>
      <c r="AK42" s="235"/>
      <c r="AL42" s="101" t="e">
        <f>AK42/F42</f>
        <v>#DIV/0!</v>
      </c>
    </row>
    <row r="43" spans="2:38" ht="12">
      <c r="B43" s="98"/>
      <c r="C43" s="83"/>
      <c r="D43" s="86"/>
      <c r="E43" s="86"/>
      <c r="F43" s="229">
        <f t="shared" si="23"/>
        <v>0</v>
      </c>
      <c r="G43" s="331"/>
      <c r="H43" s="97"/>
      <c r="I43" s="235"/>
      <c r="J43" s="101" t="e">
        <f>I43/F43</f>
        <v>#DIV/0!</v>
      </c>
      <c r="K43" s="235"/>
      <c r="L43" s="101" t="e">
        <f>K43/F43</f>
        <v>#DIV/0!</v>
      </c>
      <c r="M43" s="228">
        <f>SUM(I43+K43)</f>
        <v>0</v>
      </c>
      <c r="N43" s="101" t="e">
        <f>M43/F43</f>
        <v>#DIV/0!</v>
      </c>
      <c r="O43" s="235"/>
      <c r="P43" s="101" t="e">
        <f>O43/F43</f>
        <v>#DIV/0!</v>
      </c>
      <c r="Q43" s="235"/>
      <c r="R43" s="101" t="e">
        <f t="shared" si="47"/>
        <v>#DIV/0!</v>
      </c>
      <c r="S43" s="228">
        <f t="shared" si="48"/>
        <v>0</v>
      </c>
      <c r="T43" s="101" t="e">
        <f>S43/F43</f>
        <v>#DIV/0!</v>
      </c>
      <c r="U43" s="235"/>
      <c r="V43" s="101" t="e">
        <f>U43/F43</f>
        <v>#DIV/0!</v>
      </c>
      <c r="W43" s="235"/>
      <c r="X43" s="101" t="e">
        <f>W43/F43</f>
        <v>#DIV/0!</v>
      </c>
      <c r="Y43" s="235"/>
      <c r="Z43" s="101" t="e">
        <f>Y43/F43</f>
        <v>#DIV/0!</v>
      </c>
      <c r="AA43" s="235"/>
      <c r="AB43" s="101" t="e">
        <f t="shared" si="53"/>
        <v>#DIV/0!</v>
      </c>
      <c r="AC43" s="228">
        <f>SUM(Y43+AA43)</f>
        <v>0</v>
      </c>
      <c r="AD43" s="101" t="e">
        <f>AC43/F43</f>
        <v>#DIV/0!</v>
      </c>
      <c r="AE43" s="235"/>
      <c r="AF43" s="101" t="e">
        <f>AE43/F43</f>
        <v>#DIV/0!</v>
      </c>
      <c r="AG43" s="235"/>
      <c r="AH43" s="101" t="e">
        <f>AG43/F43</f>
        <v>#DIV/0!</v>
      </c>
      <c r="AI43" s="235"/>
      <c r="AJ43" s="101" t="e">
        <f>AI43/F43</f>
        <v>#DIV/0!</v>
      </c>
      <c r="AK43" s="235"/>
      <c r="AL43" s="101" t="e">
        <f>AK43/F43</f>
        <v>#DIV/0!</v>
      </c>
    </row>
    <row r="44" spans="2:38" ht="12">
      <c r="B44" s="98"/>
      <c r="C44" s="83"/>
      <c r="D44" s="86"/>
      <c r="E44" s="86"/>
      <c r="F44" s="229">
        <f t="shared" si="23"/>
        <v>0</v>
      </c>
      <c r="G44" s="229"/>
      <c r="H44" s="97"/>
      <c r="I44" s="235"/>
      <c r="J44" s="101" t="e">
        <f>I44/F44</f>
        <v>#DIV/0!</v>
      </c>
      <c r="K44" s="235"/>
      <c r="L44" s="101" t="e">
        <f>K44/F44</f>
        <v>#DIV/0!</v>
      </c>
      <c r="M44" s="228">
        <f>SUM(I44+K44)</f>
        <v>0</v>
      </c>
      <c r="N44" s="101" t="e">
        <f>M44/F44</f>
        <v>#DIV/0!</v>
      </c>
      <c r="O44" s="235"/>
      <c r="P44" s="101" t="e">
        <f>O44/F44</f>
        <v>#DIV/0!</v>
      </c>
      <c r="Q44" s="235"/>
      <c r="R44" s="101" t="e">
        <f t="shared" si="47"/>
        <v>#DIV/0!</v>
      </c>
      <c r="S44" s="228">
        <f t="shared" si="48"/>
        <v>0</v>
      </c>
      <c r="T44" s="101" t="e">
        <f>S44/F44</f>
        <v>#DIV/0!</v>
      </c>
      <c r="U44" s="235"/>
      <c r="V44" s="101" t="e">
        <f>U44/F44</f>
        <v>#DIV/0!</v>
      </c>
      <c r="W44" s="235"/>
      <c r="X44" s="101" t="e">
        <f>W44/F44</f>
        <v>#DIV/0!</v>
      </c>
      <c r="Y44" s="235"/>
      <c r="Z44" s="101" t="e">
        <f>Y44/F44</f>
        <v>#DIV/0!</v>
      </c>
      <c r="AA44" s="235"/>
      <c r="AB44" s="101" t="e">
        <f t="shared" si="53"/>
        <v>#DIV/0!</v>
      </c>
      <c r="AC44" s="228">
        <f>SUM(Y44+AA44)</f>
        <v>0</v>
      </c>
      <c r="AD44" s="101" t="e">
        <f>AC44/F44</f>
        <v>#DIV/0!</v>
      </c>
      <c r="AE44" s="235"/>
      <c r="AF44" s="101" t="e">
        <f>AE44/F44</f>
        <v>#DIV/0!</v>
      </c>
      <c r="AG44" s="235"/>
      <c r="AH44" s="101" t="e">
        <f>AG44/F44</f>
        <v>#DIV/0!</v>
      </c>
      <c r="AI44" s="235"/>
      <c r="AJ44" s="101" t="e">
        <f>AI44/F44</f>
        <v>#DIV/0!</v>
      </c>
      <c r="AK44" s="235"/>
      <c r="AL44" s="101" t="e">
        <f>AK44/F44</f>
        <v>#DIV/0!</v>
      </c>
    </row>
    <row r="45" spans="2:38" ht="12">
      <c r="B45" s="98"/>
      <c r="C45" s="83"/>
      <c r="D45" s="86"/>
      <c r="E45" s="86"/>
      <c r="F45" s="229">
        <f t="shared" si="23"/>
        <v>0</v>
      </c>
      <c r="G45" s="229"/>
      <c r="H45" s="97"/>
      <c r="I45" s="235"/>
      <c r="J45" s="101" t="e">
        <f>I45/F45</f>
        <v>#DIV/0!</v>
      </c>
      <c r="K45" s="235"/>
      <c r="L45" s="101" t="e">
        <f>K45/F45</f>
        <v>#DIV/0!</v>
      </c>
      <c r="M45" s="228">
        <f>SUM(I45+K45)</f>
        <v>0</v>
      </c>
      <c r="N45" s="101" t="e">
        <f>M45/F45</f>
        <v>#DIV/0!</v>
      </c>
      <c r="O45" s="235"/>
      <c r="P45" s="101" t="e">
        <f>O45/F45</f>
        <v>#DIV/0!</v>
      </c>
      <c r="Q45" s="235"/>
      <c r="R45" s="101" t="e">
        <f t="shared" si="47"/>
        <v>#DIV/0!</v>
      </c>
      <c r="S45" s="228">
        <f t="shared" si="48"/>
        <v>0</v>
      </c>
      <c r="T45" s="101" t="e">
        <f>S45/F45</f>
        <v>#DIV/0!</v>
      </c>
      <c r="U45" s="235"/>
      <c r="V45" s="101" t="e">
        <f>U45/F45</f>
        <v>#DIV/0!</v>
      </c>
      <c r="W45" s="235"/>
      <c r="X45" s="101" t="e">
        <f>W45/F45</f>
        <v>#DIV/0!</v>
      </c>
      <c r="Y45" s="235"/>
      <c r="Z45" s="101" t="e">
        <f>Y45/F45</f>
        <v>#DIV/0!</v>
      </c>
      <c r="AA45" s="235"/>
      <c r="AB45" s="101" t="e">
        <f t="shared" si="53"/>
        <v>#DIV/0!</v>
      </c>
      <c r="AC45" s="228">
        <f>SUM(Y45+AA45)</f>
        <v>0</v>
      </c>
      <c r="AD45" s="101" t="e">
        <f>AC45/F45</f>
        <v>#DIV/0!</v>
      </c>
      <c r="AE45" s="235"/>
      <c r="AF45" s="101" t="e">
        <f>AE45/F45</f>
        <v>#DIV/0!</v>
      </c>
      <c r="AG45" s="235"/>
      <c r="AH45" s="101" t="e">
        <f>AG45/F45</f>
        <v>#DIV/0!</v>
      </c>
      <c r="AI45" s="235"/>
      <c r="AJ45" s="101" t="e">
        <f>AI45/F45</f>
        <v>#DIV/0!</v>
      </c>
      <c r="AK45" s="235"/>
      <c r="AL45" s="101" t="e">
        <f>AK45/F45</f>
        <v>#DIV/0!</v>
      </c>
    </row>
    <row r="46" spans="2:38" ht="12">
      <c r="B46" s="98"/>
      <c r="C46" s="83"/>
      <c r="D46" s="84"/>
      <c r="F46" s="97"/>
      <c r="G46" s="97"/>
      <c r="H46" s="97"/>
      <c r="I46" s="295">
        <f>SUM(I7:I45)</f>
        <v>7759235.0038219383</v>
      </c>
      <c r="J46" s="291">
        <f>I46/$H$12</f>
        <v>7.1958415544471702E-2</v>
      </c>
      <c r="K46" s="295">
        <f>SUM(K7:K45)</f>
        <v>10191294.646407198</v>
      </c>
      <c r="L46" s="291">
        <f>K46/$H$12</f>
        <v>9.4513107895442747E-2</v>
      </c>
      <c r="M46" s="295">
        <f>SUM(M8:M45)</f>
        <v>16735732.379340699</v>
      </c>
      <c r="N46" s="291" t="e">
        <f>M46/$H$8</f>
        <v>#DIV/0!</v>
      </c>
      <c r="O46" s="295">
        <f>SUM(O7:O45)</f>
        <v>1714893.6295719114</v>
      </c>
      <c r="P46" s="291">
        <f>O46/$H$12</f>
        <v>1.5903762207294884E-2</v>
      </c>
      <c r="Q46" s="295">
        <f>SUM(Q7:Q45)</f>
        <v>1299670.8041752668</v>
      </c>
      <c r="R46" s="291">
        <f>Q46/$H$12</f>
        <v>1.2053024782958065E-2</v>
      </c>
      <c r="S46" s="295">
        <f>SUM(S8:S45)</f>
        <v>2830431.9698312776</v>
      </c>
      <c r="T46" s="291" t="e">
        <f>S46/$H$8</f>
        <v>#DIV/0!</v>
      </c>
      <c r="U46" s="295">
        <f>SUM(U7:U45)</f>
        <v>17505758.943494007</v>
      </c>
      <c r="V46" s="291">
        <f>U46/$H$12</f>
        <v>0.16234676174349846</v>
      </c>
      <c r="W46" s="295">
        <f>SUM(W7:W45)</f>
        <v>2020852.159882071</v>
      </c>
      <c r="X46" s="291">
        <f>W46/$H$12</f>
        <v>1.8741192837065709E-2</v>
      </c>
      <c r="Y46" s="295">
        <f>SUM(Y7:Y45)</f>
        <v>9000945.5158088747</v>
      </c>
      <c r="Z46" s="291">
        <f>Y46/$H$12</f>
        <v>8.3473922029773814E-2</v>
      </c>
      <c r="AA46" s="295">
        <f>SUM(AA7:AA45)</f>
        <v>20869224.184577517</v>
      </c>
      <c r="AB46" s="291">
        <f>AA46/$H$12</f>
        <v>0.19353922200125045</v>
      </c>
      <c r="AC46" s="295">
        <f>SUM(AC8:AC45)</f>
        <v>27951098.42625057</v>
      </c>
      <c r="AD46" s="291" t="e">
        <f>AC46/$H$8</f>
        <v>#DIV/0!</v>
      </c>
      <c r="AE46" s="295">
        <f>SUM(AE7:AE45)</f>
        <v>16734563.261703316</v>
      </c>
      <c r="AF46" s="291">
        <f>AE46/$H$12</f>
        <v>0.15519476553394143</v>
      </c>
      <c r="AG46" s="295">
        <f>SUM(AG7:AG45)</f>
        <v>5822147.8233826123</v>
      </c>
      <c r="AH46" s="291">
        <f>AG46/$H$12</f>
        <v>5.3994051247313102E-2</v>
      </c>
      <c r="AI46" s="295">
        <f>SUM(AI7:AI45)</f>
        <v>7244445.8560693683</v>
      </c>
      <c r="AJ46" s="291">
        <f>AI46/$H$12</f>
        <v>6.7184309412421622E-2</v>
      </c>
      <c r="AK46" s="295">
        <f>SUM(AK7:AK45)</f>
        <v>7666399.1711059213</v>
      </c>
      <c r="AL46" s="291">
        <f>AK46/$H$12</f>
        <v>7.1097464764568047E-2</v>
      </c>
    </row>
    <row r="47" spans="2:38" ht="12">
      <c r="B47" s="98"/>
      <c r="C47" s="83"/>
      <c r="D47" s="84"/>
      <c r="F47" s="97"/>
      <c r="G47" s="97"/>
      <c r="H47" s="97"/>
      <c r="I47" s="292"/>
      <c r="J47" s="293"/>
      <c r="K47" s="292"/>
      <c r="L47" s="293"/>
      <c r="M47" s="294">
        <f>M46</f>
        <v>16735732.379340699</v>
      </c>
      <c r="N47" s="293"/>
      <c r="O47" s="292"/>
      <c r="P47" s="293"/>
      <c r="Q47" s="292"/>
      <c r="R47" s="293"/>
      <c r="S47" s="294">
        <f>S46</f>
        <v>2830431.9698312776</v>
      </c>
      <c r="T47" s="293"/>
      <c r="U47" s="294">
        <f>U46</f>
        <v>17505758.943494007</v>
      </c>
      <c r="V47" s="293"/>
      <c r="W47" s="294">
        <f>W46</f>
        <v>2020852.159882071</v>
      </c>
      <c r="X47" s="293"/>
      <c r="Y47" s="292"/>
      <c r="Z47" s="293"/>
      <c r="AA47" s="292"/>
      <c r="AB47" s="293"/>
      <c r="AC47" s="294">
        <f>AC46</f>
        <v>27951098.42625057</v>
      </c>
      <c r="AD47" s="293"/>
      <c r="AE47" s="294">
        <f>AE46</f>
        <v>16734563.261703316</v>
      </c>
      <c r="AF47" s="293"/>
      <c r="AG47" s="294">
        <f>AG46</f>
        <v>5822147.8233826123</v>
      </c>
      <c r="AH47" s="293"/>
      <c r="AI47" s="294">
        <f>AI46</f>
        <v>7244445.8560693683</v>
      </c>
      <c r="AJ47" s="293"/>
      <c r="AK47" s="294">
        <f>AK46</f>
        <v>7666399.1711059213</v>
      </c>
      <c r="AL47" s="293"/>
    </row>
    <row r="48" spans="2:38" ht="12">
      <c r="B48" s="98"/>
      <c r="C48" s="83"/>
      <c r="D48" s="84"/>
      <c r="F48" s="97"/>
      <c r="G48" s="97"/>
      <c r="H48" s="97"/>
    </row>
    <row r="49" spans="1:46" ht="12">
      <c r="B49" s="98"/>
      <c r="C49" s="83"/>
      <c r="D49" s="84"/>
      <c r="F49" s="97"/>
      <c r="G49" s="97"/>
      <c r="H49" s="97"/>
    </row>
    <row r="50" spans="1:46" s="84" customFormat="1" ht="12">
      <c r="A50" s="77"/>
      <c r="B50" s="98"/>
      <c r="C50" s="83"/>
      <c r="F50" s="102"/>
      <c r="G50" s="102"/>
      <c r="H50" s="102"/>
      <c r="I50" s="97"/>
      <c r="J50" s="90"/>
      <c r="K50" s="97"/>
      <c r="L50" s="90"/>
      <c r="M50" s="90"/>
      <c r="N50" s="90"/>
      <c r="O50" s="97"/>
      <c r="P50" s="90"/>
      <c r="Q50" s="97"/>
      <c r="R50" s="90"/>
      <c r="S50" s="97"/>
      <c r="T50" s="90"/>
      <c r="U50" s="97"/>
      <c r="V50" s="90"/>
      <c r="W50" s="97"/>
      <c r="X50" s="90"/>
      <c r="Y50" s="97"/>
      <c r="Z50" s="90"/>
      <c r="AA50" s="97"/>
      <c r="AB50" s="90"/>
      <c r="AC50" s="97"/>
      <c r="AD50" s="90"/>
      <c r="AE50" s="97"/>
      <c r="AF50" s="90"/>
      <c r="AG50" s="97"/>
      <c r="AH50" s="90"/>
      <c r="AI50" s="97"/>
      <c r="AJ50" s="90"/>
      <c r="AK50" s="97"/>
      <c r="AL50" s="90"/>
      <c r="AM50" s="77"/>
      <c r="AN50" s="77"/>
      <c r="AO50" s="77"/>
      <c r="AP50" s="77"/>
      <c r="AQ50" s="77"/>
      <c r="AR50" s="77"/>
      <c r="AS50" s="77"/>
      <c r="AT50" s="77"/>
    </row>
    <row r="51" spans="1:46" s="84" customFormat="1" ht="12">
      <c r="A51" s="77"/>
      <c r="B51" s="98"/>
      <c r="C51" s="83"/>
      <c r="F51" s="102"/>
      <c r="G51" s="102"/>
      <c r="H51" s="102"/>
      <c r="I51" s="97"/>
      <c r="J51" s="90"/>
      <c r="K51" s="97"/>
      <c r="L51" s="90"/>
      <c r="M51" s="90"/>
      <c r="N51" s="90"/>
      <c r="O51" s="97"/>
      <c r="P51" s="90"/>
      <c r="Q51" s="97"/>
      <c r="R51" s="90"/>
      <c r="S51" s="97"/>
      <c r="T51" s="90"/>
      <c r="U51" s="97"/>
      <c r="V51" s="90"/>
      <c r="W51" s="97"/>
      <c r="X51" s="90"/>
      <c r="Y51" s="97"/>
      <c r="Z51" s="90"/>
      <c r="AA51" s="97"/>
      <c r="AB51" s="90"/>
      <c r="AC51" s="97"/>
      <c r="AD51" s="90"/>
      <c r="AE51" s="97"/>
      <c r="AF51" s="90"/>
      <c r="AG51" s="97"/>
      <c r="AH51" s="90"/>
      <c r="AI51" s="97"/>
      <c r="AJ51" s="90"/>
      <c r="AK51" s="97"/>
      <c r="AL51" s="90"/>
      <c r="AM51" s="77"/>
      <c r="AN51" s="77"/>
      <c r="AO51" s="77"/>
      <c r="AP51" s="77"/>
      <c r="AQ51" s="77"/>
      <c r="AR51" s="77"/>
      <c r="AS51" s="77"/>
      <c r="AT51" s="77"/>
    </row>
    <row r="52" spans="1:46" s="84" customFormat="1" ht="12">
      <c r="A52" s="77"/>
      <c r="B52" s="98"/>
      <c r="C52" s="83"/>
      <c r="F52" s="102"/>
      <c r="G52" s="102"/>
      <c r="H52" s="102"/>
      <c r="I52" s="97"/>
      <c r="J52" s="90"/>
      <c r="K52" s="97"/>
      <c r="L52" s="90"/>
      <c r="M52" s="90"/>
      <c r="N52" s="90"/>
      <c r="O52" s="97"/>
      <c r="P52" s="90"/>
      <c r="Q52" s="97"/>
      <c r="R52" s="90"/>
      <c r="S52" s="97"/>
      <c r="T52" s="90"/>
      <c r="U52" s="97"/>
      <c r="V52" s="90"/>
      <c r="W52" s="97"/>
      <c r="X52" s="90"/>
      <c r="Y52" s="97"/>
      <c r="Z52" s="90"/>
      <c r="AA52" s="97"/>
      <c r="AB52" s="90"/>
      <c r="AC52" s="97"/>
      <c r="AD52" s="90"/>
      <c r="AE52" s="97"/>
      <c r="AF52" s="90"/>
      <c r="AG52" s="97"/>
      <c r="AH52" s="90"/>
      <c r="AI52" s="97"/>
      <c r="AJ52" s="90"/>
      <c r="AK52" s="97"/>
      <c r="AL52" s="90"/>
      <c r="AM52" s="77"/>
      <c r="AN52" s="77"/>
      <c r="AO52" s="77"/>
      <c r="AP52" s="77"/>
      <c r="AQ52" s="77"/>
      <c r="AR52" s="77"/>
      <c r="AS52" s="77"/>
      <c r="AT52" s="77"/>
    </row>
    <row r="53" spans="1:46" s="84" customFormat="1" ht="12">
      <c r="A53" s="77"/>
      <c r="B53" s="98"/>
      <c r="C53" s="83"/>
      <c r="F53" s="102"/>
      <c r="G53" s="102"/>
      <c r="H53" s="102"/>
      <c r="I53" s="97"/>
      <c r="J53" s="90"/>
      <c r="K53" s="97"/>
      <c r="L53" s="90"/>
      <c r="M53" s="90"/>
      <c r="N53" s="90"/>
      <c r="O53" s="97"/>
      <c r="P53" s="90"/>
      <c r="Q53" s="97"/>
      <c r="R53" s="90"/>
      <c r="S53" s="97"/>
      <c r="T53" s="90"/>
      <c r="U53" s="97"/>
      <c r="V53" s="90"/>
      <c r="W53" s="97"/>
      <c r="X53" s="90"/>
      <c r="Y53" s="97"/>
      <c r="Z53" s="90"/>
      <c r="AA53" s="97"/>
      <c r="AB53" s="90"/>
      <c r="AC53" s="97"/>
      <c r="AD53" s="90"/>
      <c r="AE53" s="97"/>
      <c r="AF53" s="90"/>
      <c r="AG53" s="97"/>
      <c r="AH53" s="90"/>
      <c r="AI53" s="97"/>
      <c r="AJ53" s="90"/>
      <c r="AK53" s="97"/>
      <c r="AL53" s="90"/>
      <c r="AM53" s="77"/>
      <c r="AN53" s="77"/>
      <c r="AO53" s="77"/>
      <c r="AP53" s="77"/>
      <c r="AQ53" s="77"/>
      <c r="AR53" s="77"/>
      <c r="AS53" s="77"/>
      <c r="AT53" s="77"/>
    </row>
    <row r="54" spans="1:46" s="84" customFormat="1" ht="12">
      <c r="A54" s="77"/>
      <c r="B54" s="98"/>
      <c r="C54" s="83"/>
      <c r="F54" s="102"/>
      <c r="G54" s="102"/>
      <c r="H54" s="102"/>
      <c r="I54" s="97"/>
      <c r="J54" s="90"/>
      <c r="K54" s="97"/>
      <c r="L54" s="90"/>
      <c r="M54" s="90"/>
      <c r="N54" s="90"/>
      <c r="O54" s="97"/>
      <c r="P54" s="90"/>
      <c r="Q54" s="97"/>
      <c r="R54" s="90"/>
      <c r="S54" s="97"/>
      <c r="T54" s="90"/>
      <c r="U54" s="97"/>
      <c r="V54" s="90"/>
      <c r="W54" s="97"/>
      <c r="X54" s="90"/>
      <c r="Y54" s="97"/>
      <c r="Z54" s="90"/>
      <c r="AA54" s="97"/>
      <c r="AB54" s="90"/>
      <c r="AC54" s="97"/>
      <c r="AD54" s="90"/>
      <c r="AE54" s="97"/>
      <c r="AF54" s="90"/>
      <c r="AG54" s="97"/>
      <c r="AH54" s="90"/>
      <c r="AI54" s="97"/>
      <c r="AJ54" s="90"/>
      <c r="AK54" s="97"/>
      <c r="AL54" s="90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2">
      <c r="A55" s="77"/>
      <c r="B55" s="98"/>
      <c r="C55" s="83"/>
      <c r="F55" s="102"/>
      <c r="G55" s="102"/>
      <c r="H55" s="102"/>
      <c r="I55" s="97"/>
      <c r="J55" s="90"/>
      <c r="K55" s="97"/>
      <c r="L55" s="90"/>
      <c r="M55" s="90"/>
      <c r="N55" s="90"/>
      <c r="O55" s="97"/>
      <c r="P55" s="90"/>
      <c r="Q55" s="97"/>
      <c r="R55" s="90"/>
      <c r="S55" s="97"/>
      <c r="T55" s="90"/>
      <c r="U55" s="97"/>
      <c r="V55" s="90"/>
      <c r="W55" s="97"/>
      <c r="X55" s="90"/>
      <c r="Y55" s="97"/>
      <c r="Z55" s="90"/>
      <c r="AA55" s="97"/>
      <c r="AB55" s="90"/>
      <c r="AC55" s="97"/>
      <c r="AD55" s="90"/>
      <c r="AE55" s="97"/>
      <c r="AF55" s="90"/>
      <c r="AG55" s="97"/>
      <c r="AH55" s="90"/>
      <c r="AI55" s="97"/>
      <c r="AJ55" s="90"/>
      <c r="AK55" s="97"/>
      <c r="AL55" s="90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2">
      <c r="A56" s="77"/>
      <c r="B56" s="98"/>
      <c r="C56" s="83"/>
      <c r="F56" s="102"/>
      <c r="G56" s="102"/>
      <c r="H56" s="102"/>
      <c r="I56" s="97"/>
      <c r="J56" s="90"/>
      <c r="K56" s="97"/>
      <c r="L56" s="90"/>
      <c r="M56" s="90"/>
      <c r="N56" s="90"/>
      <c r="O56" s="97"/>
      <c r="P56" s="90"/>
      <c r="Q56" s="97"/>
      <c r="R56" s="90"/>
      <c r="S56" s="97"/>
      <c r="T56" s="90"/>
      <c r="U56" s="97"/>
      <c r="V56" s="90"/>
      <c r="W56" s="97"/>
      <c r="X56" s="90"/>
      <c r="Y56" s="97"/>
      <c r="Z56" s="90"/>
      <c r="AA56" s="97"/>
      <c r="AB56" s="90"/>
      <c r="AC56" s="97"/>
      <c r="AD56" s="90"/>
      <c r="AE56" s="97"/>
      <c r="AF56" s="90"/>
      <c r="AG56" s="97"/>
      <c r="AH56" s="90"/>
      <c r="AI56" s="97"/>
      <c r="AJ56" s="90"/>
      <c r="AK56" s="97"/>
      <c r="AL56" s="90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2">
      <c r="A57" s="77"/>
      <c r="B57" s="98"/>
      <c r="C57" s="83"/>
      <c r="F57" s="102"/>
      <c r="G57" s="102"/>
      <c r="H57" s="102"/>
      <c r="I57" s="97"/>
      <c r="J57" s="90"/>
      <c r="K57" s="97"/>
      <c r="L57" s="90"/>
      <c r="M57" s="90"/>
      <c r="N57" s="90"/>
      <c r="O57" s="97"/>
      <c r="P57" s="90"/>
      <c r="Q57" s="97"/>
      <c r="R57" s="90"/>
      <c r="S57" s="97"/>
      <c r="T57" s="90"/>
      <c r="U57" s="97"/>
      <c r="V57" s="90"/>
      <c r="W57" s="97"/>
      <c r="X57" s="90"/>
      <c r="Y57" s="97"/>
      <c r="Z57" s="90"/>
      <c r="AA57" s="97"/>
      <c r="AB57" s="90"/>
      <c r="AC57" s="97"/>
      <c r="AD57" s="90"/>
      <c r="AE57" s="97"/>
      <c r="AF57" s="90"/>
      <c r="AG57" s="97"/>
      <c r="AH57" s="90"/>
      <c r="AI57" s="97"/>
      <c r="AJ57" s="90"/>
      <c r="AK57" s="97"/>
      <c r="AL57" s="90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2">
      <c r="A58" s="77"/>
      <c r="B58" s="98"/>
      <c r="C58" s="83"/>
      <c r="F58" s="102"/>
      <c r="G58" s="102"/>
      <c r="H58" s="102"/>
      <c r="I58" s="97"/>
      <c r="J58" s="90"/>
      <c r="K58" s="97"/>
      <c r="L58" s="90"/>
      <c r="M58" s="90"/>
      <c r="N58" s="90"/>
      <c r="O58" s="97"/>
      <c r="P58" s="90"/>
      <c r="Q58" s="97"/>
      <c r="R58" s="90"/>
      <c r="S58" s="97"/>
      <c r="T58" s="90"/>
      <c r="U58" s="97"/>
      <c r="V58" s="90"/>
      <c r="W58" s="97"/>
      <c r="X58" s="90"/>
      <c r="Y58" s="97"/>
      <c r="Z58" s="90"/>
      <c r="AA58" s="97"/>
      <c r="AB58" s="90"/>
      <c r="AC58" s="97"/>
      <c r="AD58" s="90"/>
      <c r="AE58" s="97"/>
      <c r="AF58" s="90"/>
      <c r="AG58" s="97"/>
      <c r="AH58" s="90"/>
      <c r="AI58" s="97"/>
      <c r="AJ58" s="90"/>
      <c r="AK58" s="97"/>
      <c r="AL58" s="90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2">
      <c r="A59" s="77"/>
      <c r="B59" s="98"/>
      <c r="C59" s="83"/>
      <c r="F59" s="102"/>
      <c r="G59" s="102"/>
      <c r="H59" s="102"/>
      <c r="I59" s="97"/>
      <c r="J59" s="90"/>
      <c r="K59" s="97"/>
      <c r="L59" s="90"/>
      <c r="M59" s="90"/>
      <c r="N59" s="90"/>
      <c r="O59" s="97"/>
      <c r="P59" s="90"/>
      <c r="Q59" s="97"/>
      <c r="R59" s="90"/>
      <c r="S59" s="97"/>
      <c r="T59" s="90"/>
      <c r="U59" s="97"/>
      <c r="V59" s="90"/>
      <c r="W59" s="97"/>
      <c r="X59" s="90"/>
      <c r="Y59" s="97"/>
      <c r="Z59" s="90"/>
      <c r="AA59" s="97"/>
      <c r="AB59" s="90"/>
      <c r="AC59" s="97"/>
      <c r="AD59" s="90"/>
      <c r="AE59" s="97"/>
      <c r="AF59" s="90"/>
      <c r="AG59" s="97"/>
      <c r="AH59" s="90"/>
      <c r="AI59" s="97"/>
      <c r="AJ59" s="90"/>
      <c r="AK59" s="97"/>
      <c r="AL59" s="90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2">
      <c r="A60" s="77"/>
      <c r="B60" s="98"/>
      <c r="C60" s="83"/>
      <c r="F60" s="102"/>
      <c r="G60" s="102"/>
      <c r="H60" s="102"/>
      <c r="I60" s="97"/>
      <c r="J60" s="90"/>
      <c r="K60" s="97"/>
      <c r="L60" s="90"/>
      <c r="M60" s="90"/>
      <c r="N60" s="90"/>
      <c r="O60" s="97"/>
      <c r="P60" s="90"/>
      <c r="Q60" s="97"/>
      <c r="R60" s="90"/>
      <c r="S60" s="97"/>
      <c r="T60" s="90"/>
      <c r="U60" s="97"/>
      <c r="V60" s="90"/>
      <c r="W60" s="97"/>
      <c r="X60" s="90"/>
      <c r="Y60" s="97"/>
      <c r="Z60" s="90"/>
      <c r="AA60" s="97"/>
      <c r="AB60" s="90"/>
      <c r="AC60" s="97"/>
      <c r="AD60" s="90"/>
      <c r="AE60" s="97"/>
      <c r="AF60" s="90"/>
      <c r="AG60" s="97"/>
      <c r="AH60" s="90"/>
      <c r="AI60" s="97"/>
      <c r="AJ60" s="90"/>
      <c r="AK60" s="97"/>
      <c r="AL60" s="90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2">
      <c r="A61" s="77"/>
      <c r="B61" s="98"/>
      <c r="C61" s="83"/>
      <c r="F61" s="102"/>
      <c r="G61" s="102"/>
      <c r="H61" s="102"/>
      <c r="I61" s="97"/>
      <c r="J61" s="90"/>
      <c r="K61" s="97"/>
      <c r="L61" s="90"/>
      <c r="M61" s="90"/>
      <c r="N61" s="90"/>
      <c r="O61" s="97"/>
      <c r="P61" s="90"/>
      <c r="Q61" s="97"/>
      <c r="R61" s="90"/>
      <c r="S61" s="97"/>
      <c r="T61" s="90"/>
      <c r="U61" s="97"/>
      <c r="V61" s="90"/>
      <c r="W61" s="97"/>
      <c r="X61" s="90"/>
      <c r="Y61" s="97"/>
      <c r="Z61" s="90"/>
      <c r="AA61" s="97"/>
      <c r="AB61" s="90"/>
      <c r="AC61" s="97"/>
      <c r="AD61" s="90"/>
      <c r="AE61" s="97"/>
      <c r="AF61" s="90"/>
      <c r="AG61" s="97"/>
      <c r="AH61" s="90"/>
      <c r="AI61" s="97"/>
      <c r="AJ61" s="90"/>
      <c r="AK61" s="97"/>
      <c r="AL61" s="90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2">
      <c r="A62" s="77"/>
      <c r="B62" s="98"/>
      <c r="C62" s="83"/>
      <c r="F62" s="102"/>
      <c r="G62" s="102"/>
      <c r="H62" s="102"/>
      <c r="I62" s="97"/>
      <c r="J62" s="90"/>
      <c r="K62" s="97"/>
      <c r="L62" s="90"/>
      <c r="M62" s="90"/>
      <c r="N62" s="90"/>
      <c r="O62" s="97"/>
      <c r="P62" s="90"/>
      <c r="Q62" s="97"/>
      <c r="R62" s="90"/>
      <c r="S62" s="97"/>
      <c r="T62" s="90"/>
      <c r="U62" s="97"/>
      <c r="V62" s="90"/>
      <c r="W62" s="97"/>
      <c r="X62" s="90"/>
      <c r="Y62" s="97"/>
      <c r="Z62" s="90"/>
      <c r="AA62" s="97"/>
      <c r="AB62" s="90"/>
      <c r="AC62" s="97"/>
      <c r="AD62" s="90"/>
      <c r="AE62" s="97"/>
      <c r="AF62" s="90"/>
      <c r="AG62" s="97"/>
      <c r="AH62" s="90"/>
      <c r="AI62" s="97"/>
      <c r="AJ62" s="90"/>
      <c r="AK62" s="97"/>
      <c r="AL62" s="90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2">
      <c r="A63" s="77"/>
      <c r="B63" s="98"/>
      <c r="C63" s="83"/>
      <c r="F63" s="102"/>
      <c r="G63" s="102"/>
      <c r="H63" s="102"/>
      <c r="I63" s="97"/>
      <c r="J63" s="90"/>
      <c r="K63" s="97"/>
      <c r="L63" s="90"/>
      <c r="M63" s="90"/>
      <c r="N63" s="90"/>
      <c r="O63" s="97"/>
      <c r="P63" s="90"/>
      <c r="Q63" s="97"/>
      <c r="R63" s="90"/>
      <c r="S63" s="97"/>
      <c r="T63" s="90"/>
      <c r="U63" s="97"/>
      <c r="V63" s="90"/>
      <c r="W63" s="97"/>
      <c r="X63" s="90"/>
      <c r="Y63" s="97"/>
      <c r="Z63" s="90"/>
      <c r="AA63" s="97"/>
      <c r="AB63" s="90"/>
      <c r="AC63" s="97"/>
      <c r="AD63" s="90"/>
      <c r="AE63" s="97"/>
      <c r="AF63" s="90"/>
      <c r="AG63" s="97"/>
      <c r="AH63" s="90"/>
      <c r="AI63" s="97"/>
      <c r="AJ63" s="90"/>
      <c r="AK63" s="97"/>
      <c r="AL63" s="90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2">
      <c r="A64" s="77"/>
      <c r="B64" s="98"/>
      <c r="C64" s="83"/>
      <c r="F64" s="102"/>
      <c r="G64" s="102"/>
      <c r="H64" s="102"/>
      <c r="I64" s="97"/>
      <c r="J64" s="90"/>
      <c r="K64" s="97"/>
      <c r="L64" s="90"/>
      <c r="M64" s="90"/>
      <c r="N64" s="90"/>
      <c r="O64" s="97"/>
      <c r="P64" s="90"/>
      <c r="Q64" s="97"/>
      <c r="R64" s="90"/>
      <c r="S64" s="97"/>
      <c r="T64" s="90"/>
      <c r="U64" s="97"/>
      <c r="V64" s="90"/>
      <c r="W64" s="97"/>
      <c r="X64" s="90"/>
      <c r="Y64" s="97"/>
      <c r="Z64" s="90"/>
      <c r="AA64" s="97"/>
      <c r="AB64" s="90"/>
      <c r="AC64" s="97"/>
      <c r="AD64" s="90"/>
      <c r="AE64" s="97"/>
      <c r="AF64" s="90"/>
      <c r="AG64" s="97"/>
      <c r="AH64" s="90"/>
      <c r="AI64" s="97"/>
      <c r="AJ64" s="90"/>
      <c r="AK64" s="97"/>
      <c r="AL64" s="90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2">
      <c r="A65" s="77"/>
      <c r="B65" s="98"/>
      <c r="C65" s="83"/>
      <c r="F65" s="102"/>
      <c r="G65" s="102"/>
      <c r="H65" s="102"/>
      <c r="I65" s="97"/>
      <c r="J65" s="90"/>
      <c r="K65" s="97"/>
      <c r="L65" s="90"/>
      <c r="M65" s="90"/>
      <c r="N65" s="90"/>
      <c r="O65" s="97"/>
      <c r="P65" s="90"/>
      <c r="Q65" s="97"/>
      <c r="R65" s="90"/>
      <c r="S65" s="97"/>
      <c r="T65" s="90"/>
      <c r="U65" s="97"/>
      <c r="V65" s="90"/>
      <c r="W65" s="97"/>
      <c r="X65" s="90"/>
      <c r="Y65" s="97"/>
      <c r="Z65" s="90"/>
      <c r="AA65" s="97"/>
      <c r="AB65" s="90"/>
      <c r="AC65" s="97"/>
      <c r="AD65" s="90"/>
      <c r="AE65" s="97"/>
      <c r="AF65" s="90"/>
      <c r="AG65" s="97"/>
      <c r="AH65" s="90"/>
      <c r="AI65" s="97"/>
      <c r="AJ65" s="90"/>
      <c r="AK65" s="97"/>
      <c r="AL65" s="90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2">
      <c r="A66" s="77"/>
      <c r="B66" s="98"/>
      <c r="C66" s="83"/>
      <c r="F66" s="102"/>
      <c r="G66" s="102"/>
      <c r="H66" s="102"/>
      <c r="I66" s="97"/>
      <c r="J66" s="90"/>
      <c r="K66" s="97"/>
      <c r="L66" s="90"/>
      <c r="M66" s="90"/>
      <c r="N66" s="90"/>
      <c r="O66" s="97"/>
      <c r="P66" s="90"/>
      <c r="Q66" s="97"/>
      <c r="R66" s="90"/>
      <c r="S66" s="97"/>
      <c r="T66" s="90"/>
      <c r="U66" s="97"/>
      <c r="V66" s="90"/>
      <c r="W66" s="97"/>
      <c r="X66" s="90"/>
      <c r="Y66" s="97"/>
      <c r="Z66" s="90"/>
      <c r="AA66" s="97"/>
      <c r="AB66" s="90"/>
      <c r="AC66" s="97"/>
      <c r="AD66" s="90"/>
      <c r="AE66" s="97"/>
      <c r="AF66" s="90"/>
      <c r="AG66" s="97"/>
      <c r="AH66" s="90"/>
      <c r="AI66" s="97"/>
      <c r="AJ66" s="90"/>
      <c r="AK66" s="97"/>
      <c r="AL66" s="90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2">
      <c r="A67" s="77"/>
      <c r="B67" s="98"/>
      <c r="C67" s="83"/>
      <c r="F67" s="102"/>
      <c r="G67" s="102"/>
      <c r="H67" s="102"/>
      <c r="I67" s="97"/>
      <c r="J67" s="90"/>
      <c r="K67" s="97"/>
      <c r="L67" s="90"/>
      <c r="M67" s="90"/>
      <c r="N67" s="90"/>
      <c r="O67" s="97"/>
      <c r="P67" s="90"/>
      <c r="Q67" s="97"/>
      <c r="R67" s="90"/>
      <c r="S67" s="97"/>
      <c r="T67" s="90"/>
      <c r="U67" s="97"/>
      <c r="V67" s="90"/>
      <c r="W67" s="97"/>
      <c r="X67" s="90"/>
      <c r="Y67" s="97"/>
      <c r="Z67" s="90"/>
      <c r="AA67" s="97"/>
      <c r="AB67" s="90"/>
      <c r="AC67" s="97"/>
      <c r="AD67" s="90"/>
      <c r="AE67" s="97"/>
      <c r="AF67" s="90"/>
      <c r="AG67" s="97"/>
      <c r="AH67" s="90"/>
      <c r="AI67" s="97"/>
      <c r="AJ67" s="90"/>
      <c r="AK67" s="97"/>
      <c r="AL67" s="90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2">
      <c r="A68" s="77"/>
      <c r="B68" s="98"/>
      <c r="C68" s="83"/>
      <c r="F68" s="102"/>
      <c r="G68" s="102"/>
      <c r="H68" s="102"/>
      <c r="I68" s="97"/>
      <c r="J68" s="90"/>
      <c r="K68" s="97"/>
      <c r="L68" s="90"/>
      <c r="M68" s="90"/>
      <c r="N68" s="90"/>
      <c r="O68" s="97"/>
      <c r="P68" s="90"/>
      <c r="Q68" s="97"/>
      <c r="R68" s="90"/>
      <c r="S68" s="97"/>
      <c r="T68" s="90"/>
      <c r="U68" s="97"/>
      <c r="V68" s="90"/>
      <c r="W68" s="97"/>
      <c r="X68" s="90"/>
      <c r="Y68" s="97"/>
      <c r="Z68" s="90"/>
      <c r="AA68" s="97"/>
      <c r="AB68" s="90"/>
      <c r="AC68" s="97"/>
      <c r="AD68" s="90"/>
      <c r="AE68" s="97"/>
      <c r="AF68" s="90"/>
      <c r="AG68" s="97"/>
      <c r="AH68" s="90"/>
      <c r="AI68" s="97"/>
      <c r="AJ68" s="90"/>
      <c r="AK68" s="97"/>
      <c r="AL68" s="90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2">
      <c r="A69" s="77"/>
      <c r="B69" s="98"/>
      <c r="C69" s="83"/>
      <c r="F69" s="102"/>
      <c r="G69" s="102"/>
      <c r="H69" s="102"/>
      <c r="I69" s="97"/>
      <c r="J69" s="90"/>
      <c r="K69" s="97"/>
      <c r="L69" s="90"/>
      <c r="M69" s="90"/>
      <c r="N69" s="90"/>
      <c r="O69" s="97"/>
      <c r="P69" s="90"/>
      <c r="Q69" s="97"/>
      <c r="R69" s="90"/>
      <c r="S69" s="97"/>
      <c r="T69" s="90"/>
      <c r="U69" s="97"/>
      <c r="V69" s="90"/>
      <c r="W69" s="97"/>
      <c r="X69" s="90"/>
      <c r="Y69" s="97"/>
      <c r="Z69" s="90"/>
      <c r="AA69" s="97"/>
      <c r="AB69" s="90"/>
      <c r="AC69" s="97"/>
      <c r="AD69" s="90"/>
      <c r="AE69" s="97"/>
      <c r="AF69" s="90"/>
      <c r="AG69" s="97"/>
      <c r="AH69" s="90"/>
      <c r="AI69" s="97"/>
      <c r="AJ69" s="90"/>
      <c r="AK69" s="97"/>
      <c r="AL69" s="90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2">
      <c r="A70" s="77"/>
      <c r="B70" s="98"/>
      <c r="C70" s="83"/>
      <c r="F70" s="102"/>
      <c r="G70" s="102"/>
      <c r="H70" s="102"/>
      <c r="I70" s="97"/>
      <c r="J70" s="90"/>
      <c r="K70" s="97"/>
      <c r="L70" s="90"/>
      <c r="M70" s="90"/>
      <c r="N70" s="90"/>
      <c r="O70" s="97"/>
      <c r="P70" s="90"/>
      <c r="Q70" s="97"/>
      <c r="R70" s="90"/>
      <c r="S70" s="97"/>
      <c r="T70" s="90"/>
      <c r="U70" s="97"/>
      <c r="V70" s="90"/>
      <c r="W70" s="97"/>
      <c r="X70" s="90"/>
      <c r="Y70" s="97"/>
      <c r="Z70" s="90"/>
      <c r="AA70" s="97"/>
      <c r="AB70" s="90"/>
      <c r="AC70" s="97"/>
      <c r="AD70" s="90"/>
      <c r="AE70" s="97"/>
      <c r="AF70" s="90"/>
      <c r="AG70" s="97"/>
      <c r="AH70" s="90"/>
      <c r="AI70" s="97"/>
      <c r="AJ70" s="90"/>
      <c r="AK70" s="97"/>
      <c r="AL70" s="90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2">
      <c r="A71" s="77"/>
      <c r="B71" s="98"/>
      <c r="C71" s="83"/>
      <c r="F71" s="102"/>
      <c r="G71" s="102"/>
      <c r="H71" s="102"/>
      <c r="I71" s="97"/>
      <c r="J71" s="90"/>
      <c r="K71" s="97"/>
      <c r="L71" s="90"/>
      <c r="M71" s="90"/>
      <c r="N71" s="90"/>
      <c r="O71" s="97"/>
      <c r="P71" s="90"/>
      <c r="Q71" s="97"/>
      <c r="R71" s="90"/>
      <c r="S71" s="97"/>
      <c r="T71" s="90"/>
      <c r="U71" s="97"/>
      <c r="V71" s="90"/>
      <c r="W71" s="97"/>
      <c r="X71" s="90"/>
      <c r="Y71" s="97"/>
      <c r="Z71" s="90"/>
      <c r="AA71" s="97"/>
      <c r="AB71" s="90"/>
      <c r="AC71" s="97"/>
      <c r="AD71" s="90"/>
      <c r="AE71" s="97"/>
      <c r="AF71" s="90"/>
      <c r="AG71" s="97"/>
      <c r="AH71" s="90"/>
      <c r="AI71" s="97"/>
      <c r="AJ71" s="90"/>
      <c r="AK71" s="97"/>
      <c r="AL71" s="90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2">
      <c r="A72" s="77"/>
      <c r="B72" s="98"/>
      <c r="C72" s="83"/>
      <c r="F72" s="102"/>
      <c r="G72" s="102"/>
      <c r="H72" s="102"/>
      <c r="I72" s="97"/>
      <c r="J72" s="90"/>
      <c r="K72" s="97"/>
      <c r="L72" s="90"/>
      <c r="M72" s="90"/>
      <c r="N72" s="90"/>
      <c r="O72" s="97"/>
      <c r="P72" s="90"/>
      <c r="Q72" s="97"/>
      <c r="R72" s="90"/>
      <c r="S72" s="97"/>
      <c r="T72" s="90"/>
      <c r="U72" s="97"/>
      <c r="V72" s="90"/>
      <c r="W72" s="97"/>
      <c r="X72" s="90"/>
      <c r="Y72" s="97"/>
      <c r="Z72" s="90"/>
      <c r="AA72" s="97"/>
      <c r="AB72" s="90"/>
      <c r="AC72" s="97"/>
      <c r="AD72" s="90"/>
      <c r="AE72" s="97"/>
      <c r="AF72" s="90"/>
      <c r="AG72" s="97"/>
      <c r="AH72" s="90"/>
      <c r="AI72" s="97"/>
      <c r="AJ72" s="90"/>
      <c r="AK72" s="97"/>
      <c r="AL72" s="90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2">
      <c r="A73" s="77"/>
      <c r="B73" s="98"/>
      <c r="C73" s="83"/>
      <c r="F73" s="102"/>
      <c r="G73" s="102"/>
      <c r="H73" s="102"/>
      <c r="I73" s="97"/>
      <c r="J73" s="90"/>
      <c r="K73" s="97"/>
      <c r="L73" s="90"/>
      <c r="M73" s="90"/>
      <c r="N73" s="90"/>
      <c r="O73" s="97"/>
      <c r="P73" s="90"/>
      <c r="Q73" s="97"/>
      <c r="R73" s="90"/>
      <c r="S73" s="97"/>
      <c r="T73" s="90"/>
      <c r="U73" s="97"/>
      <c r="V73" s="90"/>
      <c r="W73" s="97"/>
      <c r="X73" s="90"/>
      <c r="Y73" s="97"/>
      <c r="Z73" s="90"/>
      <c r="AA73" s="97"/>
      <c r="AB73" s="90"/>
      <c r="AC73" s="97"/>
      <c r="AD73" s="90"/>
      <c r="AE73" s="97"/>
      <c r="AF73" s="90"/>
      <c r="AG73" s="97"/>
      <c r="AH73" s="90"/>
      <c r="AI73" s="97"/>
      <c r="AJ73" s="90"/>
      <c r="AK73" s="97"/>
      <c r="AL73" s="90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2">
      <c r="A74" s="77"/>
      <c r="B74" s="98"/>
      <c r="C74" s="83"/>
      <c r="F74" s="102"/>
      <c r="G74" s="102"/>
      <c r="H74" s="102"/>
      <c r="I74" s="97"/>
      <c r="J74" s="90"/>
      <c r="K74" s="97"/>
      <c r="L74" s="90"/>
      <c r="M74" s="90"/>
      <c r="N74" s="90"/>
      <c r="O74" s="97"/>
      <c r="P74" s="90"/>
      <c r="Q74" s="97"/>
      <c r="R74" s="90"/>
      <c r="S74" s="97"/>
      <c r="T74" s="90"/>
      <c r="U74" s="97"/>
      <c r="V74" s="90"/>
      <c r="W74" s="97"/>
      <c r="X74" s="90"/>
      <c r="Y74" s="97"/>
      <c r="Z74" s="90"/>
      <c r="AA74" s="97"/>
      <c r="AB74" s="90"/>
      <c r="AC74" s="97"/>
      <c r="AD74" s="90"/>
      <c r="AE74" s="97"/>
      <c r="AF74" s="90"/>
      <c r="AG74" s="97"/>
      <c r="AH74" s="90"/>
      <c r="AI74" s="97"/>
      <c r="AJ74" s="90"/>
      <c r="AK74" s="97"/>
      <c r="AL74" s="90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2">
      <c r="A75" s="77"/>
      <c r="B75" s="98"/>
      <c r="C75" s="83"/>
      <c r="F75" s="102"/>
      <c r="G75" s="102"/>
      <c r="H75" s="102"/>
      <c r="I75" s="97"/>
      <c r="J75" s="90"/>
      <c r="K75" s="97"/>
      <c r="L75" s="90"/>
      <c r="M75" s="90"/>
      <c r="N75" s="90"/>
      <c r="O75" s="97"/>
      <c r="P75" s="90"/>
      <c r="Q75" s="97"/>
      <c r="R75" s="90"/>
      <c r="S75" s="97"/>
      <c r="T75" s="90"/>
      <c r="U75" s="97"/>
      <c r="V75" s="90"/>
      <c r="W75" s="97"/>
      <c r="X75" s="90"/>
      <c r="Y75" s="97"/>
      <c r="Z75" s="90"/>
      <c r="AA75" s="97"/>
      <c r="AB75" s="90"/>
      <c r="AC75" s="97"/>
      <c r="AD75" s="90"/>
      <c r="AE75" s="97"/>
      <c r="AF75" s="90"/>
      <c r="AG75" s="97"/>
      <c r="AH75" s="90"/>
      <c r="AI75" s="97"/>
      <c r="AJ75" s="90"/>
      <c r="AK75" s="97"/>
      <c r="AL75" s="90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2">
      <c r="A76" s="77"/>
      <c r="B76" s="98"/>
      <c r="C76" s="83"/>
      <c r="F76" s="102"/>
      <c r="G76" s="102"/>
      <c r="H76" s="102"/>
      <c r="I76" s="97"/>
      <c r="J76" s="90"/>
      <c r="K76" s="97"/>
      <c r="L76" s="90"/>
      <c r="M76" s="90"/>
      <c r="N76" s="90"/>
      <c r="O76" s="97"/>
      <c r="P76" s="90"/>
      <c r="Q76" s="97"/>
      <c r="R76" s="90"/>
      <c r="S76" s="97"/>
      <c r="T76" s="90"/>
      <c r="U76" s="97"/>
      <c r="V76" s="90"/>
      <c r="W76" s="97"/>
      <c r="X76" s="90"/>
      <c r="Y76" s="97"/>
      <c r="Z76" s="90"/>
      <c r="AA76" s="97"/>
      <c r="AB76" s="90"/>
      <c r="AC76" s="97"/>
      <c r="AD76" s="90"/>
      <c r="AE76" s="97"/>
      <c r="AF76" s="90"/>
      <c r="AG76" s="97"/>
      <c r="AH76" s="90"/>
      <c r="AI76" s="97"/>
      <c r="AJ76" s="90"/>
      <c r="AK76" s="97"/>
      <c r="AL76" s="90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2">
      <c r="A77" s="77"/>
      <c r="B77" s="98"/>
      <c r="C77" s="83"/>
      <c r="F77" s="102"/>
      <c r="G77" s="102"/>
      <c r="H77" s="102"/>
      <c r="I77" s="97"/>
      <c r="J77" s="90"/>
      <c r="K77" s="97"/>
      <c r="L77" s="90"/>
      <c r="M77" s="90"/>
      <c r="N77" s="90"/>
      <c r="O77" s="97"/>
      <c r="P77" s="90"/>
      <c r="Q77" s="97"/>
      <c r="R77" s="90"/>
      <c r="S77" s="97"/>
      <c r="T77" s="90"/>
      <c r="U77" s="97"/>
      <c r="V77" s="90"/>
      <c r="W77" s="97"/>
      <c r="X77" s="90"/>
      <c r="Y77" s="97"/>
      <c r="Z77" s="90"/>
      <c r="AA77" s="97"/>
      <c r="AB77" s="90"/>
      <c r="AC77" s="97"/>
      <c r="AD77" s="90"/>
      <c r="AE77" s="97"/>
      <c r="AF77" s="90"/>
      <c r="AG77" s="97"/>
      <c r="AH77" s="90"/>
      <c r="AI77" s="97"/>
      <c r="AJ77" s="90"/>
      <c r="AK77" s="97"/>
      <c r="AL77" s="90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2">
      <c r="A78" s="77"/>
      <c r="B78" s="98"/>
      <c r="C78" s="83"/>
      <c r="F78" s="102"/>
      <c r="G78" s="102"/>
      <c r="H78" s="102"/>
      <c r="I78" s="97"/>
      <c r="J78" s="90"/>
      <c r="K78" s="97"/>
      <c r="L78" s="90"/>
      <c r="M78" s="90"/>
      <c r="N78" s="90"/>
      <c r="O78" s="97"/>
      <c r="P78" s="90"/>
      <c r="Q78" s="97"/>
      <c r="R78" s="90"/>
      <c r="S78" s="97"/>
      <c r="T78" s="90"/>
      <c r="U78" s="97"/>
      <c r="V78" s="90"/>
      <c r="W78" s="97"/>
      <c r="X78" s="90"/>
      <c r="Y78" s="97"/>
      <c r="Z78" s="90"/>
      <c r="AA78" s="97"/>
      <c r="AB78" s="90"/>
      <c r="AC78" s="97"/>
      <c r="AD78" s="90"/>
      <c r="AE78" s="97"/>
      <c r="AF78" s="90"/>
      <c r="AG78" s="97"/>
      <c r="AH78" s="90"/>
      <c r="AI78" s="97"/>
      <c r="AJ78" s="90"/>
      <c r="AK78" s="97"/>
      <c r="AL78" s="90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2">
      <c r="A79" s="77"/>
      <c r="B79" s="98"/>
      <c r="C79" s="83"/>
      <c r="F79" s="102"/>
      <c r="G79" s="102"/>
      <c r="H79" s="102"/>
      <c r="I79" s="97"/>
      <c r="J79" s="90"/>
      <c r="K79" s="97"/>
      <c r="L79" s="90"/>
      <c r="M79" s="90"/>
      <c r="N79" s="90"/>
      <c r="O79" s="97"/>
      <c r="P79" s="90"/>
      <c r="Q79" s="97"/>
      <c r="R79" s="90"/>
      <c r="S79" s="97"/>
      <c r="T79" s="90"/>
      <c r="U79" s="97"/>
      <c r="V79" s="90"/>
      <c r="W79" s="97"/>
      <c r="X79" s="90"/>
      <c r="Y79" s="97"/>
      <c r="Z79" s="90"/>
      <c r="AA79" s="97"/>
      <c r="AB79" s="90"/>
      <c r="AC79" s="97"/>
      <c r="AD79" s="90"/>
      <c r="AE79" s="97"/>
      <c r="AF79" s="90"/>
      <c r="AG79" s="97"/>
      <c r="AH79" s="90"/>
      <c r="AI79" s="97"/>
      <c r="AJ79" s="90"/>
      <c r="AK79" s="97"/>
      <c r="AL79" s="90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2">
      <c r="A80" s="77"/>
      <c r="B80" s="98"/>
      <c r="C80" s="83"/>
      <c r="F80" s="102"/>
      <c r="G80" s="102"/>
      <c r="H80" s="102"/>
      <c r="I80" s="97"/>
      <c r="J80" s="90"/>
      <c r="K80" s="97"/>
      <c r="L80" s="90"/>
      <c r="M80" s="90"/>
      <c r="N80" s="90"/>
      <c r="O80" s="97"/>
      <c r="P80" s="90"/>
      <c r="Q80" s="97"/>
      <c r="R80" s="90"/>
      <c r="S80" s="97"/>
      <c r="T80" s="90"/>
      <c r="U80" s="97"/>
      <c r="V80" s="90"/>
      <c r="W80" s="97"/>
      <c r="X80" s="90"/>
      <c r="Y80" s="97"/>
      <c r="Z80" s="90"/>
      <c r="AA80" s="97"/>
      <c r="AB80" s="90"/>
      <c r="AC80" s="97"/>
      <c r="AD80" s="90"/>
      <c r="AE80" s="97"/>
      <c r="AF80" s="90"/>
      <c r="AG80" s="97"/>
      <c r="AH80" s="90"/>
      <c r="AI80" s="97"/>
      <c r="AJ80" s="90"/>
      <c r="AK80" s="97"/>
      <c r="AL80" s="90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2">
      <c r="A81" s="77"/>
      <c r="B81" s="98"/>
      <c r="C81" s="83"/>
      <c r="F81" s="102"/>
      <c r="G81" s="102"/>
      <c r="H81" s="102"/>
      <c r="I81" s="97"/>
      <c r="J81" s="90"/>
      <c r="K81" s="97"/>
      <c r="L81" s="90"/>
      <c r="M81" s="90"/>
      <c r="N81" s="90"/>
      <c r="O81" s="97"/>
      <c r="P81" s="90"/>
      <c r="Q81" s="97"/>
      <c r="R81" s="90"/>
      <c r="S81" s="97"/>
      <c r="T81" s="90"/>
      <c r="U81" s="97"/>
      <c r="V81" s="90"/>
      <c r="W81" s="97"/>
      <c r="X81" s="90"/>
      <c r="Y81" s="97"/>
      <c r="Z81" s="90"/>
      <c r="AA81" s="97"/>
      <c r="AB81" s="90"/>
      <c r="AC81" s="97"/>
      <c r="AD81" s="90"/>
      <c r="AE81" s="97"/>
      <c r="AF81" s="90"/>
      <c r="AG81" s="97"/>
      <c r="AH81" s="90"/>
      <c r="AI81" s="97"/>
      <c r="AJ81" s="90"/>
      <c r="AK81" s="97"/>
      <c r="AL81" s="90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2">
      <c r="A82" s="77"/>
      <c r="B82" s="98"/>
      <c r="C82" s="83"/>
      <c r="F82" s="102"/>
      <c r="G82" s="102"/>
      <c r="H82" s="102"/>
      <c r="I82" s="97"/>
      <c r="J82" s="90"/>
      <c r="K82" s="97"/>
      <c r="L82" s="90"/>
      <c r="M82" s="90"/>
      <c r="N82" s="90"/>
      <c r="O82" s="97"/>
      <c r="P82" s="90"/>
      <c r="Q82" s="97"/>
      <c r="R82" s="90"/>
      <c r="S82" s="97"/>
      <c r="T82" s="90"/>
      <c r="U82" s="97"/>
      <c r="V82" s="90"/>
      <c r="W82" s="97"/>
      <c r="X82" s="90"/>
      <c r="Y82" s="97"/>
      <c r="Z82" s="90"/>
      <c r="AA82" s="97"/>
      <c r="AB82" s="90"/>
      <c r="AC82" s="97"/>
      <c r="AD82" s="90"/>
      <c r="AE82" s="97"/>
      <c r="AF82" s="90"/>
      <c r="AG82" s="97"/>
      <c r="AH82" s="90"/>
      <c r="AI82" s="97"/>
      <c r="AJ82" s="90"/>
      <c r="AK82" s="97"/>
      <c r="AL82" s="90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2">
      <c r="A83" s="77"/>
      <c r="B83" s="98"/>
      <c r="C83" s="83"/>
      <c r="F83" s="102"/>
      <c r="G83" s="102"/>
      <c r="H83" s="102"/>
      <c r="I83" s="97"/>
      <c r="J83" s="90"/>
      <c r="K83" s="97"/>
      <c r="L83" s="90"/>
      <c r="M83" s="90"/>
      <c r="N83" s="90"/>
      <c r="O83" s="97"/>
      <c r="P83" s="90"/>
      <c r="Q83" s="97"/>
      <c r="R83" s="90"/>
      <c r="S83" s="97"/>
      <c r="T83" s="90"/>
      <c r="U83" s="97"/>
      <c r="V83" s="90"/>
      <c r="W83" s="97"/>
      <c r="X83" s="90"/>
      <c r="Y83" s="97"/>
      <c r="Z83" s="90"/>
      <c r="AA83" s="97"/>
      <c r="AB83" s="90"/>
      <c r="AC83" s="97"/>
      <c r="AD83" s="90"/>
      <c r="AE83" s="97"/>
      <c r="AF83" s="90"/>
      <c r="AG83" s="97"/>
      <c r="AH83" s="90"/>
      <c r="AI83" s="97"/>
      <c r="AJ83" s="90"/>
      <c r="AK83" s="97"/>
      <c r="AL83" s="90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2">
      <c r="A84" s="77"/>
      <c r="B84" s="98"/>
      <c r="C84" s="83"/>
      <c r="F84" s="102"/>
      <c r="G84" s="102"/>
      <c r="H84" s="102"/>
      <c r="I84" s="97"/>
      <c r="J84" s="90"/>
      <c r="K84" s="97"/>
      <c r="L84" s="90"/>
      <c r="M84" s="90"/>
      <c r="N84" s="90"/>
      <c r="O84" s="97"/>
      <c r="P84" s="90"/>
      <c r="Q84" s="97"/>
      <c r="R84" s="90"/>
      <c r="S84" s="97"/>
      <c r="T84" s="90"/>
      <c r="U84" s="97"/>
      <c r="V84" s="90"/>
      <c r="W84" s="97"/>
      <c r="X84" s="90"/>
      <c r="Y84" s="97"/>
      <c r="Z84" s="90"/>
      <c r="AA84" s="97"/>
      <c r="AB84" s="90"/>
      <c r="AC84" s="97"/>
      <c r="AD84" s="90"/>
      <c r="AE84" s="97"/>
      <c r="AF84" s="90"/>
      <c r="AG84" s="97"/>
      <c r="AH84" s="90"/>
      <c r="AI84" s="97"/>
      <c r="AJ84" s="90"/>
      <c r="AK84" s="97"/>
      <c r="AL84" s="90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2">
      <c r="A85" s="77"/>
      <c r="B85" s="98"/>
      <c r="C85" s="83"/>
      <c r="F85" s="102"/>
      <c r="G85" s="102"/>
      <c r="H85" s="102"/>
      <c r="I85" s="97"/>
      <c r="J85" s="90"/>
      <c r="K85" s="97"/>
      <c r="L85" s="90"/>
      <c r="M85" s="90"/>
      <c r="N85" s="90"/>
      <c r="O85" s="97"/>
      <c r="P85" s="90"/>
      <c r="Q85" s="97"/>
      <c r="R85" s="90"/>
      <c r="S85" s="97"/>
      <c r="T85" s="90"/>
      <c r="U85" s="97"/>
      <c r="V85" s="90"/>
      <c r="W85" s="97"/>
      <c r="X85" s="90"/>
      <c r="Y85" s="97"/>
      <c r="Z85" s="90"/>
      <c r="AA85" s="97"/>
      <c r="AB85" s="90"/>
      <c r="AC85" s="97"/>
      <c r="AD85" s="90"/>
      <c r="AE85" s="97"/>
      <c r="AF85" s="90"/>
      <c r="AG85" s="97"/>
      <c r="AH85" s="90"/>
      <c r="AI85" s="97"/>
      <c r="AJ85" s="90"/>
      <c r="AK85" s="97"/>
      <c r="AL85" s="90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2">
      <c r="A86" s="77"/>
      <c r="B86" s="98"/>
      <c r="C86" s="83"/>
      <c r="F86" s="102"/>
      <c r="G86" s="102"/>
      <c r="H86" s="102"/>
      <c r="I86" s="97"/>
      <c r="J86" s="90"/>
      <c r="K86" s="97"/>
      <c r="L86" s="90"/>
      <c r="M86" s="90"/>
      <c r="N86" s="90"/>
      <c r="O86" s="97"/>
      <c r="P86" s="90"/>
      <c r="Q86" s="97"/>
      <c r="R86" s="90"/>
      <c r="S86" s="97"/>
      <c r="T86" s="90"/>
      <c r="U86" s="97"/>
      <c r="V86" s="90"/>
      <c r="W86" s="97"/>
      <c r="X86" s="90"/>
      <c r="Y86" s="97"/>
      <c r="Z86" s="90"/>
      <c r="AA86" s="97"/>
      <c r="AB86" s="90"/>
      <c r="AC86" s="97"/>
      <c r="AD86" s="90"/>
      <c r="AE86" s="97"/>
      <c r="AF86" s="90"/>
      <c r="AG86" s="97"/>
      <c r="AH86" s="90"/>
      <c r="AI86" s="97"/>
      <c r="AJ86" s="90"/>
      <c r="AK86" s="97"/>
      <c r="AL86" s="90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2">
      <c r="A87" s="77"/>
      <c r="B87" s="98"/>
      <c r="C87" s="83"/>
      <c r="F87" s="102"/>
      <c r="G87" s="102"/>
      <c r="H87" s="102"/>
      <c r="I87" s="97"/>
      <c r="J87" s="90"/>
      <c r="K87" s="97"/>
      <c r="L87" s="90"/>
      <c r="M87" s="90"/>
      <c r="N87" s="90"/>
      <c r="O87" s="97"/>
      <c r="P87" s="90"/>
      <c r="Q87" s="97"/>
      <c r="R87" s="90"/>
      <c r="S87" s="97"/>
      <c r="T87" s="90"/>
      <c r="U87" s="97"/>
      <c r="V87" s="90"/>
      <c r="W87" s="97"/>
      <c r="X87" s="90"/>
      <c r="Y87" s="97"/>
      <c r="Z87" s="90"/>
      <c r="AA87" s="97"/>
      <c r="AB87" s="90"/>
      <c r="AC87" s="97"/>
      <c r="AD87" s="90"/>
      <c r="AE87" s="97"/>
      <c r="AF87" s="90"/>
      <c r="AG87" s="97"/>
      <c r="AH87" s="90"/>
      <c r="AI87" s="97"/>
      <c r="AJ87" s="90"/>
      <c r="AK87" s="97"/>
      <c r="AL87" s="90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2">
      <c r="A88" s="77"/>
      <c r="B88" s="98"/>
      <c r="C88" s="83"/>
      <c r="F88" s="102"/>
      <c r="G88" s="102"/>
      <c r="H88" s="102"/>
      <c r="I88" s="97"/>
      <c r="J88" s="90"/>
      <c r="K88" s="97"/>
      <c r="L88" s="90"/>
      <c r="M88" s="90"/>
      <c r="N88" s="90"/>
      <c r="O88" s="97"/>
      <c r="P88" s="90"/>
      <c r="Q88" s="97"/>
      <c r="R88" s="90"/>
      <c r="S88" s="97"/>
      <c r="T88" s="90"/>
      <c r="U88" s="97"/>
      <c r="V88" s="90"/>
      <c r="W88" s="97"/>
      <c r="X88" s="90"/>
      <c r="Y88" s="97"/>
      <c r="Z88" s="90"/>
      <c r="AA88" s="97"/>
      <c r="AB88" s="90"/>
      <c r="AC88" s="97"/>
      <c r="AD88" s="90"/>
      <c r="AE88" s="97"/>
      <c r="AF88" s="90"/>
      <c r="AG88" s="97"/>
      <c r="AH88" s="90"/>
      <c r="AI88" s="97"/>
      <c r="AJ88" s="90"/>
      <c r="AK88" s="97"/>
      <c r="AL88" s="90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2">
      <c r="A89" s="77"/>
      <c r="B89" s="98"/>
      <c r="C89" s="83"/>
      <c r="F89" s="102"/>
      <c r="G89" s="102"/>
      <c r="H89" s="102"/>
      <c r="I89" s="97"/>
      <c r="J89" s="90"/>
      <c r="K89" s="97"/>
      <c r="L89" s="90"/>
      <c r="M89" s="90"/>
      <c r="N89" s="90"/>
      <c r="O89" s="97"/>
      <c r="P89" s="90"/>
      <c r="Q89" s="97"/>
      <c r="R89" s="90"/>
      <c r="S89" s="97"/>
      <c r="T89" s="90"/>
      <c r="U89" s="97"/>
      <c r="V89" s="90"/>
      <c r="W89" s="97"/>
      <c r="X89" s="90"/>
      <c r="Y89" s="97"/>
      <c r="Z89" s="90"/>
      <c r="AA89" s="97"/>
      <c r="AB89" s="90"/>
      <c r="AC89" s="97"/>
      <c r="AD89" s="90"/>
      <c r="AE89" s="97"/>
      <c r="AF89" s="90"/>
      <c r="AG89" s="97"/>
      <c r="AH89" s="90"/>
      <c r="AI89" s="97"/>
      <c r="AJ89" s="90"/>
      <c r="AK89" s="97"/>
      <c r="AL89" s="90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2">
      <c r="A90" s="77"/>
      <c r="B90" s="98"/>
      <c r="C90" s="83"/>
      <c r="F90" s="102"/>
      <c r="G90" s="102"/>
      <c r="H90" s="102"/>
      <c r="I90" s="97"/>
      <c r="J90" s="90"/>
      <c r="K90" s="97"/>
      <c r="L90" s="90"/>
      <c r="M90" s="90"/>
      <c r="N90" s="90"/>
      <c r="O90" s="97"/>
      <c r="P90" s="90"/>
      <c r="Q90" s="97"/>
      <c r="R90" s="90"/>
      <c r="S90" s="97"/>
      <c r="T90" s="90"/>
      <c r="U90" s="97"/>
      <c r="V90" s="90"/>
      <c r="W90" s="97"/>
      <c r="X90" s="90"/>
      <c r="Y90" s="97"/>
      <c r="Z90" s="90"/>
      <c r="AA90" s="97"/>
      <c r="AB90" s="90"/>
      <c r="AC90" s="97"/>
      <c r="AD90" s="90"/>
      <c r="AE90" s="97"/>
      <c r="AF90" s="90"/>
      <c r="AG90" s="97"/>
      <c r="AH90" s="90"/>
      <c r="AI90" s="97"/>
      <c r="AJ90" s="90"/>
      <c r="AK90" s="97"/>
      <c r="AL90" s="90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2">
      <c r="A91" s="77"/>
      <c r="B91" s="98"/>
      <c r="C91" s="83"/>
      <c r="F91" s="102"/>
      <c r="G91" s="102"/>
      <c r="H91" s="102"/>
      <c r="I91" s="97"/>
      <c r="J91" s="90"/>
      <c r="K91" s="97"/>
      <c r="L91" s="90"/>
      <c r="M91" s="90"/>
      <c r="N91" s="90"/>
      <c r="O91" s="97"/>
      <c r="P91" s="90"/>
      <c r="Q91" s="97"/>
      <c r="R91" s="90"/>
      <c r="S91" s="97"/>
      <c r="T91" s="90"/>
      <c r="U91" s="97"/>
      <c r="V91" s="90"/>
      <c r="W91" s="97"/>
      <c r="X91" s="90"/>
      <c r="Y91" s="97"/>
      <c r="Z91" s="90"/>
      <c r="AA91" s="97"/>
      <c r="AB91" s="90"/>
      <c r="AC91" s="97"/>
      <c r="AD91" s="90"/>
      <c r="AE91" s="97"/>
      <c r="AF91" s="90"/>
      <c r="AG91" s="97"/>
      <c r="AH91" s="90"/>
      <c r="AI91" s="97"/>
      <c r="AJ91" s="90"/>
      <c r="AK91" s="97"/>
      <c r="AL91" s="90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2">
      <c r="A92" s="77"/>
      <c r="B92" s="98"/>
      <c r="C92" s="83"/>
      <c r="F92" s="102"/>
      <c r="G92" s="102"/>
      <c r="H92" s="102"/>
      <c r="I92" s="97"/>
      <c r="J92" s="90"/>
      <c r="K92" s="97"/>
      <c r="L92" s="90"/>
      <c r="M92" s="90"/>
      <c r="N92" s="90"/>
      <c r="O92" s="97"/>
      <c r="P92" s="90"/>
      <c r="Q92" s="97"/>
      <c r="R92" s="90"/>
      <c r="S92" s="97"/>
      <c r="T92" s="90"/>
      <c r="U92" s="97"/>
      <c r="V92" s="90"/>
      <c r="W92" s="97"/>
      <c r="X92" s="90"/>
      <c r="Y92" s="97"/>
      <c r="Z92" s="90"/>
      <c r="AA92" s="97"/>
      <c r="AB92" s="90"/>
      <c r="AC92" s="97"/>
      <c r="AD92" s="90"/>
      <c r="AE92" s="97"/>
      <c r="AF92" s="90"/>
      <c r="AG92" s="97"/>
      <c r="AH92" s="90"/>
      <c r="AI92" s="97"/>
      <c r="AJ92" s="90"/>
      <c r="AK92" s="97"/>
      <c r="AL92" s="90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2">
      <c r="A93" s="77"/>
      <c r="B93" s="98"/>
      <c r="C93" s="83"/>
      <c r="F93" s="102"/>
      <c r="G93" s="102"/>
      <c r="H93" s="102"/>
      <c r="I93" s="97"/>
      <c r="J93" s="90"/>
      <c r="K93" s="97"/>
      <c r="L93" s="90"/>
      <c r="M93" s="90"/>
      <c r="N93" s="90"/>
      <c r="O93" s="97"/>
      <c r="P93" s="90"/>
      <c r="Q93" s="97"/>
      <c r="R93" s="90"/>
      <c r="S93" s="97"/>
      <c r="T93" s="90"/>
      <c r="U93" s="97"/>
      <c r="V93" s="90"/>
      <c r="W93" s="97"/>
      <c r="X93" s="90"/>
      <c r="Y93" s="97"/>
      <c r="Z93" s="90"/>
      <c r="AA93" s="97"/>
      <c r="AB93" s="90"/>
      <c r="AC93" s="97"/>
      <c r="AD93" s="90"/>
      <c r="AE93" s="97"/>
      <c r="AF93" s="90"/>
      <c r="AG93" s="97"/>
      <c r="AH93" s="90"/>
      <c r="AI93" s="97"/>
      <c r="AJ93" s="90"/>
      <c r="AK93" s="97"/>
      <c r="AL93" s="90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2">
      <c r="A94" s="77"/>
      <c r="B94" s="98"/>
      <c r="C94" s="83"/>
      <c r="F94" s="102"/>
      <c r="G94" s="102"/>
      <c r="H94" s="102"/>
      <c r="I94" s="97"/>
      <c r="J94" s="90"/>
      <c r="K94" s="97"/>
      <c r="L94" s="90"/>
      <c r="M94" s="90"/>
      <c r="N94" s="90"/>
      <c r="O94" s="97"/>
      <c r="P94" s="90"/>
      <c r="Q94" s="97"/>
      <c r="R94" s="90"/>
      <c r="S94" s="97"/>
      <c r="T94" s="90"/>
      <c r="U94" s="97"/>
      <c r="V94" s="90"/>
      <c r="W94" s="97"/>
      <c r="X94" s="90"/>
      <c r="Y94" s="97"/>
      <c r="Z94" s="90"/>
      <c r="AA94" s="97"/>
      <c r="AB94" s="90"/>
      <c r="AC94" s="97"/>
      <c r="AD94" s="90"/>
      <c r="AE94" s="97"/>
      <c r="AF94" s="90"/>
      <c r="AG94" s="97"/>
      <c r="AH94" s="90"/>
      <c r="AI94" s="97"/>
      <c r="AJ94" s="90"/>
      <c r="AK94" s="97"/>
      <c r="AL94" s="90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2">
      <c r="A95" s="77"/>
      <c r="B95" s="98"/>
      <c r="C95" s="83"/>
      <c r="F95" s="102"/>
      <c r="G95" s="102"/>
      <c r="H95" s="102"/>
      <c r="I95" s="97"/>
      <c r="J95" s="90"/>
      <c r="K95" s="97"/>
      <c r="L95" s="90"/>
      <c r="M95" s="90"/>
      <c r="N95" s="90"/>
      <c r="O95" s="97"/>
      <c r="P95" s="90"/>
      <c r="Q95" s="97"/>
      <c r="R95" s="90"/>
      <c r="S95" s="97"/>
      <c r="T95" s="90"/>
      <c r="U95" s="97"/>
      <c r="V95" s="90"/>
      <c r="W95" s="97"/>
      <c r="X95" s="90"/>
      <c r="Y95" s="97"/>
      <c r="Z95" s="90"/>
      <c r="AA95" s="97"/>
      <c r="AB95" s="90"/>
      <c r="AC95" s="97"/>
      <c r="AD95" s="90"/>
      <c r="AE95" s="97"/>
      <c r="AF95" s="90"/>
      <c r="AG95" s="97"/>
      <c r="AH95" s="90"/>
      <c r="AI95" s="97"/>
      <c r="AJ95" s="90"/>
      <c r="AK95" s="97"/>
      <c r="AL95" s="90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2">
      <c r="A96" s="77"/>
      <c r="B96" s="98"/>
      <c r="C96" s="83"/>
      <c r="F96" s="102"/>
      <c r="G96" s="102"/>
      <c r="H96" s="102"/>
      <c r="I96" s="97"/>
      <c r="J96" s="90"/>
      <c r="K96" s="97"/>
      <c r="L96" s="90"/>
      <c r="M96" s="90"/>
      <c r="N96" s="90"/>
      <c r="O96" s="97"/>
      <c r="P96" s="90"/>
      <c r="Q96" s="97"/>
      <c r="R96" s="90"/>
      <c r="S96" s="97"/>
      <c r="T96" s="90"/>
      <c r="U96" s="97"/>
      <c r="V96" s="90"/>
      <c r="W96" s="97"/>
      <c r="X96" s="90"/>
      <c r="Y96" s="97"/>
      <c r="Z96" s="90"/>
      <c r="AA96" s="97"/>
      <c r="AB96" s="90"/>
      <c r="AC96" s="97"/>
      <c r="AD96" s="90"/>
      <c r="AE96" s="97"/>
      <c r="AF96" s="90"/>
      <c r="AG96" s="97"/>
      <c r="AH96" s="90"/>
      <c r="AI96" s="97"/>
      <c r="AJ96" s="90"/>
      <c r="AK96" s="97"/>
      <c r="AL96" s="90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2">
      <c r="A97" s="77"/>
      <c r="B97" s="98"/>
      <c r="C97" s="83"/>
      <c r="F97" s="102"/>
      <c r="G97" s="102"/>
      <c r="H97" s="102"/>
      <c r="I97" s="97"/>
      <c r="J97" s="90"/>
      <c r="K97" s="97"/>
      <c r="L97" s="90"/>
      <c r="M97" s="90"/>
      <c r="N97" s="90"/>
      <c r="O97" s="97"/>
      <c r="P97" s="90"/>
      <c r="Q97" s="97"/>
      <c r="R97" s="90"/>
      <c r="S97" s="97"/>
      <c r="T97" s="90"/>
      <c r="U97" s="97"/>
      <c r="V97" s="90"/>
      <c r="W97" s="97"/>
      <c r="X97" s="90"/>
      <c r="Y97" s="97"/>
      <c r="Z97" s="90"/>
      <c r="AA97" s="97"/>
      <c r="AB97" s="90"/>
      <c r="AC97" s="97"/>
      <c r="AD97" s="90"/>
      <c r="AE97" s="97"/>
      <c r="AF97" s="90"/>
      <c r="AG97" s="97"/>
      <c r="AH97" s="90"/>
      <c r="AI97" s="97"/>
      <c r="AJ97" s="90"/>
      <c r="AK97" s="97"/>
      <c r="AL97" s="90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2">
      <c r="A98" s="77"/>
      <c r="B98" s="98"/>
      <c r="C98" s="83"/>
      <c r="F98" s="102"/>
      <c r="G98" s="102"/>
      <c r="H98" s="102"/>
      <c r="I98" s="97"/>
      <c r="J98" s="90"/>
      <c r="K98" s="97"/>
      <c r="L98" s="90"/>
      <c r="M98" s="90"/>
      <c r="N98" s="90"/>
      <c r="O98" s="97"/>
      <c r="P98" s="90"/>
      <c r="Q98" s="97"/>
      <c r="R98" s="90"/>
      <c r="S98" s="97"/>
      <c r="T98" s="90"/>
      <c r="U98" s="97"/>
      <c r="V98" s="90"/>
      <c r="W98" s="97"/>
      <c r="X98" s="90"/>
      <c r="Y98" s="97"/>
      <c r="Z98" s="90"/>
      <c r="AA98" s="97"/>
      <c r="AB98" s="90"/>
      <c r="AC98" s="97"/>
      <c r="AD98" s="90"/>
      <c r="AE98" s="97"/>
      <c r="AF98" s="90"/>
      <c r="AG98" s="97"/>
      <c r="AH98" s="90"/>
      <c r="AI98" s="97"/>
      <c r="AJ98" s="90"/>
      <c r="AK98" s="97"/>
      <c r="AL98" s="90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2">
      <c r="A99" s="77"/>
      <c r="B99" s="98"/>
      <c r="C99" s="83"/>
      <c r="F99" s="102"/>
      <c r="G99" s="102"/>
      <c r="H99" s="102"/>
      <c r="I99" s="97"/>
      <c r="J99" s="90"/>
      <c r="K99" s="97"/>
      <c r="L99" s="90"/>
      <c r="M99" s="90"/>
      <c r="N99" s="90"/>
      <c r="O99" s="97"/>
      <c r="P99" s="90"/>
      <c r="Q99" s="97"/>
      <c r="R99" s="90"/>
      <c r="S99" s="97"/>
      <c r="T99" s="90"/>
      <c r="U99" s="97"/>
      <c r="V99" s="90"/>
      <c r="W99" s="97"/>
      <c r="X99" s="90"/>
      <c r="Y99" s="97"/>
      <c r="Z99" s="90"/>
      <c r="AA99" s="97"/>
      <c r="AB99" s="90"/>
      <c r="AC99" s="97"/>
      <c r="AD99" s="90"/>
      <c r="AE99" s="97"/>
      <c r="AF99" s="90"/>
      <c r="AG99" s="97"/>
      <c r="AH99" s="90"/>
      <c r="AI99" s="97"/>
      <c r="AJ99" s="90"/>
      <c r="AK99" s="97"/>
      <c r="AL99" s="90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2">
      <c r="A100" s="77"/>
      <c r="B100" s="98"/>
      <c r="C100" s="83"/>
      <c r="F100" s="102"/>
      <c r="G100" s="102"/>
      <c r="H100" s="102"/>
      <c r="I100" s="97"/>
      <c r="J100" s="90"/>
      <c r="K100" s="97"/>
      <c r="L100" s="90"/>
      <c r="M100" s="90"/>
      <c r="N100" s="90"/>
      <c r="O100" s="97"/>
      <c r="P100" s="90"/>
      <c r="Q100" s="97"/>
      <c r="R100" s="90"/>
      <c r="S100" s="97"/>
      <c r="T100" s="90"/>
      <c r="U100" s="97"/>
      <c r="V100" s="90"/>
      <c r="W100" s="97"/>
      <c r="X100" s="90"/>
      <c r="Y100" s="97"/>
      <c r="Z100" s="90"/>
      <c r="AA100" s="97"/>
      <c r="AB100" s="90"/>
      <c r="AC100" s="97"/>
      <c r="AD100" s="90"/>
      <c r="AE100" s="97"/>
      <c r="AF100" s="90"/>
      <c r="AG100" s="97"/>
      <c r="AH100" s="90"/>
      <c r="AI100" s="97"/>
      <c r="AJ100" s="90"/>
      <c r="AK100" s="97"/>
      <c r="AL100" s="90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2">
      <c r="A101" s="77"/>
      <c r="B101" s="98"/>
      <c r="C101" s="83"/>
      <c r="F101" s="102"/>
      <c r="G101" s="102"/>
      <c r="H101" s="102"/>
      <c r="I101" s="97"/>
      <c r="J101" s="90"/>
      <c r="K101" s="97"/>
      <c r="L101" s="90"/>
      <c r="M101" s="90"/>
      <c r="N101" s="90"/>
      <c r="O101" s="97"/>
      <c r="P101" s="90"/>
      <c r="Q101" s="97"/>
      <c r="R101" s="90"/>
      <c r="S101" s="97"/>
      <c r="T101" s="90"/>
      <c r="U101" s="97"/>
      <c r="V101" s="90"/>
      <c r="W101" s="97"/>
      <c r="X101" s="90"/>
      <c r="Y101" s="97"/>
      <c r="Z101" s="90"/>
      <c r="AA101" s="97"/>
      <c r="AB101" s="90"/>
      <c r="AC101" s="97"/>
      <c r="AD101" s="90"/>
      <c r="AE101" s="97"/>
      <c r="AF101" s="90"/>
      <c r="AG101" s="97"/>
      <c r="AH101" s="90"/>
      <c r="AI101" s="97"/>
      <c r="AJ101" s="90"/>
      <c r="AK101" s="97"/>
      <c r="AL101" s="90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2">
      <c r="A102" s="77"/>
      <c r="B102" s="98"/>
      <c r="C102" s="83"/>
      <c r="F102" s="102"/>
      <c r="G102" s="102"/>
      <c r="H102" s="102"/>
      <c r="I102" s="97"/>
      <c r="J102" s="90"/>
      <c r="K102" s="97"/>
      <c r="L102" s="90"/>
      <c r="M102" s="90"/>
      <c r="N102" s="90"/>
      <c r="O102" s="97"/>
      <c r="P102" s="90"/>
      <c r="Q102" s="97"/>
      <c r="R102" s="90"/>
      <c r="S102" s="97"/>
      <c r="T102" s="90"/>
      <c r="U102" s="97"/>
      <c r="V102" s="90"/>
      <c r="W102" s="97"/>
      <c r="X102" s="90"/>
      <c r="Y102" s="97"/>
      <c r="Z102" s="90"/>
      <c r="AA102" s="97"/>
      <c r="AB102" s="90"/>
      <c r="AC102" s="97"/>
      <c r="AD102" s="90"/>
      <c r="AE102" s="97"/>
      <c r="AF102" s="90"/>
      <c r="AG102" s="97"/>
      <c r="AH102" s="90"/>
      <c r="AI102" s="97"/>
      <c r="AJ102" s="90"/>
      <c r="AK102" s="97"/>
      <c r="AL102" s="90"/>
      <c r="AM102" s="77"/>
      <c r="AN102" s="77"/>
      <c r="AO102" s="77"/>
      <c r="AP102" s="77"/>
      <c r="AQ102" s="77"/>
      <c r="AR102" s="77"/>
      <c r="AS102" s="77"/>
      <c r="AT102" s="77"/>
    </row>
  </sheetData>
  <mergeCells count="32"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102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K16" sqref="AK16:AK22"/>
    </sheetView>
  </sheetViews>
  <sheetFormatPr defaultColWidth="8.85546875" defaultRowHeight="14.25"/>
  <cols>
    <col min="1" max="1" width="0" style="77" hidden="1" customWidth="1"/>
    <col min="2" max="2" width="13.140625" style="77" hidden="1" customWidth="1"/>
    <col min="3" max="3" width="0" style="103" hidden="1" customWidth="1"/>
    <col min="4" max="4" width="17" style="103" customWidth="1"/>
    <col min="5" max="5" width="8.5703125" style="84" customWidth="1"/>
    <col min="6" max="8" width="17.42578125" style="104" customWidth="1"/>
    <col min="9" max="9" width="10.5703125" style="88" customWidth="1"/>
    <col min="10" max="10" width="10.5703125" style="90" customWidth="1"/>
    <col min="11" max="11" width="10.5703125" style="88" customWidth="1"/>
    <col min="12" max="12" width="10.5703125" style="90" customWidth="1"/>
    <col min="13" max="13" width="10.5703125" style="88" customWidth="1"/>
    <col min="14" max="14" width="10.5703125" style="90" customWidth="1"/>
    <col min="15" max="15" width="10.5703125" style="88" customWidth="1"/>
    <col min="16" max="16" width="10.5703125" style="90" customWidth="1"/>
    <col min="17" max="17" width="10.5703125" style="88" customWidth="1"/>
    <col min="18" max="18" width="10.5703125" style="90" customWidth="1"/>
    <col min="19" max="19" width="10.5703125" style="88" customWidth="1"/>
    <col min="20" max="20" width="10.5703125" style="90" customWidth="1"/>
    <col min="21" max="21" width="10.5703125" style="88" customWidth="1"/>
    <col min="22" max="22" width="10.5703125" style="90" customWidth="1"/>
    <col min="23" max="23" width="10.5703125" style="88" customWidth="1"/>
    <col min="24" max="24" width="10.5703125" style="90" customWidth="1"/>
    <col min="25" max="25" width="10.5703125" style="88" customWidth="1"/>
    <col min="26" max="26" width="10.5703125" style="90" customWidth="1"/>
    <col min="27" max="27" width="10.5703125" style="88" customWidth="1"/>
    <col min="28" max="28" width="10.5703125" style="90" customWidth="1"/>
    <col min="29" max="29" width="10.5703125" style="88" customWidth="1"/>
    <col min="30" max="30" width="10.5703125" style="90" customWidth="1"/>
    <col min="31" max="31" width="10.5703125" style="88" customWidth="1"/>
    <col min="32" max="32" width="10.5703125" style="90" customWidth="1"/>
    <col min="33" max="33" width="10.42578125" style="88" customWidth="1"/>
    <col min="34" max="34" width="10.42578125" style="90" customWidth="1"/>
    <col min="35" max="35" width="10.42578125" style="88" customWidth="1"/>
    <col min="36" max="36" width="10.42578125" style="90" customWidth="1"/>
    <col min="37" max="37" width="10.42578125" style="88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622" t="s">
        <v>320</v>
      </c>
      <c r="C2" s="622"/>
      <c r="D2" s="622"/>
      <c r="E2" s="622"/>
      <c r="F2" s="622"/>
      <c r="G2" s="622"/>
      <c r="H2" s="622"/>
      <c r="I2" s="622"/>
      <c r="J2" s="622"/>
      <c r="K2" s="622"/>
      <c r="L2" s="622"/>
      <c r="M2" s="622"/>
      <c r="N2" s="622"/>
      <c r="O2" s="622"/>
      <c r="P2" s="622"/>
      <c r="Q2" s="622"/>
      <c r="R2" s="622"/>
      <c r="S2" s="622"/>
      <c r="T2" s="622"/>
      <c r="U2" s="622"/>
      <c r="V2" s="622"/>
      <c r="W2" s="622"/>
      <c r="X2" s="622"/>
      <c r="Y2" s="622"/>
      <c r="Z2" s="622"/>
      <c r="AA2" s="622"/>
      <c r="AB2" s="622"/>
      <c r="AC2" s="622"/>
      <c r="AD2" s="622"/>
      <c r="AE2" s="622"/>
      <c r="AF2" s="622"/>
      <c r="AG2" s="622"/>
      <c r="AH2" s="622"/>
      <c r="AI2" s="622"/>
      <c r="AJ2" s="622"/>
      <c r="AK2" s="622"/>
      <c r="AL2" s="622"/>
    </row>
    <row r="3" spans="1:38" ht="25.35" customHeight="1">
      <c r="B3" s="98"/>
      <c r="C3" s="623" t="s">
        <v>139</v>
      </c>
      <c r="D3" s="624" t="s">
        <v>105</v>
      </c>
      <c r="E3" s="624"/>
      <c r="F3" s="631" t="s">
        <v>148</v>
      </c>
      <c r="G3" s="632"/>
      <c r="H3" s="632"/>
      <c r="I3" s="630" t="s">
        <v>318</v>
      </c>
      <c r="J3" s="630"/>
      <c r="K3" s="630"/>
      <c r="L3" s="630"/>
      <c r="M3" s="630"/>
      <c r="N3" s="630"/>
      <c r="O3" s="630"/>
      <c r="P3" s="630"/>
      <c r="Q3" s="630"/>
      <c r="R3" s="630"/>
      <c r="S3" s="630"/>
      <c r="T3" s="630"/>
      <c r="U3" s="630"/>
      <c r="V3" s="630"/>
      <c r="W3" s="630"/>
      <c r="X3" s="630"/>
      <c r="Y3" s="630"/>
      <c r="Z3" s="630"/>
      <c r="AA3" s="630"/>
      <c r="AB3" s="630"/>
      <c r="AC3" s="630"/>
      <c r="AD3" s="630"/>
      <c r="AE3" s="630"/>
      <c r="AF3" s="630"/>
      <c r="AG3" s="630"/>
      <c r="AH3" s="630"/>
      <c r="AI3" s="630"/>
      <c r="AJ3" s="630"/>
      <c r="AK3" s="630"/>
      <c r="AL3" s="630"/>
    </row>
    <row r="4" spans="1:38" ht="25.35" customHeight="1">
      <c r="B4" s="98"/>
      <c r="C4" s="623"/>
      <c r="D4" s="624"/>
      <c r="E4" s="624"/>
      <c r="F4" s="632"/>
      <c r="G4" s="632"/>
      <c r="H4" s="632"/>
      <c r="I4" s="627" t="s">
        <v>140</v>
      </c>
      <c r="J4" s="627"/>
      <c r="K4" s="627"/>
      <c r="L4" s="627"/>
      <c r="M4" s="627"/>
      <c r="N4" s="627"/>
      <c r="O4" s="627" t="s">
        <v>141</v>
      </c>
      <c r="P4" s="627"/>
      <c r="Q4" s="627"/>
      <c r="R4" s="627"/>
      <c r="S4" s="627"/>
      <c r="T4" s="627"/>
      <c r="U4" s="627" t="s">
        <v>142</v>
      </c>
      <c r="V4" s="627"/>
      <c r="W4" s="627" t="s">
        <v>143</v>
      </c>
      <c r="X4" s="627"/>
      <c r="Y4" s="627" t="s">
        <v>134</v>
      </c>
      <c r="Z4" s="627"/>
      <c r="AA4" s="627"/>
      <c r="AB4" s="627"/>
      <c r="AC4" s="627"/>
      <c r="AD4" s="627"/>
      <c r="AE4" s="627" t="s">
        <v>132</v>
      </c>
      <c r="AF4" s="627"/>
      <c r="AG4" s="627" t="s">
        <v>144</v>
      </c>
      <c r="AH4" s="627"/>
      <c r="AI4" s="627" t="s">
        <v>145</v>
      </c>
      <c r="AJ4" s="627"/>
      <c r="AK4" s="627" t="s">
        <v>138</v>
      </c>
      <c r="AL4" s="627"/>
    </row>
    <row r="5" spans="1:38" ht="25.35" customHeight="1">
      <c r="B5" s="98"/>
      <c r="C5" s="623"/>
      <c r="D5" s="624"/>
      <c r="E5" s="624"/>
      <c r="F5" s="629" t="s">
        <v>115</v>
      </c>
      <c r="G5" s="629" t="s">
        <v>117</v>
      </c>
      <c r="H5" s="629" t="s">
        <v>118</v>
      </c>
      <c r="I5" s="627" t="s">
        <v>129</v>
      </c>
      <c r="J5" s="627"/>
      <c r="K5" s="627" t="s">
        <v>130</v>
      </c>
      <c r="L5" s="627"/>
      <c r="M5" s="628" t="s">
        <v>146</v>
      </c>
      <c r="N5" s="627"/>
      <c r="O5" s="627" t="s">
        <v>129</v>
      </c>
      <c r="P5" s="627"/>
      <c r="Q5" s="627" t="s">
        <v>130</v>
      </c>
      <c r="R5" s="627"/>
      <c r="S5" s="628" t="s">
        <v>146</v>
      </c>
      <c r="T5" s="627"/>
      <c r="U5" s="627" t="s">
        <v>129</v>
      </c>
      <c r="V5" s="627"/>
      <c r="W5" s="627" t="s">
        <v>129</v>
      </c>
      <c r="X5" s="627"/>
      <c r="Y5" s="627" t="s">
        <v>129</v>
      </c>
      <c r="Z5" s="627"/>
      <c r="AA5" s="627" t="s">
        <v>130</v>
      </c>
      <c r="AB5" s="627"/>
      <c r="AC5" s="628" t="s">
        <v>146</v>
      </c>
      <c r="AD5" s="627"/>
      <c r="AE5" s="627" t="s">
        <v>129</v>
      </c>
      <c r="AF5" s="627"/>
      <c r="AG5" s="627" t="s">
        <v>129</v>
      </c>
      <c r="AH5" s="627"/>
      <c r="AI5" s="627" t="s">
        <v>129</v>
      </c>
      <c r="AJ5" s="627"/>
      <c r="AK5" s="627" t="s">
        <v>129</v>
      </c>
      <c r="AL5" s="627"/>
    </row>
    <row r="6" spans="1:38" s="80" customFormat="1" ht="23.45" customHeight="1">
      <c r="B6" s="98"/>
      <c r="C6" s="623"/>
      <c r="D6" s="624"/>
      <c r="E6" s="624"/>
      <c r="F6" s="629"/>
      <c r="G6" s="629"/>
      <c r="H6" s="629"/>
      <c r="I6" s="105" t="s">
        <v>149</v>
      </c>
      <c r="J6" s="100" t="s">
        <v>113</v>
      </c>
      <c r="K6" s="105" t="s">
        <v>149</v>
      </c>
      <c r="L6" s="100" t="s">
        <v>113</v>
      </c>
      <c r="M6" s="105" t="s">
        <v>149</v>
      </c>
      <c r="N6" s="100" t="s">
        <v>113</v>
      </c>
      <c r="O6" s="105" t="s">
        <v>149</v>
      </c>
      <c r="P6" s="100" t="s">
        <v>113</v>
      </c>
      <c r="Q6" s="105" t="s">
        <v>149</v>
      </c>
      <c r="R6" s="100" t="s">
        <v>113</v>
      </c>
      <c r="S6" s="105" t="s">
        <v>149</v>
      </c>
      <c r="T6" s="100" t="s">
        <v>113</v>
      </c>
      <c r="U6" s="105" t="s">
        <v>149</v>
      </c>
      <c r="V6" s="100" t="s">
        <v>113</v>
      </c>
      <c r="W6" s="105" t="s">
        <v>149</v>
      </c>
      <c r="X6" s="100" t="s">
        <v>113</v>
      </c>
      <c r="Y6" s="105" t="s">
        <v>149</v>
      </c>
      <c r="Z6" s="100" t="s">
        <v>113</v>
      </c>
      <c r="AA6" s="105" t="s">
        <v>149</v>
      </c>
      <c r="AB6" s="100" t="s">
        <v>113</v>
      </c>
      <c r="AC6" s="105" t="s">
        <v>149</v>
      </c>
      <c r="AD6" s="100" t="s">
        <v>113</v>
      </c>
      <c r="AE6" s="105" t="s">
        <v>149</v>
      </c>
      <c r="AF6" s="100" t="s">
        <v>113</v>
      </c>
      <c r="AG6" s="105" t="s">
        <v>149</v>
      </c>
      <c r="AH6" s="100" t="s">
        <v>113</v>
      </c>
      <c r="AI6" s="105" t="s">
        <v>149</v>
      </c>
      <c r="AJ6" s="100" t="s">
        <v>113</v>
      </c>
      <c r="AK6" s="105" t="s">
        <v>149</v>
      </c>
      <c r="AL6" s="100" t="s">
        <v>113</v>
      </c>
    </row>
    <row r="7" spans="1:38" ht="12">
      <c r="B7" s="98"/>
      <c r="C7" s="83"/>
      <c r="D7" s="86">
        <v>46054</v>
      </c>
      <c r="E7" s="86" t="s">
        <v>603</v>
      </c>
      <c r="F7" s="88">
        <f t="shared" ref="F7" si="0">SUM(M7,S7,U7,W7,AC7,AE7,AG7,AI7,AK7)</f>
        <v>213372</v>
      </c>
      <c r="G7" s="341"/>
      <c r="H7" s="88"/>
      <c r="I7" s="236">
        <v>27549</v>
      </c>
      <c r="J7" s="101">
        <f>I7/F7</f>
        <v>0.12911253585287666</v>
      </c>
      <c r="K7" s="236">
        <v>36335</v>
      </c>
      <c r="L7" s="101">
        <f>K7/F7</f>
        <v>0.17028944753763381</v>
      </c>
      <c r="M7" s="106">
        <f>SUM(I7+K7)</f>
        <v>63884</v>
      </c>
      <c r="N7" s="101">
        <f>M7/F7</f>
        <v>0.2994019833905105</v>
      </c>
      <c r="O7" s="236">
        <v>4294</v>
      </c>
      <c r="P7" s="101">
        <f>O7/F7</f>
        <v>2.0124477438464277E-2</v>
      </c>
      <c r="Q7" s="236">
        <v>2727</v>
      </c>
      <c r="R7" s="101">
        <f>Q7/F7</f>
        <v>1.2780496035093639E-2</v>
      </c>
      <c r="S7" s="106">
        <f t="shared" ref="S7" si="1">SUM(O7+Q7)</f>
        <v>7021</v>
      </c>
      <c r="T7" s="101">
        <f>S7/F7</f>
        <v>3.2904973473557919E-2</v>
      </c>
      <c r="U7" s="236">
        <v>36362</v>
      </c>
      <c r="V7" s="101">
        <f>U7/F7</f>
        <v>0.17041598710233771</v>
      </c>
      <c r="W7" s="236">
        <v>6968</v>
      </c>
      <c r="X7" s="101">
        <f>W7/F7</f>
        <v>3.2656580994694713E-2</v>
      </c>
      <c r="Y7" s="236">
        <v>23389</v>
      </c>
      <c r="Z7" s="101">
        <f>Y7/F7</f>
        <v>0.10961606958738729</v>
      </c>
      <c r="AA7" s="236">
        <v>24632</v>
      </c>
      <c r="AB7" s="101">
        <f>AA7/F7</f>
        <v>0.11544157621431116</v>
      </c>
      <c r="AC7" s="106">
        <f>SUM(Y7+AA7)</f>
        <v>48021</v>
      </c>
      <c r="AD7" s="101">
        <f>AC7/F7</f>
        <v>0.22505764580169843</v>
      </c>
      <c r="AE7" s="236">
        <v>16078</v>
      </c>
      <c r="AF7" s="101">
        <f>AE7/F7</f>
        <v>7.5351967455898616E-2</v>
      </c>
      <c r="AG7" s="236">
        <v>9146</v>
      </c>
      <c r="AH7" s="101">
        <f>AG7/F7</f>
        <v>4.2864105880809106E-2</v>
      </c>
      <c r="AI7" s="236">
        <v>11312</v>
      </c>
      <c r="AJ7" s="101">
        <f>AI7/F7</f>
        <v>5.3015390960388431E-2</v>
      </c>
      <c r="AK7" s="236">
        <v>14580</v>
      </c>
      <c r="AL7" s="101">
        <f>AK7/F7</f>
        <v>6.8331364940104611E-2</v>
      </c>
    </row>
    <row r="8" spans="1:38" ht="12">
      <c r="B8" s="98"/>
      <c r="C8" s="83"/>
      <c r="D8" s="86">
        <f t="shared" ref="D8:D36" si="2">D7+1</f>
        <v>46055</v>
      </c>
      <c r="E8" s="523" t="s">
        <v>597</v>
      </c>
      <c r="F8" s="88">
        <f>SUM(M8,S8,U8,W8,AC8,AE8,AG8,AI8,AK8)</f>
        <v>202479</v>
      </c>
      <c r="G8" s="341">
        <f>SUM(F7:F8)</f>
        <v>415851</v>
      </c>
      <c r="H8" s="364"/>
      <c r="I8" s="236">
        <v>26737</v>
      </c>
      <c r="J8" s="101">
        <f t="shared" ref="J8:J13" si="3">I8/F8</f>
        <v>0.13204826179505036</v>
      </c>
      <c r="K8" s="236">
        <v>35999</v>
      </c>
      <c r="L8" s="101">
        <f t="shared" ref="L8:L13" si="4">K8/F8</f>
        <v>0.1777912771200964</v>
      </c>
      <c r="M8" s="106">
        <f t="shared" ref="M8:M13" si="5">SUM(I8+K8)</f>
        <v>62736</v>
      </c>
      <c r="N8" s="101">
        <f t="shared" ref="N8:N13" si="6">M8/F8</f>
        <v>0.30983953891514676</v>
      </c>
      <c r="O8" s="236">
        <v>4114</v>
      </c>
      <c r="P8" s="101">
        <f t="shared" ref="P8:P13" si="7">O8/F8</f>
        <v>2.0318156450792428E-2</v>
      </c>
      <c r="Q8" s="236">
        <v>2764</v>
      </c>
      <c r="R8" s="101">
        <f t="shared" ref="R8:R45" si="8">Q8/F8</f>
        <v>1.3650798354397246E-2</v>
      </c>
      <c r="S8" s="106">
        <f t="shared" ref="S8:S14" si="9">SUM(O8+Q8)</f>
        <v>6878</v>
      </c>
      <c r="T8" s="101">
        <f t="shared" ref="T8:T13" si="10">S8/F8</f>
        <v>3.3968954805189674E-2</v>
      </c>
      <c r="U8" s="236">
        <v>35083</v>
      </c>
      <c r="V8" s="101">
        <f t="shared" ref="V8:V13" si="11">U8/F8</f>
        <v>0.17326735118209791</v>
      </c>
      <c r="W8" s="236">
        <v>5045</v>
      </c>
      <c r="X8" s="101">
        <f t="shared" ref="X8:X13" si="12">W8/F8</f>
        <v>2.4916164145417551E-2</v>
      </c>
      <c r="Y8" s="236">
        <v>19250</v>
      </c>
      <c r="Z8" s="101">
        <f t="shared" ref="Z8:Z13" si="13">Y8/F8</f>
        <v>9.507158767082019E-2</v>
      </c>
      <c r="AA8" s="236">
        <v>23052</v>
      </c>
      <c r="AB8" s="101">
        <f t="shared" ref="AB8:AB45" si="14">AA8/F8</f>
        <v>0.11384884358377906</v>
      </c>
      <c r="AC8" s="106">
        <f t="shared" ref="AC8:AC13" si="15">SUM(Y8+AA8)</f>
        <v>42302</v>
      </c>
      <c r="AD8" s="101">
        <f t="shared" ref="AD8:AD13" si="16">AC8/F8</f>
        <v>0.20892043125459925</v>
      </c>
      <c r="AE8" s="236">
        <v>15042</v>
      </c>
      <c r="AF8" s="101">
        <f t="shared" ref="AF8:AF13" si="17">AE8/F8</f>
        <v>7.4289185545167641E-2</v>
      </c>
      <c r="AG8" s="236">
        <v>8924</v>
      </c>
      <c r="AH8" s="101">
        <f t="shared" ref="AH8:AH13" si="18">AG8/F8</f>
        <v>4.4073706409059707E-2</v>
      </c>
      <c r="AI8" s="236">
        <v>11479</v>
      </c>
      <c r="AJ8" s="101">
        <f t="shared" ref="AJ8:AJ13" si="19">AI8/F8</f>
        <v>5.6692298954459472E-2</v>
      </c>
      <c r="AK8" s="236">
        <v>14990</v>
      </c>
      <c r="AL8" s="101">
        <f t="shared" ref="AL8:AL13" si="20">AK8/F8</f>
        <v>7.403236878886206E-2</v>
      </c>
    </row>
    <row r="9" spans="1:38" ht="12">
      <c r="B9" s="98"/>
      <c r="C9" s="83"/>
      <c r="D9" s="333">
        <f t="shared" si="2"/>
        <v>46056</v>
      </c>
      <c r="E9" s="333" t="s">
        <v>598</v>
      </c>
      <c r="F9" s="88">
        <f t="shared" ref="F9:F45" si="21">SUM(M9,S9,U9,W9,AC9,AE9,AG9,AI9,AK9)</f>
        <v>221093</v>
      </c>
      <c r="G9" s="341">
        <f>SUM(F9:F15)</f>
        <v>1439164</v>
      </c>
      <c r="I9" s="236">
        <v>27390</v>
      </c>
      <c r="J9" s="101">
        <f t="shared" si="3"/>
        <v>0.1238845191842347</v>
      </c>
      <c r="K9" s="236">
        <v>36052</v>
      </c>
      <c r="L9" s="101">
        <f t="shared" si="4"/>
        <v>0.1630626026151891</v>
      </c>
      <c r="M9" s="106">
        <f t="shared" si="5"/>
        <v>63442</v>
      </c>
      <c r="N9" s="101">
        <f t="shared" si="6"/>
        <v>0.28694712179942378</v>
      </c>
      <c r="O9" s="236">
        <v>4396</v>
      </c>
      <c r="P9" s="101">
        <f t="shared" si="7"/>
        <v>1.9883035645633287E-2</v>
      </c>
      <c r="Q9" s="236">
        <v>2925</v>
      </c>
      <c r="R9" s="101">
        <f t="shared" si="8"/>
        <v>1.3229726857023968E-2</v>
      </c>
      <c r="S9" s="106">
        <f t="shared" si="9"/>
        <v>7321</v>
      </c>
      <c r="T9" s="101">
        <f t="shared" si="10"/>
        <v>3.3112762502657253E-2</v>
      </c>
      <c r="U9" s="236">
        <v>32858</v>
      </c>
      <c r="V9" s="101">
        <f t="shared" si="11"/>
        <v>0.14861619318567298</v>
      </c>
      <c r="W9" s="236">
        <v>4543</v>
      </c>
      <c r="X9" s="101">
        <f t="shared" si="12"/>
        <v>2.0547914226140131E-2</v>
      </c>
      <c r="Y9" s="236">
        <v>20900</v>
      </c>
      <c r="Z9" s="101">
        <f t="shared" si="13"/>
        <v>9.4530356004034505E-2</v>
      </c>
      <c r="AA9" s="236">
        <v>23784</v>
      </c>
      <c r="AB9" s="101">
        <f t="shared" si="14"/>
        <v>0.10757464053588309</v>
      </c>
      <c r="AC9" s="106">
        <f t="shared" si="15"/>
        <v>44684</v>
      </c>
      <c r="AD9" s="101">
        <f t="shared" si="16"/>
        <v>0.20210499653991759</v>
      </c>
      <c r="AE9" s="236">
        <v>24128</v>
      </c>
      <c r="AF9" s="101">
        <f t="shared" si="17"/>
        <v>0.10913054687393993</v>
      </c>
      <c r="AG9" s="236">
        <v>8345</v>
      </c>
      <c r="AH9" s="101">
        <f t="shared" si="18"/>
        <v>3.774429764850086E-2</v>
      </c>
      <c r="AI9" s="236">
        <v>11130</v>
      </c>
      <c r="AJ9" s="101">
        <f t="shared" si="19"/>
        <v>5.0340806809804017E-2</v>
      </c>
      <c r="AK9" s="236">
        <v>24642</v>
      </c>
      <c r="AL9" s="101">
        <f t="shared" si="20"/>
        <v>0.11145536041394345</v>
      </c>
    </row>
    <row r="10" spans="1:38" ht="12">
      <c r="B10" s="98"/>
      <c r="C10" s="83"/>
      <c r="D10" s="560">
        <f t="shared" si="2"/>
        <v>46057</v>
      </c>
      <c r="E10" s="560" t="s">
        <v>599</v>
      </c>
      <c r="F10" s="88">
        <f t="shared" si="21"/>
        <v>212942</v>
      </c>
      <c r="G10" s="341"/>
      <c r="H10" s="457"/>
      <c r="I10" s="236">
        <v>27366</v>
      </c>
      <c r="J10" s="101">
        <f t="shared" si="3"/>
        <v>0.12851386762592631</v>
      </c>
      <c r="K10" s="236">
        <v>35696</v>
      </c>
      <c r="L10" s="101">
        <f t="shared" si="4"/>
        <v>0.16763250086878118</v>
      </c>
      <c r="M10" s="106">
        <f t="shared" si="5"/>
        <v>63062</v>
      </c>
      <c r="N10" s="101">
        <f t="shared" si="6"/>
        <v>0.29614636849470749</v>
      </c>
      <c r="O10" s="236">
        <v>4798</v>
      </c>
      <c r="P10" s="101">
        <f t="shared" si="7"/>
        <v>2.2531957058729606E-2</v>
      </c>
      <c r="Q10" s="236">
        <v>3049</v>
      </c>
      <c r="R10" s="101">
        <f t="shared" si="8"/>
        <v>1.4318452912060561E-2</v>
      </c>
      <c r="S10" s="106">
        <f t="shared" si="9"/>
        <v>7847</v>
      </c>
      <c r="T10" s="101">
        <f t="shared" si="10"/>
        <v>3.6850409970790171E-2</v>
      </c>
      <c r="U10" s="236">
        <v>32687</v>
      </c>
      <c r="V10" s="101">
        <f t="shared" si="11"/>
        <v>0.15350189253411728</v>
      </c>
      <c r="W10" s="236">
        <v>3471</v>
      </c>
      <c r="X10" s="101">
        <f t="shared" si="12"/>
        <v>1.6300213203595346E-2</v>
      </c>
      <c r="Y10" s="236">
        <v>21314</v>
      </c>
      <c r="Z10" s="101">
        <f t="shared" si="13"/>
        <v>0.10009298306581135</v>
      </c>
      <c r="AA10" s="236">
        <v>23528</v>
      </c>
      <c r="AB10" s="101">
        <f t="shared" si="14"/>
        <v>0.11049018042471659</v>
      </c>
      <c r="AC10" s="106">
        <f t="shared" si="15"/>
        <v>44842</v>
      </c>
      <c r="AD10" s="101">
        <f t="shared" si="16"/>
        <v>0.21058316349052794</v>
      </c>
      <c r="AE10" s="236">
        <v>19601</v>
      </c>
      <c r="AF10" s="101">
        <f t="shared" si="17"/>
        <v>9.2048539038799296E-2</v>
      </c>
      <c r="AG10" s="236">
        <v>9250</v>
      </c>
      <c r="AH10" s="101">
        <f t="shared" si="18"/>
        <v>4.3439058522978087E-2</v>
      </c>
      <c r="AI10" s="236">
        <v>12424</v>
      </c>
      <c r="AJ10" s="101">
        <f t="shared" si="19"/>
        <v>5.834452573940322E-2</v>
      </c>
      <c r="AK10" s="236">
        <v>19758</v>
      </c>
      <c r="AL10" s="101">
        <f t="shared" si="20"/>
        <v>9.27858290050812E-2</v>
      </c>
    </row>
    <row r="11" spans="1:38" ht="12">
      <c r="B11" s="98"/>
      <c r="C11" s="83"/>
      <c r="D11" s="560">
        <f t="shared" si="2"/>
        <v>46058</v>
      </c>
      <c r="E11" s="560" t="s">
        <v>600</v>
      </c>
      <c r="F11" s="88">
        <f t="shared" si="21"/>
        <v>201476</v>
      </c>
      <c r="G11" s="341"/>
      <c r="H11" s="457"/>
      <c r="I11" s="441">
        <v>25666</v>
      </c>
      <c r="J11" s="442">
        <f t="shared" si="3"/>
        <v>0.12738986281244416</v>
      </c>
      <c r="K11" s="441">
        <v>33390</v>
      </c>
      <c r="L11" s="442">
        <f t="shared" si="4"/>
        <v>0.16572693521809048</v>
      </c>
      <c r="M11" s="443">
        <f t="shared" si="5"/>
        <v>59056</v>
      </c>
      <c r="N11" s="442">
        <f t="shared" si="6"/>
        <v>0.29311679803053464</v>
      </c>
      <c r="O11" s="441">
        <v>4685</v>
      </c>
      <c r="P11" s="442">
        <f t="shared" si="7"/>
        <v>2.3253389981933333E-2</v>
      </c>
      <c r="Q11" s="441">
        <v>3067</v>
      </c>
      <c r="R11" s="442">
        <f t="shared" si="8"/>
        <v>1.5222656792868629E-2</v>
      </c>
      <c r="S11" s="443">
        <f t="shared" si="9"/>
        <v>7752</v>
      </c>
      <c r="T11" s="442">
        <f t="shared" si="10"/>
        <v>3.8476046774801959E-2</v>
      </c>
      <c r="U11" s="441">
        <v>31230</v>
      </c>
      <c r="V11" s="442">
        <f t="shared" si="11"/>
        <v>0.15500605531179892</v>
      </c>
      <c r="W11" s="441">
        <v>3783</v>
      </c>
      <c r="X11" s="442">
        <f t="shared" si="12"/>
        <v>1.8776429946991205E-2</v>
      </c>
      <c r="Y11" s="441">
        <v>20949</v>
      </c>
      <c r="Z11" s="442">
        <f t="shared" si="13"/>
        <v>0.10397764498004725</v>
      </c>
      <c r="AA11" s="441">
        <v>20250</v>
      </c>
      <c r="AB11" s="442">
        <f t="shared" si="14"/>
        <v>0.10050824912148346</v>
      </c>
      <c r="AC11" s="443">
        <f t="shared" si="15"/>
        <v>41199</v>
      </c>
      <c r="AD11" s="442">
        <f t="shared" si="16"/>
        <v>0.2044858941015307</v>
      </c>
      <c r="AE11" s="441">
        <v>19066</v>
      </c>
      <c r="AF11" s="442">
        <f t="shared" si="17"/>
        <v>9.4631618654331034E-2</v>
      </c>
      <c r="AG11" s="441">
        <v>8691</v>
      </c>
      <c r="AH11" s="442">
        <f t="shared" si="18"/>
        <v>4.3136651511842601E-2</v>
      </c>
      <c r="AI11" s="441">
        <v>11940</v>
      </c>
      <c r="AJ11" s="442">
        <f t="shared" si="19"/>
        <v>5.9262641704222838E-2</v>
      </c>
      <c r="AK11" s="441">
        <v>18759</v>
      </c>
      <c r="AL11" s="442">
        <f t="shared" si="20"/>
        <v>9.3107863963946075E-2</v>
      </c>
    </row>
    <row r="12" spans="1:38" ht="12">
      <c r="B12" s="98"/>
      <c r="C12" s="83"/>
      <c r="D12" s="560">
        <f t="shared" si="2"/>
        <v>46059</v>
      </c>
      <c r="E12" s="560" t="s">
        <v>601</v>
      </c>
      <c r="F12" s="88">
        <f t="shared" si="21"/>
        <v>182653</v>
      </c>
      <c r="G12" s="341"/>
      <c r="H12" s="457">
        <f>SUM(F7:F37)</f>
        <v>3266413</v>
      </c>
      <c r="I12" s="236">
        <v>23127</v>
      </c>
      <c r="J12" s="101">
        <f t="shared" si="3"/>
        <v>0.12661713741356562</v>
      </c>
      <c r="K12" s="236">
        <v>32439</v>
      </c>
      <c r="L12" s="101">
        <f t="shared" si="4"/>
        <v>0.17759905394381698</v>
      </c>
      <c r="M12" s="106">
        <f t="shared" si="5"/>
        <v>55566</v>
      </c>
      <c r="N12" s="101">
        <f t="shared" si="6"/>
        <v>0.30421619135738259</v>
      </c>
      <c r="O12" s="236">
        <v>3628</v>
      </c>
      <c r="P12" s="101">
        <f t="shared" si="7"/>
        <v>1.9862799954011159E-2</v>
      </c>
      <c r="Q12" s="236">
        <v>2588</v>
      </c>
      <c r="R12" s="101">
        <f t="shared" si="8"/>
        <v>1.4168943296852502E-2</v>
      </c>
      <c r="S12" s="106">
        <f t="shared" si="9"/>
        <v>6216</v>
      </c>
      <c r="T12" s="101">
        <f t="shared" si="10"/>
        <v>3.4031743250863659E-2</v>
      </c>
      <c r="U12" s="236">
        <v>26780</v>
      </c>
      <c r="V12" s="101">
        <f t="shared" si="11"/>
        <v>0.1466168089218354</v>
      </c>
      <c r="W12" s="236">
        <v>3520</v>
      </c>
      <c r="X12" s="101">
        <f t="shared" si="12"/>
        <v>1.9271514839613913E-2</v>
      </c>
      <c r="Y12" s="236">
        <v>18696</v>
      </c>
      <c r="Z12" s="101">
        <f t="shared" si="13"/>
        <v>0.10235802313676753</v>
      </c>
      <c r="AA12" s="236">
        <v>22062</v>
      </c>
      <c r="AB12" s="101">
        <f t="shared" si="14"/>
        <v>0.12078640920214834</v>
      </c>
      <c r="AC12" s="106">
        <f t="shared" si="15"/>
        <v>40758</v>
      </c>
      <c r="AD12" s="101">
        <f t="shared" si="16"/>
        <v>0.22314443233891587</v>
      </c>
      <c r="AE12" s="236">
        <v>17455</v>
      </c>
      <c r="AF12" s="101">
        <f t="shared" si="17"/>
        <v>9.5563719183369561E-2</v>
      </c>
      <c r="AG12" s="236">
        <v>6664</v>
      </c>
      <c r="AH12" s="101">
        <f t="shared" si="18"/>
        <v>3.6484481503178158E-2</v>
      </c>
      <c r="AI12" s="236">
        <v>11190</v>
      </c>
      <c r="AJ12" s="101">
        <f t="shared" si="19"/>
        <v>6.1263707686158998E-2</v>
      </c>
      <c r="AK12" s="236">
        <v>14504</v>
      </c>
      <c r="AL12" s="101">
        <f t="shared" si="20"/>
        <v>7.940740091868187E-2</v>
      </c>
    </row>
    <row r="13" spans="1:38" ht="12">
      <c r="B13" s="98"/>
      <c r="C13" s="83"/>
      <c r="D13" s="560">
        <f t="shared" si="2"/>
        <v>46060</v>
      </c>
      <c r="E13" s="560" t="s">
        <v>602</v>
      </c>
      <c r="F13" s="88">
        <f t="shared" si="21"/>
        <v>191738</v>
      </c>
      <c r="G13" s="341"/>
      <c r="H13" s="457"/>
      <c r="I13" s="236">
        <v>22402</v>
      </c>
      <c r="J13" s="101">
        <f t="shared" si="3"/>
        <v>0.11683651649646914</v>
      </c>
      <c r="K13" s="236">
        <v>34955</v>
      </c>
      <c r="L13" s="101">
        <f t="shared" si="4"/>
        <v>0.18230606348246045</v>
      </c>
      <c r="M13" s="106">
        <f t="shared" si="5"/>
        <v>57357</v>
      </c>
      <c r="N13" s="101">
        <f t="shared" si="6"/>
        <v>0.29914257997892957</v>
      </c>
      <c r="O13" s="236">
        <v>3363</v>
      </c>
      <c r="P13" s="101">
        <f t="shared" si="7"/>
        <v>1.7539559190144886E-2</v>
      </c>
      <c r="Q13" s="236">
        <v>2403</v>
      </c>
      <c r="R13" s="101">
        <f t="shared" si="8"/>
        <v>1.2532726950317621E-2</v>
      </c>
      <c r="S13" s="106">
        <f t="shared" si="9"/>
        <v>5766</v>
      </c>
      <c r="T13" s="101">
        <f t="shared" si="10"/>
        <v>3.0072286140462506E-2</v>
      </c>
      <c r="U13" s="236">
        <v>29285</v>
      </c>
      <c r="V13" s="101">
        <f t="shared" si="11"/>
        <v>0.15273446056598067</v>
      </c>
      <c r="W13" s="236">
        <v>3108</v>
      </c>
      <c r="X13" s="101">
        <f t="shared" si="12"/>
        <v>1.6209619376440769E-2</v>
      </c>
      <c r="Y13" s="236">
        <v>19245</v>
      </c>
      <c r="Z13" s="101">
        <f t="shared" si="13"/>
        <v>0.1003713400577872</v>
      </c>
      <c r="AA13" s="236">
        <v>22311</v>
      </c>
      <c r="AB13" s="101">
        <f t="shared" si="14"/>
        <v>0.11636191052373551</v>
      </c>
      <c r="AC13" s="106">
        <f t="shared" si="15"/>
        <v>41556</v>
      </c>
      <c r="AD13" s="101">
        <f t="shared" si="16"/>
        <v>0.21673325058152271</v>
      </c>
      <c r="AE13" s="236">
        <v>20673</v>
      </c>
      <c r="AF13" s="101">
        <f t="shared" si="17"/>
        <v>0.10781900301453025</v>
      </c>
      <c r="AG13" s="236">
        <v>7356</v>
      </c>
      <c r="AH13" s="101">
        <f t="shared" si="18"/>
        <v>3.8364852037676415E-2</v>
      </c>
      <c r="AI13" s="236">
        <v>10962</v>
      </c>
      <c r="AJ13" s="101">
        <f t="shared" si="19"/>
        <v>5.7171765638527577E-2</v>
      </c>
      <c r="AK13" s="236">
        <v>15675</v>
      </c>
      <c r="AL13" s="101">
        <f t="shared" si="20"/>
        <v>8.1752182665929554E-2</v>
      </c>
    </row>
    <row r="14" spans="1:38" ht="12">
      <c r="B14" s="98"/>
      <c r="C14" s="83"/>
      <c r="D14" s="560">
        <f t="shared" si="2"/>
        <v>46061</v>
      </c>
      <c r="E14" s="560" t="s">
        <v>603</v>
      </c>
      <c r="F14" s="88">
        <f t="shared" si="21"/>
        <v>218352</v>
      </c>
      <c r="G14" s="341"/>
      <c r="H14" s="457"/>
      <c r="I14" s="236">
        <v>26718</v>
      </c>
      <c r="J14" s="101">
        <f>I14/F14</f>
        <v>0.12236205759507585</v>
      </c>
      <c r="K14" s="236">
        <v>36788</v>
      </c>
      <c r="L14" s="101">
        <f>K14/F14</f>
        <v>0.16848025207005202</v>
      </c>
      <c r="M14" s="106">
        <f>SUM(I14+K14)</f>
        <v>63506</v>
      </c>
      <c r="N14" s="101">
        <f>M14/F14</f>
        <v>0.29084230966512786</v>
      </c>
      <c r="O14" s="236">
        <v>4547</v>
      </c>
      <c r="P14" s="101">
        <f>O14/F14</f>
        <v>2.0824173811094013E-2</v>
      </c>
      <c r="Q14" s="236">
        <v>2826</v>
      </c>
      <c r="R14" s="101">
        <f t="shared" si="8"/>
        <v>1.2942404924159157E-2</v>
      </c>
      <c r="S14" s="106">
        <f t="shared" si="9"/>
        <v>7373</v>
      </c>
      <c r="T14" s="101">
        <f>S14/F14</f>
        <v>3.3766578735253169E-2</v>
      </c>
      <c r="U14" s="236">
        <v>35010</v>
      </c>
      <c r="V14" s="101">
        <f>U14/F14</f>
        <v>0.16033743679929655</v>
      </c>
      <c r="W14" s="236">
        <v>3622</v>
      </c>
      <c r="X14" s="101">
        <f>W14/F14</f>
        <v>1.6587894775408514E-2</v>
      </c>
      <c r="Y14" s="236">
        <v>21541</v>
      </c>
      <c r="Z14" s="101">
        <f>Y14/F14</f>
        <v>9.8652634278596024E-2</v>
      </c>
      <c r="AA14" s="236">
        <v>24652</v>
      </c>
      <c r="AB14" s="101">
        <f t="shared" si="14"/>
        <v>0.11290027112185828</v>
      </c>
      <c r="AC14" s="106">
        <f>SUM(Y14+AA14)</f>
        <v>46193</v>
      </c>
      <c r="AD14" s="101">
        <f>AC14/F14</f>
        <v>0.21155290540045432</v>
      </c>
      <c r="AE14" s="236">
        <v>23055</v>
      </c>
      <c r="AF14" s="101">
        <f>AE14/F14</f>
        <v>0.10558639261376127</v>
      </c>
      <c r="AG14" s="236">
        <v>8345</v>
      </c>
      <c r="AH14" s="101">
        <f>AG14/F14</f>
        <v>3.821810654356269E-2</v>
      </c>
      <c r="AI14" s="236">
        <v>12015</v>
      </c>
      <c r="AJ14" s="101">
        <f>AI14/F14</f>
        <v>5.5025829852714883E-2</v>
      </c>
      <c r="AK14" s="236">
        <v>19233</v>
      </c>
      <c r="AL14" s="101">
        <f>AK14/F14</f>
        <v>8.8082545614420749E-2</v>
      </c>
    </row>
    <row r="15" spans="1:38" ht="12">
      <c r="B15" s="98"/>
      <c r="C15" s="83"/>
      <c r="D15" s="560">
        <f t="shared" si="2"/>
        <v>46062</v>
      </c>
      <c r="E15" s="560" t="s">
        <v>597</v>
      </c>
      <c r="F15" s="88">
        <f t="shared" si="21"/>
        <v>210910</v>
      </c>
      <c r="G15" s="341"/>
      <c r="H15" s="457"/>
      <c r="I15" s="236">
        <v>25958</v>
      </c>
      <c r="J15" s="101">
        <f t="shared" ref="J15" si="22">I15/F15</f>
        <v>0.12307619363709639</v>
      </c>
      <c r="K15" s="236">
        <v>36249</v>
      </c>
      <c r="L15" s="101">
        <f t="shared" ref="L15" si="23">K15/F15</f>
        <v>0.17186951780380258</v>
      </c>
      <c r="M15" s="106">
        <f t="shared" ref="M15" si="24">SUM(I15+K15)</f>
        <v>62207</v>
      </c>
      <c r="N15" s="101">
        <f t="shared" ref="N15" si="25">M15/F15</f>
        <v>0.29494571144089898</v>
      </c>
      <c r="O15" s="236">
        <v>4362</v>
      </c>
      <c r="P15" s="101">
        <f t="shared" ref="P15" si="26">O15/F15</f>
        <v>2.0681807406002561E-2</v>
      </c>
      <c r="Q15" s="236">
        <v>2822</v>
      </c>
      <c r="R15" s="101">
        <f t="shared" si="8"/>
        <v>1.3380114740884737E-2</v>
      </c>
      <c r="S15" s="106">
        <f t="shared" ref="S15" si="27">SUM(O15+Q15)</f>
        <v>7184</v>
      </c>
      <c r="T15" s="101">
        <f t="shared" ref="T15" si="28">S15/F15</f>
        <v>3.4061922146887295E-2</v>
      </c>
      <c r="U15" s="236">
        <v>34930</v>
      </c>
      <c r="V15" s="101">
        <f t="shared" ref="V15" si="29">U15/F15</f>
        <v>0.1656156654497179</v>
      </c>
      <c r="W15" s="236">
        <v>3690</v>
      </c>
      <c r="X15" s="101">
        <f t="shared" ref="X15" si="30">W15/F15</f>
        <v>1.7495614243042055E-2</v>
      </c>
      <c r="Y15" s="236">
        <v>20625</v>
      </c>
      <c r="Z15" s="101">
        <f t="shared" ref="Z15" si="31">Y15/F15</f>
        <v>9.7790526764970839E-2</v>
      </c>
      <c r="AA15" s="236">
        <v>23218</v>
      </c>
      <c r="AB15" s="101">
        <f t="shared" si="14"/>
        <v>0.11008487032383481</v>
      </c>
      <c r="AC15" s="106">
        <f t="shared" ref="AC15" si="32">SUM(Y15+AA15)</f>
        <v>43843</v>
      </c>
      <c r="AD15" s="101">
        <f t="shared" ref="AD15" si="33">AC15/F15</f>
        <v>0.20787539708880565</v>
      </c>
      <c r="AE15" s="236">
        <v>20177</v>
      </c>
      <c r="AF15" s="101">
        <f t="shared" ref="AF15" si="34">AE15/F15</f>
        <v>9.5666397989663837E-2</v>
      </c>
      <c r="AG15" s="236">
        <v>8534</v>
      </c>
      <c r="AH15" s="101">
        <f t="shared" ref="AH15" si="35">AG15/F15</f>
        <v>4.0462756626049028E-2</v>
      </c>
      <c r="AI15" s="236">
        <v>12484</v>
      </c>
      <c r="AJ15" s="101">
        <f t="shared" ref="AJ15" si="36">AI15/F15</f>
        <v>5.9191124176188895E-2</v>
      </c>
      <c r="AK15" s="236">
        <v>17861</v>
      </c>
      <c r="AL15" s="101">
        <f t="shared" ref="AL15" si="37">AK15/F15</f>
        <v>8.4685410838746381E-2</v>
      </c>
    </row>
    <row r="16" spans="1:38" ht="12">
      <c r="B16" s="98"/>
      <c r="C16" s="83"/>
      <c r="D16" s="523">
        <f t="shared" si="2"/>
        <v>46063</v>
      </c>
      <c r="E16" s="523" t="s">
        <v>598</v>
      </c>
      <c r="F16" s="88">
        <f t="shared" si="21"/>
        <v>208026</v>
      </c>
      <c r="G16" s="341">
        <f>SUM(F16:F22)</f>
        <v>1411398</v>
      </c>
      <c r="H16" s="457"/>
      <c r="I16" s="236">
        <v>25888</v>
      </c>
      <c r="J16" s="101">
        <f t="shared" ref="J16:J41" si="38">I16/F16</f>
        <v>0.12444598271369925</v>
      </c>
      <c r="K16" s="236">
        <v>35625</v>
      </c>
      <c r="L16" s="101">
        <f t="shared" ref="L16:L41" si="39">K16/F16</f>
        <v>0.17125263188255313</v>
      </c>
      <c r="M16" s="106">
        <f t="shared" ref="M16:M41" si="40">SUM(I16+K16)</f>
        <v>61513</v>
      </c>
      <c r="N16" s="101">
        <f t="shared" ref="N16:N41" si="41">M16/F16</f>
        <v>0.29569861459625241</v>
      </c>
      <c r="O16" s="236">
        <v>4252</v>
      </c>
      <c r="P16" s="101">
        <f t="shared" ref="P16:P41" si="42">O16/F16</f>
        <v>2.043975272321729E-2</v>
      </c>
      <c r="Q16" s="236">
        <v>2826</v>
      </c>
      <c r="R16" s="101">
        <f t="shared" si="8"/>
        <v>1.3584840356493899E-2</v>
      </c>
      <c r="S16" s="106">
        <f t="shared" ref="S16:S45" si="43">SUM(O16+Q16)</f>
        <v>7078</v>
      </c>
      <c r="T16" s="101">
        <f t="shared" ref="T16:T41" si="44">S16/F16</f>
        <v>3.4024593079711188E-2</v>
      </c>
      <c r="U16" s="236">
        <v>33951</v>
      </c>
      <c r="V16" s="101">
        <f t="shared" ref="V16:V41" si="45">U16/F16</f>
        <v>0.16320556084335611</v>
      </c>
      <c r="W16" s="236">
        <v>3808</v>
      </c>
      <c r="X16" s="101">
        <f t="shared" ref="X16:X41" si="46">W16/F16</f>
        <v>1.8305404132175785E-2</v>
      </c>
      <c r="Y16" s="236">
        <v>22296</v>
      </c>
      <c r="Z16" s="101">
        <f t="shared" ref="Z16:Z41" si="47">Y16/F16</f>
        <v>0.10717891032851663</v>
      </c>
      <c r="AA16" s="236">
        <v>23566</v>
      </c>
      <c r="AB16" s="101">
        <f t="shared" si="14"/>
        <v>0.11328391643352273</v>
      </c>
      <c r="AC16" s="106">
        <f t="shared" ref="AC16:AC41" si="48">SUM(Y16+AA16)</f>
        <v>45862</v>
      </c>
      <c r="AD16" s="101">
        <f t="shared" ref="AD16:AD41" si="49">AC16/F16</f>
        <v>0.22046282676203935</v>
      </c>
      <c r="AE16" s="236">
        <v>20726</v>
      </c>
      <c r="AF16" s="101">
        <f t="shared" ref="AF16:AF41" si="50">AE16/F16</f>
        <v>9.963177679713113E-2</v>
      </c>
      <c r="AG16" s="236">
        <v>7909</v>
      </c>
      <c r="AH16" s="101">
        <f t="shared" ref="AH16:AH41" si="51">AG16/F16</f>
        <v>3.8019286050782114E-2</v>
      </c>
      <c r="AI16" s="236">
        <v>10819</v>
      </c>
      <c r="AJ16" s="101">
        <f t="shared" ref="AJ16:AJ41" si="52">AI16/F16</f>
        <v>5.2007922086662245E-2</v>
      </c>
      <c r="AK16" s="236">
        <v>16360</v>
      </c>
      <c r="AL16" s="101">
        <f t="shared" ref="AL16:AL41" si="53">AK16/F16</f>
        <v>7.8644015651889665E-2</v>
      </c>
    </row>
    <row r="17" spans="2:38" ht="12">
      <c r="B17" s="98"/>
      <c r="C17" s="83"/>
      <c r="D17" s="561">
        <f t="shared" si="2"/>
        <v>46064</v>
      </c>
      <c r="E17" s="561" t="s">
        <v>599</v>
      </c>
      <c r="F17" s="88">
        <f t="shared" si="21"/>
        <v>201231</v>
      </c>
      <c r="G17" s="341"/>
      <c r="H17" s="457"/>
      <c r="I17" s="236">
        <v>25288</v>
      </c>
      <c r="J17" s="101">
        <f t="shared" si="38"/>
        <v>0.12566652255368208</v>
      </c>
      <c r="K17" s="236">
        <v>33430</v>
      </c>
      <c r="L17" s="101">
        <f t="shared" si="39"/>
        <v>0.16612748532780736</v>
      </c>
      <c r="M17" s="106">
        <f t="shared" si="40"/>
        <v>58718</v>
      </c>
      <c r="N17" s="101">
        <f t="shared" si="41"/>
        <v>0.29179400788148946</v>
      </c>
      <c r="O17" s="236">
        <v>4763</v>
      </c>
      <c r="P17" s="101">
        <f t="shared" si="42"/>
        <v>2.3669315363934979E-2</v>
      </c>
      <c r="Q17" s="236">
        <v>3026</v>
      </c>
      <c r="R17" s="101">
        <f t="shared" si="8"/>
        <v>1.5037444528924471E-2</v>
      </c>
      <c r="S17" s="106">
        <f t="shared" si="43"/>
        <v>7789</v>
      </c>
      <c r="T17" s="101">
        <f t="shared" si="44"/>
        <v>3.8706759892859453E-2</v>
      </c>
      <c r="U17" s="236">
        <v>32085</v>
      </c>
      <c r="V17" s="101">
        <f t="shared" si="45"/>
        <v>0.15944362449125632</v>
      </c>
      <c r="W17" s="236">
        <v>4160</v>
      </c>
      <c r="X17" s="101">
        <f t="shared" si="46"/>
        <v>2.0672759167325114E-2</v>
      </c>
      <c r="Y17" s="236">
        <v>21297</v>
      </c>
      <c r="Z17" s="101">
        <f t="shared" si="47"/>
        <v>0.10583359422752955</v>
      </c>
      <c r="AA17" s="236">
        <v>25196</v>
      </c>
      <c r="AB17" s="101">
        <f t="shared" si="14"/>
        <v>0.12520933653363547</v>
      </c>
      <c r="AC17" s="106">
        <f t="shared" si="48"/>
        <v>46493</v>
      </c>
      <c r="AD17" s="101">
        <f t="shared" si="49"/>
        <v>0.23104293076116503</v>
      </c>
      <c r="AE17" s="236">
        <v>18713</v>
      </c>
      <c r="AF17" s="101">
        <f t="shared" si="50"/>
        <v>9.2992630360133374E-2</v>
      </c>
      <c r="AG17" s="236">
        <v>7348</v>
      </c>
      <c r="AH17" s="101">
        <f t="shared" si="51"/>
        <v>3.6515248644592532E-2</v>
      </c>
      <c r="AI17" s="236">
        <v>10381</v>
      </c>
      <c r="AJ17" s="101">
        <f t="shared" si="52"/>
        <v>5.1587479066346635E-2</v>
      </c>
      <c r="AK17" s="236">
        <v>15544</v>
      </c>
      <c r="AL17" s="101">
        <f t="shared" si="53"/>
        <v>7.7244559734832102E-2</v>
      </c>
    </row>
    <row r="18" spans="2:38" ht="12">
      <c r="B18" s="98"/>
      <c r="C18" s="83"/>
      <c r="D18" s="561">
        <f t="shared" si="2"/>
        <v>46065</v>
      </c>
      <c r="E18" s="561" t="s">
        <v>600</v>
      </c>
      <c r="F18" s="88">
        <f t="shared" si="21"/>
        <v>195501</v>
      </c>
      <c r="G18" s="341"/>
      <c r="H18" s="457"/>
      <c r="I18" s="236">
        <v>22960</v>
      </c>
      <c r="J18" s="101">
        <f t="shared" si="38"/>
        <v>0.1174418545173682</v>
      </c>
      <c r="K18" s="236">
        <v>31017</v>
      </c>
      <c r="L18" s="101">
        <f t="shared" si="39"/>
        <v>0.15865391992879832</v>
      </c>
      <c r="M18" s="106">
        <f t="shared" si="40"/>
        <v>53977</v>
      </c>
      <c r="N18" s="101">
        <f t="shared" si="41"/>
        <v>0.27609577444616651</v>
      </c>
      <c r="O18" s="236">
        <v>4716</v>
      </c>
      <c r="P18" s="101">
        <f t="shared" si="42"/>
        <v>2.4122638758881029E-2</v>
      </c>
      <c r="Q18" s="236">
        <v>3185</v>
      </c>
      <c r="R18" s="101">
        <f t="shared" si="8"/>
        <v>1.6291476769939795E-2</v>
      </c>
      <c r="S18" s="106">
        <f t="shared" si="43"/>
        <v>7901</v>
      </c>
      <c r="T18" s="101">
        <f t="shared" si="44"/>
        <v>4.0414115528820828E-2</v>
      </c>
      <c r="U18" s="236">
        <v>34188</v>
      </c>
      <c r="V18" s="101">
        <f t="shared" si="45"/>
        <v>0.17487378581183727</v>
      </c>
      <c r="W18" s="236">
        <v>2773</v>
      </c>
      <c r="X18" s="101">
        <f t="shared" si="46"/>
        <v>1.4184070669715245E-2</v>
      </c>
      <c r="Y18" s="236">
        <v>19631</v>
      </c>
      <c r="Z18" s="101">
        <f t="shared" si="47"/>
        <v>0.10041380862501982</v>
      </c>
      <c r="AA18" s="236">
        <v>23858</v>
      </c>
      <c r="AB18" s="101">
        <f t="shared" si="14"/>
        <v>0.12203518140572171</v>
      </c>
      <c r="AC18" s="106">
        <f t="shared" si="48"/>
        <v>43489</v>
      </c>
      <c r="AD18" s="101">
        <f t="shared" si="49"/>
        <v>0.22244899003074153</v>
      </c>
      <c r="AE18" s="236">
        <v>18139</v>
      </c>
      <c r="AF18" s="101">
        <f t="shared" si="50"/>
        <v>9.2782134106730918E-2</v>
      </c>
      <c r="AG18" s="236">
        <v>6842</v>
      </c>
      <c r="AH18" s="101">
        <f t="shared" si="51"/>
        <v>3.499726344110772E-2</v>
      </c>
      <c r="AI18" s="236">
        <v>12654</v>
      </c>
      <c r="AJ18" s="101">
        <f t="shared" si="52"/>
        <v>6.4726011631654062E-2</v>
      </c>
      <c r="AK18" s="236">
        <v>15538</v>
      </c>
      <c r="AL18" s="101">
        <f t="shared" si="53"/>
        <v>7.947785433322592E-2</v>
      </c>
    </row>
    <row r="19" spans="2:38" ht="12">
      <c r="B19" s="98"/>
      <c r="C19" s="83"/>
      <c r="D19" s="561">
        <f t="shared" si="2"/>
        <v>46066</v>
      </c>
      <c r="E19" s="561" t="s">
        <v>601</v>
      </c>
      <c r="F19" s="88">
        <f t="shared" si="21"/>
        <v>188964</v>
      </c>
      <c r="G19" s="341"/>
      <c r="H19" s="457"/>
      <c r="I19" s="236">
        <v>22596</v>
      </c>
      <c r="J19" s="101">
        <f t="shared" si="38"/>
        <v>0.11957833238077094</v>
      </c>
      <c r="K19" s="236">
        <v>30406</v>
      </c>
      <c r="L19" s="101">
        <f t="shared" si="39"/>
        <v>0.16090895620329798</v>
      </c>
      <c r="M19" s="106">
        <f t="shared" si="40"/>
        <v>53002</v>
      </c>
      <c r="N19" s="101">
        <f t="shared" si="41"/>
        <v>0.28048728858406891</v>
      </c>
      <c r="O19" s="236">
        <v>4628</v>
      </c>
      <c r="P19" s="101">
        <f t="shared" si="42"/>
        <v>2.4491437522491055E-2</v>
      </c>
      <c r="Q19" s="236">
        <v>2556</v>
      </c>
      <c r="R19" s="101">
        <f t="shared" si="8"/>
        <v>1.3526385978281577E-2</v>
      </c>
      <c r="S19" s="106">
        <f t="shared" si="43"/>
        <v>7184</v>
      </c>
      <c r="T19" s="101">
        <f t="shared" si="44"/>
        <v>3.8017823500772631E-2</v>
      </c>
      <c r="U19" s="236">
        <v>30514</v>
      </c>
      <c r="V19" s="101">
        <f t="shared" si="45"/>
        <v>0.16148049363900002</v>
      </c>
      <c r="W19" s="236">
        <v>2319</v>
      </c>
      <c r="X19" s="101">
        <f t="shared" si="46"/>
        <v>1.2272178827713216E-2</v>
      </c>
      <c r="Y19" s="236">
        <v>19328</v>
      </c>
      <c r="Z19" s="101">
        <f t="shared" si="47"/>
        <v>0.10228403293749073</v>
      </c>
      <c r="AA19" s="236">
        <v>26649</v>
      </c>
      <c r="AB19" s="101">
        <f t="shared" si="14"/>
        <v>0.141026862259478</v>
      </c>
      <c r="AC19" s="106">
        <f t="shared" si="48"/>
        <v>45977</v>
      </c>
      <c r="AD19" s="101">
        <f t="shared" si="49"/>
        <v>0.24331089519696875</v>
      </c>
      <c r="AE19" s="236">
        <v>16760</v>
      </c>
      <c r="AF19" s="101">
        <f t="shared" si="50"/>
        <v>8.8694142799686709E-2</v>
      </c>
      <c r="AG19" s="236">
        <v>4938</v>
      </c>
      <c r="AH19" s="101">
        <f t="shared" si="51"/>
        <v>2.6131961643487647E-2</v>
      </c>
      <c r="AI19" s="236">
        <v>12843</v>
      </c>
      <c r="AJ19" s="101">
        <f t="shared" si="52"/>
        <v>6.7965326728900738E-2</v>
      </c>
      <c r="AK19" s="236">
        <v>15427</v>
      </c>
      <c r="AL19" s="101">
        <f t="shared" si="53"/>
        <v>8.1639889079401368E-2</v>
      </c>
    </row>
    <row r="20" spans="2:38" ht="12">
      <c r="B20" s="98"/>
      <c r="C20" s="83"/>
      <c r="D20" s="561">
        <f t="shared" si="2"/>
        <v>46067</v>
      </c>
      <c r="E20" s="561" t="s">
        <v>602</v>
      </c>
      <c r="F20" s="88">
        <f t="shared" si="21"/>
        <v>202302</v>
      </c>
      <c r="G20" s="341"/>
      <c r="H20" s="457"/>
      <c r="I20" s="236">
        <v>22255</v>
      </c>
      <c r="J20" s="101">
        <f t="shared" si="38"/>
        <v>0.11000879872665618</v>
      </c>
      <c r="K20" s="236">
        <v>30681</v>
      </c>
      <c r="L20" s="101">
        <f t="shared" si="39"/>
        <v>0.15165940030251801</v>
      </c>
      <c r="M20" s="106">
        <f t="shared" si="40"/>
        <v>52936</v>
      </c>
      <c r="N20" s="101">
        <f t="shared" si="41"/>
        <v>0.26166819902917421</v>
      </c>
      <c r="O20" s="236">
        <v>4461</v>
      </c>
      <c r="P20" s="101">
        <f t="shared" si="42"/>
        <v>2.2051190793961502E-2</v>
      </c>
      <c r="Q20" s="236">
        <v>2566</v>
      </c>
      <c r="R20" s="101">
        <f t="shared" si="8"/>
        <v>1.2684007078526164E-2</v>
      </c>
      <c r="S20" s="106">
        <f t="shared" si="43"/>
        <v>7027</v>
      </c>
      <c r="T20" s="101">
        <f t="shared" si="44"/>
        <v>3.4735197872487668E-2</v>
      </c>
      <c r="U20" s="236">
        <v>33837</v>
      </c>
      <c r="V20" s="101">
        <f t="shared" si="45"/>
        <v>0.16725983925022986</v>
      </c>
      <c r="W20" s="236">
        <v>2492</v>
      </c>
      <c r="X20" s="101">
        <f t="shared" si="46"/>
        <v>1.2318217318662198E-2</v>
      </c>
      <c r="Y20" s="236">
        <v>21528</v>
      </c>
      <c r="Z20" s="101">
        <f t="shared" si="47"/>
        <v>0.10641516149123588</v>
      </c>
      <c r="AA20" s="236">
        <v>28458</v>
      </c>
      <c r="AB20" s="101">
        <f t="shared" si="14"/>
        <v>0.14067087819200996</v>
      </c>
      <c r="AC20" s="106">
        <f t="shared" si="48"/>
        <v>49986</v>
      </c>
      <c r="AD20" s="101">
        <f t="shared" si="49"/>
        <v>0.24708603968324583</v>
      </c>
      <c r="AE20" s="236">
        <v>17981</v>
      </c>
      <c r="AF20" s="101">
        <f t="shared" si="50"/>
        <v>8.888196854208065E-2</v>
      </c>
      <c r="AG20" s="236">
        <v>6177</v>
      </c>
      <c r="AH20" s="101">
        <f t="shared" si="51"/>
        <v>3.0533558738915088E-2</v>
      </c>
      <c r="AI20" s="236">
        <v>15758</v>
      </c>
      <c r="AJ20" s="101">
        <f t="shared" si="52"/>
        <v>7.7893446431572602E-2</v>
      </c>
      <c r="AK20" s="236">
        <v>16108</v>
      </c>
      <c r="AL20" s="101">
        <f t="shared" si="53"/>
        <v>7.9623533133631894E-2</v>
      </c>
    </row>
    <row r="21" spans="2:38" ht="12">
      <c r="B21" s="98"/>
      <c r="C21" s="83"/>
      <c r="D21" s="561">
        <f t="shared" si="2"/>
        <v>46068</v>
      </c>
      <c r="E21" s="561" t="s">
        <v>603</v>
      </c>
      <c r="F21" s="88">
        <f t="shared" si="21"/>
        <v>207251</v>
      </c>
      <c r="G21" s="341"/>
      <c r="H21" s="457"/>
      <c r="I21" s="236">
        <v>22779</v>
      </c>
      <c r="J21" s="101">
        <f t="shared" si="38"/>
        <v>0.10991020549961159</v>
      </c>
      <c r="K21" s="236">
        <v>33209</v>
      </c>
      <c r="L21" s="101">
        <f t="shared" si="39"/>
        <v>0.16023565628151373</v>
      </c>
      <c r="M21" s="106">
        <f t="shared" si="40"/>
        <v>55988</v>
      </c>
      <c r="N21" s="101">
        <f t="shared" si="41"/>
        <v>0.27014586178112532</v>
      </c>
      <c r="O21" s="236">
        <v>4324</v>
      </c>
      <c r="P21" s="101">
        <f t="shared" si="42"/>
        <v>2.0863590525498067E-2</v>
      </c>
      <c r="Q21" s="236">
        <v>2610</v>
      </c>
      <c r="R21" s="101">
        <f t="shared" si="8"/>
        <v>1.2593425363448187E-2</v>
      </c>
      <c r="S21" s="106">
        <f t="shared" si="43"/>
        <v>6934</v>
      </c>
      <c r="T21" s="101">
        <f t="shared" si="44"/>
        <v>3.3457015888946257E-2</v>
      </c>
      <c r="U21" s="236">
        <v>34811</v>
      </c>
      <c r="V21" s="101">
        <f t="shared" si="45"/>
        <v>0.16796541391838882</v>
      </c>
      <c r="W21" s="236">
        <v>2476</v>
      </c>
      <c r="X21" s="101">
        <f t="shared" si="46"/>
        <v>1.1946866360114064E-2</v>
      </c>
      <c r="Y21" s="236">
        <v>23002</v>
      </c>
      <c r="Z21" s="101">
        <f t="shared" si="47"/>
        <v>0.1109861954827721</v>
      </c>
      <c r="AA21" s="236">
        <v>28228</v>
      </c>
      <c r="AB21" s="101">
        <f t="shared" si="14"/>
        <v>0.13620199661280283</v>
      </c>
      <c r="AC21" s="106">
        <f t="shared" si="48"/>
        <v>51230</v>
      </c>
      <c r="AD21" s="101">
        <f t="shared" si="49"/>
        <v>0.24718819209557494</v>
      </c>
      <c r="AE21" s="236">
        <v>19921</v>
      </c>
      <c r="AF21" s="101">
        <f t="shared" si="50"/>
        <v>9.6120163473276371E-2</v>
      </c>
      <c r="AG21" s="236">
        <v>5376</v>
      </c>
      <c r="AH21" s="101">
        <f t="shared" si="51"/>
        <v>2.5939561208389826E-2</v>
      </c>
      <c r="AI21" s="236">
        <v>15165</v>
      </c>
      <c r="AJ21" s="101">
        <f t="shared" si="52"/>
        <v>7.317214392210411E-2</v>
      </c>
      <c r="AK21" s="236">
        <v>15350</v>
      </c>
      <c r="AL21" s="101">
        <f t="shared" si="53"/>
        <v>7.4064781352080333E-2</v>
      </c>
    </row>
    <row r="22" spans="2:38" ht="12">
      <c r="B22" s="98"/>
      <c r="C22" s="83"/>
      <c r="D22" s="561">
        <f t="shared" si="2"/>
        <v>46069</v>
      </c>
      <c r="E22" s="561" t="s">
        <v>597</v>
      </c>
      <c r="F22" s="88">
        <f t="shared" si="21"/>
        <v>208123</v>
      </c>
      <c r="G22" s="341"/>
      <c r="H22" s="457"/>
      <c r="I22" s="236">
        <v>25089</v>
      </c>
      <c r="J22" s="101">
        <f t="shared" si="38"/>
        <v>0.12054890617567496</v>
      </c>
      <c r="K22" s="236">
        <v>36311</v>
      </c>
      <c r="L22" s="101">
        <f t="shared" si="39"/>
        <v>0.17446894384570663</v>
      </c>
      <c r="M22" s="106">
        <f t="shared" si="40"/>
        <v>61400</v>
      </c>
      <c r="N22" s="101">
        <f t="shared" si="41"/>
        <v>0.29501785002138159</v>
      </c>
      <c r="O22" s="236">
        <v>5020</v>
      </c>
      <c r="P22" s="101">
        <f t="shared" si="42"/>
        <v>2.4120351907285596E-2</v>
      </c>
      <c r="Q22" s="236">
        <v>3293</v>
      </c>
      <c r="R22" s="101">
        <f t="shared" si="8"/>
        <v>1.5822374269062044E-2</v>
      </c>
      <c r="S22" s="106">
        <f t="shared" si="43"/>
        <v>8313</v>
      </c>
      <c r="T22" s="101">
        <f t="shared" si="44"/>
        <v>3.9942726176347643E-2</v>
      </c>
      <c r="U22" s="236">
        <v>35661</v>
      </c>
      <c r="V22" s="101">
        <f t="shared" si="45"/>
        <v>0.17134579071030112</v>
      </c>
      <c r="W22" s="236">
        <v>2734</v>
      </c>
      <c r="X22" s="101">
        <f t="shared" si="46"/>
        <v>1.3136462572613311E-2</v>
      </c>
      <c r="Y22" s="236">
        <v>21473</v>
      </c>
      <c r="Z22" s="101">
        <f t="shared" si="47"/>
        <v>0.10317456504086525</v>
      </c>
      <c r="AA22" s="236">
        <v>27556</v>
      </c>
      <c r="AB22" s="101">
        <f t="shared" si="14"/>
        <v>0.13240247353728324</v>
      </c>
      <c r="AC22" s="106">
        <f t="shared" si="48"/>
        <v>49029</v>
      </c>
      <c r="AD22" s="101">
        <f t="shared" si="49"/>
        <v>0.23557703857814849</v>
      </c>
      <c r="AE22" s="236">
        <v>17452</v>
      </c>
      <c r="AF22" s="101">
        <f t="shared" si="50"/>
        <v>8.3854259260149042E-2</v>
      </c>
      <c r="AG22" s="236">
        <v>5340</v>
      </c>
      <c r="AH22" s="101">
        <f t="shared" si="51"/>
        <v>2.5657904220100614E-2</v>
      </c>
      <c r="AI22" s="236">
        <v>13163</v>
      </c>
      <c r="AJ22" s="101">
        <f t="shared" si="52"/>
        <v>6.3246253417450257E-2</v>
      </c>
      <c r="AK22" s="236">
        <v>15031</v>
      </c>
      <c r="AL22" s="101">
        <f t="shared" si="53"/>
        <v>7.2221715043507925E-2</v>
      </c>
    </row>
    <row r="23" spans="2:38" ht="12">
      <c r="B23" s="98"/>
      <c r="C23" s="83"/>
      <c r="D23" s="333">
        <f t="shared" si="2"/>
        <v>46070</v>
      </c>
      <c r="E23" s="333" t="s">
        <v>598</v>
      </c>
      <c r="F23" s="88">
        <f t="shared" si="21"/>
        <v>0</v>
      </c>
      <c r="G23" s="341">
        <f>SUM(F23:F29)</f>
        <v>0</v>
      </c>
      <c r="H23" s="457"/>
      <c r="I23" s="236"/>
      <c r="J23" s="101" t="e">
        <f t="shared" si="38"/>
        <v>#DIV/0!</v>
      </c>
      <c r="K23" s="236"/>
      <c r="L23" s="101" t="e">
        <f t="shared" si="39"/>
        <v>#DIV/0!</v>
      </c>
      <c r="M23" s="106">
        <f t="shared" si="40"/>
        <v>0</v>
      </c>
      <c r="N23" s="101" t="e">
        <f t="shared" si="41"/>
        <v>#DIV/0!</v>
      </c>
      <c r="O23" s="236"/>
      <c r="P23" s="101" t="e">
        <f t="shared" si="42"/>
        <v>#DIV/0!</v>
      </c>
      <c r="Q23" s="236"/>
      <c r="R23" s="101" t="e">
        <f t="shared" si="8"/>
        <v>#DIV/0!</v>
      </c>
      <c r="S23" s="106">
        <f t="shared" si="43"/>
        <v>0</v>
      </c>
      <c r="T23" s="101" t="e">
        <f t="shared" si="44"/>
        <v>#DIV/0!</v>
      </c>
      <c r="U23" s="236"/>
      <c r="V23" s="101" t="e">
        <f t="shared" si="45"/>
        <v>#DIV/0!</v>
      </c>
      <c r="W23" s="236"/>
      <c r="X23" s="101" t="e">
        <f t="shared" si="46"/>
        <v>#DIV/0!</v>
      </c>
      <c r="Y23" s="236"/>
      <c r="Z23" s="101" t="e">
        <f t="shared" si="47"/>
        <v>#DIV/0!</v>
      </c>
      <c r="AA23" s="236"/>
      <c r="AB23" s="101" t="e">
        <f t="shared" si="14"/>
        <v>#DIV/0!</v>
      </c>
      <c r="AC23" s="106">
        <f t="shared" si="48"/>
        <v>0</v>
      </c>
      <c r="AD23" s="101" t="e">
        <f t="shared" si="49"/>
        <v>#DIV/0!</v>
      </c>
      <c r="AE23" s="236"/>
      <c r="AF23" s="101" t="e">
        <f t="shared" si="50"/>
        <v>#DIV/0!</v>
      </c>
      <c r="AG23" s="236"/>
      <c r="AH23" s="101" t="e">
        <f t="shared" si="51"/>
        <v>#DIV/0!</v>
      </c>
      <c r="AI23" s="236"/>
      <c r="AJ23" s="101" t="e">
        <f t="shared" si="52"/>
        <v>#DIV/0!</v>
      </c>
      <c r="AK23" s="236"/>
      <c r="AL23" s="101" t="e">
        <f t="shared" si="53"/>
        <v>#DIV/0!</v>
      </c>
    </row>
    <row r="24" spans="2:38" ht="12">
      <c r="B24" s="98"/>
      <c r="C24" s="83"/>
      <c r="D24" s="560">
        <f t="shared" si="2"/>
        <v>46071</v>
      </c>
      <c r="E24" s="560" t="s">
        <v>599</v>
      </c>
      <c r="F24" s="88">
        <f t="shared" si="21"/>
        <v>0</v>
      </c>
      <c r="G24" s="341"/>
      <c r="H24" s="457"/>
      <c r="I24" s="236"/>
      <c r="J24" s="101" t="e">
        <f t="shared" si="38"/>
        <v>#DIV/0!</v>
      </c>
      <c r="K24" s="236"/>
      <c r="L24" s="101" t="e">
        <f t="shared" si="39"/>
        <v>#DIV/0!</v>
      </c>
      <c r="M24" s="106">
        <f t="shared" si="40"/>
        <v>0</v>
      </c>
      <c r="N24" s="101" t="e">
        <f t="shared" si="41"/>
        <v>#DIV/0!</v>
      </c>
      <c r="O24" s="236"/>
      <c r="P24" s="101" t="e">
        <f t="shared" si="42"/>
        <v>#DIV/0!</v>
      </c>
      <c r="Q24" s="236"/>
      <c r="R24" s="101" t="e">
        <f t="shared" si="8"/>
        <v>#DIV/0!</v>
      </c>
      <c r="S24" s="106">
        <f t="shared" si="43"/>
        <v>0</v>
      </c>
      <c r="T24" s="101" t="e">
        <f t="shared" si="44"/>
        <v>#DIV/0!</v>
      </c>
      <c r="U24" s="236"/>
      <c r="V24" s="101" t="e">
        <f t="shared" si="45"/>
        <v>#DIV/0!</v>
      </c>
      <c r="W24" s="236"/>
      <c r="X24" s="101" t="e">
        <f t="shared" si="46"/>
        <v>#DIV/0!</v>
      </c>
      <c r="Y24" s="236"/>
      <c r="Z24" s="101" t="e">
        <f t="shared" si="47"/>
        <v>#DIV/0!</v>
      </c>
      <c r="AA24" s="236"/>
      <c r="AB24" s="101" t="e">
        <f t="shared" si="14"/>
        <v>#DIV/0!</v>
      </c>
      <c r="AC24" s="106">
        <f t="shared" si="48"/>
        <v>0</v>
      </c>
      <c r="AD24" s="101" t="e">
        <f t="shared" si="49"/>
        <v>#DIV/0!</v>
      </c>
      <c r="AE24" s="236"/>
      <c r="AF24" s="101" t="e">
        <f t="shared" si="50"/>
        <v>#DIV/0!</v>
      </c>
      <c r="AG24" s="236"/>
      <c r="AH24" s="101" t="e">
        <f t="shared" si="51"/>
        <v>#DIV/0!</v>
      </c>
      <c r="AI24" s="236"/>
      <c r="AJ24" s="101" t="e">
        <f t="shared" si="52"/>
        <v>#DIV/0!</v>
      </c>
      <c r="AK24" s="236"/>
      <c r="AL24" s="101" t="e">
        <f t="shared" si="53"/>
        <v>#DIV/0!</v>
      </c>
    </row>
    <row r="25" spans="2:38" ht="12">
      <c r="B25" s="98"/>
      <c r="C25" s="83"/>
      <c r="D25" s="560">
        <f t="shared" si="2"/>
        <v>46072</v>
      </c>
      <c r="E25" s="560" t="s">
        <v>600</v>
      </c>
      <c r="F25" s="88">
        <f t="shared" si="21"/>
        <v>0</v>
      </c>
      <c r="G25" s="341"/>
      <c r="H25" s="457"/>
      <c r="I25" s="236"/>
      <c r="J25" s="101" t="e">
        <f t="shared" si="38"/>
        <v>#DIV/0!</v>
      </c>
      <c r="K25" s="236"/>
      <c r="L25" s="101" t="e">
        <f t="shared" si="39"/>
        <v>#DIV/0!</v>
      </c>
      <c r="M25" s="106">
        <f t="shared" si="40"/>
        <v>0</v>
      </c>
      <c r="N25" s="101" t="e">
        <f t="shared" si="41"/>
        <v>#DIV/0!</v>
      </c>
      <c r="O25" s="236"/>
      <c r="P25" s="101" t="e">
        <f t="shared" si="42"/>
        <v>#DIV/0!</v>
      </c>
      <c r="Q25" s="236"/>
      <c r="R25" s="101" t="e">
        <f t="shared" si="8"/>
        <v>#DIV/0!</v>
      </c>
      <c r="S25" s="106">
        <f t="shared" si="43"/>
        <v>0</v>
      </c>
      <c r="T25" s="101" t="e">
        <f t="shared" si="44"/>
        <v>#DIV/0!</v>
      </c>
      <c r="U25" s="236"/>
      <c r="V25" s="101" t="e">
        <f t="shared" si="45"/>
        <v>#DIV/0!</v>
      </c>
      <c r="W25" s="236"/>
      <c r="X25" s="101" t="e">
        <f t="shared" si="46"/>
        <v>#DIV/0!</v>
      </c>
      <c r="Y25" s="236"/>
      <c r="Z25" s="101" t="e">
        <f t="shared" si="47"/>
        <v>#DIV/0!</v>
      </c>
      <c r="AA25" s="236"/>
      <c r="AB25" s="101" t="e">
        <f t="shared" si="14"/>
        <v>#DIV/0!</v>
      </c>
      <c r="AC25" s="106">
        <f t="shared" si="48"/>
        <v>0</v>
      </c>
      <c r="AD25" s="101" t="e">
        <f t="shared" si="49"/>
        <v>#DIV/0!</v>
      </c>
      <c r="AE25" s="236"/>
      <c r="AF25" s="101" t="e">
        <f t="shared" si="50"/>
        <v>#DIV/0!</v>
      </c>
      <c r="AG25" s="236"/>
      <c r="AH25" s="101" t="e">
        <f t="shared" si="51"/>
        <v>#DIV/0!</v>
      </c>
      <c r="AI25" s="236"/>
      <c r="AJ25" s="101" t="e">
        <f t="shared" si="52"/>
        <v>#DIV/0!</v>
      </c>
      <c r="AK25" s="236"/>
      <c r="AL25" s="101" t="e">
        <f t="shared" si="53"/>
        <v>#DIV/0!</v>
      </c>
    </row>
    <row r="26" spans="2:38" ht="12">
      <c r="B26" s="98"/>
      <c r="C26" s="83"/>
      <c r="D26" s="560">
        <f t="shared" si="2"/>
        <v>46073</v>
      </c>
      <c r="E26" s="560" t="s">
        <v>601</v>
      </c>
      <c r="F26" s="88">
        <f t="shared" si="21"/>
        <v>0</v>
      </c>
      <c r="G26" s="341"/>
      <c r="H26" s="457"/>
      <c r="I26" s="236"/>
      <c r="J26" s="101" t="e">
        <f t="shared" si="38"/>
        <v>#DIV/0!</v>
      </c>
      <c r="K26" s="236"/>
      <c r="L26" s="101" t="e">
        <f t="shared" si="39"/>
        <v>#DIV/0!</v>
      </c>
      <c r="M26" s="106">
        <f t="shared" si="40"/>
        <v>0</v>
      </c>
      <c r="N26" s="101" t="e">
        <f t="shared" si="41"/>
        <v>#DIV/0!</v>
      </c>
      <c r="O26" s="236"/>
      <c r="P26" s="101" t="e">
        <f t="shared" si="42"/>
        <v>#DIV/0!</v>
      </c>
      <c r="Q26" s="236"/>
      <c r="R26" s="101" t="e">
        <f t="shared" si="8"/>
        <v>#DIV/0!</v>
      </c>
      <c r="S26" s="106">
        <f t="shared" si="43"/>
        <v>0</v>
      </c>
      <c r="T26" s="101" t="e">
        <f t="shared" si="44"/>
        <v>#DIV/0!</v>
      </c>
      <c r="U26" s="236"/>
      <c r="V26" s="101" t="e">
        <f t="shared" si="45"/>
        <v>#DIV/0!</v>
      </c>
      <c r="W26" s="236"/>
      <c r="X26" s="101" t="e">
        <f t="shared" si="46"/>
        <v>#DIV/0!</v>
      </c>
      <c r="Y26" s="236"/>
      <c r="Z26" s="101" t="e">
        <f t="shared" si="47"/>
        <v>#DIV/0!</v>
      </c>
      <c r="AA26" s="236"/>
      <c r="AB26" s="101" t="e">
        <f t="shared" si="14"/>
        <v>#DIV/0!</v>
      </c>
      <c r="AC26" s="106">
        <f t="shared" si="48"/>
        <v>0</v>
      </c>
      <c r="AD26" s="101" t="e">
        <f t="shared" si="49"/>
        <v>#DIV/0!</v>
      </c>
      <c r="AE26" s="236"/>
      <c r="AF26" s="101" t="e">
        <f t="shared" si="50"/>
        <v>#DIV/0!</v>
      </c>
      <c r="AG26" s="236"/>
      <c r="AH26" s="101" t="e">
        <f t="shared" si="51"/>
        <v>#DIV/0!</v>
      </c>
      <c r="AI26" s="236"/>
      <c r="AJ26" s="101" t="e">
        <f t="shared" si="52"/>
        <v>#DIV/0!</v>
      </c>
      <c r="AK26" s="236"/>
      <c r="AL26" s="101" t="e">
        <f t="shared" si="53"/>
        <v>#DIV/0!</v>
      </c>
    </row>
    <row r="27" spans="2:38" ht="12">
      <c r="B27" s="98"/>
      <c r="C27" s="83"/>
      <c r="D27" s="560">
        <f t="shared" si="2"/>
        <v>46074</v>
      </c>
      <c r="E27" s="560" t="s">
        <v>602</v>
      </c>
      <c r="F27" s="88">
        <f t="shared" si="21"/>
        <v>0</v>
      </c>
      <c r="G27" s="341"/>
      <c r="H27" s="457"/>
      <c r="I27" s="236"/>
      <c r="J27" s="101" t="e">
        <f t="shared" si="38"/>
        <v>#DIV/0!</v>
      </c>
      <c r="K27" s="236"/>
      <c r="L27" s="101" t="e">
        <f t="shared" si="39"/>
        <v>#DIV/0!</v>
      </c>
      <c r="M27" s="106">
        <f t="shared" si="40"/>
        <v>0</v>
      </c>
      <c r="N27" s="101" t="e">
        <f t="shared" si="41"/>
        <v>#DIV/0!</v>
      </c>
      <c r="O27" s="236"/>
      <c r="P27" s="101" t="e">
        <f t="shared" si="42"/>
        <v>#DIV/0!</v>
      </c>
      <c r="Q27" s="236"/>
      <c r="R27" s="101" t="e">
        <f t="shared" si="8"/>
        <v>#DIV/0!</v>
      </c>
      <c r="S27" s="106">
        <f t="shared" si="43"/>
        <v>0</v>
      </c>
      <c r="T27" s="101" t="e">
        <f t="shared" si="44"/>
        <v>#DIV/0!</v>
      </c>
      <c r="U27" s="236"/>
      <c r="V27" s="101" t="e">
        <f t="shared" si="45"/>
        <v>#DIV/0!</v>
      </c>
      <c r="W27" s="236"/>
      <c r="X27" s="101" t="e">
        <f t="shared" si="46"/>
        <v>#DIV/0!</v>
      </c>
      <c r="Y27" s="236"/>
      <c r="Z27" s="101" t="e">
        <f t="shared" si="47"/>
        <v>#DIV/0!</v>
      </c>
      <c r="AA27" s="236"/>
      <c r="AB27" s="101" t="e">
        <f t="shared" si="14"/>
        <v>#DIV/0!</v>
      </c>
      <c r="AC27" s="106">
        <f t="shared" si="48"/>
        <v>0</v>
      </c>
      <c r="AD27" s="101" t="e">
        <f t="shared" si="49"/>
        <v>#DIV/0!</v>
      </c>
      <c r="AE27" s="236"/>
      <c r="AF27" s="101" t="e">
        <f t="shared" si="50"/>
        <v>#DIV/0!</v>
      </c>
      <c r="AG27" s="236"/>
      <c r="AH27" s="101" t="e">
        <f t="shared" si="51"/>
        <v>#DIV/0!</v>
      </c>
      <c r="AI27" s="236"/>
      <c r="AJ27" s="101" t="e">
        <f t="shared" si="52"/>
        <v>#DIV/0!</v>
      </c>
      <c r="AK27" s="236"/>
      <c r="AL27" s="101" t="e">
        <f t="shared" si="53"/>
        <v>#DIV/0!</v>
      </c>
    </row>
    <row r="28" spans="2:38" ht="12">
      <c r="B28" s="98"/>
      <c r="C28" s="83"/>
      <c r="D28" s="560">
        <f t="shared" si="2"/>
        <v>46075</v>
      </c>
      <c r="E28" s="560" t="s">
        <v>603</v>
      </c>
      <c r="F28" s="88">
        <f t="shared" si="21"/>
        <v>0</v>
      </c>
      <c r="G28" s="341"/>
      <c r="H28" s="457"/>
      <c r="I28" s="236"/>
      <c r="J28" s="101" t="e">
        <f t="shared" si="38"/>
        <v>#DIV/0!</v>
      </c>
      <c r="K28" s="236"/>
      <c r="L28" s="101" t="e">
        <f t="shared" si="39"/>
        <v>#DIV/0!</v>
      </c>
      <c r="M28" s="106">
        <f t="shared" si="40"/>
        <v>0</v>
      </c>
      <c r="N28" s="101" t="e">
        <f t="shared" si="41"/>
        <v>#DIV/0!</v>
      </c>
      <c r="O28" s="236"/>
      <c r="P28" s="101" t="e">
        <f t="shared" si="42"/>
        <v>#DIV/0!</v>
      </c>
      <c r="Q28" s="236"/>
      <c r="R28" s="101" t="e">
        <f t="shared" si="8"/>
        <v>#DIV/0!</v>
      </c>
      <c r="S28" s="106">
        <f t="shared" si="43"/>
        <v>0</v>
      </c>
      <c r="T28" s="101" t="e">
        <f t="shared" si="44"/>
        <v>#DIV/0!</v>
      </c>
      <c r="U28" s="236"/>
      <c r="V28" s="101" t="e">
        <f t="shared" si="45"/>
        <v>#DIV/0!</v>
      </c>
      <c r="W28" s="236"/>
      <c r="X28" s="101" t="e">
        <f t="shared" si="46"/>
        <v>#DIV/0!</v>
      </c>
      <c r="Y28" s="236"/>
      <c r="Z28" s="101" t="e">
        <f t="shared" si="47"/>
        <v>#DIV/0!</v>
      </c>
      <c r="AA28" s="236"/>
      <c r="AB28" s="101" t="e">
        <f t="shared" si="14"/>
        <v>#DIV/0!</v>
      </c>
      <c r="AC28" s="106">
        <f t="shared" si="48"/>
        <v>0</v>
      </c>
      <c r="AD28" s="101" t="e">
        <f t="shared" si="49"/>
        <v>#DIV/0!</v>
      </c>
      <c r="AE28" s="236"/>
      <c r="AF28" s="101" t="e">
        <f t="shared" si="50"/>
        <v>#DIV/0!</v>
      </c>
      <c r="AG28" s="236"/>
      <c r="AH28" s="101" t="e">
        <f t="shared" si="51"/>
        <v>#DIV/0!</v>
      </c>
      <c r="AI28" s="236"/>
      <c r="AJ28" s="101" t="e">
        <f t="shared" si="52"/>
        <v>#DIV/0!</v>
      </c>
      <c r="AK28" s="236"/>
      <c r="AL28" s="101" t="e">
        <f t="shared" si="53"/>
        <v>#DIV/0!</v>
      </c>
    </row>
    <row r="29" spans="2:38" ht="12">
      <c r="B29" s="98"/>
      <c r="C29" s="83"/>
      <c r="D29" s="560">
        <f t="shared" si="2"/>
        <v>46076</v>
      </c>
      <c r="E29" s="560" t="s">
        <v>597</v>
      </c>
      <c r="F29" s="88">
        <f t="shared" si="21"/>
        <v>0</v>
      </c>
      <c r="G29" s="341"/>
      <c r="H29" s="457"/>
      <c r="I29" s="236"/>
      <c r="J29" s="101" t="e">
        <f t="shared" si="38"/>
        <v>#DIV/0!</v>
      </c>
      <c r="K29" s="236"/>
      <c r="L29" s="101" t="e">
        <f t="shared" si="39"/>
        <v>#DIV/0!</v>
      </c>
      <c r="M29" s="106">
        <f t="shared" si="40"/>
        <v>0</v>
      </c>
      <c r="N29" s="101" t="e">
        <f t="shared" si="41"/>
        <v>#DIV/0!</v>
      </c>
      <c r="O29" s="236"/>
      <c r="P29" s="101" t="e">
        <f t="shared" si="42"/>
        <v>#DIV/0!</v>
      </c>
      <c r="Q29" s="236"/>
      <c r="R29" s="101" t="e">
        <f t="shared" si="8"/>
        <v>#DIV/0!</v>
      </c>
      <c r="S29" s="106">
        <f t="shared" si="43"/>
        <v>0</v>
      </c>
      <c r="T29" s="101" t="e">
        <f t="shared" si="44"/>
        <v>#DIV/0!</v>
      </c>
      <c r="U29" s="236"/>
      <c r="V29" s="101" t="e">
        <f t="shared" si="45"/>
        <v>#DIV/0!</v>
      </c>
      <c r="W29" s="236"/>
      <c r="X29" s="101" t="e">
        <f t="shared" si="46"/>
        <v>#DIV/0!</v>
      </c>
      <c r="Y29" s="236"/>
      <c r="Z29" s="101" t="e">
        <f t="shared" si="47"/>
        <v>#DIV/0!</v>
      </c>
      <c r="AA29" s="236"/>
      <c r="AB29" s="101" t="e">
        <f t="shared" si="14"/>
        <v>#DIV/0!</v>
      </c>
      <c r="AC29" s="106">
        <f t="shared" si="48"/>
        <v>0</v>
      </c>
      <c r="AD29" s="101" t="e">
        <f t="shared" si="49"/>
        <v>#DIV/0!</v>
      </c>
      <c r="AE29" s="236"/>
      <c r="AF29" s="101" t="e">
        <f t="shared" si="50"/>
        <v>#DIV/0!</v>
      </c>
      <c r="AG29" s="236"/>
      <c r="AH29" s="101" t="e">
        <f t="shared" si="51"/>
        <v>#DIV/0!</v>
      </c>
      <c r="AI29" s="236"/>
      <c r="AJ29" s="101" t="e">
        <f t="shared" si="52"/>
        <v>#DIV/0!</v>
      </c>
      <c r="AK29" s="236"/>
      <c r="AL29" s="101" t="e">
        <f t="shared" si="53"/>
        <v>#DIV/0!</v>
      </c>
    </row>
    <row r="30" spans="2:38" ht="12">
      <c r="B30" s="98"/>
      <c r="C30" s="83"/>
      <c r="D30" s="523">
        <f t="shared" si="2"/>
        <v>46077</v>
      </c>
      <c r="E30" s="523" t="s">
        <v>598</v>
      </c>
      <c r="F30" s="88">
        <f t="shared" si="21"/>
        <v>0</v>
      </c>
      <c r="G30" s="341">
        <f>SUM(F30:F36)</f>
        <v>0</v>
      </c>
      <c r="H30" s="457"/>
      <c r="I30" s="236"/>
      <c r="J30" s="101" t="e">
        <f t="shared" si="38"/>
        <v>#DIV/0!</v>
      </c>
      <c r="K30" s="236"/>
      <c r="L30" s="101" t="e">
        <f t="shared" si="39"/>
        <v>#DIV/0!</v>
      </c>
      <c r="M30" s="106">
        <f t="shared" si="40"/>
        <v>0</v>
      </c>
      <c r="N30" s="101" t="e">
        <f t="shared" si="41"/>
        <v>#DIV/0!</v>
      </c>
      <c r="O30" s="236"/>
      <c r="P30" s="101" t="e">
        <f t="shared" si="42"/>
        <v>#DIV/0!</v>
      </c>
      <c r="Q30" s="236"/>
      <c r="R30" s="101" t="e">
        <f t="shared" si="8"/>
        <v>#DIV/0!</v>
      </c>
      <c r="S30" s="106">
        <f t="shared" si="43"/>
        <v>0</v>
      </c>
      <c r="T30" s="101" t="e">
        <f t="shared" si="44"/>
        <v>#DIV/0!</v>
      </c>
      <c r="U30" s="236"/>
      <c r="V30" s="101" t="e">
        <f t="shared" si="45"/>
        <v>#DIV/0!</v>
      </c>
      <c r="W30" s="236"/>
      <c r="X30" s="101" t="e">
        <f t="shared" si="46"/>
        <v>#DIV/0!</v>
      </c>
      <c r="Y30" s="236"/>
      <c r="Z30" s="101" t="e">
        <f t="shared" si="47"/>
        <v>#DIV/0!</v>
      </c>
      <c r="AA30" s="236"/>
      <c r="AB30" s="101" t="e">
        <f t="shared" si="14"/>
        <v>#DIV/0!</v>
      </c>
      <c r="AC30" s="106">
        <f t="shared" si="48"/>
        <v>0</v>
      </c>
      <c r="AD30" s="101" t="e">
        <f t="shared" si="49"/>
        <v>#DIV/0!</v>
      </c>
      <c r="AE30" s="236"/>
      <c r="AF30" s="101" t="e">
        <f t="shared" si="50"/>
        <v>#DIV/0!</v>
      </c>
      <c r="AG30" s="236"/>
      <c r="AH30" s="101" t="e">
        <f t="shared" si="51"/>
        <v>#DIV/0!</v>
      </c>
      <c r="AI30" s="236"/>
      <c r="AJ30" s="101" t="e">
        <f t="shared" si="52"/>
        <v>#DIV/0!</v>
      </c>
      <c r="AK30" s="236"/>
      <c r="AL30" s="101" t="e">
        <f t="shared" si="53"/>
        <v>#DIV/0!</v>
      </c>
    </row>
    <row r="31" spans="2:38" ht="12">
      <c r="B31" s="98"/>
      <c r="C31" s="83"/>
      <c r="D31" s="561">
        <f t="shared" si="2"/>
        <v>46078</v>
      </c>
      <c r="E31" s="561" t="s">
        <v>599</v>
      </c>
      <c r="F31" s="88">
        <f t="shared" si="21"/>
        <v>0</v>
      </c>
      <c r="G31" s="341"/>
      <c r="H31" s="457"/>
      <c r="I31" s="236"/>
      <c r="J31" s="101" t="e">
        <f t="shared" si="38"/>
        <v>#DIV/0!</v>
      </c>
      <c r="K31" s="236"/>
      <c r="L31" s="101" t="e">
        <f t="shared" si="39"/>
        <v>#DIV/0!</v>
      </c>
      <c r="M31" s="106">
        <f t="shared" si="40"/>
        <v>0</v>
      </c>
      <c r="N31" s="101" t="e">
        <f t="shared" si="41"/>
        <v>#DIV/0!</v>
      </c>
      <c r="O31" s="236"/>
      <c r="P31" s="101" t="e">
        <f t="shared" si="42"/>
        <v>#DIV/0!</v>
      </c>
      <c r="Q31" s="236"/>
      <c r="R31" s="101" t="e">
        <f t="shared" si="8"/>
        <v>#DIV/0!</v>
      </c>
      <c r="S31" s="106">
        <f t="shared" si="43"/>
        <v>0</v>
      </c>
      <c r="T31" s="101" t="e">
        <f t="shared" si="44"/>
        <v>#DIV/0!</v>
      </c>
      <c r="U31" s="236"/>
      <c r="V31" s="101" t="e">
        <f t="shared" si="45"/>
        <v>#DIV/0!</v>
      </c>
      <c r="W31" s="236"/>
      <c r="X31" s="101" t="e">
        <f t="shared" si="46"/>
        <v>#DIV/0!</v>
      </c>
      <c r="Y31" s="236"/>
      <c r="Z31" s="101" t="e">
        <f t="shared" si="47"/>
        <v>#DIV/0!</v>
      </c>
      <c r="AA31" s="236"/>
      <c r="AB31" s="101" t="e">
        <f t="shared" si="14"/>
        <v>#DIV/0!</v>
      </c>
      <c r="AC31" s="106">
        <f t="shared" si="48"/>
        <v>0</v>
      </c>
      <c r="AD31" s="101" t="e">
        <f t="shared" si="49"/>
        <v>#DIV/0!</v>
      </c>
      <c r="AE31" s="236"/>
      <c r="AF31" s="101" t="e">
        <f t="shared" si="50"/>
        <v>#DIV/0!</v>
      </c>
      <c r="AG31" s="236"/>
      <c r="AH31" s="101" t="e">
        <f t="shared" si="51"/>
        <v>#DIV/0!</v>
      </c>
      <c r="AI31" s="236"/>
      <c r="AJ31" s="101" t="e">
        <f t="shared" si="52"/>
        <v>#DIV/0!</v>
      </c>
      <c r="AK31" s="236"/>
      <c r="AL31" s="101" t="e">
        <f t="shared" si="53"/>
        <v>#DIV/0!</v>
      </c>
    </row>
    <row r="32" spans="2:38" ht="12">
      <c r="B32" s="98"/>
      <c r="C32" s="83"/>
      <c r="D32" s="561">
        <f t="shared" si="2"/>
        <v>46079</v>
      </c>
      <c r="E32" s="561" t="s">
        <v>600</v>
      </c>
      <c r="F32" s="88">
        <f t="shared" si="21"/>
        <v>0</v>
      </c>
      <c r="G32" s="341"/>
      <c r="H32" s="457"/>
      <c r="I32" s="236"/>
      <c r="J32" s="101" t="e">
        <f t="shared" si="38"/>
        <v>#DIV/0!</v>
      </c>
      <c r="K32" s="236"/>
      <c r="L32" s="101" t="e">
        <f t="shared" si="39"/>
        <v>#DIV/0!</v>
      </c>
      <c r="M32" s="106">
        <f t="shared" si="40"/>
        <v>0</v>
      </c>
      <c r="N32" s="101" t="e">
        <f t="shared" si="41"/>
        <v>#DIV/0!</v>
      </c>
      <c r="O32" s="236"/>
      <c r="P32" s="101" t="e">
        <f t="shared" si="42"/>
        <v>#DIV/0!</v>
      </c>
      <c r="Q32" s="236"/>
      <c r="R32" s="101" t="e">
        <f t="shared" si="8"/>
        <v>#DIV/0!</v>
      </c>
      <c r="S32" s="106">
        <f t="shared" si="43"/>
        <v>0</v>
      </c>
      <c r="T32" s="101" t="e">
        <f t="shared" si="44"/>
        <v>#DIV/0!</v>
      </c>
      <c r="U32" s="236"/>
      <c r="V32" s="101" t="e">
        <f t="shared" si="45"/>
        <v>#DIV/0!</v>
      </c>
      <c r="W32" s="236"/>
      <c r="X32" s="101" t="e">
        <f t="shared" si="46"/>
        <v>#DIV/0!</v>
      </c>
      <c r="Y32" s="236"/>
      <c r="Z32" s="101" t="e">
        <f t="shared" si="47"/>
        <v>#DIV/0!</v>
      </c>
      <c r="AA32" s="236"/>
      <c r="AB32" s="101" t="e">
        <f t="shared" si="14"/>
        <v>#DIV/0!</v>
      </c>
      <c r="AC32" s="106">
        <f t="shared" si="48"/>
        <v>0</v>
      </c>
      <c r="AD32" s="101" t="e">
        <f t="shared" si="49"/>
        <v>#DIV/0!</v>
      </c>
      <c r="AE32" s="236"/>
      <c r="AF32" s="101" t="e">
        <f t="shared" si="50"/>
        <v>#DIV/0!</v>
      </c>
      <c r="AG32" s="236"/>
      <c r="AH32" s="101" t="e">
        <f t="shared" si="51"/>
        <v>#DIV/0!</v>
      </c>
      <c r="AI32" s="236"/>
      <c r="AJ32" s="101" t="e">
        <f t="shared" si="52"/>
        <v>#DIV/0!</v>
      </c>
      <c r="AK32" s="236"/>
      <c r="AL32" s="101" t="e">
        <f t="shared" si="53"/>
        <v>#DIV/0!</v>
      </c>
    </row>
    <row r="33" spans="2:38" ht="12">
      <c r="B33" s="98"/>
      <c r="C33" s="83"/>
      <c r="D33" s="561">
        <f t="shared" si="2"/>
        <v>46080</v>
      </c>
      <c r="E33" s="561" t="s">
        <v>601</v>
      </c>
      <c r="F33" s="88">
        <f t="shared" si="21"/>
        <v>0</v>
      </c>
      <c r="G33" s="341"/>
      <c r="H33" s="457"/>
      <c r="I33" s="236"/>
      <c r="J33" s="101" t="e">
        <f t="shared" si="38"/>
        <v>#DIV/0!</v>
      </c>
      <c r="K33" s="236"/>
      <c r="L33" s="101" t="e">
        <f t="shared" si="39"/>
        <v>#DIV/0!</v>
      </c>
      <c r="M33" s="106">
        <f t="shared" si="40"/>
        <v>0</v>
      </c>
      <c r="N33" s="101" t="e">
        <f t="shared" si="41"/>
        <v>#DIV/0!</v>
      </c>
      <c r="O33" s="236"/>
      <c r="P33" s="101" t="e">
        <f t="shared" si="42"/>
        <v>#DIV/0!</v>
      </c>
      <c r="Q33" s="236"/>
      <c r="R33" s="101" t="e">
        <f t="shared" si="8"/>
        <v>#DIV/0!</v>
      </c>
      <c r="S33" s="106">
        <f t="shared" si="43"/>
        <v>0</v>
      </c>
      <c r="T33" s="101" t="e">
        <f t="shared" si="44"/>
        <v>#DIV/0!</v>
      </c>
      <c r="U33" s="236"/>
      <c r="V33" s="101" t="e">
        <f t="shared" si="45"/>
        <v>#DIV/0!</v>
      </c>
      <c r="W33" s="236"/>
      <c r="X33" s="101" t="e">
        <f t="shared" si="46"/>
        <v>#DIV/0!</v>
      </c>
      <c r="Y33" s="236"/>
      <c r="Z33" s="101" t="e">
        <f t="shared" si="47"/>
        <v>#DIV/0!</v>
      </c>
      <c r="AA33" s="236"/>
      <c r="AB33" s="101" t="e">
        <f t="shared" si="14"/>
        <v>#DIV/0!</v>
      </c>
      <c r="AC33" s="106">
        <f t="shared" si="48"/>
        <v>0</v>
      </c>
      <c r="AD33" s="101" t="e">
        <f t="shared" si="49"/>
        <v>#DIV/0!</v>
      </c>
      <c r="AE33" s="236"/>
      <c r="AF33" s="101" t="e">
        <f t="shared" si="50"/>
        <v>#DIV/0!</v>
      </c>
      <c r="AG33" s="236"/>
      <c r="AH33" s="101" t="e">
        <f t="shared" si="51"/>
        <v>#DIV/0!</v>
      </c>
      <c r="AI33" s="236"/>
      <c r="AJ33" s="101" t="e">
        <f t="shared" si="52"/>
        <v>#DIV/0!</v>
      </c>
      <c r="AK33" s="236"/>
      <c r="AL33" s="101" t="e">
        <f t="shared" si="53"/>
        <v>#DIV/0!</v>
      </c>
    </row>
    <row r="34" spans="2:38" ht="12">
      <c r="B34" s="98"/>
      <c r="C34" s="83"/>
      <c r="D34" s="561">
        <f t="shared" si="2"/>
        <v>46081</v>
      </c>
      <c r="E34" s="561" t="s">
        <v>602</v>
      </c>
      <c r="F34" s="88">
        <f t="shared" si="21"/>
        <v>0</v>
      </c>
      <c r="G34" s="341"/>
      <c r="H34" s="457"/>
      <c r="I34" s="236"/>
      <c r="J34" s="101" t="e">
        <f t="shared" si="38"/>
        <v>#DIV/0!</v>
      </c>
      <c r="K34" s="236"/>
      <c r="L34" s="101" t="e">
        <f t="shared" si="39"/>
        <v>#DIV/0!</v>
      </c>
      <c r="M34" s="106">
        <f t="shared" si="40"/>
        <v>0</v>
      </c>
      <c r="N34" s="101" t="e">
        <f t="shared" si="41"/>
        <v>#DIV/0!</v>
      </c>
      <c r="O34" s="236"/>
      <c r="P34" s="101" t="e">
        <f t="shared" si="42"/>
        <v>#DIV/0!</v>
      </c>
      <c r="Q34" s="236"/>
      <c r="R34" s="101" t="e">
        <f t="shared" si="8"/>
        <v>#DIV/0!</v>
      </c>
      <c r="S34" s="106">
        <f t="shared" si="43"/>
        <v>0</v>
      </c>
      <c r="T34" s="101" t="e">
        <f t="shared" si="44"/>
        <v>#DIV/0!</v>
      </c>
      <c r="U34" s="236"/>
      <c r="V34" s="101" t="e">
        <f t="shared" si="45"/>
        <v>#DIV/0!</v>
      </c>
      <c r="W34" s="236"/>
      <c r="X34" s="101" t="e">
        <f t="shared" si="46"/>
        <v>#DIV/0!</v>
      </c>
      <c r="Y34" s="236"/>
      <c r="Z34" s="101" t="e">
        <f t="shared" si="47"/>
        <v>#DIV/0!</v>
      </c>
      <c r="AA34" s="236"/>
      <c r="AB34" s="101" t="e">
        <f t="shared" si="14"/>
        <v>#DIV/0!</v>
      </c>
      <c r="AC34" s="106">
        <f t="shared" si="48"/>
        <v>0</v>
      </c>
      <c r="AD34" s="101" t="e">
        <f t="shared" si="49"/>
        <v>#DIV/0!</v>
      </c>
      <c r="AE34" s="236"/>
      <c r="AF34" s="101" t="e">
        <f t="shared" si="50"/>
        <v>#DIV/0!</v>
      </c>
      <c r="AG34" s="236"/>
      <c r="AH34" s="101" t="e">
        <f t="shared" si="51"/>
        <v>#DIV/0!</v>
      </c>
      <c r="AI34" s="236"/>
      <c r="AJ34" s="101" t="e">
        <f t="shared" si="52"/>
        <v>#DIV/0!</v>
      </c>
      <c r="AK34" s="236"/>
      <c r="AL34" s="101" t="e">
        <f t="shared" si="53"/>
        <v>#DIV/0!</v>
      </c>
    </row>
    <row r="35" spans="2:38" ht="12">
      <c r="B35" s="98"/>
      <c r="C35" s="83"/>
      <c r="D35" s="561">
        <f t="shared" si="2"/>
        <v>46082</v>
      </c>
      <c r="E35" s="561" t="s">
        <v>603</v>
      </c>
      <c r="F35" s="88">
        <f t="shared" si="21"/>
        <v>0</v>
      </c>
      <c r="G35" s="341"/>
      <c r="H35" s="457"/>
      <c r="I35" s="236"/>
      <c r="J35" s="101" t="e">
        <f t="shared" si="38"/>
        <v>#DIV/0!</v>
      </c>
      <c r="K35" s="236"/>
      <c r="L35" s="101" t="e">
        <f t="shared" si="39"/>
        <v>#DIV/0!</v>
      </c>
      <c r="M35" s="106">
        <f t="shared" si="40"/>
        <v>0</v>
      </c>
      <c r="N35" s="101" t="e">
        <f t="shared" si="41"/>
        <v>#DIV/0!</v>
      </c>
      <c r="O35" s="236"/>
      <c r="P35" s="101" t="e">
        <f t="shared" si="42"/>
        <v>#DIV/0!</v>
      </c>
      <c r="Q35" s="236"/>
      <c r="R35" s="101" t="e">
        <f t="shared" si="8"/>
        <v>#DIV/0!</v>
      </c>
      <c r="S35" s="106">
        <f t="shared" si="43"/>
        <v>0</v>
      </c>
      <c r="T35" s="101" t="e">
        <f t="shared" si="44"/>
        <v>#DIV/0!</v>
      </c>
      <c r="U35" s="236"/>
      <c r="V35" s="101" t="e">
        <f t="shared" si="45"/>
        <v>#DIV/0!</v>
      </c>
      <c r="W35" s="236"/>
      <c r="X35" s="101" t="e">
        <f t="shared" si="46"/>
        <v>#DIV/0!</v>
      </c>
      <c r="Y35" s="236"/>
      <c r="Z35" s="101" t="e">
        <f t="shared" si="47"/>
        <v>#DIV/0!</v>
      </c>
      <c r="AA35" s="236"/>
      <c r="AB35" s="101" t="e">
        <f t="shared" si="14"/>
        <v>#DIV/0!</v>
      </c>
      <c r="AC35" s="106">
        <f t="shared" si="48"/>
        <v>0</v>
      </c>
      <c r="AD35" s="101" t="e">
        <f t="shared" si="49"/>
        <v>#DIV/0!</v>
      </c>
      <c r="AE35" s="236"/>
      <c r="AF35" s="101" t="e">
        <f t="shared" si="50"/>
        <v>#DIV/0!</v>
      </c>
      <c r="AG35" s="236"/>
      <c r="AH35" s="101" t="e">
        <f t="shared" si="51"/>
        <v>#DIV/0!</v>
      </c>
      <c r="AI35" s="236"/>
      <c r="AJ35" s="101" t="e">
        <f t="shared" si="52"/>
        <v>#DIV/0!</v>
      </c>
      <c r="AK35" s="236"/>
      <c r="AL35" s="101" t="e">
        <f t="shared" si="53"/>
        <v>#DIV/0!</v>
      </c>
    </row>
    <row r="36" spans="2:38" ht="12">
      <c r="B36" s="98"/>
      <c r="C36" s="83"/>
      <c r="D36" s="561">
        <f t="shared" si="2"/>
        <v>46083</v>
      </c>
      <c r="E36" s="561" t="s">
        <v>597</v>
      </c>
      <c r="F36" s="88">
        <f t="shared" si="21"/>
        <v>0</v>
      </c>
      <c r="G36" s="341"/>
      <c r="H36" s="457"/>
      <c r="I36" s="236"/>
      <c r="J36" s="101" t="e">
        <f t="shared" si="38"/>
        <v>#DIV/0!</v>
      </c>
      <c r="K36" s="236"/>
      <c r="L36" s="101" t="e">
        <f t="shared" si="39"/>
        <v>#DIV/0!</v>
      </c>
      <c r="M36" s="106">
        <f t="shared" si="40"/>
        <v>0</v>
      </c>
      <c r="N36" s="101" t="e">
        <f t="shared" si="41"/>
        <v>#DIV/0!</v>
      </c>
      <c r="O36" s="236"/>
      <c r="P36" s="101" t="e">
        <f t="shared" si="42"/>
        <v>#DIV/0!</v>
      </c>
      <c r="Q36" s="236"/>
      <c r="R36" s="101" t="e">
        <f t="shared" si="8"/>
        <v>#DIV/0!</v>
      </c>
      <c r="S36" s="106">
        <f t="shared" si="43"/>
        <v>0</v>
      </c>
      <c r="T36" s="101" t="e">
        <f t="shared" si="44"/>
        <v>#DIV/0!</v>
      </c>
      <c r="U36" s="236"/>
      <c r="V36" s="101" t="e">
        <f t="shared" si="45"/>
        <v>#DIV/0!</v>
      </c>
      <c r="W36" s="236"/>
      <c r="X36" s="101" t="e">
        <f t="shared" si="46"/>
        <v>#DIV/0!</v>
      </c>
      <c r="Y36" s="236"/>
      <c r="Z36" s="101" t="e">
        <f t="shared" si="47"/>
        <v>#DIV/0!</v>
      </c>
      <c r="AA36" s="236"/>
      <c r="AB36" s="101" t="e">
        <f t="shared" si="14"/>
        <v>#DIV/0!</v>
      </c>
      <c r="AC36" s="106">
        <f t="shared" si="48"/>
        <v>0</v>
      </c>
      <c r="AD36" s="101" t="e">
        <f t="shared" si="49"/>
        <v>#DIV/0!</v>
      </c>
      <c r="AE36" s="236"/>
      <c r="AF36" s="101" t="e">
        <f t="shared" si="50"/>
        <v>#DIV/0!</v>
      </c>
      <c r="AG36" s="236"/>
      <c r="AH36" s="101" t="e">
        <f t="shared" si="51"/>
        <v>#DIV/0!</v>
      </c>
      <c r="AI36" s="236"/>
      <c r="AJ36" s="101" t="e">
        <f t="shared" si="52"/>
        <v>#DIV/0!</v>
      </c>
      <c r="AK36" s="236"/>
      <c r="AL36" s="101" t="e">
        <f t="shared" si="53"/>
        <v>#DIV/0!</v>
      </c>
    </row>
    <row r="37" spans="2:38" ht="12">
      <c r="B37" s="98"/>
      <c r="C37" s="83"/>
      <c r="D37" s="523"/>
      <c r="E37" s="523"/>
      <c r="F37" s="88">
        <f t="shared" si="21"/>
        <v>0</v>
      </c>
      <c r="G37" s="341"/>
      <c r="H37" s="457"/>
      <c r="I37" s="236"/>
      <c r="J37" s="101" t="e">
        <f t="shared" si="38"/>
        <v>#DIV/0!</v>
      </c>
      <c r="K37" s="236"/>
      <c r="L37" s="101" t="e">
        <f t="shared" si="39"/>
        <v>#DIV/0!</v>
      </c>
      <c r="M37" s="106">
        <f t="shared" si="40"/>
        <v>0</v>
      </c>
      <c r="N37" s="101" t="e">
        <f t="shared" si="41"/>
        <v>#DIV/0!</v>
      </c>
      <c r="O37" s="236"/>
      <c r="P37" s="101" t="e">
        <f t="shared" si="42"/>
        <v>#DIV/0!</v>
      </c>
      <c r="Q37" s="236"/>
      <c r="R37" s="101" t="e">
        <f t="shared" si="8"/>
        <v>#DIV/0!</v>
      </c>
      <c r="S37" s="106">
        <f t="shared" si="43"/>
        <v>0</v>
      </c>
      <c r="T37" s="101" t="e">
        <f t="shared" si="44"/>
        <v>#DIV/0!</v>
      </c>
      <c r="U37" s="236"/>
      <c r="V37" s="101" t="e">
        <f t="shared" si="45"/>
        <v>#DIV/0!</v>
      </c>
      <c r="W37" s="236"/>
      <c r="X37" s="101" t="e">
        <f t="shared" si="46"/>
        <v>#DIV/0!</v>
      </c>
      <c r="Y37" s="236"/>
      <c r="Z37" s="101" t="e">
        <f t="shared" si="47"/>
        <v>#DIV/0!</v>
      </c>
      <c r="AA37" s="236"/>
      <c r="AB37" s="101" t="e">
        <f t="shared" si="14"/>
        <v>#DIV/0!</v>
      </c>
      <c r="AC37" s="106">
        <f t="shared" si="48"/>
        <v>0</v>
      </c>
      <c r="AD37" s="101" t="e">
        <f t="shared" si="49"/>
        <v>#DIV/0!</v>
      </c>
      <c r="AE37" s="236"/>
      <c r="AF37" s="101" t="e">
        <f t="shared" si="50"/>
        <v>#DIV/0!</v>
      </c>
      <c r="AG37" s="236"/>
      <c r="AH37" s="101" t="e">
        <f t="shared" si="51"/>
        <v>#DIV/0!</v>
      </c>
      <c r="AI37" s="236"/>
      <c r="AJ37" s="101" t="e">
        <f t="shared" si="52"/>
        <v>#DIV/0!</v>
      </c>
      <c r="AK37" s="236"/>
      <c r="AL37" s="101" t="e">
        <f t="shared" si="53"/>
        <v>#DIV/0!</v>
      </c>
    </row>
    <row r="38" spans="2:38" ht="12">
      <c r="B38" s="98"/>
      <c r="C38" s="83"/>
      <c r="D38" s="523"/>
      <c r="E38" s="523"/>
      <c r="F38" s="88">
        <f t="shared" si="21"/>
        <v>0</v>
      </c>
      <c r="G38" s="341"/>
      <c r="H38" s="457"/>
      <c r="I38" s="236"/>
      <c r="J38" s="101" t="e">
        <f t="shared" si="38"/>
        <v>#DIV/0!</v>
      </c>
      <c r="K38" s="236"/>
      <c r="L38" s="101" t="e">
        <f t="shared" si="39"/>
        <v>#DIV/0!</v>
      </c>
      <c r="M38" s="106">
        <f t="shared" si="40"/>
        <v>0</v>
      </c>
      <c r="N38" s="101" t="e">
        <f t="shared" si="41"/>
        <v>#DIV/0!</v>
      </c>
      <c r="O38" s="236"/>
      <c r="P38" s="101" t="e">
        <f t="shared" si="42"/>
        <v>#DIV/0!</v>
      </c>
      <c r="Q38" s="236"/>
      <c r="R38" s="101" t="e">
        <f t="shared" si="8"/>
        <v>#DIV/0!</v>
      </c>
      <c r="S38" s="106">
        <f t="shared" si="43"/>
        <v>0</v>
      </c>
      <c r="T38" s="101" t="e">
        <f t="shared" si="44"/>
        <v>#DIV/0!</v>
      </c>
      <c r="U38" s="236"/>
      <c r="V38" s="101" t="e">
        <f t="shared" si="45"/>
        <v>#DIV/0!</v>
      </c>
      <c r="W38" s="236"/>
      <c r="X38" s="101" t="e">
        <f t="shared" si="46"/>
        <v>#DIV/0!</v>
      </c>
      <c r="Y38" s="236"/>
      <c r="Z38" s="101" t="e">
        <f t="shared" si="47"/>
        <v>#DIV/0!</v>
      </c>
      <c r="AA38" s="236"/>
      <c r="AB38" s="101" t="e">
        <f t="shared" si="14"/>
        <v>#DIV/0!</v>
      </c>
      <c r="AC38" s="106">
        <f t="shared" si="48"/>
        <v>0</v>
      </c>
      <c r="AD38" s="101" t="e">
        <f t="shared" si="49"/>
        <v>#DIV/0!</v>
      </c>
      <c r="AE38" s="236"/>
      <c r="AF38" s="101" t="e">
        <f t="shared" si="50"/>
        <v>#DIV/0!</v>
      </c>
      <c r="AG38" s="236"/>
      <c r="AH38" s="101" t="e">
        <f t="shared" si="51"/>
        <v>#DIV/0!</v>
      </c>
      <c r="AI38" s="236"/>
      <c r="AJ38" s="101" t="e">
        <f t="shared" si="52"/>
        <v>#DIV/0!</v>
      </c>
      <c r="AK38" s="236"/>
      <c r="AL38" s="101" t="e">
        <f t="shared" si="53"/>
        <v>#DIV/0!</v>
      </c>
    </row>
    <row r="39" spans="2:38" s="444" customFormat="1" ht="12">
      <c r="B39" s="437"/>
      <c r="C39" s="438"/>
      <c r="D39" s="523"/>
      <c r="E39" s="523"/>
      <c r="F39" s="439">
        <f t="shared" si="21"/>
        <v>0</v>
      </c>
      <c r="G39" s="440"/>
      <c r="H39" s="457"/>
      <c r="I39" s="441"/>
      <c r="J39" s="442" t="e">
        <f t="shared" si="38"/>
        <v>#DIV/0!</v>
      </c>
      <c r="K39" s="441"/>
      <c r="L39" s="442" t="e">
        <f t="shared" si="39"/>
        <v>#DIV/0!</v>
      </c>
      <c r="M39" s="443">
        <f t="shared" si="40"/>
        <v>0</v>
      </c>
      <c r="N39" s="442" t="e">
        <f t="shared" si="41"/>
        <v>#DIV/0!</v>
      </c>
      <c r="O39" s="441"/>
      <c r="P39" s="442" t="e">
        <f t="shared" si="42"/>
        <v>#DIV/0!</v>
      </c>
      <c r="Q39" s="441"/>
      <c r="R39" s="442" t="e">
        <f t="shared" si="8"/>
        <v>#DIV/0!</v>
      </c>
      <c r="S39" s="443">
        <f t="shared" si="43"/>
        <v>0</v>
      </c>
      <c r="T39" s="442" t="e">
        <f t="shared" si="44"/>
        <v>#DIV/0!</v>
      </c>
      <c r="U39" s="441"/>
      <c r="V39" s="442" t="e">
        <f t="shared" si="45"/>
        <v>#DIV/0!</v>
      </c>
      <c r="W39" s="441"/>
      <c r="X39" s="442" t="e">
        <f t="shared" si="46"/>
        <v>#DIV/0!</v>
      </c>
      <c r="Y39" s="441"/>
      <c r="Z39" s="442" t="e">
        <f t="shared" si="47"/>
        <v>#DIV/0!</v>
      </c>
      <c r="AA39" s="441"/>
      <c r="AB39" s="442" t="e">
        <f t="shared" si="14"/>
        <v>#DIV/0!</v>
      </c>
      <c r="AC39" s="443">
        <f t="shared" si="48"/>
        <v>0</v>
      </c>
      <c r="AD39" s="442" t="e">
        <f t="shared" si="49"/>
        <v>#DIV/0!</v>
      </c>
      <c r="AE39" s="441"/>
      <c r="AF39" s="442" t="e">
        <f t="shared" si="50"/>
        <v>#DIV/0!</v>
      </c>
      <c r="AG39" s="441"/>
      <c r="AH39" s="442" t="e">
        <f t="shared" si="51"/>
        <v>#DIV/0!</v>
      </c>
      <c r="AI39" s="441"/>
      <c r="AJ39" s="442" t="e">
        <f t="shared" si="52"/>
        <v>#DIV/0!</v>
      </c>
      <c r="AK39" s="441"/>
      <c r="AL39" s="442" t="e">
        <f t="shared" si="53"/>
        <v>#DIV/0!</v>
      </c>
    </row>
    <row r="40" spans="2:38" ht="12">
      <c r="B40" s="98"/>
      <c r="C40" s="83"/>
      <c r="D40" s="86"/>
      <c r="E40" s="86"/>
      <c r="F40" s="88">
        <f t="shared" si="21"/>
        <v>0</v>
      </c>
      <c r="G40" s="341"/>
      <c r="H40" s="88"/>
      <c r="I40" s="236"/>
      <c r="J40" s="101" t="e">
        <f t="shared" si="38"/>
        <v>#DIV/0!</v>
      </c>
      <c r="K40" s="236"/>
      <c r="L40" s="101" t="e">
        <f t="shared" si="39"/>
        <v>#DIV/0!</v>
      </c>
      <c r="M40" s="106">
        <f t="shared" si="40"/>
        <v>0</v>
      </c>
      <c r="N40" s="101" t="e">
        <f t="shared" si="41"/>
        <v>#DIV/0!</v>
      </c>
      <c r="O40" s="236"/>
      <c r="P40" s="101" t="e">
        <f t="shared" si="42"/>
        <v>#DIV/0!</v>
      </c>
      <c r="Q40" s="236"/>
      <c r="R40" s="101" t="e">
        <f t="shared" si="8"/>
        <v>#DIV/0!</v>
      </c>
      <c r="S40" s="106">
        <f t="shared" si="43"/>
        <v>0</v>
      </c>
      <c r="T40" s="101" t="e">
        <f t="shared" si="44"/>
        <v>#DIV/0!</v>
      </c>
      <c r="U40" s="236"/>
      <c r="V40" s="101" t="e">
        <f t="shared" si="45"/>
        <v>#DIV/0!</v>
      </c>
      <c r="W40" s="236"/>
      <c r="X40" s="101" t="e">
        <f t="shared" si="46"/>
        <v>#DIV/0!</v>
      </c>
      <c r="Y40" s="236"/>
      <c r="Z40" s="101" t="e">
        <f t="shared" si="47"/>
        <v>#DIV/0!</v>
      </c>
      <c r="AA40" s="236"/>
      <c r="AB40" s="101" t="e">
        <f t="shared" si="14"/>
        <v>#DIV/0!</v>
      </c>
      <c r="AC40" s="106">
        <f t="shared" si="48"/>
        <v>0</v>
      </c>
      <c r="AD40" s="101" t="e">
        <f t="shared" si="49"/>
        <v>#DIV/0!</v>
      </c>
      <c r="AE40" s="236"/>
      <c r="AF40" s="101" t="e">
        <f t="shared" si="50"/>
        <v>#DIV/0!</v>
      </c>
      <c r="AG40" s="236"/>
      <c r="AH40" s="101" t="e">
        <f t="shared" si="51"/>
        <v>#DIV/0!</v>
      </c>
      <c r="AI40" s="236"/>
      <c r="AJ40" s="101" t="e">
        <f t="shared" si="52"/>
        <v>#DIV/0!</v>
      </c>
      <c r="AK40" s="236"/>
      <c r="AL40" s="101" t="e">
        <f t="shared" si="53"/>
        <v>#DIV/0!</v>
      </c>
    </row>
    <row r="41" spans="2:38" ht="12">
      <c r="B41" s="98"/>
      <c r="C41" s="83"/>
      <c r="D41" s="86"/>
      <c r="E41" s="86"/>
      <c r="F41" s="88">
        <f t="shared" si="21"/>
        <v>0</v>
      </c>
      <c r="G41" s="341"/>
      <c r="H41" s="88"/>
      <c r="I41" s="236"/>
      <c r="J41" s="101" t="e">
        <f t="shared" si="38"/>
        <v>#DIV/0!</v>
      </c>
      <c r="K41" s="236"/>
      <c r="L41" s="101" t="e">
        <f t="shared" si="39"/>
        <v>#DIV/0!</v>
      </c>
      <c r="M41" s="106">
        <f t="shared" si="40"/>
        <v>0</v>
      </c>
      <c r="N41" s="101" t="e">
        <f t="shared" si="41"/>
        <v>#DIV/0!</v>
      </c>
      <c r="O41" s="236"/>
      <c r="P41" s="101" t="e">
        <f t="shared" si="42"/>
        <v>#DIV/0!</v>
      </c>
      <c r="Q41" s="236"/>
      <c r="R41" s="101" t="e">
        <f t="shared" si="8"/>
        <v>#DIV/0!</v>
      </c>
      <c r="S41" s="106">
        <f t="shared" si="43"/>
        <v>0</v>
      </c>
      <c r="T41" s="101" t="e">
        <f t="shared" si="44"/>
        <v>#DIV/0!</v>
      </c>
      <c r="U41" s="236"/>
      <c r="V41" s="101" t="e">
        <f t="shared" si="45"/>
        <v>#DIV/0!</v>
      </c>
      <c r="W41" s="236"/>
      <c r="X41" s="101" t="e">
        <f t="shared" si="46"/>
        <v>#DIV/0!</v>
      </c>
      <c r="Y41" s="236"/>
      <c r="Z41" s="101" t="e">
        <f t="shared" si="47"/>
        <v>#DIV/0!</v>
      </c>
      <c r="AA41" s="236"/>
      <c r="AB41" s="101" t="e">
        <f t="shared" si="14"/>
        <v>#DIV/0!</v>
      </c>
      <c r="AC41" s="106">
        <f t="shared" si="48"/>
        <v>0</v>
      </c>
      <c r="AD41" s="101" t="e">
        <f t="shared" si="49"/>
        <v>#DIV/0!</v>
      </c>
      <c r="AE41" s="236"/>
      <c r="AF41" s="101" t="e">
        <f t="shared" si="50"/>
        <v>#DIV/0!</v>
      </c>
      <c r="AG41" s="236"/>
      <c r="AH41" s="101" t="e">
        <f t="shared" si="51"/>
        <v>#DIV/0!</v>
      </c>
      <c r="AI41" s="236"/>
      <c r="AJ41" s="101" t="e">
        <f t="shared" si="52"/>
        <v>#DIV/0!</v>
      </c>
      <c r="AK41" s="236"/>
      <c r="AL41" s="101" t="e">
        <f t="shared" si="53"/>
        <v>#DIV/0!</v>
      </c>
    </row>
    <row r="42" spans="2:38" ht="12">
      <c r="B42" s="98"/>
      <c r="C42" s="83"/>
      <c r="D42" s="86"/>
      <c r="E42" s="86"/>
      <c r="F42" s="88">
        <f t="shared" si="21"/>
        <v>0</v>
      </c>
      <c r="G42" s="341"/>
      <c r="H42" s="88"/>
      <c r="I42" s="236"/>
      <c r="J42" s="101" t="e">
        <f>I42/F42</f>
        <v>#DIV/0!</v>
      </c>
      <c r="K42" s="236"/>
      <c r="L42" s="101" t="e">
        <f>K42/F42</f>
        <v>#DIV/0!</v>
      </c>
      <c r="M42" s="106">
        <f>SUM(I42+K42)</f>
        <v>0</v>
      </c>
      <c r="N42" s="101" t="e">
        <f>M42/F42</f>
        <v>#DIV/0!</v>
      </c>
      <c r="O42" s="236"/>
      <c r="P42" s="101" t="e">
        <f>O42/F42</f>
        <v>#DIV/0!</v>
      </c>
      <c r="Q42" s="236"/>
      <c r="R42" s="101" t="e">
        <f t="shared" si="8"/>
        <v>#DIV/0!</v>
      </c>
      <c r="S42" s="106">
        <f t="shared" si="43"/>
        <v>0</v>
      </c>
      <c r="T42" s="101" t="e">
        <f>S42/F42</f>
        <v>#DIV/0!</v>
      </c>
      <c r="U42" s="236"/>
      <c r="V42" s="101" t="e">
        <f>U42/F42</f>
        <v>#DIV/0!</v>
      </c>
      <c r="W42" s="236"/>
      <c r="X42" s="101" t="e">
        <f>W42/F42</f>
        <v>#DIV/0!</v>
      </c>
      <c r="Y42" s="236"/>
      <c r="Z42" s="101" t="e">
        <f>Y42/F42</f>
        <v>#DIV/0!</v>
      </c>
      <c r="AA42" s="236"/>
      <c r="AB42" s="101" t="e">
        <f t="shared" si="14"/>
        <v>#DIV/0!</v>
      </c>
      <c r="AC42" s="106">
        <f>SUM(Y42+AA42)</f>
        <v>0</v>
      </c>
      <c r="AD42" s="101" t="e">
        <f>AC42/F42</f>
        <v>#DIV/0!</v>
      </c>
      <c r="AE42" s="236"/>
      <c r="AF42" s="101" t="e">
        <f>AE42/F42</f>
        <v>#DIV/0!</v>
      </c>
      <c r="AG42" s="236"/>
      <c r="AH42" s="101" t="e">
        <f>AG42/F42</f>
        <v>#DIV/0!</v>
      </c>
      <c r="AI42" s="236"/>
      <c r="AJ42" s="101" t="e">
        <f>AI42/F42</f>
        <v>#DIV/0!</v>
      </c>
      <c r="AK42" s="236"/>
      <c r="AL42" s="101" t="e">
        <f>AK42/F42</f>
        <v>#DIV/0!</v>
      </c>
    </row>
    <row r="43" spans="2:38" ht="12">
      <c r="B43" s="98"/>
      <c r="C43" s="83"/>
      <c r="D43" s="86"/>
      <c r="E43" s="86"/>
      <c r="F43" s="88">
        <f t="shared" ref="F43" si="54">SUM(M43,S43,U43,W43,AC43,AE43,AG43,AI43,AK43)</f>
        <v>0</v>
      </c>
      <c r="G43" s="341"/>
      <c r="H43" s="88"/>
      <c r="I43" s="236"/>
      <c r="J43" s="101" t="e">
        <f>I43/F43</f>
        <v>#DIV/0!</v>
      </c>
      <c r="K43" s="236"/>
      <c r="L43" s="101" t="e">
        <f>K43/F43</f>
        <v>#DIV/0!</v>
      </c>
      <c r="M43" s="106">
        <f>SUM(I43+K43)</f>
        <v>0</v>
      </c>
      <c r="N43" s="101" t="e">
        <f>M43/F43</f>
        <v>#DIV/0!</v>
      </c>
      <c r="O43" s="236"/>
      <c r="P43" s="101" t="e">
        <f>O43/F43</f>
        <v>#DIV/0!</v>
      </c>
      <c r="Q43" s="236"/>
      <c r="R43" s="101" t="e">
        <f t="shared" si="8"/>
        <v>#DIV/0!</v>
      </c>
      <c r="S43" s="106">
        <f t="shared" ref="S43" si="55">SUM(O43+Q43)</f>
        <v>0</v>
      </c>
      <c r="T43" s="101" t="e">
        <f>S43/F43</f>
        <v>#DIV/0!</v>
      </c>
      <c r="U43" s="236"/>
      <c r="V43" s="101" t="e">
        <f>U43/F43</f>
        <v>#DIV/0!</v>
      </c>
      <c r="W43" s="236"/>
      <c r="X43" s="101" t="e">
        <f>W43/F43</f>
        <v>#DIV/0!</v>
      </c>
      <c r="Y43" s="236"/>
      <c r="Z43" s="101" t="e">
        <f>Y43/F43</f>
        <v>#DIV/0!</v>
      </c>
      <c r="AA43" s="236"/>
      <c r="AB43" s="101" t="e">
        <f t="shared" si="14"/>
        <v>#DIV/0!</v>
      </c>
      <c r="AC43" s="106">
        <f>SUM(Y43+AA43)</f>
        <v>0</v>
      </c>
      <c r="AD43" s="101" t="e">
        <f>AC43/F43</f>
        <v>#DIV/0!</v>
      </c>
      <c r="AE43" s="236"/>
      <c r="AF43" s="101" t="e">
        <f>AE43/F43</f>
        <v>#DIV/0!</v>
      </c>
      <c r="AG43" s="236"/>
      <c r="AH43" s="101" t="e">
        <f>AG43/F43</f>
        <v>#DIV/0!</v>
      </c>
      <c r="AI43" s="236"/>
      <c r="AJ43" s="101" t="e">
        <f>AI43/F43</f>
        <v>#DIV/0!</v>
      </c>
      <c r="AK43" s="236"/>
      <c r="AL43" s="101" t="e">
        <f>AK43/F43</f>
        <v>#DIV/0!</v>
      </c>
    </row>
    <row r="44" spans="2:38" ht="12">
      <c r="B44" s="98"/>
      <c r="C44" s="83"/>
      <c r="D44" s="86"/>
      <c r="E44" s="86"/>
      <c r="F44" s="88">
        <f t="shared" si="21"/>
        <v>0</v>
      </c>
      <c r="G44" s="341"/>
      <c r="H44" s="88"/>
      <c r="I44" s="236"/>
      <c r="J44" s="101" t="e">
        <f>I44/F44</f>
        <v>#DIV/0!</v>
      </c>
      <c r="K44" s="236"/>
      <c r="L44" s="101" t="e">
        <f>K44/F44</f>
        <v>#DIV/0!</v>
      </c>
      <c r="M44" s="106">
        <f>SUM(I44+K44)</f>
        <v>0</v>
      </c>
      <c r="N44" s="101" t="e">
        <f>M44/F44</f>
        <v>#DIV/0!</v>
      </c>
      <c r="O44" s="236"/>
      <c r="P44" s="101" t="e">
        <f>O44/F44</f>
        <v>#DIV/0!</v>
      </c>
      <c r="Q44" s="236"/>
      <c r="R44" s="101" t="e">
        <f t="shared" si="8"/>
        <v>#DIV/0!</v>
      </c>
      <c r="S44" s="106">
        <f t="shared" si="43"/>
        <v>0</v>
      </c>
      <c r="T44" s="101" t="e">
        <f>S44/F44</f>
        <v>#DIV/0!</v>
      </c>
      <c r="U44" s="236"/>
      <c r="V44" s="101" t="e">
        <f>U44/F44</f>
        <v>#DIV/0!</v>
      </c>
      <c r="W44" s="236"/>
      <c r="X44" s="101" t="e">
        <f>W44/F44</f>
        <v>#DIV/0!</v>
      </c>
      <c r="Y44" s="236"/>
      <c r="Z44" s="101" t="e">
        <f>Y44/F44</f>
        <v>#DIV/0!</v>
      </c>
      <c r="AA44" s="236"/>
      <c r="AB44" s="101" t="e">
        <f t="shared" si="14"/>
        <v>#DIV/0!</v>
      </c>
      <c r="AC44" s="106">
        <f>SUM(Y44+AA44)</f>
        <v>0</v>
      </c>
      <c r="AD44" s="101" t="e">
        <f>AC44/F44</f>
        <v>#DIV/0!</v>
      </c>
      <c r="AE44" s="236"/>
      <c r="AF44" s="101" t="e">
        <f>AE44/F44</f>
        <v>#DIV/0!</v>
      </c>
      <c r="AG44" s="236"/>
      <c r="AH44" s="101" t="e">
        <f>AG44/F44</f>
        <v>#DIV/0!</v>
      </c>
      <c r="AI44" s="236"/>
      <c r="AJ44" s="101" t="e">
        <f>AI44/F44</f>
        <v>#DIV/0!</v>
      </c>
      <c r="AK44" s="236"/>
      <c r="AL44" s="101" t="e">
        <f>AK44/F44</f>
        <v>#DIV/0!</v>
      </c>
    </row>
    <row r="45" spans="2:38" ht="12">
      <c r="B45" s="98"/>
      <c r="C45" s="83"/>
      <c r="D45" s="86"/>
      <c r="E45" s="86"/>
      <c r="F45" s="88">
        <f t="shared" si="21"/>
        <v>0</v>
      </c>
      <c r="G45" s="341"/>
      <c r="H45" s="88"/>
      <c r="I45" s="236"/>
      <c r="J45" s="101" t="e">
        <f>I45/F45</f>
        <v>#DIV/0!</v>
      </c>
      <c r="K45" s="236"/>
      <c r="L45" s="101" t="e">
        <f>K45/F45</f>
        <v>#DIV/0!</v>
      </c>
      <c r="M45" s="106">
        <f>SUM(I45+K45)</f>
        <v>0</v>
      </c>
      <c r="N45" s="101" t="e">
        <f>M45/F45</f>
        <v>#DIV/0!</v>
      </c>
      <c r="O45" s="236"/>
      <c r="P45" s="101" t="e">
        <f>O45/F45</f>
        <v>#DIV/0!</v>
      </c>
      <c r="Q45" s="236"/>
      <c r="R45" s="101" t="e">
        <f t="shared" si="8"/>
        <v>#DIV/0!</v>
      </c>
      <c r="S45" s="106">
        <f t="shared" si="43"/>
        <v>0</v>
      </c>
      <c r="T45" s="101" t="e">
        <f>S45/F45</f>
        <v>#DIV/0!</v>
      </c>
      <c r="U45" s="236"/>
      <c r="V45" s="101" t="e">
        <f>U45/F45</f>
        <v>#DIV/0!</v>
      </c>
      <c r="W45" s="236"/>
      <c r="X45" s="101" t="e">
        <f>W45/F45</f>
        <v>#DIV/0!</v>
      </c>
      <c r="Y45" s="236"/>
      <c r="Z45" s="101" t="e">
        <f>Y45/F45</f>
        <v>#DIV/0!</v>
      </c>
      <c r="AA45" s="236"/>
      <c r="AB45" s="101" t="e">
        <f t="shared" si="14"/>
        <v>#DIV/0!</v>
      </c>
      <c r="AC45" s="106">
        <f>SUM(Y45+AA45)</f>
        <v>0</v>
      </c>
      <c r="AD45" s="101" t="e">
        <f>AC45/F45</f>
        <v>#DIV/0!</v>
      </c>
      <c r="AE45" s="236"/>
      <c r="AF45" s="101" t="e">
        <f>AE45/F45</f>
        <v>#DIV/0!</v>
      </c>
      <c r="AG45" s="236"/>
      <c r="AH45" s="101" t="e">
        <f>AG45/F45</f>
        <v>#DIV/0!</v>
      </c>
      <c r="AI45" s="236"/>
      <c r="AJ45" s="101" t="e">
        <f>AI45/F45</f>
        <v>#DIV/0!</v>
      </c>
      <c r="AK45" s="236"/>
      <c r="AL45" s="101" t="e">
        <f>AK45/F45</f>
        <v>#DIV/0!</v>
      </c>
    </row>
    <row r="46" spans="2:38" ht="12">
      <c r="B46" s="98"/>
      <c r="C46" s="83"/>
      <c r="D46" s="84"/>
      <c r="F46" s="88"/>
      <c r="G46" s="88"/>
      <c r="H46" s="88"/>
      <c r="I46" s="289">
        <f>SUM(I7:I44)</f>
        <v>399768</v>
      </c>
      <c r="J46" s="288">
        <f>I46/$H$12</f>
        <v>0.12238746294482664</v>
      </c>
      <c r="K46" s="289">
        <f>SUM(K7:K44)</f>
        <v>548582</v>
      </c>
      <c r="L46" s="288">
        <f>K46/$H$12</f>
        <v>0.16794630685097078</v>
      </c>
      <c r="M46" s="289">
        <f>SUM(M7:M44)</f>
        <v>948350</v>
      </c>
      <c r="N46" s="288">
        <f>M46/$H$12</f>
        <v>0.29033376979579739</v>
      </c>
      <c r="O46" s="289">
        <f>SUM(O7:O44)</f>
        <v>70351</v>
      </c>
      <c r="P46" s="288">
        <f>O46/$H$12</f>
        <v>2.1537692875946795E-2</v>
      </c>
      <c r="Q46" s="289">
        <f>SUM(Q7:Q44)</f>
        <v>45233</v>
      </c>
      <c r="R46" s="288">
        <f>Q46/$H$12</f>
        <v>1.3847912067457483E-2</v>
      </c>
      <c r="S46" s="289">
        <f>SUM(S7:S44)</f>
        <v>115584</v>
      </c>
      <c r="T46" s="288">
        <f>S46/$H$12</f>
        <v>3.5385604943404279E-2</v>
      </c>
      <c r="U46" s="289">
        <f>SUM(U7:U44)</f>
        <v>529272</v>
      </c>
      <c r="V46" s="288">
        <f>U46/$H$12</f>
        <v>0.16203462330085019</v>
      </c>
      <c r="W46" s="289">
        <f>SUM(W7:W44)</f>
        <v>58512</v>
      </c>
      <c r="X46" s="288">
        <f>W46/$H$12</f>
        <v>1.7913227751665206E-2</v>
      </c>
      <c r="Y46" s="289">
        <f>SUM(Y7:Y44)</f>
        <v>334464</v>
      </c>
      <c r="Z46" s="288">
        <f>Y46/$H$12</f>
        <v>0.1023948900521765</v>
      </c>
      <c r="AA46" s="289">
        <f>SUM(AA7:AA44)</f>
        <v>391000</v>
      </c>
      <c r="AB46" s="288">
        <f>AA46/$H$12</f>
        <v>0.11970317286883196</v>
      </c>
      <c r="AC46" s="289">
        <f>SUM(AC7:AC44)</f>
        <v>725464</v>
      </c>
      <c r="AD46" s="288">
        <f>AC46/$H$12</f>
        <v>0.22209806292100845</v>
      </c>
      <c r="AE46" s="289">
        <f>SUM(AE7:AE44)</f>
        <v>304967</v>
      </c>
      <c r="AF46" s="288">
        <f>AE46/$H$12</f>
        <v>9.3364494936800699E-2</v>
      </c>
      <c r="AG46" s="289">
        <f>SUM(AG7:AG44)</f>
        <v>119185</v>
      </c>
      <c r="AH46" s="288">
        <f>AG46/$H$12</f>
        <v>3.648803748944178E-2</v>
      </c>
      <c r="AI46" s="289">
        <f>SUM(AI7:AI44)</f>
        <v>195719</v>
      </c>
      <c r="AJ46" s="288">
        <f>AI46/$H$12</f>
        <v>5.9918632457071408E-2</v>
      </c>
      <c r="AK46" s="289">
        <f>SUM(AK7:AK44)</f>
        <v>269360</v>
      </c>
      <c r="AL46" s="288">
        <f>AK46/$H$12</f>
        <v>8.2463546403960558E-2</v>
      </c>
    </row>
    <row r="47" spans="2:38" ht="12">
      <c r="B47" s="98"/>
      <c r="C47" s="83"/>
      <c r="D47" s="84"/>
      <c r="F47" s="88"/>
      <c r="G47" s="88"/>
      <c r="H47" s="88"/>
      <c r="M47" s="290">
        <f>M46</f>
        <v>948350</v>
      </c>
      <c r="S47" s="290">
        <f>S46</f>
        <v>115584</v>
      </c>
      <c r="U47" s="290">
        <f>U46</f>
        <v>529272</v>
      </c>
      <c r="W47" s="290">
        <f>W46</f>
        <v>58512</v>
      </c>
      <c r="Y47" s="290"/>
      <c r="AA47" s="290"/>
      <c r="AC47" s="290">
        <f>AC46</f>
        <v>725464</v>
      </c>
      <c r="AE47" s="290">
        <f>AE46</f>
        <v>304967</v>
      </c>
      <c r="AG47" s="290">
        <f>AG46</f>
        <v>119185</v>
      </c>
      <c r="AI47" s="290">
        <f>AI46</f>
        <v>195719</v>
      </c>
      <c r="AK47" s="290">
        <f>AK46</f>
        <v>269360</v>
      </c>
    </row>
    <row r="48" spans="2:38" ht="12">
      <c r="B48" s="98"/>
      <c r="C48" s="83"/>
      <c r="D48" s="84"/>
      <c r="F48" s="88"/>
      <c r="G48" s="88"/>
      <c r="H48" s="88"/>
    </row>
    <row r="49" spans="2:8" ht="12">
      <c r="B49" s="98"/>
      <c r="C49" s="83"/>
      <c r="D49" s="84"/>
      <c r="F49" s="88"/>
      <c r="G49" s="88"/>
      <c r="H49" s="88"/>
    </row>
    <row r="50" spans="2:8" ht="12">
      <c r="B50" s="98"/>
      <c r="C50" s="83"/>
      <c r="D50" s="84"/>
    </row>
    <row r="51" spans="2:8" ht="12">
      <c r="B51" s="98"/>
      <c r="C51" s="83"/>
      <c r="D51" s="84"/>
    </row>
    <row r="52" spans="2:8" ht="12">
      <c r="B52" s="98"/>
      <c r="C52" s="83"/>
      <c r="D52" s="84"/>
    </row>
    <row r="53" spans="2:8" ht="12">
      <c r="B53" s="98"/>
      <c r="C53" s="83"/>
      <c r="D53" s="84"/>
    </row>
    <row r="54" spans="2:8" ht="12">
      <c r="B54" s="98"/>
      <c r="C54" s="83"/>
      <c r="D54" s="84"/>
    </row>
    <row r="55" spans="2:8" ht="12">
      <c r="B55" s="98"/>
      <c r="C55" s="83"/>
      <c r="D55" s="84"/>
    </row>
    <row r="56" spans="2:8" ht="12">
      <c r="B56" s="98"/>
      <c r="C56" s="83"/>
      <c r="D56" s="84"/>
    </row>
    <row r="57" spans="2:8" ht="12">
      <c r="B57" s="98"/>
      <c r="C57" s="83"/>
      <c r="D57" s="84"/>
    </row>
    <row r="58" spans="2:8" ht="12">
      <c r="B58" s="98"/>
      <c r="C58" s="83"/>
      <c r="D58" s="84"/>
    </row>
    <row r="59" spans="2:8" ht="12">
      <c r="B59" s="98"/>
      <c r="C59" s="83"/>
      <c r="D59" s="84"/>
    </row>
    <row r="60" spans="2:8" ht="12">
      <c r="B60" s="98"/>
      <c r="C60" s="83"/>
      <c r="D60" s="84"/>
    </row>
    <row r="61" spans="2:8" ht="12">
      <c r="B61" s="98"/>
      <c r="C61" s="83"/>
      <c r="D61" s="84"/>
    </row>
    <row r="62" spans="2:8" ht="12">
      <c r="B62" s="98"/>
      <c r="C62" s="83"/>
      <c r="D62" s="84"/>
    </row>
    <row r="63" spans="2:8" ht="12">
      <c r="B63" s="98"/>
      <c r="C63" s="83"/>
      <c r="D63" s="84"/>
    </row>
    <row r="64" spans="2:8" ht="12">
      <c r="B64" s="98"/>
      <c r="C64" s="83"/>
      <c r="D64" s="84"/>
    </row>
    <row r="65" spans="2:4" ht="12">
      <c r="B65" s="98"/>
      <c r="C65" s="83"/>
      <c r="D65" s="84"/>
    </row>
    <row r="66" spans="2:4" ht="12">
      <c r="B66" s="98"/>
      <c r="C66" s="83"/>
      <c r="D66" s="84"/>
    </row>
    <row r="67" spans="2:4" ht="12">
      <c r="B67" s="98"/>
      <c r="C67" s="83"/>
      <c r="D67" s="84"/>
    </row>
    <row r="68" spans="2:4" ht="12">
      <c r="B68" s="98"/>
      <c r="C68" s="83"/>
      <c r="D68" s="84"/>
    </row>
    <row r="69" spans="2:4" ht="12">
      <c r="B69" s="98"/>
      <c r="C69" s="83"/>
      <c r="D69" s="84"/>
    </row>
    <row r="70" spans="2:4" ht="12">
      <c r="B70" s="98"/>
      <c r="C70" s="83"/>
      <c r="D70" s="84"/>
    </row>
    <row r="71" spans="2:4" ht="12">
      <c r="B71" s="98"/>
      <c r="C71" s="83"/>
      <c r="D71" s="84"/>
    </row>
    <row r="72" spans="2:4" ht="12">
      <c r="B72" s="98"/>
      <c r="C72" s="83"/>
      <c r="D72" s="84"/>
    </row>
    <row r="73" spans="2:4" ht="12">
      <c r="B73" s="98"/>
      <c r="C73" s="83"/>
      <c r="D73" s="84"/>
    </row>
    <row r="74" spans="2:4" ht="12">
      <c r="B74" s="98"/>
      <c r="C74" s="83"/>
      <c r="D74" s="84"/>
    </row>
    <row r="75" spans="2:4" ht="12">
      <c r="B75" s="98"/>
      <c r="C75" s="83"/>
      <c r="D75" s="84"/>
    </row>
    <row r="76" spans="2:4" ht="12">
      <c r="B76" s="98"/>
      <c r="C76" s="83"/>
      <c r="D76" s="84"/>
    </row>
    <row r="77" spans="2:4" ht="12">
      <c r="B77" s="98"/>
      <c r="C77" s="83"/>
      <c r="D77" s="84"/>
    </row>
    <row r="78" spans="2:4" ht="12">
      <c r="B78" s="98"/>
      <c r="C78" s="83"/>
      <c r="D78" s="84"/>
    </row>
    <row r="79" spans="2:4" ht="12">
      <c r="B79" s="98"/>
      <c r="C79" s="83"/>
      <c r="D79" s="84"/>
    </row>
    <row r="80" spans="2:4" ht="12">
      <c r="B80" s="98"/>
      <c r="C80" s="83"/>
      <c r="D80" s="84"/>
    </row>
    <row r="81" spans="2:4" ht="12">
      <c r="B81" s="98"/>
      <c r="C81" s="83"/>
      <c r="D81" s="84"/>
    </row>
    <row r="82" spans="2:4" ht="12">
      <c r="B82" s="98"/>
      <c r="C82" s="83"/>
      <c r="D82" s="84"/>
    </row>
    <row r="83" spans="2:4" ht="12">
      <c r="B83" s="98"/>
      <c r="C83" s="83"/>
      <c r="D83" s="84"/>
    </row>
    <row r="84" spans="2:4" ht="12">
      <c r="B84" s="98"/>
      <c r="C84" s="83"/>
      <c r="D84" s="84"/>
    </row>
    <row r="85" spans="2:4" ht="12">
      <c r="B85" s="98"/>
      <c r="C85" s="83"/>
      <c r="D85" s="84"/>
    </row>
    <row r="86" spans="2:4" ht="12">
      <c r="B86" s="98"/>
      <c r="C86" s="83"/>
      <c r="D86" s="84"/>
    </row>
    <row r="87" spans="2:4" ht="12">
      <c r="B87" s="98"/>
      <c r="C87" s="83"/>
      <c r="D87" s="84"/>
    </row>
    <row r="88" spans="2:4" ht="12">
      <c r="B88" s="98"/>
      <c r="C88" s="83"/>
      <c r="D88" s="84"/>
    </row>
    <row r="89" spans="2:4" ht="12">
      <c r="B89" s="98"/>
      <c r="C89" s="83"/>
      <c r="D89" s="84"/>
    </row>
    <row r="90" spans="2:4" ht="12">
      <c r="B90" s="98"/>
      <c r="C90" s="83"/>
      <c r="D90" s="84"/>
    </row>
    <row r="91" spans="2:4" ht="12">
      <c r="B91" s="98"/>
      <c r="C91" s="83"/>
      <c r="D91" s="84"/>
    </row>
    <row r="92" spans="2:4" ht="12">
      <c r="B92" s="98"/>
      <c r="C92" s="83"/>
      <c r="D92" s="84"/>
    </row>
    <row r="93" spans="2:4" ht="12">
      <c r="B93" s="98"/>
      <c r="C93" s="83"/>
      <c r="D93" s="84"/>
    </row>
    <row r="94" spans="2:4" ht="12">
      <c r="B94" s="98"/>
      <c r="C94" s="83"/>
      <c r="D94" s="84"/>
    </row>
    <row r="95" spans="2:4" ht="12">
      <c r="B95" s="98"/>
      <c r="C95" s="83"/>
      <c r="D95" s="84"/>
    </row>
    <row r="96" spans="2:4" ht="12">
      <c r="B96" s="98"/>
      <c r="C96" s="83"/>
      <c r="D96" s="84"/>
    </row>
    <row r="97" spans="2:4" ht="12">
      <c r="B97" s="98"/>
      <c r="C97" s="83"/>
      <c r="D97" s="84"/>
    </row>
    <row r="98" spans="2:4" ht="12">
      <c r="B98" s="98"/>
      <c r="C98" s="83"/>
      <c r="D98" s="84"/>
    </row>
    <row r="99" spans="2:4" ht="12">
      <c r="B99" s="98"/>
      <c r="C99" s="83"/>
      <c r="D99" s="84"/>
    </row>
    <row r="100" spans="2:4" ht="12">
      <c r="B100" s="98"/>
      <c r="C100" s="83"/>
      <c r="D100" s="84"/>
    </row>
    <row r="101" spans="2:4" ht="12">
      <c r="B101" s="98"/>
      <c r="C101" s="83"/>
      <c r="D101" s="84"/>
    </row>
    <row r="102" spans="2:4" ht="12">
      <c r="B102" s="98"/>
      <c r="C102" s="83"/>
      <c r="D102" s="84"/>
    </row>
  </sheetData>
  <mergeCells count="32"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62"/>
  <sheetViews>
    <sheetView topLeftCell="A67" zoomScale="55" zoomScaleNormal="55" workbookViewId="0">
      <pane xSplit="15" topLeftCell="Z1" activePane="topRight" state="frozen"/>
      <selection activeCell="P2" sqref="P2:AN2"/>
      <selection pane="topRight" activeCell="AP99" sqref="AP99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22" t="s">
        <v>333</v>
      </c>
      <c r="C1" s="221">
        <f>AVERAGE(L7,L42,L77,L112,L147,L182)</f>
        <v>794.21438405609206</v>
      </c>
    </row>
    <row r="2" spans="1:54" ht="15.75">
      <c r="A2" s="81"/>
      <c r="B2" s="664" t="s">
        <v>163</v>
      </c>
      <c r="C2" s="664"/>
      <c r="D2" s="664"/>
      <c r="E2" s="664"/>
      <c r="F2" s="664"/>
      <c r="G2" s="664"/>
      <c r="H2" s="664"/>
      <c r="I2" s="310"/>
      <c r="J2" s="310"/>
      <c r="K2" s="310"/>
      <c r="L2" s="310"/>
      <c r="M2" s="197"/>
      <c r="N2" s="653" t="s">
        <v>156</v>
      </c>
      <c r="O2" s="653" t="s">
        <v>155</v>
      </c>
      <c r="P2" s="680"/>
      <c r="Q2" s="681"/>
      <c r="R2" s="681"/>
      <c r="S2" s="681"/>
      <c r="T2" s="682"/>
      <c r="U2" s="656"/>
      <c r="V2" s="657"/>
      <c r="W2" s="657"/>
      <c r="X2" s="657"/>
      <c r="Y2" s="658"/>
      <c r="Z2" s="656"/>
      <c r="AA2" s="657"/>
      <c r="AB2" s="657"/>
      <c r="AC2" s="657"/>
      <c r="AD2" s="658"/>
      <c r="AE2" s="656"/>
      <c r="AF2" s="657"/>
      <c r="AG2" s="657"/>
      <c r="AH2" s="657"/>
      <c r="AI2" s="658"/>
      <c r="AJ2" s="656"/>
      <c r="AK2" s="657"/>
      <c r="AL2" s="657"/>
      <c r="AM2" s="657"/>
      <c r="AN2" s="658"/>
      <c r="AO2" s="656">
        <v>46054</v>
      </c>
      <c r="AP2" s="657"/>
      <c r="AQ2" s="657"/>
      <c r="AR2" s="657"/>
      <c r="AS2" s="658"/>
      <c r="AT2" s="656">
        <f>AO2+1</f>
        <v>46055</v>
      </c>
      <c r="AU2" s="657"/>
      <c r="AV2" s="657"/>
      <c r="AW2" s="657"/>
      <c r="AX2" s="658"/>
    </row>
    <row r="3" spans="1:54" ht="15.75">
      <c r="A3" s="81"/>
      <c r="B3" s="683"/>
      <c r="C3" s="683"/>
      <c r="D3" s="683"/>
      <c r="E3" s="683"/>
      <c r="F3" s="683"/>
      <c r="G3" s="683"/>
      <c r="H3" s="683"/>
      <c r="I3" s="311"/>
      <c r="J3" s="311"/>
      <c r="K3" s="311"/>
      <c r="L3" s="311"/>
      <c r="M3" s="198"/>
      <c r="N3" s="655"/>
      <c r="O3" s="655"/>
      <c r="P3" s="659" t="s">
        <v>158</v>
      </c>
      <c r="Q3" s="660"/>
      <c r="R3" s="660"/>
      <c r="S3" s="660"/>
      <c r="T3" s="660"/>
      <c r="U3" s="659" t="s">
        <v>114</v>
      </c>
      <c r="V3" s="660"/>
      <c r="W3" s="660"/>
      <c r="X3" s="660"/>
      <c r="Y3" s="660"/>
      <c r="Z3" s="659" t="s">
        <v>159</v>
      </c>
      <c r="AA3" s="660"/>
      <c r="AB3" s="660"/>
      <c r="AC3" s="660"/>
      <c r="AD3" s="660"/>
      <c r="AE3" s="659" t="s">
        <v>157</v>
      </c>
      <c r="AF3" s="660"/>
      <c r="AG3" s="660"/>
      <c r="AH3" s="660"/>
      <c r="AI3" s="660"/>
      <c r="AJ3" s="659" t="s">
        <v>160</v>
      </c>
      <c r="AK3" s="660"/>
      <c r="AL3" s="660"/>
      <c r="AM3" s="660"/>
      <c r="AN3" s="660"/>
      <c r="AO3" s="659" t="s">
        <v>115</v>
      </c>
      <c r="AP3" s="660"/>
      <c r="AQ3" s="660"/>
      <c r="AR3" s="660"/>
      <c r="AS3" s="660"/>
      <c r="AT3" s="659" t="s">
        <v>162</v>
      </c>
      <c r="AU3" s="660"/>
      <c r="AV3" s="660"/>
      <c r="AW3" s="660"/>
      <c r="AX3" s="660"/>
    </row>
    <row r="4" spans="1:54">
      <c r="A4" s="81"/>
      <c r="B4" s="652" t="s">
        <v>431</v>
      </c>
      <c r="C4" s="652" t="s">
        <v>441</v>
      </c>
      <c r="D4" s="652"/>
      <c r="E4" s="652" t="s">
        <v>432</v>
      </c>
      <c r="F4" s="652"/>
      <c r="G4" s="652"/>
      <c r="H4" s="668" t="s">
        <v>428</v>
      </c>
      <c r="I4" s="636" t="s">
        <v>476</v>
      </c>
      <c r="J4" s="636"/>
      <c r="K4" s="636"/>
      <c r="L4" s="637" t="s">
        <v>428</v>
      </c>
      <c r="M4" s="643" t="s">
        <v>477</v>
      </c>
      <c r="N4" s="652"/>
      <c r="O4" s="652" t="s">
        <v>434</v>
      </c>
      <c r="P4" s="649" t="s">
        <v>430</v>
      </c>
      <c r="Q4" s="650"/>
      <c r="R4" s="650"/>
      <c r="S4" s="651"/>
      <c r="T4" s="652" t="s">
        <v>428</v>
      </c>
      <c r="U4" s="649" t="s">
        <v>430</v>
      </c>
      <c r="V4" s="650"/>
      <c r="W4" s="650"/>
      <c r="X4" s="651"/>
      <c r="Y4" s="652" t="s">
        <v>428</v>
      </c>
      <c r="Z4" s="649" t="s">
        <v>430</v>
      </c>
      <c r="AA4" s="650"/>
      <c r="AB4" s="650"/>
      <c r="AC4" s="651"/>
      <c r="AD4" s="652" t="s">
        <v>428</v>
      </c>
      <c r="AE4" s="649" t="s">
        <v>430</v>
      </c>
      <c r="AF4" s="650"/>
      <c r="AG4" s="650"/>
      <c r="AH4" s="651"/>
      <c r="AI4" s="652" t="s">
        <v>428</v>
      </c>
      <c r="AJ4" s="649" t="s">
        <v>430</v>
      </c>
      <c r="AK4" s="650"/>
      <c r="AL4" s="650"/>
      <c r="AM4" s="651"/>
      <c r="AN4" s="652" t="s">
        <v>428</v>
      </c>
      <c r="AO4" s="649" t="s">
        <v>430</v>
      </c>
      <c r="AP4" s="650"/>
      <c r="AQ4" s="650"/>
      <c r="AR4" s="651"/>
      <c r="AS4" s="652" t="s">
        <v>428</v>
      </c>
      <c r="AT4" s="649" t="s">
        <v>430</v>
      </c>
      <c r="AU4" s="650"/>
      <c r="AV4" s="650"/>
      <c r="AW4" s="651"/>
      <c r="AX4" s="652" t="s">
        <v>428</v>
      </c>
    </row>
    <row r="5" spans="1:54">
      <c r="A5" s="81"/>
      <c r="B5" s="652"/>
      <c r="C5" s="652"/>
      <c r="D5" s="652"/>
      <c r="E5" s="652" t="s">
        <v>480</v>
      </c>
      <c r="F5" s="652"/>
      <c r="G5" s="652"/>
      <c r="H5" s="669"/>
      <c r="I5" s="636" t="s">
        <v>480</v>
      </c>
      <c r="J5" s="636"/>
      <c r="K5" s="636"/>
      <c r="L5" s="638"/>
      <c r="M5" s="644"/>
      <c r="N5" s="652"/>
      <c r="O5" s="652"/>
      <c r="P5" s="649" t="s">
        <v>436</v>
      </c>
      <c r="Q5" s="650"/>
      <c r="R5" s="650"/>
      <c r="S5" s="651"/>
      <c r="T5" s="652"/>
      <c r="U5" s="649" t="s">
        <v>436</v>
      </c>
      <c r="V5" s="650"/>
      <c r="W5" s="650"/>
      <c r="X5" s="651"/>
      <c r="Y5" s="652"/>
      <c r="Z5" s="649" t="s">
        <v>436</v>
      </c>
      <c r="AA5" s="650"/>
      <c r="AB5" s="650"/>
      <c r="AC5" s="651"/>
      <c r="AD5" s="652"/>
      <c r="AE5" s="649" t="s">
        <v>436</v>
      </c>
      <c r="AF5" s="650"/>
      <c r="AG5" s="650"/>
      <c r="AH5" s="651"/>
      <c r="AI5" s="652"/>
      <c r="AJ5" s="649" t="s">
        <v>436</v>
      </c>
      <c r="AK5" s="650"/>
      <c r="AL5" s="650"/>
      <c r="AM5" s="651"/>
      <c r="AN5" s="652"/>
      <c r="AO5" s="649" t="s">
        <v>436</v>
      </c>
      <c r="AP5" s="650"/>
      <c r="AQ5" s="650"/>
      <c r="AR5" s="651"/>
      <c r="AS5" s="652"/>
      <c r="AT5" s="649" t="s">
        <v>436</v>
      </c>
      <c r="AU5" s="650"/>
      <c r="AV5" s="650"/>
      <c r="AW5" s="651"/>
      <c r="AX5" s="652"/>
    </row>
    <row r="6" spans="1:54">
      <c r="A6" s="79"/>
      <c r="B6" s="652"/>
      <c r="C6" s="652"/>
      <c r="D6" s="652"/>
      <c r="E6" s="555" t="s">
        <v>482</v>
      </c>
      <c r="F6" s="555" t="s">
        <v>438</v>
      </c>
      <c r="G6" s="555" t="s">
        <v>439</v>
      </c>
      <c r="H6" s="670"/>
      <c r="I6" s="557" t="s">
        <v>482</v>
      </c>
      <c r="J6" s="557" t="s">
        <v>438</v>
      </c>
      <c r="K6" s="557" t="s">
        <v>439</v>
      </c>
      <c r="L6" s="639"/>
      <c r="M6" s="645"/>
      <c r="N6" s="652"/>
      <c r="O6" s="652"/>
      <c r="P6" s="555" t="s">
        <v>482</v>
      </c>
      <c r="Q6" s="555" t="s">
        <v>438</v>
      </c>
      <c r="R6" s="555" t="s">
        <v>439</v>
      </c>
      <c r="S6" s="555" t="s">
        <v>477</v>
      </c>
      <c r="T6" s="652"/>
      <c r="U6" s="555" t="s">
        <v>482</v>
      </c>
      <c r="V6" s="555" t="s">
        <v>438</v>
      </c>
      <c r="W6" s="555" t="s">
        <v>439</v>
      </c>
      <c r="X6" s="555" t="s">
        <v>477</v>
      </c>
      <c r="Y6" s="652"/>
      <c r="Z6" s="555" t="s">
        <v>482</v>
      </c>
      <c r="AA6" s="555" t="s">
        <v>438</v>
      </c>
      <c r="AB6" s="555" t="s">
        <v>439</v>
      </c>
      <c r="AC6" s="555" t="s">
        <v>477</v>
      </c>
      <c r="AD6" s="652"/>
      <c r="AE6" s="555" t="s">
        <v>482</v>
      </c>
      <c r="AF6" s="555" t="s">
        <v>438</v>
      </c>
      <c r="AG6" s="555" t="s">
        <v>439</v>
      </c>
      <c r="AH6" s="555" t="s">
        <v>477</v>
      </c>
      <c r="AI6" s="652"/>
      <c r="AJ6" s="555" t="s">
        <v>482</v>
      </c>
      <c r="AK6" s="555" t="s">
        <v>438</v>
      </c>
      <c r="AL6" s="555" t="s">
        <v>439</v>
      </c>
      <c r="AM6" s="555" t="s">
        <v>477</v>
      </c>
      <c r="AN6" s="652"/>
      <c r="AO6" s="555" t="s">
        <v>482</v>
      </c>
      <c r="AP6" s="555" t="s">
        <v>438</v>
      </c>
      <c r="AQ6" s="555" t="s">
        <v>439</v>
      </c>
      <c r="AR6" s="555" t="s">
        <v>477</v>
      </c>
      <c r="AS6" s="652"/>
      <c r="AT6" s="555" t="s">
        <v>482</v>
      </c>
      <c r="AU6" s="555" t="s">
        <v>438</v>
      </c>
      <c r="AV6" s="555" t="s">
        <v>439</v>
      </c>
      <c r="AW6" s="555" t="s">
        <v>477</v>
      </c>
      <c r="AX6" s="652"/>
    </row>
    <row r="7" spans="1:54">
      <c r="A7" s="81"/>
      <c r="B7" s="660" t="s">
        <v>150</v>
      </c>
      <c r="C7" s="551">
        <v>1</v>
      </c>
      <c r="D7" s="551" t="s">
        <v>358</v>
      </c>
      <c r="E7" s="551">
        <v>4</v>
      </c>
      <c r="F7" s="551">
        <v>2200</v>
      </c>
      <c r="G7" s="551">
        <v>550</v>
      </c>
      <c r="H7" s="661">
        <f>AVERAGE(G7:G36)</f>
        <v>849.60317460317469</v>
      </c>
      <c r="I7" s="553">
        <f>AVERAGE(P7,U7,Z7,AE7,AJ7,AO7,AT7)</f>
        <v>3</v>
      </c>
      <c r="J7" s="553">
        <f>AVERAGE(Q7,V7,AA7,AF7,AK7,AP7,AU7)</f>
        <v>3222.8723404255325</v>
      </c>
      <c r="K7" s="200">
        <f>AVERAGE(R7,W7,AB7,AG7,AL7,AQ7,AV7)</f>
        <v>1074.2907801418442</v>
      </c>
      <c r="L7" s="633">
        <f>IFERROR(AVERAGE(K7:K36),"-")</f>
        <v>795.9956705841588</v>
      </c>
      <c r="M7" s="553" t="e">
        <f>RANK(K7, K$147:$K$176)</f>
        <v>#DIV/0!</v>
      </c>
      <c r="N7" s="652"/>
      <c r="O7" s="652"/>
      <c r="P7" s="182"/>
      <c r="Q7" s="182"/>
      <c r="R7" s="182"/>
      <c r="S7" s="551" t="e">
        <f>RANK(R7, R$7:R$36)</f>
        <v>#N/A</v>
      </c>
      <c r="T7" s="674" t="e">
        <f>AVERAGE(R7:R36)</f>
        <v>#DIV/0!</v>
      </c>
      <c r="U7" s="182"/>
      <c r="V7" s="182"/>
      <c r="W7" s="182"/>
      <c r="X7" s="551" t="e">
        <f>RANK(W7, W$7:W$36)</f>
        <v>#N/A</v>
      </c>
      <c r="Y7" s="674" t="e">
        <f>AVERAGE(W7:W36)</f>
        <v>#DIV/0!</v>
      </c>
      <c r="Z7" s="182"/>
      <c r="AA7" s="182"/>
      <c r="AB7" s="182"/>
      <c r="AC7" s="551" t="e">
        <f>RANK(AB7, AB$7:AB$36)</f>
        <v>#N/A</v>
      </c>
      <c r="AD7" s="674" t="e">
        <f>AVERAGE(AB7:AB36)</f>
        <v>#DIV/0!</v>
      </c>
      <c r="AE7" s="182"/>
      <c r="AF7" s="182"/>
      <c r="AG7" s="182"/>
      <c r="AH7" s="551" t="e">
        <f>RANK(AG7, AG$7:AG$36)</f>
        <v>#N/A</v>
      </c>
      <c r="AI7" s="674" t="e">
        <f>AVERAGE(AG7:AG36)</f>
        <v>#DIV/0!</v>
      </c>
      <c r="AJ7" s="182"/>
      <c r="AK7" s="182"/>
      <c r="AL7" s="182"/>
      <c r="AM7" s="551" t="e">
        <f>RANK(AL7, AL$7:AL$36)</f>
        <v>#N/A</v>
      </c>
      <c r="AN7" s="674" t="e">
        <f>AVERAGE(AL7:AL36)</f>
        <v>#DIV/0!</v>
      </c>
      <c r="AO7" s="182">
        <v>3</v>
      </c>
      <c r="AP7" s="182">
        <v>3230.0000000000009</v>
      </c>
      <c r="AQ7" s="182">
        <v>1076.666666666667</v>
      </c>
      <c r="AR7" s="551">
        <f>RANK(AQ7, AQ$7:AQ$36)</f>
        <v>3</v>
      </c>
      <c r="AS7" s="674">
        <f>AVERAGE(AQ7:AQ36)</f>
        <v>800.12650148310445</v>
      </c>
      <c r="AT7" s="182">
        <v>3</v>
      </c>
      <c r="AU7" s="182">
        <v>3215.744680851064</v>
      </c>
      <c r="AV7" s="182">
        <v>1071.9148936170213</v>
      </c>
      <c r="AW7" s="551">
        <f>RANK(AV7, AV$7:AV$36)</f>
        <v>3</v>
      </c>
      <c r="AX7" s="674">
        <f>AVERAGE(AV7:AV36)</f>
        <v>791.86483968521327</v>
      </c>
      <c r="AZ7" s="362" t="e">
        <f>RANK(AX7, $K$7:AX$36)</f>
        <v>#DIV/0!</v>
      </c>
      <c r="BB7" s="360" t="e">
        <f t="shared" ref="BB7:BB36" si="0">RANK(BA7, BA$7:BA$36)</f>
        <v>#N/A</v>
      </c>
    </row>
    <row r="8" spans="1:54" ht="15" customHeight="1">
      <c r="A8" s="81"/>
      <c r="B8" s="660"/>
      <c r="C8" s="551">
        <v>2</v>
      </c>
      <c r="D8" s="551" t="s">
        <v>359</v>
      </c>
      <c r="E8" s="551">
        <v>3</v>
      </c>
      <c r="F8" s="551">
        <v>2700</v>
      </c>
      <c r="G8" s="551">
        <v>900</v>
      </c>
      <c r="H8" s="662"/>
      <c r="I8" s="553">
        <f t="shared" ref="I8:I26" si="1">AVERAGE(P8,U8,Z8,AE8,AJ8,AO8,AT8)</f>
        <v>3</v>
      </c>
      <c r="J8" s="553">
        <f t="shared" ref="J8:J26" si="2">AVERAGE(Q8,V8,AA8,AF8,AK8,AP8,AU8)</f>
        <v>3342.8571428571358</v>
      </c>
      <c r="K8" s="200">
        <f t="shared" ref="K8:K26" si="3">AVERAGE(R8,W8,AB8,AG8,AL8,AQ8,AV8)</f>
        <v>1114.2857142857119</v>
      </c>
      <c r="L8" s="634"/>
      <c r="M8" s="553" t="e">
        <f>RANK(K8, K$147:$K$176)</f>
        <v>#DIV/0!</v>
      </c>
      <c r="N8" s="652"/>
      <c r="O8" s="652"/>
      <c r="P8" s="182"/>
      <c r="Q8" s="182"/>
      <c r="R8" s="182"/>
      <c r="S8" s="551" t="e">
        <f t="shared" ref="S8:S36" si="4">RANK(R8, R$7:R$36)</f>
        <v>#N/A</v>
      </c>
      <c r="T8" s="674"/>
      <c r="U8" s="182"/>
      <c r="V8" s="182"/>
      <c r="W8" s="182"/>
      <c r="X8" s="551" t="e">
        <f t="shared" ref="X8:X36" si="5">RANK(W8, W$7:W$36)</f>
        <v>#N/A</v>
      </c>
      <c r="Y8" s="674"/>
      <c r="Z8" s="182"/>
      <c r="AA8" s="182"/>
      <c r="AB8" s="182"/>
      <c r="AC8" s="551" t="e">
        <f t="shared" ref="AC8:AC36" si="6">RANK(AB8, AB$7:AB$36)</f>
        <v>#N/A</v>
      </c>
      <c r="AD8" s="674"/>
      <c r="AE8" s="182"/>
      <c r="AF8" s="182"/>
      <c r="AG8" s="182"/>
      <c r="AH8" s="551" t="e">
        <f t="shared" ref="AH8:AH36" si="7">RANK(AG8, AG$7:AG$36)</f>
        <v>#N/A</v>
      </c>
      <c r="AI8" s="674"/>
      <c r="AJ8" s="182"/>
      <c r="AK8" s="182"/>
      <c r="AL8" s="182"/>
      <c r="AM8" s="551" t="e">
        <f t="shared" ref="AM8:AM36" si="8">RANK(AL8, AL$7:AL$36)</f>
        <v>#N/A</v>
      </c>
      <c r="AN8" s="674"/>
      <c r="AO8" s="182">
        <v>3</v>
      </c>
      <c r="AP8" s="182">
        <v>3407.1428571428496</v>
      </c>
      <c r="AQ8" s="182">
        <v>1135.7142857142833</v>
      </c>
      <c r="AR8" s="551">
        <f t="shared" ref="AR8:AR36" si="9">RANK(AQ8, AQ$7:AQ$36)</f>
        <v>1</v>
      </c>
      <c r="AS8" s="674"/>
      <c r="AT8" s="182">
        <v>3</v>
      </c>
      <c r="AU8" s="182">
        <v>3278.5714285714216</v>
      </c>
      <c r="AV8" s="182">
        <v>1092.8571428571406</v>
      </c>
      <c r="AW8" s="551">
        <f t="shared" ref="AW8:AW36" si="10">RANK(AV8, AV$7:AV$36)</f>
        <v>2</v>
      </c>
      <c r="AX8" s="674"/>
      <c r="AZ8" s="362" t="e">
        <f>RANK(AX8, $K$7:AX$36)</f>
        <v>#DIV/0!</v>
      </c>
      <c r="BB8" s="360" t="e">
        <f t="shared" si="0"/>
        <v>#N/A</v>
      </c>
    </row>
    <row r="9" spans="1:54">
      <c r="A9" s="81"/>
      <c r="B9" s="660"/>
      <c r="C9" s="551">
        <v>3</v>
      </c>
      <c r="D9" s="551" t="s">
        <v>348</v>
      </c>
      <c r="E9" s="551">
        <v>4</v>
      </c>
      <c r="F9" s="551">
        <v>3600</v>
      </c>
      <c r="G9" s="551">
        <v>900</v>
      </c>
      <c r="H9" s="662"/>
      <c r="I9" s="553">
        <f t="shared" si="1"/>
        <v>4</v>
      </c>
      <c r="J9" s="553">
        <f t="shared" si="2"/>
        <v>3333.9705882352901</v>
      </c>
      <c r="K9" s="200">
        <f t="shared" si="3"/>
        <v>833.49264705882251</v>
      </c>
      <c r="L9" s="634"/>
      <c r="M9" s="553" t="e">
        <f>RANK(K9, K$147:$K$176)</f>
        <v>#DIV/0!</v>
      </c>
      <c r="N9" s="652"/>
      <c r="O9" s="652"/>
      <c r="P9" s="182"/>
      <c r="Q9" s="182"/>
      <c r="R9" s="182"/>
      <c r="S9" s="551" t="e">
        <f t="shared" si="4"/>
        <v>#N/A</v>
      </c>
      <c r="T9" s="674"/>
      <c r="U9" s="182"/>
      <c r="V9" s="182"/>
      <c r="W9" s="182"/>
      <c r="X9" s="551" t="e">
        <f t="shared" si="5"/>
        <v>#N/A</v>
      </c>
      <c r="Y9" s="674"/>
      <c r="Z9" s="182"/>
      <c r="AA9" s="182"/>
      <c r="AB9" s="182"/>
      <c r="AC9" s="551" t="e">
        <f t="shared" si="6"/>
        <v>#N/A</v>
      </c>
      <c r="AD9" s="674"/>
      <c r="AE9" s="182"/>
      <c r="AF9" s="182"/>
      <c r="AG9" s="182"/>
      <c r="AH9" s="551" t="e">
        <f t="shared" si="7"/>
        <v>#N/A</v>
      </c>
      <c r="AI9" s="674"/>
      <c r="AJ9" s="182"/>
      <c r="AK9" s="182"/>
      <c r="AL9" s="182"/>
      <c r="AM9" s="551" t="e">
        <f t="shared" si="8"/>
        <v>#N/A</v>
      </c>
      <c r="AN9" s="674"/>
      <c r="AO9" s="182">
        <v>4</v>
      </c>
      <c r="AP9" s="182">
        <v>3292.9411764705769</v>
      </c>
      <c r="AQ9" s="182">
        <v>823.23529411764423</v>
      </c>
      <c r="AR9" s="551">
        <f t="shared" si="9"/>
        <v>11</v>
      </c>
      <c r="AS9" s="674"/>
      <c r="AT9" s="182">
        <v>4</v>
      </c>
      <c r="AU9" s="182">
        <v>3375.0000000000036</v>
      </c>
      <c r="AV9" s="182">
        <v>843.75000000000091</v>
      </c>
      <c r="AW9" s="551">
        <f t="shared" si="10"/>
        <v>10</v>
      </c>
      <c r="AX9" s="674"/>
      <c r="AZ9" s="362" t="e">
        <f>RANK(AX9, $K$7:AX$36)</f>
        <v>#DIV/0!</v>
      </c>
      <c r="BB9" s="360" t="e">
        <f t="shared" si="0"/>
        <v>#N/A</v>
      </c>
    </row>
    <row r="10" spans="1:54">
      <c r="A10" s="81"/>
      <c r="B10" s="660"/>
      <c r="C10" s="551">
        <v>4</v>
      </c>
      <c r="D10" s="551" t="s">
        <v>361</v>
      </c>
      <c r="E10" s="551">
        <v>3</v>
      </c>
      <c r="F10" s="551">
        <v>3600</v>
      </c>
      <c r="G10" s="551">
        <v>1200</v>
      </c>
      <c r="H10" s="662"/>
      <c r="I10" s="553">
        <f t="shared" si="1"/>
        <v>3</v>
      </c>
      <c r="J10" s="553">
        <f t="shared" si="2"/>
        <v>3244.8529411764707</v>
      </c>
      <c r="K10" s="200">
        <f t="shared" si="3"/>
        <v>1081.6176470588234</v>
      </c>
      <c r="L10" s="634"/>
      <c r="M10" s="553" t="e">
        <f>RANK(K10, K$147:$K$176)</f>
        <v>#DIV/0!</v>
      </c>
      <c r="N10" s="652"/>
      <c r="O10" s="652"/>
      <c r="P10" s="182"/>
      <c r="Q10" s="182"/>
      <c r="R10" s="182"/>
      <c r="S10" s="551" t="e">
        <f t="shared" si="4"/>
        <v>#N/A</v>
      </c>
      <c r="T10" s="674"/>
      <c r="U10" s="182"/>
      <c r="V10" s="182"/>
      <c r="W10" s="182"/>
      <c r="X10" s="551" t="e">
        <f t="shared" si="5"/>
        <v>#N/A</v>
      </c>
      <c r="Y10" s="674"/>
      <c r="Z10" s="182"/>
      <c r="AA10" s="182"/>
      <c r="AB10" s="182"/>
      <c r="AC10" s="551" t="e">
        <f t="shared" si="6"/>
        <v>#N/A</v>
      </c>
      <c r="AD10" s="674"/>
      <c r="AE10" s="182"/>
      <c r="AF10" s="182"/>
      <c r="AG10" s="182"/>
      <c r="AH10" s="551" t="e">
        <f t="shared" si="7"/>
        <v>#N/A</v>
      </c>
      <c r="AI10" s="674"/>
      <c r="AJ10" s="182"/>
      <c r="AK10" s="182"/>
      <c r="AL10" s="182"/>
      <c r="AM10" s="551" t="e">
        <f t="shared" si="8"/>
        <v>#N/A</v>
      </c>
      <c r="AN10" s="674"/>
      <c r="AO10" s="182">
        <v>3</v>
      </c>
      <c r="AP10" s="182">
        <v>3275.2941176470631</v>
      </c>
      <c r="AQ10" s="182">
        <v>1091.7647058823543</v>
      </c>
      <c r="AR10" s="551">
        <f t="shared" si="9"/>
        <v>2</v>
      </c>
      <c r="AS10" s="674"/>
      <c r="AT10" s="182">
        <v>3</v>
      </c>
      <c r="AU10" s="182">
        <v>3214.4117647058783</v>
      </c>
      <c r="AV10" s="182">
        <v>1071.4705882352928</v>
      </c>
      <c r="AW10" s="551">
        <f t="shared" si="10"/>
        <v>4</v>
      </c>
      <c r="AX10" s="674"/>
      <c r="AZ10" s="362" t="e">
        <f>RANK(AX10, $K$7:AX$36)</f>
        <v>#DIV/0!</v>
      </c>
      <c r="BB10" s="360" t="e">
        <f t="shared" si="0"/>
        <v>#N/A</v>
      </c>
    </row>
    <row r="11" spans="1:54">
      <c r="A11" s="81"/>
      <c r="B11" s="660"/>
      <c r="C11" s="551">
        <v>5</v>
      </c>
      <c r="D11" s="551" t="s">
        <v>362</v>
      </c>
      <c r="E11" s="551">
        <v>3</v>
      </c>
      <c r="F11" s="551">
        <v>3600</v>
      </c>
      <c r="G11" s="551">
        <v>1200</v>
      </c>
      <c r="H11" s="662"/>
      <c r="I11" s="553">
        <f t="shared" si="1"/>
        <v>4</v>
      </c>
      <c r="J11" s="553">
        <f t="shared" si="2"/>
        <v>3317.0085470085437</v>
      </c>
      <c r="K11" s="200">
        <f t="shared" si="3"/>
        <v>829.25213675213593</v>
      </c>
      <c r="L11" s="634"/>
      <c r="M11" s="553" t="e">
        <f>RANK(K11, K$147:$K$176)</f>
        <v>#DIV/0!</v>
      </c>
      <c r="N11" s="652"/>
      <c r="O11" s="652"/>
      <c r="P11" s="182"/>
      <c r="Q11" s="182"/>
      <c r="R11" s="182"/>
      <c r="S11" s="551" t="e">
        <f t="shared" si="4"/>
        <v>#N/A</v>
      </c>
      <c r="T11" s="674"/>
      <c r="U11" s="182"/>
      <c r="V11" s="182"/>
      <c r="W11" s="182"/>
      <c r="X11" s="551" t="e">
        <f t="shared" si="5"/>
        <v>#N/A</v>
      </c>
      <c r="Y11" s="674"/>
      <c r="Z11" s="182"/>
      <c r="AA11" s="182"/>
      <c r="AB11" s="182"/>
      <c r="AC11" s="551" t="e">
        <f t="shared" si="6"/>
        <v>#N/A</v>
      </c>
      <c r="AD11" s="674"/>
      <c r="AE11" s="182"/>
      <c r="AF11" s="182"/>
      <c r="AG11" s="182"/>
      <c r="AH11" s="551" t="e">
        <f t="shared" si="7"/>
        <v>#N/A</v>
      </c>
      <c r="AI11" s="674"/>
      <c r="AJ11" s="182"/>
      <c r="AK11" s="182"/>
      <c r="AL11" s="182"/>
      <c r="AM11" s="551" t="e">
        <f t="shared" si="8"/>
        <v>#N/A</v>
      </c>
      <c r="AN11" s="674"/>
      <c r="AO11" s="182">
        <v>4</v>
      </c>
      <c r="AP11" s="182">
        <v>3315.5555555555525</v>
      </c>
      <c r="AQ11" s="182">
        <v>828.88888888888812</v>
      </c>
      <c r="AR11" s="551">
        <f t="shared" si="9"/>
        <v>10</v>
      </c>
      <c r="AS11" s="674"/>
      <c r="AT11" s="182">
        <v>4</v>
      </c>
      <c r="AU11" s="182">
        <v>3318.4615384615349</v>
      </c>
      <c r="AV11" s="182">
        <v>829.61538461538373</v>
      </c>
      <c r="AW11" s="551">
        <f t="shared" si="10"/>
        <v>11</v>
      </c>
      <c r="AX11" s="674"/>
      <c r="AZ11" s="362" t="e">
        <f>RANK(AX11, $K$7:AX$36)</f>
        <v>#DIV/0!</v>
      </c>
      <c r="BB11" s="360" t="e">
        <f t="shared" si="0"/>
        <v>#N/A</v>
      </c>
    </row>
    <row r="12" spans="1:54">
      <c r="A12" s="81"/>
      <c r="B12" s="660"/>
      <c r="C12" s="551">
        <v>6</v>
      </c>
      <c r="D12" s="551" t="s">
        <v>360</v>
      </c>
      <c r="E12" s="551">
        <v>4</v>
      </c>
      <c r="F12" s="551">
        <v>3600</v>
      </c>
      <c r="G12" s="551">
        <v>900</v>
      </c>
      <c r="H12" s="662"/>
      <c r="I12" s="553">
        <f t="shared" si="1"/>
        <v>4</v>
      </c>
      <c r="J12" s="553">
        <f t="shared" si="2"/>
        <v>3440.5769230769247</v>
      </c>
      <c r="K12" s="200">
        <f t="shared" si="3"/>
        <v>860.14423076923117</v>
      </c>
      <c r="L12" s="634"/>
      <c r="M12" s="553" t="e">
        <f>RANK(K12, K$147:$K$176)</f>
        <v>#DIV/0!</v>
      </c>
      <c r="N12" s="652"/>
      <c r="O12" s="652"/>
      <c r="P12" s="182"/>
      <c r="Q12" s="182"/>
      <c r="R12" s="182"/>
      <c r="S12" s="551" t="e">
        <f t="shared" si="4"/>
        <v>#N/A</v>
      </c>
      <c r="T12" s="674"/>
      <c r="U12" s="182"/>
      <c r="V12" s="182"/>
      <c r="W12" s="182"/>
      <c r="X12" s="551" t="e">
        <f t="shared" si="5"/>
        <v>#N/A</v>
      </c>
      <c r="Y12" s="674"/>
      <c r="Z12" s="182"/>
      <c r="AA12" s="182"/>
      <c r="AB12" s="182"/>
      <c r="AC12" s="551" t="e">
        <f t="shared" si="6"/>
        <v>#N/A</v>
      </c>
      <c r="AD12" s="674"/>
      <c r="AE12" s="182"/>
      <c r="AF12" s="182"/>
      <c r="AG12" s="182"/>
      <c r="AH12" s="551" t="e">
        <f t="shared" si="7"/>
        <v>#N/A</v>
      </c>
      <c r="AI12" s="674"/>
      <c r="AJ12" s="182"/>
      <c r="AK12" s="182"/>
      <c r="AL12" s="182"/>
      <c r="AM12" s="551" t="e">
        <f t="shared" si="8"/>
        <v>#N/A</v>
      </c>
      <c r="AN12" s="674"/>
      <c r="AO12" s="182">
        <v>4</v>
      </c>
      <c r="AP12" s="182">
        <v>3406.153846153848</v>
      </c>
      <c r="AQ12" s="182">
        <v>851.538461538462</v>
      </c>
      <c r="AR12" s="551">
        <f t="shared" si="9"/>
        <v>9</v>
      </c>
      <c r="AS12" s="674"/>
      <c r="AT12" s="182">
        <v>4</v>
      </c>
      <c r="AU12" s="182">
        <v>3475.0000000000009</v>
      </c>
      <c r="AV12" s="182">
        <v>868.75000000000023</v>
      </c>
      <c r="AW12" s="551">
        <f t="shared" si="10"/>
        <v>8</v>
      </c>
      <c r="AX12" s="674"/>
      <c r="AZ12" s="362" t="e">
        <f>RANK(AX12, $K$7:AX$36)</f>
        <v>#DIV/0!</v>
      </c>
      <c r="BB12" s="360" t="e">
        <f t="shared" si="0"/>
        <v>#N/A</v>
      </c>
    </row>
    <row r="13" spans="1:54">
      <c r="A13" s="81"/>
      <c r="B13" s="660"/>
      <c r="C13" s="551">
        <v>7</v>
      </c>
      <c r="D13" s="551" t="s">
        <v>363</v>
      </c>
      <c r="E13" s="551">
        <v>4</v>
      </c>
      <c r="F13" s="551">
        <v>3300</v>
      </c>
      <c r="G13" s="551">
        <v>825</v>
      </c>
      <c r="H13" s="662"/>
      <c r="I13" s="553">
        <f t="shared" si="1"/>
        <v>4</v>
      </c>
      <c r="J13" s="553">
        <f t="shared" si="2"/>
        <v>2991.3636363636415</v>
      </c>
      <c r="K13" s="200">
        <f t="shared" si="3"/>
        <v>747.84090909091037</v>
      </c>
      <c r="L13" s="634"/>
      <c r="M13" s="553" t="e">
        <f>RANK(K13, K$147:$K$176)</f>
        <v>#DIV/0!</v>
      </c>
      <c r="N13" s="652"/>
      <c r="O13" s="652"/>
      <c r="P13" s="182"/>
      <c r="Q13" s="182"/>
      <c r="R13" s="182"/>
      <c r="S13" s="551" t="e">
        <f t="shared" si="4"/>
        <v>#N/A</v>
      </c>
      <c r="T13" s="674"/>
      <c r="U13" s="182"/>
      <c r="V13" s="182"/>
      <c r="W13" s="182"/>
      <c r="X13" s="551" t="e">
        <f t="shared" si="5"/>
        <v>#N/A</v>
      </c>
      <c r="Y13" s="674"/>
      <c r="Z13" s="182"/>
      <c r="AA13" s="182"/>
      <c r="AB13" s="182"/>
      <c r="AC13" s="551" t="e">
        <f t="shared" si="6"/>
        <v>#N/A</v>
      </c>
      <c r="AD13" s="674"/>
      <c r="AE13" s="182"/>
      <c r="AF13" s="182"/>
      <c r="AG13" s="182"/>
      <c r="AH13" s="551" t="e">
        <f t="shared" si="7"/>
        <v>#N/A</v>
      </c>
      <c r="AI13" s="674"/>
      <c r="AJ13" s="182"/>
      <c r="AK13" s="182"/>
      <c r="AL13" s="182"/>
      <c r="AM13" s="551" t="e">
        <f t="shared" si="8"/>
        <v>#N/A</v>
      </c>
      <c r="AN13" s="674"/>
      <c r="AO13" s="182">
        <v>4</v>
      </c>
      <c r="AP13" s="182">
        <v>2950.0000000000105</v>
      </c>
      <c r="AQ13" s="182">
        <v>737.50000000000261</v>
      </c>
      <c r="AR13" s="551">
        <f t="shared" si="9"/>
        <v>12</v>
      </c>
      <c r="AS13" s="674"/>
      <c r="AT13" s="182">
        <v>4</v>
      </c>
      <c r="AU13" s="182">
        <v>3032.727272727273</v>
      </c>
      <c r="AV13" s="182">
        <v>758.18181818181824</v>
      </c>
      <c r="AW13" s="551">
        <f t="shared" si="10"/>
        <v>12</v>
      </c>
      <c r="AX13" s="674"/>
      <c r="AZ13" s="362" t="e">
        <f>RANK(AX13, $K$7:AX$36)</f>
        <v>#DIV/0!</v>
      </c>
      <c r="BB13" s="360" t="e">
        <f t="shared" si="0"/>
        <v>#N/A</v>
      </c>
    </row>
    <row r="14" spans="1:54">
      <c r="A14" s="81"/>
      <c r="B14" s="660"/>
      <c r="C14" s="551">
        <v>8</v>
      </c>
      <c r="D14" s="551" t="s">
        <v>364</v>
      </c>
      <c r="E14" s="551">
        <v>3</v>
      </c>
      <c r="F14" s="551">
        <v>3300</v>
      </c>
      <c r="G14" s="551">
        <v>1100</v>
      </c>
      <c r="H14" s="662"/>
      <c r="I14" s="553">
        <f t="shared" si="1"/>
        <v>3</v>
      </c>
      <c r="J14" s="553">
        <f t="shared" si="2"/>
        <v>3183.2444444444363</v>
      </c>
      <c r="K14" s="200">
        <f t="shared" si="3"/>
        <v>1061.0814814814787</v>
      </c>
      <c r="L14" s="634"/>
      <c r="M14" s="553" t="e">
        <f>RANK(K14, K$147:$K$176)</f>
        <v>#DIV/0!</v>
      </c>
      <c r="N14" s="652"/>
      <c r="O14" s="652"/>
      <c r="P14" s="182"/>
      <c r="Q14" s="182"/>
      <c r="R14" s="182"/>
      <c r="S14" s="551" t="e">
        <f t="shared" si="4"/>
        <v>#N/A</v>
      </c>
      <c r="T14" s="674"/>
      <c r="U14" s="182"/>
      <c r="V14" s="182"/>
      <c r="W14" s="182"/>
      <c r="X14" s="551" t="e">
        <f t="shared" si="5"/>
        <v>#N/A</v>
      </c>
      <c r="Y14" s="674"/>
      <c r="Z14" s="182"/>
      <c r="AA14" s="182"/>
      <c r="AB14" s="182"/>
      <c r="AC14" s="551" t="e">
        <f t="shared" si="6"/>
        <v>#N/A</v>
      </c>
      <c r="AD14" s="674"/>
      <c r="AE14" s="182"/>
      <c r="AF14" s="182"/>
      <c r="AG14" s="182"/>
      <c r="AH14" s="551" t="e">
        <f t="shared" si="7"/>
        <v>#N/A</v>
      </c>
      <c r="AI14" s="674"/>
      <c r="AJ14" s="182"/>
      <c r="AK14" s="182"/>
      <c r="AL14" s="182"/>
      <c r="AM14" s="551" t="e">
        <f t="shared" si="8"/>
        <v>#N/A</v>
      </c>
      <c r="AN14" s="674"/>
      <c r="AO14" s="182">
        <v>3</v>
      </c>
      <c r="AP14" s="182">
        <v>3068.8888888888814</v>
      </c>
      <c r="AQ14" s="182">
        <v>1022.9629629629604</v>
      </c>
      <c r="AR14" s="551">
        <f t="shared" si="9"/>
        <v>4</v>
      </c>
      <c r="AS14" s="674"/>
      <c r="AT14" s="182">
        <v>3</v>
      </c>
      <c r="AU14" s="182">
        <v>3297.5999999999908</v>
      </c>
      <c r="AV14" s="182">
        <v>1099.1999999999969</v>
      </c>
      <c r="AW14" s="551">
        <f t="shared" si="10"/>
        <v>1</v>
      </c>
      <c r="AX14" s="674"/>
      <c r="AZ14" s="362" t="e">
        <f>RANK(AX14, $K$7:AX$36)</f>
        <v>#DIV/0!</v>
      </c>
      <c r="BB14" s="360" t="e">
        <f t="shared" si="0"/>
        <v>#N/A</v>
      </c>
    </row>
    <row r="15" spans="1:54">
      <c r="A15" s="81"/>
      <c r="B15" s="660"/>
      <c r="C15" s="551">
        <v>9</v>
      </c>
      <c r="D15" s="551" t="s">
        <v>365</v>
      </c>
      <c r="E15" s="551">
        <v>3</v>
      </c>
      <c r="F15" s="551">
        <v>3300</v>
      </c>
      <c r="G15" s="551">
        <v>1100</v>
      </c>
      <c r="H15" s="662"/>
      <c r="I15" s="553">
        <f t="shared" si="1"/>
        <v>3</v>
      </c>
      <c r="J15" s="553">
        <f t="shared" si="2"/>
        <v>2854.6875000000032</v>
      </c>
      <c r="K15" s="200">
        <f t="shared" si="3"/>
        <v>951.56250000000102</v>
      </c>
      <c r="L15" s="634"/>
      <c r="M15" s="553" t="e">
        <f>RANK(K15, K$147:$K$176)</f>
        <v>#DIV/0!</v>
      </c>
      <c r="N15" s="652"/>
      <c r="O15" s="652"/>
      <c r="P15" s="182"/>
      <c r="Q15" s="182"/>
      <c r="R15" s="182"/>
      <c r="S15" s="551" t="e">
        <f t="shared" si="4"/>
        <v>#N/A</v>
      </c>
      <c r="T15" s="674"/>
      <c r="U15" s="182"/>
      <c r="V15" s="182"/>
      <c r="W15" s="182"/>
      <c r="X15" s="551" t="e">
        <f t="shared" si="5"/>
        <v>#N/A</v>
      </c>
      <c r="Y15" s="674"/>
      <c r="Z15" s="182"/>
      <c r="AA15" s="182"/>
      <c r="AB15" s="182"/>
      <c r="AC15" s="551" t="e">
        <f t="shared" si="6"/>
        <v>#N/A</v>
      </c>
      <c r="AD15" s="674"/>
      <c r="AE15" s="182"/>
      <c r="AF15" s="182"/>
      <c r="AG15" s="182"/>
      <c r="AH15" s="551" t="e">
        <f t="shared" si="7"/>
        <v>#N/A</v>
      </c>
      <c r="AI15" s="674"/>
      <c r="AJ15" s="182"/>
      <c r="AK15" s="182"/>
      <c r="AL15" s="182"/>
      <c r="AM15" s="551" t="e">
        <f t="shared" si="8"/>
        <v>#N/A</v>
      </c>
      <c r="AN15" s="674"/>
      <c r="AO15" s="182">
        <v>3</v>
      </c>
      <c r="AP15" s="182">
        <v>2878.1250000000032</v>
      </c>
      <c r="AQ15" s="182">
        <v>959.37500000000102</v>
      </c>
      <c r="AR15" s="551">
        <f t="shared" si="9"/>
        <v>6</v>
      </c>
      <c r="AS15" s="674"/>
      <c r="AT15" s="182">
        <v>3</v>
      </c>
      <c r="AU15" s="182">
        <v>2831.2500000000032</v>
      </c>
      <c r="AV15" s="182">
        <v>943.75000000000102</v>
      </c>
      <c r="AW15" s="551">
        <f t="shared" si="10"/>
        <v>5</v>
      </c>
      <c r="AX15" s="674"/>
      <c r="AZ15" s="362" t="e">
        <f>RANK(AX15, $K$7:AX$36)</f>
        <v>#DIV/0!</v>
      </c>
      <c r="BB15" s="360" t="e">
        <f t="shared" si="0"/>
        <v>#N/A</v>
      </c>
    </row>
    <row r="16" spans="1:54">
      <c r="A16" s="81"/>
      <c r="B16" s="660"/>
      <c r="C16" s="551">
        <v>10</v>
      </c>
      <c r="D16" s="551" t="s">
        <v>366</v>
      </c>
      <c r="E16" s="551">
        <v>4</v>
      </c>
      <c r="F16" s="551">
        <v>3300</v>
      </c>
      <c r="G16" s="551">
        <v>825</v>
      </c>
      <c r="H16" s="662"/>
      <c r="I16" s="553">
        <f t="shared" si="1"/>
        <v>4</v>
      </c>
      <c r="J16" s="553">
        <f t="shared" si="2"/>
        <v>2840.1080432172857</v>
      </c>
      <c r="K16" s="200">
        <f t="shared" si="3"/>
        <v>710.02701080432143</v>
      </c>
      <c r="L16" s="634"/>
      <c r="M16" s="553" t="e">
        <f>RANK(K16, K$147:$K$176)</f>
        <v>#DIV/0!</v>
      </c>
      <c r="N16" s="652"/>
      <c r="O16" s="652"/>
      <c r="P16" s="182"/>
      <c r="Q16" s="182"/>
      <c r="R16" s="182"/>
      <c r="S16" s="551" t="e">
        <f t="shared" si="4"/>
        <v>#N/A</v>
      </c>
      <c r="T16" s="674"/>
      <c r="U16" s="182"/>
      <c r="V16" s="182"/>
      <c r="W16" s="182"/>
      <c r="X16" s="551" t="e">
        <f t="shared" si="5"/>
        <v>#N/A</v>
      </c>
      <c r="Y16" s="674"/>
      <c r="Z16" s="182"/>
      <c r="AA16" s="182"/>
      <c r="AB16" s="182"/>
      <c r="AC16" s="551" t="e">
        <f t="shared" si="6"/>
        <v>#N/A</v>
      </c>
      <c r="AD16" s="674"/>
      <c r="AE16" s="182"/>
      <c r="AF16" s="182"/>
      <c r="AG16" s="182"/>
      <c r="AH16" s="551" t="e">
        <f t="shared" si="7"/>
        <v>#N/A</v>
      </c>
      <c r="AI16" s="674"/>
      <c r="AJ16" s="182"/>
      <c r="AK16" s="182"/>
      <c r="AL16" s="182"/>
      <c r="AM16" s="551" t="e">
        <f t="shared" si="8"/>
        <v>#N/A</v>
      </c>
      <c r="AN16" s="674"/>
      <c r="AO16" s="182">
        <v>4</v>
      </c>
      <c r="AP16" s="182">
        <v>2824.7058823529424</v>
      </c>
      <c r="AQ16" s="182">
        <v>706.17647058823559</v>
      </c>
      <c r="AR16" s="551">
        <f t="shared" si="9"/>
        <v>17</v>
      </c>
      <c r="AS16" s="674"/>
      <c r="AT16" s="182">
        <v>4</v>
      </c>
      <c r="AU16" s="182">
        <v>2855.5102040816287</v>
      </c>
      <c r="AV16" s="182">
        <v>713.87755102040717</v>
      </c>
      <c r="AW16" s="551">
        <f t="shared" si="10"/>
        <v>14</v>
      </c>
      <c r="AX16" s="674"/>
      <c r="AZ16" s="362" t="e">
        <f>RANK(AX16, $K$7:AX$36)</f>
        <v>#DIV/0!</v>
      </c>
      <c r="BB16" s="360" t="e">
        <f t="shared" si="0"/>
        <v>#N/A</v>
      </c>
    </row>
    <row r="17" spans="2:54">
      <c r="B17" s="660"/>
      <c r="C17" s="551">
        <v>11</v>
      </c>
      <c r="D17" s="551" t="s">
        <v>367</v>
      </c>
      <c r="E17" s="551">
        <v>4</v>
      </c>
      <c r="F17" s="551">
        <v>3300</v>
      </c>
      <c r="G17" s="551">
        <v>825</v>
      </c>
      <c r="H17" s="662"/>
      <c r="I17" s="553">
        <f t="shared" si="1"/>
        <v>4</v>
      </c>
      <c r="J17" s="553">
        <f t="shared" si="2"/>
        <v>2825.3863636363626</v>
      </c>
      <c r="K17" s="200">
        <f t="shared" si="3"/>
        <v>706.34659090909065</v>
      </c>
      <c r="L17" s="634"/>
      <c r="M17" s="553" t="e">
        <f>RANK(K17, K$147:$K$176)</f>
        <v>#DIV/0!</v>
      </c>
      <c r="N17" s="652"/>
      <c r="O17" s="652"/>
      <c r="P17" s="182"/>
      <c r="Q17" s="182"/>
      <c r="R17" s="182"/>
      <c r="S17" s="551" t="e">
        <f t="shared" si="4"/>
        <v>#N/A</v>
      </c>
      <c r="T17" s="674"/>
      <c r="U17" s="182"/>
      <c r="V17" s="182"/>
      <c r="W17" s="182"/>
      <c r="X17" s="551" t="e">
        <f t="shared" si="5"/>
        <v>#N/A</v>
      </c>
      <c r="Y17" s="674"/>
      <c r="Z17" s="182"/>
      <c r="AA17" s="182"/>
      <c r="AB17" s="182"/>
      <c r="AC17" s="551" t="e">
        <f t="shared" si="6"/>
        <v>#N/A</v>
      </c>
      <c r="AD17" s="674"/>
      <c r="AE17" s="182"/>
      <c r="AF17" s="182"/>
      <c r="AG17" s="182"/>
      <c r="AH17" s="551" t="e">
        <f t="shared" si="7"/>
        <v>#N/A</v>
      </c>
      <c r="AI17" s="674"/>
      <c r="AJ17" s="182"/>
      <c r="AK17" s="182"/>
      <c r="AL17" s="182"/>
      <c r="AM17" s="551" t="e">
        <f t="shared" si="8"/>
        <v>#N/A</v>
      </c>
      <c r="AN17" s="674"/>
      <c r="AO17" s="182">
        <v>4</v>
      </c>
      <c r="AP17" s="182">
        <v>2827.5</v>
      </c>
      <c r="AQ17" s="182">
        <v>706.875</v>
      </c>
      <c r="AR17" s="551">
        <f t="shared" si="9"/>
        <v>16</v>
      </c>
      <c r="AS17" s="674"/>
      <c r="AT17" s="182">
        <v>4</v>
      </c>
      <c r="AU17" s="182">
        <v>2823.2727272727252</v>
      </c>
      <c r="AV17" s="182">
        <v>705.8181818181813</v>
      </c>
      <c r="AW17" s="551">
        <f t="shared" si="10"/>
        <v>15</v>
      </c>
      <c r="AX17" s="674"/>
      <c r="AZ17" s="362" t="e">
        <f>RANK(AX17, $K$7:AX$36)</f>
        <v>#DIV/0!</v>
      </c>
      <c r="BB17" s="360" t="e">
        <f t="shared" si="0"/>
        <v>#N/A</v>
      </c>
    </row>
    <row r="18" spans="2:54">
      <c r="B18" s="660"/>
      <c r="C18" s="551">
        <v>12</v>
      </c>
      <c r="D18" s="551" t="s">
        <v>771</v>
      </c>
      <c r="E18" s="551">
        <v>4</v>
      </c>
      <c r="F18" s="551">
        <v>2800</v>
      </c>
      <c r="G18" s="551">
        <v>700</v>
      </c>
      <c r="H18" s="662"/>
      <c r="I18" s="553">
        <f t="shared" si="1"/>
        <v>4</v>
      </c>
      <c r="J18" s="553">
        <f t="shared" si="2"/>
        <v>2823.3333333333348</v>
      </c>
      <c r="K18" s="200">
        <f t="shared" si="3"/>
        <v>705.83333333333371</v>
      </c>
      <c r="L18" s="634"/>
      <c r="M18" s="553" t="e">
        <f>RANK(K18, K$147:$K$176)</f>
        <v>#DIV/0!</v>
      </c>
      <c r="N18" s="652"/>
      <c r="O18" s="652"/>
      <c r="P18" s="182"/>
      <c r="Q18" s="182"/>
      <c r="R18" s="182"/>
      <c r="S18" s="551" t="e">
        <f t="shared" si="4"/>
        <v>#N/A</v>
      </c>
      <c r="T18" s="674"/>
      <c r="U18" s="182"/>
      <c r="V18" s="182"/>
      <c r="W18" s="182"/>
      <c r="X18" s="551" t="e">
        <f t="shared" si="5"/>
        <v>#N/A</v>
      </c>
      <c r="Y18" s="674"/>
      <c r="Z18" s="182"/>
      <c r="AA18" s="182"/>
      <c r="AB18" s="182"/>
      <c r="AC18" s="551" t="e">
        <f t="shared" si="6"/>
        <v>#N/A</v>
      </c>
      <c r="AD18" s="674"/>
      <c r="AE18" s="182"/>
      <c r="AF18" s="182"/>
      <c r="AG18" s="182"/>
      <c r="AH18" s="551" t="e">
        <f t="shared" si="7"/>
        <v>#N/A</v>
      </c>
      <c r="AI18" s="674"/>
      <c r="AJ18" s="182"/>
      <c r="AK18" s="182"/>
      <c r="AL18" s="182"/>
      <c r="AM18" s="551" t="e">
        <f t="shared" si="8"/>
        <v>#N/A</v>
      </c>
      <c r="AN18" s="674"/>
      <c r="AO18" s="182">
        <v>4</v>
      </c>
      <c r="AP18" s="182">
        <v>2848.8888888888905</v>
      </c>
      <c r="AQ18" s="182">
        <v>712.22222222222263</v>
      </c>
      <c r="AR18" s="551">
        <f t="shared" si="9"/>
        <v>15</v>
      </c>
      <c r="AS18" s="674"/>
      <c r="AT18" s="182">
        <v>4</v>
      </c>
      <c r="AU18" s="182">
        <v>2797.7777777777792</v>
      </c>
      <c r="AV18" s="182">
        <v>699.4444444444448</v>
      </c>
      <c r="AW18" s="551">
        <f t="shared" si="10"/>
        <v>16</v>
      </c>
      <c r="AX18" s="674"/>
      <c r="AZ18" s="362" t="e">
        <f>RANK(AX18, $K$7:AX$36)</f>
        <v>#DIV/0!</v>
      </c>
      <c r="BB18" s="360" t="e">
        <f t="shared" si="0"/>
        <v>#N/A</v>
      </c>
    </row>
    <row r="19" spans="2:54">
      <c r="B19" s="660"/>
      <c r="C19" s="551">
        <v>13</v>
      </c>
      <c r="D19" s="551" t="s">
        <v>368</v>
      </c>
      <c r="E19" s="551">
        <v>4</v>
      </c>
      <c r="F19" s="551">
        <v>3600</v>
      </c>
      <c r="G19" s="551">
        <v>900</v>
      </c>
      <c r="H19" s="662"/>
      <c r="I19" s="553">
        <f t="shared" si="1"/>
        <v>4</v>
      </c>
      <c r="J19" s="553">
        <f t="shared" si="2"/>
        <v>2584.4999999999882</v>
      </c>
      <c r="K19" s="200">
        <f t="shared" si="3"/>
        <v>646.12499999999704</v>
      </c>
      <c r="L19" s="634"/>
      <c r="M19" s="553" t="e">
        <f>RANK(K19, K$147:$K$176)</f>
        <v>#DIV/0!</v>
      </c>
      <c r="N19" s="652"/>
      <c r="O19" s="652"/>
      <c r="P19" s="182"/>
      <c r="Q19" s="182"/>
      <c r="R19" s="182"/>
      <c r="S19" s="551" t="e">
        <f t="shared" si="4"/>
        <v>#N/A</v>
      </c>
      <c r="T19" s="674"/>
      <c r="U19" s="182"/>
      <c r="V19" s="182"/>
      <c r="W19" s="182"/>
      <c r="X19" s="551" t="e">
        <f t="shared" si="5"/>
        <v>#N/A</v>
      </c>
      <c r="Y19" s="674"/>
      <c r="Z19" s="182"/>
      <c r="AA19" s="182"/>
      <c r="AB19" s="182"/>
      <c r="AC19" s="551" t="e">
        <f t="shared" si="6"/>
        <v>#N/A</v>
      </c>
      <c r="AD19" s="674"/>
      <c r="AE19" s="182"/>
      <c r="AF19" s="182"/>
      <c r="AG19" s="182"/>
      <c r="AH19" s="551" t="e">
        <f t="shared" si="7"/>
        <v>#N/A</v>
      </c>
      <c r="AI19" s="674"/>
      <c r="AJ19" s="182"/>
      <c r="AK19" s="182"/>
      <c r="AL19" s="182"/>
      <c r="AM19" s="551" t="e">
        <f t="shared" si="8"/>
        <v>#N/A</v>
      </c>
      <c r="AN19" s="674"/>
      <c r="AO19" s="182">
        <v>4</v>
      </c>
      <c r="AP19" s="182">
        <v>2573.9999999999882</v>
      </c>
      <c r="AQ19" s="182">
        <v>643.49999999999704</v>
      </c>
      <c r="AR19" s="551">
        <f t="shared" si="9"/>
        <v>18</v>
      </c>
      <c r="AS19" s="674"/>
      <c r="AT19" s="182">
        <v>4</v>
      </c>
      <c r="AU19" s="182">
        <v>2594.9999999999886</v>
      </c>
      <c r="AV19" s="182">
        <v>648.74999999999716</v>
      </c>
      <c r="AW19" s="551">
        <f t="shared" si="10"/>
        <v>18</v>
      </c>
      <c r="AX19" s="674"/>
      <c r="AZ19" s="362" t="e">
        <f>RANK(AX19, $K$7:AX$36)</f>
        <v>#DIV/0!</v>
      </c>
      <c r="BB19" s="360" t="e">
        <f t="shared" si="0"/>
        <v>#N/A</v>
      </c>
    </row>
    <row r="20" spans="2:54">
      <c r="B20" s="660"/>
      <c r="C20" s="551">
        <v>14</v>
      </c>
      <c r="D20" s="551" t="s">
        <v>369</v>
      </c>
      <c r="E20" s="551">
        <v>4</v>
      </c>
      <c r="F20" s="551">
        <v>3600</v>
      </c>
      <c r="G20" s="551">
        <v>900</v>
      </c>
      <c r="H20" s="662"/>
      <c r="I20" s="553">
        <f t="shared" si="1"/>
        <v>4</v>
      </c>
      <c r="J20" s="553">
        <f t="shared" si="2"/>
        <v>2063.9999999999745</v>
      </c>
      <c r="K20" s="200">
        <f t="shared" si="3"/>
        <v>515.99999999999363</v>
      </c>
      <c r="L20" s="634"/>
      <c r="M20" s="553" t="e">
        <f>RANK(K20, K$147:$K$176)</f>
        <v>#DIV/0!</v>
      </c>
      <c r="N20" s="652"/>
      <c r="O20" s="652"/>
      <c r="P20" s="182"/>
      <c r="Q20" s="182"/>
      <c r="R20" s="182"/>
      <c r="S20" s="551" t="e">
        <f t="shared" si="4"/>
        <v>#N/A</v>
      </c>
      <c r="T20" s="674"/>
      <c r="U20" s="182"/>
      <c r="V20" s="182"/>
      <c r="W20" s="182"/>
      <c r="X20" s="551" t="e">
        <f t="shared" si="5"/>
        <v>#N/A</v>
      </c>
      <c r="Y20" s="674"/>
      <c r="Z20" s="182"/>
      <c r="AA20" s="182"/>
      <c r="AB20" s="182"/>
      <c r="AC20" s="551" t="e">
        <f t="shared" si="6"/>
        <v>#N/A</v>
      </c>
      <c r="AD20" s="674"/>
      <c r="AE20" s="182"/>
      <c r="AF20" s="182"/>
      <c r="AG20" s="182"/>
      <c r="AH20" s="551" t="e">
        <f t="shared" si="7"/>
        <v>#N/A</v>
      </c>
      <c r="AI20" s="674"/>
      <c r="AJ20" s="182"/>
      <c r="AK20" s="182"/>
      <c r="AL20" s="182"/>
      <c r="AM20" s="551" t="e">
        <f t="shared" si="8"/>
        <v>#N/A</v>
      </c>
      <c r="AN20" s="674"/>
      <c r="AO20" s="182">
        <v>4</v>
      </c>
      <c r="AP20" s="182">
        <v>2093.9999999999741</v>
      </c>
      <c r="AQ20" s="182">
        <v>523.49999999999352</v>
      </c>
      <c r="AR20" s="551">
        <f t="shared" si="9"/>
        <v>20</v>
      </c>
      <c r="AS20" s="674"/>
      <c r="AT20" s="182">
        <v>4</v>
      </c>
      <c r="AU20" s="182">
        <v>2033.9999999999748</v>
      </c>
      <c r="AV20" s="182">
        <v>508.49999999999369</v>
      </c>
      <c r="AW20" s="551">
        <f t="shared" si="10"/>
        <v>20</v>
      </c>
      <c r="AX20" s="674"/>
      <c r="AZ20" s="362" t="e">
        <f>RANK(AX20, $K$7:AX$36)</f>
        <v>#DIV/0!</v>
      </c>
      <c r="BB20" s="360" t="e">
        <f t="shared" si="0"/>
        <v>#N/A</v>
      </c>
    </row>
    <row r="21" spans="2:54">
      <c r="B21" s="660"/>
      <c r="C21" s="551">
        <v>15</v>
      </c>
      <c r="D21" s="551" t="s">
        <v>660</v>
      </c>
      <c r="E21" s="551">
        <v>4</v>
      </c>
      <c r="F21" s="551">
        <v>3300</v>
      </c>
      <c r="G21" s="551">
        <v>825</v>
      </c>
      <c r="H21" s="662"/>
      <c r="I21" s="553">
        <f t="shared" si="1"/>
        <v>3</v>
      </c>
      <c r="J21" s="553">
        <f t="shared" si="2"/>
        <v>2823.1578947368398</v>
      </c>
      <c r="K21" s="200">
        <f t="shared" si="3"/>
        <v>941.0526315789466</v>
      </c>
      <c r="L21" s="634"/>
      <c r="M21" s="553" t="e">
        <f>RANK(K21, K$147:$K$176)</f>
        <v>#DIV/0!</v>
      </c>
      <c r="N21" s="652"/>
      <c r="O21" s="652"/>
      <c r="P21" s="182"/>
      <c r="Q21" s="182"/>
      <c r="R21" s="182"/>
      <c r="S21" s="551" t="e">
        <f t="shared" si="4"/>
        <v>#N/A</v>
      </c>
      <c r="T21" s="674"/>
      <c r="U21" s="182"/>
      <c r="V21" s="182"/>
      <c r="W21" s="182"/>
      <c r="X21" s="551" t="e">
        <f t="shared" si="5"/>
        <v>#N/A</v>
      </c>
      <c r="Y21" s="674"/>
      <c r="Z21" s="182"/>
      <c r="AA21" s="182"/>
      <c r="AB21" s="182"/>
      <c r="AC21" s="551" t="e">
        <f t="shared" si="6"/>
        <v>#N/A</v>
      </c>
      <c r="AD21" s="674"/>
      <c r="AE21" s="182"/>
      <c r="AF21" s="182"/>
      <c r="AG21" s="182"/>
      <c r="AH21" s="551" t="e">
        <f t="shared" si="7"/>
        <v>#N/A</v>
      </c>
      <c r="AI21" s="674"/>
      <c r="AJ21" s="182"/>
      <c r="AK21" s="182"/>
      <c r="AL21" s="182"/>
      <c r="AM21" s="551" t="e">
        <f t="shared" si="8"/>
        <v>#N/A</v>
      </c>
      <c r="AN21" s="674"/>
      <c r="AO21" s="182">
        <v>3</v>
      </c>
      <c r="AP21" s="182">
        <v>2924.2105263157873</v>
      </c>
      <c r="AQ21" s="182">
        <v>974.73684210526244</v>
      </c>
      <c r="AR21" s="551">
        <f t="shared" si="9"/>
        <v>5</v>
      </c>
      <c r="AS21" s="674"/>
      <c r="AT21" s="182">
        <v>3</v>
      </c>
      <c r="AU21" s="182">
        <v>2722.1052631578928</v>
      </c>
      <c r="AV21" s="182">
        <v>907.36842105263088</v>
      </c>
      <c r="AW21" s="551">
        <f t="shared" si="10"/>
        <v>6</v>
      </c>
      <c r="AX21" s="674"/>
      <c r="AZ21" s="362" t="e">
        <f>RANK(AX21, $K$7:AX$36)</f>
        <v>#DIV/0!</v>
      </c>
      <c r="BB21" s="360" t="e">
        <f t="shared" si="0"/>
        <v>#N/A</v>
      </c>
    </row>
    <row r="22" spans="2:54">
      <c r="B22" s="660"/>
      <c r="C22" s="551">
        <v>16</v>
      </c>
      <c r="D22" s="551" t="s">
        <v>768</v>
      </c>
      <c r="E22" s="551">
        <v>3</v>
      </c>
      <c r="F22" s="551">
        <v>2800</v>
      </c>
      <c r="G22" s="551">
        <v>933.33333333333337</v>
      </c>
      <c r="H22" s="662"/>
      <c r="I22" s="553">
        <f t="shared" si="1"/>
        <v>3</v>
      </c>
      <c r="J22" s="553">
        <f t="shared" si="2"/>
        <v>2629.1999999999925</v>
      </c>
      <c r="K22" s="200">
        <f t="shared" si="3"/>
        <v>876.39999999999748</v>
      </c>
      <c r="L22" s="634"/>
      <c r="M22" s="553" t="e">
        <f>RANK(K22, K$147:$K$176)</f>
        <v>#DIV/0!</v>
      </c>
      <c r="N22" s="652"/>
      <c r="O22" s="652"/>
      <c r="P22" s="182"/>
      <c r="Q22" s="182"/>
      <c r="R22" s="182"/>
      <c r="S22" s="551" t="e">
        <f t="shared" si="4"/>
        <v>#N/A</v>
      </c>
      <c r="T22" s="674"/>
      <c r="U22" s="182"/>
      <c r="V22" s="182"/>
      <c r="W22" s="182"/>
      <c r="X22" s="551" t="e">
        <f t="shared" si="5"/>
        <v>#N/A</v>
      </c>
      <c r="Y22" s="674"/>
      <c r="Z22" s="182"/>
      <c r="AA22" s="182"/>
      <c r="AB22" s="182"/>
      <c r="AC22" s="551" t="e">
        <f t="shared" si="6"/>
        <v>#N/A</v>
      </c>
      <c r="AD22" s="674"/>
      <c r="AE22" s="182"/>
      <c r="AF22" s="182"/>
      <c r="AG22" s="182"/>
      <c r="AH22" s="551" t="e">
        <f t="shared" si="7"/>
        <v>#N/A</v>
      </c>
      <c r="AI22" s="674"/>
      <c r="AJ22" s="182"/>
      <c r="AK22" s="182"/>
      <c r="AL22" s="182"/>
      <c r="AM22" s="551" t="e">
        <f t="shared" si="8"/>
        <v>#N/A</v>
      </c>
      <c r="AN22" s="674"/>
      <c r="AO22" s="182">
        <v>3</v>
      </c>
      <c r="AP22" s="182">
        <v>2699.9999999999923</v>
      </c>
      <c r="AQ22" s="182">
        <v>899.99999999999739</v>
      </c>
      <c r="AR22" s="551">
        <f t="shared" si="9"/>
        <v>8</v>
      </c>
      <c r="AS22" s="674"/>
      <c r="AT22" s="182">
        <v>3</v>
      </c>
      <c r="AU22" s="182">
        <v>2558.3999999999928</v>
      </c>
      <c r="AV22" s="182">
        <v>852.79999999999757</v>
      </c>
      <c r="AW22" s="551">
        <f t="shared" si="10"/>
        <v>9</v>
      </c>
      <c r="AX22" s="674"/>
      <c r="AZ22" s="362" t="e">
        <f>RANK(AX22, $K$7:AX$36)</f>
        <v>#DIV/0!</v>
      </c>
      <c r="BB22" s="360" t="e">
        <f t="shared" si="0"/>
        <v>#N/A</v>
      </c>
    </row>
    <row r="23" spans="2:54">
      <c r="B23" s="660"/>
      <c r="C23" s="551">
        <v>17</v>
      </c>
      <c r="D23" s="551" t="s">
        <v>820</v>
      </c>
      <c r="E23" s="551">
        <v>4</v>
      </c>
      <c r="F23" s="551">
        <v>3000</v>
      </c>
      <c r="G23" s="551">
        <v>750</v>
      </c>
      <c r="H23" s="662"/>
      <c r="I23" s="553">
        <f t="shared" si="1"/>
        <v>3</v>
      </c>
      <c r="J23" s="553">
        <f t="shared" si="2"/>
        <v>2183.9999999999936</v>
      </c>
      <c r="K23" s="200">
        <f t="shared" si="3"/>
        <v>727.99999999999784</v>
      </c>
      <c r="L23" s="634"/>
      <c r="M23" s="553" t="e">
        <f>RANK(K23, K$147:$K$176)</f>
        <v>#DIV/0!</v>
      </c>
      <c r="N23" s="652"/>
      <c r="O23" s="652"/>
      <c r="P23" s="182"/>
      <c r="Q23" s="182"/>
      <c r="R23" s="182"/>
      <c r="S23" s="551" t="e">
        <f t="shared" si="4"/>
        <v>#N/A</v>
      </c>
      <c r="T23" s="674"/>
      <c r="U23" s="182"/>
      <c r="V23" s="182"/>
      <c r="W23" s="182"/>
      <c r="X23" s="551" t="e">
        <f t="shared" si="5"/>
        <v>#N/A</v>
      </c>
      <c r="Y23" s="674"/>
      <c r="Z23" s="182"/>
      <c r="AA23" s="182"/>
      <c r="AB23" s="182"/>
      <c r="AC23" s="551" t="e">
        <f t="shared" si="6"/>
        <v>#N/A</v>
      </c>
      <c r="AD23" s="674"/>
      <c r="AE23" s="182"/>
      <c r="AF23" s="182"/>
      <c r="AG23" s="182"/>
      <c r="AH23" s="551" t="e">
        <f t="shared" si="7"/>
        <v>#N/A</v>
      </c>
      <c r="AI23" s="674"/>
      <c r="AJ23" s="182"/>
      <c r="AK23" s="182"/>
      <c r="AL23" s="182"/>
      <c r="AM23" s="551" t="e">
        <f t="shared" si="8"/>
        <v>#N/A</v>
      </c>
      <c r="AN23" s="674"/>
      <c r="AO23" s="182">
        <v>3</v>
      </c>
      <c r="AP23" s="182">
        <v>2189.9999999999936</v>
      </c>
      <c r="AQ23" s="182">
        <v>729.99999999999784</v>
      </c>
      <c r="AR23" s="551">
        <f t="shared" si="9"/>
        <v>13</v>
      </c>
      <c r="AS23" s="674"/>
      <c r="AT23" s="182">
        <v>3</v>
      </c>
      <c r="AU23" s="182">
        <v>2177.9999999999936</v>
      </c>
      <c r="AV23" s="182">
        <v>725.99999999999784</v>
      </c>
      <c r="AW23" s="551">
        <f t="shared" si="10"/>
        <v>13</v>
      </c>
      <c r="AX23" s="674"/>
      <c r="AZ23" s="362" t="e">
        <f>RANK(AX23, $K$7:AX$36)</f>
        <v>#DIV/0!</v>
      </c>
      <c r="BB23" s="360" t="e">
        <f t="shared" si="0"/>
        <v>#N/A</v>
      </c>
    </row>
    <row r="24" spans="2:54">
      <c r="B24" s="660"/>
      <c r="C24" s="551">
        <v>18</v>
      </c>
      <c r="D24" s="551" t="s">
        <v>778</v>
      </c>
      <c r="E24" s="551">
        <v>12</v>
      </c>
      <c r="F24" s="551">
        <v>1500</v>
      </c>
      <c r="G24" s="551">
        <v>125</v>
      </c>
      <c r="H24" s="662"/>
      <c r="I24" s="553">
        <f t="shared" si="1"/>
        <v>10</v>
      </c>
      <c r="J24" s="553">
        <f t="shared" si="2"/>
        <v>1529.5000000000014</v>
      </c>
      <c r="K24" s="200">
        <f t="shared" si="3"/>
        <v>152.95000000000016</v>
      </c>
      <c r="L24" s="634"/>
      <c r="M24" s="553" t="e">
        <f>RANK(K24, K$147:$K$176)</f>
        <v>#DIV/0!</v>
      </c>
      <c r="N24" s="652"/>
      <c r="O24" s="652"/>
      <c r="P24" s="182"/>
      <c r="Q24" s="182"/>
      <c r="R24" s="182"/>
      <c r="S24" s="551" t="e">
        <f t="shared" si="4"/>
        <v>#N/A</v>
      </c>
      <c r="T24" s="674"/>
      <c r="U24" s="182"/>
      <c r="V24" s="182"/>
      <c r="W24" s="182"/>
      <c r="X24" s="551" t="e">
        <f t="shared" si="5"/>
        <v>#N/A</v>
      </c>
      <c r="Y24" s="674"/>
      <c r="Z24" s="182"/>
      <c r="AA24" s="182"/>
      <c r="AB24" s="182"/>
      <c r="AC24" s="551" t="e">
        <f t="shared" si="6"/>
        <v>#N/A</v>
      </c>
      <c r="AD24" s="674"/>
      <c r="AE24" s="182"/>
      <c r="AF24" s="182"/>
      <c r="AG24" s="182"/>
      <c r="AH24" s="551" t="e">
        <f t="shared" si="7"/>
        <v>#N/A</v>
      </c>
      <c r="AI24" s="674"/>
      <c r="AJ24" s="182"/>
      <c r="AK24" s="182"/>
      <c r="AL24" s="182"/>
      <c r="AM24" s="551" t="e">
        <f t="shared" si="8"/>
        <v>#N/A</v>
      </c>
      <c r="AN24" s="674"/>
      <c r="AO24" s="182">
        <v>10</v>
      </c>
      <c r="AP24" s="182">
        <v>1549.0000000000014</v>
      </c>
      <c r="AQ24" s="182">
        <v>154.90000000000015</v>
      </c>
      <c r="AR24" s="551">
        <f t="shared" si="9"/>
        <v>21</v>
      </c>
      <c r="AS24" s="674"/>
      <c r="AT24" s="182">
        <v>10</v>
      </c>
      <c r="AU24" s="182">
        <v>1510.0000000000014</v>
      </c>
      <c r="AV24" s="182">
        <v>151.00000000000014</v>
      </c>
      <c r="AW24" s="551">
        <f t="shared" si="10"/>
        <v>21</v>
      </c>
      <c r="AX24" s="674"/>
      <c r="AZ24" s="362" t="e">
        <f>RANK(AX24, $K$7:AX$36)</f>
        <v>#DIV/0!</v>
      </c>
      <c r="BB24" s="360" t="e">
        <f t="shared" si="0"/>
        <v>#N/A</v>
      </c>
    </row>
    <row r="25" spans="2:54">
      <c r="B25" s="660"/>
      <c r="C25" s="551">
        <v>19</v>
      </c>
      <c r="D25" s="551" t="s">
        <v>839</v>
      </c>
      <c r="E25" s="551">
        <v>4</v>
      </c>
      <c r="F25" s="551">
        <v>3000</v>
      </c>
      <c r="G25" s="551">
        <v>750</v>
      </c>
      <c r="H25" s="662"/>
      <c r="I25" s="553">
        <f t="shared" si="1"/>
        <v>4</v>
      </c>
      <c r="J25" s="553">
        <f t="shared" si="2"/>
        <v>2213.1428571428651</v>
      </c>
      <c r="K25" s="200">
        <f t="shared" si="3"/>
        <v>553.28571428571627</v>
      </c>
      <c r="L25" s="634"/>
      <c r="M25" s="553" t="e">
        <f>RANK(K25, K$147:$K$176)</f>
        <v>#DIV/0!</v>
      </c>
      <c r="N25" s="652"/>
      <c r="O25" s="652"/>
      <c r="P25" s="182"/>
      <c r="Q25" s="182"/>
      <c r="R25" s="182"/>
      <c r="S25" s="551" t="e">
        <f t="shared" si="4"/>
        <v>#N/A</v>
      </c>
      <c r="T25" s="674"/>
      <c r="U25" s="182"/>
      <c r="V25" s="182"/>
      <c r="W25" s="182"/>
      <c r="X25" s="551" t="e">
        <f t="shared" si="5"/>
        <v>#N/A</v>
      </c>
      <c r="Y25" s="674"/>
      <c r="Z25" s="182"/>
      <c r="AA25" s="182"/>
      <c r="AB25" s="182"/>
      <c r="AC25" s="551" t="e">
        <f t="shared" si="6"/>
        <v>#N/A</v>
      </c>
      <c r="AD25" s="674"/>
      <c r="AE25" s="182"/>
      <c r="AF25" s="182"/>
      <c r="AG25" s="182"/>
      <c r="AH25" s="551" t="e">
        <f t="shared" si="7"/>
        <v>#N/A</v>
      </c>
      <c r="AI25" s="674"/>
      <c r="AJ25" s="182"/>
      <c r="AK25" s="182"/>
      <c r="AL25" s="182"/>
      <c r="AM25" s="551" t="e">
        <f t="shared" si="8"/>
        <v>#N/A</v>
      </c>
      <c r="AN25" s="674"/>
      <c r="AO25" s="182">
        <v>4</v>
      </c>
      <c r="AP25" s="182">
        <v>2254.2857142857229</v>
      </c>
      <c r="AQ25" s="182">
        <v>563.57142857143072</v>
      </c>
      <c r="AR25" s="551">
        <f t="shared" si="9"/>
        <v>19</v>
      </c>
      <c r="AS25" s="674"/>
      <c r="AT25" s="182">
        <v>4</v>
      </c>
      <c r="AU25" s="182">
        <v>2172.0000000000077</v>
      </c>
      <c r="AV25" s="182">
        <v>543.00000000000193</v>
      </c>
      <c r="AW25" s="551">
        <f t="shared" si="10"/>
        <v>19</v>
      </c>
      <c r="AX25" s="674"/>
      <c r="AZ25" s="362" t="e">
        <f>RANK(AX25, $K$7:AX$36)</f>
        <v>#DIV/0!</v>
      </c>
      <c r="BB25" s="360" t="e">
        <f t="shared" si="0"/>
        <v>#N/A</v>
      </c>
    </row>
    <row r="26" spans="2:54">
      <c r="B26" s="660"/>
      <c r="C26" s="551">
        <v>20</v>
      </c>
      <c r="D26" s="551" t="s">
        <v>843</v>
      </c>
      <c r="E26" s="551">
        <v>3</v>
      </c>
      <c r="F26" s="551">
        <v>2800</v>
      </c>
      <c r="G26" s="551">
        <v>933.33333333333337</v>
      </c>
      <c r="H26" s="662"/>
      <c r="I26" s="553">
        <f t="shared" si="1"/>
        <v>3</v>
      </c>
      <c r="J26" s="553">
        <f t="shared" si="2"/>
        <v>2755.4716981132051</v>
      </c>
      <c r="K26" s="200">
        <f t="shared" si="3"/>
        <v>918.49056603773511</v>
      </c>
      <c r="L26" s="634"/>
      <c r="M26" s="553" t="e">
        <f>RANK(K26, K$147:$K$176)</f>
        <v>#DIV/0!</v>
      </c>
      <c r="N26" s="652"/>
      <c r="O26" s="652"/>
      <c r="P26" s="182"/>
      <c r="Q26" s="182"/>
      <c r="R26" s="182"/>
      <c r="S26" s="551" t="e">
        <f t="shared" si="4"/>
        <v>#N/A</v>
      </c>
      <c r="T26" s="674"/>
      <c r="U26" s="182"/>
      <c r="V26" s="182"/>
      <c r="W26" s="182"/>
      <c r="X26" s="551" t="e">
        <f t="shared" si="5"/>
        <v>#N/A</v>
      </c>
      <c r="Y26" s="674"/>
      <c r="Z26" s="182"/>
      <c r="AA26" s="182"/>
      <c r="AB26" s="182"/>
      <c r="AC26" s="551" t="e">
        <f t="shared" si="6"/>
        <v>#N/A</v>
      </c>
      <c r="AD26" s="674"/>
      <c r="AE26" s="182"/>
      <c r="AF26" s="182"/>
      <c r="AG26" s="182"/>
      <c r="AH26" s="551" t="e">
        <f t="shared" si="7"/>
        <v>#N/A</v>
      </c>
      <c r="AI26" s="674"/>
      <c r="AJ26" s="182"/>
      <c r="AK26" s="182"/>
      <c r="AL26" s="182"/>
      <c r="AM26" s="551" t="e">
        <f t="shared" si="8"/>
        <v>#N/A</v>
      </c>
      <c r="AN26" s="674"/>
      <c r="AO26" s="182">
        <v>3</v>
      </c>
      <c r="AP26" s="182">
        <v>2804.1509433962242</v>
      </c>
      <c r="AQ26" s="182">
        <v>934.71698113207469</v>
      </c>
      <c r="AR26" s="551">
        <f t="shared" si="9"/>
        <v>7</v>
      </c>
      <c r="AS26" s="674"/>
      <c r="AT26" s="182">
        <v>3</v>
      </c>
      <c r="AU26" s="182">
        <v>2706.7924528301864</v>
      </c>
      <c r="AV26" s="182">
        <v>902.26415094339552</v>
      </c>
      <c r="AW26" s="551">
        <f t="shared" si="10"/>
        <v>7</v>
      </c>
      <c r="AX26" s="674"/>
      <c r="AZ26" s="362" t="e">
        <f>RANK(AX26, $K$7:AX$36)</f>
        <v>#DIV/0!</v>
      </c>
      <c r="BB26" s="360" t="e">
        <f t="shared" si="0"/>
        <v>#N/A</v>
      </c>
    </row>
    <row r="27" spans="2:54">
      <c r="B27" s="660"/>
      <c r="C27" s="551">
        <v>21</v>
      </c>
      <c r="D27" s="551"/>
      <c r="E27" s="551"/>
      <c r="F27" s="551"/>
      <c r="G27" s="551"/>
      <c r="H27" s="662"/>
      <c r="I27" s="553"/>
      <c r="J27" s="553"/>
      <c r="K27" s="200"/>
      <c r="L27" s="634"/>
      <c r="M27" s="553" t="e">
        <f>RANK(K27, K$147:$K$176)</f>
        <v>#DIV/0!</v>
      </c>
      <c r="N27" s="652"/>
      <c r="O27" s="652"/>
      <c r="P27" s="182"/>
      <c r="Q27" s="182"/>
      <c r="R27" s="182"/>
      <c r="S27" s="551" t="e">
        <f t="shared" si="4"/>
        <v>#N/A</v>
      </c>
      <c r="T27" s="674"/>
      <c r="U27" s="182"/>
      <c r="V27" s="182"/>
      <c r="W27" s="182"/>
      <c r="X27" s="551" t="e">
        <f t="shared" si="5"/>
        <v>#N/A</v>
      </c>
      <c r="Y27" s="674"/>
      <c r="Z27" s="182"/>
      <c r="AA27" s="182"/>
      <c r="AB27" s="182"/>
      <c r="AC27" s="551" t="e">
        <f t="shared" si="6"/>
        <v>#N/A</v>
      </c>
      <c r="AD27" s="674"/>
      <c r="AE27" s="182"/>
      <c r="AF27" s="182"/>
      <c r="AG27" s="182"/>
      <c r="AH27" s="551" t="e">
        <f t="shared" si="7"/>
        <v>#N/A</v>
      </c>
      <c r="AI27" s="674"/>
      <c r="AJ27" s="182"/>
      <c r="AK27" s="182"/>
      <c r="AL27" s="182"/>
      <c r="AM27" s="551" t="e">
        <f t="shared" si="8"/>
        <v>#N/A</v>
      </c>
      <c r="AN27" s="674"/>
      <c r="AO27" s="182" t="s">
        <v>779</v>
      </c>
      <c r="AP27" s="182" t="s">
        <v>779</v>
      </c>
      <c r="AQ27" s="182" t="s">
        <v>779</v>
      </c>
      <c r="AR27" s="551" t="e">
        <f t="shared" si="9"/>
        <v>#VALUE!</v>
      </c>
      <c r="AS27" s="674"/>
      <c r="AT27" s="182" t="s">
        <v>779</v>
      </c>
      <c r="AU27" s="182" t="s">
        <v>779</v>
      </c>
      <c r="AV27" s="182" t="s">
        <v>779</v>
      </c>
      <c r="AW27" s="551" t="e">
        <f t="shared" si="10"/>
        <v>#VALUE!</v>
      </c>
      <c r="AX27" s="674"/>
      <c r="AZ27" s="362" t="e">
        <f>RANK(AX27, $K$7:AX$36)</f>
        <v>#DIV/0!</v>
      </c>
      <c r="BB27" s="360" t="e">
        <f t="shared" si="0"/>
        <v>#N/A</v>
      </c>
    </row>
    <row r="28" spans="2:54">
      <c r="B28" s="660"/>
      <c r="C28" s="551">
        <v>22</v>
      </c>
      <c r="D28" s="551" t="s">
        <v>942</v>
      </c>
      <c r="E28" s="551">
        <v>4</v>
      </c>
      <c r="F28" s="551">
        <v>2800</v>
      </c>
      <c r="G28" s="551">
        <v>700</v>
      </c>
      <c r="H28" s="662"/>
      <c r="I28" s="553">
        <f t="shared" ref="I28" si="11">AVERAGE(P28,U28,Z28,AE28,AJ28,AO28,AT28)</f>
        <v>4</v>
      </c>
      <c r="J28" s="553">
        <f t="shared" ref="J28" si="12">AVERAGE(Q28,V28,AA28,AF28,AK28,AP28,AU28)</f>
        <v>2831.3207547169786</v>
      </c>
      <c r="K28" s="200">
        <f t="shared" ref="K28" si="13">AVERAGE(R28,W28,AB28,AG28,AL28,AQ28,AV28)</f>
        <v>707.83018867924466</v>
      </c>
      <c r="L28" s="634"/>
      <c r="M28" s="553" t="e">
        <f>RANK(K28, K$147:$K$176)</f>
        <v>#DIV/0!</v>
      </c>
      <c r="N28" s="652"/>
      <c r="O28" s="652"/>
      <c r="P28" s="182"/>
      <c r="Q28" s="182"/>
      <c r="R28" s="182"/>
      <c r="S28" s="551" t="e">
        <f t="shared" si="4"/>
        <v>#N/A</v>
      </c>
      <c r="T28" s="674"/>
      <c r="U28" s="182"/>
      <c r="V28" s="182"/>
      <c r="W28" s="182"/>
      <c r="X28" s="551" t="e">
        <f t="shared" si="5"/>
        <v>#N/A</v>
      </c>
      <c r="Y28" s="674"/>
      <c r="Z28" s="182"/>
      <c r="AA28" s="182"/>
      <c r="AB28" s="182"/>
      <c r="AC28" s="551" t="e">
        <f t="shared" si="6"/>
        <v>#N/A</v>
      </c>
      <c r="AD28" s="674"/>
      <c r="AE28" s="182"/>
      <c r="AF28" s="182"/>
      <c r="AG28" s="182"/>
      <c r="AH28" s="551" t="e">
        <f t="shared" si="7"/>
        <v>#N/A</v>
      </c>
      <c r="AI28" s="674"/>
      <c r="AJ28" s="182"/>
      <c r="AK28" s="182"/>
      <c r="AL28" s="182"/>
      <c r="AM28" s="551" t="e">
        <f t="shared" si="8"/>
        <v>#N/A</v>
      </c>
      <c r="AN28" s="674"/>
      <c r="AO28" s="182">
        <v>4</v>
      </c>
      <c r="AP28" s="182">
        <v>2899.2452830188649</v>
      </c>
      <c r="AQ28" s="182">
        <v>724.81132075471623</v>
      </c>
      <c r="AR28" s="551">
        <f t="shared" si="9"/>
        <v>14</v>
      </c>
      <c r="AS28" s="674"/>
      <c r="AT28" s="182">
        <v>4</v>
      </c>
      <c r="AU28" s="182">
        <v>2763.3962264150919</v>
      </c>
      <c r="AV28" s="182">
        <v>690.84905660377296</v>
      </c>
      <c r="AW28" s="551">
        <f t="shared" si="10"/>
        <v>17</v>
      </c>
      <c r="AX28" s="674"/>
      <c r="AZ28" s="362" t="e">
        <f>RANK(AX28, $K$7:AX$36)</f>
        <v>#DIV/0!</v>
      </c>
      <c r="BB28" s="360" t="e">
        <f t="shared" si="0"/>
        <v>#N/A</v>
      </c>
    </row>
    <row r="29" spans="2:54">
      <c r="B29" s="660"/>
      <c r="C29" s="551">
        <v>23</v>
      </c>
      <c r="D29" s="551"/>
      <c r="E29" s="551"/>
      <c r="F29" s="551"/>
      <c r="G29" s="551"/>
      <c r="H29" s="662"/>
      <c r="I29" s="553"/>
      <c r="J29" s="553"/>
      <c r="K29" s="200"/>
      <c r="L29" s="634"/>
      <c r="M29" s="553" t="e">
        <f>RANK(K29, K$147:$K$176)</f>
        <v>#DIV/0!</v>
      </c>
      <c r="N29" s="652"/>
      <c r="O29" s="652"/>
      <c r="P29" s="551"/>
      <c r="Q29" s="551"/>
      <c r="R29" s="552"/>
      <c r="S29" s="551" t="e">
        <f t="shared" si="4"/>
        <v>#N/A</v>
      </c>
      <c r="T29" s="674"/>
      <c r="U29" s="551"/>
      <c r="V29" s="551"/>
      <c r="W29" s="552"/>
      <c r="X29" s="551" t="e">
        <f t="shared" si="5"/>
        <v>#N/A</v>
      </c>
      <c r="Y29" s="674"/>
      <c r="Z29" s="551"/>
      <c r="AA29" s="551"/>
      <c r="AB29" s="552"/>
      <c r="AC29" s="551" t="e">
        <f t="shared" si="6"/>
        <v>#N/A</v>
      </c>
      <c r="AD29" s="674"/>
      <c r="AE29" s="551"/>
      <c r="AF29" s="551"/>
      <c r="AG29" s="552"/>
      <c r="AH29" s="551" t="e">
        <f t="shared" si="7"/>
        <v>#N/A</v>
      </c>
      <c r="AI29" s="674"/>
      <c r="AJ29" s="551"/>
      <c r="AK29" s="551"/>
      <c r="AL29" s="552"/>
      <c r="AM29" s="551" t="e">
        <f t="shared" si="8"/>
        <v>#N/A</v>
      </c>
      <c r="AN29" s="674"/>
      <c r="AO29" s="551"/>
      <c r="AP29" s="551"/>
      <c r="AQ29" s="552"/>
      <c r="AR29" s="551" t="e">
        <f t="shared" si="9"/>
        <v>#N/A</v>
      </c>
      <c r="AS29" s="674"/>
      <c r="AT29" s="182"/>
      <c r="AU29" s="182"/>
      <c r="AV29" s="182"/>
      <c r="AW29" s="551" t="e">
        <f t="shared" si="10"/>
        <v>#N/A</v>
      </c>
      <c r="AX29" s="674"/>
      <c r="AZ29" s="362" t="e">
        <f>RANK(AX29, $K$7:AX$36)</f>
        <v>#DIV/0!</v>
      </c>
      <c r="BB29" s="360" t="e">
        <f t="shared" si="0"/>
        <v>#N/A</v>
      </c>
    </row>
    <row r="30" spans="2:54">
      <c r="B30" s="660"/>
      <c r="C30" s="551">
        <v>24</v>
      </c>
      <c r="D30" s="551"/>
      <c r="E30" s="551"/>
      <c r="F30" s="551"/>
      <c r="G30" s="551"/>
      <c r="H30" s="662"/>
      <c r="I30" s="553"/>
      <c r="J30" s="553"/>
      <c r="K30" s="200"/>
      <c r="L30" s="634"/>
      <c r="M30" s="553" t="e">
        <f>RANK(K30, K$147:$K$176)</f>
        <v>#DIV/0!</v>
      </c>
      <c r="N30" s="652"/>
      <c r="O30" s="652"/>
      <c r="P30" s="551"/>
      <c r="Q30" s="551"/>
      <c r="R30" s="551"/>
      <c r="S30" s="551" t="e">
        <f t="shared" si="4"/>
        <v>#N/A</v>
      </c>
      <c r="T30" s="674"/>
      <c r="U30" s="551"/>
      <c r="V30" s="551"/>
      <c r="W30" s="551"/>
      <c r="X30" s="551" t="e">
        <f t="shared" si="5"/>
        <v>#N/A</v>
      </c>
      <c r="Y30" s="674"/>
      <c r="Z30" s="551"/>
      <c r="AA30" s="551"/>
      <c r="AB30" s="551"/>
      <c r="AC30" s="551" t="e">
        <f t="shared" si="6"/>
        <v>#N/A</v>
      </c>
      <c r="AD30" s="674"/>
      <c r="AE30" s="551"/>
      <c r="AF30" s="551"/>
      <c r="AG30" s="551"/>
      <c r="AH30" s="551" t="e">
        <f t="shared" si="7"/>
        <v>#N/A</v>
      </c>
      <c r="AI30" s="674"/>
      <c r="AJ30" s="551"/>
      <c r="AK30" s="551"/>
      <c r="AL30" s="551"/>
      <c r="AM30" s="551" t="e">
        <f t="shared" si="8"/>
        <v>#N/A</v>
      </c>
      <c r="AN30" s="674"/>
      <c r="AO30" s="551"/>
      <c r="AP30" s="551"/>
      <c r="AQ30" s="551"/>
      <c r="AR30" s="551" t="e">
        <f t="shared" si="9"/>
        <v>#N/A</v>
      </c>
      <c r="AS30" s="674"/>
      <c r="AT30" s="182"/>
      <c r="AU30" s="182"/>
      <c r="AV30" s="182"/>
      <c r="AW30" s="551" t="e">
        <f t="shared" si="10"/>
        <v>#N/A</v>
      </c>
      <c r="AX30" s="674"/>
      <c r="AZ30" s="362" t="e">
        <f>RANK(AX30, $K$7:AX$36)</f>
        <v>#DIV/0!</v>
      </c>
      <c r="BB30" s="360" t="e">
        <f t="shared" si="0"/>
        <v>#N/A</v>
      </c>
    </row>
    <row r="31" spans="2:54">
      <c r="B31" s="660"/>
      <c r="C31" s="551">
        <v>25</v>
      </c>
      <c r="D31" s="551"/>
      <c r="E31" s="551"/>
      <c r="F31" s="551"/>
      <c r="G31" s="551"/>
      <c r="H31" s="662"/>
      <c r="I31" s="202"/>
      <c r="J31" s="202"/>
      <c r="K31" s="202"/>
      <c r="L31" s="634"/>
      <c r="M31" s="553" t="e">
        <f>RANK(K31, K$147:$K$176)</f>
        <v>#DIV/0!</v>
      </c>
      <c r="N31" s="652"/>
      <c r="O31" s="652"/>
      <c r="P31" s="551"/>
      <c r="Q31" s="551"/>
      <c r="R31" s="551"/>
      <c r="S31" s="551" t="e">
        <f t="shared" si="4"/>
        <v>#N/A</v>
      </c>
      <c r="T31" s="674"/>
      <c r="U31" s="551"/>
      <c r="V31" s="551"/>
      <c r="W31" s="551"/>
      <c r="X31" s="551" t="e">
        <f t="shared" si="5"/>
        <v>#N/A</v>
      </c>
      <c r="Y31" s="674"/>
      <c r="Z31" s="551"/>
      <c r="AA31" s="551"/>
      <c r="AB31" s="551"/>
      <c r="AC31" s="551" t="e">
        <f t="shared" si="6"/>
        <v>#N/A</v>
      </c>
      <c r="AD31" s="674"/>
      <c r="AE31" s="551"/>
      <c r="AF31" s="551"/>
      <c r="AG31" s="551"/>
      <c r="AH31" s="551" t="e">
        <f t="shared" si="7"/>
        <v>#N/A</v>
      </c>
      <c r="AI31" s="674"/>
      <c r="AJ31" s="551"/>
      <c r="AK31" s="551"/>
      <c r="AL31" s="551"/>
      <c r="AM31" s="551" t="e">
        <f t="shared" si="8"/>
        <v>#N/A</v>
      </c>
      <c r="AN31" s="674"/>
      <c r="AO31" s="551"/>
      <c r="AP31" s="551"/>
      <c r="AQ31" s="551"/>
      <c r="AR31" s="551" t="e">
        <f t="shared" si="9"/>
        <v>#N/A</v>
      </c>
      <c r="AS31" s="674"/>
      <c r="AT31" s="551"/>
      <c r="AU31" s="551"/>
      <c r="AV31" s="551"/>
      <c r="AW31" s="551" t="e">
        <f t="shared" si="10"/>
        <v>#N/A</v>
      </c>
      <c r="AX31" s="674"/>
      <c r="AZ31" s="362" t="e">
        <f>RANK(AX31, $K$7:AX$36)</f>
        <v>#DIV/0!</v>
      </c>
      <c r="BB31" s="360" t="e">
        <f t="shared" si="0"/>
        <v>#N/A</v>
      </c>
    </row>
    <row r="32" spans="2:54">
      <c r="B32" s="660"/>
      <c r="C32" s="551">
        <v>26</v>
      </c>
      <c r="D32" s="551"/>
      <c r="E32" s="551"/>
      <c r="F32" s="551"/>
      <c r="G32" s="551"/>
      <c r="H32" s="662"/>
      <c r="I32" s="202"/>
      <c r="J32" s="202"/>
      <c r="K32" s="202"/>
      <c r="L32" s="634"/>
      <c r="M32" s="553" t="e">
        <f>RANK(K32, K$147:$K$176)</f>
        <v>#DIV/0!</v>
      </c>
      <c r="N32" s="652"/>
      <c r="O32" s="652"/>
      <c r="P32" s="551"/>
      <c r="Q32" s="551"/>
      <c r="R32" s="551"/>
      <c r="S32" s="551" t="e">
        <f t="shared" si="4"/>
        <v>#N/A</v>
      </c>
      <c r="T32" s="674"/>
      <c r="U32" s="551"/>
      <c r="V32" s="551"/>
      <c r="W32" s="551"/>
      <c r="X32" s="551" t="e">
        <f t="shared" si="5"/>
        <v>#N/A</v>
      </c>
      <c r="Y32" s="674"/>
      <c r="Z32" s="551"/>
      <c r="AA32" s="551"/>
      <c r="AB32" s="551"/>
      <c r="AC32" s="551" t="e">
        <f t="shared" si="6"/>
        <v>#N/A</v>
      </c>
      <c r="AD32" s="674"/>
      <c r="AE32" s="551"/>
      <c r="AF32" s="551"/>
      <c r="AG32" s="551"/>
      <c r="AH32" s="551" t="e">
        <f t="shared" si="7"/>
        <v>#N/A</v>
      </c>
      <c r="AI32" s="674"/>
      <c r="AJ32" s="551"/>
      <c r="AK32" s="551"/>
      <c r="AL32" s="551"/>
      <c r="AM32" s="551" t="e">
        <f t="shared" si="8"/>
        <v>#N/A</v>
      </c>
      <c r="AN32" s="674"/>
      <c r="AO32" s="551"/>
      <c r="AP32" s="551"/>
      <c r="AQ32" s="551"/>
      <c r="AR32" s="551" t="e">
        <f t="shared" si="9"/>
        <v>#N/A</v>
      </c>
      <c r="AS32" s="674"/>
      <c r="AT32" s="551"/>
      <c r="AU32" s="551"/>
      <c r="AV32" s="551"/>
      <c r="AW32" s="551" t="e">
        <f t="shared" si="10"/>
        <v>#N/A</v>
      </c>
      <c r="AX32" s="674"/>
      <c r="AZ32" s="362" t="e">
        <f>RANK(AX32, $K$7:AX$36)</f>
        <v>#DIV/0!</v>
      </c>
      <c r="BB32" s="360" t="e">
        <f t="shared" si="0"/>
        <v>#N/A</v>
      </c>
    </row>
    <row r="33" spans="2:54">
      <c r="B33" s="660"/>
      <c r="C33" s="551">
        <v>27</v>
      </c>
      <c r="D33" s="551"/>
      <c r="E33" s="551"/>
      <c r="F33" s="551"/>
      <c r="G33" s="551"/>
      <c r="H33" s="662"/>
      <c r="I33" s="202"/>
      <c r="J33" s="202"/>
      <c r="K33" s="202"/>
      <c r="L33" s="634"/>
      <c r="M33" s="553" t="e">
        <f>RANK(K33, K$147:$K$176)</f>
        <v>#DIV/0!</v>
      </c>
      <c r="N33" s="652"/>
      <c r="O33" s="652"/>
      <c r="P33" s="551"/>
      <c r="Q33" s="551"/>
      <c r="R33" s="551"/>
      <c r="S33" s="551" t="e">
        <f t="shared" si="4"/>
        <v>#N/A</v>
      </c>
      <c r="T33" s="674"/>
      <c r="U33" s="551"/>
      <c r="V33" s="551"/>
      <c r="W33" s="551"/>
      <c r="X33" s="551" t="e">
        <f t="shared" si="5"/>
        <v>#N/A</v>
      </c>
      <c r="Y33" s="674"/>
      <c r="Z33" s="551"/>
      <c r="AA33" s="551"/>
      <c r="AB33" s="551"/>
      <c r="AC33" s="551" t="e">
        <f t="shared" si="6"/>
        <v>#N/A</v>
      </c>
      <c r="AD33" s="674"/>
      <c r="AE33" s="551"/>
      <c r="AF33" s="551"/>
      <c r="AG33" s="551"/>
      <c r="AH33" s="551" t="e">
        <f t="shared" si="7"/>
        <v>#N/A</v>
      </c>
      <c r="AI33" s="674"/>
      <c r="AJ33" s="551"/>
      <c r="AK33" s="551"/>
      <c r="AL33" s="551"/>
      <c r="AM33" s="551" t="e">
        <f t="shared" si="8"/>
        <v>#N/A</v>
      </c>
      <c r="AN33" s="674"/>
      <c r="AO33" s="551"/>
      <c r="AP33" s="551"/>
      <c r="AQ33" s="551"/>
      <c r="AR33" s="551" t="e">
        <f t="shared" si="9"/>
        <v>#N/A</v>
      </c>
      <c r="AS33" s="674"/>
      <c r="AT33" s="551"/>
      <c r="AU33" s="551"/>
      <c r="AV33" s="551"/>
      <c r="AW33" s="551" t="e">
        <f t="shared" si="10"/>
        <v>#N/A</v>
      </c>
      <c r="AX33" s="674"/>
      <c r="AZ33" s="362" t="e">
        <f>RANK(AX33, $K$7:AX$36)</f>
        <v>#DIV/0!</v>
      </c>
      <c r="BB33" s="360" t="e">
        <f t="shared" si="0"/>
        <v>#N/A</v>
      </c>
    </row>
    <row r="34" spans="2:54">
      <c r="B34" s="660"/>
      <c r="C34" s="551">
        <v>28</v>
      </c>
      <c r="D34" s="551"/>
      <c r="E34" s="551"/>
      <c r="F34" s="551"/>
      <c r="G34" s="551"/>
      <c r="H34" s="662"/>
      <c r="I34" s="202"/>
      <c r="J34" s="202"/>
      <c r="K34" s="202"/>
      <c r="L34" s="634"/>
      <c r="M34" s="553" t="e">
        <f>RANK(K34, K$147:$K$176)</f>
        <v>#DIV/0!</v>
      </c>
      <c r="N34" s="652"/>
      <c r="O34" s="652"/>
      <c r="P34" s="551"/>
      <c r="Q34" s="551"/>
      <c r="R34" s="551"/>
      <c r="S34" s="551" t="e">
        <f t="shared" si="4"/>
        <v>#N/A</v>
      </c>
      <c r="T34" s="674"/>
      <c r="U34" s="551"/>
      <c r="V34" s="551"/>
      <c r="W34" s="551"/>
      <c r="X34" s="551" t="e">
        <f t="shared" si="5"/>
        <v>#N/A</v>
      </c>
      <c r="Y34" s="674"/>
      <c r="Z34" s="551"/>
      <c r="AA34" s="551"/>
      <c r="AB34" s="551"/>
      <c r="AC34" s="551" t="e">
        <f t="shared" si="6"/>
        <v>#N/A</v>
      </c>
      <c r="AD34" s="674"/>
      <c r="AE34" s="551"/>
      <c r="AF34" s="551"/>
      <c r="AG34" s="551"/>
      <c r="AH34" s="551" t="e">
        <f t="shared" si="7"/>
        <v>#N/A</v>
      </c>
      <c r="AI34" s="674"/>
      <c r="AJ34" s="551"/>
      <c r="AK34" s="551"/>
      <c r="AL34" s="551"/>
      <c r="AM34" s="551" t="e">
        <f t="shared" si="8"/>
        <v>#N/A</v>
      </c>
      <c r="AN34" s="674"/>
      <c r="AO34" s="551"/>
      <c r="AP34" s="551"/>
      <c r="AQ34" s="551"/>
      <c r="AR34" s="551" t="e">
        <f t="shared" si="9"/>
        <v>#N/A</v>
      </c>
      <c r="AS34" s="674"/>
      <c r="AT34" s="551"/>
      <c r="AU34" s="551"/>
      <c r="AV34" s="551"/>
      <c r="AW34" s="551" t="e">
        <f t="shared" si="10"/>
        <v>#N/A</v>
      </c>
      <c r="AX34" s="674"/>
      <c r="AZ34" s="362" t="e">
        <f>RANK(AX34, $K$7:AX$36)</f>
        <v>#DIV/0!</v>
      </c>
      <c r="BB34" s="360" t="e">
        <f t="shared" si="0"/>
        <v>#N/A</v>
      </c>
    </row>
    <row r="35" spans="2:54">
      <c r="B35" s="660"/>
      <c r="C35" s="551">
        <v>29</v>
      </c>
      <c r="D35" s="551"/>
      <c r="E35" s="551"/>
      <c r="F35" s="551"/>
      <c r="G35" s="551"/>
      <c r="H35" s="662"/>
      <c r="I35" s="202"/>
      <c r="J35" s="202"/>
      <c r="K35" s="202"/>
      <c r="L35" s="634"/>
      <c r="M35" s="553" t="e">
        <f>RANK(K35, K$147:$K$176)</f>
        <v>#DIV/0!</v>
      </c>
      <c r="N35" s="652"/>
      <c r="O35" s="652"/>
      <c r="P35" s="551"/>
      <c r="Q35" s="551"/>
      <c r="R35" s="551"/>
      <c r="S35" s="551" t="e">
        <f t="shared" si="4"/>
        <v>#N/A</v>
      </c>
      <c r="T35" s="674"/>
      <c r="U35" s="551"/>
      <c r="V35" s="551"/>
      <c r="W35" s="551"/>
      <c r="X35" s="551" t="e">
        <f t="shared" si="5"/>
        <v>#N/A</v>
      </c>
      <c r="Y35" s="674"/>
      <c r="Z35" s="551"/>
      <c r="AA35" s="551"/>
      <c r="AB35" s="551"/>
      <c r="AC35" s="551" t="e">
        <f t="shared" si="6"/>
        <v>#N/A</v>
      </c>
      <c r="AD35" s="674"/>
      <c r="AE35" s="551"/>
      <c r="AF35" s="551"/>
      <c r="AG35" s="551"/>
      <c r="AH35" s="551" t="e">
        <f t="shared" si="7"/>
        <v>#N/A</v>
      </c>
      <c r="AI35" s="674"/>
      <c r="AJ35" s="551"/>
      <c r="AK35" s="551"/>
      <c r="AL35" s="551"/>
      <c r="AM35" s="551" t="e">
        <f t="shared" si="8"/>
        <v>#N/A</v>
      </c>
      <c r="AN35" s="674"/>
      <c r="AO35" s="551"/>
      <c r="AP35" s="551"/>
      <c r="AQ35" s="551"/>
      <c r="AR35" s="551" t="e">
        <f t="shared" si="9"/>
        <v>#N/A</v>
      </c>
      <c r="AS35" s="674"/>
      <c r="AT35" s="551"/>
      <c r="AU35" s="551"/>
      <c r="AV35" s="551"/>
      <c r="AW35" s="551" t="e">
        <f t="shared" si="10"/>
        <v>#N/A</v>
      </c>
      <c r="AX35" s="674"/>
      <c r="AZ35" s="362" t="e">
        <f>RANK(AX35, $K$7:AX$36)</f>
        <v>#DIV/0!</v>
      </c>
      <c r="BB35" s="360" t="e">
        <f t="shared" si="0"/>
        <v>#N/A</v>
      </c>
    </row>
    <row r="36" spans="2:54">
      <c r="B36" s="660"/>
      <c r="C36" s="551">
        <v>30</v>
      </c>
      <c r="D36" s="551"/>
      <c r="E36" s="551"/>
      <c r="F36" s="551"/>
      <c r="G36" s="551"/>
      <c r="H36" s="663"/>
      <c r="I36" s="202"/>
      <c r="J36" s="202"/>
      <c r="K36" s="202"/>
      <c r="L36" s="635"/>
      <c r="M36" s="553" t="e">
        <f>RANK(K36, K$147:$K$176)</f>
        <v>#DIV/0!</v>
      </c>
      <c r="N36" s="652"/>
      <c r="O36" s="652"/>
      <c r="P36" s="551"/>
      <c r="Q36" s="551"/>
      <c r="R36" s="551"/>
      <c r="S36" s="551" t="e">
        <f t="shared" si="4"/>
        <v>#N/A</v>
      </c>
      <c r="T36" s="674"/>
      <c r="U36" s="551"/>
      <c r="V36" s="551"/>
      <c r="W36" s="551"/>
      <c r="X36" s="551" t="e">
        <f t="shared" si="5"/>
        <v>#N/A</v>
      </c>
      <c r="Y36" s="674"/>
      <c r="Z36" s="551"/>
      <c r="AA36" s="551"/>
      <c r="AB36" s="551"/>
      <c r="AC36" s="551" t="e">
        <f t="shared" si="6"/>
        <v>#N/A</v>
      </c>
      <c r="AD36" s="674"/>
      <c r="AE36" s="551"/>
      <c r="AF36" s="551"/>
      <c r="AG36" s="551"/>
      <c r="AH36" s="551" t="e">
        <f t="shared" si="7"/>
        <v>#N/A</v>
      </c>
      <c r="AI36" s="674"/>
      <c r="AJ36" s="551"/>
      <c r="AK36" s="551"/>
      <c r="AL36" s="551"/>
      <c r="AM36" s="551" t="e">
        <f t="shared" si="8"/>
        <v>#N/A</v>
      </c>
      <c r="AN36" s="674"/>
      <c r="AO36" s="551"/>
      <c r="AP36" s="551"/>
      <c r="AQ36" s="551"/>
      <c r="AR36" s="551" t="e">
        <f t="shared" si="9"/>
        <v>#N/A</v>
      </c>
      <c r="AS36" s="674"/>
      <c r="AT36" s="551"/>
      <c r="AU36" s="551"/>
      <c r="AV36" s="551"/>
      <c r="AW36" s="551" t="e">
        <f t="shared" si="10"/>
        <v>#N/A</v>
      </c>
      <c r="AX36" s="674"/>
      <c r="AZ36" s="450" t="e">
        <f>RANK(AX36, $K$7:AX$36)</f>
        <v>#DIV/0!</v>
      </c>
      <c r="BB36" s="360" t="e">
        <f t="shared" si="0"/>
        <v>#N/A</v>
      </c>
    </row>
    <row r="37" spans="2:54" ht="15.75">
      <c r="B37" s="678" t="s">
        <v>163</v>
      </c>
      <c r="C37" s="679"/>
      <c r="D37" s="679"/>
      <c r="E37" s="679"/>
      <c r="F37" s="679"/>
      <c r="G37" s="679"/>
      <c r="H37" s="679"/>
      <c r="I37" s="203"/>
      <c r="J37" s="203"/>
      <c r="K37" s="203"/>
      <c r="L37" s="203"/>
      <c r="M37" s="204"/>
      <c r="N37" s="653" t="s">
        <v>156</v>
      </c>
      <c r="O37" s="653" t="s">
        <v>155</v>
      </c>
      <c r="P37" s="659">
        <v>46056</v>
      </c>
      <c r="Q37" s="660"/>
      <c r="R37" s="660"/>
      <c r="S37" s="660"/>
      <c r="T37" s="660"/>
      <c r="U37" s="659">
        <f>P37+1</f>
        <v>46057</v>
      </c>
      <c r="V37" s="660"/>
      <c r="W37" s="660"/>
      <c r="X37" s="660"/>
      <c r="Y37" s="660"/>
      <c r="Z37" s="659">
        <f>U37+1</f>
        <v>46058</v>
      </c>
      <c r="AA37" s="660"/>
      <c r="AB37" s="660"/>
      <c r="AC37" s="660"/>
      <c r="AD37" s="660"/>
      <c r="AE37" s="659">
        <f>Z37+1</f>
        <v>46059</v>
      </c>
      <c r="AF37" s="660"/>
      <c r="AG37" s="660"/>
      <c r="AH37" s="660"/>
      <c r="AI37" s="660"/>
      <c r="AJ37" s="659">
        <f>AE37+1</f>
        <v>46060</v>
      </c>
      <c r="AK37" s="660"/>
      <c r="AL37" s="660"/>
      <c r="AM37" s="660"/>
      <c r="AN37" s="660"/>
      <c r="AO37" s="659">
        <f>AJ37+1</f>
        <v>46061</v>
      </c>
      <c r="AP37" s="660"/>
      <c r="AQ37" s="660"/>
      <c r="AR37" s="660"/>
      <c r="AS37" s="660"/>
      <c r="AT37" s="659">
        <f>AO37+1</f>
        <v>46062</v>
      </c>
      <c r="AU37" s="660"/>
      <c r="AV37" s="660"/>
      <c r="AW37" s="660"/>
      <c r="AX37" s="660"/>
    </row>
    <row r="38" spans="2:54" ht="15.75">
      <c r="B38" s="667"/>
      <c r="C38" s="667"/>
      <c r="D38" s="667"/>
      <c r="E38" s="667"/>
      <c r="F38" s="667"/>
      <c r="G38" s="667"/>
      <c r="H38" s="667"/>
      <c r="I38" s="205"/>
      <c r="J38" s="205"/>
      <c r="K38" s="205"/>
      <c r="L38" s="205"/>
      <c r="M38" s="206"/>
      <c r="N38" s="655"/>
      <c r="O38" s="655"/>
      <c r="P38" s="659" t="s">
        <v>336</v>
      </c>
      <c r="Q38" s="660"/>
      <c r="R38" s="660"/>
      <c r="S38" s="660"/>
      <c r="T38" s="660"/>
      <c r="U38" s="659" t="s">
        <v>337</v>
      </c>
      <c r="V38" s="660"/>
      <c r="W38" s="660"/>
      <c r="X38" s="660"/>
      <c r="Y38" s="660"/>
      <c r="Z38" s="659" t="s">
        <v>338</v>
      </c>
      <c r="AA38" s="660"/>
      <c r="AB38" s="660"/>
      <c r="AC38" s="660"/>
      <c r="AD38" s="660"/>
      <c r="AE38" s="659" t="s">
        <v>339</v>
      </c>
      <c r="AF38" s="660"/>
      <c r="AG38" s="660"/>
      <c r="AH38" s="660"/>
      <c r="AI38" s="660"/>
      <c r="AJ38" s="659" t="s">
        <v>340</v>
      </c>
      <c r="AK38" s="660"/>
      <c r="AL38" s="660"/>
      <c r="AM38" s="660"/>
      <c r="AN38" s="660"/>
      <c r="AO38" s="659" t="s">
        <v>341</v>
      </c>
      <c r="AP38" s="660"/>
      <c r="AQ38" s="660"/>
      <c r="AR38" s="660"/>
      <c r="AS38" s="660"/>
      <c r="AT38" s="659" t="s">
        <v>342</v>
      </c>
      <c r="AU38" s="660"/>
      <c r="AV38" s="660"/>
      <c r="AW38" s="660"/>
      <c r="AX38" s="660"/>
    </row>
    <row r="39" spans="2:54">
      <c r="B39" s="653" t="s">
        <v>514</v>
      </c>
      <c r="C39" s="668" t="s">
        <v>515</v>
      </c>
      <c r="D39" s="671"/>
      <c r="E39" s="649" t="s">
        <v>516</v>
      </c>
      <c r="F39" s="650"/>
      <c r="G39" s="651"/>
      <c r="H39" s="653" t="s">
        <v>428</v>
      </c>
      <c r="I39" s="640" t="s">
        <v>433</v>
      </c>
      <c r="J39" s="641"/>
      <c r="K39" s="642"/>
      <c r="L39" s="643" t="s">
        <v>428</v>
      </c>
      <c r="M39" s="643" t="s">
        <v>429</v>
      </c>
      <c r="N39" s="653"/>
      <c r="O39" s="653" t="s">
        <v>517</v>
      </c>
      <c r="P39" s="649" t="s">
        <v>518</v>
      </c>
      <c r="Q39" s="650"/>
      <c r="R39" s="650"/>
      <c r="S39" s="651"/>
      <c r="T39" s="653" t="s">
        <v>428</v>
      </c>
      <c r="U39" s="649" t="s">
        <v>430</v>
      </c>
      <c r="V39" s="650"/>
      <c r="W39" s="650"/>
      <c r="X39" s="651"/>
      <c r="Y39" s="653" t="s">
        <v>428</v>
      </c>
      <c r="Z39" s="649" t="s">
        <v>430</v>
      </c>
      <c r="AA39" s="650"/>
      <c r="AB39" s="650"/>
      <c r="AC39" s="651"/>
      <c r="AD39" s="653" t="s">
        <v>519</v>
      </c>
      <c r="AE39" s="649" t="s">
        <v>430</v>
      </c>
      <c r="AF39" s="650"/>
      <c r="AG39" s="650"/>
      <c r="AH39" s="651"/>
      <c r="AI39" s="653" t="s">
        <v>428</v>
      </c>
      <c r="AJ39" s="649" t="s">
        <v>430</v>
      </c>
      <c r="AK39" s="650"/>
      <c r="AL39" s="650"/>
      <c r="AM39" s="651"/>
      <c r="AN39" s="653" t="s">
        <v>519</v>
      </c>
      <c r="AO39" s="649" t="s">
        <v>518</v>
      </c>
      <c r="AP39" s="650"/>
      <c r="AQ39" s="650"/>
      <c r="AR39" s="651"/>
      <c r="AS39" s="653" t="s">
        <v>519</v>
      </c>
      <c r="AT39" s="649" t="s">
        <v>518</v>
      </c>
      <c r="AU39" s="650"/>
      <c r="AV39" s="650"/>
      <c r="AW39" s="651"/>
      <c r="AX39" s="653" t="s">
        <v>519</v>
      </c>
    </row>
    <row r="40" spans="2:54">
      <c r="B40" s="654"/>
      <c r="C40" s="669"/>
      <c r="D40" s="672"/>
      <c r="E40" s="649" t="s">
        <v>435</v>
      </c>
      <c r="F40" s="650"/>
      <c r="G40" s="651"/>
      <c r="H40" s="654"/>
      <c r="I40" s="640" t="s">
        <v>435</v>
      </c>
      <c r="J40" s="641"/>
      <c r="K40" s="642"/>
      <c r="L40" s="644"/>
      <c r="M40" s="644"/>
      <c r="N40" s="654"/>
      <c r="O40" s="654"/>
      <c r="P40" s="649" t="s">
        <v>436</v>
      </c>
      <c r="Q40" s="650"/>
      <c r="R40" s="650"/>
      <c r="S40" s="651"/>
      <c r="T40" s="654"/>
      <c r="U40" s="649" t="s">
        <v>520</v>
      </c>
      <c r="V40" s="650"/>
      <c r="W40" s="650"/>
      <c r="X40" s="651"/>
      <c r="Y40" s="654"/>
      <c r="Z40" s="649" t="s">
        <v>520</v>
      </c>
      <c r="AA40" s="650"/>
      <c r="AB40" s="650"/>
      <c r="AC40" s="651"/>
      <c r="AD40" s="654"/>
      <c r="AE40" s="649" t="s">
        <v>436</v>
      </c>
      <c r="AF40" s="650"/>
      <c r="AG40" s="650"/>
      <c r="AH40" s="651"/>
      <c r="AI40" s="654"/>
      <c r="AJ40" s="649" t="s">
        <v>436</v>
      </c>
      <c r="AK40" s="650"/>
      <c r="AL40" s="650"/>
      <c r="AM40" s="651"/>
      <c r="AN40" s="654"/>
      <c r="AO40" s="649" t="s">
        <v>436</v>
      </c>
      <c r="AP40" s="650"/>
      <c r="AQ40" s="650"/>
      <c r="AR40" s="651"/>
      <c r="AS40" s="654"/>
      <c r="AT40" s="649" t="s">
        <v>436</v>
      </c>
      <c r="AU40" s="650"/>
      <c r="AV40" s="650"/>
      <c r="AW40" s="651"/>
      <c r="AX40" s="654"/>
    </row>
    <row r="41" spans="2:54">
      <c r="B41" s="655"/>
      <c r="C41" s="670"/>
      <c r="D41" s="673"/>
      <c r="E41" s="321" t="s">
        <v>437</v>
      </c>
      <c r="F41" s="321" t="s">
        <v>438</v>
      </c>
      <c r="G41" s="321" t="s">
        <v>521</v>
      </c>
      <c r="H41" s="655"/>
      <c r="I41" s="320" t="s">
        <v>437</v>
      </c>
      <c r="J41" s="320" t="s">
        <v>438</v>
      </c>
      <c r="K41" s="320" t="s">
        <v>439</v>
      </c>
      <c r="L41" s="645"/>
      <c r="M41" s="645"/>
      <c r="N41" s="654"/>
      <c r="O41" s="654"/>
      <c r="P41" s="321" t="s">
        <v>437</v>
      </c>
      <c r="Q41" s="321" t="s">
        <v>522</v>
      </c>
      <c r="R41" s="321" t="s">
        <v>439</v>
      </c>
      <c r="S41" s="321" t="s">
        <v>429</v>
      </c>
      <c r="T41" s="655"/>
      <c r="U41" s="321" t="s">
        <v>437</v>
      </c>
      <c r="V41" s="321" t="s">
        <v>438</v>
      </c>
      <c r="W41" s="321" t="s">
        <v>439</v>
      </c>
      <c r="X41" s="321" t="s">
        <v>523</v>
      </c>
      <c r="Y41" s="655"/>
      <c r="Z41" s="321" t="s">
        <v>524</v>
      </c>
      <c r="AA41" s="321" t="s">
        <v>438</v>
      </c>
      <c r="AB41" s="321" t="s">
        <v>439</v>
      </c>
      <c r="AC41" s="321" t="s">
        <v>523</v>
      </c>
      <c r="AD41" s="655"/>
      <c r="AE41" s="321" t="s">
        <v>437</v>
      </c>
      <c r="AF41" s="321" t="s">
        <v>438</v>
      </c>
      <c r="AG41" s="321" t="s">
        <v>439</v>
      </c>
      <c r="AH41" s="321" t="s">
        <v>523</v>
      </c>
      <c r="AI41" s="655"/>
      <c r="AJ41" s="321" t="s">
        <v>524</v>
      </c>
      <c r="AK41" s="321" t="s">
        <v>438</v>
      </c>
      <c r="AL41" s="321" t="s">
        <v>439</v>
      </c>
      <c r="AM41" s="321" t="s">
        <v>429</v>
      </c>
      <c r="AN41" s="655"/>
      <c r="AO41" s="321" t="s">
        <v>524</v>
      </c>
      <c r="AP41" s="321" t="s">
        <v>438</v>
      </c>
      <c r="AQ41" s="321" t="s">
        <v>439</v>
      </c>
      <c r="AR41" s="321" t="s">
        <v>523</v>
      </c>
      <c r="AS41" s="655"/>
      <c r="AT41" s="321" t="s">
        <v>524</v>
      </c>
      <c r="AU41" s="321" t="s">
        <v>438</v>
      </c>
      <c r="AV41" s="321" t="s">
        <v>439</v>
      </c>
      <c r="AW41" s="321" t="s">
        <v>523</v>
      </c>
      <c r="AX41" s="655"/>
    </row>
    <row r="42" spans="2:54">
      <c r="B42" s="675" t="s">
        <v>150</v>
      </c>
      <c r="C42" s="322">
        <v>1</v>
      </c>
      <c r="D42" s="551" t="s">
        <v>358</v>
      </c>
      <c r="E42" s="551">
        <v>4</v>
      </c>
      <c r="F42" s="551">
        <v>2200</v>
      </c>
      <c r="G42" s="551">
        <v>550</v>
      </c>
      <c r="H42" s="661">
        <f>AVERAGE(G42:G71)</f>
        <v>849.60317460317469</v>
      </c>
      <c r="I42" s="199">
        <f>AVERAGE(P42,U42,Z42,AE42,AJ42,AO42,AT42)</f>
        <v>3</v>
      </c>
      <c r="J42" s="199">
        <f>AVERAGE(Q42,V42,AA42,AF42,AK42,AP42,AU42)</f>
        <v>3218.9468615254123</v>
      </c>
      <c r="K42" s="200">
        <f>AVERAGE(R42,W42,AB42,AG42,AL42,AQ42,AV42)</f>
        <v>1072.9822871751376</v>
      </c>
      <c r="L42" s="646">
        <f>IFERROR(AVERAGE(K42:K71),"-")</f>
        <v>797.11710799003481</v>
      </c>
      <c r="M42" s="199">
        <f>RANK(K42, K$42:$K$71)</f>
        <v>4</v>
      </c>
      <c r="N42" s="654"/>
      <c r="O42" s="654"/>
      <c r="P42" s="426">
        <v>3</v>
      </c>
      <c r="Q42" s="182">
        <v>3270.6382978723409</v>
      </c>
      <c r="R42" s="182">
        <v>1090.2127659574469</v>
      </c>
      <c r="S42" s="322">
        <f t="shared" ref="S42:S71" si="14">RANK(R42, R$42:R$71)</f>
        <v>2</v>
      </c>
      <c r="T42" s="661">
        <f>AVERAGE(R42:R71)</f>
        <v>805.18888014370555</v>
      </c>
      <c r="U42" s="426">
        <v>3</v>
      </c>
      <c r="V42" s="182">
        <v>3166.2500000000009</v>
      </c>
      <c r="W42" s="182">
        <v>1055.416666666667</v>
      </c>
      <c r="X42" s="477">
        <f t="shared" ref="X42:X71" si="15">RANK(W42, W$42:W$71)</f>
        <v>2</v>
      </c>
      <c r="Y42" s="661">
        <f t="shared" ref="Y42" si="16">AVERAGE(W42:W71)</f>
        <v>776.33180342029357</v>
      </c>
      <c r="Z42" s="426">
        <v>3</v>
      </c>
      <c r="AA42" s="182">
        <v>3287.4418604651155</v>
      </c>
      <c r="AB42" s="182">
        <v>1095.8139534883719</v>
      </c>
      <c r="AC42" s="477">
        <f t="shared" ref="AC42:AC71" si="17">RANK(AB42, AB$42:AB$71)</f>
        <v>3</v>
      </c>
      <c r="AD42" s="661">
        <f t="shared" ref="AD42" si="18">AVERAGE(AB42:AB71)</f>
        <v>799.06180313528807</v>
      </c>
      <c r="AE42" s="426">
        <v>3</v>
      </c>
      <c r="AF42" s="182">
        <v>3224.2857142857197</v>
      </c>
      <c r="AG42" s="182">
        <v>1074.7619047619066</v>
      </c>
      <c r="AH42" s="477">
        <f t="shared" ref="AH42:AH71" si="19">RANK(AG42, AG$42:AG$71)</f>
        <v>3</v>
      </c>
      <c r="AI42" s="661">
        <f t="shared" ref="AI42" si="20">AVERAGE(AG42:AG71)</f>
        <v>815.54269527196641</v>
      </c>
      <c r="AJ42" s="426">
        <v>3</v>
      </c>
      <c r="AK42" s="182">
        <v>3202.8571428571418</v>
      </c>
      <c r="AL42" s="182">
        <v>1067.6190476190473</v>
      </c>
      <c r="AM42" s="477">
        <f t="shared" ref="AM42:AM71" si="21">RANK(AL42, AL$42:AL$71)</f>
        <v>4</v>
      </c>
      <c r="AN42" s="661">
        <f t="shared" ref="AN42" si="22">AVERAGE(AL42:AL71)</f>
        <v>800.74919169615998</v>
      </c>
      <c r="AO42" s="426">
        <v>3</v>
      </c>
      <c r="AP42" s="182">
        <v>3162.8571428571436</v>
      </c>
      <c r="AQ42" s="182">
        <v>1054.2857142857144</v>
      </c>
      <c r="AR42" s="477">
        <f t="shared" ref="AR42:AR71" si="23">RANK(AQ42, AQ$42:AQ$71)</f>
        <v>2</v>
      </c>
      <c r="AS42" s="661">
        <f t="shared" ref="AS42" si="24">AVERAGE(AQ42:AQ71)</f>
        <v>774.36748471746341</v>
      </c>
      <c r="AT42" s="426">
        <v>3</v>
      </c>
      <c r="AU42" s="182">
        <v>3218.2978723404258</v>
      </c>
      <c r="AV42" s="182">
        <v>1072.7659574468087</v>
      </c>
      <c r="AW42" s="477">
        <f t="shared" ref="AW42:AW71" si="25">RANK(AV42, AV$42:AV$71)</f>
        <v>4</v>
      </c>
      <c r="AX42" s="661">
        <f t="shared" ref="AX42" si="26">AVERAGE(AV42:AV71)</f>
        <v>808.57789754536759</v>
      </c>
    </row>
    <row r="43" spans="2:54">
      <c r="B43" s="676"/>
      <c r="C43" s="322">
        <v>2</v>
      </c>
      <c r="D43" s="551" t="s">
        <v>359</v>
      </c>
      <c r="E43" s="551">
        <v>3</v>
      </c>
      <c r="F43" s="551">
        <v>2700</v>
      </c>
      <c r="G43" s="551">
        <v>900</v>
      </c>
      <c r="H43" s="662"/>
      <c r="I43" s="199">
        <f t="shared" ref="I43:I60" si="27">AVERAGE(P43,U43,Z43,AE43,AJ43,AO43,AT43)</f>
        <v>3</v>
      </c>
      <c r="J43" s="199">
        <f t="shared" ref="J43:J60" si="28">AVERAGE(Q43,V43,AA43,AF43,AK43,AP43,AU43)</f>
        <v>3292.9410946196745</v>
      </c>
      <c r="K43" s="200">
        <f t="shared" ref="K43:K60" si="29">AVERAGE(R43,W43,AB43,AG43,AL43,AQ43,AV43)</f>
        <v>1097.6470315398915</v>
      </c>
      <c r="L43" s="647"/>
      <c r="M43" s="199">
        <f>RANK(K43, K$42:$K$71)</f>
        <v>1</v>
      </c>
      <c r="N43" s="654"/>
      <c r="O43" s="654"/>
      <c r="P43" s="182">
        <v>3</v>
      </c>
      <c r="Q43" s="182">
        <v>3351.9999999999941</v>
      </c>
      <c r="R43" s="182">
        <v>1117.3333333333314</v>
      </c>
      <c r="S43" s="322">
        <f t="shared" si="14"/>
        <v>1</v>
      </c>
      <c r="T43" s="662"/>
      <c r="U43" s="182">
        <v>3</v>
      </c>
      <c r="V43" s="182">
        <v>3063.7499999999959</v>
      </c>
      <c r="W43" s="182">
        <v>1021.2499999999986</v>
      </c>
      <c r="X43" s="477">
        <f t="shared" si="15"/>
        <v>4</v>
      </c>
      <c r="Y43" s="662"/>
      <c r="Z43" s="182">
        <v>3</v>
      </c>
      <c r="AA43" s="182">
        <v>3394.2857142857265</v>
      </c>
      <c r="AB43" s="182">
        <v>1131.4285714285754</v>
      </c>
      <c r="AC43" s="477">
        <f t="shared" si="17"/>
        <v>1</v>
      </c>
      <c r="AD43" s="662"/>
      <c r="AE43" s="182">
        <v>3</v>
      </c>
      <c r="AF43" s="182">
        <v>3320.0000000000118</v>
      </c>
      <c r="AG43" s="182">
        <v>1106.6666666666706</v>
      </c>
      <c r="AH43" s="477">
        <f t="shared" si="19"/>
        <v>2</v>
      </c>
      <c r="AI43" s="662"/>
      <c r="AJ43" s="182">
        <v>3</v>
      </c>
      <c r="AK43" s="182">
        <v>3430.9090909091278</v>
      </c>
      <c r="AL43" s="182">
        <v>1143.636363636376</v>
      </c>
      <c r="AM43" s="477">
        <f t="shared" si="21"/>
        <v>1</v>
      </c>
      <c r="AN43" s="662"/>
      <c r="AO43" s="182">
        <v>3</v>
      </c>
      <c r="AP43" s="182">
        <v>3112.4999999999959</v>
      </c>
      <c r="AQ43" s="182">
        <v>1037.4999999999986</v>
      </c>
      <c r="AR43" s="477">
        <f t="shared" si="23"/>
        <v>3</v>
      </c>
      <c r="AS43" s="662"/>
      <c r="AT43" s="182">
        <v>3</v>
      </c>
      <c r="AU43" s="182">
        <v>3377.1428571428692</v>
      </c>
      <c r="AV43" s="182">
        <v>1125.7142857142896</v>
      </c>
      <c r="AW43" s="477">
        <f t="shared" si="25"/>
        <v>1</v>
      </c>
      <c r="AX43" s="662"/>
    </row>
    <row r="44" spans="2:54">
      <c r="B44" s="676"/>
      <c r="C44" s="322">
        <v>3</v>
      </c>
      <c r="D44" s="551" t="s">
        <v>348</v>
      </c>
      <c r="E44" s="551">
        <v>4</v>
      </c>
      <c r="F44" s="551">
        <v>3600</v>
      </c>
      <c r="G44" s="551">
        <v>900</v>
      </c>
      <c r="H44" s="662"/>
      <c r="I44" s="199">
        <f t="shared" si="27"/>
        <v>4</v>
      </c>
      <c r="J44" s="199">
        <f t="shared" si="28"/>
        <v>3203.0598976432661</v>
      </c>
      <c r="K44" s="200">
        <f t="shared" si="29"/>
        <v>800.76497441081654</v>
      </c>
      <c r="L44" s="647"/>
      <c r="M44" s="199">
        <f>RANK(K44, K$42:$K$71)</f>
        <v>11</v>
      </c>
      <c r="N44" s="654"/>
      <c r="O44" s="654"/>
      <c r="P44" s="182">
        <v>4</v>
      </c>
      <c r="Q44" s="182">
        <v>3269.99999999999</v>
      </c>
      <c r="R44" s="182">
        <v>817.4999999999975</v>
      </c>
      <c r="S44" s="322">
        <f t="shared" si="14"/>
        <v>10</v>
      </c>
      <c r="T44" s="662"/>
      <c r="U44" s="182">
        <v>4</v>
      </c>
      <c r="V44" s="182">
        <v>3110.5263157894788</v>
      </c>
      <c r="W44" s="182">
        <v>777.63157894736969</v>
      </c>
      <c r="X44" s="477">
        <f t="shared" si="15"/>
        <v>10</v>
      </c>
      <c r="Y44" s="662"/>
      <c r="Z44" s="182">
        <v>4</v>
      </c>
      <c r="AA44" s="182">
        <v>3041.0526315789521</v>
      </c>
      <c r="AB44" s="182">
        <v>760.26315789473801</v>
      </c>
      <c r="AC44" s="477">
        <f t="shared" si="17"/>
        <v>11</v>
      </c>
      <c r="AD44" s="662"/>
      <c r="AE44" s="182">
        <v>4</v>
      </c>
      <c r="AF44" s="182">
        <v>3379.9999999999941</v>
      </c>
      <c r="AG44" s="182">
        <v>844.99999999999852</v>
      </c>
      <c r="AH44" s="477">
        <f t="shared" si="19"/>
        <v>10</v>
      </c>
      <c r="AI44" s="662"/>
      <c r="AJ44" s="182">
        <v>4</v>
      </c>
      <c r="AK44" s="182">
        <v>3321.4285714285738</v>
      </c>
      <c r="AL44" s="182">
        <v>830.35714285714346</v>
      </c>
      <c r="AM44" s="477">
        <f t="shared" si="21"/>
        <v>11</v>
      </c>
      <c r="AN44" s="662"/>
      <c r="AO44" s="182">
        <v>4</v>
      </c>
      <c r="AP44" s="182">
        <v>2949.0000000000045</v>
      </c>
      <c r="AQ44" s="182">
        <v>737.25000000000114</v>
      </c>
      <c r="AR44" s="477">
        <f t="shared" si="23"/>
        <v>11</v>
      </c>
      <c r="AS44" s="662"/>
      <c r="AT44" s="182">
        <v>4</v>
      </c>
      <c r="AU44" s="182">
        <v>3349.4117647058706</v>
      </c>
      <c r="AV44" s="182">
        <v>837.35294117646765</v>
      </c>
      <c r="AW44" s="477">
        <f t="shared" si="25"/>
        <v>9</v>
      </c>
      <c r="AX44" s="662"/>
    </row>
    <row r="45" spans="2:54">
      <c r="B45" s="676"/>
      <c r="C45" s="322">
        <v>4</v>
      </c>
      <c r="D45" s="551" t="s">
        <v>361</v>
      </c>
      <c r="E45" s="551">
        <v>3</v>
      </c>
      <c r="F45" s="551">
        <v>3600</v>
      </c>
      <c r="G45" s="551">
        <v>1200</v>
      </c>
      <c r="H45" s="662"/>
      <c r="I45" s="199">
        <f t="shared" si="27"/>
        <v>3</v>
      </c>
      <c r="J45" s="199">
        <f t="shared" si="28"/>
        <v>3232.8890460325297</v>
      </c>
      <c r="K45" s="200">
        <f t="shared" si="29"/>
        <v>1077.6296820108432</v>
      </c>
      <c r="L45" s="647"/>
      <c r="M45" s="199">
        <f>RANK(K45, K$42:$K$71)</f>
        <v>3</v>
      </c>
      <c r="N45" s="654"/>
      <c r="O45" s="654"/>
      <c r="P45" s="182">
        <v>3</v>
      </c>
      <c r="Q45" s="182">
        <v>3234.7058823529451</v>
      </c>
      <c r="R45" s="182">
        <v>1078.2352941176484</v>
      </c>
      <c r="S45" s="322">
        <f t="shared" si="14"/>
        <v>4</v>
      </c>
      <c r="T45" s="662"/>
      <c r="U45" s="182">
        <v>3</v>
      </c>
      <c r="V45" s="182">
        <v>3200.5970149253772</v>
      </c>
      <c r="W45" s="182">
        <v>1066.8656716417925</v>
      </c>
      <c r="X45" s="477">
        <f t="shared" si="15"/>
        <v>1</v>
      </c>
      <c r="Y45" s="662"/>
      <c r="Z45" s="182">
        <v>3</v>
      </c>
      <c r="AA45" s="182">
        <v>3262.2580645161279</v>
      </c>
      <c r="AB45" s="182">
        <v>1087.4193548387093</v>
      </c>
      <c r="AC45" s="477">
        <f t="shared" si="17"/>
        <v>4</v>
      </c>
      <c r="AD45" s="662"/>
      <c r="AE45" s="182">
        <v>3</v>
      </c>
      <c r="AF45" s="182">
        <v>3219.661016949151</v>
      </c>
      <c r="AG45" s="182">
        <v>1073.2203389830504</v>
      </c>
      <c r="AH45" s="477">
        <f t="shared" si="19"/>
        <v>4</v>
      </c>
      <c r="AI45" s="662"/>
      <c r="AJ45" s="182">
        <v>3</v>
      </c>
      <c r="AK45" s="182">
        <v>3230.6896551724212</v>
      </c>
      <c r="AL45" s="182">
        <v>1076.8965517241404</v>
      </c>
      <c r="AM45" s="477">
        <f t="shared" si="21"/>
        <v>3</v>
      </c>
      <c r="AN45" s="662"/>
      <c r="AO45" s="182">
        <v>3</v>
      </c>
      <c r="AP45" s="182">
        <v>3186.8571428571395</v>
      </c>
      <c r="AQ45" s="182">
        <v>1062.2857142857131</v>
      </c>
      <c r="AR45" s="477">
        <f t="shared" si="23"/>
        <v>1</v>
      </c>
      <c r="AS45" s="662"/>
      <c r="AT45" s="182">
        <v>3</v>
      </c>
      <c r="AU45" s="182">
        <v>3295.4545454545455</v>
      </c>
      <c r="AV45" s="182">
        <v>1098.4848484848485</v>
      </c>
      <c r="AW45" s="477">
        <f t="shared" si="25"/>
        <v>3</v>
      </c>
      <c r="AX45" s="662"/>
    </row>
    <row r="46" spans="2:54">
      <c r="B46" s="676"/>
      <c r="C46" s="322">
        <v>5</v>
      </c>
      <c r="D46" s="551" t="s">
        <v>362</v>
      </c>
      <c r="E46" s="551">
        <v>3</v>
      </c>
      <c r="F46" s="551">
        <v>3600</v>
      </c>
      <c r="G46" s="551">
        <v>1200</v>
      </c>
      <c r="H46" s="662"/>
      <c r="I46" s="199">
        <f t="shared" si="27"/>
        <v>4</v>
      </c>
      <c r="J46" s="199">
        <f t="shared" si="28"/>
        <v>3228.0791499735574</v>
      </c>
      <c r="K46" s="200">
        <f t="shared" si="29"/>
        <v>807.01978749338934</v>
      </c>
      <c r="L46" s="647"/>
      <c r="M46" s="199">
        <f>RANK(K46, K$42:$K$71)</f>
        <v>10</v>
      </c>
      <c r="N46" s="654"/>
      <c r="O46" s="654"/>
      <c r="P46" s="182">
        <v>4</v>
      </c>
      <c r="Q46" s="182">
        <v>3264.4444444444412</v>
      </c>
      <c r="R46" s="182">
        <v>816.11111111111029</v>
      </c>
      <c r="S46" s="322">
        <f t="shared" si="14"/>
        <v>11</v>
      </c>
      <c r="T46" s="662"/>
      <c r="U46" s="182">
        <v>4</v>
      </c>
      <c r="V46" s="182">
        <v>3182.1428571428546</v>
      </c>
      <c r="W46" s="182">
        <v>795.53571428571365</v>
      </c>
      <c r="X46" s="477">
        <f t="shared" si="15"/>
        <v>9</v>
      </c>
      <c r="Y46" s="662"/>
      <c r="Z46" s="182">
        <v>4</v>
      </c>
      <c r="AA46" s="182">
        <v>3130.7142857142835</v>
      </c>
      <c r="AB46" s="182">
        <v>782.67857142857088</v>
      </c>
      <c r="AC46" s="477">
        <f t="shared" si="17"/>
        <v>10</v>
      </c>
      <c r="AD46" s="662"/>
      <c r="AE46" s="182">
        <v>4</v>
      </c>
      <c r="AF46" s="182">
        <v>3255.6521739130435</v>
      </c>
      <c r="AG46" s="182">
        <v>813.91304347826087</v>
      </c>
      <c r="AH46" s="477">
        <f t="shared" si="19"/>
        <v>12</v>
      </c>
      <c r="AI46" s="662"/>
      <c r="AJ46" s="182">
        <v>4</v>
      </c>
      <c r="AK46" s="182">
        <v>3332.7272727272666</v>
      </c>
      <c r="AL46" s="182">
        <v>833.18181818181665</v>
      </c>
      <c r="AM46" s="477">
        <f t="shared" si="21"/>
        <v>10</v>
      </c>
      <c r="AN46" s="662"/>
      <c r="AO46" s="182">
        <v>4</v>
      </c>
      <c r="AP46" s="182">
        <v>3186.4285714285693</v>
      </c>
      <c r="AQ46" s="182">
        <v>796.60714285714232</v>
      </c>
      <c r="AR46" s="477">
        <f t="shared" si="23"/>
        <v>9</v>
      </c>
      <c r="AS46" s="662"/>
      <c r="AT46" s="182">
        <v>4</v>
      </c>
      <c r="AU46" s="182">
        <v>3244.4444444444416</v>
      </c>
      <c r="AV46" s="182">
        <v>811.1111111111104</v>
      </c>
      <c r="AW46" s="477">
        <f t="shared" si="25"/>
        <v>11</v>
      </c>
      <c r="AX46" s="662"/>
    </row>
    <row r="47" spans="2:54">
      <c r="B47" s="676"/>
      <c r="C47" s="322">
        <v>6</v>
      </c>
      <c r="D47" s="551" t="s">
        <v>360</v>
      </c>
      <c r="E47" s="551">
        <v>4</v>
      </c>
      <c r="F47" s="551">
        <v>3600</v>
      </c>
      <c r="G47" s="551">
        <v>900</v>
      </c>
      <c r="H47" s="662"/>
      <c r="I47" s="199">
        <f t="shared" si="27"/>
        <v>4</v>
      </c>
      <c r="J47" s="199">
        <f t="shared" si="28"/>
        <v>3307.3126873126889</v>
      </c>
      <c r="K47" s="200">
        <f t="shared" si="29"/>
        <v>826.82817182817223</v>
      </c>
      <c r="L47" s="647"/>
      <c r="M47" s="199">
        <f>RANK(K47, K$42:$K$71)</f>
        <v>9</v>
      </c>
      <c r="N47" s="654"/>
      <c r="O47" s="654"/>
      <c r="P47" s="182">
        <v>4</v>
      </c>
      <c r="Q47" s="182">
        <v>3456.923076923079</v>
      </c>
      <c r="R47" s="182">
        <v>864.23076923076974</v>
      </c>
      <c r="S47" s="322">
        <f t="shared" si="14"/>
        <v>9</v>
      </c>
      <c r="T47" s="662"/>
      <c r="U47" s="182">
        <v>4</v>
      </c>
      <c r="V47" s="182">
        <v>3244.2857142857165</v>
      </c>
      <c r="W47" s="182">
        <v>811.07142857142912</v>
      </c>
      <c r="X47" s="477">
        <f t="shared" si="15"/>
        <v>8</v>
      </c>
      <c r="Y47" s="662"/>
      <c r="Z47" s="182">
        <v>4</v>
      </c>
      <c r="AA47" s="182">
        <v>3167.1428571428596</v>
      </c>
      <c r="AB47" s="182">
        <v>791.7857142857149</v>
      </c>
      <c r="AC47" s="477">
        <f t="shared" si="17"/>
        <v>9</v>
      </c>
      <c r="AD47" s="662"/>
      <c r="AE47" s="182">
        <v>4</v>
      </c>
      <c r="AF47" s="182">
        <v>3392.727272727273</v>
      </c>
      <c r="AG47" s="182">
        <v>848.18181818181824</v>
      </c>
      <c r="AH47" s="477">
        <f t="shared" si="19"/>
        <v>9</v>
      </c>
      <c r="AI47" s="662"/>
      <c r="AJ47" s="182">
        <v>4</v>
      </c>
      <c r="AK47" s="182">
        <v>3449.9999999999986</v>
      </c>
      <c r="AL47" s="182">
        <v>862.49999999999966</v>
      </c>
      <c r="AM47" s="477">
        <f t="shared" si="21"/>
        <v>8</v>
      </c>
      <c r="AN47" s="662"/>
      <c r="AO47" s="182">
        <v>4</v>
      </c>
      <c r="AP47" s="182">
        <v>3158.5714285714307</v>
      </c>
      <c r="AQ47" s="182">
        <v>789.64285714285768</v>
      </c>
      <c r="AR47" s="477">
        <f t="shared" si="23"/>
        <v>10</v>
      </c>
      <c r="AS47" s="662"/>
      <c r="AT47" s="182">
        <v>4</v>
      </c>
      <c r="AU47" s="182">
        <v>3281.5384615384633</v>
      </c>
      <c r="AV47" s="182">
        <v>820.38461538461581</v>
      </c>
      <c r="AW47" s="477">
        <f t="shared" si="25"/>
        <v>10</v>
      </c>
      <c r="AX47" s="662"/>
    </row>
    <row r="48" spans="2:54">
      <c r="B48" s="676"/>
      <c r="C48" s="322">
        <v>7</v>
      </c>
      <c r="D48" s="551" t="s">
        <v>363</v>
      </c>
      <c r="E48" s="551">
        <v>4</v>
      </c>
      <c r="F48" s="551">
        <v>3300</v>
      </c>
      <c r="G48" s="551">
        <v>825</v>
      </c>
      <c r="H48" s="662"/>
      <c r="I48" s="199">
        <f t="shared" si="27"/>
        <v>4</v>
      </c>
      <c r="J48" s="199">
        <f t="shared" si="28"/>
        <v>2824.2731554160168</v>
      </c>
      <c r="K48" s="200">
        <f t="shared" si="29"/>
        <v>706.06828885400421</v>
      </c>
      <c r="L48" s="647"/>
      <c r="M48" s="199">
        <f>RANK(K48, K$42:$K$71)</f>
        <v>16</v>
      </c>
      <c r="N48" s="654"/>
      <c r="O48" s="654"/>
      <c r="P48" s="182">
        <v>4</v>
      </c>
      <c r="Q48" s="182">
        <v>2930.7692307692323</v>
      </c>
      <c r="R48" s="182">
        <v>732.69230769230808</v>
      </c>
      <c r="S48" s="322">
        <f t="shared" si="14"/>
        <v>12</v>
      </c>
      <c r="T48" s="662"/>
      <c r="U48" s="182">
        <v>4</v>
      </c>
      <c r="V48" s="182">
        <v>2768.5714285714307</v>
      </c>
      <c r="W48" s="182">
        <v>692.14285714285768</v>
      </c>
      <c r="X48" s="477">
        <f t="shared" si="15"/>
        <v>17</v>
      </c>
      <c r="Y48" s="662"/>
      <c r="Z48" s="182">
        <v>4</v>
      </c>
      <c r="AA48" s="182">
        <v>2678.5714285714303</v>
      </c>
      <c r="AB48" s="182">
        <v>669.64285714285757</v>
      </c>
      <c r="AC48" s="477">
        <f t="shared" si="17"/>
        <v>18</v>
      </c>
      <c r="AD48" s="662"/>
      <c r="AE48" s="182">
        <v>4</v>
      </c>
      <c r="AF48" s="182">
        <v>3060.0000000000109</v>
      </c>
      <c r="AG48" s="182">
        <v>765.00000000000273</v>
      </c>
      <c r="AH48" s="477">
        <f t="shared" si="19"/>
        <v>13</v>
      </c>
      <c r="AI48" s="662"/>
      <c r="AJ48" s="182">
        <v>4</v>
      </c>
      <c r="AK48" s="182">
        <v>2831.9999999999991</v>
      </c>
      <c r="AL48" s="182">
        <v>707.99999999999977</v>
      </c>
      <c r="AM48" s="477">
        <f t="shared" si="21"/>
        <v>15</v>
      </c>
      <c r="AN48" s="662"/>
      <c r="AO48" s="182">
        <v>4</v>
      </c>
      <c r="AP48" s="182">
        <v>2550.0000000000023</v>
      </c>
      <c r="AQ48" s="182">
        <v>637.50000000000057</v>
      </c>
      <c r="AR48" s="477">
        <f t="shared" si="23"/>
        <v>18</v>
      </c>
      <c r="AS48" s="662"/>
      <c r="AT48" s="182">
        <v>4</v>
      </c>
      <c r="AU48" s="182">
        <v>2950.0000000000105</v>
      </c>
      <c r="AV48" s="182">
        <v>737.50000000000261</v>
      </c>
      <c r="AW48" s="477">
        <f t="shared" si="25"/>
        <v>12</v>
      </c>
      <c r="AX48" s="662"/>
    </row>
    <row r="49" spans="2:50">
      <c r="B49" s="676"/>
      <c r="C49" s="322">
        <v>8</v>
      </c>
      <c r="D49" s="551" t="s">
        <v>364</v>
      </c>
      <c r="E49" s="551">
        <v>3</v>
      </c>
      <c r="F49" s="551">
        <v>3300</v>
      </c>
      <c r="G49" s="551">
        <v>1100</v>
      </c>
      <c r="H49" s="662"/>
      <c r="I49" s="199">
        <f t="shared" si="27"/>
        <v>3</v>
      </c>
      <c r="J49" s="199">
        <f t="shared" si="28"/>
        <v>3241.0803862803837</v>
      </c>
      <c r="K49" s="200">
        <f t="shared" si="29"/>
        <v>1080.360128760128</v>
      </c>
      <c r="L49" s="647"/>
      <c r="M49" s="199">
        <f>RANK(K49, K$42:$K$71)</f>
        <v>2</v>
      </c>
      <c r="N49" s="654"/>
      <c r="O49" s="654"/>
      <c r="P49" s="182">
        <v>3</v>
      </c>
      <c r="Q49" s="182">
        <v>3251.5384615384633</v>
      </c>
      <c r="R49" s="182">
        <v>1083.8461538461545</v>
      </c>
      <c r="S49" s="322">
        <f t="shared" si="14"/>
        <v>3</v>
      </c>
      <c r="T49" s="662"/>
      <c r="U49" s="182">
        <v>3</v>
      </c>
      <c r="V49" s="182">
        <v>3120.0000000000109</v>
      </c>
      <c r="W49" s="182">
        <v>1040.0000000000036</v>
      </c>
      <c r="X49" s="477">
        <f t="shared" si="15"/>
        <v>3</v>
      </c>
      <c r="Y49" s="662"/>
      <c r="Z49" s="182">
        <v>3</v>
      </c>
      <c r="AA49" s="182">
        <v>3309.6000000000013</v>
      </c>
      <c r="AB49" s="182">
        <v>1103.2000000000005</v>
      </c>
      <c r="AC49" s="477">
        <f t="shared" si="17"/>
        <v>2</v>
      </c>
      <c r="AD49" s="662"/>
      <c r="AE49" s="182">
        <v>3</v>
      </c>
      <c r="AF49" s="182">
        <v>3346.3636363636242</v>
      </c>
      <c r="AG49" s="182">
        <v>1115.4545454545414</v>
      </c>
      <c r="AH49" s="477">
        <f t="shared" si="19"/>
        <v>1</v>
      </c>
      <c r="AI49" s="662"/>
      <c r="AJ49" s="182">
        <v>3</v>
      </c>
      <c r="AK49" s="182">
        <v>3242.7272727272607</v>
      </c>
      <c r="AL49" s="182">
        <v>1080.9090909090869</v>
      </c>
      <c r="AM49" s="477">
        <f t="shared" si="21"/>
        <v>2</v>
      </c>
      <c r="AN49" s="662"/>
      <c r="AO49" s="182">
        <v>3</v>
      </c>
      <c r="AP49" s="182">
        <v>3093.3333333333262</v>
      </c>
      <c r="AQ49" s="182">
        <v>1031.1111111111088</v>
      </c>
      <c r="AR49" s="477">
        <f t="shared" si="23"/>
        <v>4</v>
      </c>
      <c r="AS49" s="662"/>
      <c r="AT49" s="182">
        <v>3</v>
      </c>
      <c r="AU49" s="182">
        <v>3324.0000000000009</v>
      </c>
      <c r="AV49" s="182">
        <v>1108.0000000000002</v>
      </c>
      <c r="AW49" s="477">
        <f t="shared" si="25"/>
        <v>2</v>
      </c>
      <c r="AX49" s="662"/>
    </row>
    <row r="50" spans="2:50">
      <c r="B50" s="676"/>
      <c r="C50" s="322">
        <v>9</v>
      </c>
      <c r="D50" s="551" t="s">
        <v>365</v>
      </c>
      <c r="E50" s="551">
        <v>3</v>
      </c>
      <c r="F50" s="551">
        <v>3300</v>
      </c>
      <c r="G50" s="551">
        <v>1100</v>
      </c>
      <c r="H50" s="662"/>
      <c r="I50" s="199">
        <f t="shared" si="27"/>
        <v>3</v>
      </c>
      <c r="J50" s="199">
        <f t="shared" si="28"/>
        <v>2811.8420230161032</v>
      </c>
      <c r="K50" s="200">
        <f t="shared" si="29"/>
        <v>937.28067433870092</v>
      </c>
      <c r="L50" s="647"/>
      <c r="M50" s="199">
        <f>RANK(K50, K$42:$K$71)</f>
        <v>7</v>
      </c>
      <c r="N50" s="654"/>
      <c r="O50" s="654"/>
      <c r="P50" s="182">
        <v>3</v>
      </c>
      <c r="Q50" s="182">
        <v>2812.9411764705847</v>
      </c>
      <c r="R50" s="182">
        <v>937.64705882352825</v>
      </c>
      <c r="S50" s="322">
        <f t="shared" si="14"/>
        <v>6</v>
      </c>
      <c r="T50" s="662"/>
      <c r="U50" s="182">
        <v>3</v>
      </c>
      <c r="V50" s="182">
        <v>2706.8571428571404</v>
      </c>
      <c r="W50" s="182">
        <v>902.28571428571342</v>
      </c>
      <c r="X50" s="477">
        <f t="shared" si="15"/>
        <v>7</v>
      </c>
      <c r="Y50" s="662"/>
      <c r="Z50" s="182">
        <v>3</v>
      </c>
      <c r="AA50" s="182">
        <v>2861.2500000000032</v>
      </c>
      <c r="AB50" s="182">
        <v>953.75000000000102</v>
      </c>
      <c r="AC50" s="477">
        <f t="shared" si="17"/>
        <v>6</v>
      </c>
      <c r="AD50" s="662"/>
      <c r="AE50" s="182">
        <v>3</v>
      </c>
      <c r="AF50" s="182">
        <v>2848.9655172413736</v>
      </c>
      <c r="AG50" s="182">
        <v>949.65517241379121</v>
      </c>
      <c r="AH50" s="477">
        <f t="shared" si="19"/>
        <v>6</v>
      </c>
      <c r="AI50" s="662"/>
      <c r="AJ50" s="182">
        <v>3</v>
      </c>
      <c r="AK50" s="182">
        <v>2807.5862068965534</v>
      </c>
      <c r="AL50" s="182">
        <v>935.86206896551778</v>
      </c>
      <c r="AM50" s="477">
        <f t="shared" si="21"/>
        <v>7</v>
      </c>
      <c r="AN50" s="662"/>
      <c r="AO50" s="182">
        <v>3</v>
      </c>
      <c r="AP50" s="182">
        <v>2795.2941176470626</v>
      </c>
      <c r="AQ50" s="182">
        <v>931.76470588235418</v>
      </c>
      <c r="AR50" s="477">
        <f t="shared" si="23"/>
        <v>5</v>
      </c>
      <c r="AS50" s="662"/>
      <c r="AT50" s="182">
        <v>3</v>
      </c>
      <c r="AU50" s="182">
        <v>2850.0000000000032</v>
      </c>
      <c r="AV50" s="182">
        <v>950.00000000000102</v>
      </c>
      <c r="AW50" s="477">
        <f t="shared" si="25"/>
        <v>6</v>
      </c>
      <c r="AX50" s="662"/>
    </row>
    <row r="51" spans="2:50">
      <c r="B51" s="676"/>
      <c r="C51" s="322">
        <v>10</v>
      </c>
      <c r="D51" s="551" t="s">
        <v>366</v>
      </c>
      <c r="E51" s="551">
        <v>4</v>
      </c>
      <c r="F51" s="551">
        <v>3300</v>
      </c>
      <c r="G51" s="551">
        <v>825</v>
      </c>
      <c r="H51" s="662"/>
      <c r="I51" s="199">
        <f t="shared" si="27"/>
        <v>4</v>
      </c>
      <c r="J51" s="199">
        <f t="shared" si="28"/>
        <v>2825.4562158116046</v>
      </c>
      <c r="K51" s="200">
        <f t="shared" si="29"/>
        <v>706.36405395290114</v>
      </c>
      <c r="L51" s="647"/>
      <c r="M51" s="199">
        <f>RANK(K51, K$42:$K$71)</f>
        <v>15</v>
      </c>
      <c r="N51" s="654"/>
      <c r="O51" s="654"/>
      <c r="P51" s="182">
        <v>4</v>
      </c>
      <c r="Q51" s="182">
        <v>2835.2941176470599</v>
      </c>
      <c r="R51" s="182">
        <v>708.82352941176498</v>
      </c>
      <c r="S51" s="322">
        <f t="shared" si="14"/>
        <v>16</v>
      </c>
      <c r="T51" s="662"/>
      <c r="U51" s="182">
        <v>4</v>
      </c>
      <c r="V51" s="182">
        <v>2794.8000000000006</v>
      </c>
      <c r="W51" s="182">
        <v>698.70000000000016</v>
      </c>
      <c r="X51" s="477">
        <f t="shared" si="15"/>
        <v>14</v>
      </c>
      <c r="Y51" s="662"/>
      <c r="Z51" s="182">
        <v>4</v>
      </c>
      <c r="AA51" s="182">
        <v>2774.6938775510212</v>
      </c>
      <c r="AB51" s="182">
        <v>693.67346938775529</v>
      </c>
      <c r="AC51" s="477">
        <f t="shared" si="17"/>
        <v>17</v>
      </c>
      <c r="AD51" s="662"/>
      <c r="AE51" s="182">
        <v>4</v>
      </c>
      <c r="AF51" s="182">
        <v>2833.6363636363635</v>
      </c>
      <c r="AG51" s="182">
        <v>708.40909090909088</v>
      </c>
      <c r="AH51" s="477">
        <f t="shared" si="19"/>
        <v>17</v>
      </c>
      <c r="AI51" s="662"/>
      <c r="AJ51" s="182">
        <v>4</v>
      </c>
      <c r="AK51" s="182">
        <v>2828.3720930232553</v>
      </c>
      <c r="AL51" s="182">
        <v>707.09302325581382</v>
      </c>
      <c r="AM51" s="477">
        <f t="shared" si="21"/>
        <v>16</v>
      </c>
      <c r="AN51" s="662"/>
      <c r="AO51" s="182">
        <v>4</v>
      </c>
      <c r="AP51" s="182">
        <v>2817.6470588235306</v>
      </c>
      <c r="AQ51" s="182">
        <v>704.41176470588266</v>
      </c>
      <c r="AR51" s="477">
        <f t="shared" si="23"/>
        <v>13</v>
      </c>
      <c r="AS51" s="662"/>
      <c r="AT51" s="182">
        <v>4</v>
      </c>
      <c r="AU51" s="182">
        <v>2893.7500000000009</v>
      </c>
      <c r="AV51" s="182">
        <v>723.43750000000023</v>
      </c>
      <c r="AW51" s="477">
        <f t="shared" si="25"/>
        <v>14</v>
      </c>
      <c r="AX51" s="662"/>
    </row>
    <row r="52" spans="2:50">
      <c r="B52" s="676"/>
      <c r="C52" s="322">
        <v>11</v>
      </c>
      <c r="D52" s="551" t="s">
        <v>367</v>
      </c>
      <c r="E52" s="551">
        <v>4</v>
      </c>
      <c r="F52" s="551">
        <v>3300</v>
      </c>
      <c r="G52" s="551">
        <v>825</v>
      </c>
      <c r="H52" s="662"/>
      <c r="I52" s="199">
        <f t="shared" si="27"/>
        <v>4</v>
      </c>
      <c r="J52" s="199">
        <f t="shared" si="28"/>
        <v>2821.4362681391553</v>
      </c>
      <c r="K52" s="200">
        <f t="shared" si="29"/>
        <v>705.35906703478884</v>
      </c>
      <c r="L52" s="647"/>
      <c r="M52" s="199">
        <f>RANK(K52, K$42:$K$71)</f>
        <v>17</v>
      </c>
      <c r="N52" s="654"/>
      <c r="O52" s="654"/>
      <c r="P52" s="182">
        <v>4</v>
      </c>
      <c r="Q52" s="182">
        <v>2825.3571428571449</v>
      </c>
      <c r="R52" s="182">
        <v>706.33928571428623</v>
      </c>
      <c r="S52" s="322">
        <f t="shared" si="14"/>
        <v>17</v>
      </c>
      <c r="T52" s="662"/>
      <c r="U52" s="182">
        <v>4</v>
      </c>
      <c r="V52" s="182">
        <v>2758.9285714285697</v>
      </c>
      <c r="W52" s="182">
        <v>689.73214285714243</v>
      </c>
      <c r="X52" s="477">
        <f t="shared" si="15"/>
        <v>18</v>
      </c>
      <c r="Y52" s="662"/>
      <c r="Z52" s="182">
        <v>4</v>
      </c>
      <c r="AA52" s="182">
        <v>2848.8461538461506</v>
      </c>
      <c r="AB52" s="182">
        <v>712.21153846153766</v>
      </c>
      <c r="AC52" s="477">
        <f t="shared" si="17"/>
        <v>14</v>
      </c>
      <c r="AD52" s="662"/>
      <c r="AE52" s="182">
        <v>4</v>
      </c>
      <c r="AF52" s="182">
        <v>2913.191489361705</v>
      </c>
      <c r="AG52" s="182">
        <v>728.29787234042624</v>
      </c>
      <c r="AH52" s="477">
        <f t="shared" si="19"/>
        <v>15</v>
      </c>
      <c r="AI52" s="662"/>
      <c r="AJ52" s="182">
        <v>4</v>
      </c>
      <c r="AK52" s="182">
        <v>2808.7499999999982</v>
      </c>
      <c r="AL52" s="182">
        <v>702.18749999999955</v>
      </c>
      <c r="AM52" s="477">
        <f t="shared" si="21"/>
        <v>17</v>
      </c>
      <c r="AN52" s="662"/>
      <c r="AO52" s="182">
        <v>4</v>
      </c>
      <c r="AP52" s="182">
        <v>2776.0714285714266</v>
      </c>
      <c r="AQ52" s="182">
        <v>694.01785714285666</v>
      </c>
      <c r="AR52" s="477">
        <f t="shared" si="23"/>
        <v>14</v>
      </c>
      <c r="AS52" s="662"/>
      <c r="AT52" s="182">
        <v>4</v>
      </c>
      <c r="AU52" s="182">
        <v>2818.9090909090905</v>
      </c>
      <c r="AV52" s="182">
        <v>704.72727272727263</v>
      </c>
      <c r="AW52" s="477">
        <f t="shared" si="25"/>
        <v>17</v>
      </c>
      <c r="AX52" s="662"/>
    </row>
    <row r="53" spans="2:50">
      <c r="B53" s="676"/>
      <c r="C53" s="322">
        <v>12</v>
      </c>
      <c r="D53" s="551" t="s">
        <v>771</v>
      </c>
      <c r="E53" s="551">
        <v>4</v>
      </c>
      <c r="F53" s="551">
        <v>2800</v>
      </c>
      <c r="G53" s="551">
        <v>700</v>
      </c>
      <c r="H53" s="662"/>
      <c r="I53" s="199">
        <f t="shared" si="27"/>
        <v>4</v>
      </c>
      <c r="J53" s="199">
        <f t="shared" si="28"/>
        <v>2862.4527979956561</v>
      </c>
      <c r="K53" s="200">
        <f t="shared" si="29"/>
        <v>715.61319949891401</v>
      </c>
      <c r="L53" s="647"/>
      <c r="M53" s="199">
        <f>RANK(K53, K$42:$K$71)</f>
        <v>13</v>
      </c>
      <c r="N53" s="654"/>
      <c r="O53" s="654"/>
      <c r="P53" s="182">
        <v>4</v>
      </c>
      <c r="Q53" s="182">
        <v>2859.2307692307709</v>
      </c>
      <c r="R53" s="182">
        <v>714.80769230769272</v>
      </c>
      <c r="S53" s="322">
        <f t="shared" si="14"/>
        <v>13</v>
      </c>
      <c r="T53" s="662"/>
      <c r="U53" s="182">
        <v>4</v>
      </c>
      <c r="V53" s="182">
        <v>2782.2222222222235</v>
      </c>
      <c r="W53" s="182">
        <v>695.55555555555588</v>
      </c>
      <c r="X53" s="477">
        <f t="shared" si="15"/>
        <v>15</v>
      </c>
      <c r="Y53" s="662"/>
      <c r="Z53" s="182">
        <v>4</v>
      </c>
      <c r="AA53" s="182">
        <v>2877.5999999999963</v>
      </c>
      <c r="AB53" s="182">
        <v>719.39999999999907</v>
      </c>
      <c r="AC53" s="477">
        <f t="shared" si="17"/>
        <v>13</v>
      </c>
      <c r="AD53" s="662"/>
      <c r="AE53" s="182">
        <v>4</v>
      </c>
      <c r="AF53" s="182">
        <v>2931.818181818187</v>
      </c>
      <c r="AG53" s="182">
        <v>732.95454545454675</v>
      </c>
      <c r="AH53" s="477">
        <f t="shared" si="19"/>
        <v>14</v>
      </c>
      <c r="AI53" s="662"/>
      <c r="AJ53" s="182">
        <v>4</v>
      </c>
      <c r="AK53" s="182">
        <v>2917.142857142856</v>
      </c>
      <c r="AL53" s="182">
        <v>729.28571428571399</v>
      </c>
      <c r="AM53" s="477">
        <f t="shared" si="21"/>
        <v>13</v>
      </c>
      <c r="AN53" s="662"/>
      <c r="AO53" s="182">
        <v>4</v>
      </c>
      <c r="AP53" s="182">
        <v>2755.555555555557</v>
      </c>
      <c r="AQ53" s="182">
        <v>688.88888888888926</v>
      </c>
      <c r="AR53" s="477">
        <f t="shared" si="23"/>
        <v>15</v>
      </c>
      <c r="AS53" s="662"/>
      <c r="AT53" s="182">
        <v>4</v>
      </c>
      <c r="AU53" s="182">
        <v>2913.6000000000008</v>
      </c>
      <c r="AV53" s="182">
        <v>728.4000000000002</v>
      </c>
      <c r="AW53" s="477">
        <f t="shared" si="25"/>
        <v>13</v>
      </c>
      <c r="AX53" s="662"/>
    </row>
    <row r="54" spans="2:50">
      <c r="B54" s="676"/>
      <c r="C54" s="322">
        <v>13</v>
      </c>
      <c r="D54" s="551" t="s">
        <v>368</v>
      </c>
      <c r="E54" s="551">
        <v>4</v>
      </c>
      <c r="F54" s="551">
        <v>3600</v>
      </c>
      <c r="G54" s="551">
        <v>900</v>
      </c>
      <c r="H54" s="662"/>
      <c r="I54" s="199">
        <f t="shared" si="27"/>
        <v>4</v>
      </c>
      <c r="J54" s="199">
        <f t="shared" si="28"/>
        <v>2827.7142857142776</v>
      </c>
      <c r="K54" s="200">
        <f t="shared" si="29"/>
        <v>706.9285714285694</v>
      </c>
      <c r="L54" s="647"/>
      <c r="M54" s="199">
        <f>RANK(K54, K$42:$K$71)</f>
        <v>14</v>
      </c>
      <c r="N54" s="654"/>
      <c r="O54" s="654"/>
      <c r="P54" s="182">
        <v>4</v>
      </c>
      <c r="Q54" s="182">
        <v>2846.9999999999873</v>
      </c>
      <c r="R54" s="182">
        <v>711.74999999999682</v>
      </c>
      <c r="S54" s="322">
        <f t="shared" si="14"/>
        <v>14</v>
      </c>
      <c r="T54" s="662"/>
      <c r="U54" s="182">
        <v>4</v>
      </c>
      <c r="V54" s="182">
        <v>2858.9999999999873</v>
      </c>
      <c r="W54" s="182">
        <v>714.74999999999682</v>
      </c>
      <c r="X54" s="477">
        <f t="shared" si="15"/>
        <v>12</v>
      </c>
      <c r="Y54" s="662"/>
      <c r="Z54" s="182">
        <v>4</v>
      </c>
      <c r="AA54" s="182">
        <v>2792.9999999999873</v>
      </c>
      <c r="AB54" s="182">
        <v>698.24999999999682</v>
      </c>
      <c r="AC54" s="477">
        <f t="shared" si="17"/>
        <v>16</v>
      </c>
      <c r="AD54" s="662"/>
      <c r="AE54" s="182">
        <v>4</v>
      </c>
      <c r="AF54" s="182">
        <v>3324.0000000000118</v>
      </c>
      <c r="AG54" s="182">
        <v>831.00000000000296</v>
      </c>
      <c r="AH54" s="477">
        <f t="shared" si="19"/>
        <v>11</v>
      </c>
      <c r="AI54" s="662"/>
      <c r="AJ54" s="182">
        <v>4</v>
      </c>
      <c r="AK54" s="182">
        <v>2597.9999999999882</v>
      </c>
      <c r="AL54" s="182">
        <v>649.49999999999704</v>
      </c>
      <c r="AM54" s="477">
        <f t="shared" si="21"/>
        <v>18</v>
      </c>
      <c r="AN54" s="662"/>
      <c r="AO54" s="182">
        <v>4</v>
      </c>
      <c r="AP54" s="182">
        <v>2690.9999999999882</v>
      </c>
      <c r="AQ54" s="182">
        <v>672.74999999999704</v>
      </c>
      <c r="AR54" s="477">
        <f t="shared" si="23"/>
        <v>17</v>
      </c>
      <c r="AS54" s="662"/>
      <c r="AT54" s="182">
        <v>4</v>
      </c>
      <c r="AU54" s="182">
        <v>2681.9999999999882</v>
      </c>
      <c r="AV54" s="182">
        <v>670.49999999999704</v>
      </c>
      <c r="AW54" s="477">
        <f t="shared" si="25"/>
        <v>18</v>
      </c>
      <c r="AX54" s="662"/>
    </row>
    <row r="55" spans="2:50">
      <c r="B55" s="676"/>
      <c r="C55" s="322">
        <v>14</v>
      </c>
      <c r="D55" s="551" t="s">
        <v>369</v>
      </c>
      <c r="E55" s="551">
        <v>4</v>
      </c>
      <c r="F55" s="551">
        <v>3600</v>
      </c>
      <c r="G55" s="551">
        <v>900</v>
      </c>
      <c r="H55" s="662"/>
      <c r="I55" s="199">
        <f t="shared" si="27"/>
        <v>4</v>
      </c>
      <c r="J55" s="199">
        <f t="shared" si="28"/>
        <v>2283.4285714285688</v>
      </c>
      <c r="K55" s="200">
        <f t="shared" si="29"/>
        <v>570.85714285714221</v>
      </c>
      <c r="L55" s="647"/>
      <c r="M55" s="199">
        <f>RANK(K55, K$42:$K$71)</f>
        <v>19</v>
      </c>
      <c r="N55" s="654"/>
      <c r="O55" s="654"/>
      <c r="P55" s="182">
        <v>4</v>
      </c>
      <c r="Q55" s="182">
        <v>2406.0000000000086</v>
      </c>
      <c r="R55" s="182">
        <v>601.50000000000216</v>
      </c>
      <c r="S55" s="322">
        <f t="shared" si="14"/>
        <v>19</v>
      </c>
      <c r="T55" s="662"/>
      <c r="U55" s="182">
        <v>4</v>
      </c>
      <c r="V55" s="182">
        <v>2466.0000000000086</v>
      </c>
      <c r="W55" s="182">
        <v>616.50000000000216</v>
      </c>
      <c r="X55" s="477">
        <f t="shared" si="15"/>
        <v>19</v>
      </c>
      <c r="Y55" s="662"/>
      <c r="Z55" s="182">
        <v>4</v>
      </c>
      <c r="AA55" s="182">
        <v>2394.0000000000086</v>
      </c>
      <c r="AB55" s="182">
        <v>598.50000000000216</v>
      </c>
      <c r="AC55" s="477">
        <f t="shared" si="17"/>
        <v>19</v>
      </c>
      <c r="AD55" s="662"/>
      <c r="AE55" s="182">
        <v>4</v>
      </c>
      <c r="AF55" s="182">
        <v>1956.0000000000068</v>
      </c>
      <c r="AG55" s="182">
        <v>489.00000000000171</v>
      </c>
      <c r="AH55" s="477">
        <f t="shared" si="19"/>
        <v>20</v>
      </c>
      <c r="AI55" s="662"/>
      <c r="AJ55" s="182">
        <v>4</v>
      </c>
      <c r="AK55" s="182">
        <v>2148.0000000000073</v>
      </c>
      <c r="AL55" s="182">
        <v>537.00000000000182</v>
      </c>
      <c r="AM55" s="477">
        <f t="shared" si="21"/>
        <v>20</v>
      </c>
      <c r="AN55" s="662"/>
      <c r="AO55" s="182">
        <v>4</v>
      </c>
      <c r="AP55" s="182">
        <v>2279.9999999999718</v>
      </c>
      <c r="AQ55" s="182">
        <v>569.99999999999295</v>
      </c>
      <c r="AR55" s="477">
        <f t="shared" si="23"/>
        <v>19</v>
      </c>
      <c r="AS55" s="662"/>
      <c r="AT55" s="182">
        <v>4</v>
      </c>
      <c r="AU55" s="182">
        <v>2333.9999999999709</v>
      </c>
      <c r="AV55" s="182">
        <v>583.49999999999272</v>
      </c>
      <c r="AW55" s="477">
        <f t="shared" si="25"/>
        <v>20</v>
      </c>
      <c r="AX55" s="662"/>
    </row>
    <row r="56" spans="2:50">
      <c r="B56" s="676"/>
      <c r="C56" s="322">
        <v>15</v>
      </c>
      <c r="D56" s="551" t="s">
        <v>660</v>
      </c>
      <c r="E56" s="551">
        <v>4</v>
      </c>
      <c r="F56" s="551">
        <v>3300</v>
      </c>
      <c r="G56" s="551">
        <v>825</v>
      </c>
      <c r="H56" s="662"/>
      <c r="I56" s="199">
        <f t="shared" si="27"/>
        <v>3</v>
      </c>
      <c r="J56" s="199">
        <f t="shared" si="28"/>
        <v>2847.8320802005028</v>
      </c>
      <c r="K56" s="200">
        <f t="shared" si="29"/>
        <v>949.27736006683415</v>
      </c>
      <c r="L56" s="647"/>
      <c r="M56" s="199">
        <f>RANK(K56, K$42:$K$71)</f>
        <v>5</v>
      </c>
      <c r="N56" s="654"/>
      <c r="O56" s="654"/>
      <c r="P56" s="182">
        <v>3</v>
      </c>
      <c r="Q56" s="182">
        <v>2924.2105263157873</v>
      </c>
      <c r="R56" s="182">
        <v>974.73684210526244</v>
      </c>
      <c r="S56" s="322">
        <f t="shared" si="14"/>
        <v>5</v>
      </c>
      <c r="T56" s="662"/>
      <c r="U56" s="182">
        <v>3</v>
      </c>
      <c r="V56" s="182">
        <v>2782.8571428571418</v>
      </c>
      <c r="W56" s="182">
        <v>927.61904761904725</v>
      </c>
      <c r="X56" s="477">
        <f t="shared" si="15"/>
        <v>6</v>
      </c>
      <c r="Y56" s="662"/>
      <c r="Z56" s="182">
        <v>3</v>
      </c>
      <c r="AA56" s="182">
        <v>2898.947368421057</v>
      </c>
      <c r="AB56" s="182">
        <v>966.31578947368564</v>
      </c>
      <c r="AC56" s="477">
        <f t="shared" si="17"/>
        <v>5</v>
      </c>
      <c r="AD56" s="662"/>
      <c r="AE56" s="182">
        <v>3</v>
      </c>
      <c r="AF56" s="182">
        <v>2835.0000000000032</v>
      </c>
      <c r="AG56" s="182">
        <v>945.00000000000102</v>
      </c>
      <c r="AH56" s="477">
        <f t="shared" si="19"/>
        <v>7</v>
      </c>
      <c r="AI56" s="662"/>
      <c r="AJ56" s="182">
        <v>3</v>
      </c>
      <c r="AK56" s="182">
        <v>2860.0000000000027</v>
      </c>
      <c r="AL56" s="182">
        <v>953.33333333333428</v>
      </c>
      <c r="AM56" s="477">
        <f t="shared" si="21"/>
        <v>5</v>
      </c>
      <c r="AN56" s="662"/>
      <c r="AO56" s="182">
        <v>3</v>
      </c>
      <c r="AP56" s="182">
        <v>2677.1428571428564</v>
      </c>
      <c r="AQ56" s="182">
        <v>892.38095238095218</v>
      </c>
      <c r="AR56" s="477">
        <f t="shared" si="23"/>
        <v>8</v>
      </c>
      <c r="AS56" s="662"/>
      <c r="AT56" s="182">
        <v>3</v>
      </c>
      <c r="AU56" s="182">
        <v>2956.6666666666706</v>
      </c>
      <c r="AV56" s="182">
        <v>985.55555555555691</v>
      </c>
      <c r="AW56" s="477">
        <f t="shared" si="25"/>
        <v>5</v>
      </c>
      <c r="AX56" s="662"/>
    </row>
    <row r="57" spans="2:50">
      <c r="B57" s="676"/>
      <c r="C57" s="322">
        <v>16</v>
      </c>
      <c r="D57" s="551" t="s">
        <v>768</v>
      </c>
      <c r="E57" s="551">
        <v>3</v>
      </c>
      <c r="F57" s="551">
        <v>2800</v>
      </c>
      <c r="G57" s="551">
        <v>933.33333333333337</v>
      </c>
      <c r="H57" s="662"/>
      <c r="I57" s="199">
        <f t="shared" si="27"/>
        <v>3</v>
      </c>
      <c r="J57" s="199">
        <f t="shared" si="28"/>
        <v>2652.1142857142863</v>
      </c>
      <c r="K57" s="200">
        <f t="shared" si="29"/>
        <v>884.03809523809548</v>
      </c>
      <c r="L57" s="647"/>
      <c r="M57" s="199">
        <f>RANK(K57, K$42:$K$71)</f>
        <v>8</v>
      </c>
      <c r="N57" s="654"/>
      <c r="O57" s="654"/>
      <c r="P57" s="182">
        <v>3</v>
      </c>
      <c r="Q57" s="182">
        <v>2644.8000000000093</v>
      </c>
      <c r="R57" s="182">
        <v>881.60000000000309</v>
      </c>
      <c r="S57" s="322">
        <f t="shared" si="14"/>
        <v>8</v>
      </c>
      <c r="T57" s="662"/>
      <c r="U57" s="182">
        <v>3</v>
      </c>
      <c r="V57" s="182">
        <v>2323.9999999999959</v>
      </c>
      <c r="W57" s="182">
        <v>774.66666666666526</v>
      </c>
      <c r="X57" s="477">
        <f t="shared" si="15"/>
        <v>11</v>
      </c>
      <c r="Y57" s="662"/>
      <c r="Z57" s="182">
        <v>3</v>
      </c>
      <c r="AA57" s="182">
        <v>2637.5999999999922</v>
      </c>
      <c r="AB57" s="182">
        <v>879.19999999999743</v>
      </c>
      <c r="AC57" s="477">
        <f t="shared" si="17"/>
        <v>8</v>
      </c>
      <c r="AD57" s="662"/>
      <c r="AE57" s="182">
        <v>3</v>
      </c>
      <c r="AF57" s="182">
        <v>3048.0000000000109</v>
      </c>
      <c r="AG57" s="182">
        <v>1016.0000000000036</v>
      </c>
      <c r="AH57" s="477">
        <f t="shared" si="19"/>
        <v>5</v>
      </c>
      <c r="AI57" s="662"/>
      <c r="AJ57" s="182">
        <v>3</v>
      </c>
      <c r="AK57" s="182">
        <v>2572.8000000000093</v>
      </c>
      <c r="AL57" s="182">
        <v>857.60000000000309</v>
      </c>
      <c r="AM57" s="477">
        <f t="shared" si="21"/>
        <v>9</v>
      </c>
      <c r="AN57" s="662"/>
      <c r="AO57" s="182">
        <v>3</v>
      </c>
      <c r="AP57" s="182">
        <v>2735.9999999999923</v>
      </c>
      <c r="AQ57" s="182">
        <v>911.99999999999739</v>
      </c>
      <c r="AR57" s="477">
        <f t="shared" si="23"/>
        <v>7</v>
      </c>
      <c r="AS57" s="662"/>
      <c r="AT57" s="182">
        <v>3</v>
      </c>
      <c r="AU57" s="182">
        <v>2601.5999999999926</v>
      </c>
      <c r="AV57" s="182">
        <v>867.19999999999754</v>
      </c>
      <c r="AW57" s="477">
        <f t="shared" si="25"/>
        <v>8</v>
      </c>
      <c r="AX57" s="662"/>
    </row>
    <row r="58" spans="2:50">
      <c r="B58" s="676"/>
      <c r="C58" s="322">
        <v>17</v>
      </c>
      <c r="D58" s="551" t="s">
        <v>820</v>
      </c>
      <c r="E58" s="551">
        <v>4</v>
      </c>
      <c r="F58" s="551">
        <v>3000</v>
      </c>
      <c r="G58" s="551">
        <v>750</v>
      </c>
      <c r="H58" s="662"/>
      <c r="I58" s="199">
        <f t="shared" si="27"/>
        <v>3</v>
      </c>
      <c r="J58" s="199">
        <f t="shared" si="28"/>
        <v>2177.9999999999968</v>
      </c>
      <c r="K58" s="200">
        <f t="shared" si="29"/>
        <v>725.99999999999875</v>
      </c>
      <c r="L58" s="647"/>
      <c r="M58" s="199">
        <f>RANK(K58, K$42:$K$71)</f>
        <v>12</v>
      </c>
      <c r="N58" s="654"/>
      <c r="O58" s="654"/>
      <c r="P58" s="182">
        <v>3</v>
      </c>
      <c r="Q58" s="182">
        <v>2114.3999999999942</v>
      </c>
      <c r="R58" s="182">
        <v>704.79999999999802</v>
      </c>
      <c r="S58" s="322">
        <f t="shared" si="14"/>
        <v>18</v>
      </c>
      <c r="T58" s="662"/>
      <c r="U58" s="182">
        <v>3</v>
      </c>
      <c r="V58" s="182">
        <v>2115.599999999994</v>
      </c>
      <c r="W58" s="182">
        <v>705.199999999998</v>
      </c>
      <c r="X58" s="477">
        <f t="shared" si="15"/>
        <v>13</v>
      </c>
      <c r="Y58" s="662"/>
      <c r="Z58" s="182">
        <v>3</v>
      </c>
      <c r="AA58" s="182">
        <v>2276</v>
      </c>
      <c r="AB58" s="182">
        <v>758.66666666666663</v>
      </c>
      <c r="AC58" s="477">
        <f t="shared" si="17"/>
        <v>12</v>
      </c>
      <c r="AD58" s="662"/>
      <c r="AE58" s="182">
        <v>3</v>
      </c>
      <c r="AF58" s="182">
        <v>2162.6666666666665</v>
      </c>
      <c r="AG58" s="182">
        <v>720.8888888888888</v>
      </c>
      <c r="AH58" s="477">
        <f t="shared" si="19"/>
        <v>16</v>
      </c>
      <c r="AI58" s="662"/>
      <c r="AJ58" s="182">
        <v>3</v>
      </c>
      <c r="AK58" s="182">
        <v>2269.3333333333335</v>
      </c>
      <c r="AL58" s="182">
        <v>756.44444444444446</v>
      </c>
      <c r="AM58" s="477">
        <f t="shared" si="21"/>
        <v>12</v>
      </c>
      <c r="AN58" s="662"/>
      <c r="AO58" s="182">
        <v>3</v>
      </c>
      <c r="AP58" s="182">
        <v>2164.7999999999938</v>
      </c>
      <c r="AQ58" s="182">
        <v>721.59999999999798</v>
      </c>
      <c r="AR58" s="477">
        <f t="shared" si="23"/>
        <v>12</v>
      </c>
      <c r="AS58" s="662"/>
      <c r="AT58" s="182">
        <v>3</v>
      </c>
      <c r="AU58" s="182">
        <v>2143.1999999999939</v>
      </c>
      <c r="AV58" s="182">
        <v>714.39999999999793</v>
      </c>
      <c r="AW58" s="477">
        <f t="shared" si="25"/>
        <v>16</v>
      </c>
      <c r="AX58" s="662"/>
    </row>
    <row r="59" spans="2:50">
      <c r="B59" s="676"/>
      <c r="C59" s="322">
        <v>18</v>
      </c>
      <c r="D59" s="551" t="s">
        <v>778</v>
      </c>
      <c r="E59" s="551">
        <v>12</v>
      </c>
      <c r="F59" s="551">
        <v>1500</v>
      </c>
      <c r="G59" s="551">
        <v>125</v>
      </c>
      <c r="H59" s="662"/>
      <c r="I59" s="199">
        <f t="shared" si="27"/>
        <v>9.1428571428571423</v>
      </c>
      <c r="J59" s="199">
        <f t="shared" si="28"/>
        <v>1506.9948051948045</v>
      </c>
      <c r="K59" s="200">
        <f t="shared" si="29"/>
        <v>166.90077922077907</v>
      </c>
      <c r="L59" s="647"/>
      <c r="M59" s="199">
        <f>RANK(K59, K$42:$K$71)</f>
        <v>21</v>
      </c>
      <c r="N59" s="654"/>
      <c r="O59" s="654"/>
      <c r="P59" s="182">
        <v>8</v>
      </c>
      <c r="Q59" s="182">
        <v>1490.9999999999973</v>
      </c>
      <c r="R59" s="182">
        <v>186.37499999999966</v>
      </c>
      <c r="S59" s="322">
        <f t="shared" si="14"/>
        <v>21</v>
      </c>
      <c r="T59" s="662"/>
      <c r="U59" s="182">
        <v>10</v>
      </c>
      <c r="V59" s="182">
        <v>1490.0000000000014</v>
      </c>
      <c r="W59" s="182">
        <v>149.00000000000014</v>
      </c>
      <c r="X59" s="477">
        <f t="shared" si="15"/>
        <v>21</v>
      </c>
      <c r="Y59" s="662"/>
      <c r="Z59" s="182">
        <v>10</v>
      </c>
      <c r="AA59" s="182">
        <v>1416.9999999999975</v>
      </c>
      <c r="AB59" s="182">
        <v>141.69999999999976</v>
      </c>
      <c r="AC59" s="477">
        <f t="shared" si="17"/>
        <v>21</v>
      </c>
      <c r="AD59" s="662"/>
      <c r="AE59" s="182">
        <v>10</v>
      </c>
      <c r="AF59" s="182">
        <v>1586.4000000000005</v>
      </c>
      <c r="AG59" s="182">
        <v>158.64000000000004</v>
      </c>
      <c r="AH59" s="477">
        <f t="shared" si="19"/>
        <v>21</v>
      </c>
      <c r="AI59" s="662"/>
      <c r="AJ59" s="182">
        <v>10</v>
      </c>
      <c r="AK59" s="182">
        <v>1519.199999999998</v>
      </c>
      <c r="AL59" s="182">
        <v>151.91999999999979</v>
      </c>
      <c r="AM59" s="477">
        <f t="shared" si="21"/>
        <v>21</v>
      </c>
      <c r="AN59" s="662"/>
      <c r="AO59" s="182">
        <v>8</v>
      </c>
      <c r="AP59" s="182">
        <v>1492.9999999999975</v>
      </c>
      <c r="AQ59" s="182">
        <v>186.62499999999969</v>
      </c>
      <c r="AR59" s="477">
        <f t="shared" si="23"/>
        <v>21</v>
      </c>
      <c r="AS59" s="662"/>
      <c r="AT59" s="182">
        <v>8</v>
      </c>
      <c r="AU59" s="182">
        <v>1552.3636363636374</v>
      </c>
      <c r="AV59" s="182">
        <v>194.04545454545467</v>
      </c>
      <c r="AW59" s="477">
        <f t="shared" si="25"/>
        <v>21</v>
      </c>
      <c r="AX59" s="662"/>
    </row>
    <row r="60" spans="2:50">
      <c r="B60" s="676"/>
      <c r="C60" s="322">
        <v>19</v>
      </c>
      <c r="D60" s="551" t="s">
        <v>839</v>
      </c>
      <c r="E60" s="551">
        <v>4</v>
      </c>
      <c r="F60" s="551">
        <v>3000</v>
      </c>
      <c r="G60" s="551">
        <v>750</v>
      </c>
      <c r="H60" s="662"/>
      <c r="I60" s="199">
        <f t="shared" si="27"/>
        <v>4</v>
      </c>
      <c r="J60" s="199">
        <f t="shared" si="28"/>
        <v>2234.1632653061256</v>
      </c>
      <c r="K60" s="200">
        <f t="shared" si="29"/>
        <v>558.5408163265314</v>
      </c>
      <c r="L60" s="647"/>
      <c r="M60" s="199">
        <f>RANK(K60, K$42:$K$71)</f>
        <v>20</v>
      </c>
      <c r="N60" s="654"/>
      <c r="O60" s="654"/>
      <c r="P60" s="182">
        <v>4</v>
      </c>
      <c r="Q60" s="182">
        <v>2136.0000000000077</v>
      </c>
      <c r="R60" s="182">
        <v>534.00000000000193</v>
      </c>
      <c r="S60" s="322">
        <f t="shared" si="14"/>
        <v>20</v>
      </c>
      <c r="T60" s="662"/>
      <c r="U60" s="182">
        <v>4</v>
      </c>
      <c r="V60" s="182">
        <v>2172.0000000000077</v>
      </c>
      <c r="W60" s="182">
        <v>543.00000000000193</v>
      </c>
      <c r="X60" s="477">
        <f t="shared" si="15"/>
        <v>20</v>
      </c>
      <c r="Y60" s="662"/>
      <c r="Z60" s="182">
        <v>4</v>
      </c>
      <c r="AA60" s="182">
        <v>2359.9999999999959</v>
      </c>
      <c r="AB60" s="182">
        <v>589.99999999999898</v>
      </c>
      <c r="AC60" s="477">
        <f t="shared" si="17"/>
        <v>20</v>
      </c>
      <c r="AD60" s="662"/>
      <c r="AE60" s="182">
        <v>4</v>
      </c>
      <c r="AF60" s="182">
        <v>2233.9999999999964</v>
      </c>
      <c r="AG60" s="182">
        <v>558.49999999999909</v>
      </c>
      <c r="AH60" s="477">
        <f t="shared" si="19"/>
        <v>19</v>
      </c>
      <c r="AI60" s="662"/>
      <c r="AJ60" s="182">
        <v>4</v>
      </c>
      <c r="AK60" s="182">
        <v>2283.9999999999959</v>
      </c>
      <c r="AL60" s="182">
        <v>570.99999999999898</v>
      </c>
      <c r="AM60" s="477">
        <f t="shared" si="21"/>
        <v>19</v>
      </c>
      <c r="AN60" s="662"/>
      <c r="AO60" s="182">
        <v>4</v>
      </c>
      <c r="AP60" s="182">
        <v>2105.1428571428651</v>
      </c>
      <c r="AQ60" s="182">
        <v>526.28571428571627</v>
      </c>
      <c r="AR60" s="477">
        <f t="shared" si="23"/>
        <v>20</v>
      </c>
      <c r="AS60" s="662"/>
      <c r="AT60" s="182">
        <v>4</v>
      </c>
      <c r="AU60" s="182">
        <v>2348.0000000000086</v>
      </c>
      <c r="AV60" s="182">
        <v>587.00000000000216</v>
      </c>
      <c r="AW60" s="477">
        <f t="shared" si="25"/>
        <v>19</v>
      </c>
      <c r="AX60" s="662"/>
    </row>
    <row r="61" spans="2:50">
      <c r="B61" s="676"/>
      <c r="C61" s="322">
        <v>20</v>
      </c>
      <c r="D61" s="551" t="s">
        <v>843</v>
      </c>
      <c r="E61" s="551">
        <v>3</v>
      </c>
      <c r="F61" s="551">
        <v>2800</v>
      </c>
      <c r="G61" s="551">
        <v>933.33333333333337</v>
      </c>
      <c r="H61" s="662"/>
      <c r="I61" s="566">
        <f t="shared" ref="I61:I62" si="30">AVERAGE(P61,U61,Z61,AE61,AJ61,AO61,AT61)</f>
        <v>3</v>
      </c>
      <c r="J61" s="566">
        <f t="shared" ref="J61:J62" si="31">AVERAGE(Q61,V61,AA61,AF61,AK61,AP61,AU61)</f>
        <v>2815.1436786599202</v>
      </c>
      <c r="K61" s="200">
        <f t="shared" ref="K61:K62" si="32">AVERAGE(R61,W61,AB61,AG61,AL61,AQ61,AV61)</f>
        <v>938.38122621997366</v>
      </c>
      <c r="L61" s="647"/>
      <c r="M61" s="199">
        <f>RANK(K61, K$42:$K$71)</f>
        <v>6</v>
      </c>
      <c r="N61" s="654"/>
      <c r="O61" s="654"/>
      <c r="P61" s="182">
        <v>3</v>
      </c>
      <c r="Q61" s="182">
        <v>2811.9230769230739</v>
      </c>
      <c r="R61" s="182">
        <v>937.30769230769135</v>
      </c>
      <c r="S61" s="322">
        <f t="shared" si="14"/>
        <v>7</v>
      </c>
      <c r="T61" s="662"/>
      <c r="U61" s="182">
        <v>3</v>
      </c>
      <c r="V61" s="182">
        <v>2799.6000000000008</v>
      </c>
      <c r="W61" s="182">
        <v>933.20000000000027</v>
      </c>
      <c r="X61" s="477">
        <f t="shared" si="15"/>
        <v>5</v>
      </c>
      <c r="Y61" s="662"/>
      <c r="Z61" s="182">
        <v>3</v>
      </c>
      <c r="AA61" s="182">
        <v>2825.217391304348</v>
      </c>
      <c r="AB61" s="182">
        <v>941.73913043478262</v>
      </c>
      <c r="AC61" s="477">
        <f t="shared" si="17"/>
        <v>7</v>
      </c>
      <c r="AD61" s="662"/>
      <c r="AE61" s="182">
        <v>3</v>
      </c>
      <c r="AF61" s="182">
        <v>2832.5581395348836</v>
      </c>
      <c r="AG61" s="182">
        <v>944.18604651162786</v>
      </c>
      <c r="AH61" s="477">
        <f t="shared" si="19"/>
        <v>8</v>
      </c>
      <c r="AI61" s="662"/>
      <c r="AJ61" s="182">
        <v>3</v>
      </c>
      <c r="AK61" s="182">
        <v>2822.8571428571418</v>
      </c>
      <c r="AL61" s="182">
        <v>940.95238095238062</v>
      </c>
      <c r="AM61" s="477">
        <f t="shared" si="21"/>
        <v>6</v>
      </c>
      <c r="AN61" s="662"/>
      <c r="AO61" s="182">
        <v>3</v>
      </c>
      <c r="AP61" s="182">
        <v>2787.5999999999967</v>
      </c>
      <c r="AQ61" s="182">
        <v>929.19999999999891</v>
      </c>
      <c r="AR61" s="477">
        <f t="shared" si="23"/>
        <v>6</v>
      </c>
      <c r="AS61" s="662"/>
      <c r="AT61" s="182">
        <v>3</v>
      </c>
      <c r="AU61" s="182">
        <v>2826.2500000000009</v>
      </c>
      <c r="AV61" s="182">
        <v>942.0833333333336</v>
      </c>
      <c r="AW61" s="477">
        <f t="shared" si="25"/>
        <v>7</v>
      </c>
      <c r="AX61" s="662"/>
    </row>
    <row r="62" spans="2:50">
      <c r="B62" s="676"/>
      <c r="C62" s="322">
        <v>21</v>
      </c>
      <c r="D62" s="551" t="s">
        <v>951</v>
      </c>
      <c r="E62" s="551">
        <v>4</v>
      </c>
      <c r="F62" s="551">
        <v>2800</v>
      </c>
      <c r="G62" s="551">
        <v>700</v>
      </c>
      <c r="H62" s="662"/>
      <c r="I62" s="566">
        <f t="shared" si="30"/>
        <v>4</v>
      </c>
      <c r="J62" s="566">
        <f t="shared" si="31"/>
        <v>2818.4717181404953</v>
      </c>
      <c r="K62" s="200">
        <f t="shared" si="32"/>
        <v>704.61792953512384</v>
      </c>
      <c r="L62" s="647"/>
      <c r="M62" s="199">
        <f>RANK(K62, K$42:$K$71)</f>
        <v>18</v>
      </c>
      <c r="N62" s="654"/>
      <c r="O62" s="654"/>
      <c r="P62" s="322">
        <v>4</v>
      </c>
      <c r="Q62" s="182">
        <v>2836.470588235291</v>
      </c>
      <c r="R62" s="323">
        <v>709.11764705882274</v>
      </c>
      <c r="S62" s="322">
        <f t="shared" si="14"/>
        <v>15</v>
      </c>
      <c r="T62" s="662"/>
      <c r="U62" s="551">
        <v>4</v>
      </c>
      <c r="V62" s="182">
        <v>2771.3793103448261</v>
      </c>
      <c r="W62" s="552">
        <v>692.84482758620652</v>
      </c>
      <c r="X62" s="477">
        <f t="shared" si="15"/>
        <v>16</v>
      </c>
      <c r="Y62" s="662"/>
      <c r="Z62" s="551">
        <v>4</v>
      </c>
      <c r="AA62" s="182">
        <v>2818.6363636363635</v>
      </c>
      <c r="AB62" s="552">
        <v>704.65909090909088</v>
      </c>
      <c r="AC62" s="477">
        <f t="shared" si="17"/>
        <v>15</v>
      </c>
      <c r="AD62" s="662"/>
      <c r="AE62" s="551">
        <v>4</v>
      </c>
      <c r="AF62" s="182">
        <v>2806.6666666666706</v>
      </c>
      <c r="AG62" s="552">
        <v>701.66666666666765</v>
      </c>
      <c r="AH62" s="477">
        <f t="shared" si="19"/>
        <v>18</v>
      </c>
      <c r="AI62" s="662"/>
      <c r="AJ62" s="551">
        <v>4</v>
      </c>
      <c r="AK62" s="182">
        <v>2881.8181818181779</v>
      </c>
      <c r="AL62" s="552">
        <v>720.45454545454447</v>
      </c>
      <c r="AM62" s="477">
        <f t="shared" si="21"/>
        <v>14</v>
      </c>
      <c r="AN62" s="662"/>
      <c r="AO62" s="551">
        <v>4</v>
      </c>
      <c r="AP62" s="182">
        <v>2742.4390243902485</v>
      </c>
      <c r="AQ62" s="552">
        <v>685.60975609756213</v>
      </c>
      <c r="AR62" s="477">
        <f t="shared" si="23"/>
        <v>16</v>
      </c>
      <c r="AS62" s="662"/>
      <c r="AT62" s="551">
        <v>4</v>
      </c>
      <c r="AU62" s="182">
        <v>2871.8918918918898</v>
      </c>
      <c r="AV62" s="552">
        <v>717.97297297297246</v>
      </c>
      <c r="AW62" s="477">
        <f t="shared" si="25"/>
        <v>15</v>
      </c>
      <c r="AX62" s="662"/>
    </row>
    <row r="63" spans="2:50">
      <c r="B63" s="676"/>
      <c r="C63" s="322">
        <v>22</v>
      </c>
      <c r="D63" s="551"/>
      <c r="E63" s="551"/>
      <c r="F63" s="551"/>
      <c r="G63" s="551"/>
      <c r="H63" s="662"/>
      <c r="I63" s="425"/>
      <c r="J63" s="425"/>
      <c r="K63" s="200"/>
      <c r="L63" s="647"/>
      <c r="M63" s="199" t="e">
        <f>RANK(K63, K$42:$K$71)</f>
        <v>#N/A</v>
      </c>
      <c r="N63" s="654"/>
      <c r="O63" s="654"/>
      <c r="P63" s="322"/>
      <c r="Q63" s="182"/>
      <c r="R63" s="323"/>
      <c r="S63" s="322" t="e">
        <f t="shared" si="14"/>
        <v>#N/A</v>
      </c>
      <c r="T63" s="662"/>
      <c r="U63" s="551"/>
      <c r="V63" s="182"/>
      <c r="W63" s="552"/>
      <c r="X63" s="477" t="e">
        <f t="shared" si="15"/>
        <v>#N/A</v>
      </c>
      <c r="Y63" s="662"/>
      <c r="Z63" s="551"/>
      <c r="AA63" s="182"/>
      <c r="AB63" s="552"/>
      <c r="AC63" s="477" t="e">
        <f t="shared" si="17"/>
        <v>#N/A</v>
      </c>
      <c r="AD63" s="662"/>
      <c r="AE63" s="551"/>
      <c r="AF63" s="182"/>
      <c r="AG63" s="552"/>
      <c r="AH63" s="477" t="e">
        <f t="shared" si="19"/>
        <v>#N/A</v>
      </c>
      <c r="AI63" s="662"/>
      <c r="AJ63" s="551"/>
      <c r="AK63" s="182"/>
      <c r="AL63" s="552"/>
      <c r="AM63" s="477" t="e">
        <f t="shared" si="21"/>
        <v>#N/A</v>
      </c>
      <c r="AN63" s="662"/>
      <c r="AO63" s="551"/>
      <c r="AP63" s="182"/>
      <c r="AQ63" s="552"/>
      <c r="AR63" s="477" t="e">
        <f t="shared" si="23"/>
        <v>#N/A</v>
      </c>
      <c r="AS63" s="662"/>
      <c r="AT63" s="551"/>
      <c r="AU63" s="182"/>
      <c r="AV63" s="552"/>
      <c r="AW63" s="477" t="e">
        <f t="shared" si="25"/>
        <v>#N/A</v>
      </c>
      <c r="AX63" s="662"/>
    </row>
    <row r="64" spans="2:50">
      <c r="B64" s="676"/>
      <c r="C64" s="322">
        <v>23</v>
      </c>
      <c r="D64" s="551"/>
      <c r="E64" s="551"/>
      <c r="F64" s="551"/>
      <c r="G64" s="551"/>
      <c r="H64" s="662"/>
      <c r="I64" s="425"/>
      <c r="J64" s="425"/>
      <c r="K64" s="200"/>
      <c r="L64" s="647"/>
      <c r="M64" s="199" t="e">
        <f>RANK(K64, K$42:$K$71)</f>
        <v>#N/A</v>
      </c>
      <c r="N64" s="654"/>
      <c r="O64" s="654"/>
      <c r="P64" s="423"/>
      <c r="Q64" s="182"/>
      <c r="R64" s="424"/>
      <c r="S64" s="322" t="e">
        <f t="shared" si="14"/>
        <v>#N/A</v>
      </c>
      <c r="T64" s="662"/>
      <c r="U64" s="551"/>
      <c r="V64" s="182"/>
      <c r="W64" s="552"/>
      <c r="X64" s="477" t="e">
        <f t="shared" si="15"/>
        <v>#N/A</v>
      </c>
      <c r="Y64" s="662"/>
      <c r="Z64" s="551"/>
      <c r="AA64" s="182"/>
      <c r="AB64" s="552"/>
      <c r="AC64" s="477" t="e">
        <f t="shared" si="17"/>
        <v>#N/A</v>
      </c>
      <c r="AD64" s="662"/>
      <c r="AE64" s="551"/>
      <c r="AF64" s="182"/>
      <c r="AG64" s="552"/>
      <c r="AH64" s="477" t="e">
        <f t="shared" si="19"/>
        <v>#N/A</v>
      </c>
      <c r="AI64" s="662"/>
      <c r="AJ64" s="551"/>
      <c r="AK64" s="182"/>
      <c r="AL64" s="552"/>
      <c r="AM64" s="477" t="e">
        <f t="shared" si="21"/>
        <v>#N/A</v>
      </c>
      <c r="AN64" s="662"/>
      <c r="AO64" s="551"/>
      <c r="AP64" s="182"/>
      <c r="AQ64" s="552"/>
      <c r="AR64" s="477" t="e">
        <f t="shared" si="23"/>
        <v>#N/A</v>
      </c>
      <c r="AS64" s="662"/>
      <c r="AT64" s="551"/>
      <c r="AU64" s="182"/>
      <c r="AV64" s="552"/>
      <c r="AW64" s="477" t="e">
        <f t="shared" si="25"/>
        <v>#N/A</v>
      </c>
      <c r="AX64" s="662"/>
    </row>
    <row r="65" spans="2:50">
      <c r="B65" s="676"/>
      <c r="C65" s="322">
        <v>24</v>
      </c>
      <c r="D65" s="551"/>
      <c r="E65" s="551"/>
      <c r="F65" s="551"/>
      <c r="G65" s="551"/>
      <c r="H65" s="662"/>
      <c r="I65" s="425"/>
      <c r="J65" s="425"/>
      <c r="K65" s="200"/>
      <c r="L65" s="647"/>
      <c r="M65" s="199" t="e">
        <f>RANK(K65, K$42:$K$71)</f>
        <v>#N/A</v>
      </c>
      <c r="N65" s="654"/>
      <c r="O65" s="654"/>
      <c r="P65" s="423"/>
      <c r="Q65" s="182"/>
      <c r="R65" s="424"/>
      <c r="S65" s="322" t="e">
        <f t="shared" si="14"/>
        <v>#N/A</v>
      </c>
      <c r="T65" s="662"/>
      <c r="U65" s="551"/>
      <c r="V65" s="182"/>
      <c r="W65" s="552"/>
      <c r="X65" s="477" t="e">
        <f t="shared" si="15"/>
        <v>#N/A</v>
      </c>
      <c r="Y65" s="662"/>
      <c r="Z65" s="551"/>
      <c r="AA65" s="182"/>
      <c r="AB65" s="552"/>
      <c r="AC65" s="477" t="e">
        <f t="shared" si="17"/>
        <v>#N/A</v>
      </c>
      <c r="AD65" s="662"/>
      <c r="AE65" s="551"/>
      <c r="AF65" s="182"/>
      <c r="AG65" s="552"/>
      <c r="AH65" s="477" t="e">
        <f t="shared" si="19"/>
        <v>#N/A</v>
      </c>
      <c r="AI65" s="662"/>
      <c r="AJ65" s="551"/>
      <c r="AK65" s="182"/>
      <c r="AL65" s="552"/>
      <c r="AM65" s="477" t="e">
        <f t="shared" si="21"/>
        <v>#N/A</v>
      </c>
      <c r="AN65" s="662"/>
      <c r="AO65" s="551"/>
      <c r="AP65" s="182"/>
      <c r="AQ65" s="552"/>
      <c r="AR65" s="477" t="e">
        <f t="shared" si="23"/>
        <v>#N/A</v>
      </c>
      <c r="AS65" s="662"/>
      <c r="AT65" s="551"/>
      <c r="AU65" s="182"/>
      <c r="AV65" s="552"/>
      <c r="AW65" s="477" t="e">
        <f t="shared" si="25"/>
        <v>#N/A</v>
      </c>
      <c r="AX65" s="662"/>
    </row>
    <row r="66" spans="2:50">
      <c r="B66" s="676"/>
      <c r="C66" s="322">
        <v>25</v>
      </c>
      <c r="D66" s="551"/>
      <c r="E66" s="551"/>
      <c r="F66" s="551"/>
      <c r="G66" s="551"/>
      <c r="H66" s="662"/>
      <c r="I66" s="202"/>
      <c r="J66" s="202"/>
      <c r="K66" s="202"/>
      <c r="L66" s="647"/>
      <c r="M66" s="199" t="e">
        <f>RANK(K66, K$42:$K$71)</f>
        <v>#N/A</v>
      </c>
      <c r="N66" s="654"/>
      <c r="O66" s="654"/>
      <c r="P66" s="423"/>
      <c r="Q66" s="182"/>
      <c r="R66" s="424"/>
      <c r="S66" s="322" t="e">
        <f t="shared" si="14"/>
        <v>#N/A</v>
      </c>
      <c r="T66" s="662"/>
      <c r="U66" s="551"/>
      <c r="V66" s="182"/>
      <c r="W66" s="552"/>
      <c r="X66" s="477" t="e">
        <f t="shared" si="15"/>
        <v>#N/A</v>
      </c>
      <c r="Y66" s="662"/>
      <c r="Z66" s="551"/>
      <c r="AA66" s="182"/>
      <c r="AB66" s="552"/>
      <c r="AC66" s="477" t="e">
        <f t="shared" si="17"/>
        <v>#N/A</v>
      </c>
      <c r="AD66" s="662"/>
      <c r="AE66" s="551"/>
      <c r="AF66" s="182"/>
      <c r="AG66" s="552"/>
      <c r="AH66" s="477" t="e">
        <f t="shared" si="19"/>
        <v>#N/A</v>
      </c>
      <c r="AI66" s="662"/>
      <c r="AJ66" s="551"/>
      <c r="AK66" s="182"/>
      <c r="AL66" s="552"/>
      <c r="AM66" s="477" t="e">
        <f t="shared" si="21"/>
        <v>#N/A</v>
      </c>
      <c r="AN66" s="662"/>
      <c r="AO66" s="551"/>
      <c r="AP66" s="182"/>
      <c r="AQ66" s="552"/>
      <c r="AR66" s="477" t="e">
        <f t="shared" si="23"/>
        <v>#N/A</v>
      </c>
      <c r="AS66" s="662"/>
      <c r="AT66" s="551"/>
      <c r="AU66" s="182"/>
      <c r="AV66" s="552"/>
      <c r="AW66" s="477" t="e">
        <f t="shared" si="25"/>
        <v>#N/A</v>
      </c>
      <c r="AX66" s="662"/>
    </row>
    <row r="67" spans="2:50">
      <c r="B67" s="676"/>
      <c r="C67" s="322">
        <v>26</v>
      </c>
      <c r="D67" s="551"/>
      <c r="E67" s="551"/>
      <c r="F67" s="551"/>
      <c r="G67" s="551"/>
      <c r="H67" s="662"/>
      <c r="I67" s="202"/>
      <c r="J67" s="202"/>
      <c r="K67" s="202"/>
      <c r="L67" s="647"/>
      <c r="M67" s="199" t="e">
        <f>RANK(K67, K$42:$K$71)</f>
        <v>#N/A</v>
      </c>
      <c r="N67" s="654"/>
      <c r="O67" s="654"/>
      <c r="P67" s="423"/>
      <c r="Q67" s="182"/>
      <c r="R67" s="424"/>
      <c r="S67" s="322" t="e">
        <f t="shared" si="14"/>
        <v>#N/A</v>
      </c>
      <c r="T67" s="662"/>
      <c r="U67" s="551"/>
      <c r="V67" s="182"/>
      <c r="W67" s="552"/>
      <c r="X67" s="477" t="e">
        <f t="shared" si="15"/>
        <v>#N/A</v>
      </c>
      <c r="Y67" s="662"/>
      <c r="Z67" s="551"/>
      <c r="AA67" s="182"/>
      <c r="AB67" s="552"/>
      <c r="AC67" s="477" t="e">
        <f t="shared" si="17"/>
        <v>#N/A</v>
      </c>
      <c r="AD67" s="662"/>
      <c r="AE67" s="551"/>
      <c r="AF67" s="182"/>
      <c r="AG67" s="552"/>
      <c r="AH67" s="477" t="e">
        <f t="shared" si="19"/>
        <v>#N/A</v>
      </c>
      <c r="AI67" s="662"/>
      <c r="AJ67" s="551"/>
      <c r="AK67" s="182"/>
      <c r="AL67" s="552"/>
      <c r="AM67" s="477" t="e">
        <f t="shared" si="21"/>
        <v>#N/A</v>
      </c>
      <c r="AN67" s="662"/>
      <c r="AO67" s="551"/>
      <c r="AP67" s="182"/>
      <c r="AQ67" s="552"/>
      <c r="AR67" s="477" t="e">
        <f t="shared" si="23"/>
        <v>#N/A</v>
      </c>
      <c r="AS67" s="662"/>
      <c r="AT67" s="551"/>
      <c r="AU67" s="182"/>
      <c r="AV67" s="552"/>
      <c r="AW67" s="477" t="e">
        <f t="shared" si="25"/>
        <v>#N/A</v>
      </c>
      <c r="AX67" s="662"/>
    </row>
    <row r="68" spans="2:50">
      <c r="B68" s="676"/>
      <c r="C68" s="322">
        <v>27</v>
      </c>
      <c r="D68" s="551"/>
      <c r="E68" s="551"/>
      <c r="F68" s="551"/>
      <c r="G68" s="551"/>
      <c r="H68" s="662"/>
      <c r="I68" s="202"/>
      <c r="J68" s="202"/>
      <c r="K68" s="202"/>
      <c r="L68" s="647"/>
      <c r="M68" s="199" t="e">
        <f>RANK(K68, K$42:$K$71)</f>
        <v>#N/A</v>
      </c>
      <c r="N68" s="654"/>
      <c r="O68" s="654"/>
      <c r="P68" s="423"/>
      <c r="Q68" s="182"/>
      <c r="R68" s="424"/>
      <c r="S68" s="322" t="e">
        <f t="shared" si="14"/>
        <v>#N/A</v>
      </c>
      <c r="T68" s="662"/>
      <c r="U68" s="551"/>
      <c r="V68" s="182"/>
      <c r="W68" s="552"/>
      <c r="X68" s="477" t="e">
        <f t="shared" si="15"/>
        <v>#N/A</v>
      </c>
      <c r="Y68" s="662"/>
      <c r="Z68" s="551"/>
      <c r="AA68" s="182"/>
      <c r="AB68" s="552"/>
      <c r="AC68" s="477" t="e">
        <f t="shared" si="17"/>
        <v>#N/A</v>
      </c>
      <c r="AD68" s="662"/>
      <c r="AE68" s="551"/>
      <c r="AF68" s="182"/>
      <c r="AG68" s="552"/>
      <c r="AH68" s="477" t="e">
        <f t="shared" si="19"/>
        <v>#N/A</v>
      </c>
      <c r="AI68" s="662"/>
      <c r="AJ68" s="551"/>
      <c r="AK68" s="182"/>
      <c r="AL68" s="552"/>
      <c r="AM68" s="477" t="e">
        <f t="shared" si="21"/>
        <v>#N/A</v>
      </c>
      <c r="AN68" s="662"/>
      <c r="AO68" s="551"/>
      <c r="AP68" s="182"/>
      <c r="AQ68" s="552"/>
      <c r="AR68" s="477" t="e">
        <f t="shared" si="23"/>
        <v>#N/A</v>
      </c>
      <c r="AS68" s="662"/>
      <c r="AT68" s="551"/>
      <c r="AU68" s="182"/>
      <c r="AV68" s="552"/>
      <c r="AW68" s="477" t="e">
        <f t="shared" si="25"/>
        <v>#N/A</v>
      </c>
      <c r="AX68" s="662"/>
    </row>
    <row r="69" spans="2:50">
      <c r="B69" s="676"/>
      <c r="C69" s="322">
        <v>28</v>
      </c>
      <c r="D69" s="551"/>
      <c r="E69" s="551"/>
      <c r="F69" s="551"/>
      <c r="G69" s="551"/>
      <c r="H69" s="662"/>
      <c r="I69" s="202"/>
      <c r="J69" s="202"/>
      <c r="K69" s="202"/>
      <c r="L69" s="647"/>
      <c r="M69" s="199" t="e">
        <f>RANK(K69, K$42:$K$71)</f>
        <v>#N/A</v>
      </c>
      <c r="N69" s="654"/>
      <c r="O69" s="654"/>
      <c r="P69" s="423"/>
      <c r="Q69" s="182"/>
      <c r="R69" s="424"/>
      <c r="S69" s="322" t="e">
        <f t="shared" si="14"/>
        <v>#N/A</v>
      </c>
      <c r="T69" s="662"/>
      <c r="U69" s="551"/>
      <c r="V69" s="182"/>
      <c r="W69" s="552"/>
      <c r="X69" s="477" t="e">
        <f t="shared" si="15"/>
        <v>#N/A</v>
      </c>
      <c r="Y69" s="662"/>
      <c r="Z69" s="551"/>
      <c r="AA69" s="182"/>
      <c r="AB69" s="552"/>
      <c r="AC69" s="477" t="e">
        <f t="shared" si="17"/>
        <v>#N/A</v>
      </c>
      <c r="AD69" s="662"/>
      <c r="AE69" s="551"/>
      <c r="AF69" s="182"/>
      <c r="AG69" s="552"/>
      <c r="AH69" s="477" t="e">
        <f t="shared" si="19"/>
        <v>#N/A</v>
      </c>
      <c r="AI69" s="662"/>
      <c r="AJ69" s="551"/>
      <c r="AK69" s="182"/>
      <c r="AL69" s="552"/>
      <c r="AM69" s="477" t="e">
        <f t="shared" si="21"/>
        <v>#N/A</v>
      </c>
      <c r="AN69" s="662"/>
      <c r="AO69" s="551"/>
      <c r="AP69" s="182"/>
      <c r="AQ69" s="552"/>
      <c r="AR69" s="477" t="e">
        <f t="shared" si="23"/>
        <v>#N/A</v>
      </c>
      <c r="AS69" s="662"/>
      <c r="AT69" s="551"/>
      <c r="AU69" s="182"/>
      <c r="AV69" s="552"/>
      <c r="AW69" s="477" t="e">
        <f t="shared" si="25"/>
        <v>#N/A</v>
      </c>
      <c r="AX69" s="662"/>
    </row>
    <row r="70" spans="2:50">
      <c r="B70" s="676"/>
      <c r="C70" s="322">
        <v>29</v>
      </c>
      <c r="D70" s="551"/>
      <c r="E70" s="551"/>
      <c r="F70" s="551"/>
      <c r="G70" s="551"/>
      <c r="H70" s="662"/>
      <c r="I70" s="202"/>
      <c r="J70" s="202"/>
      <c r="K70" s="202"/>
      <c r="L70" s="647"/>
      <c r="M70" s="199" t="e">
        <f>RANK(K70, K$42:$K$71)</f>
        <v>#N/A</v>
      </c>
      <c r="N70" s="654"/>
      <c r="O70" s="654"/>
      <c r="P70" s="423"/>
      <c r="Q70" s="182"/>
      <c r="R70" s="424"/>
      <c r="S70" s="322" t="e">
        <f t="shared" si="14"/>
        <v>#N/A</v>
      </c>
      <c r="T70" s="662"/>
      <c r="U70" s="551"/>
      <c r="V70" s="182"/>
      <c r="W70" s="552"/>
      <c r="X70" s="477" t="e">
        <f t="shared" si="15"/>
        <v>#N/A</v>
      </c>
      <c r="Y70" s="662"/>
      <c r="Z70" s="551"/>
      <c r="AA70" s="182"/>
      <c r="AB70" s="552"/>
      <c r="AC70" s="477" t="e">
        <f t="shared" si="17"/>
        <v>#N/A</v>
      </c>
      <c r="AD70" s="662"/>
      <c r="AE70" s="551"/>
      <c r="AF70" s="182"/>
      <c r="AG70" s="552"/>
      <c r="AH70" s="477" t="e">
        <f t="shared" si="19"/>
        <v>#N/A</v>
      </c>
      <c r="AI70" s="662"/>
      <c r="AJ70" s="551"/>
      <c r="AK70" s="182"/>
      <c r="AL70" s="552"/>
      <c r="AM70" s="477" t="e">
        <f t="shared" si="21"/>
        <v>#N/A</v>
      </c>
      <c r="AN70" s="662"/>
      <c r="AO70" s="551"/>
      <c r="AP70" s="182"/>
      <c r="AQ70" s="552"/>
      <c r="AR70" s="477" t="e">
        <f t="shared" si="23"/>
        <v>#N/A</v>
      </c>
      <c r="AS70" s="662"/>
      <c r="AT70" s="551"/>
      <c r="AU70" s="182"/>
      <c r="AV70" s="552"/>
      <c r="AW70" s="477" t="e">
        <f t="shared" si="25"/>
        <v>#N/A</v>
      </c>
      <c r="AX70" s="662"/>
    </row>
    <row r="71" spans="2:50">
      <c r="B71" s="677"/>
      <c r="C71" s="322">
        <v>30</v>
      </c>
      <c r="D71" s="551"/>
      <c r="E71" s="551"/>
      <c r="F71" s="551"/>
      <c r="G71" s="551"/>
      <c r="H71" s="663"/>
      <c r="I71" s="202"/>
      <c r="J71" s="202"/>
      <c r="K71" s="202"/>
      <c r="L71" s="648"/>
      <c r="M71" s="199" t="e">
        <f>RANK(K71, K$42:$K$71)</f>
        <v>#N/A</v>
      </c>
      <c r="N71" s="655"/>
      <c r="O71" s="655"/>
      <c r="P71" s="423"/>
      <c r="Q71" s="182"/>
      <c r="R71" s="424"/>
      <c r="S71" s="322" t="e">
        <f t="shared" si="14"/>
        <v>#N/A</v>
      </c>
      <c r="T71" s="663"/>
      <c r="U71" s="551"/>
      <c r="V71" s="182"/>
      <c r="W71" s="552"/>
      <c r="X71" s="477" t="e">
        <f t="shared" si="15"/>
        <v>#N/A</v>
      </c>
      <c r="Y71" s="663"/>
      <c r="Z71" s="551"/>
      <c r="AA71" s="182"/>
      <c r="AB71" s="552"/>
      <c r="AC71" s="477" t="e">
        <f t="shared" si="17"/>
        <v>#N/A</v>
      </c>
      <c r="AD71" s="663"/>
      <c r="AE71" s="551"/>
      <c r="AF71" s="182"/>
      <c r="AG71" s="552"/>
      <c r="AH71" s="477" t="e">
        <f t="shared" si="19"/>
        <v>#N/A</v>
      </c>
      <c r="AI71" s="663"/>
      <c r="AJ71" s="551"/>
      <c r="AK71" s="182"/>
      <c r="AL71" s="552"/>
      <c r="AM71" s="477" t="e">
        <f t="shared" si="21"/>
        <v>#N/A</v>
      </c>
      <c r="AN71" s="663"/>
      <c r="AO71" s="551"/>
      <c r="AP71" s="182"/>
      <c r="AQ71" s="552"/>
      <c r="AR71" s="477" t="e">
        <f t="shared" si="23"/>
        <v>#N/A</v>
      </c>
      <c r="AS71" s="663"/>
      <c r="AT71" s="551"/>
      <c r="AU71" s="182"/>
      <c r="AV71" s="552"/>
      <c r="AW71" s="477" t="e">
        <f t="shared" si="25"/>
        <v>#N/A</v>
      </c>
      <c r="AX71" s="663"/>
    </row>
    <row r="72" spans="2:50" ht="15.75">
      <c r="B72" s="678" t="s">
        <v>163</v>
      </c>
      <c r="C72" s="679"/>
      <c r="D72" s="679"/>
      <c r="E72" s="679"/>
      <c r="F72" s="679"/>
      <c r="G72" s="679"/>
      <c r="H72" s="679"/>
      <c r="I72" s="208"/>
      <c r="J72" s="203"/>
      <c r="K72" s="208"/>
      <c r="L72" s="208"/>
      <c r="M72" s="204"/>
      <c r="N72" s="653" t="s">
        <v>156</v>
      </c>
      <c r="O72" s="653" t="s">
        <v>155</v>
      </c>
      <c r="P72" s="659">
        <f>P37+7</f>
        <v>46063</v>
      </c>
      <c r="Q72" s="660"/>
      <c r="R72" s="660"/>
      <c r="S72" s="660"/>
      <c r="T72" s="660"/>
      <c r="U72" s="656">
        <f>P72+1</f>
        <v>46064</v>
      </c>
      <c r="V72" s="657"/>
      <c r="W72" s="657"/>
      <c r="X72" s="657"/>
      <c r="Y72" s="658"/>
      <c r="Z72" s="656">
        <f>U72+1</f>
        <v>46065</v>
      </c>
      <c r="AA72" s="657"/>
      <c r="AB72" s="657"/>
      <c r="AC72" s="657"/>
      <c r="AD72" s="658"/>
      <c r="AE72" s="656">
        <f>Z72+1</f>
        <v>46066</v>
      </c>
      <c r="AF72" s="657"/>
      <c r="AG72" s="657"/>
      <c r="AH72" s="657"/>
      <c r="AI72" s="658"/>
      <c r="AJ72" s="656">
        <f>AE72+1</f>
        <v>46067</v>
      </c>
      <c r="AK72" s="657"/>
      <c r="AL72" s="657"/>
      <c r="AM72" s="657"/>
      <c r="AN72" s="658"/>
      <c r="AO72" s="656">
        <f>AJ72+1</f>
        <v>46068</v>
      </c>
      <c r="AP72" s="657"/>
      <c r="AQ72" s="657"/>
      <c r="AR72" s="657"/>
      <c r="AS72" s="658"/>
      <c r="AT72" s="656">
        <f>AO72+1</f>
        <v>46069</v>
      </c>
      <c r="AU72" s="657"/>
      <c r="AV72" s="657"/>
      <c r="AW72" s="657"/>
      <c r="AX72" s="658"/>
    </row>
    <row r="73" spans="2:50" ht="15.75">
      <c r="B73" s="667"/>
      <c r="C73" s="667"/>
      <c r="D73" s="667"/>
      <c r="E73" s="667"/>
      <c r="F73" s="667"/>
      <c r="G73" s="667"/>
      <c r="H73" s="667"/>
      <c r="I73" s="205"/>
      <c r="J73" s="205"/>
      <c r="K73" s="205"/>
      <c r="L73" s="205"/>
      <c r="M73" s="206"/>
      <c r="N73" s="655"/>
      <c r="O73" s="655"/>
      <c r="P73" s="659" t="s">
        <v>336</v>
      </c>
      <c r="Q73" s="660"/>
      <c r="R73" s="660"/>
      <c r="S73" s="660"/>
      <c r="T73" s="660"/>
      <c r="U73" s="659" t="s">
        <v>337</v>
      </c>
      <c r="V73" s="660"/>
      <c r="W73" s="660"/>
      <c r="X73" s="660"/>
      <c r="Y73" s="660"/>
      <c r="Z73" s="659" t="s">
        <v>338</v>
      </c>
      <c r="AA73" s="660"/>
      <c r="AB73" s="660"/>
      <c r="AC73" s="660"/>
      <c r="AD73" s="660"/>
      <c r="AE73" s="659" t="s">
        <v>339</v>
      </c>
      <c r="AF73" s="660"/>
      <c r="AG73" s="660"/>
      <c r="AH73" s="660"/>
      <c r="AI73" s="660"/>
      <c r="AJ73" s="659" t="s">
        <v>340</v>
      </c>
      <c r="AK73" s="660"/>
      <c r="AL73" s="660"/>
      <c r="AM73" s="660"/>
      <c r="AN73" s="660"/>
      <c r="AO73" s="659" t="s">
        <v>341</v>
      </c>
      <c r="AP73" s="660"/>
      <c r="AQ73" s="660"/>
      <c r="AR73" s="660"/>
      <c r="AS73" s="660"/>
      <c r="AT73" s="659" t="s">
        <v>342</v>
      </c>
      <c r="AU73" s="660"/>
      <c r="AV73" s="660"/>
      <c r="AW73" s="660"/>
      <c r="AX73" s="660"/>
    </row>
    <row r="74" spans="2:50">
      <c r="B74" s="653" t="s">
        <v>618</v>
      </c>
      <c r="C74" s="668" t="s">
        <v>619</v>
      </c>
      <c r="D74" s="671"/>
      <c r="E74" s="649" t="s">
        <v>620</v>
      </c>
      <c r="F74" s="650"/>
      <c r="G74" s="651"/>
      <c r="H74" s="653" t="s">
        <v>621</v>
      </c>
      <c r="I74" s="640" t="s">
        <v>622</v>
      </c>
      <c r="J74" s="641"/>
      <c r="K74" s="642"/>
      <c r="L74" s="643" t="s">
        <v>621</v>
      </c>
      <c r="M74" s="643" t="s">
        <v>623</v>
      </c>
      <c r="N74" s="653"/>
      <c r="O74" s="653" t="s">
        <v>624</v>
      </c>
      <c r="P74" s="649" t="s">
        <v>625</v>
      </c>
      <c r="Q74" s="650"/>
      <c r="R74" s="650"/>
      <c r="S74" s="651"/>
      <c r="T74" s="653" t="s">
        <v>621</v>
      </c>
      <c r="U74" s="649" t="s">
        <v>625</v>
      </c>
      <c r="V74" s="650"/>
      <c r="W74" s="650"/>
      <c r="X74" s="651"/>
      <c r="Y74" s="653" t="s">
        <v>621</v>
      </c>
      <c r="Z74" s="649" t="s">
        <v>625</v>
      </c>
      <c r="AA74" s="650"/>
      <c r="AB74" s="650"/>
      <c r="AC74" s="651"/>
      <c r="AD74" s="653" t="s">
        <v>621</v>
      </c>
      <c r="AE74" s="649" t="s">
        <v>625</v>
      </c>
      <c r="AF74" s="650"/>
      <c r="AG74" s="650"/>
      <c r="AH74" s="651"/>
      <c r="AI74" s="653" t="s">
        <v>621</v>
      </c>
      <c r="AJ74" s="649" t="s">
        <v>625</v>
      </c>
      <c r="AK74" s="650"/>
      <c r="AL74" s="650"/>
      <c r="AM74" s="651"/>
      <c r="AN74" s="653" t="s">
        <v>621</v>
      </c>
      <c r="AO74" s="649" t="s">
        <v>625</v>
      </c>
      <c r="AP74" s="650"/>
      <c r="AQ74" s="650"/>
      <c r="AR74" s="651"/>
      <c r="AS74" s="653" t="s">
        <v>621</v>
      </c>
      <c r="AT74" s="649" t="s">
        <v>625</v>
      </c>
      <c r="AU74" s="650"/>
      <c r="AV74" s="650"/>
      <c r="AW74" s="651"/>
      <c r="AX74" s="653" t="s">
        <v>621</v>
      </c>
    </row>
    <row r="75" spans="2:50">
      <c r="B75" s="654"/>
      <c r="C75" s="669"/>
      <c r="D75" s="672"/>
      <c r="E75" s="649" t="s">
        <v>626</v>
      </c>
      <c r="F75" s="650"/>
      <c r="G75" s="651"/>
      <c r="H75" s="654"/>
      <c r="I75" s="640" t="s">
        <v>626</v>
      </c>
      <c r="J75" s="641"/>
      <c r="K75" s="642"/>
      <c r="L75" s="644"/>
      <c r="M75" s="644"/>
      <c r="N75" s="654"/>
      <c r="O75" s="654"/>
      <c r="P75" s="649" t="s">
        <v>627</v>
      </c>
      <c r="Q75" s="650"/>
      <c r="R75" s="650"/>
      <c r="S75" s="651"/>
      <c r="T75" s="654"/>
      <c r="U75" s="649" t="s">
        <v>627</v>
      </c>
      <c r="V75" s="650"/>
      <c r="W75" s="650"/>
      <c r="X75" s="651"/>
      <c r="Y75" s="654"/>
      <c r="Z75" s="649" t="s">
        <v>627</v>
      </c>
      <c r="AA75" s="650"/>
      <c r="AB75" s="650"/>
      <c r="AC75" s="651"/>
      <c r="AD75" s="654"/>
      <c r="AE75" s="649" t="s">
        <v>627</v>
      </c>
      <c r="AF75" s="650"/>
      <c r="AG75" s="650"/>
      <c r="AH75" s="651"/>
      <c r="AI75" s="654"/>
      <c r="AJ75" s="649" t="s">
        <v>627</v>
      </c>
      <c r="AK75" s="650"/>
      <c r="AL75" s="650"/>
      <c r="AM75" s="651"/>
      <c r="AN75" s="654"/>
      <c r="AO75" s="649" t="s">
        <v>627</v>
      </c>
      <c r="AP75" s="650"/>
      <c r="AQ75" s="650"/>
      <c r="AR75" s="651"/>
      <c r="AS75" s="654"/>
      <c r="AT75" s="649" t="s">
        <v>627</v>
      </c>
      <c r="AU75" s="650"/>
      <c r="AV75" s="650"/>
      <c r="AW75" s="651"/>
      <c r="AX75" s="654"/>
    </row>
    <row r="76" spans="2:50">
      <c r="B76" s="655"/>
      <c r="C76" s="670"/>
      <c r="D76" s="673"/>
      <c r="E76" s="327" t="s">
        <v>628</v>
      </c>
      <c r="F76" s="327" t="s">
        <v>629</v>
      </c>
      <c r="G76" s="327" t="s">
        <v>630</v>
      </c>
      <c r="H76" s="655"/>
      <c r="I76" s="326" t="s">
        <v>628</v>
      </c>
      <c r="J76" s="326" t="s">
        <v>629</v>
      </c>
      <c r="K76" s="326" t="s">
        <v>630</v>
      </c>
      <c r="L76" s="645"/>
      <c r="M76" s="645"/>
      <c r="N76" s="654"/>
      <c r="O76" s="654"/>
      <c r="P76" s="327" t="s">
        <v>628</v>
      </c>
      <c r="Q76" s="327" t="s">
        <v>629</v>
      </c>
      <c r="R76" s="327" t="s">
        <v>630</v>
      </c>
      <c r="S76" s="327" t="s">
        <v>623</v>
      </c>
      <c r="T76" s="655"/>
      <c r="U76" s="327" t="s">
        <v>628</v>
      </c>
      <c r="V76" s="327" t="s">
        <v>629</v>
      </c>
      <c r="W76" s="327" t="s">
        <v>630</v>
      </c>
      <c r="X76" s="327" t="s">
        <v>623</v>
      </c>
      <c r="Y76" s="655"/>
      <c r="Z76" s="327" t="s">
        <v>628</v>
      </c>
      <c r="AA76" s="327" t="s">
        <v>629</v>
      </c>
      <c r="AB76" s="327" t="s">
        <v>630</v>
      </c>
      <c r="AC76" s="327" t="s">
        <v>623</v>
      </c>
      <c r="AD76" s="655"/>
      <c r="AE76" s="327" t="s">
        <v>628</v>
      </c>
      <c r="AF76" s="327" t="s">
        <v>629</v>
      </c>
      <c r="AG76" s="327" t="s">
        <v>630</v>
      </c>
      <c r="AH76" s="327" t="s">
        <v>623</v>
      </c>
      <c r="AI76" s="655"/>
      <c r="AJ76" s="327" t="s">
        <v>628</v>
      </c>
      <c r="AK76" s="327" t="s">
        <v>629</v>
      </c>
      <c r="AL76" s="327" t="s">
        <v>630</v>
      </c>
      <c r="AM76" s="327" t="s">
        <v>623</v>
      </c>
      <c r="AN76" s="655"/>
      <c r="AO76" s="327" t="s">
        <v>628</v>
      </c>
      <c r="AP76" s="327" t="s">
        <v>629</v>
      </c>
      <c r="AQ76" s="327" t="s">
        <v>630</v>
      </c>
      <c r="AR76" s="327" t="s">
        <v>623</v>
      </c>
      <c r="AS76" s="655"/>
      <c r="AT76" s="327" t="s">
        <v>628</v>
      </c>
      <c r="AU76" s="327" t="s">
        <v>629</v>
      </c>
      <c r="AV76" s="327" t="s">
        <v>630</v>
      </c>
      <c r="AW76" s="327" t="s">
        <v>623</v>
      </c>
      <c r="AX76" s="655"/>
    </row>
    <row r="77" spans="2:50">
      <c r="B77" s="675" t="s">
        <v>150</v>
      </c>
      <c r="C77" s="328">
        <v>1</v>
      </c>
      <c r="D77" s="551" t="s">
        <v>358</v>
      </c>
      <c r="E77" s="551">
        <v>4</v>
      </c>
      <c r="F77" s="551">
        <v>2200</v>
      </c>
      <c r="G77" s="551">
        <v>550</v>
      </c>
      <c r="H77" s="661">
        <f>AVERAGE(G77:G106)</f>
        <v>849.60317460317469</v>
      </c>
      <c r="I77" s="540">
        <f t="shared" ref="I77:K92" si="33">AVERAGE(P77,U77,Z77,AE77,AJ77,AO77,AT77)</f>
        <v>3</v>
      </c>
      <c r="J77" s="540">
        <f t="shared" si="33"/>
        <v>3211.908030073464</v>
      </c>
      <c r="K77" s="200">
        <f t="shared" si="33"/>
        <v>1070.6360100244879</v>
      </c>
      <c r="L77" s="646">
        <f>IFERROR(AVERAGE(K77:K106),"-")</f>
        <v>789.53037359408268</v>
      </c>
      <c r="M77" s="199">
        <f>RANK(K77, K$77:$K$106)</f>
        <v>1</v>
      </c>
      <c r="N77" s="654"/>
      <c r="O77" s="654"/>
      <c r="P77" s="426">
        <v>3</v>
      </c>
      <c r="Q77" s="182">
        <v>3276.521739130435</v>
      </c>
      <c r="R77" s="182">
        <v>1092.1739130434783</v>
      </c>
      <c r="S77" s="328">
        <f>RANK(R77, R$77:R$106)</f>
        <v>1</v>
      </c>
      <c r="T77" s="661">
        <f>AVERAGE(R77:R106)</f>
        <v>811.04635049345688</v>
      </c>
      <c r="U77" s="426">
        <v>3</v>
      </c>
      <c r="V77" s="182">
        <v>3190.2127659574471</v>
      </c>
      <c r="W77" s="182">
        <v>1063.4042553191491</v>
      </c>
      <c r="X77" s="477">
        <f t="shared" ref="X77:X92" si="34">RANK(W77, W$77:W$106)</f>
        <v>1</v>
      </c>
      <c r="Y77" s="661">
        <f t="shared" ref="Y77" si="35">AVERAGE(W77:W106)</f>
        <v>784.54938923165082</v>
      </c>
      <c r="Z77" s="571">
        <v>3</v>
      </c>
      <c r="AA77" s="182">
        <v>3165</v>
      </c>
      <c r="AB77" s="182">
        <v>1055</v>
      </c>
      <c r="AC77" s="477">
        <f t="shared" ref="AC77:AC92" si="36">RANK(AB77, AB$77:AB$106)</f>
        <v>2</v>
      </c>
      <c r="AD77" s="661">
        <f t="shared" ref="AD77" si="37">AVERAGE(AB77:AB106)</f>
        <v>764.23554527547367</v>
      </c>
      <c r="AE77" s="571">
        <v>3</v>
      </c>
      <c r="AF77" s="182">
        <v>3221.8604651162786</v>
      </c>
      <c r="AG77" s="182">
        <v>1073.9534883720928</v>
      </c>
      <c r="AH77" s="477">
        <f t="shared" ref="AH77:AH92" si="38">RANK(AG77, AG$77:AG$106)</f>
        <v>3</v>
      </c>
      <c r="AI77" s="661">
        <f t="shared" ref="AI77" si="39">AVERAGE(AG77:AG106)</f>
        <v>801.16217982438627</v>
      </c>
      <c r="AJ77" s="571">
        <v>3</v>
      </c>
      <c r="AK77" s="182">
        <v>3231.6279069767434</v>
      </c>
      <c r="AL77" s="182">
        <v>1077.2093023255811</v>
      </c>
      <c r="AM77" s="477">
        <f t="shared" ref="AM77:AM92" si="40">RANK(AL77, AL$77:AL$106)</f>
        <v>3</v>
      </c>
      <c r="AN77" s="661">
        <f t="shared" ref="AN77" si="41">AVERAGE(AL77:AL106)</f>
        <v>802.47423962949051</v>
      </c>
      <c r="AO77" s="571">
        <v>3</v>
      </c>
      <c r="AP77" s="182">
        <v>3225.3333333333389</v>
      </c>
      <c r="AQ77" s="182">
        <v>1075.1111111111129</v>
      </c>
      <c r="AR77" s="477">
        <f t="shared" ref="AR77:AR92" si="42">RANK(AQ77, AQ$77:AQ$106)</f>
        <v>1</v>
      </c>
      <c r="AS77" s="661">
        <f t="shared" ref="AS77" si="43">AVERAGE(AQ77:AQ106)</f>
        <v>775.1268529339809</v>
      </c>
      <c r="AT77" s="571">
        <v>3</v>
      </c>
      <c r="AU77" s="182">
        <v>3172.8000000000011</v>
      </c>
      <c r="AV77" s="182">
        <v>1057.6000000000004</v>
      </c>
      <c r="AW77" s="477">
        <f t="shared" ref="AW77:AW92" si="44">RANK(AV77, AV$77:AV$106)</f>
        <v>2</v>
      </c>
      <c r="AX77" s="661">
        <f t="shared" ref="AX77" si="45">AVERAGE(AV77:AV106)</f>
        <v>788.1180577701399</v>
      </c>
    </row>
    <row r="78" spans="2:50">
      <c r="B78" s="676"/>
      <c r="C78" s="328">
        <v>2</v>
      </c>
      <c r="D78" s="551" t="s">
        <v>359</v>
      </c>
      <c r="E78" s="551">
        <v>3</v>
      </c>
      <c r="F78" s="551">
        <v>2700</v>
      </c>
      <c r="G78" s="551">
        <v>900</v>
      </c>
      <c r="H78" s="662"/>
      <c r="I78" s="540">
        <f t="shared" si="33"/>
        <v>3</v>
      </c>
      <c r="J78" s="540">
        <f t="shared" si="33"/>
        <v>3068.080062794354</v>
      </c>
      <c r="K78" s="200">
        <f t="shared" si="33"/>
        <v>1022.6933542647847</v>
      </c>
      <c r="L78" s="647"/>
      <c r="M78" s="199">
        <f>RANK(K78, K$77:$K$106)</f>
        <v>4</v>
      </c>
      <c r="N78" s="654"/>
      <c r="O78" s="654"/>
      <c r="P78" s="182">
        <v>3</v>
      </c>
      <c r="Q78" s="182">
        <v>3139.9999999999945</v>
      </c>
      <c r="R78" s="182">
        <v>1046.6666666666649</v>
      </c>
      <c r="S78" s="335">
        <f t="shared" ref="S78:S106" si="46">RANK(R78, R$77:R$106)</f>
        <v>4</v>
      </c>
      <c r="T78" s="662"/>
      <c r="U78" s="182">
        <v>3</v>
      </c>
      <c r="V78" s="182">
        <v>3115.714285714279</v>
      </c>
      <c r="W78" s="182">
        <v>1038.5714285714264</v>
      </c>
      <c r="X78" s="477">
        <f t="shared" si="34"/>
        <v>4</v>
      </c>
      <c r="Y78" s="662"/>
      <c r="Z78" s="571">
        <v>3</v>
      </c>
      <c r="AA78" s="182">
        <v>3013.8461538461829</v>
      </c>
      <c r="AB78" s="182">
        <v>1004.6153846153943</v>
      </c>
      <c r="AC78" s="477">
        <f t="shared" si="36"/>
        <v>4</v>
      </c>
      <c r="AD78" s="662"/>
      <c r="AE78" s="571">
        <v>3</v>
      </c>
      <c r="AF78" s="182">
        <v>3210.0000000000114</v>
      </c>
      <c r="AG78" s="182">
        <v>1070.0000000000039</v>
      </c>
      <c r="AH78" s="477">
        <f t="shared" si="38"/>
        <v>4</v>
      </c>
      <c r="AI78" s="662"/>
      <c r="AJ78" s="571">
        <v>3</v>
      </c>
      <c r="AK78" s="182">
        <v>3254.99999999999</v>
      </c>
      <c r="AL78" s="182">
        <v>1084.9999999999966</v>
      </c>
      <c r="AM78" s="477">
        <f t="shared" si="40"/>
        <v>2</v>
      </c>
      <c r="AN78" s="662"/>
      <c r="AO78" s="571">
        <v>3</v>
      </c>
      <c r="AP78" s="182">
        <v>2652.0000000000095</v>
      </c>
      <c r="AQ78" s="182">
        <v>884.00000000000318</v>
      </c>
      <c r="AR78" s="477">
        <f t="shared" si="42"/>
        <v>8</v>
      </c>
      <c r="AS78" s="662"/>
      <c r="AT78" s="571">
        <v>3</v>
      </c>
      <c r="AU78" s="182">
        <v>3090.0000000000109</v>
      </c>
      <c r="AV78" s="182">
        <v>1030.0000000000036</v>
      </c>
      <c r="AW78" s="477">
        <f t="shared" si="44"/>
        <v>4</v>
      </c>
      <c r="AX78" s="662"/>
    </row>
    <row r="79" spans="2:50">
      <c r="B79" s="676"/>
      <c r="C79" s="328">
        <v>3</v>
      </c>
      <c r="D79" s="551" t="s">
        <v>348</v>
      </c>
      <c r="E79" s="551">
        <v>4</v>
      </c>
      <c r="F79" s="551">
        <v>3600</v>
      </c>
      <c r="G79" s="551">
        <v>900</v>
      </c>
      <c r="H79" s="662"/>
      <c r="I79" s="540">
        <f t="shared" si="33"/>
        <v>4</v>
      </c>
      <c r="J79" s="540">
        <f t="shared" si="33"/>
        <v>3228.294579370207</v>
      </c>
      <c r="K79" s="200">
        <f t="shared" si="33"/>
        <v>807.07364484255174</v>
      </c>
      <c r="L79" s="647"/>
      <c r="M79" s="199">
        <f>RANK(K79, K$77:$K$106)</f>
        <v>11</v>
      </c>
      <c r="N79" s="654"/>
      <c r="O79" s="654"/>
      <c r="P79" s="182">
        <v>4</v>
      </c>
      <c r="Q79" s="182">
        <v>3317.6470588235175</v>
      </c>
      <c r="R79" s="182">
        <v>829.41176470587936</v>
      </c>
      <c r="S79" s="335">
        <f t="shared" si="46"/>
        <v>12</v>
      </c>
      <c r="T79" s="662"/>
      <c r="U79" s="182">
        <v>4</v>
      </c>
      <c r="V79" s="182">
        <v>3215.2941176470472</v>
      </c>
      <c r="W79" s="182">
        <v>803.8235294117618</v>
      </c>
      <c r="X79" s="477">
        <f t="shared" si="34"/>
        <v>11</v>
      </c>
      <c r="Y79" s="662"/>
      <c r="Z79" s="571">
        <v>4</v>
      </c>
      <c r="AA79" s="182">
        <v>3180.0000000000109</v>
      </c>
      <c r="AB79" s="182">
        <v>795.00000000000273</v>
      </c>
      <c r="AC79" s="477">
        <f t="shared" si="36"/>
        <v>9</v>
      </c>
      <c r="AD79" s="662"/>
      <c r="AE79" s="571">
        <v>4</v>
      </c>
      <c r="AF79" s="182">
        <v>3321.4285714285643</v>
      </c>
      <c r="AG79" s="182">
        <v>830.35714285714107</v>
      </c>
      <c r="AH79" s="477">
        <f t="shared" si="38"/>
        <v>11</v>
      </c>
      <c r="AI79" s="662"/>
      <c r="AJ79" s="571">
        <v>4</v>
      </c>
      <c r="AK79" s="182">
        <v>3387.6923076923194</v>
      </c>
      <c r="AL79" s="182">
        <v>846.92307692307986</v>
      </c>
      <c r="AM79" s="477">
        <f t="shared" si="40"/>
        <v>9</v>
      </c>
      <c r="AN79" s="662"/>
      <c r="AO79" s="571">
        <v>4</v>
      </c>
      <c r="AP79" s="182">
        <v>3043.9999999999945</v>
      </c>
      <c r="AQ79" s="182">
        <v>760.99999999999864</v>
      </c>
      <c r="AR79" s="477">
        <f t="shared" si="42"/>
        <v>12</v>
      </c>
      <c r="AS79" s="662"/>
      <c r="AT79" s="571">
        <v>4</v>
      </c>
      <c r="AU79" s="182">
        <v>3131.9999999999945</v>
      </c>
      <c r="AV79" s="182">
        <v>782.99999999999864</v>
      </c>
      <c r="AW79" s="477">
        <f t="shared" si="44"/>
        <v>10</v>
      </c>
      <c r="AX79" s="662"/>
    </row>
    <row r="80" spans="2:50">
      <c r="B80" s="676"/>
      <c r="C80" s="328">
        <v>4</v>
      </c>
      <c r="D80" s="551" t="s">
        <v>361</v>
      </c>
      <c r="E80" s="551">
        <v>3</v>
      </c>
      <c r="F80" s="551">
        <v>3600</v>
      </c>
      <c r="G80" s="551">
        <v>1200</v>
      </c>
      <c r="H80" s="662"/>
      <c r="I80" s="540">
        <f t="shared" si="33"/>
        <v>3</v>
      </c>
      <c r="J80" s="540">
        <f t="shared" si="33"/>
        <v>3198.6349411237848</v>
      </c>
      <c r="K80" s="200">
        <f t="shared" si="33"/>
        <v>1066.2116470412616</v>
      </c>
      <c r="L80" s="647"/>
      <c r="M80" s="199">
        <f>RANK(K80, K$77:$K$106)</f>
        <v>2</v>
      </c>
      <c r="N80" s="654"/>
      <c r="O80" s="654"/>
      <c r="P80" s="182">
        <v>3</v>
      </c>
      <c r="Q80" s="182">
        <v>3185.2941176470631</v>
      </c>
      <c r="R80" s="182">
        <v>1061.7647058823543</v>
      </c>
      <c r="S80" s="335">
        <f t="shared" si="46"/>
        <v>2</v>
      </c>
      <c r="T80" s="662"/>
      <c r="U80" s="182">
        <v>3</v>
      </c>
      <c r="V80" s="182">
        <v>3170.909090909091</v>
      </c>
      <c r="W80" s="182">
        <v>1056.969696969697</v>
      </c>
      <c r="X80" s="477">
        <f t="shared" si="34"/>
        <v>2</v>
      </c>
      <c r="Y80" s="662"/>
      <c r="Z80" s="571">
        <v>3</v>
      </c>
      <c r="AA80" s="182">
        <v>3196.9999999999986</v>
      </c>
      <c r="AB80" s="182">
        <v>1065.6666666666663</v>
      </c>
      <c r="AC80" s="477">
        <f t="shared" si="36"/>
        <v>1</v>
      </c>
      <c r="AD80" s="662"/>
      <c r="AE80" s="571">
        <v>3</v>
      </c>
      <c r="AF80" s="182">
        <v>3248.2758620689638</v>
      </c>
      <c r="AG80" s="182">
        <v>1082.7586206896547</v>
      </c>
      <c r="AH80" s="477">
        <f t="shared" si="38"/>
        <v>2</v>
      </c>
      <c r="AI80" s="662"/>
      <c r="AJ80" s="571">
        <v>3</v>
      </c>
      <c r="AK80" s="182">
        <v>3208.9655172413773</v>
      </c>
      <c r="AL80" s="182">
        <v>1069.6551724137923</v>
      </c>
      <c r="AM80" s="477">
        <f t="shared" si="40"/>
        <v>4</v>
      </c>
      <c r="AN80" s="662"/>
      <c r="AO80" s="571">
        <v>3</v>
      </c>
      <c r="AP80" s="182">
        <v>3199.9999999999986</v>
      </c>
      <c r="AQ80" s="182">
        <v>1066.6666666666663</v>
      </c>
      <c r="AR80" s="477">
        <f t="shared" si="42"/>
        <v>2</v>
      </c>
      <c r="AS80" s="662"/>
      <c r="AT80" s="571">
        <v>3</v>
      </c>
      <c r="AU80" s="182">
        <v>3180.0000000000009</v>
      </c>
      <c r="AV80" s="182">
        <v>1060.0000000000002</v>
      </c>
      <c r="AW80" s="477">
        <f t="shared" si="44"/>
        <v>1</v>
      </c>
      <c r="AX80" s="662"/>
    </row>
    <row r="81" spans="2:50">
      <c r="B81" s="676"/>
      <c r="C81" s="328">
        <v>5</v>
      </c>
      <c r="D81" s="551" t="s">
        <v>362</v>
      </c>
      <c r="E81" s="551">
        <v>3</v>
      </c>
      <c r="F81" s="551">
        <v>3600</v>
      </c>
      <c r="G81" s="551">
        <v>1200</v>
      </c>
      <c r="H81" s="662"/>
      <c r="I81" s="540">
        <f t="shared" si="33"/>
        <v>4</v>
      </c>
      <c r="J81" s="540">
        <f t="shared" si="33"/>
        <v>3241.5904695718359</v>
      </c>
      <c r="K81" s="200">
        <f t="shared" si="33"/>
        <v>810.39761739295898</v>
      </c>
      <c r="L81" s="647"/>
      <c r="M81" s="199">
        <f>RANK(K81, K$77:$K$106)</f>
        <v>10</v>
      </c>
      <c r="N81" s="654"/>
      <c r="O81" s="654"/>
      <c r="P81" s="182">
        <v>4</v>
      </c>
      <c r="Q81" s="182">
        <v>3318.4615384615349</v>
      </c>
      <c r="R81" s="182">
        <v>829.61538461538373</v>
      </c>
      <c r="S81" s="335">
        <f t="shared" si="46"/>
        <v>11</v>
      </c>
      <c r="T81" s="662"/>
      <c r="U81" s="182">
        <v>4</v>
      </c>
      <c r="V81" s="182">
        <v>3126.6666666666638</v>
      </c>
      <c r="W81" s="182">
        <v>781.66666666666595</v>
      </c>
      <c r="X81" s="477">
        <f t="shared" si="34"/>
        <v>12</v>
      </c>
      <c r="Y81" s="662"/>
      <c r="Z81" s="571">
        <v>4</v>
      </c>
      <c r="AA81" s="182">
        <v>3155.0000000000009</v>
      </c>
      <c r="AB81" s="182">
        <v>788.75000000000023</v>
      </c>
      <c r="AC81" s="477">
        <f t="shared" si="36"/>
        <v>10</v>
      </c>
      <c r="AD81" s="662"/>
      <c r="AE81" s="571">
        <v>4</v>
      </c>
      <c r="AF81" s="182">
        <v>3444.5454545454545</v>
      </c>
      <c r="AG81" s="182">
        <v>861.13636363636363</v>
      </c>
      <c r="AH81" s="477">
        <f t="shared" si="38"/>
        <v>9</v>
      </c>
      <c r="AI81" s="662"/>
      <c r="AJ81" s="571">
        <v>4</v>
      </c>
      <c r="AK81" s="182">
        <v>3354.2857142857197</v>
      </c>
      <c r="AL81" s="182">
        <v>838.57142857142992</v>
      </c>
      <c r="AM81" s="477">
        <f t="shared" si="40"/>
        <v>10</v>
      </c>
      <c r="AN81" s="662"/>
      <c r="AO81" s="571">
        <v>4</v>
      </c>
      <c r="AP81" s="182">
        <v>3172.1739130434785</v>
      </c>
      <c r="AQ81" s="182">
        <v>793.04347826086962</v>
      </c>
      <c r="AR81" s="477">
        <f t="shared" si="42"/>
        <v>10</v>
      </c>
      <c r="AS81" s="662"/>
      <c r="AT81" s="571">
        <v>4</v>
      </c>
      <c r="AU81" s="182">
        <v>3120.0000000000009</v>
      </c>
      <c r="AV81" s="182">
        <v>780.00000000000023</v>
      </c>
      <c r="AW81" s="477">
        <f t="shared" si="44"/>
        <v>11</v>
      </c>
      <c r="AX81" s="662"/>
    </row>
    <row r="82" spans="2:50">
      <c r="B82" s="676"/>
      <c r="C82" s="328">
        <v>6</v>
      </c>
      <c r="D82" s="551" t="s">
        <v>360</v>
      </c>
      <c r="E82" s="551">
        <v>4</v>
      </c>
      <c r="F82" s="551">
        <v>3600</v>
      </c>
      <c r="G82" s="551">
        <v>900</v>
      </c>
      <c r="H82" s="662"/>
      <c r="I82" s="540">
        <f t="shared" si="33"/>
        <v>4</v>
      </c>
      <c r="J82" s="540">
        <f t="shared" si="33"/>
        <v>3244.1628371628394</v>
      </c>
      <c r="K82" s="200">
        <f t="shared" si="33"/>
        <v>811.04070929070986</v>
      </c>
      <c r="L82" s="647"/>
      <c r="M82" s="199">
        <f>RANK(K82, K$77:$K$106)</f>
        <v>9</v>
      </c>
      <c r="N82" s="654"/>
      <c r="O82" s="654"/>
      <c r="P82" s="182">
        <v>4</v>
      </c>
      <c r="Q82" s="182">
        <v>3327.6923076923094</v>
      </c>
      <c r="R82" s="182">
        <v>831.92307692307736</v>
      </c>
      <c r="S82" s="335">
        <f t="shared" si="46"/>
        <v>10</v>
      </c>
      <c r="T82" s="662"/>
      <c r="U82" s="182">
        <v>4</v>
      </c>
      <c r="V82" s="182">
        <v>3221.5384615384633</v>
      </c>
      <c r="W82" s="182">
        <v>805.38461538461581</v>
      </c>
      <c r="X82" s="477">
        <f t="shared" si="34"/>
        <v>10</v>
      </c>
      <c r="Y82" s="662"/>
      <c r="Z82" s="571">
        <v>4</v>
      </c>
      <c r="AA82" s="182">
        <v>3015.0000000000009</v>
      </c>
      <c r="AB82" s="182">
        <v>753.75000000000023</v>
      </c>
      <c r="AC82" s="477">
        <f t="shared" si="36"/>
        <v>11</v>
      </c>
      <c r="AD82" s="662"/>
      <c r="AE82" s="571">
        <v>4</v>
      </c>
      <c r="AF82" s="182">
        <v>3329.9999999999986</v>
      </c>
      <c r="AG82" s="182">
        <v>832.49999999999966</v>
      </c>
      <c r="AH82" s="477">
        <f t="shared" si="38"/>
        <v>10</v>
      </c>
      <c r="AI82" s="662"/>
      <c r="AJ82" s="571">
        <v>4</v>
      </c>
      <c r="AK82" s="182">
        <v>3300.0000000000118</v>
      </c>
      <c r="AL82" s="182">
        <v>825.00000000000296</v>
      </c>
      <c r="AM82" s="477">
        <f t="shared" si="40"/>
        <v>11</v>
      </c>
      <c r="AN82" s="662"/>
      <c r="AO82" s="571">
        <v>4</v>
      </c>
      <c r="AP82" s="182">
        <v>3323.9999999999986</v>
      </c>
      <c r="AQ82" s="182">
        <v>830.99999999999966</v>
      </c>
      <c r="AR82" s="477">
        <f t="shared" si="42"/>
        <v>9</v>
      </c>
      <c r="AS82" s="662"/>
      <c r="AT82" s="571">
        <v>4</v>
      </c>
      <c r="AU82" s="182">
        <v>3190.909090909091</v>
      </c>
      <c r="AV82" s="182">
        <v>797.72727272727275</v>
      </c>
      <c r="AW82" s="477">
        <f t="shared" si="44"/>
        <v>9</v>
      </c>
      <c r="AX82" s="662"/>
    </row>
    <row r="83" spans="2:50">
      <c r="B83" s="676"/>
      <c r="C83" s="328">
        <v>7</v>
      </c>
      <c r="D83" s="551" t="s">
        <v>363</v>
      </c>
      <c r="E83" s="551">
        <v>4</v>
      </c>
      <c r="F83" s="551">
        <v>3300</v>
      </c>
      <c r="G83" s="551">
        <v>825</v>
      </c>
      <c r="H83" s="662"/>
      <c r="I83" s="540">
        <f t="shared" si="33"/>
        <v>4</v>
      </c>
      <c r="J83" s="540">
        <f t="shared" si="33"/>
        <v>2850.027972027975</v>
      </c>
      <c r="K83" s="200">
        <f t="shared" si="33"/>
        <v>712.50699300699375</v>
      </c>
      <c r="L83" s="647"/>
      <c r="M83" s="199">
        <f>RANK(K83, K$77:$K$106)</f>
        <v>13</v>
      </c>
      <c r="N83" s="654"/>
      <c r="O83" s="654"/>
      <c r="P83" s="182">
        <v>4</v>
      </c>
      <c r="Q83" s="182">
        <v>2960.0000000000105</v>
      </c>
      <c r="R83" s="182">
        <v>740.00000000000261</v>
      </c>
      <c r="S83" s="335">
        <f t="shared" si="46"/>
        <v>14</v>
      </c>
      <c r="T83" s="662"/>
      <c r="U83" s="182">
        <v>4</v>
      </c>
      <c r="V83" s="182">
        <v>2616.9230769230785</v>
      </c>
      <c r="W83" s="182">
        <v>654.23076923076962</v>
      </c>
      <c r="X83" s="477">
        <f t="shared" si="34"/>
        <v>18</v>
      </c>
      <c r="Y83" s="662"/>
      <c r="Z83" s="571">
        <v>4</v>
      </c>
      <c r="AA83" s="182">
        <v>2607.272727272727</v>
      </c>
      <c r="AB83" s="182">
        <v>651.81818181818176</v>
      </c>
      <c r="AC83" s="477">
        <f t="shared" si="36"/>
        <v>16</v>
      </c>
      <c r="AD83" s="662"/>
      <c r="AE83" s="571">
        <v>4</v>
      </c>
      <c r="AF83" s="182">
        <v>3073.3333333333444</v>
      </c>
      <c r="AG83" s="182">
        <v>768.3333333333361</v>
      </c>
      <c r="AH83" s="477">
        <f t="shared" si="38"/>
        <v>12</v>
      </c>
      <c r="AI83" s="662"/>
      <c r="AJ83" s="571">
        <v>4</v>
      </c>
      <c r="AK83" s="182">
        <v>3046.6666666666642</v>
      </c>
      <c r="AL83" s="182">
        <v>761.66666666666606</v>
      </c>
      <c r="AM83" s="477">
        <f t="shared" si="40"/>
        <v>13</v>
      </c>
      <c r="AN83" s="662"/>
      <c r="AO83" s="571">
        <v>4</v>
      </c>
      <c r="AP83" s="182">
        <v>2747.9999999999991</v>
      </c>
      <c r="AQ83" s="182">
        <v>686.99999999999977</v>
      </c>
      <c r="AR83" s="477">
        <f t="shared" si="42"/>
        <v>15</v>
      </c>
      <c r="AS83" s="662"/>
      <c r="AT83" s="571">
        <v>4</v>
      </c>
      <c r="AU83" s="182">
        <v>2897.9999999999991</v>
      </c>
      <c r="AV83" s="182">
        <v>724.49999999999977</v>
      </c>
      <c r="AW83" s="477">
        <f t="shared" si="44"/>
        <v>14</v>
      </c>
      <c r="AX83" s="662"/>
    </row>
    <row r="84" spans="2:50">
      <c r="B84" s="676"/>
      <c r="C84" s="328">
        <v>8</v>
      </c>
      <c r="D84" s="551" t="s">
        <v>364</v>
      </c>
      <c r="E84" s="551">
        <v>3</v>
      </c>
      <c r="F84" s="551">
        <v>3300</v>
      </c>
      <c r="G84" s="551">
        <v>1100</v>
      </c>
      <c r="H84" s="662"/>
      <c r="I84" s="540">
        <f t="shared" si="33"/>
        <v>3</v>
      </c>
      <c r="J84" s="540">
        <f t="shared" si="33"/>
        <v>3187.740616871049</v>
      </c>
      <c r="K84" s="200">
        <f t="shared" si="33"/>
        <v>1062.580205623683</v>
      </c>
      <c r="L84" s="647"/>
      <c r="M84" s="199">
        <f>RANK(K84, K$77:$K$106)</f>
        <v>3</v>
      </c>
      <c r="N84" s="654"/>
      <c r="O84" s="654"/>
      <c r="P84" s="182">
        <v>3</v>
      </c>
      <c r="Q84" s="182">
        <v>3182.3076923076942</v>
      </c>
      <c r="R84" s="182">
        <v>1060.7692307692314</v>
      </c>
      <c r="S84" s="335">
        <f t="shared" si="46"/>
        <v>3</v>
      </c>
      <c r="T84" s="662"/>
      <c r="U84" s="182">
        <v>3</v>
      </c>
      <c r="V84" s="182">
        <v>3131.5384615384728</v>
      </c>
      <c r="W84" s="182">
        <v>1043.8461538461577</v>
      </c>
      <c r="X84" s="477">
        <f t="shared" si="34"/>
        <v>3</v>
      </c>
      <c r="Y84" s="662"/>
      <c r="Z84" s="571">
        <v>3</v>
      </c>
      <c r="AA84" s="182">
        <v>3157.49999999999</v>
      </c>
      <c r="AB84" s="182">
        <v>1052.4999999999966</v>
      </c>
      <c r="AC84" s="477">
        <f t="shared" si="36"/>
        <v>3</v>
      </c>
      <c r="AD84" s="662"/>
      <c r="AE84" s="571">
        <v>3</v>
      </c>
      <c r="AF84" s="182">
        <v>3279.1304347826085</v>
      </c>
      <c r="AG84" s="182">
        <v>1093.0434782608695</v>
      </c>
      <c r="AH84" s="477">
        <f t="shared" si="38"/>
        <v>1</v>
      </c>
      <c r="AI84" s="662"/>
      <c r="AJ84" s="571">
        <v>3</v>
      </c>
      <c r="AK84" s="182">
        <v>3315.6521739130321</v>
      </c>
      <c r="AL84" s="182">
        <v>1105.2173913043441</v>
      </c>
      <c r="AM84" s="477">
        <f t="shared" si="40"/>
        <v>1</v>
      </c>
      <c r="AN84" s="662"/>
      <c r="AO84" s="571">
        <v>3</v>
      </c>
      <c r="AP84" s="182">
        <v>3132.4999999999905</v>
      </c>
      <c r="AQ84" s="182">
        <v>1044.1666666666636</v>
      </c>
      <c r="AR84" s="477">
        <f t="shared" si="42"/>
        <v>3</v>
      </c>
      <c r="AS84" s="662"/>
      <c r="AT84" s="571">
        <v>3</v>
      </c>
      <c r="AU84" s="182">
        <v>3115.555555555557</v>
      </c>
      <c r="AV84" s="182">
        <v>1038.5185185185189</v>
      </c>
      <c r="AW84" s="477">
        <f t="shared" si="44"/>
        <v>3</v>
      </c>
      <c r="AX84" s="662"/>
    </row>
    <row r="85" spans="2:50">
      <c r="B85" s="676"/>
      <c r="C85" s="328">
        <v>9</v>
      </c>
      <c r="D85" s="551" t="s">
        <v>365</v>
      </c>
      <c r="E85" s="551">
        <v>3</v>
      </c>
      <c r="F85" s="551">
        <v>3300</v>
      </c>
      <c r="G85" s="551">
        <v>1100</v>
      </c>
      <c r="H85" s="662"/>
      <c r="I85" s="540">
        <f t="shared" si="33"/>
        <v>3</v>
      </c>
      <c r="J85" s="540">
        <f t="shared" si="33"/>
        <v>2847.6402669117001</v>
      </c>
      <c r="K85" s="200">
        <f t="shared" si="33"/>
        <v>949.21342230389996</v>
      </c>
      <c r="L85" s="647"/>
      <c r="M85" s="199">
        <f>RANK(K85, K$77:$K$106)</f>
        <v>5</v>
      </c>
      <c r="N85" s="654"/>
      <c r="O85" s="654"/>
      <c r="P85" s="182">
        <v>3</v>
      </c>
      <c r="Q85" s="182">
        <v>2855.6250000000032</v>
      </c>
      <c r="R85" s="182">
        <v>951.87500000000102</v>
      </c>
      <c r="S85" s="335">
        <f t="shared" si="46"/>
        <v>7</v>
      </c>
      <c r="T85" s="662"/>
      <c r="U85" s="182">
        <v>3</v>
      </c>
      <c r="V85" s="182">
        <v>2774.5454545454513</v>
      </c>
      <c r="W85" s="182">
        <v>924.84848484848374</v>
      </c>
      <c r="X85" s="477">
        <f t="shared" si="34"/>
        <v>7</v>
      </c>
      <c r="Y85" s="662"/>
      <c r="Z85" s="571">
        <v>3</v>
      </c>
      <c r="AA85" s="182">
        <v>2748.3870967741891</v>
      </c>
      <c r="AB85" s="182">
        <v>916.12903225806303</v>
      </c>
      <c r="AC85" s="477">
        <f t="shared" si="36"/>
        <v>8</v>
      </c>
      <c r="AD85" s="662"/>
      <c r="AE85" s="571">
        <v>3</v>
      </c>
      <c r="AF85" s="182">
        <v>2995.7142857142794</v>
      </c>
      <c r="AG85" s="182">
        <v>998.57142857142651</v>
      </c>
      <c r="AH85" s="477">
        <f t="shared" si="38"/>
        <v>5</v>
      </c>
      <c r="AI85" s="662"/>
      <c r="AJ85" s="571">
        <v>3</v>
      </c>
      <c r="AK85" s="182">
        <v>2894.4827586206916</v>
      </c>
      <c r="AL85" s="182">
        <v>964.82758620689719</v>
      </c>
      <c r="AM85" s="477">
        <f t="shared" si="40"/>
        <v>5</v>
      </c>
      <c r="AN85" s="662"/>
      <c r="AO85" s="571">
        <v>3</v>
      </c>
      <c r="AP85" s="182">
        <v>2832.0000000000027</v>
      </c>
      <c r="AQ85" s="182">
        <v>944.00000000000091</v>
      </c>
      <c r="AR85" s="477">
        <f t="shared" si="42"/>
        <v>5</v>
      </c>
      <c r="AS85" s="662"/>
      <c r="AT85" s="571">
        <v>3</v>
      </c>
      <c r="AU85" s="182">
        <v>2832.7272727272825</v>
      </c>
      <c r="AV85" s="182">
        <v>944.24242424242755</v>
      </c>
      <c r="AW85" s="477">
        <f t="shared" si="44"/>
        <v>7</v>
      </c>
      <c r="AX85" s="662"/>
    </row>
    <row r="86" spans="2:50">
      <c r="B86" s="676"/>
      <c r="C86" s="328">
        <v>10</v>
      </c>
      <c r="D86" s="551" t="s">
        <v>366</v>
      </c>
      <c r="E86" s="551">
        <v>4</v>
      </c>
      <c r="F86" s="551">
        <v>3300</v>
      </c>
      <c r="G86" s="551">
        <v>825</v>
      </c>
      <c r="H86" s="662"/>
      <c r="I86" s="540">
        <f t="shared" si="33"/>
        <v>4</v>
      </c>
      <c r="J86" s="540">
        <f t="shared" si="33"/>
        <v>2814.0948082677432</v>
      </c>
      <c r="K86" s="200">
        <f t="shared" si="33"/>
        <v>703.52370206693581</v>
      </c>
      <c r="L86" s="647"/>
      <c r="M86" s="199">
        <f>RANK(K86, K$77:$K$106)</f>
        <v>15</v>
      </c>
      <c r="N86" s="654"/>
      <c r="O86" s="654"/>
      <c r="P86" s="182">
        <v>4</v>
      </c>
      <c r="Q86" s="182">
        <v>2892.5000000000009</v>
      </c>
      <c r="R86" s="182">
        <v>723.12500000000023</v>
      </c>
      <c r="S86" s="335">
        <f t="shared" si="46"/>
        <v>15</v>
      </c>
      <c r="T86" s="662"/>
      <c r="U86" s="182">
        <v>4</v>
      </c>
      <c r="V86" s="182">
        <v>2778.3673469387718</v>
      </c>
      <c r="W86" s="182">
        <v>694.59183673469295</v>
      </c>
      <c r="X86" s="477">
        <f t="shared" si="34"/>
        <v>15</v>
      </c>
      <c r="Y86" s="662"/>
      <c r="Z86" s="571">
        <v>4</v>
      </c>
      <c r="AA86" s="182">
        <v>2753.4782608695605</v>
      </c>
      <c r="AB86" s="182">
        <v>688.36956521739012</v>
      </c>
      <c r="AC86" s="477">
        <f t="shared" si="36"/>
        <v>15</v>
      </c>
      <c r="AD86" s="662"/>
      <c r="AE86" s="571">
        <v>4</v>
      </c>
      <c r="AF86" s="182">
        <v>2814.6666666666665</v>
      </c>
      <c r="AG86" s="182">
        <v>703.66666666666663</v>
      </c>
      <c r="AH86" s="477">
        <f t="shared" si="38"/>
        <v>16</v>
      </c>
      <c r="AI86" s="662"/>
      <c r="AJ86" s="571">
        <v>4</v>
      </c>
      <c r="AK86" s="182">
        <v>2813.181818181818</v>
      </c>
      <c r="AL86" s="182">
        <v>703.2954545454545</v>
      </c>
      <c r="AM86" s="477">
        <f t="shared" si="40"/>
        <v>17</v>
      </c>
      <c r="AN86" s="662"/>
      <c r="AO86" s="571">
        <v>4</v>
      </c>
      <c r="AP86" s="182">
        <v>2750.8695652173915</v>
      </c>
      <c r="AQ86" s="182">
        <v>687.71739130434787</v>
      </c>
      <c r="AR86" s="477">
        <f t="shared" si="42"/>
        <v>14</v>
      </c>
      <c r="AS86" s="662"/>
      <c r="AT86" s="571">
        <v>4</v>
      </c>
      <c r="AU86" s="182">
        <v>2895.5999999999963</v>
      </c>
      <c r="AV86" s="182">
        <v>723.89999999999907</v>
      </c>
      <c r="AW86" s="477">
        <f t="shared" si="44"/>
        <v>15</v>
      </c>
      <c r="AX86" s="662"/>
    </row>
    <row r="87" spans="2:50">
      <c r="B87" s="676"/>
      <c r="C87" s="328">
        <v>11</v>
      </c>
      <c r="D87" s="551" t="s">
        <v>367</v>
      </c>
      <c r="E87" s="551">
        <v>4</v>
      </c>
      <c r="F87" s="551">
        <v>3300</v>
      </c>
      <c r="G87" s="551">
        <v>825</v>
      </c>
      <c r="H87" s="662"/>
      <c r="I87" s="540">
        <f t="shared" si="33"/>
        <v>4</v>
      </c>
      <c r="J87" s="540">
        <f t="shared" si="33"/>
        <v>2830.1587816944957</v>
      </c>
      <c r="K87" s="200">
        <f t="shared" si="33"/>
        <v>707.53969542362393</v>
      </c>
      <c r="L87" s="647"/>
      <c r="M87" s="199">
        <f>RANK(K87, K$77:$K$106)</f>
        <v>14</v>
      </c>
      <c r="N87" s="654"/>
      <c r="O87" s="654"/>
      <c r="P87" s="182">
        <v>4</v>
      </c>
      <c r="Q87" s="182">
        <v>2830.9090909090905</v>
      </c>
      <c r="R87" s="182">
        <v>707.72727272727263</v>
      </c>
      <c r="S87" s="335">
        <f t="shared" si="46"/>
        <v>17</v>
      </c>
      <c r="T87" s="662"/>
      <c r="U87" s="182">
        <v>4</v>
      </c>
      <c r="V87" s="182">
        <v>2786.6666666666642</v>
      </c>
      <c r="W87" s="182">
        <v>696.66666666666606</v>
      </c>
      <c r="X87" s="477">
        <f t="shared" si="34"/>
        <v>14</v>
      </c>
      <c r="Y87" s="662"/>
      <c r="Z87" s="571">
        <v>4</v>
      </c>
      <c r="AA87" s="182">
        <v>2779.2000000000007</v>
      </c>
      <c r="AB87" s="182">
        <v>694.80000000000018</v>
      </c>
      <c r="AC87" s="477">
        <f t="shared" si="36"/>
        <v>12</v>
      </c>
      <c r="AD87" s="662"/>
      <c r="AE87" s="571">
        <v>4</v>
      </c>
      <c r="AF87" s="182">
        <v>2868.7500000000032</v>
      </c>
      <c r="AG87" s="182">
        <v>717.1875000000008</v>
      </c>
      <c r="AH87" s="477">
        <f t="shared" si="38"/>
        <v>14</v>
      </c>
      <c r="AI87" s="662"/>
      <c r="AJ87" s="571">
        <v>4</v>
      </c>
      <c r="AK87" s="182">
        <v>2864.9999999999982</v>
      </c>
      <c r="AL87" s="182">
        <v>716.24999999999955</v>
      </c>
      <c r="AM87" s="477">
        <f t="shared" si="40"/>
        <v>14</v>
      </c>
      <c r="AN87" s="662"/>
      <c r="AO87" s="571">
        <v>4</v>
      </c>
      <c r="AP87" s="182">
        <v>2878.8000000000006</v>
      </c>
      <c r="AQ87" s="182">
        <v>719.70000000000016</v>
      </c>
      <c r="AR87" s="477">
        <f t="shared" si="42"/>
        <v>13</v>
      </c>
      <c r="AS87" s="662"/>
      <c r="AT87" s="571">
        <v>4</v>
      </c>
      <c r="AU87" s="182">
        <v>2801.7857142857119</v>
      </c>
      <c r="AV87" s="182">
        <v>700.44642857142799</v>
      </c>
      <c r="AW87" s="477">
        <f t="shared" si="44"/>
        <v>18</v>
      </c>
      <c r="AX87" s="662"/>
    </row>
    <row r="88" spans="2:50">
      <c r="B88" s="676"/>
      <c r="C88" s="328">
        <v>12</v>
      </c>
      <c r="D88" s="551" t="s">
        <v>771</v>
      </c>
      <c r="E88" s="551">
        <v>4</v>
      </c>
      <c r="F88" s="551">
        <v>2800</v>
      </c>
      <c r="G88" s="551">
        <v>700</v>
      </c>
      <c r="H88" s="662"/>
      <c r="I88" s="540">
        <f t="shared" si="33"/>
        <v>4</v>
      </c>
      <c r="J88" s="540">
        <f t="shared" si="33"/>
        <v>2763.5828395207291</v>
      </c>
      <c r="K88" s="200">
        <f t="shared" si="33"/>
        <v>690.89570988018227</v>
      </c>
      <c r="L88" s="647"/>
      <c r="M88" s="199">
        <f>RANK(K88, K$77:$K$106)</f>
        <v>18</v>
      </c>
      <c r="N88" s="654"/>
      <c r="O88" s="654"/>
      <c r="P88" s="182">
        <v>4</v>
      </c>
      <c r="Q88" s="182">
        <v>2868.0000000000009</v>
      </c>
      <c r="R88" s="182">
        <v>717.00000000000023</v>
      </c>
      <c r="S88" s="335">
        <f t="shared" si="46"/>
        <v>16</v>
      </c>
      <c r="T88" s="662"/>
      <c r="U88" s="182">
        <v>4</v>
      </c>
      <c r="V88" s="182">
        <v>2762.3076923076937</v>
      </c>
      <c r="W88" s="182">
        <v>690.57692307692344</v>
      </c>
      <c r="X88" s="477">
        <f t="shared" si="34"/>
        <v>16</v>
      </c>
      <c r="Y88" s="662"/>
      <c r="Z88" s="571">
        <v>4</v>
      </c>
      <c r="AA88" s="182">
        <v>2353.8461538461588</v>
      </c>
      <c r="AB88" s="182">
        <v>588.4615384615397</v>
      </c>
      <c r="AC88" s="477">
        <f t="shared" si="36"/>
        <v>18</v>
      </c>
      <c r="AD88" s="662"/>
      <c r="AE88" s="571">
        <v>4</v>
      </c>
      <c r="AF88" s="182">
        <v>2885.7142857142903</v>
      </c>
      <c r="AG88" s="182">
        <v>721.42857142857258</v>
      </c>
      <c r="AH88" s="477">
        <f t="shared" si="38"/>
        <v>13</v>
      </c>
      <c r="AI88" s="662"/>
      <c r="AJ88" s="571">
        <v>4</v>
      </c>
      <c r="AK88" s="182">
        <v>2828.5714285714275</v>
      </c>
      <c r="AL88" s="182">
        <v>707.14285714285688</v>
      </c>
      <c r="AM88" s="477">
        <f t="shared" si="40"/>
        <v>16</v>
      </c>
      <c r="AN88" s="662"/>
      <c r="AO88" s="571">
        <v>4</v>
      </c>
      <c r="AP88" s="182">
        <v>2732.7272727272775</v>
      </c>
      <c r="AQ88" s="182">
        <v>683.18181818181938</v>
      </c>
      <c r="AR88" s="477">
        <f t="shared" si="42"/>
        <v>17</v>
      </c>
      <c r="AS88" s="662"/>
      <c r="AT88" s="571">
        <v>4</v>
      </c>
      <c r="AU88" s="182">
        <v>2913.913043478256</v>
      </c>
      <c r="AV88" s="182">
        <v>728.478260869564</v>
      </c>
      <c r="AW88" s="477">
        <f t="shared" si="44"/>
        <v>13</v>
      </c>
      <c r="AX88" s="662"/>
    </row>
    <row r="89" spans="2:50">
      <c r="B89" s="676"/>
      <c r="C89" s="328">
        <v>13</v>
      </c>
      <c r="D89" s="551" t="s">
        <v>368</v>
      </c>
      <c r="E89" s="551">
        <v>4</v>
      </c>
      <c r="F89" s="551">
        <v>3600</v>
      </c>
      <c r="G89" s="551">
        <v>900</v>
      </c>
      <c r="H89" s="662"/>
      <c r="I89" s="540">
        <f t="shared" si="33"/>
        <v>4</v>
      </c>
      <c r="J89" s="540">
        <f t="shared" si="33"/>
        <v>2789.4285714285666</v>
      </c>
      <c r="K89" s="200">
        <f t="shared" si="33"/>
        <v>697.35714285714164</v>
      </c>
      <c r="L89" s="647"/>
      <c r="M89" s="199">
        <f>RANK(K89, K$77:$K$106)</f>
        <v>17</v>
      </c>
      <c r="N89" s="654"/>
      <c r="O89" s="654"/>
      <c r="P89" s="182">
        <v>4</v>
      </c>
      <c r="Q89" s="182">
        <v>3460.0000000000123</v>
      </c>
      <c r="R89" s="182">
        <v>865.00000000000307</v>
      </c>
      <c r="S89" s="335">
        <f t="shared" si="46"/>
        <v>9</v>
      </c>
      <c r="T89" s="662"/>
      <c r="U89" s="182">
        <v>4</v>
      </c>
      <c r="V89" s="182">
        <v>3268.0000000000118</v>
      </c>
      <c r="W89" s="182">
        <v>817.00000000000296</v>
      </c>
      <c r="X89" s="477">
        <f t="shared" si="34"/>
        <v>9</v>
      </c>
      <c r="Y89" s="662"/>
      <c r="Z89" s="571">
        <v>4</v>
      </c>
      <c r="AA89" s="182">
        <v>2492.9999999999886</v>
      </c>
      <c r="AB89" s="182">
        <v>623.24999999999716</v>
      </c>
      <c r="AC89" s="477">
        <f t="shared" si="36"/>
        <v>17</v>
      </c>
      <c r="AD89" s="662"/>
      <c r="AE89" s="571">
        <v>4</v>
      </c>
      <c r="AF89" s="182">
        <v>2420.9999999999895</v>
      </c>
      <c r="AG89" s="182">
        <v>605.24999999999739</v>
      </c>
      <c r="AH89" s="477">
        <f t="shared" si="38"/>
        <v>18</v>
      </c>
      <c r="AI89" s="662"/>
      <c r="AJ89" s="571">
        <v>4</v>
      </c>
      <c r="AK89" s="182">
        <v>2444.9999999999895</v>
      </c>
      <c r="AL89" s="182">
        <v>611.24999999999739</v>
      </c>
      <c r="AM89" s="477">
        <f t="shared" si="40"/>
        <v>18</v>
      </c>
      <c r="AN89" s="662"/>
      <c r="AO89" s="571">
        <v>4</v>
      </c>
      <c r="AP89" s="182">
        <v>2624.9999999999886</v>
      </c>
      <c r="AQ89" s="182">
        <v>656.24999999999716</v>
      </c>
      <c r="AR89" s="477">
        <f t="shared" si="42"/>
        <v>18</v>
      </c>
      <c r="AS89" s="662"/>
      <c r="AT89" s="571">
        <v>4</v>
      </c>
      <c r="AU89" s="182">
        <v>2813.9999999999877</v>
      </c>
      <c r="AV89" s="182">
        <v>703.49999999999693</v>
      </c>
      <c r="AW89" s="477">
        <f t="shared" si="44"/>
        <v>17</v>
      </c>
      <c r="AX89" s="662"/>
    </row>
    <row r="90" spans="2:50">
      <c r="B90" s="676"/>
      <c r="C90" s="328">
        <v>14</v>
      </c>
      <c r="D90" s="551" t="s">
        <v>369</v>
      </c>
      <c r="E90" s="551">
        <v>4</v>
      </c>
      <c r="F90" s="551">
        <v>3600</v>
      </c>
      <c r="G90" s="551">
        <v>900</v>
      </c>
      <c r="H90" s="662"/>
      <c r="I90" s="540">
        <f t="shared" si="33"/>
        <v>4</v>
      </c>
      <c r="J90" s="540">
        <f t="shared" si="33"/>
        <v>1975.7142857142919</v>
      </c>
      <c r="K90" s="200">
        <f t="shared" si="33"/>
        <v>493.92857142857298</v>
      </c>
      <c r="L90" s="647"/>
      <c r="M90" s="199">
        <f>RANK(K90, K$77:$K$106)</f>
        <v>20</v>
      </c>
      <c r="N90" s="654"/>
      <c r="O90" s="654"/>
      <c r="P90" s="182">
        <v>4</v>
      </c>
      <c r="Q90" s="182">
        <v>2316.0000000000082</v>
      </c>
      <c r="R90" s="182">
        <v>579.00000000000205</v>
      </c>
      <c r="S90" s="335">
        <f t="shared" si="46"/>
        <v>20</v>
      </c>
      <c r="T90" s="662"/>
      <c r="U90" s="182">
        <v>4</v>
      </c>
      <c r="V90" s="182">
        <v>2063.9999999999745</v>
      </c>
      <c r="W90" s="182">
        <v>515.99999999999363</v>
      </c>
      <c r="X90" s="477">
        <f t="shared" si="34"/>
        <v>20</v>
      </c>
      <c r="Y90" s="662"/>
      <c r="Z90" s="571">
        <v>4</v>
      </c>
      <c r="AA90" s="182">
        <v>1962.000000000007</v>
      </c>
      <c r="AB90" s="182">
        <v>490.50000000000176</v>
      </c>
      <c r="AC90" s="477">
        <f t="shared" si="36"/>
        <v>20</v>
      </c>
      <c r="AD90" s="662"/>
      <c r="AE90" s="571">
        <v>4</v>
      </c>
      <c r="AF90" s="182">
        <v>1740.0000000000341</v>
      </c>
      <c r="AG90" s="182">
        <v>435.00000000000853</v>
      </c>
      <c r="AH90" s="477">
        <f t="shared" si="38"/>
        <v>20</v>
      </c>
      <c r="AI90" s="662"/>
      <c r="AJ90" s="571">
        <v>4</v>
      </c>
      <c r="AK90" s="182">
        <v>1860.0000000000362</v>
      </c>
      <c r="AL90" s="182">
        <v>465.00000000000904</v>
      </c>
      <c r="AM90" s="477">
        <f t="shared" si="40"/>
        <v>20</v>
      </c>
      <c r="AN90" s="662"/>
      <c r="AO90" s="571">
        <v>4</v>
      </c>
      <c r="AP90" s="182">
        <v>1823.9999999999773</v>
      </c>
      <c r="AQ90" s="182">
        <v>455.99999999999432</v>
      </c>
      <c r="AR90" s="477">
        <f t="shared" si="42"/>
        <v>20</v>
      </c>
      <c r="AS90" s="662"/>
      <c r="AT90" s="571">
        <v>4</v>
      </c>
      <c r="AU90" s="182">
        <v>2064.0000000000073</v>
      </c>
      <c r="AV90" s="182">
        <v>516.00000000000182</v>
      </c>
      <c r="AW90" s="477">
        <f t="shared" si="44"/>
        <v>20</v>
      </c>
      <c r="AX90" s="662"/>
    </row>
    <row r="91" spans="2:50">
      <c r="B91" s="676"/>
      <c r="C91" s="328">
        <v>15</v>
      </c>
      <c r="D91" s="551" t="s">
        <v>660</v>
      </c>
      <c r="E91" s="551">
        <v>4</v>
      </c>
      <c r="F91" s="551">
        <v>3300</v>
      </c>
      <c r="G91" s="551">
        <v>825</v>
      </c>
      <c r="H91" s="662"/>
      <c r="I91" s="540">
        <f t="shared" si="33"/>
        <v>3</v>
      </c>
      <c r="J91" s="540">
        <f t="shared" si="33"/>
        <v>2835.7165234514882</v>
      </c>
      <c r="K91" s="200">
        <f t="shared" si="33"/>
        <v>945.23884115049589</v>
      </c>
      <c r="L91" s="647"/>
      <c r="M91" s="199">
        <f>RANK(K91, K$77:$K$106)</f>
        <v>6</v>
      </c>
      <c r="N91" s="654"/>
      <c r="O91" s="654"/>
      <c r="P91" s="182">
        <v>3</v>
      </c>
      <c r="Q91" s="182">
        <v>2873.3333333333376</v>
      </c>
      <c r="R91" s="182">
        <v>957.77777777777919</v>
      </c>
      <c r="S91" s="335">
        <f t="shared" si="46"/>
        <v>5</v>
      </c>
      <c r="T91" s="662"/>
      <c r="U91" s="182">
        <v>3</v>
      </c>
      <c r="V91" s="182">
        <v>2715.7894736842086</v>
      </c>
      <c r="W91" s="182">
        <v>905.2631578947362</v>
      </c>
      <c r="X91" s="477">
        <f t="shared" si="34"/>
        <v>8</v>
      </c>
      <c r="Y91" s="662"/>
      <c r="Z91" s="571">
        <v>3</v>
      </c>
      <c r="AA91" s="182">
        <v>2763.7500000000032</v>
      </c>
      <c r="AB91" s="182">
        <v>921.25000000000102</v>
      </c>
      <c r="AC91" s="477">
        <f t="shared" si="36"/>
        <v>7</v>
      </c>
      <c r="AD91" s="662"/>
      <c r="AE91" s="571">
        <v>3</v>
      </c>
      <c r="AF91" s="182">
        <v>2944.2857142857165</v>
      </c>
      <c r="AG91" s="182">
        <v>981.42857142857213</v>
      </c>
      <c r="AH91" s="477">
        <f t="shared" si="38"/>
        <v>6</v>
      </c>
      <c r="AI91" s="662"/>
      <c r="AJ91" s="571">
        <v>3</v>
      </c>
      <c r="AK91" s="182">
        <v>2892.8571428571449</v>
      </c>
      <c r="AL91" s="182">
        <v>964.28571428571502</v>
      </c>
      <c r="AM91" s="477">
        <f t="shared" si="40"/>
        <v>6</v>
      </c>
      <c r="AN91" s="662"/>
      <c r="AO91" s="571">
        <v>3</v>
      </c>
      <c r="AP91" s="182">
        <v>2716.0000000000027</v>
      </c>
      <c r="AQ91" s="182">
        <v>905.33333333333428</v>
      </c>
      <c r="AR91" s="477">
        <f t="shared" si="42"/>
        <v>7</v>
      </c>
      <c r="AS91" s="662"/>
      <c r="AT91" s="571">
        <v>3</v>
      </c>
      <c r="AU91" s="182">
        <v>2944.0000000000027</v>
      </c>
      <c r="AV91" s="182">
        <v>981.33333333333428</v>
      </c>
      <c r="AW91" s="477">
        <f t="shared" si="44"/>
        <v>5</v>
      </c>
      <c r="AX91" s="662"/>
    </row>
    <row r="92" spans="2:50">
      <c r="B92" s="676"/>
      <c r="C92" s="328">
        <v>16</v>
      </c>
      <c r="D92" s="551" t="s">
        <v>768</v>
      </c>
      <c r="E92" s="551">
        <v>3</v>
      </c>
      <c r="F92" s="551">
        <v>2800</v>
      </c>
      <c r="G92" s="551">
        <v>933.33333333333337</v>
      </c>
      <c r="H92" s="662"/>
      <c r="I92" s="540">
        <f t="shared" si="33"/>
        <v>3</v>
      </c>
      <c r="J92" s="540">
        <f t="shared" si="33"/>
        <v>2752.1298701298715</v>
      </c>
      <c r="K92" s="200">
        <f t="shared" si="33"/>
        <v>917.37662337662368</v>
      </c>
      <c r="L92" s="647"/>
      <c r="M92" s="199">
        <f>RANK(K92, K$77:$K$106)</f>
        <v>8</v>
      </c>
      <c r="N92" s="654"/>
      <c r="O92" s="654"/>
      <c r="P92" s="182">
        <v>3</v>
      </c>
      <c r="Q92" s="182">
        <v>2604.0000000000091</v>
      </c>
      <c r="R92" s="182">
        <v>868.00000000000307</v>
      </c>
      <c r="S92" s="335">
        <f t="shared" si="46"/>
        <v>8</v>
      </c>
      <c r="T92" s="662"/>
      <c r="U92" s="182">
        <v>3</v>
      </c>
      <c r="V92" s="182">
        <v>2800.9090909090805</v>
      </c>
      <c r="W92" s="182">
        <v>933.63636363636022</v>
      </c>
      <c r="X92" s="477">
        <f t="shared" si="34"/>
        <v>5</v>
      </c>
      <c r="Y92" s="662"/>
      <c r="Z92" s="571">
        <v>3</v>
      </c>
      <c r="AA92" s="182">
        <v>2844.00000000001</v>
      </c>
      <c r="AB92" s="182">
        <v>948.0000000000033</v>
      </c>
      <c r="AC92" s="477">
        <f t="shared" si="36"/>
        <v>5</v>
      </c>
      <c r="AD92" s="662"/>
      <c r="AE92" s="571">
        <v>3</v>
      </c>
      <c r="AF92" s="182">
        <v>2817.00000000001</v>
      </c>
      <c r="AG92" s="182">
        <v>939.0000000000033</v>
      </c>
      <c r="AH92" s="477">
        <f t="shared" si="38"/>
        <v>8</v>
      </c>
      <c r="AI92" s="662"/>
      <c r="AJ92" s="571">
        <v>3</v>
      </c>
      <c r="AK92" s="182">
        <v>2799.00000000001</v>
      </c>
      <c r="AL92" s="182">
        <v>933.0000000000033</v>
      </c>
      <c r="AM92" s="477">
        <f t="shared" si="40"/>
        <v>8</v>
      </c>
      <c r="AN92" s="662"/>
      <c r="AO92" s="571">
        <v>3</v>
      </c>
      <c r="AP92" s="182">
        <v>2891.9999999999868</v>
      </c>
      <c r="AQ92" s="182">
        <v>963.99999999999557</v>
      </c>
      <c r="AR92" s="477">
        <f t="shared" si="42"/>
        <v>4</v>
      </c>
      <c r="AS92" s="662"/>
      <c r="AT92" s="571">
        <v>3</v>
      </c>
      <c r="AU92" s="182">
        <v>2507.9999999999932</v>
      </c>
      <c r="AV92" s="182">
        <v>835.99999999999773</v>
      </c>
      <c r="AW92" s="477">
        <f t="shared" si="44"/>
        <v>8</v>
      </c>
      <c r="AX92" s="662"/>
    </row>
    <row r="93" spans="2:50">
      <c r="B93" s="676"/>
      <c r="C93" s="328">
        <v>17</v>
      </c>
      <c r="D93" s="551" t="s">
        <v>820</v>
      </c>
      <c r="E93" s="551">
        <v>4</v>
      </c>
      <c r="F93" s="551">
        <v>3000</v>
      </c>
      <c r="G93" s="551">
        <v>750</v>
      </c>
      <c r="H93" s="662"/>
      <c r="I93" s="540">
        <f t="shared" ref="I93:K97" si="47">AVERAGE(P93,U93,Z93,AE93,AJ93,AO93,AT93)</f>
        <v>3</v>
      </c>
      <c r="J93" s="540">
        <f t="shared" si="47"/>
        <v>2239.8095238095239</v>
      </c>
      <c r="K93" s="200">
        <f t="shared" si="47"/>
        <v>746.60317460317458</v>
      </c>
      <c r="L93" s="647"/>
      <c r="M93" s="199">
        <f>RANK(K93, K$77:$K$106)</f>
        <v>12</v>
      </c>
      <c r="N93" s="654"/>
      <c r="O93" s="654"/>
      <c r="P93" s="182">
        <v>3</v>
      </c>
      <c r="Q93" s="182">
        <v>2357.3333333333335</v>
      </c>
      <c r="R93" s="182">
        <v>785.77777777777783</v>
      </c>
      <c r="S93" s="335">
        <f t="shared" si="46"/>
        <v>13</v>
      </c>
      <c r="T93" s="662"/>
      <c r="U93" s="182">
        <v>3</v>
      </c>
      <c r="V93" s="182">
        <v>2224</v>
      </c>
      <c r="W93" s="182">
        <v>741.33333333333337</v>
      </c>
      <c r="X93" s="477">
        <f t="shared" ref="X93:X106" si="48">RANK(W93, W$77:W$106)</f>
        <v>13</v>
      </c>
      <c r="Y93" s="662"/>
      <c r="Z93" s="571">
        <v>3</v>
      </c>
      <c r="AA93" s="182">
        <v>2080</v>
      </c>
      <c r="AB93" s="182">
        <v>693.33333333333337</v>
      </c>
      <c r="AC93" s="477">
        <f t="shared" ref="AC93:AC106" si="49">RANK(AB93, AB$77:AB$106)</f>
        <v>13</v>
      </c>
      <c r="AD93" s="662"/>
      <c r="AE93" s="571">
        <v>3</v>
      </c>
      <c r="AF93" s="182">
        <v>2092</v>
      </c>
      <c r="AG93" s="182">
        <v>697.33333333333337</v>
      </c>
      <c r="AH93" s="477">
        <f t="shared" ref="AH93:AH106" si="50">RANK(AG93, AG$77:AG$106)</f>
        <v>17</v>
      </c>
      <c r="AI93" s="662"/>
      <c r="AJ93" s="571">
        <v>3</v>
      </c>
      <c r="AK93" s="182">
        <v>2297.9999999999991</v>
      </c>
      <c r="AL93" s="182">
        <v>765.99999999999966</v>
      </c>
      <c r="AM93" s="477">
        <f t="shared" ref="AM93:AM106" si="51">RANK(AL93, AL$77:AL$106)</f>
        <v>12</v>
      </c>
      <c r="AN93" s="662"/>
      <c r="AO93" s="571">
        <v>3</v>
      </c>
      <c r="AP93" s="182">
        <v>2297.9999999999991</v>
      </c>
      <c r="AQ93" s="182">
        <v>765.99999999999966</v>
      </c>
      <c r="AR93" s="477">
        <f t="shared" ref="AR93:AR106" si="52">RANK(AQ93, AQ$77:AQ$106)</f>
        <v>11</v>
      </c>
      <c r="AS93" s="662"/>
      <c r="AT93" s="571">
        <v>3</v>
      </c>
      <c r="AU93" s="182">
        <v>2329.3333333333335</v>
      </c>
      <c r="AV93" s="182">
        <v>776.44444444444446</v>
      </c>
      <c r="AW93" s="477">
        <f t="shared" ref="AW93:AW106" si="53">RANK(AV93, AV$77:AV$106)</f>
        <v>12</v>
      </c>
      <c r="AX93" s="662"/>
    </row>
    <row r="94" spans="2:50">
      <c r="B94" s="676"/>
      <c r="C94" s="328">
        <v>18</v>
      </c>
      <c r="D94" s="551" t="s">
        <v>778</v>
      </c>
      <c r="E94" s="551">
        <v>12</v>
      </c>
      <c r="F94" s="551">
        <v>1500</v>
      </c>
      <c r="G94" s="551">
        <v>125</v>
      </c>
      <c r="H94" s="662"/>
      <c r="I94" s="540">
        <f t="shared" si="47"/>
        <v>8.5714285714285712</v>
      </c>
      <c r="J94" s="540">
        <f t="shared" si="47"/>
        <v>1486.2649350649342</v>
      </c>
      <c r="K94" s="200">
        <f t="shared" si="47"/>
        <v>175.72597402597395</v>
      </c>
      <c r="L94" s="647"/>
      <c r="M94" s="199">
        <f>RANK(K94, K$77:$K$106)</f>
        <v>21</v>
      </c>
      <c r="N94" s="654"/>
      <c r="O94" s="654"/>
      <c r="P94" s="182">
        <v>10</v>
      </c>
      <c r="Q94" s="182">
        <v>1407.9999999999975</v>
      </c>
      <c r="R94" s="182">
        <v>140.79999999999976</v>
      </c>
      <c r="S94" s="335">
        <f t="shared" si="46"/>
        <v>21</v>
      </c>
      <c r="T94" s="662"/>
      <c r="U94" s="182">
        <v>10</v>
      </c>
      <c r="V94" s="182">
        <v>1407.9999999999975</v>
      </c>
      <c r="W94" s="182">
        <v>140.79999999999976</v>
      </c>
      <c r="X94" s="477">
        <f t="shared" si="48"/>
        <v>21</v>
      </c>
      <c r="Y94" s="662"/>
      <c r="Z94" s="571">
        <v>8</v>
      </c>
      <c r="AA94" s="182">
        <v>1582.8000000000004</v>
      </c>
      <c r="AB94" s="182">
        <v>197.85000000000005</v>
      </c>
      <c r="AC94" s="477">
        <f t="shared" si="49"/>
        <v>21</v>
      </c>
      <c r="AD94" s="662"/>
      <c r="AE94" s="571">
        <v>8</v>
      </c>
      <c r="AF94" s="182">
        <v>1569.6000000000004</v>
      </c>
      <c r="AG94" s="182">
        <v>196.20000000000005</v>
      </c>
      <c r="AH94" s="477">
        <f t="shared" si="50"/>
        <v>21</v>
      </c>
      <c r="AI94" s="662"/>
      <c r="AJ94" s="571">
        <v>8</v>
      </c>
      <c r="AK94" s="182">
        <v>1541.9999999999957</v>
      </c>
      <c r="AL94" s="182">
        <v>192.74999999999946</v>
      </c>
      <c r="AM94" s="477">
        <f t="shared" si="51"/>
        <v>21</v>
      </c>
      <c r="AN94" s="662"/>
      <c r="AO94" s="571">
        <v>8</v>
      </c>
      <c r="AP94" s="182">
        <v>1445.4545454545464</v>
      </c>
      <c r="AQ94" s="182">
        <v>180.6818181818183</v>
      </c>
      <c r="AR94" s="477">
        <f t="shared" si="52"/>
        <v>21</v>
      </c>
      <c r="AS94" s="662"/>
      <c r="AT94" s="571">
        <v>8</v>
      </c>
      <c r="AU94" s="182">
        <v>1448.0000000000014</v>
      </c>
      <c r="AV94" s="182">
        <v>181.00000000000017</v>
      </c>
      <c r="AW94" s="477">
        <f t="shared" si="53"/>
        <v>21</v>
      </c>
      <c r="AX94" s="662"/>
    </row>
    <row r="95" spans="2:50">
      <c r="B95" s="676"/>
      <c r="C95" s="328">
        <v>19</v>
      </c>
      <c r="D95" s="551" t="s">
        <v>839</v>
      </c>
      <c r="E95" s="551">
        <v>4</v>
      </c>
      <c r="F95" s="551">
        <v>3000</v>
      </c>
      <c r="G95" s="551">
        <v>750</v>
      </c>
      <c r="H95" s="662"/>
      <c r="I95" s="540">
        <f t="shared" si="47"/>
        <v>4</v>
      </c>
      <c r="J95" s="540">
        <f t="shared" si="47"/>
        <v>2201.1999999999971</v>
      </c>
      <c r="K95" s="200">
        <f t="shared" si="47"/>
        <v>550.29999999999927</v>
      </c>
      <c r="L95" s="647"/>
      <c r="M95" s="199">
        <f>RANK(K95, K$77:$K$106)</f>
        <v>19</v>
      </c>
      <c r="N95" s="654"/>
      <c r="O95" s="654"/>
      <c r="P95" s="182">
        <v>4</v>
      </c>
      <c r="Q95" s="182">
        <v>2343.9999999999959</v>
      </c>
      <c r="R95" s="182">
        <v>585.99999999999898</v>
      </c>
      <c r="S95" s="335">
        <f t="shared" si="46"/>
        <v>19</v>
      </c>
      <c r="T95" s="662"/>
      <c r="U95" s="182">
        <v>4</v>
      </c>
      <c r="V95" s="182">
        <v>2189.9999999999964</v>
      </c>
      <c r="W95" s="182">
        <v>547.49999999999909</v>
      </c>
      <c r="X95" s="477">
        <f t="shared" si="48"/>
        <v>19</v>
      </c>
      <c r="Y95" s="662"/>
      <c r="Z95" s="571">
        <v>4</v>
      </c>
      <c r="AA95" s="182">
        <v>2011.9999999999964</v>
      </c>
      <c r="AB95" s="182">
        <v>502.99999999999909</v>
      </c>
      <c r="AC95" s="477">
        <f t="shared" si="49"/>
        <v>19</v>
      </c>
      <c r="AD95" s="662"/>
      <c r="AE95" s="571">
        <v>4</v>
      </c>
      <c r="AF95" s="182">
        <v>2256.0000000000082</v>
      </c>
      <c r="AG95" s="182">
        <v>564.00000000000205</v>
      </c>
      <c r="AH95" s="477">
        <f t="shared" si="50"/>
        <v>19</v>
      </c>
      <c r="AI95" s="662"/>
      <c r="AJ95" s="571">
        <v>4</v>
      </c>
      <c r="AK95" s="182">
        <v>2251.1999999999939</v>
      </c>
      <c r="AL95" s="182">
        <v>562.79999999999848</v>
      </c>
      <c r="AM95" s="477">
        <f t="shared" si="51"/>
        <v>19</v>
      </c>
      <c r="AN95" s="662"/>
      <c r="AO95" s="571">
        <v>4</v>
      </c>
      <c r="AP95" s="182">
        <v>2251.1999999999939</v>
      </c>
      <c r="AQ95" s="182">
        <v>562.79999999999848</v>
      </c>
      <c r="AR95" s="477">
        <f t="shared" si="52"/>
        <v>19</v>
      </c>
      <c r="AS95" s="662"/>
      <c r="AT95" s="571">
        <v>4</v>
      </c>
      <c r="AU95" s="182">
        <v>2103.9999999999964</v>
      </c>
      <c r="AV95" s="182">
        <v>525.99999999999909</v>
      </c>
      <c r="AW95" s="477">
        <f t="shared" si="53"/>
        <v>19</v>
      </c>
      <c r="AX95" s="662"/>
    </row>
    <row r="96" spans="2:50">
      <c r="B96" s="676"/>
      <c r="C96" s="328">
        <v>20</v>
      </c>
      <c r="D96" s="551" t="s">
        <v>843</v>
      </c>
      <c r="E96" s="551">
        <v>3</v>
      </c>
      <c r="F96" s="551">
        <v>2800</v>
      </c>
      <c r="G96" s="551">
        <v>933.33333333333337</v>
      </c>
      <c r="H96" s="662"/>
      <c r="I96" s="540">
        <f t="shared" si="47"/>
        <v>3</v>
      </c>
      <c r="J96" s="540">
        <f t="shared" si="47"/>
        <v>2815.5424792006802</v>
      </c>
      <c r="K96" s="200">
        <f t="shared" si="47"/>
        <v>938.51415973355995</v>
      </c>
      <c r="L96" s="647"/>
      <c r="M96" s="199">
        <f>RANK(K96, K$77:$K$106)</f>
        <v>7</v>
      </c>
      <c r="N96" s="654"/>
      <c r="O96" s="654"/>
      <c r="P96" s="182">
        <v>3</v>
      </c>
      <c r="Q96" s="182">
        <v>2861.2500000000009</v>
      </c>
      <c r="R96" s="182">
        <v>953.75000000000034</v>
      </c>
      <c r="S96" s="335">
        <f t="shared" si="46"/>
        <v>6</v>
      </c>
      <c r="T96" s="662"/>
      <c r="U96" s="182">
        <v>3</v>
      </c>
      <c r="V96" s="182">
        <v>2790.6382978723364</v>
      </c>
      <c r="W96" s="182">
        <v>930.21276595744541</v>
      </c>
      <c r="X96" s="477">
        <f t="shared" si="48"/>
        <v>6</v>
      </c>
      <c r="Y96" s="662"/>
      <c r="Z96" s="571">
        <v>3</v>
      </c>
      <c r="AA96" s="182">
        <v>2771.1627906976742</v>
      </c>
      <c r="AB96" s="182">
        <v>923.72093023255809</v>
      </c>
      <c r="AC96" s="477">
        <f t="shared" si="49"/>
        <v>6</v>
      </c>
      <c r="AD96" s="662"/>
      <c r="AE96" s="571">
        <v>3</v>
      </c>
      <c r="AF96" s="182">
        <v>2831.7073170731701</v>
      </c>
      <c r="AG96" s="182">
        <v>943.90243902438999</v>
      </c>
      <c r="AH96" s="477">
        <f t="shared" si="50"/>
        <v>7</v>
      </c>
      <c r="AI96" s="662"/>
      <c r="AJ96" s="571">
        <v>3</v>
      </c>
      <c r="AK96" s="182">
        <v>2833.170731707316</v>
      </c>
      <c r="AL96" s="182">
        <v>944.39024390243867</v>
      </c>
      <c r="AM96" s="477">
        <f t="shared" si="51"/>
        <v>7</v>
      </c>
      <c r="AN96" s="662"/>
      <c r="AO96" s="571">
        <v>3</v>
      </c>
      <c r="AP96" s="182">
        <v>2779.5348837209294</v>
      </c>
      <c r="AQ96" s="182">
        <v>926.51162790697651</v>
      </c>
      <c r="AR96" s="477">
        <f t="shared" si="52"/>
        <v>6</v>
      </c>
      <c r="AS96" s="662"/>
      <c r="AT96" s="571">
        <v>3</v>
      </c>
      <c r="AU96" s="182">
        <v>2841.333333333333</v>
      </c>
      <c r="AV96" s="182">
        <v>947.11111111111097</v>
      </c>
      <c r="AW96" s="477">
        <f t="shared" si="53"/>
        <v>6</v>
      </c>
      <c r="AX96" s="662"/>
    </row>
    <row r="97" spans="2:50">
      <c r="B97" s="676"/>
      <c r="C97" s="328">
        <v>21</v>
      </c>
      <c r="D97" s="551" t="s">
        <v>951</v>
      </c>
      <c r="E97" s="551">
        <v>4</v>
      </c>
      <c r="F97" s="551">
        <v>2800</v>
      </c>
      <c r="G97" s="551">
        <v>700</v>
      </c>
      <c r="H97" s="662"/>
      <c r="I97" s="540">
        <f t="shared" si="47"/>
        <v>4</v>
      </c>
      <c r="J97" s="540">
        <f t="shared" si="47"/>
        <v>2803.1225885524827</v>
      </c>
      <c r="K97" s="200">
        <f t="shared" si="47"/>
        <v>700.78064713812068</v>
      </c>
      <c r="L97" s="647"/>
      <c r="M97" s="199">
        <f>RANK(K97, K$77:$K$106)</f>
        <v>16</v>
      </c>
      <c r="N97" s="654"/>
      <c r="O97" s="654"/>
      <c r="P97" s="551">
        <v>4</v>
      </c>
      <c r="Q97" s="182">
        <v>2815.2631578947412</v>
      </c>
      <c r="R97" s="552">
        <v>703.8157894736853</v>
      </c>
      <c r="S97" s="335">
        <f t="shared" si="46"/>
        <v>18</v>
      </c>
      <c r="T97" s="662"/>
      <c r="U97" s="551">
        <v>4</v>
      </c>
      <c r="V97" s="182">
        <v>2756.8421052631556</v>
      </c>
      <c r="W97" s="552">
        <v>689.21052631578891</v>
      </c>
      <c r="X97" s="477">
        <f t="shared" si="48"/>
        <v>17</v>
      </c>
      <c r="Y97" s="662"/>
      <c r="Z97" s="571">
        <v>4</v>
      </c>
      <c r="AA97" s="182">
        <v>2772.7272727272757</v>
      </c>
      <c r="AB97" s="182">
        <v>693.18181818181893</v>
      </c>
      <c r="AC97" s="477">
        <f t="shared" si="49"/>
        <v>14</v>
      </c>
      <c r="AD97" s="662"/>
      <c r="AE97" s="571">
        <v>4</v>
      </c>
      <c r="AF97" s="182">
        <v>2837.4193548387047</v>
      </c>
      <c r="AG97" s="182">
        <v>709.35483870967619</v>
      </c>
      <c r="AH97" s="477">
        <f t="shared" si="50"/>
        <v>15</v>
      </c>
      <c r="AI97" s="662"/>
      <c r="AJ97" s="571">
        <v>4</v>
      </c>
      <c r="AK97" s="182">
        <v>2846.8965517241404</v>
      </c>
      <c r="AL97" s="182">
        <v>711.7241379310351</v>
      </c>
      <c r="AM97" s="477">
        <f t="shared" si="51"/>
        <v>15</v>
      </c>
      <c r="AN97" s="662"/>
      <c r="AO97" s="571">
        <v>4</v>
      </c>
      <c r="AP97" s="182">
        <v>2734.0000000000027</v>
      </c>
      <c r="AQ97" s="182">
        <v>683.50000000000068</v>
      </c>
      <c r="AR97" s="477">
        <f t="shared" si="52"/>
        <v>16</v>
      </c>
      <c r="AS97" s="662"/>
      <c r="AT97" s="571">
        <v>4</v>
      </c>
      <c r="AU97" s="182">
        <v>2858.7096774193574</v>
      </c>
      <c r="AV97" s="182">
        <v>714.67741935483934</v>
      </c>
      <c r="AW97" s="477">
        <f t="shared" si="53"/>
        <v>16</v>
      </c>
      <c r="AX97" s="662"/>
    </row>
    <row r="98" spans="2:50">
      <c r="B98" s="676"/>
      <c r="C98" s="328">
        <v>22</v>
      </c>
      <c r="D98" s="551"/>
      <c r="E98" s="551"/>
      <c r="F98" s="551"/>
      <c r="G98" s="551"/>
      <c r="H98" s="662"/>
      <c r="I98" s="540"/>
      <c r="J98" s="540"/>
      <c r="K98" s="200"/>
      <c r="L98" s="647"/>
      <c r="M98" s="199" t="e">
        <f>RANK(K98, K$77:$K$106)</f>
        <v>#N/A</v>
      </c>
      <c r="N98" s="654"/>
      <c r="O98" s="654"/>
      <c r="P98" s="551"/>
      <c r="Q98" s="182"/>
      <c r="R98" s="552"/>
      <c r="S98" s="335" t="e">
        <f t="shared" si="46"/>
        <v>#N/A</v>
      </c>
      <c r="T98" s="662"/>
      <c r="U98" s="551"/>
      <c r="V98" s="182"/>
      <c r="W98" s="552"/>
      <c r="X98" s="477" t="e">
        <f t="shared" si="48"/>
        <v>#N/A</v>
      </c>
      <c r="Y98" s="662"/>
      <c r="Z98" s="551"/>
      <c r="AA98" s="182"/>
      <c r="AB98" s="552"/>
      <c r="AC98" s="477" t="e">
        <f t="shared" si="49"/>
        <v>#N/A</v>
      </c>
      <c r="AD98" s="662"/>
      <c r="AE98" s="551"/>
      <c r="AF98" s="182"/>
      <c r="AG98" s="552"/>
      <c r="AH98" s="477" t="e">
        <f t="shared" si="50"/>
        <v>#N/A</v>
      </c>
      <c r="AI98" s="662"/>
      <c r="AJ98" s="551"/>
      <c r="AK98" s="182"/>
      <c r="AL98" s="552"/>
      <c r="AM98" s="477" t="e">
        <f t="shared" si="51"/>
        <v>#N/A</v>
      </c>
      <c r="AN98" s="662"/>
      <c r="AO98" s="551"/>
      <c r="AP98" s="182"/>
      <c r="AQ98" s="552"/>
      <c r="AR98" s="477" t="e">
        <f t="shared" si="52"/>
        <v>#N/A</v>
      </c>
      <c r="AS98" s="662"/>
      <c r="AT98" s="551"/>
      <c r="AU98" s="182"/>
      <c r="AV98" s="552"/>
      <c r="AW98" s="477" t="e">
        <f t="shared" si="53"/>
        <v>#N/A</v>
      </c>
      <c r="AX98" s="662"/>
    </row>
    <row r="99" spans="2:50">
      <c r="B99" s="676"/>
      <c r="C99" s="328">
        <v>23</v>
      </c>
      <c r="D99" s="551"/>
      <c r="E99" s="551"/>
      <c r="F99" s="551"/>
      <c r="G99" s="551"/>
      <c r="H99" s="662"/>
      <c r="I99" s="540"/>
      <c r="J99" s="540"/>
      <c r="K99" s="200"/>
      <c r="L99" s="647"/>
      <c r="M99" s="199" t="e">
        <f>RANK(K99, K$77:$K$106)</f>
        <v>#N/A</v>
      </c>
      <c r="N99" s="654"/>
      <c r="O99" s="654"/>
      <c r="P99" s="551"/>
      <c r="Q99" s="182"/>
      <c r="R99" s="552"/>
      <c r="S99" s="335" t="e">
        <f t="shared" si="46"/>
        <v>#N/A</v>
      </c>
      <c r="T99" s="662"/>
      <c r="U99" s="551"/>
      <c r="V99" s="182"/>
      <c r="W99" s="552"/>
      <c r="X99" s="477" t="e">
        <f t="shared" si="48"/>
        <v>#N/A</v>
      </c>
      <c r="Y99" s="662"/>
      <c r="Z99" s="551"/>
      <c r="AA99" s="182"/>
      <c r="AB99" s="552"/>
      <c r="AC99" s="477" t="e">
        <f t="shared" si="49"/>
        <v>#N/A</v>
      </c>
      <c r="AD99" s="662"/>
      <c r="AE99" s="551"/>
      <c r="AF99" s="182"/>
      <c r="AG99" s="552"/>
      <c r="AH99" s="477" t="e">
        <f t="shared" si="50"/>
        <v>#N/A</v>
      </c>
      <c r="AI99" s="662"/>
      <c r="AJ99" s="551"/>
      <c r="AK99" s="182"/>
      <c r="AL99" s="552"/>
      <c r="AM99" s="477" t="e">
        <f t="shared" si="51"/>
        <v>#N/A</v>
      </c>
      <c r="AN99" s="662"/>
      <c r="AO99" s="551"/>
      <c r="AP99" s="182"/>
      <c r="AQ99" s="552"/>
      <c r="AR99" s="477" t="e">
        <f t="shared" si="52"/>
        <v>#N/A</v>
      </c>
      <c r="AS99" s="662"/>
      <c r="AT99" s="551"/>
      <c r="AU99" s="182"/>
      <c r="AV99" s="552"/>
      <c r="AW99" s="477" t="e">
        <f t="shared" si="53"/>
        <v>#N/A</v>
      </c>
      <c r="AX99" s="662"/>
    </row>
    <row r="100" spans="2:50">
      <c r="B100" s="676"/>
      <c r="C100" s="328">
        <v>24</v>
      </c>
      <c r="D100" s="551"/>
      <c r="E100" s="551"/>
      <c r="F100" s="551"/>
      <c r="G100" s="551"/>
      <c r="H100" s="662"/>
      <c r="I100" s="540"/>
      <c r="J100" s="540"/>
      <c r="K100" s="200"/>
      <c r="L100" s="647"/>
      <c r="M100" s="199" t="e">
        <f>RANK(K100, K$77:$K$106)</f>
        <v>#N/A</v>
      </c>
      <c r="N100" s="654"/>
      <c r="O100" s="654"/>
      <c r="P100" s="551"/>
      <c r="Q100" s="182"/>
      <c r="R100" s="552"/>
      <c r="S100" s="335" t="e">
        <f t="shared" si="46"/>
        <v>#N/A</v>
      </c>
      <c r="T100" s="662"/>
      <c r="U100" s="551"/>
      <c r="V100" s="182"/>
      <c r="W100" s="552"/>
      <c r="X100" s="477" t="e">
        <f t="shared" si="48"/>
        <v>#N/A</v>
      </c>
      <c r="Y100" s="662"/>
      <c r="Z100" s="551"/>
      <c r="AA100" s="182"/>
      <c r="AB100" s="552"/>
      <c r="AC100" s="477" t="e">
        <f t="shared" si="49"/>
        <v>#N/A</v>
      </c>
      <c r="AD100" s="662"/>
      <c r="AE100" s="551"/>
      <c r="AF100" s="182"/>
      <c r="AG100" s="552"/>
      <c r="AH100" s="477" t="e">
        <f t="shared" si="50"/>
        <v>#N/A</v>
      </c>
      <c r="AI100" s="662"/>
      <c r="AJ100" s="551"/>
      <c r="AK100" s="182"/>
      <c r="AL100" s="552"/>
      <c r="AM100" s="477" t="e">
        <f t="shared" si="51"/>
        <v>#N/A</v>
      </c>
      <c r="AN100" s="662"/>
      <c r="AO100" s="551"/>
      <c r="AP100" s="182"/>
      <c r="AQ100" s="552"/>
      <c r="AR100" s="477" t="e">
        <f t="shared" si="52"/>
        <v>#N/A</v>
      </c>
      <c r="AS100" s="662"/>
      <c r="AT100" s="551"/>
      <c r="AU100" s="182"/>
      <c r="AV100" s="552"/>
      <c r="AW100" s="477" t="e">
        <f t="shared" si="53"/>
        <v>#N/A</v>
      </c>
      <c r="AX100" s="662"/>
    </row>
    <row r="101" spans="2:50">
      <c r="B101" s="676"/>
      <c r="C101" s="328">
        <v>25</v>
      </c>
      <c r="D101" s="551"/>
      <c r="E101" s="551"/>
      <c r="F101" s="551"/>
      <c r="G101" s="551"/>
      <c r="H101" s="662"/>
      <c r="I101" s="202"/>
      <c r="J101" s="202"/>
      <c r="K101" s="202"/>
      <c r="L101" s="647"/>
      <c r="M101" s="199" t="e">
        <f>RANK(K101, K$77:$K$106)</f>
        <v>#N/A</v>
      </c>
      <c r="N101" s="654"/>
      <c r="O101" s="654"/>
      <c r="P101" s="551"/>
      <c r="Q101" s="182"/>
      <c r="R101" s="552"/>
      <c r="S101" s="335" t="e">
        <f t="shared" si="46"/>
        <v>#N/A</v>
      </c>
      <c r="T101" s="662"/>
      <c r="U101" s="551"/>
      <c r="V101" s="182"/>
      <c r="W101" s="552"/>
      <c r="X101" s="477" t="e">
        <f t="shared" si="48"/>
        <v>#N/A</v>
      </c>
      <c r="Y101" s="662"/>
      <c r="Z101" s="551"/>
      <c r="AA101" s="182"/>
      <c r="AB101" s="552"/>
      <c r="AC101" s="477" t="e">
        <f t="shared" si="49"/>
        <v>#N/A</v>
      </c>
      <c r="AD101" s="662"/>
      <c r="AE101" s="551"/>
      <c r="AF101" s="182"/>
      <c r="AG101" s="552"/>
      <c r="AH101" s="477" t="e">
        <f t="shared" si="50"/>
        <v>#N/A</v>
      </c>
      <c r="AI101" s="662"/>
      <c r="AJ101" s="551"/>
      <c r="AK101" s="182"/>
      <c r="AL101" s="552"/>
      <c r="AM101" s="477" t="e">
        <f t="shared" si="51"/>
        <v>#N/A</v>
      </c>
      <c r="AN101" s="662"/>
      <c r="AO101" s="551"/>
      <c r="AP101" s="182"/>
      <c r="AQ101" s="552"/>
      <c r="AR101" s="477" t="e">
        <f t="shared" si="52"/>
        <v>#N/A</v>
      </c>
      <c r="AS101" s="662"/>
      <c r="AT101" s="551"/>
      <c r="AU101" s="182"/>
      <c r="AV101" s="552"/>
      <c r="AW101" s="477" t="e">
        <f t="shared" si="53"/>
        <v>#N/A</v>
      </c>
      <c r="AX101" s="662"/>
    </row>
    <row r="102" spans="2:50">
      <c r="B102" s="676"/>
      <c r="C102" s="328">
        <v>26</v>
      </c>
      <c r="D102" s="551"/>
      <c r="E102" s="551"/>
      <c r="F102" s="551"/>
      <c r="G102" s="551"/>
      <c r="H102" s="662"/>
      <c r="I102" s="202"/>
      <c r="J102" s="202"/>
      <c r="K102" s="202"/>
      <c r="L102" s="647"/>
      <c r="M102" s="199" t="e">
        <f>RANK(K102, K$77:$K$106)</f>
        <v>#N/A</v>
      </c>
      <c r="N102" s="654"/>
      <c r="O102" s="654"/>
      <c r="P102" s="551"/>
      <c r="Q102" s="182"/>
      <c r="R102" s="552"/>
      <c r="S102" s="335" t="e">
        <f t="shared" si="46"/>
        <v>#N/A</v>
      </c>
      <c r="T102" s="662"/>
      <c r="U102" s="551"/>
      <c r="V102" s="182"/>
      <c r="W102" s="552"/>
      <c r="X102" s="477" t="e">
        <f t="shared" si="48"/>
        <v>#N/A</v>
      </c>
      <c r="Y102" s="662"/>
      <c r="Z102" s="551"/>
      <c r="AA102" s="182"/>
      <c r="AB102" s="552"/>
      <c r="AC102" s="477" t="e">
        <f t="shared" si="49"/>
        <v>#N/A</v>
      </c>
      <c r="AD102" s="662"/>
      <c r="AE102" s="551"/>
      <c r="AF102" s="182"/>
      <c r="AG102" s="552"/>
      <c r="AH102" s="477" t="e">
        <f t="shared" si="50"/>
        <v>#N/A</v>
      </c>
      <c r="AI102" s="662"/>
      <c r="AJ102" s="551"/>
      <c r="AK102" s="182"/>
      <c r="AL102" s="552"/>
      <c r="AM102" s="477" t="e">
        <f t="shared" si="51"/>
        <v>#N/A</v>
      </c>
      <c r="AN102" s="662"/>
      <c r="AO102" s="551"/>
      <c r="AP102" s="182"/>
      <c r="AQ102" s="552"/>
      <c r="AR102" s="477" t="e">
        <f t="shared" si="52"/>
        <v>#N/A</v>
      </c>
      <c r="AS102" s="662"/>
      <c r="AT102" s="551"/>
      <c r="AU102" s="182"/>
      <c r="AV102" s="552"/>
      <c r="AW102" s="477" t="e">
        <f t="shared" si="53"/>
        <v>#N/A</v>
      </c>
      <c r="AX102" s="662"/>
    </row>
    <row r="103" spans="2:50">
      <c r="B103" s="676"/>
      <c r="C103" s="328">
        <v>27</v>
      </c>
      <c r="D103" s="551"/>
      <c r="E103" s="551"/>
      <c r="F103" s="551"/>
      <c r="G103" s="551"/>
      <c r="H103" s="662"/>
      <c r="I103" s="202"/>
      <c r="J103" s="202"/>
      <c r="K103" s="202"/>
      <c r="L103" s="647"/>
      <c r="M103" s="199" t="e">
        <f>RANK(K103, K$77:$K$106)</f>
        <v>#N/A</v>
      </c>
      <c r="N103" s="654"/>
      <c r="O103" s="654"/>
      <c r="P103" s="551"/>
      <c r="Q103" s="182"/>
      <c r="R103" s="552"/>
      <c r="S103" s="335" t="e">
        <f t="shared" si="46"/>
        <v>#N/A</v>
      </c>
      <c r="T103" s="662"/>
      <c r="U103" s="551"/>
      <c r="V103" s="182"/>
      <c r="W103" s="552"/>
      <c r="X103" s="477" t="e">
        <f t="shared" si="48"/>
        <v>#N/A</v>
      </c>
      <c r="Y103" s="662"/>
      <c r="Z103" s="551"/>
      <c r="AA103" s="182"/>
      <c r="AB103" s="552"/>
      <c r="AC103" s="477" t="e">
        <f t="shared" si="49"/>
        <v>#N/A</v>
      </c>
      <c r="AD103" s="662"/>
      <c r="AE103" s="551"/>
      <c r="AF103" s="182"/>
      <c r="AG103" s="552"/>
      <c r="AH103" s="477" t="e">
        <f t="shared" si="50"/>
        <v>#N/A</v>
      </c>
      <c r="AI103" s="662"/>
      <c r="AJ103" s="551"/>
      <c r="AK103" s="182"/>
      <c r="AL103" s="552"/>
      <c r="AM103" s="477" t="e">
        <f t="shared" si="51"/>
        <v>#N/A</v>
      </c>
      <c r="AN103" s="662"/>
      <c r="AO103" s="551"/>
      <c r="AP103" s="182"/>
      <c r="AQ103" s="552"/>
      <c r="AR103" s="477" t="e">
        <f t="shared" si="52"/>
        <v>#N/A</v>
      </c>
      <c r="AS103" s="662"/>
      <c r="AT103" s="551"/>
      <c r="AU103" s="182"/>
      <c r="AV103" s="552"/>
      <c r="AW103" s="477" t="e">
        <f t="shared" si="53"/>
        <v>#N/A</v>
      </c>
      <c r="AX103" s="662"/>
    </row>
    <row r="104" spans="2:50">
      <c r="B104" s="676"/>
      <c r="C104" s="328">
        <v>28</v>
      </c>
      <c r="D104" s="551"/>
      <c r="E104" s="551"/>
      <c r="F104" s="551"/>
      <c r="G104" s="551"/>
      <c r="H104" s="662"/>
      <c r="I104" s="202"/>
      <c r="J104" s="202"/>
      <c r="K104" s="202"/>
      <c r="L104" s="647"/>
      <c r="M104" s="199" t="e">
        <f>RANK(K104, K$77:$K$106)</f>
        <v>#N/A</v>
      </c>
      <c r="N104" s="654"/>
      <c r="O104" s="654"/>
      <c r="P104" s="551"/>
      <c r="Q104" s="182"/>
      <c r="R104" s="552"/>
      <c r="S104" s="335" t="e">
        <f t="shared" si="46"/>
        <v>#N/A</v>
      </c>
      <c r="T104" s="662"/>
      <c r="U104" s="551"/>
      <c r="V104" s="182"/>
      <c r="W104" s="552"/>
      <c r="X104" s="477" t="e">
        <f t="shared" si="48"/>
        <v>#N/A</v>
      </c>
      <c r="Y104" s="662"/>
      <c r="Z104" s="551"/>
      <c r="AA104" s="182"/>
      <c r="AB104" s="552"/>
      <c r="AC104" s="477" t="e">
        <f t="shared" si="49"/>
        <v>#N/A</v>
      </c>
      <c r="AD104" s="662"/>
      <c r="AE104" s="551"/>
      <c r="AF104" s="182"/>
      <c r="AG104" s="552"/>
      <c r="AH104" s="477" t="e">
        <f t="shared" si="50"/>
        <v>#N/A</v>
      </c>
      <c r="AI104" s="662"/>
      <c r="AJ104" s="551"/>
      <c r="AK104" s="182"/>
      <c r="AL104" s="552"/>
      <c r="AM104" s="477" t="e">
        <f t="shared" si="51"/>
        <v>#N/A</v>
      </c>
      <c r="AN104" s="662"/>
      <c r="AO104" s="551"/>
      <c r="AP104" s="182"/>
      <c r="AQ104" s="552"/>
      <c r="AR104" s="477" t="e">
        <f t="shared" si="52"/>
        <v>#N/A</v>
      </c>
      <c r="AS104" s="662"/>
      <c r="AT104" s="551"/>
      <c r="AU104" s="182"/>
      <c r="AV104" s="552"/>
      <c r="AW104" s="477" t="e">
        <f t="shared" si="53"/>
        <v>#N/A</v>
      </c>
      <c r="AX104" s="662"/>
    </row>
    <row r="105" spans="2:50">
      <c r="B105" s="676"/>
      <c r="C105" s="328">
        <v>29</v>
      </c>
      <c r="D105" s="551"/>
      <c r="E105" s="551"/>
      <c r="F105" s="551"/>
      <c r="G105" s="551"/>
      <c r="H105" s="662"/>
      <c r="I105" s="202"/>
      <c r="J105" s="202"/>
      <c r="K105" s="202"/>
      <c r="L105" s="647"/>
      <c r="M105" s="199" t="e">
        <f>RANK(K105, K$77:$K$106)</f>
        <v>#N/A</v>
      </c>
      <c r="N105" s="654"/>
      <c r="O105" s="654"/>
      <c r="P105" s="551"/>
      <c r="Q105" s="182"/>
      <c r="R105" s="552"/>
      <c r="S105" s="335" t="e">
        <f t="shared" si="46"/>
        <v>#N/A</v>
      </c>
      <c r="T105" s="662"/>
      <c r="U105" s="551"/>
      <c r="V105" s="182"/>
      <c r="W105" s="552"/>
      <c r="X105" s="477" t="e">
        <f t="shared" si="48"/>
        <v>#N/A</v>
      </c>
      <c r="Y105" s="662"/>
      <c r="Z105" s="551"/>
      <c r="AA105" s="182"/>
      <c r="AB105" s="552"/>
      <c r="AC105" s="477" t="e">
        <f t="shared" si="49"/>
        <v>#N/A</v>
      </c>
      <c r="AD105" s="662"/>
      <c r="AE105" s="551"/>
      <c r="AF105" s="182"/>
      <c r="AG105" s="552"/>
      <c r="AH105" s="477" t="e">
        <f t="shared" si="50"/>
        <v>#N/A</v>
      </c>
      <c r="AI105" s="662"/>
      <c r="AJ105" s="551"/>
      <c r="AK105" s="182"/>
      <c r="AL105" s="552"/>
      <c r="AM105" s="477" t="e">
        <f t="shared" si="51"/>
        <v>#N/A</v>
      </c>
      <c r="AN105" s="662"/>
      <c r="AO105" s="551"/>
      <c r="AP105" s="182"/>
      <c r="AQ105" s="552"/>
      <c r="AR105" s="477" t="e">
        <f t="shared" si="52"/>
        <v>#N/A</v>
      </c>
      <c r="AS105" s="662"/>
      <c r="AT105" s="551"/>
      <c r="AU105" s="182"/>
      <c r="AV105" s="552"/>
      <c r="AW105" s="477" t="e">
        <f t="shared" si="53"/>
        <v>#N/A</v>
      </c>
      <c r="AX105" s="662"/>
    </row>
    <row r="106" spans="2:50">
      <c r="B106" s="677"/>
      <c r="C106" s="328">
        <v>30</v>
      </c>
      <c r="D106" s="551"/>
      <c r="E106" s="551"/>
      <c r="F106" s="551"/>
      <c r="G106" s="551"/>
      <c r="H106" s="663"/>
      <c r="I106" s="202"/>
      <c r="J106" s="202"/>
      <c r="K106" s="202"/>
      <c r="L106" s="648"/>
      <c r="M106" s="199" t="e">
        <f>RANK(K106, K$77:$K$106)</f>
        <v>#N/A</v>
      </c>
      <c r="N106" s="655"/>
      <c r="O106" s="655"/>
      <c r="P106" s="551"/>
      <c r="Q106" s="182"/>
      <c r="R106" s="552"/>
      <c r="S106" s="335" t="e">
        <f t="shared" si="46"/>
        <v>#N/A</v>
      </c>
      <c r="T106" s="663"/>
      <c r="U106" s="551"/>
      <c r="V106" s="182"/>
      <c r="W106" s="552"/>
      <c r="X106" s="477" t="e">
        <f t="shared" si="48"/>
        <v>#N/A</v>
      </c>
      <c r="Y106" s="663"/>
      <c r="Z106" s="551"/>
      <c r="AA106" s="182"/>
      <c r="AB106" s="552"/>
      <c r="AC106" s="477" t="e">
        <f t="shared" si="49"/>
        <v>#N/A</v>
      </c>
      <c r="AD106" s="663"/>
      <c r="AE106" s="551"/>
      <c r="AF106" s="182"/>
      <c r="AG106" s="552"/>
      <c r="AH106" s="477" t="e">
        <f t="shared" si="50"/>
        <v>#N/A</v>
      </c>
      <c r="AI106" s="663"/>
      <c r="AJ106" s="551"/>
      <c r="AK106" s="182"/>
      <c r="AL106" s="552"/>
      <c r="AM106" s="477" t="e">
        <f t="shared" si="51"/>
        <v>#N/A</v>
      </c>
      <c r="AN106" s="663"/>
      <c r="AO106" s="551"/>
      <c r="AP106" s="182"/>
      <c r="AQ106" s="552"/>
      <c r="AR106" s="477" t="e">
        <f t="shared" si="52"/>
        <v>#N/A</v>
      </c>
      <c r="AS106" s="663"/>
      <c r="AT106" s="551"/>
      <c r="AU106" s="182"/>
      <c r="AV106" s="552"/>
      <c r="AW106" s="477" t="e">
        <f t="shared" si="53"/>
        <v>#N/A</v>
      </c>
      <c r="AX106" s="663"/>
    </row>
    <row r="107" spans="2:50" ht="15.75">
      <c r="B107" s="664" t="s">
        <v>163</v>
      </c>
      <c r="C107" s="665"/>
      <c r="D107" s="665"/>
      <c r="E107" s="665"/>
      <c r="F107" s="665"/>
      <c r="G107" s="665"/>
      <c r="H107" s="666"/>
      <c r="I107" s="208"/>
      <c r="J107" s="208"/>
      <c r="K107" s="208"/>
      <c r="L107" s="208"/>
      <c r="M107" s="207"/>
      <c r="N107" s="653" t="s">
        <v>156</v>
      </c>
      <c r="O107" s="653" t="s">
        <v>155</v>
      </c>
      <c r="P107" s="659">
        <f>P72+7</f>
        <v>46070</v>
      </c>
      <c r="Q107" s="660"/>
      <c r="R107" s="660"/>
      <c r="S107" s="660"/>
      <c r="T107" s="660"/>
      <c r="U107" s="656">
        <f>P107+1</f>
        <v>46071</v>
      </c>
      <c r="V107" s="657"/>
      <c r="W107" s="657"/>
      <c r="X107" s="657"/>
      <c r="Y107" s="658"/>
      <c r="Z107" s="656">
        <f>U107+1</f>
        <v>46072</v>
      </c>
      <c r="AA107" s="657"/>
      <c r="AB107" s="657"/>
      <c r="AC107" s="657"/>
      <c r="AD107" s="658"/>
      <c r="AE107" s="656">
        <f>Z107+1</f>
        <v>46073</v>
      </c>
      <c r="AF107" s="657"/>
      <c r="AG107" s="657"/>
      <c r="AH107" s="657"/>
      <c r="AI107" s="658"/>
      <c r="AJ107" s="656">
        <f>AE107+1</f>
        <v>46074</v>
      </c>
      <c r="AK107" s="657"/>
      <c r="AL107" s="657"/>
      <c r="AM107" s="657"/>
      <c r="AN107" s="658"/>
      <c r="AO107" s="656">
        <f>AJ107+1</f>
        <v>46075</v>
      </c>
      <c r="AP107" s="657"/>
      <c r="AQ107" s="657"/>
      <c r="AR107" s="657"/>
      <c r="AS107" s="658"/>
      <c r="AT107" s="656">
        <f>AO107+1</f>
        <v>46076</v>
      </c>
      <c r="AU107" s="657"/>
      <c r="AV107" s="657"/>
      <c r="AW107" s="657"/>
      <c r="AX107" s="658"/>
    </row>
    <row r="108" spans="2:50" ht="15.75">
      <c r="B108" s="667"/>
      <c r="C108" s="667"/>
      <c r="D108" s="667"/>
      <c r="E108" s="667"/>
      <c r="F108" s="667"/>
      <c r="G108" s="667"/>
      <c r="H108" s="667"/>
      <c r="I108" s="205"/>
      <c r="J108" s="205"/>
      <c r="K108" s="205"/>
      <c r="L108" s="205"/>
      <c r="M108" s="206"/>
      <c r="N108" s="655"/>
      <c r="O108" s="655"/>
      <c r="P108" s="659" t="s">
        <v>336</v>
      </c>
      <c r="Q108" s="660"/>
      <c r="R108" s="660"/>
      <c r="S108" s="660"/>
      <c r="T108" s="660"/>
      <c r="U108" s="659" t="s">
        <v>337</v>
      </c>
      <c r="V108" s="660"/>
      <c r="W108" s="660"/>
      <c r="X108" s="660"/>
      <c r="Y108" s="660"/>
      <c r="Z108" s="659" t="s">
        <v>338</v>
      </c>
      <c r="AA108" s="660"/>
      <c r="AB108" s="660"/>
      <c r="AC108" s="660"/>
      <c r="AD108" s="660"/>
      <c r="AE108" s="659" t="s">
        <v>339</v>
      </c>
      <c r="AF108" s="660"/>
      <c r="AG108" s="660"/>
      <c r="AH108" s="660"/>
      <c r="AI108" s="660"/>
      <c r="AJ108" s="659" t="s">
        <v>340</v>
      </c>
      <c r="AK108" s="660"/>
      <c r="AL108" s="660"/>
      <c r="AM108" s="660"/>
      <c r="AN108" s="660"/>
      <c r="AO108" s="659" t="s">
        <v>341</v>
      </c>
      <c r="AP108" s="660"/>
      <c r="AQ108" s="660"/>
      <c r="AR108" s="660"/>
      <c r="AS108" s="660"/>
      <c r="AT108" s="659" t="s">
        <v>342</v>
      </c>
      <c r="AU108" s="660"/>
      <c r="AV108" s="660"/>
      <c r="AW108" s="660"/>
      <c r="AX108" s="660"/>
    </row>
    <row r="109" spans="2:50">
      <c r="B109" s="652" t="s">
        <v>431</v>
      </c>
      <c r="C109" s="652" t="s">
        <v>441</v>
      </c>
      <c r="D109" s="652"/>
      <c r="E109" s="652" t="s">
        <v>432</v>
      </c>
      <c r="F109" s="652"/>
      <c r="G109" s="652"/>
      <c r="H109" s="668" t="s">
        <v>428</v>
      </c>
      <c r="I109" s="636" t="s">
        <v>433</v>
      </c>
      <c r="J109" s="636"/>
      <c r="K109" s="636"/>
      <c r="L109" s="637" t="s">
        <v>428</v>
      </c>
      <c r="M109" s="643" t="s">
        <v>429</v>
      </c>
      <c r="N109" s="652"/>
      <c r="O109" s="652" t="s">
        <v>434</v>
      </c>
      <c r="P109" s="649" t="s">
        <v>430</v>
      </c>
      <c r="Q109" s="650"/>
      <c r="R109" s="650"/>
      <c r="S109" s="651"/>
      <c r="T109" s="652" t="s">
        <v>428</v>
      </c>
      <c r="U109" s="649" t="s">
        <v>430</v>
      </c>
      <c r="V109" s="650"/>
      <c r="W109" s="650"/>
      <c r="X109" s="651"/>
      <c r="Y109" s="652" t="s">
        <v>428</v>
      </c>
      <c r="Z109" s="649" t="s">
        <v>430</v>
      </c>
      <c r="AA109" s="650"/>
      <c r="AB109" s="650"/>
      <c r="AC109" s="651"/>
      <c r="AD109" s="652" t="s">
        <v>428</v>
      </c>
      <c r="AE109" s="649" t="s">
        <v>430</v>
      </c>
      <c r="AF109" s="650"/>
      <c r="AG109" s="650"/>
      <c r="AH109" s="651"/>
      <c r="AI109" s="652" t="s">
        <v>428</v>
      </c>
      <c r="AJ109" s="649" t="s">
        <v>430</v>
      </c>
      <c r="AK109" s="650"/>
      <c r="AL109" s="650"/>
      <c r="AM109" s="651"/>
      <c r="AN109" s="652" t="s">
        <v>428</v>
      </c>
      <c r="AO109" s="649" t="s">
        <v>430</v>
      </c>
      <c r="AP109" s="650"/>
      <c r="AQ109" s="650"/>
      <c r="AR109" s="651"/>
      <c r="AS109" s="652" t="s">
        <v>428</v>
      </c>
      <c r="AT109" s="649" t="s">
        <v>430</v>
      </c>
      <c r="AU109" s="650"/>
      <c r="AV109" s="650"/>
      <c r="AW109" s="651"/>
      <c r="AX109" s="652" t="s">
        <v>428</v>
      </c>
    </row>
    <row r="110" spans="2:50">
      <c r="B110" s="652"/>
      <c r="C110" s="652"/>
      <c r="D110" s="652"/>
      <c r="E110" s="652" t="s">
        <v>435</v>
      </c>
      <c r="F110" s="652"/>
      <c r="G110" s="652"/>
      <c r="H110" s="669"/>
      <c r="I110" s="636" t="s">
        <v>435</v>
      </c>
      <c r="J110" s="636"/>
      <c r="K110" s="636"/>
      <c r="L110" s="638"/>
      <c r="M110" s="644"/>
      <c r="N110" s="652"/>
      <c r="O110" s="652"/>
      <c r="P110" s="649" t="s">
        <v>436</v>
      </c>
      <c r="Q110" s="650"/>
      <c r="R110" s="650"/>
      <c r="S110" s="651"/>
      <c r="T110" s="652"/>
      <c r="U110" s="649" t="s">
        <v>436</v>
      </c>
      <c r="V110" s="650"/>
      <c r="W110" s="650"/>
      <c r="X110" s="651"/>
      <c r="Y110" s="652"/>
      <c r="Z110" s="649" t="s">
        <v>436</v>
      </c>
      <c r="AA110" s="650"/>
      <c r="AB110" s="650"/>
      <c r="AC110" s="651"/>
      <c r="AD110" s="652"/>
      <c r="AE110" s="649" t="s">
        <v>436</v>
      </c>
      <c r="AF110" s="650"/>
      <c r="AG110" s="650"/>
      <c r="AH110" s="651"/>
      <c r="AI110" s="652"/>
      <c r="AJ110" s="649" t="s">
        <v>436</v>
      </c>
      <c r="AK110" s="650"/>
      <c r="AL110" s="650"/>
      <c r="AM110" s="651"/>
      <c r="AN110" s="652"/>
      <c r="AO110" s="649" t="s">
        <v>436</v>
      </c>
      <c r="AP110" s="650"/>
      <c r="AQ110" s="650"/>
      <c r="AR110" s="651"/>
      <c r="AS110" s="652"/>
      <c r="AT110" s="649" t="s">
        <v>436</v>
      </c>
      <c r="AU110" s="650"/>
      <c r="AV110" s="650"/>
      <c r="AW110" s="651"/>
      <c r="AX110" s="652"/>
    </row>
    <row r="111" spans="2:50">
      <c r="B111" s="652"/>
      <c r="C111" s="652"/>
      <c r="D111" s="652"/>
      <c r="E111" s="308" t="s">
        <v>437</v>
      </c>
      <c r="F111" s="308" t="s">
        <v>438</v>
      </c>
      <c r="G111" s="308" t="s">
        <v>439</v>
      </c>
      <c r="H111" s="670"/>
      <c r="I111" s="307" t="s">
        <v>437</v>
      </c>
      <c r="J111" s="307" t="s">
        <v>438</v>
      </c>
      <c r="K111" s="307" t="s">
        <v>439</v>
      </c>
      <c r="L111" s="639"/>
      <c r="M111" s="645"/>
      <c r="N111" s="652"/>
      <c r="O111" s="652"/>
      <c r="P111" s="308" t="s">
        <v>437</v>
      </c>
      <c r="Q111" s="308" t="s">
        <v>438</v>
      </c>
      <c r="R111" s="308" t="s">
        <v>439</v>
      </c>
      <c r="S111" s="308" t="s">
        <v>429</v>
      </c>
      <c r="T111" s="652"/>
      <c r="U111" s="308" t="s">
        <v>437</v>
      </c>
      <c r="V111" s="308" t="s">
        <v>438</v>
      </c>
      <c r="W111" s="308" t="s">
        <v>439</v>
      </c>
      <c r="X111" s="308" t="s">
        <v>429</v>
      </c>
      <c r="Y111" s="652"/>
      <c r="Z111" s="308" t="s">
        <v>437</v>
      </c>
      <c r="AA111" s="308" t="s">
        <v>438</v>
      </c>
      <c r="AB111" s="308" t="s">
        <v>439</v>
      </c>
      <c r="AC111" s="308" t="s">
        <v>429</v>
      </c>
      <c r="AD111" s="652"/>
      <c r="AE111" s="308" t="s">
        <v>437</v>
      </c>
      <c r="AF111" s="308" t="s">
        <v>438</v>
      </c>
      <c r="AG111" s="308" t="s">
        <v>439</v>
      </c>
      <c r="AH111" s="308" t="s">
        <v>429</v>
      </c>
      <c r="AI111" s="652"/>
      <c r="AJ111" s="308" t="s">
        <v>437</v>
      </c>
      <c r="AK111" s="308" t="s">
        <v>438</v>
      </c>
      <c r="AL111" s="308" t="s">
        <v>439</v>
      </c>
      <c r="AM111" s="308" t="s">
        <v>429</v>
      </c>
      <c r="AN111" s="652"/>
      <c r="AO111" s="308" t="s">
        <v>437</v>
      </c>
      <c r="AP111" s="308" t="s">
        <v>438</v>
      </c>
      <c r="AQ111" s="308" t="s">
        <v>439</v>
      </c>
      <c r="AR111" s="308" t="s">
        <v>429</v>
      </c>
      <c r="AS111" s="652"/>
      <c r="AT111" s="308" t="s">
        <v>437</v>
      </c>
      <c r="AU111" s="308" t="s">
        <v>438</v>
      </c>
      <c r="AV111" s="308" t="s">
        <v>439</v>
      </c>
      <c r="AW111" s="308" t="s">
        <v>429</v>
      </c>
      <c r="AX111" s="652"/>
    </row>
    <row r="112" spans="2:50">
      <c r="B112" s="660" t="s">
        <v>150</v>
      </c>
      <c r="C112" s="309">
        <v>1</v>
      </c>
      <c r="D112" s="551"/>
      <c r="E112" s="551"/>
      <c r="F112" s="551"/>
      <c r="G112" s="551"/>
      <c r="H112" s="661" t="e">
        <f>AVERAGE(G112:G141)</f>
        <v>#DIV/0!</v>
      </c>
      <c r="I112" s="199" t="e">
        <f>AVERAGE(P112,U112,Z112,AE112,AJ112,AO112,AT112)</f>
        <v>#DIV/0!</v>
      </c>
      <c r="J112" s="199" t="e">
        <f>AVERAGE(Q112,V112,AA112,AF112,AK112,AP112,AU112)</f>
        <v>#DIV/0!</v>
      </c>
      <c r="K112" s="200" t="e">
        <f>AVERAGE(R112,W112,AB112,AG112,AL112,AQ112,AV112)</f>
        <v>#DIV/0!</v>
      </c>
      <c r="L112" s="633" t="str">
        <f>IFERROR(AVERAGE(K112:K141),"-")</f>
        <v>-</v>
      </c>
      <c r="M112" s="199" t="e">
        <f>RANK(K112, K$112:$K$141)</f>
        <v>#DIV/0!</v>
      </c>
      <c r="N112" s="652"/>
      <c r="O112" s="652"/>
      <c r="P112" s="426"/>
      <c r="Q112" s="182"/>
      <c r="R112" s="182"/>
      <c r="S112" s="309" t="e">
        <f>RANK(R112, R$112:R$141)</f>
        <v>#N/A</v>
      </c>
      <c r="T112" s="661" t="e">
        <f>AVERAGE(R112:R141)</f>
        <v>#DIV/0!</v>
      </c>
      <c r="U112" s="426"/>
      <c r="V112" s="182"/>
      <c r="W112" s="182"/>
      <c r="X112" s="477" t="e">
        <f t="shared" ref="X112:X127" si="54">RANK(W112, W$112:W$141)</f>
        <v>#N/A</v>
      </c>
      <c r="Y112" s="661" t="e">
        <f t="shared" ref="Y112" si="55">AVERAGE(W112:W141)</f>
        <v>#DIV/0!</v>
      </c>
      <c r="Z112" s="426"/>
      <c r="AA112" s="182"/>
      <c r="AB112" s="182"/>
      <c r="AC112" s="477" t="e">
        <f t="shared" ref="AC112:AC127" si="56">RANK(AB112, AB$112:AB$141)</f>
        <v>#N/A</v>
      </c>
      <c r="AD112" s="661" t="e">
        <f t="shared" ref="AD112" si="57">AVERAGE(AB112:AB141)</f>
        <v>#DIV/0!</v>
      </c>
      <c r="AE112" s="426"/>
      <c r="AF112" s="182"/>
      <c r="AG112" s="182"/>
      <c r="AH112" s="477" t="e">
        <f t="shared" ref="AH112:AH127" si="58">RANK(AG112, AG$112:AG$141)</f>
        <v>#N/A</v>
      </c>
      <c r="AI112" s="661" t="e">
        <f t="shared" ref="AI112" si="59">AVERAGE(AG112:AG141)</f>
        <v>#DIV/0!</v>
      </c>
      <c r="AJ112" s="426"/>
      <c r="AK112" s="182"/>
      <c r="AL112" s="182"/>
      <c r="AM112" s="477" t="e">
        <f t="shared" ref="AM112:AM127" si="60">RANK(AL112, AL$112:AL$141)</f>
        <v>#N/A</v>
      </c>
      <c r="AN112" s="661" t="e">
        <f t="shared" ref="AN112" si="61">AVERAGE(AL112:AL141)</f>
        <v>#DIV/0!</v>
      </c>
      <c r="AO112" s="426"/>
      <c r="AP112" s="182"/>
      <c r="AQ112" s="182"/>
      <c r="AR112" s="477" t="e">
        <f t="shared" ref="AR112:AR127" si="62">RANK(AQ112, AQ$112:AQ$141)</f>
        <v>#N/A</v>
      </c>
      <c r="AS112" s="661" t="e">
        <f t="shared" ref="AS112" si="63">AVERAGE(AQ112:AQ141)</f>
        <v>#DIV/0!</v>
      </c>
      <c r="AT112" s="426"/>
      <c r="AU112" s="182"/>
      <c r="AV112" s="182"/>
      <c r="AW112" s="477" t="e">
        <f t="shared" ref="AW112:AW127" si="64">RANK(AV112, AV$112:AV$141)</f>
        <v>#N/A</v>
      </c>
      <c r="AX112" s="661" t="e">
        <f t="shared" ref="AX112" si="65">AVERAGE(AV112:AV141)</f>
        <v>#DIV/0!</v>
      </c>
    </row>
    <row r="113" spans="2:50">
      <c r="B113" s="660"/>
      <c r="C113" s="309">
        <v>2</v>
      </c>
      <c r="D113" s="551"/>
      <c r="E113" s="551"/>
      <c r="F113" s="551"/>
      <c r="G113" s="551"/>
      <c r="H113" s="662"/>
      <c r="I113" s="199" t="e">
        <f t="shared" ref="I113:I130" si="66">AVERAGE(P113,U113,Z113,AE113,AJ113,AO113,AT113)</f>
        <v>#DIV/0!</v>
      </c>
      <c r="J113" s="199" t="e">
        <f t="shared" ref="J113:J130" si="67">AVERAGE(Q113,V113,AA113,AF113,AK113,AP113,AU113)</f>
        <v>#DIV/0!</v>
      </c>
      <c r="K113" s="200" t="e">
        <f t="shared" ref="K113:K130" si="68">AVERAGE(R113,W113,AB113,AG113,AL113,AQ113,AV113)</f>
        <v>#DIV/0!</v>
      </c>
      <c r="L113" s="634"/>
      <c r="M113" s="199" t="e">
        <f>RANK(K113, K$112:$K$141)</f>
        <v>#DIV/0!</v>
      </c>
      <c r="N113" s="652"/>
      <c r="O113" s="652"/>
      <c r="P113" s="182"/>
      <c r="Q113" s="182"/>
      <c r="R113" s="182"/>
      <c r="S113" s="340" t="e">
        <f t="shared" ref="S113:S141" si="69">RANK(R113, R$112:R$141)</f>
        <v>#N/A</v>
      </c>
      <c r="T113" s="662"/>
      <c r="U113" s="182"/>
      <c r="V113" s="182"/>
      <c r="W113" s="182"/>
      <c r="X113" s="477" t="e">
        <f t="shared" si="54"/>
        <v>#N/A</v>
      </c>
      <c r="Y113" s="662"/>
      <c r="Z113" s="182"/>
      <c r="AA113" s="182"/>
      <c r="AB113" s="182"/>
      <c r="AC113" s="477" t="e">
        <f t="shared" si="56"/>
        <v>#N/A</v>
      </c>
      <c r="AD113" s="662"/>
      <c r="AE113" s="182"/>
      <c r="AF113" s="182"/>
      <c r="AG113" s="182"/>
      <c r="AH113" s="477" t="e">
        <f t="shared" si="58"/>
        <v>#N/A</v>
      </c>
      <c r="AI113" s="662"/>
      <c r="AJ113" s="182"/>
      <c r="AK113" s="182"/>
      <c r="AL113" s="182"/>
      <c r="AM113" s="477" t="e">
        <f t="shared" si="60"/>
        <v>#N/A</v>
      </c>
      <c r="AN113" s="662"/>
      <c r="AO113" s="182"/>
      <c r="AP113" s="182"/>
      <c r="AQ113" s="182"/>
      <c r="AR113" s="477" t="e">
        <f t="shared" si="62"/>
        <v>#N/A</v>
      </c>
      <c r="AS113" s="662"/>
      <c r="AT113" s="182"/>
      <c r="AU113" s="182"/>
      <c r="AV113" s="182"/>
      <c r="AW113" s="477" t="e">
        <f t="shared" si="64"/>
        <v>#N/A</v>
      </c>
      <c r="AX113" s="662"/>
    </row>
    <row r="114" spans="2:50">
      <c r="B114" s="660"/>
      <c r="C114" s="309">
        <v>3</v>
      </c>
      <c r="D114" s="551"/>
      <c r="E114" s="551"/>
      <c r="F114" s="551"/>
      <c r="G114" s="551"/>
      <c r="H114" s="662"/>
      <c r="I114" s="199" t="e">
        <f t="shared" si="66"/>
        <v>#DIV/0!</v>
      </c>
      <c r="J114" s="199" t="e">
        <f t="shared" si="67"/>
        <v>#DIV/0!</v>
      </c>
      <c r="K114" s="200" t="e">
        <f t="shared" si="68"/>
        <v>#DIV/0!</v>
      </c>
      <c r="L114" s="634"/>
      <c r="M114" s="199" t="e">
        <f>RANK(K114, K$112:$K$141)</f>
        <v>#DIV/0!</v>
      </c>
      <c r="N114" s="652"/>
      <c r="O114" s="652"/>
      <c r="P114" s="182"/>
      <c r="Q114" s="182"/>
      <c r="R114" s="182"/>
      <c r="S114" s="340" t="e">
        <f t="shared" si="69"/>
        <v>#N/A</v>
      </c>
      <c r="T114" s="662"/>
      <c r="U114" s="182"/>
      <c r="V114" s="182"/>
      <c r="W114" s="182"/>
      <c r="X114" s="477" t="e">
        <f t="shared" si="54"/>
        <v>#N/A</v>
      </c>
      <c r="Y114" s="662"/>
      <c r="Z114" s="182"/>
      <c r="AA114" s="182"/>
      <c r="AB114" s="182"/>
      <c r="AC114" s="477" t="e">
        <f t="shared" si="56"/>
        <v>#N/A</v>
      </c>
      <c r="AD114" s="662"/>
      <c r="AE114" s="182"/>
      <c r="AF114" s="182"/>
      <c r="AG114" s="182"/>
      <c r="AH114" s="477" t="e">
        <f t="shared" si="58"/>
        <v>#N/A</v>
      </c>
      <c r="AI114" s="662"/>
      <c r="AJ114" s="182"/>
      <c r="AK114" s="182"/>
      <c r="AL114" s="182"/>
      <c r="AM114" s="477" t="e">
        <f t="shared" si="60"/>
        <v>#N/A</v>
      </c>
      <c r="AN114" s="662"/>
      <c r="AO114" s="182"/>
      <c r="AP114" s="182"/>
      <c r="AQ114" s="182"/>
      <c r="AR114" s="477" t="e">
        <f t="shared" si="62"/>
        <v>#N/A</v>
      </c>
      <c r="AS114" s="662"/>
      <c r="AT114" s="182"/>
      <c r="AU114" s="182"/>
      <c r="AV114" s="182"/>
      <c r="AW114" s="477" t="e">
        <f t="shared" si="64"/>
        <v>#N/A</v>
      </c>
      <c r="AX114" s="662"/>
    </row>
    <row r="115" spans="2:50">
      <c r="B115" s="660"/>
      <c r="C115" s="309">
        <v>4</v>
      </c>
      <c r="D115" s="551"/>
      <c r="E115" s="551"/>
      <c r="F115" s="551"/>
      <c r="G115" s="551"/>
      <c r="H115" s="662"/>
      <c r="I115" s="199" t="e">
        <f t="shared" si="66"/>
        <v>#DIV/0!</v>
      </c>
      <c r="J115" s="199" t="e">
        <f t="shared" si="67"/>
        <v>#DIV/0!</v>
      </c>
      <c r="K115" s="200" t="e">
        <f t="shared" si="68"/>
        <v>#DIV/0!</v>
      </c>
      <c r="L115" s="634"/>
      <c r="M115" s="199" t="e">
        <f>RANK(K115, K$112:$K$141)</f>
        <v>#DIV/0!</v>
      </c>
      <c r="N115" s="652"/>
      <c r="O115" s="652"/>
      <c r="P115" s="182"/>
      <c r="Q115" s="182"/>
      <c r="R115" s="182"/>
      <c r="S115" s="340" t="e">
        <f t="shared" si="69"/>
        <v>#N/A</v>
      </c>
      <c r="T115" s="662"/>
      <c r="U115" s="182"/>
      <c r="V115" s="182"/>
      <c r="W115" s="182"/>
      <c r="X115" s="477" t="e">
        <f t="shared" si="54"/>
        <v>#N/A</v>
      </c>
      <c r="Y115" s="662"/>
      <c r="Z115" s="182"/>
      <c r="AA115" s="182"/>
      <c r="AB115" s="182"/>
      <c r="AC115" s="477" t="e">
        <f t="shared" si="56"/>
        <v>#N/A</v>
      </c>
      <c r="AD115" s="662"/>
      <c r="AE115" s="182"/>
      <c r="AF115" s="182"/>
      <c r="AG115" s="182"/>
      <c r="AH115" s="477" t="e">
        <f t="shared" si="58"/>
        <v>#N/A</v>
      </c>
      <c r="AI115" s="662"/>
      <c r="AJ115" s="182"/>
      <c r="AK115" s="182"/>
      <c r="AL115" s="182"/>
      <c r="AM115" s="477" t="e">
        <f t="shared" si="60"/>
        <v>#N/A</v>
      </c>
      <c r="AN115" s="662"/>
      <c r="AO115" s="182"/>
      <c r="AP115" s="182"/>
      <c r="AQ115" s="182"/>
      <c r="AR115" s="477" t="e">
        <f t="shared" si="62"/>
        <v>#N/A</v>
      </c>
      <c r="AS115" s="662"/>
      <c r="AT115" s="182"/>
      <c r="AU115" s="182"/>
      <c r="AV115" s="182"/>
      <c r="AW115" s="477" t="e">
        <f t="shared" si="64"/>
        <v>#N/A</v>
      </c>
      <c r="AX115" s="662"/>
    </row>
    <row r="116" spans="2:50">
      <c r="B116" s="660"/>
      <c r="C116" s="309">
        <v>5</v>
      </c>
      <c r="D116" s="551"/>
      <c r="E116" s="551"/>
      <c r="F116" s="551"/>
      <c r="G116" s="551"/>
      <c r="H116" s="662"/>
      <c r="I116" s="199" t="e">
        <f t="shared" si="66"/>
        <v>#DIV/0!</v>
      </c>
      <c r="J116" s="199" t="e">
        <f t="shared" si="67"/>
        <v>#DIV/0!</v>
      </c>
      <c r="K116" s="200" t="e">
        <f t="shared" si="68"/>
        <v>#DIV/0!</v>
      </c>
      <c r="L116" s="634"/>
      <c r="M116" s="199" t="e">
        <f>RANK(K116, K$112:$K$141)</f>
        <v>#DIV/0!</v>
      </c>
      <c r="N116" s="652"/>
      <c r="O116" s="652"/>
      <c r="P116" s="182"/>
      <c r="Q116" s="182"/>
      <c r="R116" s="182"/>
      <c r="S116" s="340" t="e">
        <f t="shared" si="69"/>
        <v>#N/A</v>
      </c>
      <c r="T116" s="662"/>
      <c r="U116" s="182"/>
      <c r="V116" s="182"/>
      <c r="W116" s="182"/>
      <c r="X116" s="477" t="e">
        <f t="shared" si="54"/>
        <v>#N/A</v>
      </c>
      <c r="Y116" s="662"/>
      <c r="Z116" s="182"/>
      <c r="AA116" s="182"/>
      <c r="AB116" s="182"/>
      <c r="AC116" s="477" t="e">
        <f t="shared" si="56"/>
        <v>#N/A</v>
      </c>
      <c r="AD116" s="662"/>
      <c r="AE116" s="182"/>
      <c r="AF116" s="182"/>
      <c r="AG116" s="182"/>
      <c r="AH116" s="477" t="e">
        <f t="shared" si="58"/>
        <v>#N/A</v>
      </c>
      <c r="AI116" s="662"/>
      <c r="AJ116" s="182"/>
      <c r="AK116" s="182"/>
      <c r="AL116" s="182"/>
      <c r="AM116" s="477" t="e">
        <f t="shared" si="60"/>
        <v>#N/A</v>
      </c>
      <c r="AN116" s="662"/>
      <c r="AO116" s="182"/>
      <c r="AP116" s="182"/>
      <c r="AQ116" s="182"/>
      <c r="AR116" s="477" t="e">
        <f t="shared" si="62"/>
        <v>#N/A</v>
      </c>
      <c r="AS116" s="662"/>
      <c r="AT116" s="182"/>
      <c r="AU116" s="182"/>
      <c r="AV116" s="182"/>
      <c r="AW116" s="477" t="e">
        <f t="shared" si="64"/>
        <v>#N/A</v>
      </c>
      <c r="AX116" s="662"/>
    </row>
    <row r="117" spans="2:50">
      <c r="B117" s="660"/>
      <c r="C117" s="309">
        <v>6</v>
      </c>
      <c r="D117" s="551"/>
      <c r="E117" s="551"/>
      <c r="F117" s="551"/>
      <c r="G117" s="551"/>
      <c r="H117" s="662"/>
      <c r="I117" s="199" t="e">
        <f t="shared" si="66"/>
        <v>#DIV/0!</v>
      </c>
      <c r="J117" s="199" t="e">
        <f t="shared" si="67"/>
        <v>#DIV/0!</v>
      </c>
      <c r="K117" s="200" t="e">
        <f t="shared" si="68"/>
        <v>#DIV/0!</v>
      </c>
      <c r="L117" s="634"/>
      <c r="M117" s="199" t="e">
        <f>RANK(K117, K$112:$K$141)</f>
        <v>#DIV/0!</v>
      </c>
      <c r="N117" s="652"/>
      <c r="O117" s="652"/>
      <c r="P117" s="182"/>
      <c r="Q117" s="182"/>
      <c r="R117" s="182"/>
      <c r="S117" s="340" t="e">
        <f t="shared" si="69"/>
        <v>#N/A</v>
      </c>
      <c r="T117" s="662"/>
      <c r="U117" s="182"/>
      <c r="V117" s="182"/>
      <c r="W117" s="182"/>
      <c r="X117" s="477" t="e">
        <f t="shared" si="54"/>
        <v>#N/A</v>
      </c>
      <c r="Y117" s="662"/>
      <c r="Z117" s="182"/>
      <c r="AA117" s="182"/>
      <c r="AB117" s="182"/>
      <c r="AC117" s="477" t="e">
        <f t="shared" si="56"/>
        <v>#N/A</v>
      </c>
      <c r="AD117" s="662"/>
      <c r="AE117" s="182"/>
      <c r="AF117" s="182"/>
      <c r="AG117" s="182"/>
      <c r="AH117" s="477" t="e">
        <f t="shared" si="58"/>
        <v>#N/A</v>
      </c>
      <c r="AI117" s="662"/>
      <c r="AJ117" s="182"/>
      <c r="AK117" s="182"/>
      <c r="AL117" s="182"/>
      <c r="AM117" s="477" t="e">
        <f t="shared" si="60"/>
        <v>#N/A</v>
      </c>
      <c r="AN117" s="662"/>
      <c r="AO117" s="182"/>
      <c r="AP117" s="182"/>
      <c r="AQ117" s="182"/>
      <c r="AR117" s="477" t="e">
        <f t="shared" si="62"/>
        <v>#N/A</v>
      </c>
      <c r="AS117" s="662"/>
      <c r="AT117" s="182"/>
      <c r="AU117" s="182"/>
      <c r="AV117" s="182"/>
      <c r="AW117" s="477" t="e">
        <f t="shared" si="64"/>
        <v>#N/A</v>
      </c>
      <c r="AX117" s="662"/>
    </row>
    <row r="118" spans="2:50">
      <c r="B118" s="660"/>
      <c r="C118" s="309">
        <v>7</v>
      </c>
      <c r="D118" s="551"/>
      <c r="E118" s="551"/>
      <c r="F118" s="551"/>
      <c r="G118" s="551"/>
      <c r="H118" s="662"/>
      <c r="I118" s="199" t="e">
        <f t="shared" si="66"/>
        <v>#DIV/0!</v>
      </c>
      <c r="J118" s="199" t="e">
        <f t="shared" si="67"/>
        <v>#DIV/0!</v>
      </c>
      <c r="K118" s="200" t="e">
        <f t="shared" si="68"/>
        <v>#DIV/0!</v>
      </c>
      <c r="L118" s="634"/>
      <c r="M118" s="199" t="e">
        <f>RANK(K118, K$112:$K$141)</f>
        <v>#DIV/0!</v>
      </c>
      <c r="N118" s="652"/>
      <c r="O118" s="652"/>
      <c r="P118" s="182"/>
      <c r="Q118" s="182"/>
      <c r="R118" s="182"/>
      <c r="S118" s="340" t="e">
        <f t="shared" si="69"/>
        <v>#N/A</v>
      </c>
      <c r="T118" s="662"/>
      <c r="U118" s="182"/>
      <c r="V118" s="182"/>
      <c r="W118" s="182"/>
      <c r="X118" s="477" t="e">
        <f t="shared" si="54"/>
        <v>#N/A</v>
      </c>
      <c r="Y118" s="662"/>
      <c r="Z118" s="182"/>
      <c r="AA118" s="182"/>
      <c r="AB118" s="182"/>
      <c r="AC118" s="477" t="e">
        <f t="shared" si="56"/>
        <v>#N/A</v>
      </c>
      <c r="AD118" s="662"/>
      <c r="AE118" s="182"/>
      <c r="AF118" s="182"/>
      <c r="AG118" s="182"/>
      <c r="AH118" s="477" t="e">
        <f t="shared" si="58"/>
        <v>#N/A</v>
      </c>
      <c r="AI118" s="662"/>
      <c r="AJ118" s="182"/>
      <c r="AK118" s="182"/>
      <c r="AL118" s="182"/>
      <c r="AM118" s="477" t="e">
        <f t="shared" si="60"/>
        <v>#N/A</v>
      </c>
      <c r="AN118" s="662"/>
      <c r="AO118" s="182"/>
      <c r="AP118" s="182"/>
      <c r="AQ118" s="182"/>
      <c r="AR118" s="477" t="e">
        <f t="shared" si="62"/>
        <v>#N/A</v>
      </c>
      <c r="AS118" s="662"/>
      <c r="AT118" s="182"/>
      <c r="AU118" s="182"/>
      <c r="AV118" s="182"/>
      <c r="AW118" s="477" t="e">
        <f t="shared" si="64"/>
        <v>#N/A</v>
      </c>
      <c r="AX118" s="662"/>
    </row>
    <row r="119" spans="2:50">
      <c r="B119" s="660"/>
      <c r="C119" s="309">
        <v>8</v>
      </c>
      <c r="D119" s="551"/>
      <c r="E119" s="551"/>
      <c r="F119" s="551"/>
      <c r="G119" s="551"/>
      <c r="H119" s="662"/>
      <c r="I119" s="199" t="e">
        <f t="shared" si="66"/>
        <v>#DIV/0!</v>
      </c>
      <c r="J119" s="199" t="e">
        <f t="shared" si="67"/>
        <v>#DIV/0!</v>
      </c>
      <c r="K119" s="200" t="e">
        <f t="shared" si="68"/>
        <v>#DIV/0!</v>
      </c>
      <c r="L119" s="634"/>
      <c r="M119" s="199" t="e">
        <f>RANK(K119, K$112:$K$141)</f>
        <v>#DIV/0!</v>
      </c>
      <c r="N119" s="652"/>
      <c r="O119" s="652"/>
      <c r="P119" s="182"/>
      <c r="Q119" s="182"/>
      <c r="R119" s="182"/>
      <c r="S119" s="340" t="e">
        <f t="shared" si="69"/>
        <v>#N/A</v>
      </c>
      <c r="T119" s="662"/>
      <c r="U119" s="182"/>
      <c r="V119" s="182"/>
      <c r="W119" s="182"/>
      <c r="X119" s="477" t="e">
        <f t="shared" si="54"/>
        <v>#N/A</v>
      </c>
      <c r="Y119" s="662"/>
      <c r="Z119" s="182"/>
      <c r="AA119" s="182"/>
      <c r="AB119" s="182"/>
      <c r="AC119" s="477" t="e">
        <f t="shared" si="56"/>
        <v>#N/A</v>
      </c>
      <c r="AD119" s="662"/>
      <c r="AE119" s="182"/>
      <c r="AF119" s="182"/>
      <c r="AG119" s="182"/>
      <c r="AH119" s="477" t="e">
        <f t="shared" si="58"/>
        <v>#N/A</v>
      </c>
      <c r="AI119" s="662"/>
      <c r="AJ119" s="182"/>
      <c r="AK119" s="182"/>
      <c r="AL119" s="182"/>
      <c r="AM119" s="477" t="e">
        <f t="shared" si="60"/>
        <v>#N/A</v>
      </c>
      <c r="AN119" s="662"/>
      <c r="AO119" s="182"/>
      <c r="AP119" s="182"/>
      <c r="AQ119" s="182"/>
      <c r="AR119" s="477" t="e">
        <f t="shared" si="62"/>
        <v>#N/A</v>
      </c>
      <c r="AS119" s="662"/>
      <c r="AT119" s="182"/>
      <c r="AU119" s="182"/>
      <c r="AV119" s="182"/>
      <c r="AW119" s="477" t="e">
        <f t="shared" si="64"/>
        <v>#N/A</v>
      </c>
      <c r="AX119" s="662"/>
    </row>
    <row r="120" spans="2:50">
      <c r="B120" s="660"/>
      <c r="C120" s="309">
        <v>9</v>
      </c>
      <c r="D120" s="551"/>
      <c r="E120" s="551"/>
      <c r="F120" s="551"/>
      <c r="G120" s="551"/>
      <c r="H120" s="662"/>
      <c r="I120" s="199" t="e">
        <f t="shared" si="66"/>
        <v>#DIV/0!</v>
      </c>
      <c r="J120" s="199" t="e">
        <f t="shared" si="67"/>
        <v>#DIV/0!</v>
      </c>
      <c r="K120" s="200" t="e">
        <f t="shared" si="68"/>
        <v>#DIV/0!</v>
      </c>
      <c r="L120" s="634"/>
      <c r="M120" s="199" t="e">
        <f>RANK(K120, K$112:$K$141)</f>
        <v>#DIV/0!</v>
      </c>
      <c r="N120" s="652"/>
      <c r="O120" s="652"/>
      <c r="P120" s="182"/>
      <c r="Q120" s="182"/>
      <c r="R120" s="182"/>
      <c r="S120" s="340" t="e">
        <f t="shared" si="69"/>
        <v>#N/A</v>
      </c>
      <c r="T120" s="662"/>
      <c r="U120" s="182"/>
      <c r="V120" s="182"/>
      <c r="W120" s="182"/>
      <c r="X120" s="477" t="e">
        <f t="shared" si="54"/>
        <v>#N/A</v>
      </c>
      <c r="Y120" s="662"/>
      <c r="Z120" s="182"/>
      <c r="AA120" s="182"/>
      <c r="AB120" s="182"/>
      <c r="AC120" s="477" t="e">
        <f t="shared" si="56"/>
        <v>#N/A</v>
      </c>
      <c r="AD120" s="662"/>
      <c r="AE120" s="182"/>
      <c r="AF120" s="182"/>
      <c r="AG120" s="182"/>
      <c r="AH120" s="477" t="e">
        <f t="shared" si="58"/>
        <v>#N/A</v>
      </c>
      <c r="AI120" s="662"/>
      <c r="AJ120" s="182"/>
      <c r="AK120" s="182"/>
      <c r="AL120" s="182"/>
      <c r="AM120" s="477" t="e">
        <f t="shared" si="60"/>
        <v>#N/A</v>
      </c>
      <c r="AN120" s="662"/>
      <c r="AO120" s="182"/>
      <c r="AP120" s="182"/>
      <c r="AQ120" s="182"/>
      <c r="AR120" s="477" t="e">
        <f t="shared" si="62"/>
        <v>#N/A</v>
      </c>
      <c r="AS120" s="662"/>
      <c r="AT120" s="182"/>
      <c r="AU120" s="182"/>
      <c r="AV120" s="182"/>
      <c r="AW120" s="477" t="e">
        <f t="shared" si="64"/>
        <v>#N/A</v>
      </c>
      <c r="AX120" s="662"/>
    </row>
    <row r="121" spans="2:50">
      <c r="B121" s="660"/>
      <c r="C121" s="309">
        <v>10</v>
      </c>
      <c r="D121" s="551"/>
      <c r="E121" s="551"/>
      <c r="F121" s="551"/>
      <c r="G121" s="551"/>
      <c r="H121" s="662"/>
      <c r="I121" s="199" t="e">
        <f t="shared" si="66"/>
        <v>#DIV/0!</v>
      </c>
      <c r="J121" s="199" t="e">
        <f t="shared" si="67"/>
        <v>#DIV/0!</v>
      </c>
      <c r="K121" s="200" t="e">
        <f t="shared" si="68"/>
        <v>#DIV/0!</v>
      </c>
      <c r="L121" s="634"/>
      <c r="M121" s="199" t="e">
        <f>RANK(K121, K$112:$K$141)</f>
        <v>#DIV/0!</v>
      </c>
      <c r="N121" s="652"/>
      <c r="O121" s="652"/>
      <c r="P121" s="182"/>
      <c r="Q121" s="182"/>
      <c r="R121" s="182"/>
      <c r="S121" s="340" t="e">
        <f t="shared" si="69"/>
        <v>#N/A</v>
      </c>
      <c r="T121" s="662"/>
      <c r="U121" s="182"/>
      <c r="V121" s="182"/>
      <c r="W121" s="182"/>
      <c r="X121" s="477" t="e">
        <f t="shared" si="54"/>
        <v>#N/A</v>
      </c>
      <c r="Y121" s="662"/>
      <c r="Z121" s="182"/>
      <c r="AA121" s="182"/>
      <c r="AB121" s="182"/>
      <c r="AC121" s="477" t="e">
        <f t="shared" si="56"/>
        <v>#N/A</v>
      </c>
      <c r="AD121" s="662"/>
      <c r="AE121" s="182"/>
      <c r="AF121" s="182"/>
      <c r="AG121" s="182"/>
      <c r="AH121" s="477" t="e">
        <f t="shared" si="58"/>
        <v>#N/A</v>
      </c>
      <c r="AI121" s="662"/>
      <c r="AJ121" s="182"/>
      <c r="AK121" s="182"/>
      <c r="AL121" s="182"/>
      <c r="AM121" s="477" t="e">
        <f t="shared" si="60"/>
        <v>#N/A</v>
      </c>
      <c r="AN121" s="662"/>
      <c r="AO121" s="182"/>
      <c r="AP121" s="182"/>
      <c r="AQ121" s="182"/>
      <c r="AR121" s="477" t="e">
        <f t="shared" si="62"/>
        <v>#N/A</v>
      </c>
      <c r="AS121" s="662"/>
      <c r="AT121" s="182"/>
      <c r="AU121" s="182"/>
      <c r="AV121" s="182"/>
      <c r="AW121" s="477" t="e">
        <f t="shared" si="64"/>
        <v>#N/A</v>
      </c>
      <c r="AX121" s="662"/>
    </row>
    <row r="122" spans="2:50">
      <c r="B122" s="660"/>
      <c r="C122" s="309">
        <v>11</v>
      </c>
      <c r="D122" s="551"/>
      <c r="E122" s="551"/>
      <c r="F122" s="551"/>
      <c r="G122" s="551"/>
      <c r="H122" s="662"/>
      <c r="I122" s="199" t="e">
        <f t="shared" si="66"/>
        <v>#DIV/0!</v>
      </c>
      <c r="J122" s="199" t="e">
        <f t="shared" si="67"/>
        <v>#DIV/0!</v>
      </c>
      <c r="K122" s="200" t="e">
        <f t="shared" si="68"/>
        <v>#DIV/0!</v>
      </c>
      <c r="L122" s="634"/>
      <c r="M122" s="199" t="e">
        <f>RANK(K122, K$112:$K$141)</f>
        <v>#DIV/0!</v>
      </c>
      <c r="N122" s="652"/>
      <c r="O122" s="652"/>
      <c r="P122" s="182"/>
      <c r="Q122" s="182"/>
      <c r="R122" s="182"/>
      <c r="S122" s="340" t="e">
        <f t="shared" si="69"/>
        <v>#N/A</v>
      </c>
      <c r="T122" s="662"/>
      <c r="U122" s="182"/>
      <c r="V122" s="182"/>
      <c r="W122" s="182"/>
      <c r="X122" s="477" t="e">
        <f t="shared" si="54"/>
        <v>#N/A</v>
      </c>
      <c r="Y122" s="662"/>
      <c r="Z122" s="182"/>
      <c r="AA122" s="182"/>
      <c r="AB122" s="182"/>
      <c r="AC122" s="477" t="e">
        <f t="shared" si="56"/>
        <v>#N/A</v>
      </c>
      <c r="AD122" s="662"/>
      <c r="AE122" s="182"/>
      <c r="AF122" s="182"/>
      <c r="AG122" s="182"/>
      <c r="AH122" s="477" t="e">
        <f t="shared" si="58"/>
        <v>#N/A</v>
      </c>
      <c r="AI122" s="662"/>
      <c r="AJ122" s="182"/>
      <c r="AK122" s="182"/>
      <c r="AL122" s="182"/>
      <c r="AM122" s="477" t="e">
        <f t="shared" si="60"/>
        <v>#N/A</v>
      </c>
      <c r="AN122" s="662"/>
      <c r="AO122" s="182"/>
      <c r="AP122" s="182"/>
      <c r="AQ122" s="182"/>
      <c r="AR122" s="477" t="e">
        <f t="shared" si="62"/>
        <v>#N/A</v>
      </c>
      <c r="AS122" s="662"/>
      <c r="AT122" s="182"/>
      <c r="AU122" s="182"/>
      <c r="AV122" s="182"/>
      <c r="AW122" s="477" t="e">
        <f t="shared" si="64"/>
        <v>#N/A</v>
      </c>
      <c r="AX122" s="662"/>
    </row>
    <row r="123" spans="2:50">
      <c r="B123" s="660"/>
      <c r="C123" s="309">
        <v>12</v>
      </c>
      <c r="D123" s="551"/>
      <c r="E123" s="551"/>
      <c r="F123" s="551"/>
      <c r="G123" s="551"/>
      <c r="H123" s="662"/>
      <c r="I123" s="199" t="e">
        <f t="shared" si="66"/>
        <v>#DIV/0!</v>
      </c>
      <c r="J123" s="199" t="e">
        <f t="shared" si="67"/>
        <v>#DIV/0!</v>
      </c>
      <c r="K123" s="200" t="e">
        <f t="shared" si="68"/>
        <v>#DIV/0!</v>
      </c>
      <c r="L123" s="634"/>
      <c r="M123" s="199" t="e">
        <f>RANK(K123, K$112:$K$141)</f>
        <v>#DIV/0!</v>
      </c>
      <c r="N123" s="652"/>
      <c r="O123" s="652"/>
      <c r="P123" s="182"/>
      <c r="Q123" s="182"/>
      <c r="R123" s="182"/>
      <c r="S123" s="340" t="e">
        <f t="shared" si="69"/>
        <v>#N/A</v>
      </c>
      <c r="T123" s="662"/>
      <c r="U123" s="182"/>
      <c r="V123" s="182"/>
      <c r="W123" s="182"/>
      <c r="X123" s="477" t="e">
        <f t="shared" si="54"/>
        <v>#N/A</v>
      </c>
      <c r="Y123" s="662"/>
      <c r="Z123" s="182"/>
      <c r="AA123" s="182"/>
      <c r="AB123" s="182"/>
      <c r="AC123" s="477" t="e">
        <f t="shared" si="56"/>
        <v>#N/A</v>
      </c>
      <c r="AD123" s="662"/>
      <c r="AE123" s="182"/>
      <c r="AF123" s="182"/>
      <c r="AG123" s="182"/>
      <c r="AH123" s="477" t="e">
        <f t="shared" si="58"/>
        <v>#N/A</v>
      </c>
      <c r="AI123" s="662"/>
      <c r="AJ123" s="182"/>
      <c r="AK123" s="182"/>
      <c r="AL123" s="182"/>
      <c r="AM123" s="477" t="e">
        <f t="shared" si="60"/>
        <v>#N/A</v>
      </c>
      <c r="AN123" s="662"/>
      <c r="AO123" s="182"/>
      <c r="AP123" s="182"/>
      <c r="AQ123" s="182"/>
      <c r="AR123" s="477" t="e">
        <f t="shared" si="62"/>
        <v>#N/A</v>
      </c>
      <c r="AS123" s="662"/>
      <c r="AT123" s="182"/>
      <c r="AU123" s="182"/>
      <c r="AV123" s="182"/>
      <c r="AW123" s="477" t="e">
        <f t="shared" si="64"/>
        <v>#N/A</v>
      </c>
      <c r="AX123" s="662"/>
    </row>
    <row r="124" spans="2:50">
      <c r="B124" s="660"/>
      <c r="C124" s="309">
        <v>13</v>
      </c>
      <c r="D124" s="551"/>
      <c r="E124" s="551"/>
      <c r="F124" s="551"/>
      <c r="G124" s="551"/>
      <c r="H124" s="662"/>
      <c r="I124" s="199" t="e">
        <f t="shared" si="66"/>
        <v>#DIV/0!</v>
      </c>
      <c r="J124" s="199" t="e">
        <f t="shared" si="67"/>
        <v>#DIV/0!</v>
      </c>
      <c r="K124" s="200" t="e">
        <f t="shared" si="68"/>
        <v>#DIV/0!</v>
      </c>
      <c r="L124" s="634"/>
      <c r="M124" s="199" t="e">
        <f>RANK(K124, K$112:$K$141)</f>
        <v>#DIV/0!</v>
      </c>
      <c r="N124" s="652"/>
      <c r="O124" s="652"/>
      <c r="P124" s="182"/>
      <c r="Q124" s="182"/>
      <c r="R124" s="182"/>
      <c r="S124" s="340" t="e">
        <f t="shared" si="69"/>
        <v>#N/A</v>
      </c>
      <c r="T124" s="662"/>
      <c r="U124" s="182"/>
      <c r="V124" s="182"/>
      <c r="W124" s="182"/>
      <c r="X124" s="477" t="e">
        <f t="shared" si="54"/>
        <v>#N/A</v>
      </c>
      <c r="Y124" s="662"/>
      <c r="Z124" s="182"/>
      <c r="AA124" s="182"/>
      <c r="AB124" s="182"/>
      <c r="AC124" s="477" t="e">
        <f t="shared" si="56"/>
        <v>#N/A</v>
      </c>
      <c r="AD124" s="662"/>
      <c r="AE124" s="182"/>
      <c r="AF124" s="182"/>
      <c r="AG124" s="182"/>
      <c r="AH124" s="477" t="e">
        <f t="shared" si="58"/>
        <v>#N/A</v>
      </c>
      <c r="AI124" s="662"/>
      <c r="AJ124" s="182"/>
      <c r="AK124" s="182"/>
      <c r="AL124" s="182"/>
      <c r="AM124" s="477" t="e">
        <f t="shared" si="60"/>
        <v>#N/A</v>
      </c>
      <c r="AN124" s="662"/>
      <c r="AO124" s="182"/>
      <c r="AP124" s="182"/>
      <c r="AQ124" s="182"/>
      <c r="AR124" s="477" t="e">
        <f t="shared" si="62"/>
        <v>#N/A</v>
      </c>
      <c r="AS124" s="662"/>
      <c r="AT124" s="182"/>
      <c r="AU124" s="182"/>
      <c r="AV124" s="182"/>
      <c r="AW124" s="477" t="e">
        <f t="shared" si="64"/>
        <v>#N/A</v>
      </c>
      <c r="AX124" s="662"/>
    </row>
    <row r="125" spans="2:50">
      <c r="B125" s="660"/>
      <c r="C125" s="309">
        <v>14</v>
      </c>
      <c r="D125" s="551"/>
      <c r="E125" s="551"/>
      <c r="F125" s="551"/>
      <c r="G125" s="551"/>
      <c r="H125" s="662"/>
      <c r="I125" s="199" t="e">
        <f t="shared" si="66"/>
        <v>#DIV/0!</v>
      </c>
      <c r="J125" s="199" t="e">
        <f t="shared" si="67"/>
        <v>#DIV/0!</v>
      </c>
      <c r="K125" s="200" t="e">
        <f t="shared" si="68"/>
        <v>#DIV/0!</v>
      </c>
      <c r="L125" s="634"/>
      <c r="M125" s="199" t="e">
        <f>RANK(K125, K$112:$K$141)</f>
        <v>#DIV/0!</v>
      </c>
      <c r="N125" s="652"/>
      <c r="O125" s="652"/>
      <c r="P125" s="182"/>
      <c r="Q125" s="182"/>
      <c r="R125" s="182"/>
      <c r="S125" s="340" t="e">
        <f t="shared" si="69"/>
        <v>#N/A</v>
      </c>
      <c r="T125" s="662"/>
      <c r="U125" s="182"/>
      <c r="V125" s="182"/>
      <c r="W125" s="182"/>
      <c r="X125" s="477" t="e">
        <f t="shared" si="54"/>
        <v>#N/A</v>
      </c>
      <c r="Y125" s="662"/>
      <c r="Z125" s="182"/>
      <c r="AA125" s="182"/>
      <c r="AB125" s="182"/>
      <c r="AC125" s="477" t="e">
        <f t="shared" si="56"/>
        <v>#N/A</v>
      </c>
      <c r="AD125" s="662"/>
      <c r="AE125" s="182"/>
      <c r="AF125" s="182"/>
      <c r="AG125" s="182"/>
      <c r="AH125" s="477" t="e">
        <f t="shared" si="58"/>
        <v>#N/A</v>
      </c>
      <c r="AI125" s="662"/>
      <c r="AJ125" s="182"/>
      <c r="AK125" s="182"/>
      <c r="AL125" s="182"/>
      <c r="AM125" s="477" t="e">
        <f t="shared" si="60"/>
        <v>#N/A</v>
      </c>
      <c r="AN125" s="662"/>
      <c r="AO125" s="182"/>
      <c r="AP125" s="182"/>
      <c r="AQ125" s="182"/>
      <c r="AR125" s="477" t="e">
        <f t="shared" si="62"/>
        <v>#N/A</v>
      </c>
      <c r="AS125" s="662"/>
      <c r="AT125" s="182"/>
      <c r="AU125" s="182"/>
      <c r="AV125" s="182"/>
      <c r="AW125" s="477" t="e">
        <f t="shared" si="64"/>
        <v>#N/A</v>
      </c>
      <c r="AX125" s="662"/>
    </row>
    <row r="126" spans="2:50">
      <c r="B126" s="660"/>
      <c r="C126" s="309">
        <v>15</v>
      </c>
      <c r="D126" s="551"/>
      <c r="E126" s="551"/>
      <c r="F126" s="551"/>
      <c r="G126" s="551"/>
      <c r="H126" s="662"/>
      <c r="I126" s="199" t="e">
        <f t="shared" si="66"/>
        <v>#DIV/0!</v>
      </c>
      <c r="J126" s="199" t="e">
        <f t="shared" si="67"/>
        <v>#DIV/0!</v>
      </c>
      <c r="K126" s="200" t="e">
        <f t="shared" si="68"/>
        <v>#DIV/0!</v>
      </c>
      <c r="L126" s="634"/>
      <c r="M126" s="199" t="e">
        <f>RANK(K126, K$112:$K$141)</f>
        <v>#DIV/0!</v>
      </c>
      <c r="N126" s="652"/>
      <c r="O126" s="652"/>
      <c r="P126" s="182"/>
      <c r="Q126" s="182"/>
      <c r="R126" s="182"/>
      <c r="S126" s="340" t="e">
        <f t="shared" si="69"/>
        <v>#N/A</v>
      </c>
      <c r="T126" s="662"/>
      <c r="U126" s="182"/>
      <c r="V126" s="182"/>
      <c r="W126" s="182"/>
      <c r="X126" s="477" t="e">
        <f t="shared" si="54"/>
        <v>#N/A</v>
      </c>
      <c r="Y126" s="662"/>
      <c r="Z126" s="182"/>
      <c r="AA126" s="182"/>
      <c r="AB126" s="182"/>
      <c r="AC126" s="477" t="e">
        <f t="shared" si="56"/>
        <v>#N/A</v>
      </c>
      <c r="AD126" s="662"/>
      <c r="AE126" s="182"/>
      <c r="AF126" s="182"/>
      <c r="AG126" s="182"/>
      <c r="AH126" s="477" t="e">
        <f t="shared" si="58"/>
        <v>#N/A</v>
      </c>
      <c r="AI126" s="662"/>
      <c r="AJ126" s="182"/>
      <c r="AK126" s="182"/>
      <c r="AL126" s="182"/>
      <c r="AM126" s="477" t="e">
        <f t="shared" si="60"/>
        <v>#N/A</v>
      </c>
      <c r="AN126" s="662"/>
      <c r="AO126" s="182"/>
      <c r="AP126" s="182"/>
      <c r="AQ126" s="182"/>
      <c r="AR126" s="477" t="e">
        <f t="shared" si="62"/>
        <v>#N/A</v>
      </c>
      <c r="AS126" s="662"/>
      <c r="AT126" s="182"/>
      <c r="AU126" s="182"/>
      <c r="AV126" s="182"/>
      <c r="AW126" s="477" t="e">
        <f t="shared" si="64"/>
        <v>#N/A</v>
      </c>
      <c r="AX126" s="662"/>
    </row>
    <row r="127" spans="2:50">
      <c r="B127" s="660"/>
      <c r="C127" s="309">
        <v>16</v>
      </c>
      <c r="D127" s="551"/>
      <c r="E127" s="551"/>
      <c r="F127" s="551"/>
      <c r="G127" s="551"/>
      <c r="H127" s="662"/>
      <c r="I127" s="199" t="e">
        <f t="shared" si="66"/>
        <v>#DIV/0!</v>
      </c>
      <c r="J127" s="199" t="e">
        <f t="shared" si="67"/>
        <v>#DIV/0!</v>
      </c>
      <c r="K127" s="200" t="e">
        <f t="shared" si="68"/>
        <v>#DIV/0!</v>
      </c>
      <c r="L127" s="634"/>
      <c r="M127" s="199" t="e">
        <f>RANK(K127, K$112:$K$141)</f>
        <v>#DIV/0!</v>
      </c>
      <c r="N127" s="652"/>
      <c r="O127" s="652"/>
      <c r="P127" s="182"/>
      <c r="Q127" s="182"/>
      <c r="R127" s="182"/>
      <c r="S127" s="340" t="e">
        <f t="shared" si="69"/>
        <v>#N/A</v>
      </c>
      <c r="T127" s="662"/>
      <c r="U127" s="182"/>
      <c r="V127" s="182"/>
      <c r="W127" s="182"/>
      <c r="X127" s="477" t="e">
        <f t="shared" si="54"/>
        <v>#N/A</v>
      </c>
      <c r="Y127" s="662"/>
      <c r="Z127" s="182"/>
      <c r="AA127" s="182"/>
      <c r="AB127" s="182"/>
      <c r="AC127" s="477" t="e">
        <f t="shared" si="56"/>
        <v>#N/A</v>
      </c>
      <c r="AD127" s="662"/>
      <c r="AE127" s="182"/>
      <c r="AF127" s="182"/>
      <c r="AG127" s="182"/>
      <c r="AH127" s="477" t="e">
        <f t="shared" si="58"/>
        <v>#N/A</v>
      </c>
      <c r="AI127" s="662"/>
      <c r="AJ127" s="182"/>
      <c r="AK127" s="182"/>
      <c r="AL127" s="182"/>
      <c r="AM127" s="477" t="e">
        <f t="shared" si="60"/>
        <v>#N/A</v>
      </c>
      <c r="AN127" s="662"/>
      <c r="AO127" s="182"/>
      <c r="AP127" s="182"/>
      <c r="AQ127" s="182"/>
      <c r="AR127" s="477" t="e">
        <f t="shared" si="62"/>
        <v>#N/A</v>
      </c>
      <c r="AS127" s="662"/>
      <c r="AT127" s="182"/>
      <c r="AU127" s="182"/>
      <c r="AV127" s="182"/>
      <c r="AW127" s="477" t="e">
        <f t="shared" si="64"/>
        <v>#N/A</v>
      </c>
      <c r="AX127" s="662"/>
    </row>
    <row r="128" spans="2:50">
      <c r="B128" s="660"/>
      <c r="C128" s="309">
        <v>17</v>
      </c>
      <c r="D128" s="551"/>
      <c r="E128" s="551"/>
      <c r="F128" s="551"/>
      <c r="G128" s="551"/>
      <c r="H128" s="662"/>
      <c r="I128" s="199" t="e">
        <f t="shared" si="66"/>
        <v>#DIV/0!</v>
      </c>
      <c r="J128" s="199" t="e">
        <f t="shared" si="67"/>
        <v>#DIV/0!</v>
      </c>
      <c r="K128" s="200" t="e">
        <f t="shared" si="68"/>
        <v>#DIV/0!</v>
      </c>
      <c r="L128" s="634"/>
      <c r="M128" s="199" t="e">
        <f>RANK(K128, K$112:$K$141)</f>
        <v>#DIV/0!</v>
      </c>
      <c r="N128" s="652"/>
      <c r="O128" s="652"/>
      <c r="P128" s="182"/>
      <c r="Q128" s="182"/>
      <c r="R128" s="182"/>
      <c r="S128" s="340" t="e">
        <f t="shared" si="69"/>
        <v>#N/A</v>
      </c>
      <c r="T128" s="662"/>
      <c r="U128" s="182"/>
      <c r="V128" s="182"/>
      <c r="W128" s="182"/>
      <c r="X128" s="477" t="e">
        <f t="shared" ref="X128:X141" si="70">RANK(W128, W$112:W$141)</f>
        <v>#N/A</v>
      </c>
      <c r="Y128" s="662"/>
      <c r="Z128" s="182"/>
      <c r="AA128" s="182"/>
      <c r="AB128" s="182"/>
      <c r="AC128" s="477" t="e">
        <f t="shared" ref="AC128:AC141" si="71">RANK(AB128, AB$112:AB$141)</f>
        <v>#N/A</v>
      </c>
      <c r="AD128" s="662"/>
      <c r="AE128" s="182"/>
      <c r="AF128" s="182"/>
      <c r="AG128" s="182"/>
      <c r="AH128" s="477" t="e">
        <f t="shared" ref="AH128:AH141" si="72">RANK(AG128, AG$112:AG$141)</f>
        <v>#N/A</v>
      </c>
      <c r="AI128" s="662"/>
      <c r="AJ128" s="182"/>
      <c r="AK128" s="182"/>
      <c r="AL128" s="182"/>
      <c r="AM128" s="477" t="e">
        <f t="shared" ref="AM128:AM141" si="73">RANK(AL128, AL$112:AL$141)</f>
        <v>#N/A</v>
      </c>
      <c r="AN128" s="662"/>
      <c r="AO128" s="182"/>
      <c r="AP128" s="182"/>
      <c r="AQ128" s="182"/>
      <c r="AR128" s="477" t="e">
        <f t="shared" ref="AR128:AR141" si="74">RANK(AQ128, AQ$112:AQ$141)</f>
        <v>#N/A</v>
      </c>
      <c r="AS128" s="662"/>
      <c r="AT128" s="182"/>
      <c r="AU128" s="182"/>
      <c r="AV128" s="182"/>
      <c r="AW128" s="477" t="e">
        <f t="shared" ref="AW128:AW141" si="75">RANK(AV128, AV$112:AV$141)</f>
        <v>#N/A</v>
      </c>
      <c r="AX128" s="662"/>
    </row>
    <row r="129" spans="2:50">
      <c r="B129" s="660"/>
      <c r="C129" s="309">
        <v>18</v>
      </c>
      <c r="D129" s="551"/>
      <c r="E129" s="551"/>
      <c r="F129" s="551"/>
      <c r="G129" s="551"/>
      <c r="H129" s="662"/>
      <c r="I129" s="199" t="e">
        <f t="shared" si="66"/>
        <v>#DIV/0!</v>
      </c>
      <c r="J129" s="199" t="e">
        <f t="shared" si="67"/>
        <v>#DIV/0!</v>
      </c>
      <c r="K129" s="200" t="e">
        <f t="shared" si="68"/>
        <v>#DIV/0!</v>
      </c>
      <c r="L129" s="634"/>
      <c r="M129" s="199" t="e">
        <f>RANK(K129, K$112:$K$141)</f>
        <v>#DIV/0!</v>
      </c>
      <c r="N129" s="652"/>
      <c r="O129" s="652"/>
      <c r="P129" s="182"/>
      <c r="Q129" s="182"/>
      <c r="R129" s="182"/>
      <c r="S129" s="340" t="e">
        <f t="shared" si="69"/>
        <v>#N/A</v>
      </c>
      <c r="T129" s="662"/>
      <c r="U129" s="182"/>
      <c r="V129" s="182"/>
      <c r="W129" s="182"/>
      <c r="X129" s="477" t="e">
        <f t="shared" si="70"/>
        <v>#N/A</v>
      </c>
      <c r="Y129" s="662"/>
      <c r="Z129" s="182"/>
      <c r="AA129" s="182"/>
      <c r="AB129" s="182"/>
      <c r="AC129" s="477" t="e">
        <f t="shared" si="71"/>
        <v>#N/A</v>
      </c>
      <c r="AD129" s="662"/>
      <c r="AE129" s="182"/>
      <c r="AF129" s="182"/>
      <c r="AG129" s="182"/>
      <c r="AH129" s="477" t="e">
        <f t="shared" si="72"/>
        <v>#N/A</v>
      </c>
      <c r="AI129" s="662"/>
      <c r="AJ129" s="182"/>
      <c r="AK129" s="182"/>
      <c r="AL129" s="182"/>
      <c r="AM129" s="477" t="e">
        <f t="shared" si="73"/>
        <v>#N/A</v>
      </c>
      <c r="AN129" s="662"/>
      <c r="AO129" s="182"/>
      <c r="AP129" s="182"/>
      <c r="AQ129" s="182"/>
      <c r="AR129" s="477" t="e">
        <f t="shared" si="74"/>
        <v>#N/A</v>
      </c>
      <c r="AS129" s="662"/>
      <c r="AT129" s="182"/>
      <c r="AU129" s="182"/>
      <c r="AV129" s="182"/>
      <c r="AW129" s="477" t="e">
        <f t="shared" si="75"/>
        <v>#N/A</v>
      </c>
      <c r="AX129" s="662"/>
    </row>
    <row r="130" spans="2:50">
      <c r="B130" s="660"/>
      <c r="C130" s="309">
        <v>19</v>
      </c>
      <c r="D130" s="551"/>
      <c r="E130" s="551"/>
      <c r="F130" s="551"/>
      <c r="G130" s="551"/>
      <c r="H130" s="662"/>
      <c r="I130" s="199" t="e">
        <f t="shared" si="66"/>
        <v>#DIV/0!</v>
      </c>
      <c r="J130" s="199" t="e">
        <f t="shared" si="67"/>
        <v>#DIV/0!</v>
      </c>
      <c r="K130" s="200" t="e">
        <f t="shared" si="68"/>
        <v>#DIV/0!</v>
      </c>
      <c r="L130" s="634"/>
      <c r="M130" s="199" t="e">
        <f>RANK(K130, K$112:$K$141)</f>
        <v>#DIV/0!</v>
      </c>
      <c r="N130" s="652"/>
      <c r="O130" s="652"/>
      <c r="P130" s="182"/>
      <c r="Q130" s="182"/>
      <c r="R130" s="182"/>
      <c r="S130" s="340" t="e">
        <f t="shared" si="69"/>
        <v>#N/A</v>
      </c>
      <c r="T130" s="662"/>
      <c r="U130" s="182"/>
      <c r="V130" s="182"/>
      <c r="W130" s="182"/>
      <c r="X130" s="477" t="e">
        <f t="shared" si="70"/>
        <v>#N/A</v>
      </c>
      <c r="Y130" s="662"/>
      <c r="Z130" s="182"/>
      <c r="AA130" s="182"/>
      <c r="AB130" s="182"/>
      <c r="AC130" s="477" t="e">
        <f t="shared" si="71"/>
        <v>#N/A</v>
      </c>
      <c r="AD130" s="662"/>
      <c r="AE130" s="182"/>
      <c r="AF130" s="182"/>
      <c r="AG130" s="182"/>
      <c r="AH130" s="477" t="e">
        <f t="shared" si="72"/>
        <v>#N/A</v>
      </c>
      <c r="AI130" s="662"/>
      <c r="AJ130" s="182"/>
      <c r="AK130" s="182"/>
      <c r="AL130" s="182"/>
      <c r="AM130" s="477" t="e">
        <f t="shared" si="73"/>
        <v>#N/A</v>
      </c>
      <c r="AN130" s="662"/>
      <c r="AO130" s="182"/>
      <c r="AP130" s="182"/>
      <c r="AQ130" s="182"/>
      <c r="AR130" s="477" t="e">
        <f t="shared" si="74"/>
        <v>#N/A</v>
      </c>
      <c r="AS130" s="662"/>
      <c r="AT130" s="182"/>
      <c r="AU130" s="182"/>
      <c r="AV130" s="182"/>
      <c r="AW130" s="477" t="e">
        <f t="shared" si="75"/>
        <v>#N/A</v>
      </c>
      <c r="AX130" s="662"/>
    </row>
    <row r="131" spans="2:50">
      <c r="B131" s="660"/>
      <c r="C131" s="309">
        <v>20</v>
      </c>
      <c r="D131" s="551"/>
      <c r="E131" s="551"/>
      <c r="F131" s="551"/>
      <c r="G131" s="551"/>
      <c r="H131" s="662"/>
      <c r="I131" s="543" t="e">
        <f t="shared" ref="I131:I135" si="76">AVERAGE(P131,U131,Z131,AE131,AJ131,AO131,AT131)</f>
        <v>#DIV/0!</v>
      </c>
      <c r="J131" s="543" t="e">
        <f t="shared" ref="J131:J135" si="77">AVERAGE(Q131,V131,AA131,AF131,AK131,AP131,AU131)</f>
        <v>#DIV/0!</v>
      </c>
      <c r="K131" s="200" t="e">
        <f t="shared" ref="K131:K135" si="78">AVERAGE(R131,W131,AB131,AG131,AL131,AQ131,AV131)</f>
        <v>#DIV/0!</v>
      </c>
      <c r="L131" s="634"/>
      <c r="M131" s="199" t="e">
        <f>RANK(K131, K$112:$K$141)</f>
        <v>#DIV/0!</v>
      </c>
      <c r="N131" s="652"/>
      <c r="O131" s="652"/>
      <c r="P131" s="182"/>
      <c r="Q131" s="182"/>
      <c r="R131" s="182"/>
      <c r="S131" s="340" t="e">
        <f t="shared" si="69"/>
        <v>#N/A</v>
      </c>
      <c r="T131" s="662"/>
      <c r="U131" s="182"/>
      <c r="V131" s="182"/>
      <c r="W131" s="182"/>
      <c r="X131" s="477" t="e">
        <f t="shared" si="70"/>
        <v>#N/A</v>
      </c>
      <c r="Y131" s="662"/>
      <c r="Z131" s="182"/>
      <c r="AA131" s="182"/>
      <c r="AB131" s="182"/>
      <c r="AC131" s="477" t="e">
        <f t="shared" si="71"/>
        <v>#N/A</v>
      </c>
      <c r="AD131" s="662"/>
      <c r="AE131" s="182"/>
      <c r="AF131" s="182"/>
      <c r="AG131" s="182"/>
      <c r="AH131" s="477" t="e">
        <f t="shared" si="72"/>
        <v>#N/A</v>
      </c>
      <c r="AI131" s="662"/>
      <c r="AJ131" s="182"/>
      <c r="AK131" s="182"/>
      <c r="AL131" s="182"/>
      <c r="AM131" s="477" t="e">
        <f t="shared" si="73"/>
        <v>#N/A</v>
      </c>
      <c r="AN131" s="662"/>
      <c r="AO131" s="182"/>
      <c r="AP131" s="182"/>
      <c r="AQ131" s="182"/>
      <c r="AR131" s="477" t="e">
        <f t="shared" si="74"/>
        <v>#N/A</v>
      </c>
      <c r="AS131" s="662"/>
      <c r="AT131" s="182"/>
      <c r="AU131" s="182"/>
      <c r="AV131" s="182"/>
      <c r="AW131" s="477" t="e">
        <f t="shared" si="75"/>
        <v>#N/A</v>
      </c>
      <c r="AX131" s="662"/>
    </row>
    <row r="132" spans="2:50">
      <c r="B132" s="660"/>
      <c r="C132" s="309">
        <v>21</v>
      </c>
      <c r="D132" s="551"/>
      <c r="E132" s="551"/>
      <c r="F132" s="551"/>
      <c r="G132" s="551"/>
      <c r="H132" s="662"/>
      <c r="I132" s="543" t="e">
        <f t="shared" si="76"/>
        <v>#DIV/0!</v>
      </c>
      <c r="J132" s="543" t="e">
        <f t="shared" si="77"/>
        <v>#DIV/0!</v>
      </c>
      <c r="K132" s="200" t="e">
        <f t="shared" si="78"/>
        <v>#DIV/0!</v>
      </c>
      <c r="L132" s="634"/>
      <c r="M132" s="199" t="e">
        <f>RANK(K132, K$112:$K$141)</f>
        <v>#DIV/0!</v>
      </c>
      <c r="N132" s="652"/>
      <c r="O132" s="652"/>
      <c r="P132" s="551"/>
      <c r="Q132" s="182"/>
      <c r="R132" s="552"/>
      <c r="S132" s="340" t="e">
        <f t="shared" si="69"/>
        <v>#N/A</v>
      </c>
      <c r="T132" s="662"/>
      <c r="U132" s="551"/>
      <c r="V132" s="182"/>
      <c r="W132" s="552"/>
      <c r="X132" s="477" t="e">
        <f t="shared" si="70"/>
        <v>#N/A</v>
      </c>
      <c r="Y132" s="662"/>
      <c r="Z132" s="551"/>
      <c r="AA132" s="182"/>
      <c r="AB132" s="552"/>
      <c r="AC132" s="477" t="e">
        <f t="shared" si="71"/>
        <v>#N/A</v>
      </c>
      <c r="AD132" s="662"/>
      <c r="AE132" s="551"/>
      <c r="AF132" s="182"/>
      <c r="AG132" s="552"/>
      <c r="AH132" s="477" t="e">
        <f t="shared" si="72"/>
        <v>#N/A</v>
      </c>
      <c r="AI132" s="662"/>
      <c r="AJ132" s="551"/>
      <c r="AK132" s="182"/>
      <c r="AL132" s="552"/>
      <c r="AM132" s="477" t="e">
        <f t="shared" si="73"/>
        <v>#N/A</v>
      </c>
      <c r="AN132" s="662"/>
      <c r="AO132" s="551"/>
      <c r="AP132" s="182"/>
      <c r="AQ132" s="552"/>
      <c r="AR132" s="477" t="e">
        <f t="shared" si="74"/>
        <v>#N/A</v>
      </c>
      <c r="AS132" s="662"/>
      <c r="AT132" s="551"/>
      <c r="AU132" s="182"/>
      <c r="AV132" s="552"/>
      <c r="AW132" s="477" t="e">
        <f t="shared" si="75"/>
        <v>#N/A</v>
      </c>
      <c r="AX132" s="662"/>
    </row>
    <row r="133" spans="2:50">
      <c r="B133" s="660"/>
      <c r="C133" s="309">
        <v>22</v>
      </c>
      <c r="D133" s="551"/>
      <c r="E133" s="551"/>
      <c r="F133" s="551"/>
      <c r="G133" s="551"/>
      <c r="H133" s="662"/>
      <c r="I133" s="543" t="e">
        <f t="shared" si="76"/>
        <v>#DIV/0!</v>
      </c>
      <c r="J133" s="543" t="e">
        <f t="shared" si="77"/>
        <v>#DIV/0!</v>
      </c>
      <c r="K133" s="200" t="e">
        <f t="shared" si="78"/>
        <v>#DIV/0!</v>
      </c>
      <c r="L133" s="634"/>
      <c r="M133" s="199" t="e">
        <f>RANK(K133, K$112:$K$141)</f>
        <v>#DIV/0!</v>
      </c>
      <c r="N133" s="652"/>
      <c r="O133" s="652"/>
      <c r="P133" s="551"/>
      <c r="Q133" s="182"/>
      <c r="R133" s="552"/>
      <c r="S133" s="340" t="e">
        <f t="shared" si="69"/>
        <v>#N/A</v>
      </c>
      <c r="T133" s="662"/>
      <c r="U133" s="551"/>
      <c r="V133" s="182"/>
      <c r="W133" s="552"/>
      <c r="X133" s="477" t="e">
        <f t="shared" si="70"/>
        <v>#N/A</v>
      </c>
      <c r="Y133" s="662"/>
      <c r="Z133" s="551"/>
      <c r="AA133" s="182"/>
      <c r="AB133" s="552"/>
      <c r="AC133" s="477" t="e">
        <f t="shared" si="71"/>
        <v>#N/A</v>
      </c>
      <c r="AD133" s="662"/>
      <c r="AE133" s="551"/>
      <c r="AF133" s="182"/>
      <c r="AG133" s="552"/>
      <c r="AH133" s="477" t="e">
        <f t="shared" si="72"/>
        <v>#N/A</v>
      </c>
      <c r="AI133" s="662"/>
      <c r="AJ133" s="551"/>
      <c r="AK133" s="182"/>
      <c r="AL133" s="552"/>
      <c r="AM133" s="477" t="e">
        <f t="shared" si="73"/>
        <v>#N/A</v>
      </c>
      <c r="AN133" s="662"/>
      <c r="AO133" s="551"/>
      <c r="AP133" s="182"/>
      <c r="AQ133" s="552"/>
      <c r="AR133" s="477" t="e">
        <f t="shared" si="74"/>
        <v>#N/A</v>
      </c>
      <c r="AS133" s="662"/>
      <c r="AT133" s="551"/>
      <c r="AU133" s="182"/>
      <c r="AV133" s="552"/>
      <c r="AW133" s="477" t="e">
        <f t="shared" si="75"/>
        <v>#N/A</v>
      </c>
      <c r="AX133" s="662"/>
    </row>
    <row r="134" spans="2:50">
      <c r="B134" s="660"/>
      <c r="C134" s="309">
        <v>23</v>
      </c>
      <c r="D134" s="309"/>
      <c r="E134" s="309"/>
      <c r="F134" s="309"/>
      <c r="G134" s="309"/>
      <c r="H134" s="662"/>
      <c r="I134" s="543" t="e">
        <f t="shared" si="76"/>
        <v>#DIV/0!</v>
      </c>
      <c r="J134" s="543" t="e">
        <f t="shared" si="77"/>
        <v>#DIV/0!</v>
      </c>
      <c r="K134" s="200" t="e">
        <f t="shared" si="78"/>
        <v>#DIV/0!</v>
      </c>
      <c r="L134" s="634"/>
      <c r="M134" s="199" t="e">
        <f>RANK(K134, K$112:$K$141)</f>
        <v>#DIV/0!</v>
      </c>
      <c r="N134" s="652"/>
      <c r="O134" s="652"/>
      <c r="P134" s="551"/>
      <c r="Q134" s="182"/>
      <c r="R134" s="552"/>
      <c r="S134" s="340" t="e">
        <f t="shared" si="69"/>
        <v>#N/A</v>
      </c>
      <c r="T134" s="662"/>
      <c r="U134" s="551"/>
      <c r="V134" s="182"/>
      <c r="W134" s="552"/>
      <c r="X134" s="477" t="e">
        <f t="shared" si="70"/>
        <v>#N/A</v>
      </c>
      <c r="Y134" s="662"/>
      <c r="Z134" s="551"/>
      <c r="AA134" s="182"/>
      <c r="AB134" s="552"/>
      <c r="AC134" s="477" t="e">
        <f t="shared" si="71"/>
        <v>#N/A</v>
      </c>
      <c r="AD134" s="662"/>
      <c r="AE134" s="551"/>
      <c r="AF134" s="182"/>
      <c r="AG134" s="552"/>
      <c r="AH134" s="477" t="e">
        <f t="shared" si="72"/>
        <v>#N/A</v>
      </c>
      <c r="AI134" s="662"/>
      <c r="AJ134" s="551"/>
      <c r="AK134" s="182"/>
      <c r="AL134" s="552"/>
      <c r="AM134" s="477" t="e">
        <f t="shared" si="73"/>
        <v>#N/A</v>
      </c>
      <c r="AN134" s="662"/>
      <c r="AO134" s="551"/>
      <c r="AP134" s="182"/>
      <c r="AQ134" s="552"/>
      <c r="AR134" s="477" t="e">
        <f t="shared" si="74"/>
        <v>#N/A</v>
      </c>
      <c r="AS134" s="662"/>
      <c r="AT134" s="551"/>
      <c r="AU134" s="182"/>
      <c r="AV134" s="552"/>
      <c r="AW134" s="477" t="e">
        <f t="shared" si="75"/>
        <v>#N/A</v>
      </c>
      <c r="AX134" s="662"/>
    </row>
    <row r="135" spans="2:50">
      <c r="B135" s="660"/>
      <c r="C135" s="309">
        <v>24</v>
      </c>
      <c r="D135" s="309"/>
      <c r="E135" s="309"/>
      <c r="F135" s="309"/>
      <c r="G135" s="309"/>
      <c r="H135" s="662"/>
      <c r="I135" s="543" t="e">
        <f t="shared" si="76"/>
        <v>#DIV/0!</v>
      </c>
      <c r="J135" s="543" t="e">
        <f t="shared" si="77"/>
        <v>#DIV/0!</v>
      </c>
      <c r="K135" s="200" t="e">
        <f t="shared" si="78"/>
        <v>#DIV/0!</v>
      </c>
      <c r="L135" s="634"/>
      <c r="M135" s="199" t="e">
        <f>RANK(K135, K$112:$K$141)</f>
        <v>#DIV/0!</v>
      </c>
      <c r="N135" s="652"/>
      <c r="O135" s="652"/>
      <c r="P135" s="551"/>
      <c r="Q135" s="182"/>
      <c r="R135" s="552"/>
      <c r="S135" s="340" t="e">
        <f t="shared" si="69"/>
        <v>#N/A</v>
      </c>
      <c r="T135" s="662"/>
      <c r="U135" s="551"/>
      <c r="V135" s="182"/>
      <c r="W135" s="552"/>
      <c r="X135" s="477" t="e">
        <f t="shared" si="70"/>
        <v>#N/A</v>
      </c>
      <c r="Y135" s="662"/>
      <c r="Z135" s="551"/>
      <c r="AA135" s="182"/>
      <c r="AB135" s="552"/>
      <c r="AC135" s="477" t="e">
        <f t="shared" si="71"/>
        <v>#N/A</v>
      </c>
      <c r="AD135" s="662"/>
      <c r="AE135" s="551"/>
      <c r="AF135" s="182"/>
      <c r="AG135" s="552"/>
      <c r="AH135" s="477" t="e">
        <f t="shared" si="72"/>
        <v>#N/A</v>
      </c>
      <c r="AI135" s="662"/>
      <c r="AJ135" s="551"/>
      <c r="AK135" s="182"/>
      <c r="AL135" s="552"/>
      <c r="AM135" s="477" t="e">
        <f t="shared" si="73"/>
        <v>#N/A</v>
      </c>
      <c r="AN135" s="662"/>
      <c r="AO135" s="551"/>
      <c r="AP135" s="182"/>
      <c r="AQ135" s="552"/>
      <c r="AR135" s="477" t="e">
        <f t="shared" si="74"/>
        <v>#N/A</v>
      </c>
      <c r="AS135" s="662"/>
      <c r="AT135" s="551"/>
      <c r="AU135" s="182"/>
      <c r="AV135" s="552"/>
      <c r="AW135" s="477" t="e">
        <f t="shared" si="75"/>
        <v>#N/A</v>
      </c>
      <c r="AX135" s="662"/>
    </row>
    <row r="136" spans="2:50">
      <c r="B136" s="660"/>
      <c r="C136" s="309">
        <v>25</v>
      </c>
      <c r="D136" s="309"/>
      <c r="E136" s="309"/>
      <c r="F136" s="309"/>
      <c r="G136" s="309"/>
      <c r="H136" s="662"/>
      <c r="I136" s="202"/>
      <c r="J136" s="202"/>
      <c r="K136" s="202"/>
      <c r="L136" s="634"/>
      <c r="M136" s="199" t="e">
        <f>RANK(K136, K$112:$K$141)</f>
        <v>#DIV/0!</v>
      </c>
      <c r="N136" s="652"/>
      <c r="O136" s="652"/>
      <c r="P136" s="551"/>
      <c r="Q136" s="182"/>
      <c r="R136" s="552"/>
      <c r="S136" s="340" t="e">
        <f t="shared" si="69"/>
        <v>#N/A</v>
      </c>
      <c r="T136" s="662"/>
      <c r="U136" s="551"/>
      <c r="V136" s="182"/>
      <c r="W136" s="552"/>
      <c r="X136" s="477" t="e">
        <f t="shared" si="70"/>
        <v>#N/A</v>
      </c>
      <c r="Y136" s="662"/>
      <c r="Z136" s="551"/>
      <c r="AA136" s="182"/>
      <c r="AB136" s="552"/>
      <c r="AC136" s="477" t="e">
        <f t="shared" si="71"/>
        <v>#N/A</v>
      </c>
      <c r="AD136" s="662"/>
      <c r="AE136" s="551"/>
      <c r="AF136" s="182"/>
      <c r="AG136" s="552"/>
      <c r="AH136" s="477" t="e">
        <f t="shared" si="72"/>
        <v>#N/A</v>
      </c>
      <c r="AI136" s="662"/>
      <c r="AJ136" s="551"/>
      <c r="AK136" s="182"/>
      <c r="AL136" s="552"/>
      <c r="AM136" s="477" t="e">
        <f t="shared" si="73"/>
        <v>#N/A</v>
      </c>
      <c r="AN136" s="662"/>
      <c r="AO136" s="551"/>
      <c r="AP136" s="182"/>
      <c r="AQ136" s="552"/>
      <c r="AR136" s="477" t="e">
        <f t="shared" si="74"/>
        <v>#N/A</v>
      </c>
      <c r="AS136" s="662"/>
      <c r="AT136" s="551"/>
      <c r="AU136" s="182"/>
      <c r="AV136" s="552"/>
      <c r="AW136" s="477" t="e">
        <f t="shared" si="75"/>
        <v>#N/A</v>
      </c>
      <c r="AX136" s="662"/>
    </row>
    <row r="137" spans="2:50">
      <c r="B137" s="660"/>
      <c r="C137" s="309">
        <v>26</v>
      </c>
      <c r="D137" s="309"/>
      <c r="E137" s="309"/>
      <c r="F137" s="309"/>
      <c r="G137" s="309"/>
      <c r="H137" s="662"/>
      <c r="I137" s="202"/>
      <c r="J137" s="202"/>
      <c r="K137" s="202"/>
      <c r="L137" s="634"/>
      <c r="M137" s="199" t="e">
        <f>RANK(K137, K$112:$K$141)</f>
        <v>#DIV/0!</v>
      </c>
      <c r="N137" s="652"/>
      <c r="O137" s="652"/>
      <c r="P137" s="551"/>
      <c r="Q137" s="182"/>
      <c r="R137" s="552"/>
      <c r="S137" s="340" t="e">
        <f t="shared" si="69"/>
        <v>#N/A</v>
      </c>
      <c r="T137" s="662"/>
      <c r="U137" s="551"/>
      <c r="V137" s="182"/>
      <c r="W137" s="552"/>
      <c r="X137" s="477" t="e">
        <f t="shared" si="70"/>
        <v>#N/A</v>
      </c>
      <c r="Y137" s="662"/>
      <c r="Z137" s="551"/>
      <c r="AA137" s="182"/>
      <c r="AB137" s="552"/>
      <c r="AC137" s="477" t="e">
        <f t="shared" si="71"/>
        <v>#N/A</v>
      </c>
      <c r="AD137" s="662"/>
      <c r="AE137" s="551"/>
      <c r="AF137" s="182"/>
      <c r="AG137" s="552"/>
      <c r="AH137" s="477" t="e">
        <f t="shared" si="72"/>
        <v>#N/A</v>
      </c>
      <c r="AI137" s="662"/>
      <c r="AJ137" s="551"/>
      <c r="AK137" s="182"/>
      <c r="AL137" s="552"/>
      <c r="AM137" s="477" t="e">
        <f t="shared" si="73"/>
        <v>#N/A</v>
      </c>
      <c r="AN137" s="662"/>
      <c r="AO137" s="551"/>
      <c r="AP137" s="182"/>
      <c r="AQ137" s="552"/>
      <c r="AR137" s="477" t="e">
        <f t="shared" si="74"/>
        <v>#N/A</v>
      </c>
      <c r="AS137" s="662"/>
      <c r="AT137" s="551"/>
      <c r="AU137" s="182"/>
      <c r="AV137" s="552"/>
      <c r="AW137" s="477" t="e">
        <f t="shared" si="75"/>
        <v>#N/A</v>
      </c>
      <c r="AX137" s="662"/>
    </row>
    <row r="138" spans="2:50">
      <c r="B138" s="660"/>
      <c r="C138" s="309">
        <v>27</v>
      </c>
      <c r="D138" s="309"/>
      <c r="E138" s="309"/>
      <c r="F138" s="309"/>
      <c r="G138" s="309"/>
      <c r="H138" s="662"/>
      <c r="I138" s="202"/>
      <c r="J138" s="202"/>
      <c r="K138" s="202"/>
      <c r="L138" s="634"/>
      <c r="M138" s="199" t="e">
        <f>RANK(K138, K$112:$K$141)</f>
        <v>#DIV/0!</v>
      </c>
      <c r="N138" s="652"/>
      <c r="O138" s="652"/>
      <c r="P138" s="551"/>
      <c r="Q138" s="182"/>
      <c r="R138" s="552"/>
      <c r="S138" s="340" t="e">
        <f t="shared" si="69"/>
        <v>#N/A</v>
      </c>
      <c r="T138" s="662"/>
      <c r="U138" s="551"/>
      <c r="V138" s="182"/>
      <c r="W138" s="552"/>
      <c r="X138" s="477" t="e">
        <f t="shared" si="70"/>
        <v>#N/A</v>
      </c>
      <c r="Y138" s="662"/>
      <c r="Z138" s="551"/>
      <c r="AA138" s="182"/>
      <c r="AB138" s="552"/>
      <c r="AC138" s="477" t="e">
        <f t="shared" si="71"/>
        <v>#N/A</v>
      </c>
      <c r="AD138" s="662"/>
      <c r="AE138" s="551"/>
      <c r="AF138" s="182"/>
      <c r="AG138" s="552"/>
      <c r="AH138" s="477" t="e">
        <f t="shared" si="72"/>
        <v>#N/A</v>
      </c>
      <c r="AI138" s="662"/>
      <c r="AJ138" s="551"/>
      <c r="AK138" s="182"/>
      <c r="AL138" s="552"/>
      <c r="AM138" s="477" t="e">
        <f t="shared" si="73"/>
        <v>#N/A</v>
      </c>
      <c r="AN138" s="662"/>
      <c r="AO138" s="551"/>
      <c r="AP138" s="182"/>
      <c r="AQ138" s="552"/>
      <c r="AR138" s="477" t="e">
        <f t="shared" si="74"/>
        <v>#N/A</v>
      </c>
      <c r="AS138" s="662"/>
      <c r="AT138" s="551"/>
      <c r="AU138" s="182"/>
      <c r="AV138" s="552"/>
      <c r="AW138" s="477" t="e">
        <f t="shared" si="75"/>
        <v>#N/A</v>
      </c>
      <c r="AX138" s="662"/>
    </row>
    <row r="139" spans="2:50">
      <c r="B139" s="660"/>
      <c r="C139" s="309">
        <v>28</v>
      </c>
      <c r="D139" s="309"/>
      <c r="E139" s="309"/>
      <c r="F139" s="309"/>
      <c r="G139" s="309"/>
      <c r="H139" s="662"/>
      <c r="I139" s="202"/>
      <c r="J139" s="202"/>
      <c r="K139" s="202"/>
      <c r="L139" s="634"/>
      <c r="M139" s="199" t="e">
        <f>RANK(K139, K$112:$K$141)</f>
        <v>#DIV/0!</v>
      </c>
      <c r="N139" s="652"/>
      <c r="O139" s="652"/>
      <c r="P139" s="551"/>
      <c r="Q139" s="182"/>
      <c r="R139" s="552"/>
      <c r="S139" s="340" t="e">
        <f t="shared" si="69"/>
        <v>#N/A</v>
      </c>
      <c r="T139" s="662"/>
      <c r="U139" s="551"/>
      <c r="V139" s="182"/>
      <c r="W139" s="552"/>
      <c r="X139" s="477" t="e">
        <f t="shared" si="70"/>
        <v>#N/A</v>
      </c>
      <c r="Y139" s="662"/>
      <c r="Z139" s="551"/>
      <c r="AA139" s="182"/>
      <c r="AB139" s="552"/>
      <c r="AC139" s="477" t="e">
        <f t="shared" si="71"/>
        <v>#N/A</v>
      </c>
      <c r="AD139" s="662"/>
      <c r="AE139" s="551"/>
      <c r="AF139" s="182"/>
      <c r="AG139" s="552"/>
      <c r="AH139" s="477" t="e">
        <f t="shared" si="72"/>
        <v>#N/A</v>
      </c>
      <c r="AI139" s="662"/>
      <c r="AJ139" s="551"/>
      <c r="AK139" s="182"/>
      <c r="AL139" s="552"/>
      <c r="AM139" s="477" t="e">
        <f t="shared" si="73"/>
        <v>#N/A</v>
      </c>
      <c r="AN139" s="662"/>
      <c r="AO139" s="551"/>
      <c r="AP139" s="182"/>
      <c r="AQ139" s="552"/>
      <c r="AR139" s="477" t="e">
        <f t="shared" si="74"/>
        <v>#N/A</v>
      </c>
      <c r="AS139" s="662"/>
      <c r="AT139" s="551"/>
      <c r="AU139" s="182"/>
      <c r="AV139" s="552"/>
      <c r="AW139" s="477" t="e">
        <f t="shared" si="75"/>
        <v>#N/A</v>
      </c>
      <c r="AX139" s="662"/>
    </row>
    <row r="140" spans="2:50">
      <c r="B140" s="660"/>
      <c r="C140" s="309">
        <v>29</v>
      </c>
      <c r="D140" s="309"/>
      <c r="E140" s="309"/>
      <c r="F140" s="309"/>
      <c r="G140" s="309"/>
      <c r="H140" s="662"/>
      <c r="I140" s="202"/>
      <c r="J140" s="202"/>
      <c r="K140" s="202"/>
      <c r="L140" s="634"/>
      <c r="M140" s="199" t="e">
        <f>RANK(K140, K$112:$K$141)</f>
        <v>#DIV/0!</v>
      </c>
      <c r="N140" s="652"/>
      <c r="O140" s="652"/>
      <c r="P140" s="551"/>
      <c r="Q140" s="182"/>
      <c r="R140" s="552"/>
      <c r="S140" s="340" t="e">
        <f t="shared" si="69"/>
        <v>#N/A</v>
      </c>
      <c r="T140" s="662"/>
      <c r="U140" s="551"/>
      <c r="V140" s="182"/>
      <c r="W140" s="552"/>
      <c r="X140" s="477" t="e">
        <f t="shared" si="70"/>
        <v>#N/A</v>
      </c>
      <c r="Y140" s="662"/>
      <c r="Z140" s="551"/>
      <c r="AA140" s="182"/>
      <c r="AB140" s="552"/>
      <c r="AC140" s="477" t="e">
        <f t="shared" si="71"/>
        <v>#N/A</v>
      </c>
      <c r="AD140" s="662"/>
      <c r="AE140" s="551"/>
      <c r="AF140" s="182"/>
      <c r="AG140" s="552"/>
      <c r="AH140" s="477" t="e">
        <f t="shared" si="72"/>
        <v>#N/A</v>
      </c>
      <c r="AI140" s="662"/>
      <c r="AJ140" s="551"/>
      <c r="AK140" s="182"/>
      <c r="AL140" s="552"/>
      <c r="AM140" s="477" t="e">
        <f t="shared" si="73"/>
        <v>#N/A</v>
      </c>
      <c r="AN140" s="662"/>
      <c r="AO140" s="551"/>
      <c r="AP140" s="182"/>
      <c r="AQ140" s="552"/>
      <c r="AR140" s="477" t="e">
        <f t="shared" si="74"/>
        <v>#N/A</v>
      </c>
      <c r="AS140" s="662"/>
      <c r="AT140" s="551"/>
      <c r="AU140" s="182"/>
      <c r="AV140" s="552"/>
      <c r="AW140" s="477" t="e">
        <f t="shared" si="75"/>
        <v>#N/A</v>
      </c>
      <c r="AX140" s="662"/>
    </row>
    <row r="141" spans="2:50">
      <c r="B141" s="660"/>
      <c r="C141" s="309">
        <v>30</v>
      </c>
      <c r="D141" s="309"/>
      <c r="E141" s="309"/>
      <c r="F141" s="309"/>
      <c r="G141" s="309"/>
      <c r="H141" s="663"/>
      <c r="I141" s="202"/>
      <c r="J141" s="202"/>
      <c r="K141" s="202"/>
      <c r="L141" s="635"/>
      <c r="M141" s="199" t="e">
        <f>RANK(K141, K$112:$K$141)</f>
        <v>#DIV/0!</v>
      </c>
      <c r="N141" s="652"/>
      <c r="O141" s="652"/>
      <c r="P141" s="551"/>
      <c r="Q141" s="182"/>
      <c r="R141" s="552"/>
      <c r="S141" s="340" t="e">
        <f t="shared" si="69"/>
        <v>#N/A</v>
      </c>
      <c r="T141" s="663"/>
      <c r="U141" s="551"/>
      <c r="V141" s="182"/>
      <c r="W141" s="552"/>
      <c r="X141" s="477" t="e">
        <f t="shared" si="70"/>
        <v>#N/A</v>
      </c>
      <c r="Y141" s="663"/>
      <c r="Z141" s="551"/>
      <c r="AA141" s="182"/>
      <c r="AB141" s="552"/>
      <c r="AC141" s="477" t="e">
        <f t="shared" si="71"/>
        <v>#N/A</v>
      </c>
      <c r="AD141" s="663"/>
      <c r="AE141" s="551"/>
      <c r="AF141" s="182"/>
      <c r="AG141" s="552"/>
      <c r="AH141" s="477" t="e">
        <f t="shared" si="72"/>
        <v>#N/A</v>
      </c>
      <c r="AI141" s="663"/>
      <c r="AJ141" s="551"/>
      <c r="AK141" s="182"/>
      <c r="AL141" s="552"/>
      <c r="AM141" s="477" t="e">
        <f t="shared" si="73"/>
        <v>#N/A</v>
      </c>
      <c r="AN141" s="663"/>
      <c r="AO141" s="551"/>
      <c r="AP141" s="182"/>
      <c r="AQ141" s="552"/>
      <c r="AR141" s="477" t="e">
        <f t="shared" si="74"/>
        <v>#N/A</v>
      </c>
      <c r="AS141" s="663"/>
      <c r="AT141" s="551"/>
      <c r="AU141" s="182"/>
      <c r="AV141" s="552"/>
      <c r="AW141" s="477" t="e">
        <f t="shared" si="75"/>
        <v>#N/A</v>
      </c>
      <c r="AX141" s="663"/>
    </row>
    <row r="142" spans="2:50" ht="15.75">
      <c r="B142" s="664" t="s">
        <v>163</v>
      </c>
      <c r="C142" s="665"/>
      <c r="D142" s="665"/>
      <c r="E142" s="665"/>
      <c r="F142" s="665"/>
      <c r="G142" s="665"/>
      <c r="H142" s="666"/>
      <c r="I142" s="208"/>
      <c r="J142" s="208"/>
      <c r="K142" s="208"/>
      <c r="L142" s="208"/>
      <c r="M142" s="207"/>
      <c r="N142" s="653" t="s">
        <v>156</v>
      </c>
      <c r="O142" s="653" t="s">
        <v>155</v>
      </c>
      <c r="P142" s="659">
        <f>P107+7</f>
        <v>46077</v>
      </c>
      <c r="Q142" s="660"/>
      <c r="R142" s="660"/>
      <c r="S142" s="660"/>
      <c r="T142" s="660"/>
      <c r="U142" s="656">
        <f>P142+1</f>
        <v>46078</v>
      </c>
      <c r="V142" s="657"/>
      <c r="W142" s="657"/>
      <c r="X142" s="657"/>
      <c r="Y142" s="658"/>
      <c r="Z142" s="656">
        <f>U142+1</f>
        <v>46079</v>
      </c>
      <c r="AA142" s="657"/>
      <c r="AB142" s="657"/>
      <c r="AC142" s="657"/>
      <c r="AD142" s="658"/>
      <c r="AE142" s="656">
        <f>Z142+1</f>
        <v>46080</v>
      </c>
      <c r="AF142" s="657"/>
      <c r="AG142" s="657"/>
      <c r="AH142" s="657"/>
      <c r="AI142" s="658"/>
      <c r="AJ142" s="656">
        <f>AE142+1</f>
        <v>46081</v>
      </c>
      <c r="AK142" s="657"/>
      <c r="AL142" s="657"/>
      <c r="AM142" s="657"/>
      <c r="AN142" s="658"/>
      <c r="AO142" s="656">
        <f>AJ142+1</f>
        <v>46082</v>
      </c>
      <c r="AP142" s="657"/>
      <c r="AQ142" s="657"/>
      <c r="AR142" s="657"/>
      <c r="AS142" s="658"/>
      <c r="AT142" s="656">
        <f>AO142+1</f>
        <v>46083</v>
      </c>
      <c r="AU142" s="657"/>
      <c r="AV142" s="657"/>
      <c r="AW142" s="657"/>
      <c r="AX142" s="658"/>
    </row>
    <row r="143" spans="2:50" ht="15.75">
      <c r="B143" s="667"/>
      <c r="C143" s="667"/>
      <c r="D143" s="667"/>
      <c r="E143" s="667"/>
      <c r="F143" s="667"/>
      <c r="G143" s="667"/>
      <c r="H143" s="667"/>
      <c r="I143" s="205"/>
      <c r="J143" s="205"/>
      <c r="K143" s="205"/>
      <c r="L143" s="205"/>
      <c r="M143" s="206"/>
      <c r="N143" s="655"/>
      <c r="O143" s="655"/>
      <c r="P143" s="659" t="s">
        <v>336</v>
      </c>
      <c r="Q143" s="660"/>
      <c r="R143" s="660"/>
      <c r="S143" s="660"/>
      <c r="T143" s="660"/>
      <c r="U143" s="659" t="s">
        <v>337</v>
      </c>
      <c r="V143" s="660"/>
      <c r="W143" s="660"/>
      <c r="X143" s="660"/>
      <c r="Y143" s="660"/>
      <c r="Z143" s="659" t="s">
        <v>338</v>
      </c>
      <c r="AA143" s="660"/>
      <c r="AB143" s="660"/>
      <c r="AC143" s="660"/>
      <c r="AD143" s="660"/>
      <c r="AE143" s="659" t="s">
        <v>339</v>
      </c>
      <c r="AF143" s="660"/>
      <c r="AG143" s="660"/>
      <c r="AH143" s="660"/>
      <c r="AI143" s="660"/>
      <c r="AJ143" s="659" t="s">
        <v>340</v>
      </c>
      <c r="AK143" s="660"/>
      <c r="AL143" s="660"/>
      <c r="AM143" s="660"/>
      <c r="AN143" s="660"/>
      <c r="AO143" s="659" t="s">
        <v>341</v>
      </c>
      <c r="AP143" s="660"/>
      <c r="AQ143" s="660"/>
      <c r="AR143" s="660"/>
      <c r="AS143" s="660"/>
      <c r="AT143" s="659" t="s">
        <v>342</v>
      </c>
      <c r="AU143" s="660"/>
      <c r="AV143" s="660"/>
      <c r="AW143" s="660"/>
      <c r="AX143" s="660"/>
    </row>
    <row r="144" spans="2:50">
      <c r="B144" s="652" t="s">
        <v>472</v>
      </c>
      <c r="C144" s="652" t="s">
        <v>473</v>
      </c>
      <c r="D144" s="652"/>
      <c r="E144" s="652" t="s">
        <v>474</v>
      </c>
      <c r="F144" s="652"/>
      <c r="G144" s="652"/>
      <c r="H144" s="668" t="s">
        <v>475</v>
      </c>
      <c r="I144" s="636" t="s">
        <v>476</v>
      </c>
      <c r="J144" s="636"/>
      <c r="K144" s="636"/>
      <c r="L144" s="637" t="s">
        <v>475</v>
      </c>
      <c r="M144" s="643" t="s">
        <v>477</v>
      </c>
      <c r="N144" s="652"/>
      <c r="O144" s="652" t="s">
        <v>478</v>
      </c>
      <c r="P144" s="649" t="s">
        <v>479</v>
      </c>
      <c r="Q144" s="650"/>
      <c r="R144" s="650"/>
      <c r="S144" s="651"/>
      <c r="T144" s="652" t="s">
        <v>475</v>
      </c>
      <c r="U144" s="649" t="s">
        <v>479</v>
      </c>
      <c r="V144" s="650"/>
      <c r="W144" s="650"/>
      <c r="X144" s="651"/>
      <c r="Y144" s="652" t="s">
        <v>475</v>
      </c>
      <c r="Z144" s="649" t="s">
        <v>479</v>
      </c>
      <c r="AA144" s="650"/>
      <c r="AB144" s="650"/>
      <c r="AC144" s="651"/>
      <c r="AD144" s="652" t="s">
        <v>475</v>
      </c>
      <c r="AE144" s="649" t="s">
        <v>479</v>
      </c>
      <c r="AF144" s="650"/>
      <c r="AG144" s="650"/>
      <c r="AH144" s="651"/>
      <c r="AI144" s="652" t="s">
        <v>475</v>
      </c>
      <c r="AJ144" s="649" t="s">
        <v>479</v>
      </c>
      <c r="AK144" s="650"/>
      <c r="AL144" s="650"/>
      <c r="AM144" s="651"/>
      <c r="AN144" s="652" t="s">
        <v>475</v>
      </c>
      <c r="AO144" s="649" t="s">
        <v>479</v>
      </c>
      <c r="AP144" s="650"/>
      <c r="AQ144" s="650"/>
      <c r="AR144" s="651"/>
      <c r="AS144" s="652" t="s">
        <v>475</v>
      </c>
      <c r="AT144" s="649" t="s">
        <v>479</v>
      </c>
      <c r="AU144" s="650"/>
      <c r="AV144" s="650"/>
      <c r="AW144" s="651"/>
      <c r="AX144" s="652" t="s">
        <v>475</v>
      </c>
    </row>
    <row r="145" spans="2:50">
      <c r="B145" s="652"/>
      <c r="C145" s="652"/>
      <c r="D145" s="652"/>
      <c r="E145" s="652" t="s">
        <v>480</v>
      </c>
      <c r="F145" s="652"/>
      <c r="G145" s="652"/>
      <c r="H145" s="669"/>
      <c r="I145" s="636" t="s">
        <v>480</v>
      </c>
      <c r="J145" s="636"/>
      <c r="K145" s="636"/>
      <c r="L145" s="638"/>
      <c r="M145" s="644"/>
      <c r="N145" s="652"/>
      <c r="O145" s="652"/>
      <c r="P145" s="649" t="s">
        <v>481</v>
      </c>
      <c r="Q145" s="650"/>
      <c r="R145" s="650"/>
      <c r="S145" s="651"/>
      <c r="T145" s="652"/>
      <c r="U145" s="649" t="s">
        <v>481</v>
      </c>
      <c r="V145" s="650"/>
      <c r="W145" s="650"/>
      <c r="X145" s="651"/>
      <c r="Y145" s="652"/>
      <c r="Z145" s="649" t="s">
        <v>481</v>
      </c>
      <c r="AA145" s="650"/>
      <c r="AB145" s="650"/>
      <c r="AC145" s="651"/>
      <c r="AD145" s="652"/>
      <c r="AE145" s="649" t="s">
        <v>481</v>
      </c>
      <c r="AF145" s="650"/>
      <c r="AG145" s="650"/>
      <c r="AH145" s="651"/>
      <c r="AI145" s="652"/>
      <c r="AJ145" s="649" t="s">
        <v>481</v>
      </c>
      <c r="AK145" s="650"/>
      <c r="AL145" s="650"/>
      <c r="AM145" s="651"/>
      <c r="AN145" s="652"/>
      <c r="AO145" s="649" t="s">
        <v>481</v>
      </c>
      <c r="AP145" s="650"/>
      <c r="AQ145" s="650"/>
      <c r="AR145" s="651"/>
      <c r="AS145" s="652"/>
      <c r="AT145" s="649" t="s">
        <v>481</v>
      </c>
      <c r="AU145" s="650"/>
      <c r="AV145" s="650"/>
      <c r="AW145" s="651"/>
      <c r="AX145" s="652"/>
    </row>
    <row r="146" spans="2:50">
      <c r="B146" s="652"/>
      <c r="C146" s="652"/>
      <c r="D146" s="652"/>
      <c r="E146" s="302" t="s">
        <v>482</v>
      </c>
      <c r="F146" s="302" t="s">
        <v>483</v>
      </c>
      <c r="G146" s="302" t="s">
        <v>484</v>
      </c>
      <c r="H146" s="670"/>
      <c r="I146" s="303" t="s">
        <v>482</v>
      </c>
      <c r="J146" s="303" t="s">
        <v>483</v>
      </c>
      <c r="K146" s="303" t="s">
        <v>484</v>
      </c>
      <c r="L146" s="639"/>
      <c r="M146" s="645"/>
      <c r="N146" s="652"/>
      <c r="O146" s="652"/>
      <c r="P146" s="302" t="s">
        <v>482</v>
      </c>
      <c r="Q146" s="302" t="s">
        <v>483</v>
      </c>
      <c r="R146" s="302" t="s">
        <v>484</v>
      </c>
      <c r="S146" s="302" t="s">
        <v>477</v>
      </c>
      <c r="T146" s="652"/>
      <c r="U146" s="302" t="s">
        <v>482</v>
      </c>
      <c r="V146" s="302" t="s">
        <v>483</v>
      </c>
      <c r="W146" s="302" t="s">
        <v>484</v>
      </c>
      <c r="X146" s="302" t="s">
        <v>477</v>
      </c>
      <c r="Y146" s="652"/>
      <c r="Z146" s="302" t="s">
        <v>482</v>
      </c>
      <c r="AA146" s="302" t="s">
        <v>483</v>
      </c>
      <c r="AB146" s="302" t="s">
        <v>484</v>
      </c>
      <c r="AC146" s="302" t="s">
        <v>477</v>
      </c>
      <c r="AD146" s="652"/>
      <c r="AE146" s="302" t="s">
        <v>482</v>
      </c>
      <c r="AF146" s="302" t="s">
        <v>483</v>
      </c>
      <c r="AG146" s="302" t="s">
        <v>484</v>
      </c>
      <c r="AH146" s="302" t="s">
        <v>477</v>
      </c>
      <c r="AI146" s="652"/>
      <c r="AJ146" s="302" t="s">
        <v>482</v>
      </c>
      <c r="AK146" s="302" t="s">
        <v>483</v>
      </c>
      <c r="AL146" s="302" t="s">
        <v>484</v>
      </c>
      <c r="AM146" s="302" t="s">
        <v>477</v>
      </c>
      <c r="AN146" s="652"/>
      <c r="AO146" s="302" t="s">
        <v>482</v>
      </c>
      <c r="AP146" s="302" t="s">
        <v>483</v>
      </c>
      <c r="AQ146" s="302" t="s">
        <v>484</v>
      </c>
      <c r="AR146" s="302" t="s">
        <v>477</v>
      </c>
      <c r="AS146" s="652"/>
      <c r="AT146" s="302" t="s">
        <v>482</v>
      </c>
      <c r="AU146" s="302" t="s">
        <v>483</v>
      </c>
      <c r="AV146" s="302" t="s">
        <v>484</v>
      </c>
      <c r="AW146" s="302" t="s">
        <v>477</v>
      </c>
      <c r="AX146" s="652"/>
    </row>
    <row r="147" spans="2:50">
      <c r="B147" s="660" t="s">
        <v>150</v>
      </c>
      <c r="C147" s="301">
        <v>1</v>
      </c>
      <c r="D147" s="301"/>
      <c r="E147" s="301"/>
      <c r="F147" s="301"/>
      <c r="G147" s="301"/>
      <c r="H147" s="661" t="e">
        <f>AVERAGE(G147:G176)</f>
        <v>#DIV/0!</v>
      </c>
      <c r="I147" s="199" t="e">
        <f>AVERAGE(P147,U147,Z147,AE147,AJ147,AO147,AT147)</f>
        <v>#DIV/0!</v>
      </c>
      <c r="J147" s="199" t="e">
        <f>AVERAGE(Q147,V147,AA147,AF147,AK147,AP147,AU147)</f>
        <v>#DIV/0!</v>
      </c>
      <c r="K147" s="200" t="e">
        <f>AVERAGE(R147,W147,AB147,AG147,AL147,AQ147,AV147)</f>
        <v>#DIV/0!</v>
      </c>
      <c r="L147" s="633" t="str">
        <f>IFERROR(AVERAGE(K147:K176),"-")</f>
        <v>-</v>
      </c>
      <c r="M147" s="199" t="e">
        <f>RANK(K147, K$147:$K$176)</f>
        <v>#DIV/0!</v>
      </c>
      <c r="N147" s="652"/>
      <c r="O147" s="652"/>
      <c r="P147" s="426"/>
      <c r="Q147" s="182"/>
      <c r="R147" s="182"/>
      <c r="S147" s="301" t="e">
        <f>RANK(R147, R$147:R$176)</f>
        <v>#N/A</v>
      </c>
      <c r="T147" s="661" t="e">
        <f>AVERAGE(R147:R176)</f>
        <v>#DIV/0!</v>
      </c>
      <c r="U147" s="426"/>
      <c r="V147" s="182"/>
      <c r="W147" s="182"/>
      <c r="X147" s="477" t="e">
        <f t="shared" ref="X147:X162" si="79">RANK(W147, W$147:W$176)</f>
        <v>#N/A</v>
      </c>
      <c r="Y147" s="661" t="e">
        <f t="shared" ref="Y147" si="80">AVERAGE(W147:W176)</f>
        <v>#DIV/0!</v>
      </c>
      <c r="Z147" s="426"/>
      <c r="AA147" s="182"/>
      <c r="AB147" s="182"/>
      <c r="AC147" s="477" t="e">
        <f t="shared" ref="AC147:AC162" si="81">RANK(AB147, AB$147:AB$176)</f>
        <v>#N/A</v>
      </c>
      <c r="AD147" s="661" t="e">
        <f t="shared" ref="AD147" si="82">AVERAGE(AB147:AB176)</f>
        <v>#DIV/0!</v>
      </c>
      <c r="AE147" s="426"/>
      <c r="AF147" s="182"/>
      <c r="AG147" s="182"/>
      <c r="AH147" s="477" t="e">
        <f t="shared" ref="AH147:AH162" si="83">RANK(AG147, AG$147:AG$176)</f>
        <v>#N/A</v>
      </c>
      <c r="AI147" s="661" t="e">
        <f t="shared" ref="AI147" si="84">AVERAGE(AG147:AG176)</f>
        <v>#DIV/0!</v>
      </c>
      <c r="AJ147" s="426"/>
      <c r="AK147" s="182"/>
      <c r="AL147" s="182"/>
      <c r="AM147" s="477" t="e">
        <f t="shared" ref="AM147:AM162" si="85">RANK(AL147, AL$147:AL$176)</f>
        <v>#N/A</v>
      </c>
      <c r="AN147" s="661" t="e">
        <f t="shared" ref="AN147" si="86">AVERAGE(AL147:AL176)</f>
        <v>#DIV/0!</v>
      </c>
      <c r="AO147" s="426"/>
      <c r="AP147" s="182"/>
      <c r="AQ147" s="182"/>
      <c r="AR147" s="477" t="e">
        <f t="shared" ref="AR147:AR162" si="87">RANK(AQ147, AQ$147:AQ$176)</f>
        <v>#N/A</v>
      </c>
      <c r="AS147" s="661" t="e">
        <f t="shared" ref="AS147" si="88">AVERAGE(AQ147:AQ176)</f>
        <v>#DIV/0!</v>
      </c>
      <c r="AT147" s="426"/>
      <c r="AU147" s="182"/>
      <c r="AV147" s="182"/>
      <c r="AW147" s="477" t="e">
        <f t="shared" ref="AW147:AW162" si="89">RANK(AV147, AV$147:AV$176)</f>
        <v>#N/A</v>
      </c>
      <c r="AX147" s="661" t="e">
        <f t="shared" ref="AX147" si="90">AVERAGE(AV147:AV176)</f>
        <v>#DIV/0!</v>
      </c>
    </row>
    <row r="148" spans="2:50">
      <c r="B148" s="660"/>
      <c r="C148" s="301">
        <v>2</v>
      </c>
      <c r="D148" s="301"/>
      <c r="E148" s="301"/>
      <c r="F148" s="301"/>
      <c r="G148" s="301"/>
      <c r="H148" s="662"/>
      <c r="I148" s="199" t="e">
        <f t="shared" ref="I148:I156" si="91">AVERAGE(P148,U148,Z148,AE148,AJ148,AO148,AT148)</f>
        <v>#DIV/0!</v>
      </c>
      <c r="J148" s="199" t="e">
        <f t="shared" ref="J148:J156" si="92">AVERAGE(Q148,V148,AA148,AF148,AK148,AP148,AU148)</f>
        <v>#DIV/0!</v>
      </c>
      <c r="K148" s="200" t="e">
        <f t="shared" ref="K148:K156" si="93">AVERAGE(R148,W148,AB148,AG148,AL148,AQ148,AV148)</f>
        <v>#DIV/0!</v>
      </c>
      <c r="L148" s="634"/>
      <c r="M148" s="199" t="e">
        <f>RANK(K148, K$147:$K$176)</f>
        <v>#DIV/0!</v>
      </c>
      <c r="N148" s="652"/>
      <c r="O148" s="652"/>
      <c r="P148" s="182"/>
      <c r="Q148" s="182"/>
      <c r="R148" s="182"/>
      <c r="S148" s="301" t="e">
        <f t="shared" ref="S148:S176" si="94">RANK(R148, R$147:R$176)</f>
        <v>#N/A</v>
      </c>
      <c r="T148" s="662"/>
      <c r="U148" s="182"/>
      <c r="V148" s="182"/>
      <c r="W148" s="182"/>
      <c r="X148" s="477" t="e">
        <f t="shared" si="79"/>
        <v>#N/A</v>
      </c>
      <c r="Y148" s="662"/>
      <c r="Z148" s="182"/>
      <c r="AA148" s="182"/>
      <c r="AB148" s="182"/>
      <c r="AC148" s="477" t="e">
        <f t="shared" si="81"/>
        <v>#N/A</v>
      </c>
      <c r="AD148" s="662"/>
      <c r="AE148" s="182"/>
      <c r="AF148" s="182"/>
      <c r="AG148" s="182"/>
      <c r="AH148" s="477" t="e">
        <f t="shared" si="83"/>
        <v>#N/A</v>
      </c>
      <c r="AI148" s="662"/>
      <c r="AJ148" s="182"/>
      <c r="AK148" s="182"/>
      <c r="AL148" s="182"/>
      <c r="AM148" s="477" t="e">
        <f t="shared" si="85"/>
        <v>#N/A</v>
      </c>
      <c r="AN148" s="662"/>
      <c r="AO148" s="182"/>
      <c r="AP148" s="182"/>
      <c r="AQ148" s="182"/>
      <c r="AR148" s="477" t="e">
        <f t="shared" si="87"/>
        <v>#N/A</v>
      </c>
      <c r="AS148" s="662"/>
      <c r="AT148" s="182"/>
      <c r="AU148" s="182"/>
      <c r="AV148" s="182"/>
      <c r="AW148" s="477" t="e">
        <f t="shared" si="89"/>
        <v>#N/A</v>
      </c>
      <c r="AX148" s="662"/>
    </row>
    <row r="149" spans="2:50">
      <c r="B149" s="660"/>
      <c r="C149" s="301">
        <v>3</v>
      </c>
      <c r="D149" s="301"/>
      <c r="E149" s="301"/>
      <c r="F149" s="301"/>
      <c r="G149" s="301"/>
      <c r="H149" s="662"/>
      <c r="I149" s="199" t="e">
        <f t="shared" si="91"/>
        <v>#DIV/0!</v>
      </c>
      <c r="J149" s="199" t="e">
        <f t="shared" si="92"/>
        <v>#DIV/0!</v>
      </c>
      <c r="K149" s="200" t="e">
        <f t="shared" si="93"/>
        <v>#DIV/0!</v>
      </c>
      <c r="L149" s="634"/>
      <c r="M149" s="199" t="e">
        <f>RANK(K149, K$147:$K$176)</f>
        <v>#DIV/0!</v>
      </c>
      <c r="N149" s="652"/>
      <c r="O149" s="652"/>
      <c r="P149" s="182"/>
      <c r="Q149" s="182"/>
      <c r="R149" s="182"/>
      <c r="S149" s="301" t="e">
        <f t="shared" si="94"/>
        <v>#N/A</v>
      </c>
      <c r="T149" s="662"/>
      <c r="U149" s="182"/>
      <c r="V149" s="182"/>
      <c r="W149" s="182"/>
      <c r="X149" s="477" t="e">
        <f t="shared" si="79"/>
        <v>#N/A</v>
      </c>
      <c r="Y149" s="662"/>
      <c r="Z149" s="182"/>
      <c r="AA149" s="182"/>
      <c r="AB149" s="182"/>
      <c r="AC149" s="477" t="e">
        <f t="shared" si="81"/>
        <v>#N/A</v>
      </c>
      <c r="AD149" s="662"/>
      <c r="AE149" s="182"/>
      <c r="AF149" s="182"/>
      <c r="AG149" s="182"/>
      <c r="AH149" s="477" t="e">
        <f t="shared" si="83"/>
        <v>#N/A</v>
      </c>
      <c r="AI149" s="662"/>
      <c r="AJ149" s="182"/>
      <c r="AK149" s="182"/>
      <c r="AL149" s="182"/>
      <c r="AM149" s="477" t="e">
        <f t="shared" si="85"/>
        <v>#N/A</v>
      </c>
      <c r="AN149" s="662"/>
      <c r="AO149" s="182"/>
      <c r="AP149" s="182"/>
      <c r="AQ149" s="182"/>
      <c r="AR149" s="477" t="e">
        <f t="shared" si="87"/>
        <v>#N/A</v>
      </c>
      <c r="AS149" s="662"/>
      <c r="AT149" s="182"/>
      <c r="AU149" s="182"/>
      <c r="AV149" s="182"/>
      <c r="AW149" s="477" t="e">
        <f t="shared" si="89"/>
        <v>#N/A</v>
      </c>
      <c r="AX149" s="662"/>
    </row>
    <row r="150" spans="2:50">
      <c r="B150" s="660"/>
      <c r="C150" s="301">
        <v>4</v>
      </c>
      <c r="D150" s="301"/>
      <c r="E150" s="301"/>
      <c r="F150" s="301"/>
      <c r="G150" s="301"/>
      <c r="H150" s="662"/>
      <c r="I150" s="199" t="e">
        <f t="shared" si="91"/>
        <v>#DIV/0!</v>
      </c>
      <c r="J150" s="199" t="e">
        <f t="shared" si="92"/>
        <v>#DIV/0!</v>
      </c>
      <c r="K150" s="200" t="e">
        <f t="shared" si="93"/>
        <v>#DIV/0!</v>
      </c>
      <c r="L150" s="634"/>
      <c r="M150" s="199" t="e">
        <f>RANK(K150, K$147:$K$176)</f>
        <v>#DIV/0!</v>
      </c>
      <c r="N150" s="652"/>
      <c r="O150" s="652"/>
      <c r="P150" s="182"/>
      <c r="Q150" s="182"/>
      <c r="R150" s="182"/>
      <c r="S150" s="301" t="e">
        <f t="shared" si="94"/>
        <v>#N/A</v>
      </c>
      <c r="T150" s="662"/>
      <c r="U150" s="182"/>
      <c r="V150" s="182"/>
      <c r="W150" s="182"/>
      <c r="X150" s="477" t="e">
        <f t="shared" si="79"/>
        <v>#N/A</v>
      </c>
      <c r="Y150" s="662"/>
      <c r="Z150" s="182"/>
      <c r="AA150" s="182"/>
      <c r="AB150" s="182"/>
      <c r="AC150" s="477" t="e">
        <f t="shared" si="81"/>
        <v>#N/A</v>
      </c>
      <c r="AD150" s="662"/>
      <c r="AE150" s="182"/>
      <c r="AF150" s="182"/>
      <c r="AG150" s="182"/>
      <c r="AH150" s="477" t="e">
        <f t="shared" si="83"/>
        <v>#N/A</v>
      </c>
      <c r="AI150" s="662"/>
      <c r="AJ150" s="182"/>
      <c r="AK150" s="182"/>
      <c r="AL150" s="182"/>
      <c r="AM150" s="477" t="e">
        <f t="shared" si="85"/>
        <v>#N/A</v>
      </c>
      <c r="AN150" s="662"/>
      <c r="AO150" s="182"/>
      <c r="AP150" s="182"/>
      <c r="AQ150" s="182"/>
      <c r="AR150" s="477" t="e">
        <f t="shared" si="87"/>
        <v>#N/A</v>
      </c>
      <c r="AS150" s="662"/>
      <c r="AT150" s="182"/>
      <c r="AU150" s="182"/>
      <c r="AV150" s="182"/>
      <c r="AW150" s="477" t="e">
        <f t="shared" si="89"/>
        <v>#N/A</v>
      </c>
      <c r="AX150" s="662"/>
    </row>
    <row r="151" spans="2:50">
      <c r="B151" s="660"/>
      <c r="C151" s="301">
        <v>5</v>
      </c>
      <c r="D151" s="301"/>
      <c r="E151" s="301"/>
      <c r="F151" s="301"/>
      <c r="G151" s="301"/>
      <c r="H151" s="662"/>
      <c r="I151" s="199" t="e">
        <f t="shared" si="91"/>
        <v>#DIV/0!</v>
      </c>
      <c r="J151" s="199" t="e">
        <f t="shared" si="92"/>
        <v>#DIV/0!</v>
      </c>
      <c r="K151" s="200" t="e">
        <f t="shared" si="93"/>
        <v>#DIV/0!</v>
      </c>
      <c r="L151" s="634"/>
      <c r="M151" s="199" t="e">
        <f>RANK(K151, K$147:$K$176)</f>
        <v>#DIV/0!</v>
      </c>
      <c r="N151" s="652"/>
      <c r="O151" s="652"/>
      <c r="P151" s="182"/>
      <c r="Q151" s="182"/>
      <c r="R151" s="182"/>
      <c r="S151" s="301" t="e">
        <f t="shared" si="94"/>
        <v>#N/A</v>
      </c>
      <c r="T151" s="662"/>
      <c r="U151" s="182"/>
      <c r="V151" s="182"/>
      <c r="W151" s="182"/>
      <c r="X151" s="477" t="e">
        <f t="shared" si="79"/>
        <v>#N/A</v>
      </c>
      <c r="Y151" s="662"/>
      <c r="Z151" s="182"/>
      <c r="AA151" s="182"/>
      <c r="AB151" s="182"/>
      <c r="AC151" s="477" t="e">
        <f t="shared" si="81"/>
        <v>#N/A</v>
      </c>
      <c r="AD151" s="662"/>
      <c r="AE151" s="182"/>
      <c r="AF151" s="182"/>
      <c r="AG151" s="182"/>
      <c r="AH151" s="477" t="e">
        <f t="shared" si="83"/>
        <v>#N/A</v>
      </c>
      <c r="AI151" s="662"/>
      <c r="AJ151" s="182"/>
      <c r="AK151" s="182"/>
      <c r="AL151" s="182"/>
      <c r="AM151" s="477" t="e">
        <f t="shared" si="85"/>
        <v>#N/A</v>
      </c>
      <c r="AN151" s="662"/>
      <c r="AO151" s="182"/>
      <c r="AP151" s="182"/>
      <c r="AQ151" s="182"/>
      <c r="AR151" s="477" t="e">
        <f t="shared" si="87"/>
        <v>#N/A</v>
      </c>
      <c r="AS151" s="662"/>
      <c r="AT151" s="182"/>
      <c r="AU151" s="182"/>
      <c r="AV151" s="182"/>
      <c r="AW151" s="477" t="e">
        <f t="shared" si="89"/>
        <v>#N/A</v>
      </c>
      <c r="AX151" s="662"/>
    </row>
    <row r="152" spans="2:50">
      <c r="B152" s="660"/>
      <c r="C152" s="301">
        <v>6</v>
      </c>
      <c r="D152" s="301"/>
      <c r="E152" s="301"/>
      <c r="F152" s="301"/>
      <c r="G152" s="301"/>
      <c r="H152" s="662"/>
      <c r="I152" s="199" t="e">
        <f t="shared" si="91"/>
        <v>#DIV/0!</v>
      </c>
      <c r="J152" s="199" t="e">
        <f t="shared" si="92"/>
        <v>#DIV/0!</v>
      </c>
      <c r="K152" s="200" t="e">
        <f t="shared" si="93"/>
        <v>#DIV/0!</v>
      </c>
      <c r="L152" s="634"/>
      <c r="M152" s="199" t="e">
        <f>RANK(K152, K$147:$K$176)</f>
        <v>#DIV/0!</v>
      </c>
      <c r="N152" s="652"/>
      <c r="O152" s="652"/>
      <c r="P152" s="182"/>
      <c r="Q152" s="182"/>
      <c r="R152" s="182"/>
      <c r="S152" s="301" t="e">
        <f t="shared" si="94"/>
        <v>#N/A</v>
      </c>
      <c r="T152" s="662"/>
      <c r="U152" s="182"/>
      <c r="V152" s="182"/>
      <c r="W152" s="182"/>
      <c r="X152" s="477" t="e">
        <f t="shared" si="79"/>
        <v>#N/A</v>
      </c>
      <c r="Y152" s="662"/>
      <c r="Z152" s="182"/>
      <c r="AA152" s="182"/>
      <c r="AB152" s="182"/>
      <c r="AC152" s="477" t="e">
        <f t="shared" si="81"/>
        <v>#N/A</v>
      </c>
      <c r="AD152" s="662"/>
      <c r="AE152" s="182"/>
      <c r="AF152" s="182"/>
      <c r="AG152" s="182"/>
      <c r="AH152" s="477" t="e">
        <f t="shared" si="83"/>
        <v>#N/A</v>
      </c>
      <c r="AI152" s="662"/>
      <c r="AJ152" s="182"/>
      <c r="AK152" s="182"/>
      <c r="AL152" s="182"/>
      <c r="AM152" s="477" t="e">
        <f t="shared" si="85"/>
        <v>#N/A</v>
      </c>
      <c r="AN152" s="662"/>
      <c r="AO152" s="182"/>
      <c r="AP152" s="182"/>
      <c r="AQ152" s="182"/>
      <c r="AR152" s="477" t="e">
        <f t="shared" si="87"/>
        <v>#N/A</v>
      </c>
      <c r="AS152" s="662"/>
      <c r="AT152" s="182"/>
      <c r="AU152" s="182"/>
      <c r="AV152" s="182"/>
      <c r="AW152" s="477" t="e">
        <f t="shared" si="89"/>
        <v>#N/A</v>
      </c>
      <c r="AX152" s="662"/>
    </row>
    <row r="153" spans="2:50">
      <c r="B153" s="660"/>
      <c r="C153" s="301">
        <v>7</v>
      </c>
      <c r="D153" s="301"/>
      <c r="E153" s="301"/>
      <c r="F153" s="301"/>
      <c r="G153" s="301"/>
      <c r="H153" s="662"/>
      <c r="I153" s="199" t="e">
        <f t="shared" si="91"/>
        <v>#DIV/0!</v>
      </c>
      <c r="J153" s="199" t="e">
        <f t="shared" si="92"/>
        <v>#DIV/0!</v>
      </c>
      <c r="K153" s="200" t="e">
        <f t="shared" si="93"/>
        <v>#DIV/0!</v>
      </c>
      <c r="L153" s="634"/>
      <c r="M153" s="199" t="e">
        <f>RANK(K153, K$147:$K$176)</f>
        <v>#DIV/0!</v>
      </c>
      <c r="N153" s="652"/>
      <c r="O153" s="652"/>
      <c r="P153" s="182"/>
      <c r="Q153" s="182"/>
      <c r="R153" s="182"/>
      <c r="S153" s="301" t="e">
        <f t="shared" si="94"/>
        <v>#N/A</v>
      </c>
      <c r="T153" s="662"/>
      <c r="U153" s="182"/>
      <c r="V153" s="182"/>
      <c r="W153" s="182"/>
      <c r="X153" s="477" t="e">
        <f t="shared" si="79"/>
        <v>#N/A</v>
      </c>
      <c r="Y153" s="662"/>
      <c r="Z153" s="182"/>
      <c r="AA153" s="182"/>
      <c r="AB153" s="182"/>
      <c r="AC153" s="477" t="e">
        <f t="shared" si="81"/>
        <v>#N/A</v>
      </c>
      <c r="AD153" s="662"/>
      <c r="AE153" s="182"/>
      <c r="AF153" s="182"/>
      <c r="AG153" s="182"/>
      <c r="AH153" s="477" t="e">
        <f t="shared" si="83"/>
        <v>#N/A</v>
      </c>
      <c r="AI153" s="662"/>
      <c r="AJ153" s="182"/>
      <c r="AK153" s="182"/>
      <c r="AL153" s="182"/>
      <c r="AM153" s="477" t="e">
        <f t="shared" si="85"/>
        <v>#N/A</v>
      </c>
      <c r="AN153" s="662"/>
      <c r="AO153" s="182"/>
      <c r="AP153" s="182"/>
      <c r="AQ153" s="182"/>
      <c r="AR153" s="477" t="e">
        <f t="shared" si="87"/>
        <v>#N/A</v>
      </c>
      <c r="AS153" s="662"/>
      <c r="AT153" s="182"/>
      <c r="AU153" s="182"/>
      <c r="AV153" s="182"/>
      <c r="AW153" s="477" t="e">
        <f t="shared" si="89"/>
        <v>#N/A</v>
      </c>
      <c r="AX153" s="662"/>
    </row>
    <row r="154" spans="2:50">
      <c r="B154" s="660"/>
      <c r="C154" s="301">
        <v>8</v>
      </c>
      <c r="D154" s="301"/>
      <c r="E154" s="301"/>
      <c r="F154" s="301"/>
      <c r="G154" s="301"/>
      <c r="H154" s="662"/>
      <c r="I154" s="199" t="e">
        <f t="shared" si="91"/>
        <v>#DIV/0!</v>
      </c>
      <c r="J154" s="199" t="e">
        <f t="shared" si="92"/>
        <v>#DIV/0!</v>
      </c>
      <c r="K154" s="200" t="e">
        <f t="shared" si="93"/>
        <v>#DIV/0!</v>
      </c>
      <c r="L154" s="634"/>
      <c r="M154" s="199" t="e">
        <f>RANK(K154, K$147:$K$176)</f>
        <v>#DIV/0!</v>
      </c>
      <c r="N154" s="652"/>
      <c r="O154" s="652"/>
      <c r="P154" s="182"/>
      <c r="Q154" s="182"/>
      <c r="R154" s="182"/>
      <c r="S154" s="301" t="e">
        <f t="shared" si="94"/>
        <v>#N/A</v>
      </c>
      <c r="T154" s="662"/>
      <c r="U154" s="182"/>
      <c r="V154" s="182"/>
      <c r="W154" s="182"/>
      <c r="X154" s="477" t="e">
        <f t="shared" si="79"/>
        <v>#N/A</v>
      </c>
      <c r="Y154" s="662"/>
      <c r="Z154" s="182"/>
      <c r="AA154" s="182"/>
      <c r="AB154" s="182"/>
      <c r="AC154" s="477" t="e">
        <f t="shared" si="81"/>
        <v>#N/A</v>
      </c>
      <c r="AD154" s="662"/>
      <c r="AE154" s="182"/>
      <c r="AF154" s="182"/>
      <c r="AG154" s="182"/>
      <c r="AH154" s="477" t="e">
        <f t="shared" si="83"/>
        <v>#N/A</v>
      </c>
      <c r="AI154" s="662"/>
      <c r="AJ154" s="182"/>
      <c r="AK154" s="182"/>
      <c r="AL154" s="182"/>
      <c r="AM154" s="477" t="e">
        <f t="shared" si="85"/>
        <v>#N/A</v>
      </c>
      <c r="AN154" s="662"/>
      <c r="AO154" s="182"/>
      <c r="AP154" s="182"/>
      <c r="AQ154" s="182"/>
      <c r="AR154" s="477" t="e">
        <f t="shared" si="87"/>
        <v>#N/A</v>
      </c>
      <c r="AS154" s="662"/>
      <c r="AT154" s="182"/>
      <c r="AU154" s="182"/>
      <c r="AV154" s="182"/>
      <c r="AW154" s="477" t="e">
        <f t="shared" si="89"/>
        <v>#N/A</v>
      </c>
      <c r="AX154" s="662"/>
    </row>
    <row r="155" spans="2:50">
      <c r="B155" s="660"/>
      <c r="C155" s="301">
        <v>9</v>
      </c>
      <c r="D155" s="301"/>
      <c r="E155" s="301"/>
      <c r="F155" s="301"/>
      <c r="G155" s="301"/>
      <c r="H155" s="662"/>
      <c r="I155" s="199" t="e">
        <f t="shared" si="91"/>
        <v>#DIV/0!</v>
      </c>
      <c r="J155" s="199" t="e">
        <f t="shared" si="92"/>
        <v>#DIV/0!</v>
      </c>
      <c r="K155" s="200" t="e">
        <f t="shared" si="93"/>
        <v>#DIV/0!</v>
      </c>
      <c r="L155" s="634"/>
      <c r="M155" s="199" t="e">
        <f>RANK(K155, K$147:$K$176)</f>
        <v>#DIV/0!</v>
      </c>
      <c r="N155" s="652"/>
      <c r="O155" s="652"/>
      <c r="P155" s="182"/>
      <c r="Q155" s="182"/>
      <c r="R155" s="182"/>
      <c r="S155" s="301" t="e">
        <f t="shared" si="94"/>
        <v>#N/A</v>
      </c>
      <c r="T155" s="662"/>
      <c r="U155" s="182"/>
      <c r="V155" s="182"/>
      <c r="W155" s="182"/>
      <c r="X155" s="477" t="e">
        <f t="shared" si="79"/>
        <v>#N/A</v>
      </c>
      <c r="Y155" s="662"/>
      <c r="Z155" s="182"/>
      <c r="AA155" s="182"/>
      <c r="AB155" s="182"/>
      <c r="AC155" s="477" t="e">
        <f t="shared" si="81"/>
        <v>#N/A</v>
      </c>
      <c r="AD155" s="662"/>
      <c r="AE155" s="182"/>
      <c r="AF155" s="182"/>
      <c r="AG155" s="182"/>
      <c r="AH155" s="477" t="e">
        <f t="shared" si="83"/>
        <v>#N/A</v>
      </c>
      <c r="AI155" s="662"/>
      <c r="AJ155" s="182"/>
      <c r="AK155" s="182"/>
      <c r="AL155" s="182"/>
      <c r="AM155" s="477" t="e">
        <f t="shared" si="85"/>
        <v>#N/A</v>
      </c>
      <c r="AN155" s="662"/>
      <c r="AO155" s="182"/>
      <c r="AP155" s="182"/>
      <c r="AQ155" s="182"/>
      <c r="AR155" s="477" t="e">
        <f t="shared" si="87"/>
        <v>#N/A</v>
      </c>
      <c r="AS155" s="662"/>
      <c r="AT155" s="182"/>
      <c r="AU155" s="182"/>
      <c r="AV155" s="182"/>
      <c r="AW155" s="477" t="e">
        <f t="shared" si="89"/>
        <v>#N/A</v>
      </c>
      <c r="AX155" s="662"/>
    </row>
    <row r="156" spans="2:50">
      <c r="B156" s="660"/>
      <c r="C156" s="301">
        <v>10</v>
      </c>
      <c r="D156" s="301"/>
      <c r="E156" s="301"/>
      <c r="F156" s="301"/>
      <c r="G156" s="301"/>
      <c r="H156" s="662"/>
      <c r="I156" s="199" t="e">
        <f t="shared" si="91"/>
        <v>#DIV/0!</v>
      </c>
      <c r="J156" s="199" t="e">
        <f t="shared" si="92"/>
        <v>#DIV/0!</v>
      </c>
      <c r="K156" s="200" t="e">
        <f t="shared" si="93"/>
        <v>#DIV/0!</v>
      </c>
      <c r="L156" s="634"/>
      <c r="M156" s="199" t="e">
        <f>RANK(K156, K$147:$K$176)</f>
        <v>#DIV/0!</v>
      </c>
      <c r="N156" s="652"/>
      <c r="O156" s="652"/>
      <c r="P156" s="182"/>
      <c r="Q156" s="182"/>
      <c r="R156" s="182"/>
      <c r="S156" s="301" t="e">
        <f t="shared" si="94"/>
        <v>#N/A</v>
      </c>
      <c r="T156" s="662"/>
      <c r="U156" s="182"/>
      <c r="V156" s="182"/>
      <c r="W156" s="182"/>
      <c r="X156" s="477" t="e">
        <f t="shared" si="79"/>
        <v>#N/A</v>
      </c>
      <c r="Y156" s="662"/>
      <c r="Z156" s="182"/>
      <c r="AA156" s="182"/>
      <c r="AB156" s="182"/>
      <c r="AC156" s="477" t="e">
        <f t="shared" si="81"/>
        <v>#N/A</v>
      </c>
      <c r="AD156" s="662"/>
      <c r="AE156" s="182"/>
      <c r="AF156" s="182"/>
      <c r="AG156" s="182"/>
      <c r="AH156" s="477" t="e">
        <f t="shared" si="83"/>
        <v>#N/A</v>
      </c>
      <c r="AI156" s="662"/>
      <c r="AJ156" s="182"/>
      <c r="AK156" s="182"/>
      <c r="AL156" s="182"/>
      <c r="AM156" s="477" t="e">
        <f t="shared" si="85"/>
        <v>#N/A</v>
      </c>
      <c r="AN156" s="662"/>
      <c r="AO156" s="182"/>
      <c r="AP156" s="182"/>
      <c r="AQ156" s="182"/>
      <c r="AR156" s="477" t="e">
        <f t="shared" si="87"/>
        <v>#N/A</v>
      </c>
      <c r="AS156" s="662"/>
      <c r="AT156" s="182"/>
      <c r="AU156" s="182"/>
      <c r="AV156" s="182"/>
      <c r="AW156" s="477" t="e">
        <f t="shared" si="89"/>
        <v>#N/A</v>
      </c>
      <c r="AX156" s="662"/>
    </row>
    <row r="157" spans="2:50">
      <c r="B157" s="660"/>
      <c r="C157" s="301">
        <v>11</v>
      </c>
      <c r="D157" s="301"/>
      <c r="E157" s="301"/>
      <c r="F157" s="301"/>
      <c r="G157" s="301"/>
      <c r="H157" s="662"/>
      <c r="I157" s="199" t="e">
        <f t="shared" ref="I157:I166" si="95">AVERAGE(P157,U157,Z157,AE157,AJ157,AO157,AT157)</f>
        <v>#DIV/0!</v>
      </c>
      <c r="J157" s="199" t="e">
        <f t="shared" ref="J157:J166" si="96">AVERAGE(Q157,V157,AA157,AF157,AK157,AP157,AU157)</f>
        <v>#DIV/0!</v>
      </c>
      <c r="K157" s="200" t="e">
        <f t="shared" ref="K157:K166" si="97">AVERAGE(R157,W157,AB157,AG157,AL157,AQ157,AV157)</f>
        <v>#DIV/0!</v>
      </c>
      <c r="L157" s="634"/>
      <c r="M157" s="199" t="e">
        <f>RANK(K157, K$147:$K$176)</f>
        <v>#DIV/0!</v>
      </c>
      <c r="N157" s="652"/>
      <c r="O157" s="652"/>
      <c r="P157" s="182"/>
      <c r="Q157" s="182"/>
      <c r="R157" s="182"/>
      <c r="S157" s="301" t="e">
        <f t="shared" si="94"/>
        <v>#N/A</v>
      </c>
      <c r="T157" s="662"/>
      <c r="U157" s="182"/>
      <c r="V157" s="182"/>
      <c r="W157" s="182"/>
      <c r="X157" s="477" t="e">
        <f t="shared" si="79"/>
        <v>#N/A</v>
      </c>
      <c r="Y157" s="662"/>
      <c r="Z157" s="182"/>
      <c r="AA157" s="182"/>
      <c r="AB157" s="182"/>
      <c r="AC157" s="477" t="e">
        <f t="shared" si="81"/>
        <v>#N/A</v>
      </c>
      <c r="AD157" s="662"/>
      <c r="AE157" s="182"/>
      <c r="AF157" s="182"/>
      <c r="AG157" s="182"/>
      <c r="AH157" s="477" t="e">
        <f t="shared" si="83"/>
        <v>#N/A</v>
      </c>
      <c r="AI157" s="662"/>
      <c r="AJ157" s="182"/>
      <c r="AK157" s="182"/>
      <c r="AL157" s="182"/>
      <c r="AM157" s="477" t="e">
        <f t="shared" si="85"/>
        <v>#N/A</v>
      </c>
      <c r="AN157" s="662"/>
      <c r="AO157" s="182"/>
      <c r="AP157" s="182"/>
      <c r="AQ157" s="182"/>
      <c r="AR157" s="477" t="e">
        <f t="shared" si="87"/>
        <v>#N/A</v>
      </c>
      <c r="AS157" s="662"/>
      <c r="AT157" s="182"/>
      <c r="AU157" s="182"/>
      <c r="AV157" s="182"/>
      <c r="AW157" s="477" t="e">
        <f t="shared" si="89"/>
        <v>#N/A</v>
      </c>
      <c r="AX157" s="662"/>
    </row>
    <row r="158" spans="2:50">
      <c r="B158" s="660"/>
      <c r="C158" s="301">
        <v>12</v>
      </c>
      <c r="D158" s="301"/>
      <c r="E158" s="301"/>
      <c r="F158" s="301"/>
      <c r="G158" s="301"/>
      <c r="H158" s="662"/>
      <c r="I158" s="199" t="e">
        <f t="shared" si="95"/>
        <v>#DIV/0!</v>
      </c>
      <c r="J158" s="199" t="e">
        <f t="shared" si="96"/>
        <v>#DIV/0!</v>
      </c>
      <c r="K158" s="200" t="e">
        <f t="shared" si="97"/>
        <v>#DIV/0!</v>
      </c>
      <c r="L158" s="634"/>
      <c r="M158" s="199" t="e">
        <f>RANK(K158, K$147:$K$176)</f>
        <v>#DIV/0!</v>
      </c>
      <c r="N158" s="652"/>
      <c r="O158" s="652"/>
      <c r="P158" s="182"/>
      <c r="Q158" s="182"/>
      <c r="R158" s="182"/>
      <c r="S158" s="301" t="e">
        <f t="shared" si="94"/>
        <v>#N/A</v>
      </c>
      <c r="T158" s="662"/>
      <c r="U158" s="182"/>
      <c r="V158" s="182"/>
      <c r="W158" s="182"/>
      <c r="X158" s="477" t="e">
        <f t="shared" si="79"/>
        <v>#N/A</v>
      </c>
      <c r="Y158" s="662"/>
      <c r="Z158" s="182"/>
      <c r="AA158" s="182"/>
      <c r="AB158" s="182"/>
      <c r="AC158" s="477" t="e">
        <f t="shared" si="81"/>
        <v>#N/A</v>
      </c>
      <c r="AD158" s="662"/>
      <c r="AE158" s="182"/>
      <c r="AF158" s="182"/>
      <c r="AG158" s="182"/>
      <c r="AH158" s="477" t="e">
        <f t="shared" si="83"/>
        <v>#N/A</v>
      </c>
      <c r="AI158" s="662"/>
      <c r="AJ158" s="182"/>
      <c r="AK158" s="182"/>
      <c r="AL158" s="182"/>
      <c r="AM158" s="477" t="e">
        <f t="shared" si="85"/>
        <v>#N/A</v>
      </c>
      <c r="AN158" s="662"/>
      <c r="AO158" s="182"/>
      <c r="AP158" s="182"/>
      <c r="AQ158" s="182"/>
      <c r="AR158" s="477" t="e">
        <f t="shared" si="87"/>
        <v>#N/A</v>
      </c>
      <c r="AS158" s="662"/>
      <c r="AT158" s="182"/>
      <c r="AU158" s="182"/>
      <c r="AV158" s="182"/>
      <c r="AW158" s="477" t="e">
        <f t="shared" si="89"/>
        <v>#N/A</v>
      </c>
      <c r="AX158" s="662"/>
    </row>
    <row r="159" spans="2:50">
      <c r="B159" s="660"/>
      <c r="C159" s="301">
        <v>13</v>
      </c>
      <c r="D159" s="301"/>
      <c r="E159" s="301"/>
      <c r="F159" s="301"/>
      <c r="G159" s="301"/>
      <c r="H159" s="662"/>
      <c r="I159" s="199" t="e">
        <f t="shared" si="95"/>
        <v>#DIV/0!</v>
      </c>
      <c r="J159" s="199" t="e">
        <f t="shared" si="96"/>
        <v>#DIV/0!</v>
      </c>
      <c r="K159" s="200" t="e">
        <f t="shared" si="97"/>
        <v>#DIV/0!</v>
      </c>
      <c r="L159" s="634"/>
      <c r="M159" s="199" t="e">
        <f>RANK(K159, K$147:$K$176)</f>
        <v>#DIV/0!</v>
      </c>
      <c r="N159" s="652"/>
      <c r="O159" s="652"/>
      <c r="P159" s="182"/>
      <c r="Q159" s="182"/>
      <c r="R159" s="182"/>
      <c r="S159" s="301" t="e">
        <f t="shared" si="94"/>
        <v>#N/A</v>
      </c>
      <c r="T159" s="662"/>
      <c r="U159" s="182"/>
      <c r="V159" s="182"/>
      <c r="W159" s="182"/>
      <c r="X159" s="477" t="e">
        <f t="shared" si="79"/>
        <v>#N/A</v>
      </c>
      <c r="Y159" s="662"/>
      <c r="Z159" s="182"/>
      <c r="AA159" s="182"/>
      <c r="AB159" s="182"/>
      <c r="AC159" s="477" t="e">
        <f t="shared" si="81"/>
        <v>#N/A</v>
      </c>
      <c r="AD159" s="662"/>
      <c r="AE159" s="182"/>
      <c r="AF159" s="182"/>
      <c r="AG159" s="182"/>
      <c r="AH159" s="477" t="e">
        <f t="shared" si="83"/>
        <v>#N/A</v>
      </c>
      <c r="AI159" s="662"/>
      <c r="AJ159" s="182"/>
      <c r="AK159" s="182"/>
      <c r="AL159" s="182"/>
      <c r="AM159" s="477" t="e">
        <f t="shared" si="85"/>
        <v>#N/A</v>
      </c>
      <c r="AN159" s="662"/>
      <c r="AO159" s="182"/>
      <c r="AP159" s="182"/>
      <c r="AQ159" s="182"/>
      <c r="AR159" s="477" t="e">
        <f t="shared" si="87"/>
        <v>#N/A</v>
      </c>
      <c r="AS159" s="662"/>
      <c r="AT159" s="182"/>
      <c r="AU159" s="182"/>
      <c r="AV159" s="182"/>
      <c r="AW159" s="477" t="e">
        <f t="shared" si="89"/>
        <v>#N/A</v>
      </c>
      <c r="AX159" s="662"/>
    </row>
    <row r="160" spans="2:50">
      <c r="B160" s="660"/>
      <c r="C160" s="301">
        <v>14</v>
      </c>
      <c r="D160" s="301"/>
      <c r="E160" s="301"/>
      <c r="F160" s="301"/>
      <c r="G160" s="301"/>
      <c r="H160" s="662"/>
      <c r="I160" s="199" t="e">
        <f t="shared" si="95"/>
        <v>#DIV/0!</v>
      </c>
      <c r="J160" s="199" t="e">
        <f t="shared" si="96"/>
        <v>#DIV/0!</v>
      </c>
      <c r="K160" s="200" t="e">
        <f t="shared" si="97"/>
        <v>#DIV/0!</v>
      </c>
      <c r="L160" s="634"/>
      <c r="M160" s="199" t="e">
        <f>RANK(K160, K$147:$K$176)</f>
        <v>#DIV/0!</v>
      </c>
      <c r="N160" s="652"/>
      <c r="O160" s="652"/>
      <c r="P160" s="182"/>
      <c r="Q160" s="182"/>
      <c r="R160" s="182"/>
      <c r="S160" s="301" t="e">
        <f t="shared" si="94"/>
        <v>#N/A</v>
      </c>
      <c r="T160" s="662"/>
      <c r="U160" s="182"/>
      <c r="V160" s="182"/>
      <c r="W160" s="182"/>
      <c r="X160" s="477" t="e">
        <f t="shared" si="79"/>
        <v>#N/A</v>
      </c>
      <c r="Y160" s="662"/>
      <c r="Z160" s="182"/>
      <c r="AA160" s="182"/>
      <c r="AB160" s="182"/>
      <c r="AC160" s="477" t="e">
        <f t="shared" si="81"/>
        <v>#N/A</v>
      </c>
      <c r="AD160" s="662"/>
      <c r="AE160" s="182"/>
      <c r="AF160" s="182"/>
      <c r="AG160" s="182"/>
      <c r="AH160" s="477" t="e">
        <f t="shared" si="83"/>
        <v>#N/A</v>
      </c>
      <c r="AI160" s="662"/>
      <c r="AJ160" s="182"/>
      <c r="AK160" s="182"/>
      <c r="AL160" s="182"/>
      <c r="AM160" s="477" t="e">
        <f t="shared" si="85"/>
        <v>#N/A</v>
      </c>
      <c r="AN160" s="662"/>
      <c r="AO160" s="182"/>
      <c r="AP160" s="182"/>
      <c r="AQ160" s="182"/>
      <c r="AR160" s="477" t="e">
        <f t="shared" si="87"/>
        <v>#N/A</v>
      </c>
      <c r="AS160" s="662"/>
      <c r="AT160" s="182"/>
      <c r="AU160" s="182"/>
      <c r="AV160" s="182"/>
      <c r="AW160" s="477" t="e">
        <f t="shared" si="89"/>
        <v>#N/A</v>
      </c>
      <c r="AX160" s="662"/>
    </row>
    <row r="161" spans="2:50">
      <c r="B161" s="660"/>
      <c r="C161" s="301">
        <v>15</v>
      </c>
      <c r="D161" s="301"/>
      <c r="E161" s="301"/>
      <c r="F161" s="301"/>
      <c r="G161" s="301"/>
      <c r="H161" s="662"/>
      <c r="I161" s="199" t="e">
        <f t="shared" si="95"/>
        <v>#DIV/0!</v>
      </c>
      <c r="J161" s="199" t="e">
        <f t="shared" si="96"/>
        <v>#DIV/0!</v>
      </c>
      <c r="K161" s="200" t="e">
        <f t="shared" si="97"/>
        <v>#DIV/0!</v>
      </c>
      <c r="L161" s="634"/>
      <c r="M161" s="199" t="e">
        <f>RANK(K161, K$147:$K$176)</f>
        <v>#DIV/0!</v>
      </c>
      <c r="N161" s="652"/>
      <c r="O161" s="652"/>
      <c r="P161" s="182"/>
      <c r="Q161" s="182"/>
      <c r="R161" s="182"/>
      <c r="S161" s="301" t="e">
        <f t="shared" ref="S161:S175" si="98">RANK(R161, R$147:R$176)</f>
        <v>#N/A</v>
      </c>
      <c r="T161" s="662"/>
      <c r="U161" s="182"/>
      <c r="V161" s="182"/>
      <c r="W161" s="182"/>
      <c r="X161" s="477" t="e">
        <f t="shared" si="79"/>
        <v>#N/A</v>
      </c>
      <c r="Y161" s="662"/>
      <c r="Z161" s="182"/>
      <c r="AA161" s="182"/>
      <c r="AB161" s="182"/>
      <c r="AC161" s="477" t="e">
        <f t="shared" si="81"/>
        <v>#N/A</v>
      </c>
      <c r="AD161" s="662"/>
      <c r="AE161" s="182"/>
      <c r="AF161" s="182"/>
      <c r="AG161" s="182"/>
      <c r="AH161" s="477" t="e">
        <f t="shared" si="83"/>
        <v>#N/A</v>
      </c>
      <c r="AI161" s="662"/>
      <c r="AJ161" s="182"/>
      <c r="AK161" s="182"/>
      <c r="AL161" s="182"/>
      <c r="AM161" s="477" t="e">
        <f t="shared" si="85"/>
        <v>#N/A</v>
      </c>
      <c r="AN161" s="662"/>
      <c r="AO161" s="182"/>
      <c r="AP161" s="182"/>
      <c r="AQ161" s="182"/>
      <c r="AR161" s="477" t="e">
        <f t="shared" si="87"/>
        <v>#N/A</v>
      </c>
      <c r="AS161" s="662"/>
      <c r="AT161" s="182"/>
      <c r="AU161" s="182"/>
      <c r="AV161" s="182"/>
      <c r="AW161" s="477" t="e">
        <f t="shared" si="89"/>
        <v>#N/A</v>
      </c>
      <c r="AX161" s="662"/>
    </row>
    <row r="162" spans="2:50">
      <c r="B162" s="660"/>
      <c r="C162" s="301">
        <v>16</v>
      </c>
      <c r="D162" s="301"/>
      <c r="E162" s="301"/>
      <c r="F162" s="301"/>
      <c r="G162" s="301"/>
      <c r="H162" s="662"/>
      <c r="I162" s="199" t="e">
        <f t="shared" si="95"/>
        <v>#DIV/0!</v>
      </c>
      <c r="J162" s="199" t="e">
        <f t="shared" si="96"/>
        <v>#DIV/0!</v>
      </c>
      <c r="K162" s="200" t="e">
        <f t="shared" si="97"/>
        <v>#DIV/0!</v>
      </c>
      <c r="L162" s="634"/>
      <c r="M162" s="199" t="e">
        <f>RANK(K162, K$147:$K$176)</f>
        <v>#DIV/0!</v>
      </c>
      <c r="N162" s="652"/>
      <c r="O162" s="652"/>
      <c r="P162" s="182"/>
      <c r="Q162" s="182"/>
      <c r="R162" s="182"/>
      <c r="S162" s="301" t="e">
        <f t="shared" si="98"/>
        <v>#N/A</v>
      </c>
      <c r="T162" s="662"/>
      <c r="U162" s="182"/>
      <c r="V162" s="182"/>
      <c r="W162" s="182"/>
      <c r="X162" s="477" t="e">
        <f t="shared" si="79"/>
        <v>#N/A</v>
      </c>
      <c r="Y162" s="662"/>
      <c r="Z162" s="182"/>
      <c r="AA162" s="182"/>
      <c r="AB162" s="182"/>
      <c r="AC162" s="477" t="e">
        <f t="shared" si="81"/>
        <v>#N/A</v>
      </c>
      <c r="AD162" s="662"/>
      <c r="AE162" s="182"/>
      <c r="AF162" s="182"/>
      <c r="AG162" s="182"/>
      <c r="AH162" s="477" t="e">
        <f t="shared" si="83"/>
        <v>#N/A</v>
      </c>
      <c r="AI162" s="662"/>
      <c r="AJ162" s="182"/>
      <c r="AK162" s="182"/>
      <c r="AL162" s="182"/>
      <c r="AM162" s="477" t="e">
        <f t="shared" si="85"/>
        <v>#N/A</v>
      </c>
      <c r="AN162" s="662"/>
      <c r="AO162" s="182"/>
      <c r="AP162" s="182"/>
      <c r="AQ162" s="182"/>
      <c r="AR162" s="477" t="e">
        <f t="shared" si="87"/>
        <v>#N/A</v>
      </c>
      <c r="AS162" s="662"/>
      <c r="AT162" s="182"/>
      <c r="AU162" s="182"/>
      <c r="AV162" s="182"/>
      <c r="AW162" s="477" t="e">
        <f t="shared" si="89"/>
        <v>#N/A</v>
      </c>
      <c r="AX162" s="662"/>
    </row>
    <row r="163" spans="2:50">
      <c r="B163" s="660"/>
      <c r="C163" s="301">
        <v>17</v>
      </c>
      <c r="D163" s="301"/>
      <c r="E163" s="301"/>
      <c r="F163" s="301"/>
      <c r="G163" s="301"/>
      <c r="H163" s="662"/>
      <c r="I163" s="199" t="e">
        <f t="shared" si="95"/>
        <v>#DIV/0!</v>
      </c>
      <c r="J163" s="199" t="e">
        <f t="shared" si="96"/>
        <v>#DIV/0!</v>
      </c>
      <c r="K163" s="200" t="e">
        <f t="shared" si="97"/>
        <v>#DIV/0!</v>
      </c>
      <c r="L163" s="634"/>
      <c r="M163" s="199" t="e">
        <f>RANK(K163, K$147:$K$176)</f>
        <v>#DIV/0!</v>
      </c>
      <c r="N163" s="652"/>
      <c r="O163" s="652"/>
      <c r="P163" s="182"/>
      <c r="Q163" s="182"/>
      <c r="R163" s="182"/>
      <c r="S163" s="301" t="e">
        <f t="shared" si="98"/>
        <v>#N/A</v>
      </c>
      <c r="T163" s="662"/>
      <c r="U163" s="182"/>
      <c r="V163" s="182"/>
      <c r="W163" s="182"/>
      <c r="X163" s="477" t="e">
        <f t="shared" ref="X163:X176" si="99">RANK(W163, W$147:W$176)</f>
        <v>#N/A</v>
      </c>
      <c r="Y163" s="662"/>
      <c r="Z163" s="182"/>
      <c r="AA163" s="182"/>
      <c r="AB163" s="182"/>
      <c r="AC163" s="477" t="e">
        <f t="shared" ref="AC163:AC176" si="100">RANK(AB163, AB$147:AB$176)</f>
        <v>#N/A</v>
      </c>
      <c r="AD163" s="662"/>
      <c r="AE163" s="182"/>
      <c r="AF163" s="182"/>
      <c r="AG163" s="182"/>
      <c r="AH163" s="477" t="e">
        <f t="shared" ref="AH163:AH176" si="101">RANK(AG163, AG$147:AG$176)</f>
        <v>#N/A</v>
      </c>
      <c r="AI163" s="662"/>
      <c r="AJ163" s="182"/>
      <c r="AK163" s="182"/>
      <c r="AL163" s="182"/>
      <c r="AM163" s="477" t="e">
        <f t="shared" ref="AM163:AM176" si="102">RANK(AL163, AL$147:AL$176)</f>
        <v>#N/A</v>
      </c>
      <c r="AN163" s="662"/>
      <c r="AO163" s="182"/>
      <c r="AP163" s="182"/>
      <c r="AQ163" s="182"/>
      <c r="AR163" s="477" t="e">
        <f t="shared" ref="AR163:AR176" si="103">RANK(AQ163, AQ$147:AQ$176)</f>
        <v>#N/A</v>
      </c>
      <c r="AS163" s="662"/>
      <c r="AT163" s="182"/>
      <c r="AU163" s="182"/>
      <c r="AV163" s="182"/>
      <c r="AW163" s="477" t="e">
        <f t="shared" ref="AW163:AW176" si="104">RANK(AV163, AV$147:AV$176)</f>
        <v>#N/A</v>
      </c>
      <c r="AX163" s="662"/>
    </row>
    <row r="164" spans="2:50">
      <c r="B164" s="660"/>
      <c r="C164" s="301">
        <v>18</v>
      </c>
      <c r="D164" s="301"/>
      <c r="E164" s="301"/>
      <c r="F164" s="301"/>
      <c r="G164" s="301"/>
      <c r="H164" s="662"/>
      <c r="I164" s="199" t="e">
        <f t="shared" si="95"/>
        <v>#DIV/0!</v>
      </c>
      <c r="J164" s="199" t="e">
        <f t="shared" si="96"/>
        <v>#DIV/0!</v>
      </c>
      <c r="K164" s="200" t="e">
        <f t="shared" si="97"/>
        <v>#DIV/0!</v>
      </c>
      <c r="L164" s="634"/>
      <c r="M164" s="199" t="e">
        <f>RANK(K164, K$147:$K$176)</f>
        <v>#DIV/0!</v>
      </c>
      <c r="N164" s="652"/>
      <c r="O164" s="652"/>
      <c r="P164" s="182"/>
      <c r="Q164" s="182"/>
      <c r="R164" s="182"/>
      <c r="S164" s="301" t="e">
        <f t="shared" si="98"/>
        <v>#N/A</v>
      </c>
      <c r="T164" s="662"/>
      <c r="U164" s="182"/>
      <c r="V164" s="182"/>
      <c r="W164" s="182"/>
      <c r="X164" s="477" t="e">
        <f t="shared" si="99"/>
        <v>#N/A</v>
      </c>
      <c r="Y164" s="662"/>
      <c r="Z164" s="182"/>
      <c r="AA164" s="182"/>
      <c r="AB164" s="182"/>
      <c r="AC164" s="477" t="e">
        <f t="shared" si="100"/>
        <v>#N/A</v>
      </c>
      <c r="AD164" s="662"/>
      <c r="AE164" s="182"/>
      <c r="AF164" s="182"/>
      <c r="AG164" s="182"/>
      <c r="AH164" s="477" t="e">
        <f t="shared" si="101"/>
        <v>#N/A</v>
      </c>
      <c r="AI164" s="662"/>
      <c r="AJ164" s="182"/>
      <c r="AK164" s="182"/>
      <c r="AL164" s="182"/>
      <c r="AM164" s="477" t="e">
        <f t="shared" si="102"/>
        <v>#N/A</v>
      </c>
      <c r="AN164" s="662"/>
      <c r="AO164" s="182"/>
      <c r="AP164" s="182"/>
      <c r="AQ164" s="182"/>
      <c r="AR164" s="477" t="e">
        <f t="shared" si="103"/>
        <v>#N/A</v>
      </c>
      <c r="AS164" s="662"/>
      <c r="AT164" s="182"/>
      <c r="AU164" s="182"/>
      <c r="AV164" s="182"/>
      <c r="AW164" s="477" t="e">
        <f t="shared" si="104"/>
        <v>#N/A</v>
      </c>
      <c r="AX164" s="662"/>
    </row>
    <row r="165" spans="2:50">
      <c r="B165" s="660"/>
      <c r="C165" s="301">
        <v>19</v>
      </c>
      <c r="D165" s="301"/>
      <c r="E165" s="301"/>
      <c r="F165" s="301"/>
      <c r="G165" s="301"/>
      <c r="H165" s="662"/>
      <c r="I165" s="199" t="e">
        <f t="shared" si="95"/>
        <v>#DIV/0!</v>
      </c>
      <c r="J165" s="199" t="e">
        <f t="shared" si="96"/>
        <v>#DIV/0!</v>
      </c>
      <c r="K165" s="200" t="e">
        <f t="shared" si="97"/>
        <v>#DIV/0!</v>
      </c>
      <c r="L165" s="634"/>
      <c r="M165" s="199" t="e">
        <f>RANK(K165, K$147:$K$176)</f>
        <v>#DIV/0!</v>
      </c>
      <c r="N165" s="652"/>
      <c r="O165" s="652"/>
      <c r="P165" s="182"/>
      <c r="Q165" s="182"/>
      <c r="R165" s="182"/>
      <c r="S165" s="301" t="e">
        <f t="shared" si="98"/>
        <v>#N/A</v>
      </c>
      <c r="T165" s="662"/>
      <c r="U165" s="182"/>
      <c r="V165" s="182"/>
      <c r="W165" s="182"/>
      <c r="X165" s="477" t="e">
        <f t="shared" si="99"/>
        <v>#N/A</v>
      </c>
      <c r="Y165" s="662"/>
      <c r="Z165" s="182"/>
      <c r="AA165" s="182"/>
      <c r="AB165" s="182"/>
      <c r="AC165" s="477" t="e">
        <f t="shared" si="100"/>
        <v>#N/A</v>
      </c>
      <c r="AD165" s="662"/>
      <c r="AE165" s="182"/>
      <c r="AF165" s="182"/>
      <c r="AG165" s="182"/>
      <c r="AH165" s="477" t="e">
        <f t="shared" si="101"/>
        <v>#N/A</v>
      </c>
      <c r="AI165" s="662"/>
      <c r="AJ165" s="182"/>
      <c r="AK165" s="182"/>
      <c r="AL165" s="182"/>
      <c r="AM165" s="477" t="e">
        <f t="shared" si="102"/>
        <v>#N/A</v>
      </c>
      <c r="AN165" s="662"/>
      <c r="AO165" s="182"/>
      <c r="AP165" s="182"/>
      <c r="AQ165" s="182"/>
      <c r="AR165" s="477" t="e">
        <f t="shared" si="103"/>
        <v>#N/A</v>
      </c>
      <c r="AS165" s="662"/>
      <c r="AT165" s="182"/>
      <c r="AU165" s="182"/>
      <c r="AV165" s="182"/>
      <c r="AW165" s="477" t="e">
        <f t="shared" si="104"/>
        <v>#N/A</v>
      </c>
      <c r="AX165" s="662"/>
    </row>
    <row r="166" spans="2:50">
      <c r="B166" s="660"/>
      <c r="C166" s="301">
        <v>20</v>
      </c>
      <c r="D166" s="301"/>
      <c r="E166" s="301"/>
      <c r="F166" s="301"/>
      <c r="G166" s="301"/>
      <c r="H166" s="662"/>
      <c r="I166" s="199" t="e">
        <f t="shared" si="95"/>
        <v>#DIV/0!</v>
      </c>
      <c r="J166" s="199" t="e">
        <f t="shared" si="96"/>
        <v>#DIV/0!</v>
      </c>
      <c r="K166" s="200" t="e">
        <f t="shared" si="97"/>
        <v>#DIV/0!</v>
      </c>
      <c r="L166" s="634"/>
      <c r="M166" s="199" t="e">
        <f>RANK(K166, K$147:$K$176)</f>
        <v>#DIV/0!</v>
      </c>
      <c r="N166" s="652"/>
      <c r="O166" s="652"/>
      <c r="P166" s="182"/>
      <c r="Q166" s="182"/>
      <c r="R166" s="182"/>
      <c r="S166" s="301" t="e">
        <f t="shared" si="98"/>
        <v>#N/A</v>
      </c>
      <c r="T166" s="662"/>
      <c r="U166" s="182"/>
      <c r="V166" s="182"/>
      <c r="W166" s="182"/>
      <c r="X166" s="477" t="e">
        <f t="shared" si="99"/>
        <v>#N/A</v>
      </c>
      <c r="Y166" s="662"/>
      <c r="Z166" s="182"/>
      <c r="AA166" s="182"/>
      <c r="AB166" s="182"/>
      <c r="AC166" s="477" t="e">
        <f t="shared" si="100"/>
        <v>#N/A</v>
      </c>
      <c r="AD166" s="662"/>
      <c r="AE166" s="182"/>
      <c r="AF166" s="182"/>
      <c r="AG166" s="182"/>
      <c r="AH166" s="477" t="e">
        <f t="shared" si="101"/>
        <v>#N/A</v>
      </c>
      <c r="AI166" s="662"/>
      <c r="AJ166" s="182"/>
      <c r="AK166" s="182"/>
      <c r="AL166" s="182"/>
      <c r="AM166" s="477" t="e">
        <f t="shared" si="102"/>
        <v>#N/A</v>
      </c>
      <c r="AN166" s="662"/>
      <c r="AO166" s="182"/>
      <c r="AP166" s="182"/>
      <c r="AQ166" s="182"/>
      <c r="AR166" s="477" t="e">
        <f t="shared" si="103"/>
        <v>#N/A</v>
      </c>
      <c r="AS166" s="662"/>
      <c r="AT166" s="182"/>
      <c r="AU166" s="182"/>
      <c r="AV166" s="182"/>
      <c r="AW166" s="477" t="e">
        <f t="shared" si="104"/>
        <v>#N/A</v>
      </c>
      <c r="AX166" s="662"/>
    </row>
    <row r="167" spans="2:50">
      <c r="B167" s="660"/>
      <c r="C167" s="301">
        <v>21</v>
      </c>
      <c r="D167" s="301"/>
      <c r="E167" s="301"/>
      <c r="F167" s="301"/>
      <c r="G167" s="301"/>
      <c r="H167" s="662"/>
      <c r="I167" s="553" t="e">
        <f t="shared" ref="I167:I168" si="105">AVERAGE(P167,U167,Z167,AE167,AJ167,AO167,AT167)</f>
        <v>#DIV/0!</v>
      </c>
      <c r="J167" s="553" t="e">
        <f t="shared" ref="J167:J168" si="106">AVERAGE(Q167,V167,AA167,AF167,AK167,AP167,AU167)</f>
        <v>#DIV/0!</v>
      </c>
      <c r="K167" s="200" t="e">
        <f t="shared" ref="K167:K168" si="107">AVERAGE(R167,W167,AB167,AG167,AL167,AQ167,AV167)</f>
        <v>#DIV/0!</v>
      </c>
      <c r="L167" s="634"/>
      <c r="M167" s="199" t="e">
        <f>RANK(K167, K$147:$K$176)</f>
        <v>#DIV/0!</v>
      </c>
      <c r="N167" s="652"/>
      <c r="O167" s="652"/>
      <c r="P167" s="551"/>
      <c r="Q167" s="182"/>
      <c r="R167" s="552"/>
      <c r="S167" s="301" t="e">
        <f t="shared" si="98"/>
        <v>#N/A</v>
      </c>
      <c r="T167" s="662"/>
      <c r="U167" s="551"/>
      <c r="V167" s="182"/>
      <c r="W167" s="552"/>
      <c r="X167" s="477" t="e">
        <f t="shared" si="99"/>
        <v>#N/A</v>
      </c>
      <c r="Y167" s="662"/>
      <c r="Z167" s="551"/>
      <c r="AA167" s="182"/>
      <c r="AB167" s="552"/>
      <c r="AC167" s="477" t="e">
        <f t="shared" si="100"/>
        <v>#N/A</v>
      </c>
      <c r="AD167" s="662"/>
      <c r="AE167" s="551"/>
      <c r="AF167" s="182"/>
      <c r="AG167" s="552"/>
      <c r="AH167" s="477" t="e">
        <f t="shared" si="101"/>
        <v>#N/A</v>
      </c>
      <c r="AI167" s="662"/>
      <c r="AJ167" s="551"/>
      <c r="AK167" s="182"/>
      <c r="AL167" s="552"/>
      <c r="AM167" s="477" t="e">
        <f t="shared" si="102"/>
        <v>#N/A</v>
      </c>
      <c r="AN167" s="662"/>
      <c r="AO167" s="551"/>
      <c r="AP167" s="182"/>
      <c r="AQ167" s="552"/>
      <c r="AR167" s="477" t="e">
        <f t="shared" si="103"/>
        <v>#N/A</v>
      </c>
      <c r="AS167" s="662"/>
      <c r="AT167" s="551"/>
      <c r="AU167" s="182"/>
      <c r="AV167" s="552"/>
      <c r="AW167" s="477" t="e">
        <f t="shared" si="104"/>
        <v>#N/A</v>
      </c>
      <c r="AX167" s="662"/>
    </row>
    <row r="168" spans="2:50">
      <c r="B168" s="660"/>
      <c r="C168" s="301">
        <v>22</v>
      </c>
      <c r="D168" s="301"/>
      <c r="E168" s="301"/>
      <c r="F168" s="301"/>
      <c r="G168" s="301"/>
      <c r="H168" s="662"/>
      <c r="I168" s="553" t="e">
        <f t="shared" si="105"/>
        <v>#DIV/0!</v>
      </c>
      <c r="J168" s="553" t="e">
        <f t="shared" si="106"/>
        <v>#DIV/0!</v>
      </c>
      <c r="K168" s="200" t="e">
        <f t="shared" si="107"/>
        <v>#DIV/0!</v>
      </c>
      <c r="L168" s="634"/>
      <c r="M168" s="199" t="e">
        <f>RANK(K168, K$147:$K$176)</f>
        <v>#DIV/0!</v>
      </c>
      <c r="N168" s="652"/>
      <c r="O168" s="652"/>
      <c r="P168" s="551"/>
      <c r="Q168" s="182"/>
      <c r="R168" s="552"/>
      <c r="S168" s="301" t="e">
        <f t="shared" si="98"/>
        <v>#N/A</v>
      </c>
      <c r="T168" s="662"/>
      <c r="U168" s="551"/>
      <c r="V168" s="182"/>
      <c r="W168" s="552"/>
      <c r="X168" s="477" t="e">
        <f t="shared" si="99"/>
        <v>#N/A</v>
      </c>
      <c r="Y168" s="662"/>
      <c r="Z168" s="551"/>
      <c r="AA168" s="182"/>
      <c r="AB168" s="552"/>
      <c r="AC168" s="477" t="e">
        <f t="shared" si="100"/>
        <v>#N/A</v>
      </c>
      <c r="AD168" s="662"/>
      <c r="AE168" s="551"/>
      <c r="AF168" s="182"/>
      <c r="AG168" s="552"/>
      <c r="AH168" s="477" t="e">
        <f t="shared" si="101"/>
        <v>#N/A</v>
      </c>
      <c r="AI168" s="662"/>
      <c r="AJ168" s="551"/>
      <c r="AK168" s="182"/>
      <c r="AL168" s="552"/>
      <c r="AM168" s="477" t="e">
        <f t="shared" si="102"/>
        <v>#N/A</v>
      </c>
      <c r="AN168" s="662"/>
      <c r="AO168" s="551"/>
      <c r="AP168" s="182"/>
      <c r="AQ168" s="552"/>
      <c r="AR168" s="477" t="e">
        <f t="shared" si="103"/>
        <v>#N/A</v>
      </c>
      <c r="AS168" s="662"/>
      <c r="AT168" s="551"/>
      <c r="AU168" s="182"/>
      <c r="AV168" s="552"/>
      <c r="AW168" s="477" t="e">
        <f t="shared" si="104"/>
        <v>#N/A</v>
      </c>
      <c r="AX168" s="662"/>
    </row>
    <row r="169" spans="2:50">
      <c r="B169" s="660"/>
      <c r="C169" s="301">
        <v>23</v>
      </c>
      <c r="D169" s="301"/>
      <c r="E169" s="301"/>
      <c r="F169" s="301"/>
      <c r="G169" s="301"/>
      <c r="H169" s="662"/>
      <c r="I169" s="199"/>
      <c r="J169" s="199"/>
      <c r="K169" s="200"/>
      <c r="L169" s="634"/>
      <c r="M169" s="199" t="e">
        <f>RANK(K169, K$147:$K$176)</f>
        <v>#DIV/0!</v>
      </c>
      <c r="N169" s="652"/>
      <c r="O169" s="652"/>
      <c r="P169" s="551"/>
      <c r="Q169" s="182"/>
      <c r="R169" s="552"/>
      <c r="S169" s="301" t="e">
        <f t="shared" si="98"/>
        <v>#N/A</v>
      </c>
      <c r="T169" s="662"/>
      <c r="U169" s="551"/>
      <c r="V169" s="182"/>
      <c r="W169" s="552"/>
      <c r="X169" s="477" t="e">
        <f t="shared" si="99"/>
        <v>#N/A</v>
      </c>
      <c r="Y169" s="662"/>
      <c r="Z169" s="551"/>
      <c r="AA169" s="182"/>
      <c r="AB169" s="552"/>
      <c r="AC169" s="477" t="e">
        <f t="shared" si="100"/>
        <v>#N/A</v>
      </c>
      <c r="AD169" s="662"/>
      <c r="AE169" s="551"/>
      <c r="AF169" s="182"/>
      <c r="AG169" s="552"/>
      <c r="AH169" s="477" t="e">
        <f t="shared" si="101"/>
        <v>#N/A</v>
      </c>
      <c r="AI169" s="662"/>
      <c r="AJ169" s="551"/>
      <c r="AK169" s="182"/>
      <c r="AL169" s="552"/>
      <c r="AM169" s="477" t="e">
        <f t="shared" si="102"/>
        <v>#N/A</v>
      </c>
      <c r="AN169" s="662"/>
      <c r="AO169" s="551"/>
      <c r="AP169" s="182"/>
      <c r="AQ169" s="552"/>
      <c r="AR169" s="477" t="e">
        <f t="shared" si="103"/>
        <v>#N/A</v>
      </c>
      <c r="AS169" s="662"/>
      <c r="AT169" s="551"/>
      <c r="AU169" s="182"/>
      <c r="AV169" s="552"/>
      <c r="AW169" s="477" t="e">
        <f t="shared" si="104"/>
        <v>#N/A</v>
      </c>
      <c r="AX169" s="662"/>
    </row>
    <row r="170" spans="2:50">
      <c r="B170" s="660"/>
      <c r="C170" s="301">
        <v>24</v>
      </c>
      <c r="D170" s="301"/>
      <c r="E170" s="301"/>
      <c r="F170" s="301"/>
      <c r="G170" s="301"/>
      <c r="H170" s="662"/>
      <c r="I170" s="446"/>
      <c r="J170" s="446"/>
      <c r="K170" s="200"/>
      <c r="L170" s="634"/>
      <c r="M170" s="199" t="e">
        <f>RANK(K170, K$147:$K$176)</f>
        <v>#DIV/0!</v>
      </c>
      <c r="N170" s="652"/>
      <c r="O170" s="652"/>
      <c r="P170" s="551"/>
      <c r="Q170" s="182"/>
      <c r="R170" s="552"/>
      <c r="S170" s="301" t="e">
        <f t="shared" si="98"/>
        <v>#N/A</v>
      </c>
      <c r="T170" s="662"/>
      <c r="U170" s="551"/>
      <c r="V170" s="182"/>
      <c r="W170" s="552"/>
      <c r="X170" s="477" t="e">
        <f t="shared" si="99"/>
        <v>#N/A</v>
      </c>
      <c r="Y170" s="662"/>
      <c r="Z170" s="551"/>
      <c r="AA170" s="182"/>
      <c r="AB170" s="552"/>
      <c r="AC170" s="477" t="e">
        <f t="shared" si="100"/>
        <v>#N/A</v>
      </c>
      <c r="AD170" s="662"/>
      <c r="AE170" s="551"/>
      <c r="AF170" s="182"/>
      <c r="AG170" s="552"/>
      <c r="AH170" s="477" t="e">
        <f t="shared" si="101"/>
        <v>#N/A</v>
      </c>
      <c r="AI170" s="662"/>
      <c r="AJ170" s="551"/>
      <c r="AK170" s="182"/>
      <c r="AL170" s="552"/>
      <c r="AM170" s="477" t="e">
        <f t="shared" si="102"/>
        <v>#N/A</v>
      </c>
      <c r="AN170" s="662"/>
      <c r="AO170" s="551"/>
      <c r="AP170" s="182"/>
      <c r="AQ170" s="552"/>
      <c r="AR170" s="477" t="e">
        <f t="shared" si="103"/>
        <v>#N/A</v>
      </c>
      <c r="AS170" s="662"/>
      <c r="AT170" s="551"/>
      <c r="AU170" s="182"/>
      <c r="AV170" s="552"/>
      <c r="AW170" s="477" t="e">
        <f t="shared" si="104"/>
        <v>#N/A</v>
      </c>
      <c r="AX170" s="662"/>
    </row>
    <row r="171" spans="2:50">
      <c r="B171" s="660"/>
      <c r="C171" s="301">
        <v>25</v>
      </c>
      <c r="D171" s="301"/>
      <c r="E171" s="301"/>
      <c r="F171" s="301"/>
      <c r="G171" s="301"/>
      <c r="H171" s="662"/>
      <c r="I171" s="202"/>
      <c r="J171" s="202"/>
      <c r="K171" s="202"/>
      <c r="L171" s="634"/>
      <c r="M171" s="199" t="e">
        <f>RANK(K171, K$147:$K$176)</f>
        <v>#DIV/0!</v>
      </c>
      <c r="N171" s="652"/>
      <c r="O171" s="652"/>
      <c r="P171" s="551"/>
      <c r="Q171" s="182"/>
      <c r="R171" s="552"/>
      <c r="S171" s="301" t="e">
        <f t="shared" si="98"/>
        <v>#N/A</v>
      </c>
      <c r="T171" s="662"/>
      <c r="U171" s="551"/>
      <c r="V171" s="182"/>
      <c r="W171" s="552"/>
      <c r="X171" s="477" t="e">
        <f t="shared" si="99"/>
        <v>#N/A</v>
      </c>
      <c r="Y171" s="662"/>
      <c r="Z171" s="551"/>
      <c r="AA171" s="182"/>
      <c r="AB171" s="552"/>
      <c r="AC171" s="477" t="e">
        <f t="shared" si="100"/>
        <v>#N/A</v>
      </c>
      <c r="AD171" s="662"/>
      <c r="AE171" s="551"/>
      <c r="AF171" s="182"/>
      <c r="AG171" s="552"/>
      <c r="AH171" s="477" t="e">
        <f t="shared" si="101"/>
        <v>#N/A</v>
      </c>
      <c r="AI171" s="662"/>
      <c r="AJ171" s="551"/>
      <c r="AK171" s="182"/>
      <c r="AL171" s="552"/>
      <c r="AM171" s="477" t="e">
        <f t="shared" si="102"/>
        <v>#N/A</v>
      </c>
      <c r="AN171" s="662"/>
      <c r="AO171" s="551"/>
      <c r="AP171" s="182"/>
      <c r="AQ171" s="552"/>
      <c r="AR171" s="477" t="e">
        <f t="shared" si="103"/>
        <v>#N/A</v>
      </c>
      <c r="AS171" s="662"/>
      <c r="AT171" s="551"/>
      <c r="AU171" s="182"/>
      <c r="AV171" s="552"/>
      <c r="AW171" s="477" t="e">
        <f t="shared" si="104"/>
        <v>#N/A</v>
      </c>
      <c r="AX171" s="662"/>
    </row>
    <row r="172" spans="2:50">
      <c r="B172" s="660"/>
      <c r="C172" s="301">
        <v>26</v>
      </c>
      <c r="D172" s="301"/>
      <c r="E172" s="301"/>
      <c r="F172" s="301"/>
      <c r="G172" s="301"/>
      <c r="H172" s="662"/>
      <c r="I172" s="202"/>
      <c r="J172" s="202"/>
      <c r="K172" s="202"/>
      <c r="L172" s="634"/>
      <c r="M172" s="199" t="e">
        <f>RANK(K172, K$147:$K$176)</f>
        <v>#DIV/0!</v>
      </c>
      <c r="N172" s="652"/>
      <c r="O172" s="652"/>
      <c r="P172" s="551"/>
      <c r="Q172" s="182"/>
      <c r="R172" s="552"/>
      <c r="S172" s="301" t="e">
        <f t="shared" si="98"/>
        <v>#N/A</v>
      </c>
      <c r="T172" s="662"/>
      <c r="U172" s="551"/>
      <c r="V172" s="182"/>
      <c r="W172" s="552"/>
      <c r="X172" s="477" t="e">
        <f t="shared" si="99"/>
        <v>#N/A</v>
      </c>
      <c r="Y172" s="662"/>
      <c r="Z172" s="551"/>
      <c r="AA172" s="182"/>
      <c r="AB172" s="552"/>
      <c r="AC172" s="477" t="e">
        <f t="shared" si="100"/>
        <v>#N/A</v>
      </c>
      <c r="AD172" s="662"/>
      <c r="AE172" s="551"/>
      <c r="AF172" s="182"/>
      <c r="AG172" s="552"/>
      <c r="AH172" s="477" t="e">
        <f t="shared" si="101"/>
        <v>#N/A</v>
      </c>
      <c r="AI172" s="662"/>
      <c r="AJ172" s="551"/>
      <c r="AK172" s="182"/>
      <c r="AL172" s="552"/>
      <c r="AM172" s="477" t="e">
        <f t="shared" si="102"/>
        <v>#N/A</v>
      </c>
      <c r="AN172" s="662"/>
      <c r="AO172" s="551"/>
      <c r="AP172" s="182"/>
      <c r="AQ172" s="552"/>
      <c r="AR172" s="477" t="e">
        <f t="shared" si="103"/>
        <v>#N/A</v>
      </c>
      <c r="AS172" s="662"/>
      <c r="AT172" s="551"/>
      <c r="AU172" s="182"/>
      <c r="AV172" s="552"/>
      <c r="AW172" s="477" t="e">
        <f t="shared" si="104"/>
        <v>#N/A</v>
      </c>
      <c r="AX172" s="662"/>
    </row>
    <row r="173" spans="2:50">
      <c r="B173" s="660"/>
      <c r="C173" s="301">
        <v>27</v>
      </c>
      <c r="D173" s="301"/>
      <c r="E173" s="301"/>
      <c r="F173" s="301"/>
      <c r="G173" s="301"/>
      <c r="H173" s="662"/>
      <c r="I173" s="202"/>
      <c r="J173" s="202"/>
      <c r="K173" s="202"/>
      <c r="L173" s="634"/>
      <c r="M173" s="199" t="e">
        <f>RANK(K173, K$147:$K$176)</f>
        <v>#DIV/0!</v>
      </c>
      <c r="N173" s="652"/>
      <c r="O173" s="652"/>
      <c r="P173" s="551"/>
      <c r="Q173" s="182"/>
      <c r="R173" s="552"/>
      <c r="S173" s="301" t="e">
        <f t="shared" si="98"/>
        <v>#N/A</v>
      </c>
      <c r="T173" s="662"/>
      <c r="U173" s="551"/>
      <c r="V173" s="182"/>
      <c r="W173" s="552"/>
      <c r="X173" s="477" t="e">
        <f t="shared" si="99"/>
        <v>#N/A</v>
      </c>
      <c r="Y173" s="662"/>
      <c r="Z173" s="551"/>
      <c r="AA173" s="182"/>
      <c r="AB173" s="552"/>
      <c r="AC173" s="477" t="e">
        <f t="shared" si="100"/>
        <v>#N/A</v>
      </c>
      <c r="AD173" s="662"/>
      <c r="AE173" s="551"/>
      <c r="AF173" s="182"/>
      <c r="AG173" s="552"/>
      <c r="AH173" s="477" t="e">
        <f t="shared" si="101"/>
        <v>#N/A</v>
      </c>
      <c r="AI173" s="662"/>
      <c r="AJ173" s="551"/>
      <c r="AK173" s="182"/>
      <c r="AL173" s="552"/>
      <c r="AM173" s="477" t="e">
        <f t="shared" si="102"/>
        <v>#N/A</v>
      </c>
      <c r="AN173" s="662"/>
      <c r="AO173" s="551"/>
      <c r="AP173" s="182"/>
      <c r="AQ173" s="552"/>
      <c r="AR173" s="477" t="e">
        <f t="shared" si="103"/>
        <v>#N/A</v>
      </c>
      <c r="AS173" s="662"/>
      <c r="AT173" s="551"/>
      <c r="AU173" s="182"/>
      <c r="AV173" s="552"/>
      <c r="AW173" s="477" t="e">
        <f t="shared" si="104"/>
        <v>#N/A</v>
      </c>
      <c r="AX173" s="662"/>
    </row>
    <row r="174" spans="2:50">
      <c r="B174" s="660"/>
      <c r="C174" s="301">
        <v>28</v>
      </c>
      <c r="D174" s="301"/>
      <c r="E174" s="301"/>
      <c r="F174" s="301"/>
      <c r="G174" s="301"/>
      <c r="H174" s="662"/>
      <c r="I174" s="202"/>
      <c r="J174" s="202"/>
      <c r="K174" s="202"/>
      <c r="L174" s="634"/>
      <c r="M174" s="199" t="e">
        <f>RANK(K174, K$147:$K$176)</f>
        <v>#DIV/0!</v>
      </c>
      <c r="N174" s="652"/>
      <c r="O174" s="652"/>
      <c r="P174" s="551"/>
      <c r="Q174" s="182"/>
      <c r="R174" s="552"/>
      <c r="S174" s="301" t="e">
        <f t="shared" si="98"/>
        <v>#N/A</v>
      </c>
      <c r="T174" s="662"/>
      <c r="U174" s="551"/>
      <c r="V174" s="182"/>
      <c r="W174" s="552"/>
      <c r="X174" s="477" t="e">
        <f t="shared" si="99"/>
        <v>#N/A</v>
      </c>
      <c r="Y174" s="662"/>
      <c r="Z174" s="551"/>
      <c r="AA174" s="182"/>
      <c r="AB174" s="552"/>
      <c r="AC174" s="477" t="e">
        <f t="shared" si="100"/>
        <v>#N/A</v>
      </c>
      <c r="AD174" s="662"/>
      <c r="AE174" s="551"/>
      <c r="AF174" s="182"/>
      <c r="AG174" s="552"/>
      <c r="AH174" s="477" t="e">
        <f t="shared" si="101"/>
        <v>#N/A</v>
      </c>
      <c r="AI174" s="662"/>
      <c r="AJ174" s="551"/>
      <c r="AK174" s="182"/>
      <c r="AL174" s="552"/>
      <c r="AM174" s="477" t="e">
        <f t="shared" si="102"/>
        <v>#N/A</v>
      </c>
      <c r="AN174" s="662"/>
      <c r="AO174" s="551"/>
      <c r="AP174" s="182"/>
      <c r="AQ174" s="552"/>
      <c r="AR174" s="477" t="e">
        <f t="shared" si="103"/>
        <v>#N/A</v>
      </c>
      <c r="AS174" s="662"/>
      <c r="AT174" s="551"/>
      <c r="AU174" s="182"/>
      <c r="AV174" s="552"/>
      <c r="AW174" s="477" t="e">
        <f t="shared" si="104"/>
        <v>#N/A</v>
      </c>
      <c r="AX174" s="662"/>
    </row>
    <row r="175" spans="2:50">
      <c r="B175" s="660"/>
      <c r="C175" s="301">
        <v>29</v>
      </c>
      <c r="D175" s="301"/>
      <c r="E175" s="301"/>
      <c r="F175" s="301"/>
      <c r="G175" s="301"/>
      <c r="H175" s="662"/>
      <c r="I175" s="202"/>
      <c r="J175" s="202"/>
      <c r="K175" s="202"/>
      <c r="L175" s="634"/>
      <c r="M175" s="199" t="e">
        <f>RANK(K175, K$147:$K$176)</f>
        <v>#DIV/0!</v>
      </c>
      <c r="N175" s="652"/>
      <c r="O175" s="652"/>
      <c r="P175" s="551"/>
      <c r="Q175" s="182"/>
      <c r="R175" s="552"/>
      <c r="S175" s="301" t="e">
        <f t="shared" si="98"/>
        <v>#N/A</v>
      </c>
      <c r="T175" s="662"/>
      <c r="U175" s="551"/>
      <c r="V175" s="182"/>
      <c r="W175" s="552"/>
      <c r="X175" s="477" t="e">
        <f t="shared" si="99"/>
        <v>#N/A</v>
      </c>
      <c r="Y175" s="662"/>
      <c r="Z175" s="551"/>
      <c r="AA175" s="182"/>
      <c r="AB175" s="552"/>
      <c r="AC175" s="477" t="e">
        <f t="shared" si="100"/>
        <v>#N/A</v>
      </c>
      <c r="AD175" s="662"/>
      <c r="AE175" s="551"/>
      <c r="AF175" s="182"/>
      <c r="AG175" s="552"/>
      <c r="AH175" s="477" t="e">
        <f t="shared" si="101"/>
        <v>#N/A</v>
      </c>
      <c r="AI175" s="662"/>
      <c r="AJ175" s="551"/>
      <c r="AK175" s="182"/>
      <c r="AL175" s="552"/>
      <c r="AM175" s="477" t="e">
        <f t="shared" si="102"/>
        <v>#N/A</v>
      </c>
      <c r="AN175" s="662"/>
      <c r="AO175" s="551"/>
      <c r="AP175" s="182"/>
      <c r="AQ175" s="552"/>
      <c r="AR175" s="477" t="e">
        <f t="shared" si="103"/>
        <v>#N/A</v>
      </c>
      <c r="AS175" s="662"/>
      <c r="AT175" s="551"/>
      <c r="AU175" s="182"/>
      <c r="AV175" s="552"/>
      <c r="AW175" s="477" t="e">
        <f t="shared" si="104"/>
        <v>#N/A</v>
      </c>
      <c r="AX175" s="662"/>
    </row>
    <row r="176" spans="2:50">
      <c r="B176" s="660"/>
      <c r="C176" s="301">
        <v>30</v>
      </c>
      <c r="D176" s="301"/>
      <c r="E176" s="301"/>
      <c r="F176" s="301"/>
      <c r="G176" s="301"/>
      <c r="H176" s="663"/>
      <c r="I176" s="202"/>
      <c r="J176" s="202"/>
      <c r="K176" s="202"/>
      <c r="L176" s="635"/>
      <c r="M176" s="199" t="e">
        <f>RANK(K176, K$147:$K$176)</f>
        <v>#DIV/0!</v>
      </c>
      <c r="N176" s="652"/>
      <c r="O176" s="652"/>
      <c r="P176" s="551"/>
      <c r="Q176" s="182"/>
      <c r="R176" s="552"/>
      <c r="S176" s="301" t="e">
        <f t="shared" si="94"/>
        <v>#N/A</v>
      </c>
      <c r="T176" s="663"/>
      <c r="U176" s="551"/>
      <c r="V176" s="182"/>
      <c r="W176" s="552"/>
      <c r="X176" s="477" t="e">
        <f t="shared" si="99"/>
        <v>#N/A</v>
      </c>
      <c r="Y176" s="663"/>
      <c r="Z176" s="551"/>
      <c r="AA176" s="182"/>
      <c r="AB176" s="552"/>
      <c r="AC176" s="477" t="e">
        <f t="shared" si="100"/>
        <v>#N/A</v>
      </c>
      <c r="AD176" s="663"/>
      <c r="AE176" s="551"/>
      <c r="AF176" s="182"/>
      <c r="AG176" s="552"/>
      <c r="AH176" s="477" t="e">
        <f t="shared" si="101"/>
        <v>#N/A</v>
      </c>
      <c r="AI176" s="663"/>
      <c r="AJ176" s="551"/>
      <c r="AK176" s="182"/>
      <c r="AL176" s="552"/>
      <c r="AM176" s="477" t="e">
        <f t="shared" si="102"/>
        <v>#N/A</v>
      </c>
      <c r="AN176" s="663"/>
      <c r="AO176" s="551"/>
      <c r="AP176" s="182"/>
      <c r="AQ176" s="552"/>
      <c r="AR176" s="477" t="e">
        <f t="shared" si="103"/>
        <v>#N/A</v>
      </c>
      <c r="AS176" s="663"/>
      <c r="AT176" s="551"/>
      <c r="AU176" s="182"/>
      <c r="AV176" s="552"/>
      <c r="AW176" s="477" t="e">
        <f t="shared" si="104"/>
        <v>#N/A</v>
      </c>
      <c r="AX176" s="663"/>
    </row>
    <row r="177" spans="2:50" ht="15.75">
      <c r="B177" s="664" t="s">
        <v>163</v>
      </c>
      <c r="C177" s="665"/>
      <c r="D177" s="665"/>
      <c r="E177" s="665"/>
      <c r="F177" s="665"/>
      <c r="G177" s="665"/>
      <c r="H177" s="666"/>
      <c r="I177" s="208"/>
      <c r="J177" s="208"/>
      <c r="K177" s="208"/>
      <c r="L177" s="208"/>
      <c r="M177" s="207"/>
      <c r="N177" s="653" t="s">
        <v>156</v>
      </c>
      <c r="O177" s="653" t="s">
        <v>105</v>
      </c>
      <c r="P177" s="659">
        <f>P142+7</f>
        <v>46084</v>
      </c>
      <c r="Q177" s="660"/>
      <c r="R177" s="660"/>
      <c r="S177" s="660"/>
      <c r="T177" s="660"/>
      <c r="U177" s="656">
        <f>P177+1</f>
        <v>46085</v>
      </c>
      <c r="V177" s="657"/>
      <c r="W177" s="657"/>
      <c r="X177" s="657"/>
      <c r="Y177" s="658"/>
      <c r="Z177" s="656">
        <f>U177+1</f>
        <v>46086</v>
      </c>
      <c r="AA177" s="657"/>
      <c r="AB177" s="657"/>
      <c r="AC177" s="657"/>
      <c r="AD177" s="658"/>
      <c r="AE177" s="656">
        <f>Z177+1</f>
        <v>46087</v>
      </c>
      <c r="AF177" s="657"/>
      <c r="AG177" s="657"/>
      <c r="AH177" s="657"/>
      <c r="AI177" s="658"/>
      <c r="AJ177" s="656">
        <f>AE177+1</f>
        <v>46088</v>
      </c>
      <c r="AK177" s="657"/>
      <c r="AL177" s="657"/>
      <c r="AM177" s="657"/>
      <c r="AN177" s="658"/>
      <c r="AO177" s="656">
        <f>AJ177+1</f>
        <v>46089</v>
      </c>
      <c r="AP177" s="657"/>
      <c r="AQ177" s="657"/>
      <c r="AR177" s="657"/>
      <c r="AS177" s="658"/>
      <c r="AT177" s="656">
        <f>AO177+1</f>
        <v>46090</v>
      </c>
      <c r="AU177" s="657"/>
      <c r="AV177" s="657"/>
      <c r="AW177" s="657"/>
      <c r="AX177" s="658"/>
    </row>
    <row r="178" spans="2:50" ht="15.75">
      <c r="B178" s="667"/>
      <c r="C178" s="667"/>
      <c r="D178" s="667"/>
      <c r="E178" s="667"/>
      <c r="F178" s="667"/>
      <c r="G178" s="667"/>
      <c r="H178" s="667"/>
      <c r="I178" s="205"/>
      <c r="J178" s="205"/>
      <c r="K178" s="205"/>
      <c r="L178" s="205"/>
      <c r="M178" s="206"/>
      <c r="N178" s="655"/>
      <c r="O178" s="655"/>
      <c r="P178" s="659" t="s">
        <v>158</v>
      </c>
      <c r="Q178" s="660"/>
      <c r="R178" s="660"/>
      <c r="S178" s="660"/>
      <c r="T178" s="660"/>
      <c r="U178" s="659" t="s">
        <v>114</v>
      </c>
      <c r="V178" s="660"/>
      <c r="W178" s="660"/>
      <c r="X178" s="660"/>
      <c r="Y178" s="660"/>
      <c r="Z178" s="659" t="s">
        <v>159</v>
      </c>
      <c r="AA178" s="660"/>
      <c r="AB178" s="660"/>
      <c r="AC178" s="660"/>
      <c r="AD178" s="660"/>
      <c r="AE178" s="659" t="s">
        <v>157</v>
      </c>
      <c r="AF178" s="660"/>
      <c r="AG178" s="660"/>
      <c r="AH178" s="660"/>
      <c r="AI178" s="660"/>
      <c r="AJ178" s="659" t="s">
        <v>160</v>
      </c>
      <c r="AK178" s="660"/>
      <c r="AL178" s="660"/>
      <c r="AM178" s="660"/>
      <c r="AN178" s="660"/>
      <c r="AO178" s="659" t="s">
        <v>115</v>
      </c>
      <c r="AP178" s="660"/>
      <c r="AQ178" s="660"/>
      <c r="AR178" s="660"/>
      <c r="AS178" s="660"/>
      <c r="AT178" s="659" t="s">
        <v>162</v>
      </c>
      <c r="AU178" s="660"/>
      <c r="AV178" s="660"/>
      <c r="AW178" s="660"/>
      <c r="AX178" s="660"/>
    </row>
    <row r="179" spans="2:50">
      <c r="B179" s="652" t="s">
        <v>154</v>
      </c>
      <c r="C179" s="652" t="s">
        <v>441</v>
      </c>
      <c r="D179" s="652"/>
      <c r="E179" s="652" t="s">
        <v>432</v>
      </c>
      <c r="F179" s="652"/>
      <c r="G179" s="652"/>
      <c r="H179" s="668" t="s">
        <v>428</v>
      </c>
      <c r="I179" s="652" t="s">
        <v>433</v>
      </c>
      <c r="J179" s="652"/>
      <c r="K179" s="652"/>
      <c r="L179" s="668" t="s">
        <v>428</v>
      </c>
      <c r="M179" s="653" t="s">
        <v>429</v>
      </c>
      <c r="N179" s="652"/>
      <c r="O179" s="652" t="s">
        <v>434</v>
      </c>
      <c r="P179" s="649" t="s">
        <v>430</v>
      </c>
      <c r="Q179" s="650"/>
      <c r="R179" s="650"/>
      <c r="S179" s="651"/>
      <c r="T179" s="652" t="s">
        <v>428</v>
      </c>
      <c r="U179" s="649" t="s">
        <v>430</v>
      </c>
      <c r="V179" s="650"/>
      <c r="W179" s="650"/>
      <c r="X179" s="651"/>
      <c r="Y179" s="652" t="s">
        <v>428</v>
      </c>
      <c r="Z179" s="649" t="s">
        <v>430</v>
      </c>
      <c r="AA179" s="650"/>
      <c r="AB179" s="650"/>
      <c r="AC179" s="651"/>
      <c r="AD179" s="652" t="s">
        <v>428</v>
      </c>
      <c r="AE179" s="649" t="s">
        <v>430</v>
      </c>
      <c r="AF179" s="650"/>
      <c r="AG179" s="650"/>
      <c r="AH179" s="651"/>
      <c r="AI179" s="652" t="s">
        <v>428</v>
      </c>
      <c r="AJ179" s="649" t="s">
        <v>430</v>
      </c>
      <c r="AK179" s="650"/>
      <c r="AL179" s="650"/>
      <c r="AM179" s="651"/>
      <c r="AN179" s="652" t="s">
        <v>428</v>
      </c>
      <c r="AO179" s="649" t="s">
        <v>430</v>
      </c>
      <c r="AP179" s="650"/>
      <c r="AQ179" s="650"/>
      <c r="AR179" s="651"/>
      <c r="AS179" s="652" t="s">
        <v>428</v>
      </c>
      <c r="AT179" s="686" t="s">
        <v>430</v>
      </c>
      <c r="AU179" s="687"/>
      <c r="AV179" s="687"/>
      <c r="AW179" s="688"/>
      <c r="AX179" s="689" t="s">
        <v>428</v>
      </c>
    </row>
    <row r="180" spans="2:50">
      <c r="B180" s="652"/>
      <c r="C180" s="652"/>
      <c r="D180" s="652"/>
      <c r="E180" s="652" t="s">
        <v>435</v>
      </c>
      <c r="F180" s="652"/>
      <c r="G180" s="652"/>
      <c r="H180" s="669"/>
      <c r="I180" s="652" t="s">
        <v>435</v>
      </c>
      <c r="J180" s="652"/>
      <c r="K180" s="652"/>
      <c r="L180" s="669"/>
      <c r="M180" s="654"/>
      <c r="N180" s="652"/>
      <c r="O180" s="652"/>
      <c r="P180" s="649" t="s">
        <v>436</v>
      </c>
      <c r="Q180" s="650"/>
      <c r="R180" s="650"/>
      <c r="S180" s="651"/>
      <c r="T180" s="652"/>
      <c r="U180" s="649" t="s">
        <v>436</v>
      </c>
      <c r="V180" s="650"/>
      <c r="W180" s="650"/>
      <c r="X180" s="651"/>
      <c r="Y180" s="652"/>
      <c r="Z180" s="649" t="s">
        <v>436</v>
      </c>
      <c r="AA180" s="650"/>
      <c r="AB180" s="650"/>
      <c r="AC180" s="651"/>
      <c r="AD180" s="652"/>
      <c r="AE180" s="649" t="s">
        <v>436</v>
      </c>
      <c r="AF180" s="650"/>
      <c r="AG180" s="650"/>
      <c r="AH180" s="651"/>
      <c r="AI180" s="652"/>
      <c r="AJ180" s="649" t="s">
        <v>436</v>
      </c>
      <c r="AK180" s="650"/>
      <c r="AL180" s="650"/>
      <c r="AM180" s="651"/>
      <c r="AN180" s="652"/>
      <c r="AO180" s="649" t="s">
        <v>436</v>
      </c>
      <c r="AP180" s="650"/>
      <c r="AQ180" s="650"/>
      <c r="AR180" s="651"/>
      <c r="AS180" s="652"/>
      <c r="AT180" s="686" t="s">
        <v>436</v>
      </c>
      <c r="AU180" s="687"/>
      <c r="AV180" s="687"/>
      <c r="AW180" s="688"/>
      <c r="AX180" s="689"/>
    </row>
    <row r="181" spans="2:50">
      <c r="B181" s="652"/>
      <c r="C181" s="652"/>
      <c r="D181" s="652"/>
      <c r="E181" s="492" t="s">
        <v>437</v>
      </c>
      <c r="F181" s="492" t="s">
        <v>438</v>
      </c>
      <c r="G181" s="492" t="s">
        <v>439</v>
      </c>
      <c r="H181" s="670"/>
      <c r="I181" s="492" t="s">
        <v>437</v>
      </c>
      <c r="J181" s="492" t="s">
        <v>438</v>
      </c>
      <c r="K181" s="492" t="s">
        <v>439</v>
      </c>
      <c r="L181" s="670"/>
      <c r="M181" s="655"/>
      <c r="N181" s="652"/>
      <c r="O181" s="652"/>
      <c r="P181" s="492" t="s">
        <v>437</v>
      </c>
      <c r="Q181" s="492" t="s">
        <v>438</v>
      </c>
      <c r="R181" s="492" t="s">
        <v>439</v>
      </c>
      <c r="S181" s="492" t="s">
        <v>429</v>
      </c>
      <c r="T181" s="652"/>
      <c r="U181" s="492" t="s">
        <v>437</v>
      </c>
      <c r="V181" s="492" t="s">
        <v>438</v>
      </c>
      <c r="W181" s="492" t="s">
        <v>439</v>
      </c>
      <c r="X181" s="492" t="s">
        <v>429</v>
      </c>
      <c r="Y181" s="652"/>
      <c r="Z181" s="492" t="s">
        <v>437</v>
      </c>
      <c r="AA181" s="492" t="s">
        <v>438</v>
      </c>
      <c r="AB181" s="492" t="s">
        <v>439</v>
      </c>
      <c r="AC181" s="492" t="s">
        <v>429</v>
      </c>
      <c r="AD181" s="652"/>
      <c r="AE181" s="492" t="s">
        <v>437</v>
      </c>
      <c r="AF181" s="492" t="s">
        <v>438</v>
      </c>
      <c r="AG181" s="492" t="s">
        <v>439</v>
      </c>
      <c r="AH181" s="492" t="s">
        <v>429</v>
      </c>
      <c r="AI181" s="652"/>
      <c r="AJ181" s="492" t="s">
        <v>437</v>
      </c>
      <c r="AK181" s="492" t="s">
        <v>438</v>
      </c>
      <c r="AL181" s="492" t="s">
        <v>439</v>
      </c>
      <c r="AM181" s="492" t="s">
        <v>429</v>
      </c>
      <c r="AN181" s="652"/>
      <c r="AO181" s="492" t="s">
        <v>437</v>
      </c>
      <c r="AP181" s="492" t="s">
        <v>438</v>
      </c>
      <c r="AQ181" s="492" t="s">
        <v>439</v>
      </c>
      <c r="AR181" s="492" t="s">
        <v>429</v>
      </c>
      <c r="AS181" s="652"/>
      <c r="AT181" s="496" t="s">
        <v>437</v>
      </c>
      <c r="AU181" s="496" t="s">
        <v>438</v>
      </c>
      <c r="AV181" s="496" t="s">
        <v>439</v>
      </c>
      <c r="AW181" s="496" t="s">
        <v>429</v>
      </c>
      <c r="AX181" s="689"/>
    </row>
    <row r="182" spans="2:50">
      <c r="B182" s="684" t="s">
        <v>685</v>
      </c>
      <c r="C182" s="497">
        <v>1</v>
      </c>
      <c r="D182" s="497"/>
      <c r="E182" s="498"/>
      <c r="F182" s="498"/>
      <c r="G182" s="498"/>
      <c r="H182" s="696" t="e">
        <f>AVERAGE(G182:G211)</f>
        <v>#DIV/0!</v>
      </c>
      <c r="I182" s="498" t="e">
        <f>AVERAGE(P182,U182,Z182,AE182,AJ182,AO182,AT182)</f>
        <v>#DIV/0!</v>
      </c>
      <c r="J182" s="498" t="e">
        <f>AVERAGE(Q182,V182,AA182,AF182,AK182,AP182,AU182)</f>
        <v>#DIV/0!</v>
      </c>
      <c r="K182" s="499" t="e">
        <f>AVERAGE(R182,W182,AB182,AG182,AL182,AQ182,AV182)</f>
        <v>#DIV/0!</v>
      </c>
      <c r="L182" s="633" t="str">
        <f>IFERROR(AVERAGE(K182:K211),"-")</f>
        <v>-</v>
      </c>
      <c r="M182" s="498" t="e">
        <f>RANK(K182, K$182:$K$211)</f>
        <v>#DIV/0!</v>
      </c>
      <c r="N182" s="652"/>
      <c r="O182" s="652"/>
      <c r="P182" s="182"/>
      <c r="Q182" s="182"/>
      <c r="R182" s="182"/>
      <c r="S182" s="497" t="e">
        <f>RANK(R182, R$112:R$141)</f>
        <v>#N/A</v>
      </c>
      <c r="T182" s="699" t="e">
        <f>AVERAGE(R182:R211)</f>
        <v>#DIV/0!</v>
      </c>
      <c r="U182" s="182"/>
      <c r="V182" s="182"/>
      <c r="W182" s="182"/>
      <c r="X182" s="497" t="e">
        <f>RANK(W182, W$112:W$141)</f>
        <v>#N/A</v>
      </c>
      <c r="Y182" s="699" t="e">
        <f>AVERAGE(W182:W211)</f>
        <v>#DIV/0!</v>
      </c>
      <c r="Z182" s="182"/>
      <c r="AA182" s="182"/>
      <c r="AB182" s="182"/>
      <c r="AC182" s="497" t="e">
        <f>RANK(AB182, AB$112:AB$141)</f>
        <v>#N/A</v>
      </c>
      <c r="AD182" s="699" t="e">
        <f>AVERAGE(AB182:AB211)</f>
        <v>#DIV/0!</v>
      </c>
      <c r="AE182" s="182"/>
      <c r="AF182" s="182"/>
      <c r="AG182" s="182"/>
      <c r="AH182" s="497" t="e">
        <f>RANK(AG182, AG$112:AG$141)</f>
        <v>#N/A</v>
      </c>
      <c r="AI182" s="699" t="e">
        <f>AVERAGE(AG182:AG211)</f>
        <v>#DIV/0!</v>
      </c>
      <c r="AJ182" s="182"/>
      <c r="AK182" s="182"/>
      <c r="AL182" s="182"/>
      <c r="AM182" s="497" t="e">
        <f>RANK(AL182, AL$112:AL$141)</f>
        <v>#N/A</v>
      </c>
      <c r="AN182" s="699" t="e">
        <f>AVERAGE(AL182:AL211)</f>
        <v>#DIV/0!</v>
      </c>
      <c r="AO182" s="182"/>
      <c r="AP182" s="182"/>
      <c r="AQ182" s="182"/>
      <c r="AR182" s="497" t="e">
        <f>RANK(AQ182, AQ$112:AQ$141)</f>
        <v>#N/A</v>
      </c>
      <c r="AS182" s="699" t="e">
        <f>AVERAGE(AQ182:AQ211)</f>
        <v>#DIV/0!</v>
      </c>
      <c r="AT182" s="182"/>
      <c r="AU182" s="182"/>
      <c r="AV182" s="182"/>
      <c r="AW182" s="500" t="e">
        <f>RANK(AV182, AV$112:AV$141)</f>
        <v>#N/A</v>
      </c>
      <c r="AX182" s="690" t="e">
        <f>AVERAGE(AV182:AV211)</f>
        <v>#DIV/0!</v>
      </c>
    </row>
    <row r="183" spans="2:50">
      <c r="B183" s="685"/>
      <c r="C183" s="497">
        <v>2</v>
      </c>
      <c r="D183" s="497"/>
      <c r="E183" s="498"/>
      <c r="F183" s="498"/>
      <c r="G183" s="498"/>
      <c r="H183" s="697"/>
      <c r="I183" s="498" t="e">
        <f t="shared" ref="I183:K198" si="108">AVERAGE(P183,U183,Z183,AE183,AJ183,AO183,AT183)</f>
        <v>#DIV/0!</v>
      </c>
      <c r="J183" s="498" t="e">
        <f t="shared" si="108"/>
        <v>#DIV/0!</v>
      </c>
      <c r="K183" s="499" t="e">
        <f t="shared" si="108"/>
        <v>#DIV/0!</v>
      </c>
      <c r="L183" s="634"/>
      <c r="M183" s="498" t="e">
        <f>RANK(K183, K$182:$K$211)</f>
        <v>#DIV/0!</v>
      </c>
      <c r="N183" s="652"/>
      <c r="O183" s="652"/>
      <c r="P183" s="182"/>
      <c r="Q183" s="182"/>
      <c r="R183" s="182"/>
      <c r="S183" s="497" t="e">
        <f t="shared" ref="S183:S211" si="109">RANK(R183, R$112:R$141)</f>
        <v>#N/A</v>
      </c>
      <c r="T183" s="699"/>
      <c r="U183" s="182"/>
      <c r="V183" s="182"/>
      <c r="W183" s="182"/>
      <c r="X183" s="497" t="e">
        <f t="shared" ref="X183:X211" si="110">RANK(W183, W$112:W$141)</f>
        <v>#N/A</v>
      </c>
      <c r="Y183" s="699"/>
      <c r="Z183" s="182"/>
      <c r="AA183" s="182"/>
      <c r="AB183" s="182"/>
      <c r="AC183" s="497" t="e">
        <f t="shared" ref="AC183:AC211" si="111">RANK(AB183, AB$112:AB$141)</f>
        <v>#N/A</v>
      </c>
      <c r="AD183" s="699"/>
      <c r="AE183" s="182"/>
      <c r="AF183" s="182"/>
      <c r="AG183" s="182"/>
      <c r="AH183" s="497" t="e">
        <f t="shared" ref="AH183:AH211" si="112">RANK(AG183, AG$112:AG$141)</f>
        <v>#N/A</v>
      </c>
      <c r="AI183" s="699"/>
      <c r="AJ183" s="182"/>
      <c r="AK183" s="182"/>
      <c r="AL183" s="182"/>
      <c r="AM183" s="497" t="e">
        <f t="shared" ref="AM183:AM211" si="113">RANK(AL183, AL$112:AL$141)</f>
        <v>#N/A</v>
      </c>
      <c r="AN183" s="699"/>
      <c r="AO183" s="182"/>
      <c r="AP183" s="182"/>
      <c r="AQ183" s="182"/>
      <c r="AR183" s="497" t="e">
        <f t="shared" ref="AR183:AR211" si="114">RANK(AQ183, AQ$112:AQ$141)</f>
        <v>#N/A</v>
      </c>
      <c r="AS183" s="699"/>
      <c r="AT183" s="182"/>
      <c r="AU183" s="182"/>
      <c r="AV183" s="182"/>
      <c r="AW183" s="500" t="e">
        <f t="shared" ref="AW183:AW211" si="115">RANK(AV183, AV$112:AV$141)</f>
        <v>#N/A</v>
      </c>
      <c r="AX183" s="690"/>
    </row>
    <row r="184" spans="2:50">
      <c r="B184" s="685"/>
      <c r="C184" s="497">
        <v>3</v>
      </c>
      <c r="D184" s="497"/>
      <c r="E184" s="498"/>
      <c r="F184" s="498"/>
      <c r="G184" s="498"/>
      <c r="H184" s="697"/>
      <c r="I184" s="498" t="e">
        <f t="shared" si="108"/>
        <v>#DIV/0!</v>
      </c>
      <c r="J184" s="498" t="e">
        <f t="shared" si="108"/>
        <v>#DIV/0!</v>
      </c>
      <c r="K184" s="499" t="e">
        <f t="shared" si="108"/>
        <v>#DIV/0!</v>
      </c>
      <c r="L184" s="634"/>
      <c r="M184" s="498" t="e">
        <f>RANK(K184, K$182:$K$211)</f>
        <v>#DIV/0!</v>
      </c>
      <c r="N184" s="652"/>
      <c r="O184" s="652"/>
      <c r="P184" s="182"/>
      <c r="Q184" s="182"/>
      <c r="R184" s="182"/>
      <c r="S184" s="497" t="e">
        <f t="shared" si="109"/>
        <v>#N/A</v>
      </c>
      <c r="T184" s="699"/>
      <c r="U184" s="182"/>
      <c r="V184" s="182"/>
      <c r="W184" s="182"/>
      <c r="X184" s="497" t="e">
        <f t="shared" si="110"/>
        <v>#N/A</v>
      </c>
      <c r="Y184" s="699"/>
      <c r="Z184" s="182"/>
      <c r="AA184" s="182"/>
      <c r="AB184" s="182"/>
      <c r="AC184" s="497" t="e">
        <f t="shared" si="111"/>
        <v>#N/A</v>
      </c>
      <c r="AD184" s="699"/>
      <c r="AE184" s="182"/>
      <c r="AF184" s="182"/>
      <c r="AG184" s="182"/>
      <c r="AH184" s="497" t="e">
        <f t="shared" si="112"/>
        <v>#N/A</v>
      </c>
      <c r="AI184" s="699"/>
      <c r="AJ184" s="182"/>
      <c r="AK184" s="182"/>
      <c r="AL184" s="182"/>
      <c r="AM184" s="497" t="e">
        <f t="shared" si="113"/>
        <v>#N/A</v>
      </c>
      <c r="AN184" s="699"/>
      <c r="AO184" s="182"/>
      <c r="AP184" s="182"/>
      <c r="AQ184" s="182"/>
      <c r="AR184" s="497" t="e">
        <f t="shared" si="114"/>
        <v>#N/A</v>
      </c>
      <c r="AS184" s="699"/>
      <c r="AT184" s="182"/>
      <c r="AU184" s="182"/>
      <c r="AV184" s="182"/>
      <c r="AW184" s="500" t="e">
        <f t="shared" si="115"/>
        <v>#N/A</v>
      </c>
      <c r="AX184" s="690"/>
    </row>
    <row r="185" spans="2:50">
      <c r="B185" s="685"/>
      <c r="C185" s="497">
        <v>4</v>
      </c>
      <c r="D185" s="497"/>
      <c r="E185" s="498"/>
      <c r="F185" s="498"/>
      <c r="G185" s="498"/>
      <c r="H185" s="697"/>
      <c r="I185" s="498" t="e">
        <f t="shared" si="108"/>
        <v>#DIV/0!</v>
      </c>
      <c r="J185" s="498" t="e">
        <f t="shared" si="108"/>
        <v>#DIV/0!</v>
      </c>
      <c r="K185" s="499" t="e">
        <f t="shared" si="108"/>
        <v>#DIV/0!</v>
      </c>
      <c r="L185" s="634"/>
      <c r="M185" s="498" t="e">
        <f>RANK(K185, K$182:$K$211)</f>
        <v>#DIV/0!</v>
      </c>
      <c r="N185" s="652"/>
      <c r="O185" s="652"/>
      <c r="P185" s="182"/>
      <c r="Q185" s="182"/>
      <c r="R185" s="182"/>
      <c r="S185" s="497" t="e">
        <f t="shared" si="109"/>
        <v>#N/A</v>
      </c>
      <c r="T185" s="699"/>
      <c r="U185" s="182"/>
      <c r="V185" s="182"/>
      <c r="W185" s="182"/>
      <c r="X185" s="497" t="e">
        <f t="shared" si="110"/>
        <v>#N/A</v>
      </c>
      <c r="Y185" s="699"/>
      <c r="Z185" s="182"/>
      <c r="AA185" s="182"/>
      <c r="AB185" s="182"/>
      <c r="AC185" s="497" t="e">
        <f t="shared" si="111"/>
        <v>#N/A</v>
      </c>
      <c r="AD185" s="699"/>
      <c r="AE185" s="182"/>
      <c r="AF185" s="182"/>
      <c r="AG185" s="182"/>
      <c r="AH185" s="497" t="e">
        <f t="shared" si="112"/>
        <v>#N/A</v>
      </c>
      <c r="AI185" s="699"/>
      <c r="AJ185" s="182"/>
      <c r="AK185" s="182"/>
      <c r="AL185" s="182"/>
      <c r="AM185" s="497" t="e">
        <f t="shared" si="113"/>
        <v>#N/A</v>
      </c>
      <c r="AN185" s="699"/>
      <c r="AO185" s="182"/>
      <c r="AP185" s="182"/>
      <c r="AQ185" s="182"/>
      <c r="AR185" s="497" t="e">
        <f t="shared" si="114"/>
        <v>#N/A</v>
      </c>
      <c r="AS185" s="699"/>
      <c r="AT185" s="182"/>
      <c r="AU185" s="182"/>
      <c r="AV185" s="182"/>
      <c r="AW185" s="500" t="e">
        <f t="shared" si="115"/>
        <v>#N/A</v>
      </c>
      <c r="AX185" s="690"/>
    </row>
    <row r="186" spans="2:50">
      <c r="B186" s="685"/>
      <c r="C186" s="497">
        <v>5</v>
      </c>
      <c r="D186" s="497"/>
      <c r="E186" s="498"/>
      <c r="F186" s="498"/>
      <c r="G186" s="498"/>
      <c r="H186" s="697"/>
      <c r="I186" s="498" t="e">
        <f t="shared" si="108"/>
        <v>#DIV/0!</v>
      </c>
      <c r="J186" s="498" t="e">
        <f t="shared" si="108"/>
        <v>#DIV/0!</v>
      </c>
      <c r="K186" s="499" t="e">
        <f t="shared" si="108"/>
        <v>#DIV/0!</v>
      </c>
      <c r="L186" s="634"/>
      <c r="M186" s="498" t="e">
        <f>RANK(K186, K$182:$K$211)</f>
        <v>#DIV/0!</v>
      </c>
      <c r="N186" s="652"/>
      <c r="O186" s="652"/>
      <c r="P186" s="182"/>
      <c r="Q186" s="182"/>
      <c r="R186" s="182"/>
      <c r="S186" s="497" t="e">
        <f t="shared" si="109"/>
        <v>#N/A</v>
      </c>
      <c r="T186" s="699"/>
      <c r="U186" s="182"/>
      <c r="V186" s="182"/>
      <c r="W186" s="182"/>
      <c r="X186" s="497" t="e">
        <f t="shared" si="110"/>
        <v>#N/A</v>
      </c>
      <c r="Y186" s="699"/>
      <c r="Z186" s="182"/>
      <c r="AA186" s="182"/>
      <c r="AB186" s="182"/>
      <c r="AC186" s="497" t="e">
        <f t="shared" si="111"/>
        <v>#N/A</v>
      </c>
      <c r="AD186" s="699"/>
      <c r="AE186" s="182"/>
      <c r="AF186" s="182"/>
      <c r="AG186" s="182"/>
      <c r="AH186" s="497" t="e">
        <f t="shared" si="112"/>
        <v>#N/A</v>
      </c>
      <c r="AI186" s="699"/>
      <c r="AJ186" s="182"/>
      <c r="AK186" s="182"/>
      <c r="AL186" s="182"/>
      <c r="AM186" s="497" t="e">
        <f t="shared" si="113"/>
        <v>#N/A</v>
      </c>
      <c r="AN186" s="699"/>
      <c r="AO186" s="182"/>
      <c r="AP186" s="182"/>
      <c r="AQ186" s="182"/>
      <c r="AR186" s="497" t="e">
        <f t="shared" si="114"/>
        <v>#N/A</v>
      </c>
      <c r="AS186" s="699"/>
      <c r="AT186" s="182"/>
      <c r="AU186" s="182"/>
      <c r="AV186" s="182"/>
      <c r="AW186" s="500" t="e">
        <f t="shared" si="115"/>
        <v>#N/A</v>
      </c>
      <c r="AX186" s="690"/>
    </row>
    <row r="187" spans="2:50">
      <c r="B187" s="685"/>
      <c r="C187" s="497">
        <v>6</v>
      </c>
      <c r="D187" s="497"/>
      <c r="E187" s="498"/>
      <c r="F187" s="498"/>
      <c r="G187" s="498"/>
      <c r="H187" s="697"/>
      <c r="I187" s="498" t="e">
        <f t="shared" si="108"/>
        <v>#DIV/0!</v>
      </c>
      <c r="J187" s="498" t="e">
        <f t="shared" si="108"/>
        <v>#DIV/0!</v>
      </c>
      <c r="K187" s="499" t="e">
        <f t="shared" si="108"/>
        <v>#DIV/0!</v>
      </c>
      <c r="L187" s="634"/>
      <c r="M187" s="498" t="e">
        <f>RANK(K187, K$182:$K$211)</f>
        <v>#DIV/0!</v>
      </c>
      <c r="N187" s="652"/>
      <c r="O187" s="652"/>
      <c r="P187" s="182"/>
      <c r="Q187" s="182"/>
      <c r="R187" s="182"/>
      <c r="S187" s="497" t="e">
        <f t="shared" si="109"/>
        <v>#N/A</v>
      </c>
      <c r="T187" s="699"/>
      <c r="U187" s="182"/>
      <c r="V187" s="182"/>
      <c r="W187" s="182"/>
      <c r="X187" s="497" t="e">
        <f t="shared" si="110"/>
        <v>#N/A</v>
      </c>
      <c r="Y187" s="699"/>
      <c r="Z187" s="182"/>
      <c r="AA187" s="182"/>
      <c r="AB187" s="182"/>
      <c r="AC187" s="497" t="e">
        <f t="shared" si="111"/>
        <v>#N/A</v>
      </c>
      <c r="AD187" s="699"/>
      <c r="AE187" s="182"/>
      <c r="AF187" s="182"/>
      <c r="AG187" s="182"/>
      <c r="AH187" s="497" t="e">
        <f t="shared" si="112"/>
        <v>#N/A</v>
      </c>
      <c r="AI187" s="699"/>
      <c r="AJ187" s="182"/>
      <c r="AK187" s="182"/>
      <c r="AL187" s="182"/>
      <c r="AM187" s="497" t="e">
        <f t="shared" si="113"/>
        <v>#N/A</v>
      </c>
      <c r="AN187" s="699"/>
      <c r="AO187" s="182"/>
      <c r="AP187" s="182"/>
      <c r="AQ187" s="182"/>
      <c r="AR187" s="497" t="e">
        <f t="shared" si="114"/>
        <v>#N/A</v>
      </c>
      <c r="AS187" s="699"/>
      <c r="AT187" s="182"/>
      <c r="AU187" s="182"/>
      <c r="AV187" s="182"/>
      <c r="AW187" s="500" t="e">
        <f t="shared" si="115"/>
        <v>#N/A</v>
      </c>
      <c r="AX187" s="690"/>
    </row>
    <row r="188" spans="2:50">
      <c r="B188" s="685"/>
      <c r="C188" s="497">
        <v>7</v>
      </c>
      <c r="D188" s="497"/>
      <c r="E188" s="498"/>
      <c r="F188" s="498"/>
      <c r="G188" s="498"/>
      <c r="H188" s="697"/>
      <c r="I188" s="498" t="e">
        <f t="shared" si="108"/>
        <v>#DIV/0!</v>
      </c>
      <c r="J188" s="498" t="e">
        <f t="shared" si="108"/>
        <v>#DIV/0!</v>
      </c>
      <c r="K188" s="499" t="e">
        <f t="shared" si="108"/>
        <v>#DIV/0!</v>
      </c>
      <c r="L188" s="634"/>
      <c r="M188" s="498" t="e">
        <f>RANK(K188, K$182:$K$211)</f>
        <v>#DIV/0!</v>
      </c>
      <c r="N188" s="652"/>
      <c r="O188" s="652"/>
      <c r="P188" s="182"/>
      <c r="Q188" s="182"/>
      <c r="R188" s="182"/>
      <c r="S188" s="497" t="e">
        <f t="shared" si="109"/>
        <v>#N/A</v>
      </c>
      <c r="T188" s="699"/>
      <c r="U188" s="182"/>
      <c r="V188" s="182"/>
      <c r="W188" s="182"/>
      <c r="X188" s="497" t="e">
        <f t="shared" si="110"/>
        <v>#N/A</v>
      </c>
      <c r="Y188" s="699"/>
      <c r="Z188" s="182"/>
      <c r="AA188" s="182"/>
      <c r="AB188" s="182"/>
      <c r="AC188" s="497" t="e">
        <f t="shared" si="111"/>
        <v>#N/A</v>
      </c>
      <c r="AD188" s="699"/>
      <c r="AE188" s="182"/>
      <c r="AF188" s="182"/>
      <c r="AG188" s="182"/>
      <c r="AH188" s="497" t="e">
        <f t="shared" si="112"/>
        <v>#N/A</v>
      </c>
      <c r="AI188" s="699"/>
      <c r="AJ188" s="182"/>
      <c r="AK188" s="182"/>
      <c r="AL188" s="182"/>
      <c r="AM188" s="497" t="e">
        <f t="shared" si="113"/>
        <v>#N/A</v>
      </c>
      <c r="AN188" s="699"/>
      <c r="AO188" s="182"/>
      <c r="AP188" s="182"/>
      <c r="AQ188" s="182"/>
      <c r="AR188" s="497" t="e">
        <f t="shared" si="114"/>
        <v>#N/A</v>
      </c>
      <c r="AS188" s="699"/>
      <c r="AT188" s="182"/>
      <c r="AU188" s="182"/>
      <c r="AV188" s="182"/>
      <c r="AW188" s="500" t="e">
        <f t="shared" si="115"/>
        <v>#N/A</v>
      </c>
      <c r="AX188" s="690"/>
    </row>
    <row r="189" spans="2:50">
      <c r="B189" s="685"/>
      <c r="C189" s="497">
        <v>8</v>
      </c>
      <c r="D189" s="497"/>
      <c r="E189" s="498"/>
      <c r="F189" s="498"/>
      <c r="G189" s="498"/>
      <c r="H189" s="697"/>
      <c r="I189" s="498" t="e">
        <f t="shared" si="108"/>
        <v>#DIV/0!</v>
      </c>
      <c r="J189" s="498" t="e">
        <f t="shared" si="108"/>
        <v>#DIV/0!</v>
      </c>
      <c r="K189" s="499" t="e">
        <f t="shared" si="108"/>
        <v>#DIV/0!</v>
      </c>
      <c r="L189" s="634"/>
      <c r="M189" s="498" t="e">
        <f>RANK(K189, K$182:$K$211)</f>
        <v>#DIV/0!</v>
      </c>
      <c r="N189" s="652"/>
      <c r="O189" s="652"/>
      <c r="P189" s="182"/>
      <c r="Q189" s="182"/>
      <c r="R189" s="182"/>
      <c r="S189" s="497" t="e">
        <f t="shared" si="109"/>
        <v>#N/A</v>
      </c>
      <c r="T189" s="699"/>
      <c r="U189" s="182"/>
      <c r="V189" s="182"/>
      <c r="W189" s="182"/>
      <c r="X189" s="497" t="e">
        <f t="shared" si="110"/>
        <v>#N/A</v>
      </c>
      <c r="Y189" s="699"/>
      <c r="Z189" s="182"/>
      <c r="AA189" s="182"/>
      <c r="AB189" s="182"/>
      <c r="AC189" s="497" t="e">
        <f t="shared" si="111"/>
        <v>#N/A</v>
      </c>
      <c r="AD189" s="699"/>
      <c r="AE189" s="182"/>
      <c r="AF189" s="182"/>
      <c r="AG189" s="182"/>
      <c r="AH189" s="497" t="e">
        <f t="shared" si="112"/>
        <v>#N/A</v>
      </c>
      <c r="AI189" s="699"/>
      <c r="AJ189" s="182"/>
      <c r="AK189" s="182"/>
      <c r="AL189" s="182"/>
      <c r="AM189" s="497" t="e">
        <f t="shared" si="113"/>
        <v>#N/A</v>
      </c>
      <c r="AN189" s="699"/>
      <c r="AO189" s="182"/>
      <c r="AP189" s="182"/>
      <c r="AQ189" s="182"/>
      <c r="AR189" s="497" t="e">
        <f t="shared" si="114"/>
        <v>#N/A</v>
      </c>
      <c r="AS189" s="699"/>
      <c r="AT189" s="182"/>
      <c r="AU189" s="182"/>
      <c r="AV189" s="182"/>
      <c r="AW189" s="500" t="e">
        <f t="shared" si="115"/>
        <v>#N/A</v>
      </c>
      <c r="AX189" s="690"/>
    </row>
    <row r="190" spans="2:50">
      <c r="B190" s="685"/>
      <c r="C190" s="497">
        <v>9</v>
      </c>
      <c r="D190" s="497"/>
      <c r="E190" s="498"/>
      <c r="F190" s="498"/>
      <c r="G190" s="498"/>
      <c r="H190" s="697"/>
      <c r="I190" s="498" t="e">
        <f t="shared" si="108"/>
        <v>#DIV/0!</v>
      </c>
      <c r="J190" s="498" t="e">
        <f t="shared" si="108"/>
        <v>#DIV/0!</v>
      </c>
      <c r="K190" s="499" t="e">
        <f t="shared" si="108"/>
        <v>#DIV/0!</v>
      </c>
      <c r="L190" s="634"/>
      <c r="M190" s="498" t="e">
        <f>RANK(K190, K$182:$K$211)</f>
        <v>#DIV/0!</v>
      </c>
      <c r="N190" s="652"/>
      <c r="O190" s="652"/>
      <c r="P190" s="182"/>
      <c r="Q190" s="182"/>
      <c r="R190" s="182"/>
      <c r="S190" s="497" t="e">
        <f t="shared" si="109"/>
        <v>#N/A</v>
      </c>
      <c r="T190" s="699"/>
      <c r="U190" s="182"/>
      <c r="V190" s="182"/>
      <c r="W190" s="182"/>
      <c r="X190" s="497" t="e">
        <f t="shared" si="110"/>
        <v>#N/A</v>
      </c>
      <c r="Y190" s="699"/>
      <c r="Z190" s="182"/>
      <c r="AA190" s="182"/>
      <c r="AB190" s="182"/>
      <c r="AC190" s="497" t="e">
        <f t="shared" si="111"/>
        <v>#N/A</v>
      </c>
      <c r="AD190" s="699"/>
      <c r="AE190" s="182"/>
      <c r="AF190" s="182"/>
      <c r="AG190" s="182"/>
      <c r="AH190" s="497" t="e">
        <f t="shared" si="112"/>
        <v>#N/A</v>
      </c>
      <c r="AI190" s="699"/>
      <c r="AJ190" s="182"/>
      <c r="AK190" s="182"/>
      <c r="AL190" s="182"/>
      <c r="AM190" s="497" t="e">
        <f t="shared" si="113"/>
        <v>#N/A</v>
      </c>
      <c r="AN190" s="699"/>
      <c r="AO190" s="182"/>
      <c r="AP190" s="182"/>
      <c r="AQ190" s="182"/>
      <c r="AR190" s="497" t="e">
        <f t="shared" si="114"/>
        <v>#N/A</v>
      </c>
      <c r="AS190" s="699"/>
      <c r="AT190" s="182"/>
      <c r="AU190" s="182"/>
      <c r="AV190" s="182"/>
      <c r="AW190" s="500" t="e">
        <f t="shared" si="115"/>
        <v>#N/A</v>
      </c>
      <c r="AX190" s="690"/>
    </row>
    <row r="191" spans="2:50">
      <c r="B191" s="685"/>
      <c r="C191" s="497">
        <v>10</v>
      </c>
      <c r="D191" s="497"/>
      <c r="E191" s="498"/>
      <c r="F191" s="498"/>
      <c r="G191" s="498"/>
      <c r="H191" s="697"/>
      <c r="I191" s="498" t="e">
        <f t="shared" si="108"/>
        <v>#DIV/0!</v>
      </c>
      <c r="J191" s="498" t="e">
        <f t="shared" si="108"/>
        <v>#DIV/0!</v>
      </c>
      <c r="K191" s="499" t="e">
        <f t="shared" si="108"/>
        <v>#DIV/0!</v>
      </c>
      <c r="L191" s="634"/>
      <c r="M191" s="498" t="e">
        <f>RANK(K191, K$182:$K$211)</f>
        <v>#DIV/0!</v>
      </c>
      <c r="N191" s="652"/>
      <c r="O191" s="652"/>
      <c r="P191" s="182"/>
      <c r="Q191" s="182"/>
      <c r="R191" s="182"/>
      <c r="S191" s="497" t="e">
        <f t="shared" si="109"/>
        <v>#N/A</v>
      </c>
      <c r="T191" s="699"/>
      <c r="U191" s="182"/>
      <c r="V191" s="182"/>
      <c r="W191" s="182"/>
      <c r="X191" s="497" t="e">
        <f t="shared" si="110"/>
        <v>#N/A</v>
      </c>
      <c r="Y191" s="699"/>
      <c r="Z191" s="182"/>
      <c r="AA191" s="182"/>
      <c r="AB191" s="182"/>
      <c r="AC191" s="497" t="e">
        <f t="shared" si="111"/>
        <v>#N/A</v>
      </c>
      <c r="AD191" s="699"/>
      <c r="AE191" s="182"/>
      <c r="AF191" s="182"/>
      <c r="AG191" s="182"/>
      <c r="AH191" s="497" t="e">
        <f t="shared" si="112"/>
        <v>#N/A</v>
      </c>
      <c r="AI191" s="699"/>
      <c r="AJ191" s="182"/>
      <c r="AK191" s="182"/>
      <c r="AL191" s="182"/>
      <c r="AM191" s="497" t="e">
        <f t="shared" si="113"/>
        <v>#N/A</v>
      </c>
      <c r="AN191" s="699"/>
      <c r="AO191" s="182"/>
      <c r="AP191" s="182"/>
      <c r="AQ191" s="182"/>
      <c r="AR191" s="497" t="e">
        <f t="shared" si="114"/>
        <v>#N/A</v>
      </c>
      <c r="AS191" s="699"/>
      <c r="AT191" s="182"/>
      <c r="AU191" s="182"/>
      <c r="AV191" s="182"/>
      <c r="AW191" s="500" t="e">
        <f t="shared" si="115"/>
        <v>#N/A</v>
      </c>
      <c r="AX191" s="690"/>
    </row>
    <row r="192" spans="2:50">
      <c r="B192" s="685"/>
      <c r="C192" s="497">
        <v>11</v>
      </c>
      <c r="D192" s="497"/>
      <c r="E192" s="498"/>
      <c r="F192" s="498"/>
      <c r="G192" s="498"/>
      <c r="H192" s="697"/>
      <c r="I192" s="498" t="e">
        <f t="shared" si="108"/>
        <v>#DIV/0!</v>
      </c>
      <c r="J192" s="498" t="e">
        <f t="shared" si="108"/>
        <v>#DIV/0!</v>
      </c>
      <c r="K192" s="499" t="e">
        <f t="shared" si="108"/>
        <v>#DIV/0!</v>
      </c>
      <c r="L192" s="634"/>
      <c r="M192" s="498" t="e">
        <f>RANK(K192, K$182:$K$211)</f>
        <v>#DIV/0!</v>
      </c>
      <c r="N192" s="652"/>
      <c r="O192" s="652"/>
      <c r="P192" s="182"/>
      <c r="Q192" s="182"/>
      <c r="R192" s="182"/>
      <c r="S192" s="497" t="e">
        <f t="shared" si="109"/>
        <v>#N/A</v>
      </c>
      <c r="T192" s="699"/>
      <c r="U192" s="182"/>
      <c r="V192" s="182"/>
      <c r="W192" s="182"/>
      <c r="X192" s="497" t="e">
        <f t="shared" si="110"/>
        <v>#N/A</v>
      </c>
      <c r="Y192" s="699"/>
      <c r="Z192" s="182"/>
      <c r="AA192" s="182"/>
      <c r="AB192" s="182"/>
      <c r="AC192" s="497" t="e">
        <f t="shared" si="111"/>
        <v>#N/A</v>
      </c>
      <c r="AD192" s="699"/>
      <c r="AE192" s="182"/>
      <c r="AF192" s="182"/>
      <c r="AG192" s="182"/>
      <c r="AH192" s="497" t="e">
        <f t="shared" si="112"/>
        <v>#N/A</v>
      </c>
      <c r="AI192" s="699"/>
      <c r="AJ192" s="182"/>
      <c r="AK192" s="182"/>
      <c r="AL192" s="182"/>
      <c r="AM192" s="497" t="e">
        <f t="shared" si="113"/>
        <v>#N/A</v>
      </c>
      <c r="AN192" s="699"/>
      <c r="AO192" s="182"/>
      <c r="AP192" s="182"/>
      <c r="AQ192" s="182"/>
      <c r="AR192" s="497" t="e">
        <f t="shared" si="114"/>
        <v>#N/A</v>
      </c>
      <c r="AS192" s="699"/>
      <c r="AT192" s="182"/>
      <c r="AU192" s="182"/>
      <c r="AV192" s="182"/>
      <c r="AW192" s="500" t="e">
        <f t="shared" si="115"/>
        <v>#N/A</v>
      </c>
      <c r="AX192" s="690"/>
    </row>
    <row r="193" spans="2:50">
      <c r="B193" s="685"/>
      <c r="C193" s="497">
        <v>12</v>
      </c>
      <c r="D193" s="497"/>
      <c r="E193" s="498"/>
      <c r="F193" s="498"/>
      <c r="G193" s="498"/>
      <c r="H193" s="697"/>
      <c r="I193" s="498" t="e">
        <f t="shared" si="108"/>
        <v>#DIV/0!</v>
      </c>
      <c r="J193" s="498" t="e">
        <f t="shared" si="108"/>
        <v>#DIV/0!</v>
      </c>
      <c r="K193" s="499" t="e">
        <f t="shared" si="108"/>
        <v>#DIV/0!</v>
      </c>
      <c r="L193" s="634"/>
      <c r="M193" s="498" t="e">
        <f>RANK(K193, K$182:$K$211)</f>
        <v>#DIV/0!</v>
      </c>
      <c r="N193" s="652"/>
      <c r="O193" s="652"/>
      <c r="P193" s="182"/>
      <c r="Q193" s="182"/>
      <c r="R193" s="182"/>
      <c r="S193" s="497" t="e">
        <f t="shared" si="109"/>
        <v>#N/A</v>
      </c>
      <c r="T193" s="699"/>
      <c r="U193" s="182"/>
      <c r="V193" s="182"/>
      <c r="W193" s="182"/>
      <c r="X193" s="497" t="e">
        <f t="shared" si="110"/>
        <v>#N/A</v>
      </c>
      <c r="Y193" s="699"/>
      <c r="Z193" s="182"/>
      <c r="AA193" s="182"/>
      <c r="AB193" s="182"/>
      <c r="AC193" s="497" t="e">
        <f t="shared" si="111"/>
        <v>#N/A</v>
      </c>
      <c r="AD193" s="699"/>
      <c r="AE193" s="182"/>
      <c r="AF193" s="182"/>
      <c r="AG193" s="182"/>
      <c r="AH193" s="497" t="e">
        <f t="shared" si="112"/>
        <v>#N/A</v>
      </c>
      <c r="AI193" s="699"/>
      <c r="AJ193" s="182"/>
      <c r="AK193" s="182"/>
      <c r="AL193" s="182"/>
      <c r="AM193" s="497" t="e">
        <f t="shared" si="113"/>
        <v>#N/A</v>
      </c>
      <c r="AN193" s="699"/>
      <c r="AO193" s="182"/>
      <c r="AP193" s="182"/>
      <c r="AQ193" s="182"/>
      <c r="AR193" s="497" t="e">
        <f t="shared" si="114"/>
        <v>#N/A</v>
      </c>
      <c r="AS193" s="699"/>
      <c r="AT193" s="182"/>
      <c r="AU193" s="182"/>
      <c r="AV193" s="182"/>
      <c r="AW193" s="500" t="e">
        <f t="shared" si="115"/>
        <v>#N/A</v>
      </c>
      <c r="AX193" s="690"/>
    </row>
    <row r="194" spans="2:50">
      <c r="B194" s="685"/>
      <c r="C194" s="497">
        <v>13</v>
      </c>
      <c r="D194" s="497"/>
      <c r="E194" s="498"/>
      <c r="F194" s="498"/>
      <c r="G194" s="498"/>
      <c r="H194" s="697"/>
      <c r="I194" s="498" t="e">
        <f t="shared" si="108"/>
        <v>#DIV/0!</v>
      </c>
      <c r="J194" s="498" t="e">
        <f t="shared" si="108"/>
        <v>#DIV/0!</v>
      </c>
      <c r="K194" s="499" t="e">
        <f t="shared" si="108"/>
        <v>#DIV/0!</v>
      </c>
      <c r="L194" s="634"/>
      <c r="M194" s="498" t="e">
        <f>RANK(K194, K$182:$K$211)</f>
        <v>#DIV/0!</v>
      </c>
      <c r="N194" s="652"/>
      <c r="O194" s="652"/>
      <c r="P194" s="182"/>
      <c r="Q194" s="182"/>
      <c r="R194" s="182"/>
      <c r="S194" s="497" t="e">
        <f t="shared" si="109"/>
        <v>#N/A</v>
      </c>
      <c r="T194" s="699"/>
      <c r="U194" s="182"/>
      <c r="V194" s="182"/>
      <c r="W194" s="182"/>
      <c r="X194" s="497" t="e">
        <f t="shared" si="110"/>
        <v>#N/A</v>
      </c>
      <c r="Y194" s="699"/>
      <c r="Z194" s="182"/>
      <c r="AA194" s="182"/>
      <c r="AB194" s="182"/>
      <c r="AC194" s="497" t="e">
        <f t="shared" si="111"/>
        <v>#N/A</v>
      </c>
      <c r="AD194" s="699"/>
      <c r="AE194" s="182"/>
      <c r="AF194" s="182"/>
      <c r="AG194" s="182"/>
      <c r="AH194" s="497" t="e">
        <f t="shared" si="112"/>
        <v>#N/A</v>
      </c>
      <c r="AI194" s="699"/>
      <c r="AJ194" s="182"/>
      <c r="AK194" s="182"/>
      <c r="AL194" s="182"/>
      <c r="AM194" s="497" t="e">
        <f t="shared" si="113"/>
        <v>#N/A</v>
      </c>
      <c r="AN194" s="699"/>
      <c r="AO194" s="182"/>
      <c r="AP194" s="182"/>
      <c r="AQ194" s="182"/>
      <c r="AR194" s="497" t="e">
        <f t="shared" si="114"/>
        <v>#N/A</v>
      </c>
      <c r="AS194" s="699"/>
      <c r="AT194" s="182"/>
      <c r="AU194" s="182"/>
      <c r="AV194" s="182"/>
      <c r="AW194" s="500" t="e">
        <f t="shared" si="115"/>
        <v>#N/A</v>
      </c>
      <c r="AX194" s="690"/>
    </row>
    <row r="195" spans="2:50">
      <c r="B195" s="685"/>
      <c r="C195" s="497">
        <v>14</v>
      </c>
      <c r="D195" s="497"/>
      <c r="E195" s="498"/>
      <c r="F195" s="498"/>
      <c r="G195" s="498"/>
      <c r="H195" s="697"/>
      <c r="I195" s="498" t="e">
        <f t="shared" si="108"/>
        <v>#DIV/0!</v>
      </c>
      <c r="J195" s="498" t="e">
        <f t="shared" si="108"/>
        <v>#DIV/0!</v>
      </c>
      <c r="K195" s="499" t="e">
        <f t="shared" si="108"/>
        <v>#DIV/0!</v>
      </c>
      <c r="L195" s="634"/>
      <c r="M195" s="498" t="e">
        <f>RANK(K195, K$182:$K$211)</f>
        <v>#DIV/0!</v>
      </c>
      <c r="N195" s="652"/>
      <c r="O195" s="652"/>
      <c r="P195" s="182"/>
      <c r="Q195" s="182"/>
      <c r="R195" s="182"/>
      <c r="S195" s="497" t="e">
        <f t="shared" si="109"/>
        <v>#N/A</v>
      </c>
      <c r="T195" s="699"/>
      <c r="U195" s="182"/>
      <c r="V195" s="182"/>
      <c r="W195" s="182"/>
      <c r="X195" s="497" t="e">
        <f t="shared" si="110"/>
        <v>#N/A</v>
      </c>
      <c r="Y195" s="699"/>
      <c r="Z195" s="182"/>
      <c r="AA195" s="182"/>
      <c r="AB195" s="182"/>
      <c r="AC195" s="497" t="e">
        <f t="shared" si="111"/>
        <v>#N/A</v>
      </c>
      <c r="AD195" s="699"/>
      <c r="AE195" s="182"/>
      <c r="AF195" s="182"/>
      <c r="AG195" s="182"/>
      <c r="AH195" s="497" t="e">
        <f t="shared" si="112"/>
        <v>#N/A</v>
      </c>
      <c r="AI195" s="699"/>
      <c r="AJ195" s="182"/>
      <c r="AK195" s="182"/>
      <c r="AL195" s="182"/>
      <c r="AM195" s="497" t="e">
        <f t="shared" si="113"/>
        <v>#N/A</v>
      </c>
      <c r="AN195" s="699"/>
      <c r="AO195" s="182"/>
      <c r="AP195" s="182"/>
      <c r="AQ195" s="182"/>
      <c r="AR195" s="497" t="e">
        <f t="shared" si="114"/>
        <v>#N/A</v>
      </c>
      <c r="AS195" s="699"/>
      <c r="AT195" s="182"/>
      <c r="AU195" s="182"/>
      <c r="AV195" s="182"/>
      <c r="AW195" s="500" t="e">
        <f t="shared" si="115"/>
        <v>#N/A</v>
      </c>
      <c r="AX195" s="690"/>
    </row>
    <row r="196" spans="2:50">
      <c r="B196" s="685"/>
      <c r="C196" s="497">
        <v>15</v>
      </c>
      <c r="D196" s="497"/>
      <c r="E196" s="498"/>
      <c r="F196" s="498"/>
      <c r="G196" s="498"/>
      <c r="H196" s="697"/>
      <c r="I196" s="498" t="e">
        <f t="shared" si="108"/>
        <v>#DIV/0!</v>
      </c>
      <c r="J196" s="498" t="e">
        <f t="shared" si="108"/>
        <v>#DIV/0!</v>
      </c>
      <c r="K196" s="499" t="e">
        <f t="shared" si="108"/>
        <v>#DIV/0!</v>
      </c>
      <c r="L196" s="634"/>
      <c r="M196" s="498" t="e">
        <f>RANK(K196, K$182:$K$211)</f>
        <v>#DIV/0!</v>
      </c>
      <c r="N196" s="652"/>
      <c r="O196" s="652"/>
      <c r="P196" s="182"/>
      <c r="Q196" s="182"/>
      <c r="R196" s="182"/>
      <c r="S196" s="497" t="e">
        <f t="shared" si="109"/>
        <v>#N/A</v>
      </c>
      <c r="T196" s="699"/>
      <c r="U196" s="182"/>
      <c r="V196" s="182"/>
      <c r="W196" s="182"/>
      <c r="X196" s="497" t="e">
        <f t="shared" si="110"/>
        <v>#N/A</v>
      </c>
      <c r="Y196" s="699"/>
      <c r="Z196" s="182"/>
      <c r="AA196" s="182"/>
      <c r="AB196" s="182"/>
      <c r="AC196" s="497" t="e">
        <f t="shared" si="111"/>
        <v>#N/A</v>
      </c>
      <c r="AD196" s="699"/>
      <c r="AE196" s="182"/>
      <c r="AF196" s="182"/>
      <c r="AG196" s="182"/>
      <c r="AH196" s="497" t="e">
        <f t="shared" si="112"/>
        <v>#N/A</v>
      </c>
      <c r="AI196" s="699"/>
      <c r="AJ196" s="182"/>
      <c r="AK196" s="182"/>
      <c r="AL196" s="182"/>
      <c r="AM196" s="497" t="e">
        <f t="shared" si="113"/>
        <v>#N/A</v>
      </c>
      <c r="AN196" s="699"/>
      <c r="AO196" s="182"/>
      <c r="AP196" s="182"/>
      <c r="AQ196" s="182"/>
      <c r="AR196" s="497" t="e">
        <f t="shared" si="114"/>
        <v>#N/A</v>
      </c>
      <c r="AS196" s="699"/>
      <c r="AT196" s="182"/>
      <c r="AU196" s="182"/>
      <c r="AV196" s="182"/>
      <c r="AW196" s="500" t="e">
        <f t="shared" si="115"/>
        <v>#N/A</v>
      </c>
      <c r="AX196" s="690"/>
    </row>
    <row r="197" spans="2:50">
      <c r="B197" s="685"/>
      <c r="C197" s="497">
        <v>16</v>
      </c>
      <c r="D197" s="497"/>
      <c r="E197" s="498"/>
      <c r="F197" s="498"/>
      <c r="G197" s="498"/>
      <c r="H197" s="697"/>
      <c r="I197" s="498" t="e">
        <f t="shared" si="108"/>
        <v>#DIV/0!</v>
      </c>
      <c r="J197" s="498" t="e">
        <f t="shared" si="108"/>
        <v>#DIV/0!</v>
      </c>
      <c r="K197" s="499" t="e">
        <f t="shared" si="108"/>
        <v>#DIV/0!</v>
      </c>
      <c r="L197" s="634"/>
      <c r="M197" s="498" t="e">
        <f>RANK(K197, K$182:$K$211)</f>
        <v>#DIV/0!</v>
      </c>
      <c r="N197" s="652"/>
      <c r="O197" s="652"/>
      <c r="P197" s="182"/>
      <c r="Q197" s="182"/>
      <c r="R197" s="182"/>
      <c r="S197" s="497" t="e">
        <f t="shared" si="109"/>
        <v>#N/A</v>
      </c>
      <c r="T197" s="699"/>
      <c r="U197" s="182"/>
      <c r="V197" s="182"/>
      <c r="W197" s="182"/>
      <c r="X197" s="497" t="e">
        <f t="shared" si="110"/>
        <v>#N/A</v>
      </c>
      <c r="Y197" s="699"/>
      <c r="Z197" s="182"/>
      <c r="AA197" s="182"/>
      <c r="AB197" s="182"/>
      <c r="AC197" s="497" t="e">
        <f t="shared" si="111"/>
        <v>#N/A</v>
      </c>
      <c r="AD197" s="699"/>
      <c r="AE197" s="182"/>
      <c r="AF197" s="182"/>
      <c r="AG197" s="182"/>
      <c r="AH197" s="497" t="e">
        <f t="shared" si="112"/>
        <v>#N/A</v>
      </c>
      <c r="AI197" s="699"/>
      <c r="AJ197" s="182"/>
      <c r="AK197" s="182"/>
      <c r="AL197" s="182"/>
      <c r="AM197" s="497" t="e">
        <f t="shared" si="113"/>
        <v>#N/A</v>
      </c>
      <c r="AN197" s="699"/>
      <c r="AO197" s="182"/>
      <c r="AP197" s="182"/>
      <c r="AQ197" s="182"/>
      <c r="AR197" s="497" t="e">
        <f t="shared" si="114"/>
        <v>#N/A</v>
      </c>
      <c r="AS197" s="699"/>
      <c r="AT197" s="182"/>
      <c r="AU197" s="182"/>
      <c r="AV197" s="182"/>
      <c r="AW197" s="500" t="e">
        <f t="shared" si="115"/>
        <v>#N/A</v>
      </c>
      <c r="AX197" s="690"/>
    </row>
    <row r="198" spans="2:50">
      <c r="B198" s="685"/>
      <c r="C198" s="497">
        <v>17</v>
      </c>
      <c r="D198" s="497"/>
      <c r="E198" s="498"/>
      <c r="F198" s="498"/>
      <c r="G198" s="498"/>
      <c r="H198" s="697"/>
      <c r="I198" s="498" t="e">
        <f t="shared" si="108"/>
        <v>#DIV/0!</v>
      </c>
      <c r="J198" s="498" t="e">
        <f t="shared" si="108"/>
        <v>#DIV/0!</v>
      </c>
      <c r="K198" s="499" t="e">
        <f t="shared" si="108"/>
        <v>#DIV/0!</v>
      </c>
      <c r="L198" s="634"/>
      <c r="M198" s="498" t="e">
        <f>RANK(K198, K$182:$K$211)</f>
        <v>#DIV/0!</v>
      </c>
      <c r="N198" s="652"/>
      <c r="O198" s="652"/>
      <c r="P198" s="182"/>
      <c r="Q198" s="182"/>
      <c r="R198" s="182"/>
      <c r="S198" s="497" t="e">
        <f t="shared" si="109"/>
        <v>#N/A</v>
      </c>
      <c r="T198" s="699"/>
      <c r="U198" s="182"/>
      <c r="V198" s="182"/>
      <c r="W198" s="182"/>
      <c r="X198" s="497" t="e">
        <f t="shared" si="110"/>
        <v>#N/A</v>
      </c>
      <c r="Y198" s="699"/>
      <c r="Z198" s="182"/>
      <c r="AA198" s="182"/>
      <c r="AB198" s="182"/>
      <c r="AC198" s="497" t="e">
        <f t="shared" si="111"/>
        <v>#N/A</v>
      </c>
      <c r="AD198" s="699"/>
      <c r="AE198" s="182"/>
      <c r="AF198" s="182"/>
      <c r="AG198" s="182"/>
      <c r="AH198" s="497" t="e">
        <f t="shared" si="112"/>
        <v>#N/A</v>
      </c>
      <c r="AI198" s="699"/>
      <c r="AJ198" s="182"/>
      <c r="AK198" s="182"/>
      <c r="AL198" s="182"/>
      <c r="AM198" s="497" t="e">
        <f t="shared" si="113"/>
        <v>#N/A</v>
      </c>
      <c r="AN198" s="699"/>
      <c r="AO198" s="182"/>
      <c r="AP198" s="182"/>
      <c r="AQ198" s="182"/>
      <c r="AR198" s="497" t="e">
        <f t="shared" si="114"/>
        <v>#N/A</v>
      </c>
      <c r="AS198" s="699"/>
      <c r="AT198" s="182"/>
      <c r="AU198" s="182"/>
      <c r="AV198" s="182"/>
      <c r="AW198" s="500" t="e">
        <f t="shared" si="115"/>
        <v>#N/A</v>
      </c>
      <c r="AX198" s="690"/>
    </row>
    <row r="199" spans="2:50">
      <c r="B199" s="685"/>
      <c r="C199" s="497">
        <v>18</v>
      </c>
      <c r="D199" s="497"/>
      <c r="E199" s="498"/>
      <c r="F199" s="498"/>
      <c r="G199" s="498"/>
      <c r="H199" s="697"/>
      <c r="I199" s="498" t="e">
        <f t="shared" ref="I199:K202" si="116">AVERAGE(P199,U199,Z199,AE199,AJ199,AO199,AT199)</f>
        <v>#DIV/0!</v>
      </c>
      <c r="J199" s="498" t="e">
        <f t="shared" si="116"/>
        <v>#DIV/0!</v>
      </c>
      <c r="K199" s="499" t="e">
        <f t="shared" si="116"/>
        <v>#DIV/0!</v>
      </c>
      <c r="L199" s="634"/>
      <c r="M199" s="498" t="e">
        <f>RANK(K199, K$182:$K$211)</f>
        <v>#DIV/0!</v>
      </c>
      <c r="N199" s="652"/>
      <c r="O199" s="652"/>
      <c r="P199" s="182"/>
      <c r="Q199" s="182"/>
      <c r="R199" s="182"/>
      <c r="S199" s="497" t="e">
        <f t="shared" si="109"/>
        <v>#N/A</v>
      </c>
      <c r="T199" s="699"/>
      <c r="U199" s="182"/>
      <c r="V199" s="182"/>
      <c r="W199" s="182"/>
      <c r="X199" s="497" t="e">
        <f t="shared" si="110"/>
        <v>#N/A</v>
      </c>
      <c r="Y199" s="699"/>
      <c r="Z199" s="182"/>
      <c r="AA199" s="182"/>
      <c r="AB199" s="182"/>
      <c r="AC199" s="497" t="e">
        <f t="shared" si="111"/>
        <v>#N/A</v>
      </c>
      <c r="AD199" s="699"/>
      <c r="AE199" s="182"/>
      <c r="AF199" s="182"/>
      <c r="AG199" s="182"/>
      <c r="AH199" s="497" t="e">
        <f t="shared" si="112"/>
        <v>#N/A</v>
      </c>
      <c r="AI199" s="699"/>
      <c r="AJ199" s="182"/>
      <c r="AK199" s="182"/>
      <c r="AL199" s="182"/>
      <c r="AM199" s="497" t="e">
        <f t="shared" si="113"/>
        <v>#N/A</v>
      </c>
      <c r="AN199" s="699"/>
      <c r="AO199" s="182"/>
      <c r="AP199" s="182"/>
      <c r="AQ199" s="182"/>
      <c r="AR199" s="497" t="e">
        <f t="shared" si="114"/>
        <v>#N/A</v>
      </c>
      <c r="AS199" s="699"/>
      <c r="AT199" s="182"/>
      <c r="AU199" s="182"/>
      <c r="AV199" s="182"/>
      <c r="AW199" s="500" t="e">
        <f t="shared" si="115"/>
        <v>#N/A</v>
      </c>
      <c r="AX199" s="690"/>
    </row>
    <row r="200" spans="2:50">
      <c r="B200" s="685"/>
      <c r="C200" s="497">
        <v>19</v>
      </c>
      <c r="D200" s="497"/>
      <c r="E200" s="498"/>
      <c r="F200" s="498"/>
      <c r="G200" s="498"/>
      <c r="H200" s="697"/>
      <c r="I200" s="498" t="e">
        <f t="shared" si="116"/>
        <v>#DIV/0!</v>
      </c>
      <c r="J200" s="498" t="e">
        <f t="shared" si="116"/>
        <v>#DIV/0!</v>
      </c>
      <c r="K200" s="499" t="e">
        <f t="shared" si="116"/>
        <v>#DIV/0!</v>
      </c>
      <c r="L200" s="634"/>
      <c r="M200" s="498" t="e">
        <f>RANK(K200, K$182:$K$211)</f>
        <v>#DIV/0!</v>
      </c>
      <c r="N200" s="652"/>
      <c r="O200" s="652"/>
      <c r="P200" s="182"/>
      <c r="Q200" s="182"/>
      <c r="R200" s="182"/>
      <c r="S200" s="497" t="e">
        <f t="shared" si="109"/>
        <v>#N/A</v>
      </c>
      <c r="T200" s="699"/>
      <c r="U200" s="182"/>
      <c r="V200" s="182"/>
      <c r="W200" s="182"/>
      <c r="X200" s="497" t="e">
        <f t="shared" si="110"/>
        <v>#N/A</v>
      </c>
      <c r="Y200" s="699"/>
      <c r="Z200" s="182"/>
      <c r="AA200" s="182"/>
      <c r="AB200" s="182"/>
      <c r="AC200" s="497" t="e">
        <f t="shared" si="111"/>
        <v>#N/A</v>
      </c>
      <c r="AD200" s="699"/>
      <c r="AE200" s="182"/>
      <c r="AF200" s="182"/>
      <c r="AG200" s="182"/>
      <c r="AH200" s="497" t="e">
        <f t="shared" si="112"/>
        <v>#N/A</v>
      </c>
      <c r="AI200" s="699"/>
      <c r="AJ200" s="182"/>
      <c r="AK200" s="182"/>
      <c r="AL200" s="182"/>
      <c r="AM200" s="497" t="e">
        <f t="shared" si="113"/>
        <v>#N/A</v>
      </c>
      <c r="AN200" s="699"/>
      <c r="AO200" s="182"/>
      <c r="AP200" s="182"/>
      <c r="AQ200" s="182"/>
      <c r="AR200" s="497" t="e">
        <f t="shared" si="114"/>
        <v>#N/A</v>
      </c>
      <c r="AS200" s="699"/>
      <c r="AT200" s="182"/>
      <c r="AU200" s="182"/>
      <c r="AV200" s="182"/>
      <c r="AW200" s="500" t="e">
        <f t="shared" si="115"/>
        <v>#N/A</v>
      </c>
      <c r="AX200" s="690"/>
    </row>
    <row r="201" spans="2:50">
      <c r="B201" s="685"/>
      <c r="C201" s="497">
        <v>20</v>
      </c>
      <c r="D201" s="497"/>
      <c r="E201" s="498"/>
      <c r="F201" s="498"/>
      <c r="G201" s="498"/>
      <c r="H201" s="697"/>
      <c r="I201" s="498" t="e">
        <f t="shared" si="116"/>
        <v>#DIV/0!</v>
      </c>
      <c r="J201" s="498" t="e">
        <f t="shared" si="116"/>
        <v>#DIV/0!</v>
      </c>
      <c r="K201" s="499" t="e">
        <f t="shared" si="116"/>
        <v>#DIV/0!</v>
      </c>
      <c r="L201" s="634"/>
      <c r="M201" s="498" t="e">
        <f>RANK(K201, K$182:$K$211)</f>
        <v>#DIV/0!</v>
      </c>
      <c r="N201" s="652"/>
      <c r="O201" s="652"/>
      <c r="P201" s="182"/>
      <c r="Q201" s="182"/>
      <c r="R201" s="182"/>
      <c r="S201" s="497" t="e">
        <f t="shared" si="109"/>
        <v>#N/A</v>
      </c>
      <c r="T201" s="699"/>
      <c r="U201" s="182"/>
      <c r="V201" s="182"/>
      <c r="W201" s="182"/>
      <c r="X201" s="497" t="e">
        <f t="shared" si="110"/>
        <v>#N/A</v>
      </c>
      <c r="Y201" s="699"/>
      <c r="Z201" s="182"/>
      <c r="AA201" s="182"/>
      <c r="AB201" s="182"/>
      <c r="AC201" s="497" t="e">
        <f t="shared" si="111"/>
        <v>#N/A</v>
      </c>
      <c r="AD201" s="699"/>
      <c r="AE201" s="182"/>
      <c r="AF201" s="182"/>
      <c r="AG201" s="182"/>
      <c r="AH201" s="497" t="e">
        <f t="shared" si="112"/>
        <v>#N/A</v>
      </c>
      <c r="AI201" s="699"/>
      <c r="AJ201" s="182"/>
      <c r="AK201" s="182"/>
      <c r="AL201" s="182"/>
      <c r="AM201" s="497" t="e">
        <f t="shared" si="113"/>
        <v>#N/A</v>
      </c>
      <c r="AN201" s="699"/>
      <c r="AO201" s="182"/>
      <c r="AP201" s="182"/>
      <c r="AQ201" s="182"/>
      <c r="AR201" s="497" t="e">
        <f t="shared" si="114"/>
        <v>#N/A</v>
      </c>
      <c r="AS201" s="699"/>
      <c r="AT201" s="182"/>
      <c r="AU201" s="182"/>
      <c r="AV201" s="182"/>
      <c r="AW201" s="500" t="e">
        <f t="shared" si="115"/>
        <v>#N/A</v>
      </c>
      <c r="AX201" s="690"/>
    </row>
    <row r="202" spans="2:50">
      <c r="B202" s="685"/>
      <c r="C202" s="497">
        <v>21</v>
      </c>
      <c r="D202" s="501"/>
      <c r="E202" s="498"/>
      <c r="F202" s="498"/>
      <c r="G202" s="498"/>
      <c r="H202" s="697"/>
      <c r="I202" s="498" t="e">
        <f t="shared" si="116"/>
        <v>#DIV/0!</v>
      </c>
      <c r="J202" s="498" t="e">
        <f t="shared" si="116"/>
        <v>#DIV/0!</v>
      </c>
      <c r="K202" s="499" t="e">
        <f t="shared" si="116"/>
        <v>#DIV/0!</v>
      </c>
      <c r="L202" s="634"/>
      <c r="M202" s="498" t="e">
        <f>RANK(K202, K$182:$K$211)</f>
        <v>#DIV/0!</v>
      </c>
      <c r="N202" s="652"/>
      <c r="O202" s="652"/>
      <c r="P202" s="508"/>
      <c r="Q202" s="182"/>
      <c r="R202" s="510"/>
      <c r="S202" s="497" t="e">
        <f t="shared" si="109"/>
        <v>#N/A</v>
      </c>
      <c r="T202" s="699"/>
      <c r="U202" s="508"/>
      <c r="V202" s="182"/>
      <c r="W202" s="510"/>
      <c r="X202" s="497" t="e">
        <f t="shared" si="110"/>
        <v>#N/A</v>
      </c>
      <c r="Y202" s="699"/>
      <c r="Z202" s="508"/>
      <c r="AA202" s="182"/>
      <c r="AB202" s="510"/>
      <c r="AC202" s="497" t="e">
        <f t="shared" si="111"/>
        <v>#N/A</v>
      </c>
      <c r="AD202" s="699"/>
      <c r="AE202" s="508"/>
      <c r="AF202" s="182"/>
      <c r="AG202" s="510"/>
      <c r="AH202" s="497" t="e">
        <f t="shared" si="112"/>
        <v>#N/A</v>
      </c>
      <c r="AI202" s="699"/>
      <c r="AJ202" s="508"/>
      <c r="AK202" s="182"/>
      <c r="AL202" s="510"/>
      <c r="AM202" s="497" t="e">
        <f t="shared" si="113"/>
        <v>#N/A</v>
      </c>
      <c r="AN202" s="699"/>
      <c r="AO202" s="508"/>
      <c r="AP202" s="182"/>
      <c r="AQ202" s="510"/>
      <c r="AR202" s="497" t="e">
        <f t="shared" si="114"/>
        <v>#N/A</v>
      </c>
      <c r="AS202" s="699"/>
      <c r="AT202" s="508"/>
      <c r="AU202" s="182"/>
      <c r="AV202" s="510"/>
      <c r="AW202" s="500" t="e">
        <f t="shared" si="115"/>
        <v>#N/A</v>
      </c>
      <c r="AX202" s="690"/>
    </row>
    <row r="203" spans="2:50">
      <c r="B203" s="685"/>
      <c r="C203" s="497">
        <v>22</v>
      </c>
      <c r="D203" s="497"/>
      <c r="E203" s="498"/>
      <c r="F203" s="498"/>
      <c r="G203" s="498"/>
      <c r="H203" s="697"/>
      <c r="I203" s="498"/>
      <c r="J203" s="498"/>
      <c r="K203" s="499"/>
      <c r="L203" s="634"/>
      <c r="M203" s="498" t="e">
        <f>RANK(K203, K$182:$K$211)</f>
        <v>#DIV/0!</v>
      </c>
      <c r="N203" s="652"/>
      <c r="O203" s="652"/>
      <c r="P203" s="508"/>
      <c r="Q203" s="182"/>
      <c r="R203" s="510"/>
      <c r="S203" s="497" t="e">
        <f t="shared" si="109"/>
        <v>#N/A</v>
      </c>
      <c r="T203" s="699"/>
      <c r="U203" s="508"/>
      <c r="V203" s="182"/>
      <c r="W203" s="510"/>
      <c r="X203" s="497" t="e">
        <f t="shared" si="110"/>
        <v>#N/A</v>
      </c>
      <c r="Y203" s="699"/>
      <c r="Z203" s="508"/>
      <c r="AA203" s="182"/>
      <c r="AB203" s="510"/>
      <c r="AC203" s="497" t="e">
        <f t="shared" si="111"/>
        <v>#N/A</v>
      </c>
      <c r="AD203" s="699"/>
      <c r="AE203" s="508"/>
      <c r="AF203" s="182"/>
      <c r="AG203" s="510"/>
      <c r="AH203" s="497" t="e">
        <f t="shared" si="112"/>
        <v>#N/A</v>
      </c>
      <c r="AI203" s="699"/>
      <c r="AJ203" s="508"/>
      <c r="AK203" s="182"/>
      <c r="AL203" s="510"/>
      <c r="AM203" s="497" t="e">
        <f t="shared" si="113"/>
        <v>#N/A</v>
      </c>
      <c r="AN203" s="699"/>
      <c r="AO203" s="508"/>
      <c r="AP203" s="182"/>
      <c r="AQ203" s="510"/>
      <c r="AR203" s="497" t="e">
        <f t="shared" si="114"/>
        <v>#N/A</v>
      </c>
      <c r="AS203" s="699"/>
      <c r="AT203" s="508"/>
      <c r="AU203" s="182"/>
      <c r="AV203" s="510"/>
      <c r="AW203" s="500" t="e">
        <f t="shared" si="115"/>
        <v>#N/A</v>
      </c>
      <c r="AX203" s="690"/>
    </row>
    <row r="204" spans="2:50">
      <c r="B204" s="685"/>
      <c r="C204" s="497">
        <v>23</v>
      </c>
      <c r="D204" s="497"/>
      <c r="E204" s="498"/>
      <c r="F204" s="498"/>
      <c r="G204" s="498"/>
      <c r="H204" s="697"/>
      <c r="I204" s="498"/>
      <c r="J204" s="498"/>
      <c r="K204" s="499"/>
      <c r="L204" s="634"/>
      <c r="M204" s="498" t="e">
        <f>RANK(K204, K$182:$K$211)</f>
        <v>#DIV/0!</v>
      </c>
      <c r="N204" s="652"/>
      <c r="O204" s="652"/>
      <c r="P204" s="508"/>
      <c r="Q204" s="508"/>
      <c r="R204" s="510"/>
      <c r="S204" s="497" t="e">
        <f t="shared" si="109"/>
        <v>#N/A</v>
      </c>
      <c r="T204" s="699"/>
      <c r="U204" s="508"/>
      <c r="V204" s="508"/>
      <c r="W204" s="510"/>
      <c r="X204" s="497" t="e">
        <f t="shared" si="110"/>
        <v>#N/A</v>
      </c>
      <c r="Y204" s="699"/>
      <c r="Z204" s="508"/>
      <c r="AA204" s="508"/>
      <c r="AB204" s="510"/>
      <c r="AC204" s="497" t="e">
        <f t="shared" si="111"/>
        <v>#N/A</v>
      </c>
      <c r="AD204" s="699"/>
      <c r="AE204" s="508"/>
      <c r="AF204" s="508"/>
      <c r="AG204" s="510"/>
      <c r="AH204" s="497" t="e">
        <f t="shared" si="112"/>
        <v>#N/A</v>
      </c>
      <c r="AI204" s="699"/>
      <c r="AJ204" s="508"/>
      <c r="AK204" s="508"/>
      <c r="AL204" s="510"/>
      <c r="AM204" s="497" t="e">
        <f t="shared" si="113"/>
        <v>#N/A</v>
      </c>
      <c r="AN204" s="699"/>
      <c r="AO204" s="508"/>
      <c r="AP204" s="508"/>
      <c r="AQ204" s="510"/>
      <c r="AR204" s="497" t="e">
        <f t="shared" si="114"/>
        <v>#N/A</v>
      </c>
      <c r="AS204" s="699"/>
      <c r="AT204" s="508"/>
      <c r="AU204" s="508"/>
      <c r="AV204" s="510"/>
      <c r="AW204" s="500" t="e">
        <f t="shared" si="115"/>
        <v>#N/A</v>
      </c>
      <c r="AX204" s="690"/>
    </row>
    <row r="205" spans="2:50">
      <c r="B205" s="685"/>
      <c r="C205" s="497">
        <v>24</v>
      </c>
      <c r="D205" s="492"/>
      <c r="E205" s="498"/>
      <c r="F205" s="498"/>
      <c r="G205" s="498"/>
      <c r="H205" s="697"/>
      <c r="I205" s="498"/>
      <c r="J205" s="498"/>
      <c r="K205" s="499"/>
      <c r="L205" s="634"/>
      <c r="M205" s="498" t="e">
        <f>RANK(K205, K$182:$K$211)</f>
        <v>#DIV/0!</v>
      </c>
      <c r="N205" s="652"/>
      <c r="O205" s="652"/>
      <c r="P205" s="508"/>
      <c r="Q205" s="508"/>
      <c r="R205" s="508"/>
      <c r="S205" s="497" t="e">
        <f t="shared" si="109"/>
        <v>#N/A</v>
      </c>
      <c r="T205" s="699"/>
      <c r="U205" s="508"/>
      <c r="V205" s="508"/>
      <c r="W205" s="508"/>
      <c r="X205" s="497" t="e">
        <f t="shared" si="110"/>
        <v>#N/A</v>
      </c>
      <c r="Y205" s="699"/>
      <c r="Z205" s="508"/>
      <c r="AA205" s="508"/>
      <c r="AB205" s="508"/>
      <c r="AC205" s="497" t="e">
        <f t="shared" si="111"/>
        <v>#N/A</v>
      </c>
      <c r="AD205" s="699"/>
      <c r="AE205" s="508"/>
      <c r="AF205" s="508"/>
      <c r="AG205" s="508"/>
      <c r="AH205" s="497" t="e">
        <f t="shared" si="112"/>
        <v>#N/A</v>
      </c>
      <c r="AI205" s="699"/>
      <c r="AJ205" s="508"/>
      <c r="AK205" s="508"/>
      <c r="AL205" s="508"/>
      <c r="AM205" s="497" t="e">
        <f t="shared" si="113"/>
        <v>#N/A</v>
      </c>
      <c r="AN205" s="699"/>
      <c r="AO205" s="508"/>
      <c r="AP205" s="508"/>
      <c r="AQ205" s="508"/>
      <c r="AR205" s="497" t="e">
        <f t="shared" si="114"/>
        <v>#N/A</v>
      </c>
      <c r="AS205" s="699"/>
      <c r="AT205" s="508"/>
      <c r="AU205" s="508"/>
      <c r="AV205" s="508"/>
      <c r="AW205" s="500" t="e">
        <f t="shared" si="115"/>
        <v>#N/A</v>
      </c>
      <c r="AX205" s="690"/>
    </row>
    <row r="206" spans="2:50">
      <c r="B206" s="685"/>
      <c r="C206" s="497">
        <v>25</v>
      </c>
      <c r="D206" s="497"/>
      <c r="E206" s="498"/>
      <c r="F206" s="498"/>
      <c r="G206" s="498"/>
      <c r="H206" s="697"/>
      <c r="I206" s="498"/>
      <c r="J206" s="498"/>
      <c r="K206" s="499"/>
      <c r="L206" s="634"/>
      <c r="M206" s="498" t="e">
        <f>RANK(K206, K$182:$K$211)</f>
        <v>#DIV/0!</v>
      </c>
      <c r="N206" s="652"/>
      <c r="O206" s="652"/>
      <c r="P206" s="508"/>
      <c r="Q206" s="508"/>
      <c r="R206" s="508"/>
      <c r="S206" s="497" t="e">
        <f t="shared" si="109"/>
        <v>#N/A</v>
      </c>
      <c r="T206" s="699"/>
      <c r="U206" s="508"/>
      <c r="V206" s="508"/>
      <c r="W206" s="508"/>
      <c r="X206" s="497" t="e">
        <f t="shared" si="110"/>
        <v>#N/A</v>
      </c>
      <c r="Y206" s="699"/>
      <c r="Z206" s="508"/>
      <c r="AA206" s="508"/>
      <c r="AB206" s="508"/>
      <c r="AC206" s="497" t="e">
        <f t="shared" si="111"/>
        <v>#N/A</v>
      </c>
      <c r="AD206" s="699"/>
      <c r="AE206" s="508"/>
      <c r="AF206" s="508"/>
      <c r="AG206" s="508"/>
      <c r="AH206" s="497" t="e">
        <f t="shared" si="112"/>
        <v>#N/A</v>
      </c>
      <c r="AI206" s="699"/>
      <c r="AJ206" s="508"/>
      <c r="AK206" s="508"/>
      <c r="AL206" s="508"/>
      <c r="AM206" s="497" t="e">
        <f t="shared" si="113"/>
        <v>#N/A</v>
      </c>
      <c r="AN206" s="699"/>
      <c r="AO206" s="508"/>
      <c r="AP206" s="508"/>
      <c r="AQ206" s="508"/>
      <c r="AR206" s="497" t="e">
        <f t="shared" si="114"/>
        <v>#N/A</v>
      </c>
      <c r="AS206" s="699"/>
      <c r="AT206" s="508"/>
      <c r="AU206" s="508"/>
      <c r="AV206" s="508"/>
      <c r="AW206" s="500" t="e">
        <f t="shared" si="115"/>
        <v>#N/A</v>
      </c>
      <c r="AX206" s="690"/>
    </row>
    <row r="207" spans="2:50">
      <c r="B207" s="685"/>
      <c r="C207" s="497">
        <v>26</v>
      </c>
      <c r="D207" s="497"/>
      <c r="E207" s="498"/>
      <c r="F207" s="498"/>
      <c r="G207" s="498"/>
      <c r="H207" s="697"/>
      <c r="I207" s="498"/>
      <c r="J207" s="498"/>
      <c r="K207" s="499"/>
      <c r="L207" s="634"/>
      <c r="M207" s="498" t="e">
        <f>RANK(K207, K$182:$K$211)</f>
        <v>#DIV/0!</v>
      </c>
      <c r="N207" s="652"/>
      <c r="O207" s="652"/>
      <c r="P207" s="508"/>
      <c r="Q207" s="508"/>
      <c r="R207" s="508"/>
      <c r="S207" s="497" t="e">
        <f t="shared" si="109"/>
        <v>#N/A</v>
      </c>
      <c r="T207" s="699"/>
      <c r="U207" s="508"/>
      <c r="V207" s="508"/>
      <c r="W207" s="508"/>
      <c r="X207" s="497" t="e">
        <f t="shared" si="110"/>
        <v>#N/A</v>
      </c>
      <c r="Y207" s="699"/>
      <c r="Z207" s="508"/>
      <c r="AA207" s="508"/>
      <c r="AB207" s="508"/>
      <c r="AC207" s="497" t="e">
        <f t="shared" si="111"/>
        <v>#N/A</v>
      </c>
      <c r="AD207" s="699"/>
      <c r="AE207" s="508"/>
      <c r="AF207" s="508"/>
      <c r="AG207" s="508"/>
      <c r="AH207" s="497" t="e">
        <f t="shared" si="112"/>
        <v>#N/A</v>
      </c>
      <c r="AI207" s="699"/>
      <c r="AJ207" s="508"/>
      <c r="AK207" s="508"/>
      <c r="AL207" s="508"/>
      <c r="AM207" s="497" t="e">
        <f t="shared" si="113"/>
        <v>#N/A</v>
      </c>
      <c r="AN207" s="699"/>
      <c r="AO207" s="508"/>
      <c r="AP207" s="508"/>
      <c r="AQ207" s="508"/>
      <c r="AR207" s="497" t="e">
        <f t="shared" si="114"/>
        <v>#N/A</v>
      </c>
      <c r="AS207" s="699"/>
      <c r="AT207" s="508"/>
      <c r="AU207" s="508"/>
      <c r="AV207" s="508"/>
      <c r="AW207" s="500" t="e">
        <f t="shared" si="115"/>
        <v>#N/A</v>
      </c>
      <c r="AX207" s="690"/>
    </row>
    <row r="208" spans="2:50">
      <c r="B208" s="685"/>
      <c r="C208" s="497">
        <v>27</v>
      </c>
      <c r="D208" s="497"/>
      <c r="E208" s="498"/>
      <c r="F208" s="498"/>
      <c r="G208" s="498"/>
      <c r="H208" s="697"/>
      <c r="I208" s="498"/>
      <c r="J208" s="498"/>
      <c r="K208" s="499"/>
      <c r="L208" s="634"/>
      <c r="M208" s="498" t="e">
        <f>RANK(K208, K$182:$K$211)</f>
        <v>#DIV/0!</v>
      </c>
      <c r="N208" s="652"/>
      <c r="O208" s="652"/>
      <c r="P208" s="508"/>
      <c r="Q208" s="508"/>
      <c r="R208" s="508"/>
      <c r="S208" s="497" t="e">
        <f t="shared" si="109"/>
        <v>#N/A</v>
      </c>
      <c r="T208" s="699"/>
      <c r="U208" s="508"/>
      <c r="V208" s="508"/>
      <c r="W208" s="508"/>
      <c r="X208" s="497" t="e">
        <f t="shared" si="110"/>
        <v>#N/A</v>
      </c>
      <c r="Y208" s="699"/>
      <c r="Z208" s="508"/>
      <c r="AA208" s="508"/>
      <c r="AB208" s="508"/>
      <c r="AC208" s="497" t="e">
        <f t="shared" si="111"/>
        <v>#N/A</v>
      </c>
      <c r="AD208" s="699"/>
      <c r="AE208" s="508"/>
      <c r="AF208" s="508"/>
      <c r="AG208" s="508"/>
      <c r="AH208" s="497" t="e">
        <f t="shared" si="112"/>
        <v>#N/A</v>
      </c>
      <c r="AI208" s="699"/>
      <c r="AJ208" s="508"/>
      <c r="AK208" s="508"/>
      <c r="AL208" s="508"/>
      <c r="AM208" s="497" t="e">
        <f t="shared" si="113"/>
        <v>#N/A</v>
      </c>
      <c r="AN208" s="699"/>
      <c r="AO208" s="508"/>
      <c r="AP208" s="508"/>
      <c r="AQ208" s="508"/>
      <c r="AR208" s="497" t="e">
        <f t="shared" si="114"/>
        <v>#N/A</v>
      </c>
      <c r="AS208" s="699"/>
      <c r="AT208" s="508"/>
      <c r="AU208" s="508"/>
      <c r="AV208" s="508"/>
      <c r="AW208" s="500" t="e">
        <f t="shared" si="115"/>
        <v>#N/A</v>
      </c>
      <c r="AX208" s="690"/>
    </row>
    <row r="209" spans="2:50">
      <c r="B209" s="685"/>
      <c r="C209" s="497">
        <v>28</v>
      </c>
      <c r="D209" s="497"/>
      <c r="E209" s="498"/>
      <c r="F209" s="498"/>
      <c r="G209" s="498"/>
      <c r="H209" s="697"/>
      <c r="I209" s="498"/>
      <c r="J209" s="498"/>
      <c r="K209" s="499"/>
      <c r="L209" s="634"/>
      <c r="M209" s="498" t="e">
        <f>RANK(K209, K$182:$K$211)</f>
        <v>#DIV/0!</v>
      </c>
      <c r="N209" s="652"/>
      <c r="O209" s="652"/>
      <c r="P209" s="508"/>
      <c r="Q209" s="508"/>
      <c r="R209" s="508"/>
      <c r="S209" s="497" t="e">
        <f t="shared" si="109"/>
        <v>#N/A</v>
      </c>
      <c r="T209" s="699"/>
      <c r="U209" s="508"/>
      <c r="V209" s="508"/>
      <c r="W209" s="508"/>
      <c r="X209" s="497" t="e">
        <f t="shared" si="110"/>
        <v>#N/A</v>
      </c>
      <c r="Y209" s="699"/>
      <c r="Z209" s="508"/>
      <c r="AA209" s="508"/>
      <c r="AB209" s="508"/>
      <c r="AC209" s="497" t="e">
        <f t="shared" si="111"/>
        <v>#N/A</v>
      </c>
      <c r="AD209" s="699"/>
      <c r="AE209" s="508"/>
      <c r="AF209" s="508"/>
      <c r="AG209" s="508"/>
      <c r="AH209" s="497" t="e">
        <f t="shared" si="112"/>
        <v>#N/A</v>
      </c>
      <c r="AI209" s="699"/>
      <c r="AJ209" s="508"/>
      <c r="AK209" s="508"/>
      <c r="AL209" s="508"/>
      <c r="AM209" s="497" t="e">
        <f t="shared" si="113"/>
        <v>#N/A</v>
      </c>
      <c r="AN209" s="699"/>
      <c r="AO209" s="508"/>
      <c r="AP209" s="508"/>
      <c r="AQ209" s="508"/>
      <c r="AR209" s="497" t="e">
        <f t="shared" si="114"/>
        <v>#N/A</v>
      </c>
      <c r="AS209" s="699"/>
      <c r="AT209" s="508"/>
      <c r="AU209" s="508"/>
      <c r="AV209" s="508"/>
      <c r="AW209" s="500" t="e">
        <f t="shared" si="115"/>
        <v>#N/A</v>
      </c>
      <c r="AX209" s="690"/>
    </row>
    <row r="210" spans="2:50">
      <c r="B210" s="685"/>
      <c r="C210" s="497">
        <v>29</v>
      </c>
      <c r="D210" s="497"/>
      <c r="E210" s="498"/>
      <c r="F210" s="498"/>
      <c r="G210" s="498"/>
      <c r="H210" s="697"/>
      <c r="I210" s="498"/>
      <c r="J210" s="498"/>
      <c r="K210" s="499"/>
      <c r="L210" s="634"/>
      <c r="M210" s="498" t="e">
        <f>RANK(K210, K$182:$K$211)</f>
        <v>#DIV/0!</v>
      </c>
      <c r="N210" s="652"/>
      <c r="O210" s="652"/>
      <c r="P210" s="508"/>
      <c r="Q210" s="508"/>
      <c r="R210" s="508"/>
      <c r="S210" s="497" t="e">
        <f t="shared" si="109"/>
        <v>#N/A</v>
      </c>
      <c r="T210" s="699"/>
      <c r="U210" s="508"/>
      <c r="V210" s="508"/>
      <c r="W210" s="508"/>
      <c r="X210" s="497" t="e">
        <f t="shared" si="110"/>
        <v>#N/A</v>
      </c>
      <c r="Y210" s="699"/>
      <c r="Z210" s="508"/>
      <c r="AA210" s="508"/>
      <c r="AB210" s="508"/>
      <c r="AC210" s="497" t="e">
        <f t="shared" si="111"/>
        <v>#N/A</v>
      </c>
      <c r="AD210" s="699"/>
      <c r="AE210" s="508"/>
      <c r="AF210" s="508"/>
      <c r="AG210" s="508"/>
      <c r="AH210" s="497" t="e">
        <f t="shared" si="112"/>
        <v>#N/A</v>
      </c>
      <c r="AI210" s="699"/>
      <c r="AJ210" s="508"/>
      <c r="AK210" s="508"/>
      <c r="AL210" s="508"/>
      <c r="AM210" s="497" t="e">
        <f t="shared" si="113"/>
        <v>#N/A</v>
      </c>
      <c r="AN210" s="699"/>
      <c r="AO210" s="508"/>
      <c r="AP210" s="508"/>
      <c r="AQ210" s="508"/>
      <c r="AR210" s="497" t="e">
        <f t="shared" si="114"/>
        <v>#N/A</v>
      </c>
      <c r="AS210" s="699"/>
      <c r="AT210" s="508"/>
      <c r="AU210" s="508"/>
      <c r="AV210" s="508"/>
      <c r="AW210" s="500" t="e">
        <f t="shared" si="115"/>
        <v>#N/A</v>
      </c>
      <c r="AX210" s="690"/>
    </row>
    <row r="211" spans="2:50">
      <c r="B211" s="685"/>
      <c r="C211" s="497">
        <v>30</v>
      </c>
      <c r="D211" s="497"/>
      <c r="E211" s="498"/>
      <c r="F211" s="498"/>
      <c r="G211" s="498"/>
      <c r="H211" s="697"/>
      <c r="I211" s="498"/>
      <c r="J211" s="498"/>
      <c r="K211" s="499"/>
      <c r="L211" s="635"/>
      <c r="M211" s="498" t="e">
        <f>RANK(K211, K$182:$K$211)</f>
        <v>#DIV/0!</v>
      </c>
      <c r="N211" s="652"/>
      <c r="O211" s="652"/>
      <c r="P211" s="508"/>
      <c r="Q211" s="508"/>
      <c r="R211" s="508"/>
      <c r="S211" s="497" t="e">
        <f t="shared" si="109"/>
        <v>#N/A</v>
      </c>
      <c r="T211" s="699"/>
      <c r="U211" s="508"/>
      <c r="V211" s="508"/>
      <c r="W211" s="508"/>
      <c r="X211" s="497" t="e">
        <f t="shared" si="110"/>
        <v>#N/A</v>
      </c>
      <c r="Y211" s="699"/>
      <c r="Z211" s="508"/>
      <c r="AA211" s="508"/>
      <c r="AB211" s="508"/>
      <c r="AC211" s="497" t="e">
        <f t="shared" si="111"/>
        <v>#N/A</v>
      </c>
      <c r="AD211" s="699"/>
      <c r="AE211" s="508"/>
      <c r="AF211" s="508"/>
      <c r="AG211" s="508"/>
      <c r="AH211" s="497" t="e">
        <f t="shared" si="112"/>
        <v>#N/A</v>
      </c>
      <c r="AI211" s="699"/>
      <c r="AJ211" s="508"/>
      <c r="AK211" s="508"/>
      <c r="AL211" s="508"/>
      <c r="AM211" s="497" t="e">
        <f t="shared" si="113"/>
        <v>#N/A</v>
      </c>
      <c r="AN211" s="699"/>
      <c r="AO211" s="508"/>
      <c r="AP211" s="508"/>
      <c r="AQ211" s="508"/>
      <c r="AR211" s="497" t="e">
        <f t="shared" si="114"/>
        <v>#N/A</v>
      </c>
      <c r="AS211" s="699"/>
      <c r="AT211" s="508"/>
      <c r="AU211" s="508"/>
      <c r="AV211" s="508"/>
      <c r="AW211" s="500" t="e">
        <f t="shared" si="115"/>
        <v>#N/A</v>
      </c>
      <c r="AX211" s="690"/>
    </row>
    <row r="213" spans="2:50" ht="15.75">
      <c r="B213" s="691" t="s">
        <v>674</v>
      </c>
      <c r="C213" s="692"/>
      <c r="D213" s="692"/>
      <c r="E213" s="692"/>
      <c r="F213" s="692"/>
      <c r="G213" s="692"/>
      <c r="H213" s="693"/>
      <c r="I213" s="348"/>
      <c r="J213" s="348"/>
      <c r="K213" s="348"/>
      <c r="L213" s="348"/>
      <c r="M213" s="349"/>
    </row>
    <row r="214" spans="2:50" ht="15.75">
      <c r="B214" s="694"/>
      <c r="C214" s="694"/>
      <c r="D214" s="694"/>
      <c r="E214" s="694"/>
      <c r="F214" s="694"/>
      <c r="G214" s="694"/>
      <c r="H214" s="694"/>
      <c r="I214" s="350"/>
      <c r="J214" s="350"/>
      <c r="K214" s="350"/>
      <c r="L214" s="350"/>
      <c r="M214" s="351"/>
    </row>
    <row r="215" spans="2:50">
      <c r="B215" s="652" t="s">
        <v>675</v>
      </c>
      <c r="C215" s="652" t="s">
        <v>676</v>
      </c>
      <c r="D215" s="652"/>
      <c r="E215" s="652" t="s">
        <v>677</v>
      </c>
      <c r="F215" s="652"/>
      <c r="G215" s="652"/>
      <c r="H215" s="652" t="s">
        <v>678</v>
      </c>
      <c r="I215" s="695" t="s">
        <v>679</v>
      </c>
      <c r="J215" s="695"/>
      <c r="K215" s="695"/>
      <c r="L215" s="695" t="s">
        <v>678</v>
      </c>
      <c r="M215" s="695" t="s">
        <v>680</v>
      </c>
    </row>
    <row r="216" spans="2:50">
      <c r="B216" s="652"/>
      <c r="C216" s="652"/>
      <c r="D216" s="652"/>
      <c r="E216" s="652" t="s">
        <v>681</v>
      </c>
      <c r="F216" s="652"/>
      <c r="G216" s="652"/>
      <c r="H216" s="652"/>
      <c r="I216" s="695" t="s">
        <v>681</v>
      </c>
      <c r="J216" s="695"/>
      <c r="K216" s="695"/>
      <c r="L216" s="695"/>
      <c r="M216" s="695"/>
    </row>
    <row r="217" spans="2:50">
      <c r="B217" s="652"/>
      <c r="C217" s="652"/>
      <c r="D217" s="652"/>
      <c r="E217" s="345" t="s">
        <v>682</v>
      </c>
      <c r="F217" s="345" t="s">
        <v>683</v>
      </c>
      <c r="G217" s="345" t="s">
        <v>684</v>
      </c>
      <c r="H217" s="652"/>
      <c r="I217" s="352" t="s">
        <v>682</v>
      </c>
      <c r="J217" s="352" t="s">
        <v>683</v>
      </c>
      <c r="K217" s="352" t="s">
        <v>684</v>
      </c>
      <c r="L217" s="695"/>
      <c r="M217" s="695"/>
    </row>
    <row r="218" spans="2:50">
      <c r="B218" s="684" t="s">
        <v>685</v>
      </c>
      <c r="C218" s="344">
        <v>1</v>
      </c>
      <c r="D218" s="344"/>
      <c r="E218" s="344"/>
      <c r="F218" s="344"/>
      <c r="G218" s="344"/>
      <c r="H218" s="674" t="e">
        <f>AVERAGE(G218:G247)</f>
        <v>#DIV/0!</v>
      </c>
      <c r="I218" s="199" t="e">
        <f t="shared" ref="I218:K240" si="117">AVERAGEIF($D$7:$D$211,$D218,I$7:I$211)</f>
        <v>#DIV/0!</v>
      </c>
      <c r="J218" s="199" t="e">
        <f t="shared" si="117"/>
        <v>#DIV/0!</v>
      </c>
      <c r="K218" s="199" t="e">
        <f>AVERAGEIF($D$7:$D$211,$D218,K$7:K$211)</f>
        <v>#DIV/0!</v>
      </c>
      <c r="L218" s="698" t="e">
        <f>AVERAGE(K218:K247)</f>
        <v>#DIV/0!</v>
      </c>
      <c r="M218" s="199" t="e">
        <f>RANK(K218, K$218:$K$247)</f>
        <v>#DIV/0!</v>
      </c>
    </row>
    <row r="219" spans="2:50">
      <c r="B219" s="660"/>
      <c r="C219" s="344">
        <v>2</v>
      </c>
      <c r="D219" s="344"/>
      <c r="E219" s="344"/>
      <c r="F219" s="344"/>
      <c r="G219" s="534"/>
      <c r="H219" s="674"/>
      <c r="I219" s="199" t="e">
        <f t="shared" si="117"/>
        <v>#DIV/0!</v>
      </c>
      <c r="J219" s="199" t="e">
        <f t="shared" si="117"/>
        <v>#DIV/0!</v>
      </c>
      <c r="K219" s="199" t="e">
        <f t="shared" si="117"/>
        <v>#DIV/0!</v>
      </c>
      <c r="L219" s="698"/>
      <c r="M219" s="199" t="e">
        <f>RANK(K219, K$218:$K$247)</f>
        <v>#DIV/0!</v>
      </c>
    </row>
    <row r="220" spans="2:50">
      <c r="B220" s="660"/>
      <c r="C220" s="344">
        <v>3</v>
      </c>
      <c r="D220" s="344"/>
      <c r="E220" s="344"/>
      <c r="F220" s="534"/>
      <c r="G220" s="344"/>
      <c r="H220" s="674"/>
      <c r="I220" s="199" t="e">
        <f t="shared" si="117"/>
        <v>#DIV/0!</v>
      </c>
      <c r="J220" s="199" t="e">
        <f t="shared" si="117"/>
        <v>#DIV/0!</v>
      </c>
      <c r="K220" s="199" t="e">
        <f t="shared" si="117"/>
        <v>#DIV/0!</v>
      </c>
      <c r="L220" s="698"/>
      <c r="M220" s="199" t="e">
        <f>RANK(K220, K$218:$K$247)</f>
        <v>#DIV/0!</v>
      </c>
    </row>
    <row r="221" spans="2:50">
      <c r="B221" s="660"/>
      <c r="C221" s="344">
        <v>4</v>
      </c>
      <c r="D221" s="344"/>
      <c r="E221" s="344"/>
      <c r="F221" s="534"/>
      <c r="G221" s="534"/>
      <c r="H221" s="674"/>
      <c r="I221" s="199" t="e">
        <f t="shared" si="117"/>
        <v>#DIV/0!</v>
      </c>
      <c r="J221" s="199" t="e">
        <f t="shared" si="117"/>
        <v>#DIV/0!</v>
      </c>
      <c r="K221" s="199" t="e">
        <f t="shared" si="117"/>
        <v>#DIV/0!</v>
      </c>
      <c r="L221" s="698"/>
      <c r="M221" s="199" t="e">
        <f>RANK(K221, K$218:$K$247)</f>
        <v>#DIV/0!</v>
      </c>
    </row>
    <row r="222" spans="2:50">
      <c r="B222" s="660"/>
      <c r="C222" s="344">
        <v>5</v>
      </c>
      <c r="D222" s="344"/>
      <c r="E222" s="344"/>
      <c r="F222" s="534"/>
      <c r="G222" s="534"/>
      <c r="H222" s="674"/>
      <c r="I222" s="199" t="e">
        <f t="shared" si="117"/>
        <v>#DIV/0!</v>
      </c>
      <c r="J222" s="199" t="e">
        <f t="shared" si="117"/>
        <v>#DIV/0!</v>
      </c>
      <c r="K222" s="199" t="e">
        <f t="shared" si="117"/>
        <v>#DIV/0!</v>
      </c>
      <c r="L222" s="698"/>
      <c r="M222" s="199" t="e">
        <f>RANK(K222, K$218:$K$247)</f>
        <v>#DIV/0!</v>
      </c>
    </row>
    <row r="223" spans="2:50">
      <c r="B223" s="660"/>
      <c r="C223" s="344">
        <v>6</v>
      </c>
      <c r="D223" s="344"/>
      <c r="E223" s="344"/>
      <c r="F223" s="534"/>
      <c r="G223" s="534"/>
      <c r="H223" s="674"/>
      <c r="I223" s="199" t="e">
        <f t="shared" si="117"/>
        <v>#DIV/0!</v>
      </c>
      <c r="J223" s="199" t="e">
        <f t="shared" si="117"/>
        <v>#DIV/0!</v>
      </c>
      <c r="K223" s="199" t="e">
        <f t="shared" si="117"/>
        <v>#DIV/0!</v>
      </c>
      <c r="L223" s="698"/>
      <c r="M223" s="199" t="e">
        <f>RANK(K223, K$218:$K$247)</f>
        <v>#DIV/0!</v>
      </c>
    </row>
    <row r="224" spans="2:50">
      <c r="B224" s="660"/>
      <c r="C224" s="344">
        <v>7</v>
      </c>
      <c r="D224" s="533"/>
      <c r="E224" s="344"/>
      <c r="F224" s="534"/>
      <c r="G224" s="534"/>
      <c r="H224" s="674"/>
      <c r="I224" s="199" t="e">
        <f t="shared" si="117"/>
        <v>#DIV/0!</v>
      </c>
      <c r="J224" s="199" t="e">
        <f t="shared" si="117"/>
        <v>#DIV/0!</v>
      </c>
      <c r="K224" s="199" t="e">
        <f t="shared" si="117"/>
        <v>#DIV/0!</v>
      </c>
      <c r="L224" s="698"/>
      <c r="M224" s="199" t="e">
        <f>RANK(K224, K$218:$K$247)</f>
        <v>#DIV/0!</v>
      </c>
    </row>
    <row r="225" spans="2:13">
      <c r="B225" s="660"/>
      <c r="C225" s="344">
        <v>8</v>
      </c>
      <c r="D225" s="533"/>
      <c r="E225" s="344"/>
      <c r="F225" s="534"/>
      <c r="G225" s="534"/>
      <c r="H225" s="674"/>
      <c r="I225" s="199" t="e">
        <f t="shared" si="117"/>
        <v>#DIV/0!</v>
      </c>
      <c r="J225" s="199" t="e">
        <f t="shared" si="117"/>
        <v>#DIV/0!</v>
      </c>
      <c r="K225" s="199" t="e">
        <f t="shared" si="117"/>
        <v>#DIV/0!</v>
      </c>
      <c r="L225" s="698"/>
      <c r="M225" s="199" t="e">
        <f>RANK(K225, K$218:$K$247)</f>
        <v>#DIV/0!</v>
      </c>
    </row>
    <row r="226" spans="2:13">
      <c r="B226" s="660"/>
      <c r="C226" s="344">
        <v>9</v>
      </c>
      <c r="D226" s="344"/>
      <c r="E226" s="344"/>
      <c r="F226" s="344"/>
      <c r="G226" s="344"/>
      <c r="H226" s="674"/>
      <c r="I226" s="199" t="e">
        <f t="shared" si="117"/>
        <v>#DIV/0!</v>
      </c>
      <c r="J226" s="199" t="e">
        <f t="shared" si="117"/>
        <v>#DIV/0!</v>
      </c>
      <c r="K226" s="199" t="e">
        <f t="shared" si="117"/>
        <v>#DIV/0!</v>
      </c>
      <c r="L226" s="698"/>
      <c r="M226" s="199" t="e">
        <f>RANK(K226, K$218:$K$247)</f>
        <v>#DIV/0!</v>
      </c>
    </row>
    <row r="227" spans="2:13">
      <c r="B227" s="660"/>
      <c r="C227" s="344">
        <v>10</v>
      </c>
      <c r="D227" s="344"/>
      <c r="E227" s="344"/>
      <c r="F227" s="344"/>
      <c r="G227" s="344"/>
      <c r="H227" s="674"/>
      <c r="I227" s="199" t="e">
        <f t="shared" si="117"/>
        <v>#DIV/0!</v>
      </c>
      <c r="J227" s="199" t="e">
        <f t="shared" si="117"/>
        <v>#DIV/0!</v>
      </c>
      <c r="K227" s="199" t="e">
        <f t="shared" si="117"/>
        <v>#DIV/0!</v>
      </c>
      <c r="L227" s="698"/>
      <c r="M227" s="199" t="e">
        <f>RANK(K227, K$218:$K$247)</f>
        <v>#DIV/0!</v>
      </c>
    </row>
    <row r="228" spans="2:13">
      <c r="B228" s="660"/>
      <c r="C228" s="344">
        <v>11</v>
      </c>
      <c r="D228" s="344"/>
      <c r="E228" s="344"/>
      <c r="F228" s="344"/>
      <c r="G228" s="344"/>
      <c r="H228" s="674"/>
      <c r="I228" s="199" t="e">
        <f t="shared" si="117"/>
        <v>#DIV/0!</v>
      </c>
      <c r="J228" s="199" t="e">
        <f t="shared" si="117"/>
        <v>#DIV/0!</v>
      </c>
      <c r="K228" s="199" t="e">
        <f t="shared" si="117"/>
        <v>#DIV/0!</v>
      </c>
      <c r="L228" s="698"/>
      <c r="M228" s="199" t="e">
        <f>RANK(K228, K$218:$K$247)</f>
        <v>#DIV/0!</v>
      </c>
    </row>
    <row r="229" spans="2:13">
      <c r="B229" s="660"/>
      <c r="C229" s="344">
        <v>12</v>
      </c>
      <c r="D229" s="344"/>
      <c r="E229" s="344"/>
      <c r="F229" s="344"/>
      <c r="G229" s="344"/>
      <c r="H229" s="674"/>
      <c r="I229" s="199" t="e">
        <f t="shared" si="117"/>
        <v>#DIV/0!</v>
      </c>
      <c r="J229" s="199" t="e">
        <f t="shared" si="117"/>
        <v>#DIV/0!</v>
      </c>
      <c r="K229" s="199" t="e">
        <f t="shared" si="117"/>
        <v>#DIV/0!</v>
      </c>
      <c r="L229" s="698"/>
      <c r="M229" s="199" t="e">
        <f>RANK(K229, K$218:$K$247)</f>
        <v>#DIV/0!</v>
      </c>
    </row>
    <row r="230" spans="2:13">
      <c r="B230" s="660"/>
      <c r="C230" s="344">
        <v>13</v>
      </c>
      <c r="D230" s="344"/>
      <c r="E230" s="344"/>
      <c r="F230" s="344"/>
      <c r="G230" s="344"/>
      <c r="H230" s="674"/>
      <c r="I230" s="199" t="e">
        <f t="shared" si="117"/>
        <v>#DIV/0!</v>
      </c>
      <c r="J230" s="199" t="e">
        <f t="shared" si="117"/>
        <v>#DIV/0!</v>
      </c>
      <c r="K230" s="199" t="e">
        <f t="shared" si="117"/>
        <v>#DIV/0!</v>
      </c>
      <c r="L230" s="698"/>
      <c r="M230" s="199" t="e">
        <f>RANK(K230, K$218:$K$247)</f>
        <v>#DIV/0!</v>
      </c>
    </row>
    <row r="231" spans="2:13">
      <c r="B231" s="660"/>
      <c r="C231" s="344">
        <v>14</v>
      </c>
      <c r="D231" s="344"/>
      <c r="E231" s="344"/>
      <c r="F231" s="344"/>
      <c r="G231" s="344"/>
      <c r="H231" s="674"/>
      <c r="I231" s="199" t="e">
        <f t="shared" si="117"/>
        <v>#DIV/0!</v>
      </c>
      <c r="J231" s="199" t="e">
        <f t="shared" si="117"/>
        <v>#DIV/0!</v>
      </c>
      <c r="K231" s="199" t="e">
        <f t="shared" si="117"/>
        <v>#DIV/0!</v>
      </c>
      <c r="L231" s="698"/>
      <c r="M231" s="199" t="e">
        <f>RANK(K231, K$218:$K$247)</f>
        <v>#DIV/0!</v>
      </c>
    </row>
    <row r="232" spans="2:13">
      <c r="B232" s="660"/>
      <c r="C232" s="344">
        <v>15</v>
      </c>
      <c r="D232" s="344"/>
      <c r="E232" s="344"/>
      <c r="F232" s="344"/>
      <c r="G232" s="344"/>
      <c r="H232" s="674"/>
      <c r="I232" s="199" t="e">
        <f t="shared" si="117"/>
        <v>#DIV/0!</v>
      </c>
      <c r="J232" s="199" t="e">
        <f t="shared" si="117"/>
        <v>#DIV/0!</v>
      </c>
      <c r="K232" s="199" t="e">
        <f t="shared" si="117"/>
        <v>#DIV/0!</v>
      </c>
      <c r="L232" s="698"/>
      <c r="M232" s="199" t="e">
        <f>RANK(K232, K$218:$K$247)</f>
        <v>#DIV/0!</v>
      </c>
    </row>
    <row r="233" spans="2:13">
      <c r="B233" s="660"/>
      <c r="C233" s="344">
        <v>16</v>
      </c>
      <c r="D233" s="344"/>
      <c r="E233" s="344"/>
      <c r="F233" s="344"/>
      <c r="G233" s="344"/>
      <c r="H233" s="674"/>
      <c r="I233" s="199" t="e">
        <f t="shared" si="117"/>
        <v>#DIV/0!</v>
      </c>
      <c r="J233" s="199" t="e">
        <f t="shared" si="117"/>
        <v>#DIV/0!</v>
      </c>
      <c r="K233" s="199" t="e">
        <f t="shared" si="117"/>
        <v>#DIV/0!</v>
      </c>
      <c r="L233" s="698"/>
      <c r="M233" s="199" t="e">
        <f>RANK(K233, K$218:$K$247)</f>
        <v>#DIV/0!</v>
      </c>
    </row>
    <row r="234" spans="2:13">
      <c r="B234" s="660"/>
      <c r="C234" s="344">
        <v>17</v>
      </c>
      <c r="D234" s="344"/>
      <c r="E234" s="344"/>
      <c r="F234" s="344"/>
      <c r="G234" s="344"/>
      <c r="H234" s="674"/>
      <c r="I234" s="199" t="e">
        <f t="shared" si="117"/>
        <v>#DIV/0!</v>
      </c>
      <c r="J234" s="199" t="e">
        <f t="shared" si="117"/>
        <v>#DIV/0!</v>
      </c>
      <c r="K234" s="199" t="e">
        <f t="shared" si="117"/>
        <v>#DIV/0!</v>
      </c>
      <c r="L234" s="698"/>
      <c r="M234" s="199" t="e">
        <f>RANK(K234, K$218:$K$247)</f>
        <v>#DIV/0!</v>
      </c>
    </row>
    <row r="235" spans="2:13">
      <c r="B235" s="660"/>
      <c r="C235" s="344">
        <v>18</v>
      </c>
      <c r="D235" s="344"/>
      <c r="E235" s="344"/>
      <c r="F235" s="344"/>
      <c r="G235" s="344"/>
      <c r="H235" s="674"/>
      <c r="I235" s="199" t="e">
        <f t="shared" si="117"/>
        <v>#DIV/0!</v>
      </c>
      <c r="J235" s="199" t="e">
        <f t="shared" si="117"/>
        <v>#DIV/0!</v>
      </c>
      <c r="K235" s="199" t="e">
        <f t="shared" si="117"/>
        <v>#DIV/0!</v>
      </c>
      <c r="L235" s="698"/>
      <c r="M235" s="199" t="e">
        <f>RANK(K235, K$218:$K$247)</f>
        <v>#DIV/0!</v>
      </c>
    </row>
    <row r="236" spans="2:13">
      <c r="B236" s="660"/>
      <c r="C236" s="344">
        <v>19</v>
      </c>
      <c r="D236" s="344"/>
      <c r="E236" s="344"/>
      <c r="F236" s="344"/>
      <c r="G236" s="344"/>
      <c r="H236" s="674"/>
      <c r="I236" s="199" t="e">
        <f t="shared" si="117"/>
        <v>#DIV/0!</v>
      </c>
      <c r="J236" s="199" t="e">
        <f t="shared" si="117"/>
        <v>#DIV/0!</v>
      </c>
      <c r="K236" s="199" t="e">
        <f t="shared" si="117"/>
        <v>#DIV/0!</v>
      </c>
      <c r="L236" s="698"/>
      <c r="M236" s="199" t="e">
        <f>RANK(K236, K$218:$K$247)</f>
        <v>#DIV/0!</v>
      </c>
    </row>
    <row r="237" spans="2:13">
      <c r="B237" s="660"/>
      <c r="C237" s="344">
        <v>20</v>
      </c>
      <c r="D237" s="344"/>
      <c r="E237" s="344"/>
      <c r="F237" s="344"/>
      <c r="G237" s="344"/>
      <c r="H237" s="674"/>
      <c r="I237" s="199" t="e">
        <f t="shared" si="117"/>
        <v>#DIV/0!</v>
      </c>
      <c r="J237" s="199" t="e">
        <f t="shared" si="117"/>
        <v>#DIV/0!</v>
      </c>
      <c r="K237" s="199" t="e">
        <f t="shared" si="117"/>
        <v>#DIV/0!</v>
      </c>
      <c r="L237" s="698"/>
      <c r="M237" s="199" t="e">
        <f>RANK(K237, K$218:$K$247)</f>
        <v>#DIV/0!</v>
      </c>
    </row>
    <row r="238" spans="2:13">
      <c r="B238" s="660"/>
      <c r="C238" s="344">
        <v>21</v>
      </c>
      <c r="D238" s="344"/>
      <c r="E238" s="344"/>
      <c r="F238" s="344"/>
      <c r="G238" s="344"/>
      <c r="H238" s="674"/>
      <c r="I238" s="199" t="e">
        <f t="shared" si="117"/>
        <v>#DIV/0!</v>
      </c>
      <c r="J238" s="199" t="e">
        <f t="shared" si="117"/>
        <v>#DIV/0!</v>
      </c>
      <c r="K238" s="199" t="e">
        <f t="shared" si="117"/>
        <v>#DIV/0!</v>
      </c>
      <c r="L238" s="698"/>
      <c r="M238" s="199" t="e">
        <f>RANK(K238, K$218:$K$247)</f>
        <v>#DIV/0!</v>
      </c>
    </row>
    <row r="239" spans="2:13">
      <c r="B239" s="660"/>
      <c r="C239" s="344">
        <v>22</v>
      </c>
      <c r="D239" s="344"/>
      <c r="E239" s="344"/>
      <c r="F239" s="344"/>
      <c r="G239" s="344"/>
      <c r="H239" s="674"/>
      <c r="I239" s="199" t="e">
        <f t="shared" si="117"/>
        <v>#DIV/0!</v>
      </c>
      <c r="J239" s="199" t="e">
        <f t="shared" si="117"/>
        <v>#DIV/0!</v>
      </c>
      <c r="K239" s="199" t="e">
        <f t="shared" si="117"/>
        <v>#DIV/0!</v>
      </c>
      <c r="L239" s="698"/>
      <c r="M239" s="199" t="e">
        <f>RANK(K239, K$218:$K$247)</f>
        <v>#DIV/0!</v>
      </c>
    </row>
    <row r="240" spans="2:13">
      <c r="B240" s="660"/>
      <c r="C240" s="344">
        <v>23</v>
      </c>
      <c r="D240" s="344"/>
      <c r="E240" s="344"/>
      <c r="F240" s="344"/>
      <c r="G240" s="344"/>
      <c r="H240" s="674"/>
      <c r="I240" s="199" t="e">
        <f t="shared" si="117"/>
        <v>#DIV/0!</v>
      </c>
      <c r="J240" s="199" t="e">
        <f t="shared" si="117"/>
        <v>#DIV/0!</v>
      </c>
      <c r="K240" s="199" t="e">
        <f t="shared" si="117"/>
        <v>#DIV/0!</v>
      </c>
      <c r="L240" s="698"/>
      <c r="M240" s="199" t="e">
        <f>RANK(K240, K$218:$K$247)</f>
        <v>#DIV/0!</v>
      </c>
    </row>
    <row r="241" spans="2:13">
      <c r="B241" s="660"/>
      <c r="C241" s="344">
        <v>24</v>
      </c>
      <c r="D241" s="344"/>
      <c r="E241" s="344"/>
      <c r="F241" s="344"/>
      <c r="G241" s="344"/>
      <c r="H241" s="674"/>
      <c r="I241" s="199"/>
      <c r="J241" s="199"/>
      <c r="K241" s="199"/>
      <c r="L241" s="698"/>
      <c r="M241" s="199" t="e">
        <f>RANK(K241, K$218:$K$247)</f>
        <v>#DIV/0!</v>
      </c>
    </row>
    <row r="242" spans="2:13">
      <c r="B242" s="660"/>
      <c r="C242" s="344">
        <v>25</v>
      </c>
      <c r="D242" s="344"/>
      <c r="E242" s="344"/>
      <c r="F242" s="344"/>
      <c r="G242" s="344"/>
      <c r="H242" s="674"/>
      <c r="I242" s="199"/>
      <c r="J242" s="199"/>
      <c r="K242" s="199"/>
      <c r="L242" s="698"/>
      <c r="M242" s="199" t="e">
        <f>RANK(K242, K$218:$K$247)</f>
        <v>#DIV/0!</v>
      </c>
    </row>
    <row r="243" spans="2:13">
      <c r="B243" s="660"/>
      <c r="C243" s="344">
        <v>26</v>
      </c>
      <c r="D243" s="344"/>
      <c r="E243" s="344"/>
      <c r="F243" s="344"/>
      <c r="G243" s="344"/>
      <c r="H243" s="674"/>
      <c r="I243" s="199"/>
      <c r="J243" s="199"/>
      <c r="K243" s="199"/>
      <c r="L243" s="698"/>
      <c r="M243" s="199" t="e">
        <f>RANK(K243, K$218:$K$247)</f>
        <v>#DIV/0!</v>
      </c>
    </row>
    <row r="244" spans="2:13">
      <c r="B244" s="660"/>
      <c r="C244" s="344">
        <v>27</v>
      </c>
      <c r="D244" s="344"/>
      <c r="E244" s="344"/>
      <c r="F244" s="344"/>
      <c r="G244" s="344"/>
      <c r="H244" s="674"/>
      <c r="I244" s="199"/>
      <c r="J244" s="199"/>
      <c r="K244" s="199"/>
      <c r="L244" s="698"/>
      <c r="M244" s="199" t="e">
        <f>RANK(K244, K$218:$K$247)</f>
        <v>#DIV/0!</v>
      </c>
    </row>
    <row r="245" spans="2:13">
      <c r="B245" s="660"/>
      <c r="C245" s="344">
        <v>28</v>
      </c>
      <c r="D245" s="344"/>
      <c r="E245" s="344"/>
      <c r="F245" s="344"/>
      <c r="G245" s="344"/>
      <c r="H245" s="674"/>
      <c r="I245" s="199"/>
      <c r="J245" s="199"/>
      <c r="K245" s="199"/>
      <c r="L245" s="698"/>
      <c r="M245" s="199" t="e">
        <f>RANK(K245, K$218:$K$247)</f>
        <v>#DIV/0!</v>
      </c>
    </row>
    <row r="246" spans="2:13">
      <c r="B246" s="660"/>
      <c r="C246" s="344">
        <v>29</v>
      </c>
      <c r="D246" s="344"/>
      <c r="E246" s="344"/>
      <c r="F246" s="344"/>
      <c r="G246" s="344"/>
      <c r="H246" s="674"/>
      <c r="I246" s="199"/>
      <c r="J246" s="199"/>
      <c r="K246" s="199"/>
      <c r="L246" s="698"/>
      <c r="M246" s="199" t="e">
        <f>RANK(K246, K$218:$K$247)</f>
        <v>#DIV/0!</v>
      </c>
    </row>
    <row r="247" spans="2:13">
      <c r="B247" s="660"/>
      <c r="C247" s="344">
        <v>30</v>
      </c>
      <c r="D247" s="344"/>
      <c r="E247" s="344"/>
      <c r="F247" s="344"/>
      <c r="G247" s="344"/>
      <c r="H247" s="674"/>
      <c r="I247" s="199"/>
      <c r="J247" s="199"/>
      <c r="K247" s="199"/>
      <c r="L247" s="698"/>
      <c r="M247" s="199" t="e">
        <f>RANK(K247, K$218:$K$247)</f>
        <v>#DIV/0!</v>
      </c>
    </row>
    <row r="250" spans="2:13">
      <c r="D250" s="534" t="s">
        <v>363</v>
      </c>
      <c r="E250" s="534">
        <v>4</v>
      </c>
      <c r="F250" s="534">
        <v>2700</v>
      </c>
      <c r="G250" s="534">
        <f>F250/E250</f>
        <v>675</v>
      </c>
      <c r="H250" s="107">
        <v>704.2</v>
      </c>
    </row>
    <row r="251" spans="2:13">
      <c r="D251" s="534" t="s">
        <v>365</v>
      </c>
      <c r="E251" s="534">
        <v>3</v>
      </c>
      <c r="F251" s="534">
        <v>2700</v>
      </c>
      <c r="G251" s="534">
        <f t="shared" ref="G251:G255" si="118">F251/E251</f>
        <v>900</v>
      </c>
    </row>
    <row r="252" spans="2:13">
      <c r="D252" s="534" t="s">
        <v>366</v>
      </c>
      <c r="E252" s="534">
        <v>4</v>
      </c>
      <c r="F252" s="534">
        <v>2700</v>
      </c>
      <c r="G252" s="534">
        <f t="shared" si="118"/>
        <v>675</v>
      </c>
    </row>
    <row r="253" spans="2:13">
      <c r="D253" s="534" t="s">
        <v>778</v>
      </c>
      <c r="E253" s="534">
        <v>4</v>
      </c>
      <c r="F253" s="534">
        <v>2700</v>
      </c>
      <c r="G253" s="534">
        <f t="shared" si="118"/>
        <v>675</v>
      </c>
    </row>
    <row r="254" spans="2:13">
      <c r="D254" s="533" t="s">
        <v>917</v>
      </c>
      <c r="E254" s="534">
        <v>4</v>
      </c>
      <c r="F254" s="534">
        <v>2600</v>
      </c>
      <c r="G254" s="534">
        <f t="shared" si="118"/>
        <v>650</v>
      </c>
    </row>
    <row r="255" spans="2:13">
      <c r="D255" s="533" t="s">
        <v>918</v>
      </c>
      <c r="E255" s="534">
        <v>4</v>
      </c>
      <c r="F255" s="534">
        <v>2600</v>
      </c>
      <c r="G255" s="534">
        <f t="shared" si="118"/>
        <v>650</v>
      </c>
    </row>
    <row r="257" spans="4:8">
      <c r="D257" s="534" t="s">
        <v>363</v>
      </c>
      <c r="E257" s="534">
        <v>4</v>
      </c>
      <c r="F257" s="534">
        <v>3300</v>
      </c>
      <c r="G257" s="534">
        <f>F257/E257</f>
        <v>825</v>
      </c>
      <c r="H257" s="107">
        <v>845.8</v>
      </c>
    </row>
    <row r="258" spans="4:8">
      <c r="D258" s="534" t="s">
        <v>365</v>
      </c>
      <c r="E258" s="534">
        <v>3</v>
      </c>
      <c r="F258" s="534">
        <v>3300</v>
      </c>
      <c r="G258" s="534">
        <f t="shared" ref="G258:G262" si="119">F258/E258</f>
        <v>1100</v>
      </c>
    </row>
    <row r="259" spans="4:8">
      <c r="D259" s="534" t="s">
        <v>366</v>
      </c>
      <c r="E259" s="534">
        <v>4</v>
      </c>
      <c r="F259" s="534">
        <v>3300</v>
      </c>
      <c r="G259" s="534">
        <f t="shared" si="119"/>
        <v>825</v>
      </c>
    </row>
    <row r="260" spans="4:8">
      <c r="D260" s="534" t="s">
        <v>778</v>
      </c>
      <c r="E260" s="534">
        <v>4</v>
      </c>
      <c r="F260" s="534">
        <v>3100</v>
      </c>
      <c r="G260" s="534">
        <f t="shared" si="119"/>
        <v>775</v>
      </c>
    </row>
    <row r="261" spans="4:8">
      <c r="D261" s="533" t="s">
        <v>917</v>
      </c>
      <c r="E261" s="534">
        <v>4</v>
      </c>
      <c r="F261" s="534">
        <v>3100</v>
      </c>
      <c r="G261" s="534">
        <f t="shared" si="119"/>
        <v>775</v>
      </c>
    </row>
    <row r="262" spans="4:8">
      <c r="D262" s="533" t="s">
        <v>918</v>
      </c>
      <c r="E262" s="534">
        <v>4</v>
      </c>
      <c r="F262" s="534">
        <v>3100</v>
      </c>
      <c r="G262" s="534">
        <f t="shared" si="119"/>
        <v>775</v>
      </c>
    </row>
  </sheetData>
  <mergeCells count="367"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22" zoomScale="55" zoomScaleNormal="55" workbookViewId="0">
      <pane xSplit="15" topLeftCell="P1" activePane="topRight" state="frozen"/>
      <selection activeCell="P2" sqref="P2:AN2"/>
      <selection pane="topRight" activeCell="AU55" sqref="AU55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22" t="s">
        <v>332</v>
      </c>
      <c r="C1" s="221">
        <f>AVERAGE(L7,L27,L47,L87,L87,L107)</f>
        <v>182.26675861033209</v>
      </c>
    </row>
    <row r="2" spans="1:54" ht="15.75">
      <c r="A2" s="81"/>
      <c r="B2" s="664" t="s">
        <v>163</v>
      </c>
      <c r="C2" s="664"/>
      <c r="D2" s="664"/>
      <c r="E2" s="664"/>
      <c r="F2" s="664"/>
      <c r="G2" s="664"/>
      <c r="H2" s="664"/>
      <c r="I2" s="310"/>
      <c r="J2" s="310"/>
      <c r="K2" s="310"/>
      <c r="L2" s="310"/>
      <c r="M2" s="197"/>
      <c r="N2" s="653" t="s">
        <v>156</v>
      </c>
      <c r="O2" s="653" t="s">
        <v>155</v>
      </c>
      <c r="P2" s="710"/>
      <c r="Q2" s="711"/>
      <c r="R2" s="711"/>
      <c r="S2" s="711"/>
      <c r="T2" s="712"/>
      <c r="U2" s="659"/>
      <c r="V2" s="660"/>
      <c r="W2" s="660"/>
      <c r="X2" s="660"/>
      <c r="Y2" s="660"/>
      <c r="Z2" s="659"/>
      <c r="AA2" s="660"/>
      <c r="AB2" s="660"/>
      <c r="AC2" s="660"/>
      <c r="AD2" s="660"/>
      <c r="AE2" s="659"/>
      <c r="AF2" s="660"/>
      <c r="AG2" s="660"/>
      <c r="AH2" s="660"/>
      <c r="AI2" s="660"/>
      <c r="AJ2" s="659"/>
      <c r="AK2" s="660"/>
      <c r="AL2" s="660"/>
      <c r="AM2" s="660"/>
      <c r="AN2" s="660"/>
      <c r="AO2" s="659">
        <v>46054</v>
      </c>
      <c r="AP2" s="660"/>
      <c r="AQ2" s="660"/>
      <c r="AR2" s="660"/>
      <c r="AS2" s="660"/>
      <c r="AT2" s="659">
        <f>AO2+1</f>
        <v>46055</v>
      </c>
      <c r="AU2" s="660"/>
      <c r="AV2" s="660"/>
      <c r="AW2" s="660"/>
      <c r="AX2" s="660"/>
    </row>
    <row r="3" spans="1:54" ht="15.75">
      <c r="A3" s="81"/>
      <c r="B3" s="683"/>
      <c r="C3" s="683"/>
      <c r="D3" s="683"/>
      <c r="E3" s="683"/>
      <c r="F3" s="683"/>
      <c r="G3" s="683"/>
      <c r="H3" s="683"/>
      <c r="I3" s="311"/>
      <c r="J3" s="311"/>
      <c r="K3" s="311"/>
      <c r="L3" s="311"/>
      <c r="M3" s="198"/>
      <c r="N3" s="655"/>
      <c r="O3" s="655"/>
      <c r="P3" s="659" t="s">
        <v>158</v>
      </c>
      <c r="Q3" s="660"/>
      <c r="R3" s="660"/>
      <c r="S3" s="660"/>
      <c r="T3" s="660"/>
      <c r="U3" s="659" t="s">
        <v>114</v>
      </c>
      <c r="V3" s="660"/>
      <c r="W3" s="660"/>
      <c r="X3" s="660"/>
      <c r="Y3" s="660"/>
      <c r="Z3" s="659" t="s">
        <v>159</v>
      </c>
      <c r="AA3" s="660"/>
      <c r="AB3" s="660"/>
      <c r="AC3" s="660"/>
      <c r="AD3" s="660"/>
      <c r="AE3" s="659" t="s">
        <v>157</v>
      </c>
      <c r="AF3" s="660"/>
      <c r="AG3" s="660"/>
      <c r="AH3" s="660"/>
      <c r="AI3" s="660"/>
      <c r="AJ3" s="659" t="s">
        <v>160</v>
      </c>
      <c r="AK3" s="660"/>
      <c r="AL3" s="660"/>
      <c r="AM3" s="660"/>
      <c r="AN3" s="660"/>
      <c r="AO3" s="659" t="s">
        <v>115</v>
      </c>
      <c r="AP3" s="660"/>
      <c r="AQ3" s="660"/>
      <c r="AR3" s="660"/>
      <c r="AS3" s="660"/>
      <c r="AT3" s="659" t="s">
        <v>162</v>
      </c>
      <c r="AU3" s="660"/>
      <c r="AV3" s="660"/>
      <c r="AW3" s="660"/>
      <c r="AX3" s="660"/>
    </row>
    <row r="4" spans="1:54">
      <c r="A4" s="81"/>
      <c r="B4" s="652" t="s">
        <v>880</v>
      </c>
      <c r="C4" s="652" t="s">
        <v>881</v>
      </c>
      <c r="D4" s="652"/>
      <c r="E4" s="652" t="s">
        <v>882</v>
      </c>
      <c r="F4" s="652"/>
      <c r="G4" s="652"/>
      <c r="H4" s="668" t="s">
        <v>883</v>
      </c>
      <c r="I4" s="652" t="s">
        <v>884</v>
      </c>
      <c r="J4" s="652"/>
      <c r="K4" s="652"/>
      <c r="L4" s="668" t="s">
        <v>883</v>
      </c>
      <c r="M4" s="653" t="s">
        <v>885</v>
      </c>
      <c r="N4" s="652"/>
      <c r="O4" s="652" t="s">
        <v>886</v>
      </c>
      <c r="P4" s="649" t="s">
        <v>887</v>
      </c>
      <c r="Q4" s="650"/>
      <c r="R4" s="650"/>
      <c r="S4" s="651"/>
      <c r="T4" s="652" t="s">
        <v>883</v>
      </c>
      <c r="U4" s="649" t="s">
        <v>887</v>
      </c>
      <c r="V4" s="650"/>
      <c r="W4" s="650"/>
      <c r="X4" s="651"/>
      <c r="Y4" s="652" t="s">
        <v>883</v>
      </c>
      <c r="Z4" s="649" t="s">
        <v>887</v>
      </c>
      <c r="AA4" s="650"/>
      <c r="AB4" s="650"/>
      <c r="AC4" s="651"/>
      <c r="AD4" s="652" t="s">
        <v>883</v>
      </c>
      <c r="AE4" s="649" t="s">
        <v>887</v>
      </c>
      <c r="AF4" s="650"/>
      <c r="AG4" s="650"/>
      <c r="AH4" s="651"/>
      <c r="AI4" s="652" t="s">
        <v>883</v>
      </c>
      <c r="AJ4" s="649" t="s">
        <v>887</v>
      </c>
      <c r="AK4" s="650"/>
      <c r="AL4" s="650"/>
      <c r="AM4" s="651"/>
      <c r="AN4" s="652" t="s">
        <v>883</v>
      </c>
      <c r="AO4" s="649" t="s">
        <v>887</v>
      </c>
      <c r="AP4" s="650"/>
      <c r="AQ4" s="650"/>
      <c r="AR4" s="651"/>
      <c r="AS4" s="652" t="s">
        <v>883</v>
      </c>
      <c r="AT4" s="649" t="s">
        <v>887</v>
      </c>
      <c r="AU4" s="650"/>
      <c r="AV4" s="650"/>
      <c r="AW4" s="651"/>
      <c r="AX4" s="652" t="s">
        <v>883</v>
      </c>
    </row>
    <row r="5" spans="1:54">
      <c r="A5" s="81"/>
      <c r="B5" s="652"/>
      <c r="C5" s="652"/>
      <c r="D5" s="652"/>
      <c r="E5" s="652" t="s">
        <v>888</v>
      </c>
      <c r="F5" s="652"/>
      <c r="G5" s="652"/>
      <c r="H5" s="669"/>
      <c r="I5" s="652" t="s">
        <v>888</v>
      </c>
      <c r="J5" s="652"/>
      <c r="K5" s="652"/>
      <c r="L5" s="669"/>
      <c r="M5" s="654"/>
      <c r="N5" s="652"/>
      <c r="O5" s="652"/>
      <c r="P5" s="649" t="s">
        <v>889</v>
      </c>
      <c r="Q5" s="650"/>
      <c r="R5" s="650"/>
      <c r="S5" s="651"/>
      <c r="T5" s="652"/>
      <c r="U5" s="649" t="s">
        <v>889</v>
      </c>
      <c r="V5" s="650"/>
      <c r="W5" s="650"/>
      <c r="X5" s="651"/>
      <c r="Y5" s="652"/>
      <c r="Z5" s="649" t="s">
        <v>889</v>
      </c>
      <c r="AA5" s="650"/>
      <c r="AB5" s="650"/>
      <c r="AC5" s="651"/>
      <c r="AD5" s="652"/>
      <c r="AE5" s="649" t="s">
        <v>889</v>
      </c>
      <c r="AF5" s="650"/>
      <c r="AG5" s="650"/>
      <c r="AH5" s="651"/>
      <c r="AI5" s="652"/>
      <c r="AJ5" s="649" t="s">
        <v>889</v>
      </c>
      <c r="AK5" s="650"/>
      <c r="AL5" s="650"/>
      <c r="AM5" s="651"/>
      <c r="AN5" s="652"/>
      <c r="AO5" s="649" t="s">
        <v>889</v>
      </c>
      <c r="AP5" s="650"/>
      <c r="AQ5" s="650"/>
      <c r="AR5" s="651"/>
      <c r="AS5" s="652"/>
      <c r="AT5" s="649" t="s">
        <v>889</v>
      </c>
      <c r="AU5" s="650"/>
      <c r="AV5" s="650"/>
      <c r="AW5" s="651"/>
      <c r="AX5" s="652"/>
    </row>
    <row r="6" spans="1:54">
      <c r="A6" s="79"/>
      <c r="B6" s="652"/>
      <c r="C6" s="652"/>
      <c r="D6" s="652"/>
      <c r="E6" s="507" t="s">
        <v>890</v>
      </c>
      <c r="F6" s="507" t="s">
        <v>891</v>
      </c>
      <c r="G6" s="507" t="s">
        <v>892</v>
      </c>
      <c r="H6" s="670"/>
      <c r="I6" s="507" t="s">
        <v>890</v>
      </c>
      <c r="J6" s="507" t="s">
        <v>891</v>
      </c>
      <c r="K6" s="507" t="s">
        <v>892</v>
      </c>
      <c r="L6" s="670"/>
      <c r="M6" s="655"/>
      <c r="N6" s="652"/>
      <c r="O6" s="652"/>
      <c r="P6" s="507" t="s">
        <v>890</v>
      </c>
      <c r="Q6" s="507" t="s">
        <v>891</v>
      </c>
      <c r="R6" s="507" t="s">
        <v>892</v>
      </c>
      <c r="S6" s="507" t="s">
        <v>885</v>
      </c>
      <c r="T6" s="652"/>
      <c r="U6" s="507" t="s">
        <v>890</v>
      </c>
      <c r="V6" s="507" t="s">
        <v>891</v>
      </c>
      <c r="W6" s="507" t="s">
        <v>892</v>
      </c>
      <c r="X6" s="507" t="s">
        <v>885</v>
      </c>
      <c r="Y6" s="652"/>
      <c r="Z6" s="507" t="s">
        <v>890</v>
      </c>
      <c r="AA6" s="507" t="s">
        <v>891</v>
      </c>
      <c r="AB6" s="507" t="s">
        <v>892</v>
      </c>
      <c r="AC6" s="507" t="s">
        <v>885</v>
      </c>
      <c r="AD6" s="652"/>
      <c r="AE6" s="507" t="s">
        <v>890</v>
      </c>
      <c r="AF6" s="507" t="s">
        <v>891</v>
      </c>
      <c r="AG6" s="507" t="s">
        <v>892</v>
      </c>
      <c r="AH6" s="507" t="s">
        <v>885</v>
      </c>
      <c r="AI6" s="652"/>
      <c r="AJ6" s="507" t="s">
        <v>890</v>
      </c>
      <c r="AK6" s="507" t="s">
        <v>891</v>
      </c>
      <c r="AL6" s="507" t="s">
        <v>892</v>
      </c>
      <c r="AM6" s="507" t="s">
        <v>885</v>
      </c>
      <c r="AN6" s="652"/>
      <c r="AO6" s="507" t="s">
        <v>890</v>
      </c>
      <c r="AP6" s="507" t="s">
        <v>891</v>
      </c>
      <c r="AQ6" s="507" t="s">
        <v>892</v>
      </c>
      <c r="AR6" s="507" t="s">
        <v>885</v>
      </c>
      <c r="AS6" s="652"/>
      <c r="AT6" s="507" t="s">
        <v>890</v>
      </c>
      <c r="AU6" s="507" t="s">
        <v>891</v>
      </c>
      <c r="AV6" s="507" t="s">
        <v>892</v>
      </c>
      <c r="AW6" s="507" t="s">
        <v>885</v>
      </c>
      <c r="AX6" s="652"/>
    </row>
    <row r="7" spans="1:54">
      <c r="A7" s="81"/>
      <c r="B7" s="700" t="s">
        <v>893</v>
      </c>
      <c r="C7" s="509">
        <v>1</v>
      </c>
      <c r="D7" s="502" t="s">
        <v>370</v>
      </c>
      <c r="E7" s="513">
        <v>10</v>
      </c>
      <c r="F7" s="513">
        <v>1500</v>
      </c>
      <c r="G7" s="513">
        <v>150</v>
      </c>
      <c r="H7" s="696">
        <f>AVERAGE(G7:G21)</f>
        <v>178.33333333333334</v>
      </c>
      <c r="I7" s="513">
        <f>AVERAGE(P7,U7,Z7,AE7,AJ7,AO7,AT7)</f>
        <v>10</v>
      </c>
      <c r="J7" s="513">
        <f>AVERAGE(Q7,V7,AA7,AF7,AK7,AP7,AU7)</f>
        <v>1414.800000000005</v>
      </c>
      <c r="K7" s="511">
        <f>AVERAGE(R7,W7,AB7,AG7,AL7,AQ7,AV7)</f>
        <v>141.48000000000047</v>
      </c>
      <c r="L7" s="696">
        <f>AVERAGE(K7:K21)</f>
        <v>184.0217211328978</v>
      </c>
      <c r="M7" s="512">
        <f>RANK(K7, K$7:$K$21)</f>
        <v>5</v>
      </c>
      <c r="N7" s="652"/>
      <c r="O7" s="652"/>
      <c r="P7" s="509"/>
      <c r="Q7" s="513"/>
      <c r="R7" s="513"/>
      <c r="S7" s="508" t="e">
        <f>RANK(R7, R$7:R$21)</f>
        <v>#N/A</v>
      </c>
      <c r="T7" s="699" t="e">
        <f>AVERAGE(R7:R21)</f>
        <v>#DIV/0!</v>
      </c>
      <c r="U7" s="509"/>
      <c r="V7" s="513"/>
      <c r="W7" s="513"/>
      <c r="X7" s="508" t="e">
        <f>RANK(W7, W$7:W$21)</f>
        <v>#N/A</v>
      </c>
      <c r="Y7" s="699" t="e">
        <f t="shared" ref="Y7" si="0">AVERAGE(W7:W21)</f>
        <v>#DIV/0!</v>
      </c>
      <c r="Z7" s="509"/>
      <c r="AA7" s="513"/>
      <c r="AB7" s="513"/>
      <c r="AC7" s="508" t="e">
        <f>RANK(AB7, AB$7:AB$21)</f>
        <v>#N/A</v>
      </c>
      <c r="AD7" s="699" t="e">
        <f t="shared" ref="AD7" si="1">AVERAGE(AB7:AB21)</f>
        <v>#DIV/0!</v>
      </c>
      <c r="AE7" s="509"/>
      <c r="AF7" s="513"/>
      <c r="AG7" s="513"/>
      <c r="AH7" s="508" t="e">
        <f>RANK(AG7, AG$7:AG$21)</f>
        <v>#N/A</v>
      </c>
      <c r="AI7" s="699" t="e">
        <f t="shared" ref="AI7" si="2">AVERAGE(AG7:AG21)</f>
        <v>#DIV/0!</v>
      </c>
      <c r="AJ7" s="509"/>
      <c r="AK7" s="513"/>
      <c r="AL7" s="513"/>
      <c r="AM7" s="508" t="e">
        <f>RANK(AL7, AL$7:AL$21)</f>
        <v>#N/A</v>
      </c>
      <c r="AN7" s="699" t="e">
        <f t="shared" ref="AN7" si="3">AVERAGE(AL7:AL21)</f>
        <v>#DIV/0!</v>
      </c>
      <c r="AO7" s="509">
        <v>10</v>
      </c>
      <c r="AP7" s="513">
        <v>1430.4000000000051</v>
      </c>
      <c r="AQ7" s="513">
        <v>143.0400000000005</v>
      </c>
      <c r="AR7" s="508">
        <f>RANK(AQ7, AQ$7:AQ$21)</f>
        <v>5</v>
      </c>
      <c r="AS7" s="699">
        <f t="shared" ref="AS7" si="4">AVERAGE(AQ7:AQ21)</f>
        <v>181.98569716775617</v>
      </c>
      <c r="AT7" s="509">
        <v>10</v>
      </c>
      <c r="AU7" s="513">
        <v>1399.2000000000048</v>
      </c>
      <c r="AV7" s="513">
        <v>139.92000000000047</v>
      </c>
      <c r="AW7" s="508">
        <f>RANK(AV7, AV$7:AV$21)</f>
        <v>5</v>
      </c>
      <c r="AX7" s="699">
        <f t="shared" ref="AX7" si="5">AVERAGE(AV7:AV21)</f>
        <v>186.05774509803939</v>
      </c>
      <c r="AZ7" s="363" t="e">
        <f>RANK(AX7, $K$7:AX$21)</f>
        <v>#N/A</v>
      </c>
      <c r="BB7" s="360" t="e">
        <f>RANK(BA7, BA$7:BA$21)</f>
        <v>#N/A</v>
      </c>
    </row>
    <row r="8" spans="1:54" ht="15" customHeight="1">
      <c r="A8" s="81"/>
      <c r="B8" s="685"/>
      <c r="C8" s="509">
        <v>2</v>
      </c>
      <c r="D8" s="502" t="s">
        <v>371</v>
      </c>
      <c r="E8" s="513">
        <v>15</v>
      </c>
      <c r="F8" s="513">
        <v>1800</v>
      </c>
      <c r="G8" s="513">
        <v>120</v>
      </c>
      <c r="H8" s="697"/>
      <c r="I8" s="513">
        <f t="shared" ref="I8:K10" si="6">AVERAGE(P8,U8,Z8,AE8,AJ8,AO8,AT8)</f>
        <v>12</v>
      </c>
      <c r="J8" s="513">
        <f t="shared" si="6"/>
        <v>1764.0000000000064</v>
      </c>
      <c r="K8" s="511">
        <f t="shared" si="6"/>
        <v>147.00000000000051</v>
      </c>
      <c r="L8" s="697"/>
      <c r="M8" s="512">
        <f>RANK(K8, K$7:$K$21)</f>
        <v>4</v>
      </c>
      <c r="N8" s="652"/>
      <c r="O8" s="652"/>
      <c r="P8" s="509"/>
      <c r="Q8" s="513"/>
      <c r="R8" s="513"/>
      <c r="S8" s="508" t="e">
        <f t="shared" ref="S8:S21" si="7">RANK(R8, R$7:R$21)</f>
        <v>#N/A</v>
      </c>
      <c r="T8" s="699"/>
      <c r="U8" s="509"/>
      <c r="V8" s="513"/>
      <c r="W8" s="513"/>
      <c r="X8" s="508" t="e">
        <f t="shared" ref="X8:X21" si="8">RANK(W8, W$7:W$21)</f>
        <v>#N/A</v>
      </c>
      <c r="Y8" s="699"/>
      <c r="Z8" s="509"/>
      <c r="AA8" s="513"/>
      <c r="AB8" s="513"/>
      <c r="AC8" s="508" t="e">
        <f t="shared" ref="AC8:AC21" si="9">RANK(AB8, AB$7:AB$21)</f>
        <v>#N/A</v>
      </c>
      <c r="AD8" s="699"/>
      <c r="AE8" s="509"/>
      <c r="AF8" s="513"/>
      <c r="AG8" s="513"/>
      <c r="AH8" s="508" t="e">
        <f t="shared" ref="AH8:AH21" si="10">RANK(AG8, AG$7:AG$21)</f>
        <v>#N/A</v>
      </c>
      <c r="AI8" s="699"/>
      <c r="AJ8" s="509"/>
      <c r="AK8" s="513"/>
      <c r="AL8" s="513"/>
      <c r="AM8" s="508" t="e">
        <f t="shared" ref="AM8:AM21" si="11">RANK(AL8, AL$7:AL$21)</f>
        <v>#N/A</v>
      </c>
      <c r="AN8" s="699"/>
      <c r="AO8" s="509">
        <v>12</v>
      </c>
      <c r="AP8" s="513">
        <v>1785.0000000000064</v>
      </c>
      <c r="AQ8" s="513">
        <v>148.75000000000054</v>
      </c>
      <c r="AR8" s="508">
        <f t="shared" ref="AR8:AR21" si="12">RANK(AQ8, AQ$7:AQ$21)</f>
        <v>4</v>
      </c>
      <c r="AS8" s="699"/>
      <c r="AT8" s="509">
        <v>12</v>
      </c>
      <c r="AU8" s="513">
        <v>1743.0000000000061</v>
      </c>
      <c r="AV8" s="513">
        <v>145.25000000000051</v>
      </c>
      <c r="AW8" s="508">
        <f t="shared" ref="AW8:AW21" si="13">RANK(AV8, AV$7:AV$21)</f>
        <v>4</v>
      </c>
      <c r="AX8" s="699"/>
      <c r="AZ8" s="363" t="e">
        <f>RANK(AX8, $K$7:AX$21)</f>
        <v>#N/A</v>
      </c>
      <c r="BB8" s="360" t="e">
        <f t="shared" ref="BB8:BB21" si="14">RANK(BA8, BA$7:BA$21)</f>
        <v>#N/A</v>
      </c>
    </row>
    <row r="9" spans="1:54">
      <c r="A9" s="81"/>
      <c r="B9" s="685"/>
      <c r="C9" s="509">
        <v>3</v>
      </c>
      <c r="D9" s="502" t="s">
        <v>372</v>
      </c>
      <c r="E9" s="513">
        <v>15</v>
      </c>
      <c r="F9" s="513">
        <v>1800</v>
      </c>
      <c r="G9" s="513">
        <v>120</v>
      </c>
      <c r="H9" s="697"/>
      <c r="I9" s="513">
        <f t="shared" si="6"/>
        <v>12</v>
      </c>
      <c r="J9" s="513">
        <f t="shared" si="6"/>
        <v>2097.0000000000073</v>
      </c>
      <c r="K9" s="511">
        <f t="shared" si="6"/>
        <v>174.75000000000063</v>
      </c>
      <c r="L9" s="697"/>
      <c r="M9" s="512">
        <f>RANK(K9, K$7:$K$21)</f>
        <v>3</v>
      </c>
      <c r="N9" s="652"/>
      <c r="O9" s="652"/>
      <c r="P9" s="509"/>
      <c r="Q9" s="513"/>
      <c r="R9" s="513"/>
      <c r="S9" s="508" t="e">
        <f t="shared" si="7"/>
        <v>#N/A</v>
      </c>
      <c r="T9" s="699"/>
      <c r="U9" s="509"/>
      <c r="V9" s="513"/>
      <c r="W9" s="513"/>
      <c r="X9" s="508" t="e">
        <f t="shared" si="8"/>
        <v>#N/A</v>
      </c>
      <c r="Y9" s="699"/>
      <c r="Z9" s="509"/>
      <c r="AA9" s="513"/>
      <c r="AB9" s="513"/>
      <c r="AC9" s="508" t="e">
        <f t="shared" si="9"/>
        <v>#N/A</v>
      </c>
      <c r="AD9" s="699"/>
      <c r="AE9" s="509"/>
      <c r="AF9" s="513"/>
      <c r="AG9" s="513"/>
      <c r="AH9" s="508" t="e">
        <f t="shared" si="10"/>
        <v>#N/A</v>
      </c>
      <c r="AI9" s="699"/>
      <c r="AJ9" s="509"/>
      <c r="AK9" s="513"/>
      <c r="AL9" s="513"/>
      <c r="AM9" s="508" t="e">
        <f t="shared" si="11"/>
        <v>#N/A</v>
      </c>
      <c r="AN9" s="699"/>
      <c r="AO9" s="509">
        <v>12</v>
      </c>
      <c r="AP9" s="513">
        <v>1830.0000000000064</v>
      </c>
      <c r="AQ9" s="513">
        <v>152.50000000000054</v>
      </c>
      <c r="AR9" s="508">
        <f t="shared" si="12"/>
        <v>3</v>
      </c>
      <c r="AS9" s="699"/>
      <c r="AT9" s="509">
        <v>12</v>
      </c>
      <c r="AU9" s="513">
        <v>2364.0000000000086</v>
      </c>
      <c r="AV9" s="513">
        <v>197.00000000000071</v>
      </c>
      <c r="AW9" s="508">
        <f t="shared" si="13"/>
        <v>3</v>
      </c>
      <c r="AX9" s="699"/>
      <c r="AZ9" s="363" t="e">
        <f>RANK(AX9, $K$7:AX$21)</f>
        <v>#N/A</v>
      </c>
      <c r="BB9" s="360" t="e">
        <f t="shared" si="14"/>
        <v>#N/A</v>
      </c>
    </row>
    <row r="10" spans="1:54">
      <c r="A10" s="81"/>
      <c r="B10" s="685"/>
      <c r="C10" s="509">
        <v>4</v>
      </c>
      <c r="D10" s="502" t="s">
        <v>772</v>
      </c>
      <c r="E10" s="513">
        <v>5</v>
      </c>
      <c r="F10" s="513">
        <v>1500</v>
      </c>
      <c r="G10" s="513">
        <v>300</v>
      </c>
      <c r="H10" s="697"/>
      <c r="I10" s="513">
        <f t="shared" si="6"/>
        <v>6</v>
      </c>
      <c r="J10" s="513">
        <f t="shared" si="6"/>
        <v>1528.2352941176491</v>
      </c>
      <c r="K10" s="511">
        <f t="shared" si="6"/>
        <v>254.7058823529415</v>
      </c>
      <c r="L10" s="697"/>
      <c r="M10" s="512">
        <f>RANK(K10, K$7:$K$21)</f>
        <v>2</v>
      </c>
      <c r="N10" s="652"/>
      <c r="O10" s="652"/>
      <c r="P10" s="509"/>
      <c r="Q10" s="513"/>
      <c r="R10" s="513"/>
      <c r="S10" s="508" t="e">
        <f t="shared" si="7"/>
        <v>#N/A</v>
      </c>
      <c r="T10" s="699"/>
      <c r="U10" s="509"/>
      <c r="V10" s="513"/>
      <c r="W10" s="513"/>
      <c r="X10" s="508" t="e">
        <f t="shared" si="8"/>
        <v>#N/A</v>
      </c>
      <c r="Y10" s="699"/>
      <c r="Z10" s="509"/>
      <c r="AA10" s="513"/>
      <c r="AB10" s="513"/>
      <c r="AC10" s="508" t="e">
        <f t="shared" si="9"/>
        <v>#N/A</v>
      </c>
      <c r="AD10" s="699"/>
      <c r="AE10" s="509"/>
      <c r="AF10" s="513"/>
      <c r="AG10" s="513"/>
      <c r="AH10" s="508" t="e">
        <f t="shared" si="10"/>
        <v>#N/A</v>
      </c>
      <c r="AI10" s="699"/>
      <c r="AJ10" s="509"/>
      <c r="AK10" s="513"/>
      <c r="AL10" s="513"/>
      <c r="AM10" s="508" t="e">
        <f t="shared" si="11"/>
        <v>#N/A</v>
      </c>
      <c r="AN10" s="699"/>
      <c r="AO10" s="509">
        <v>6</v>
      </c>
      <c r="AP10" s="513">
        <v>1549.4117647058843</v>
      </c>
      <c r="AQ10" s="513">
        <v>258.23529411764736</v>
      </c>
      <c r="AR10" s="508">
        <f t="shared" si="12"/>
        <v>2</v>
      </c>
      <c r="AS10" s="699"/>
      <c r="AT10" s="509">
        <v>6</v>
      </c>
      <c r="AU10" s="513">
        <v>1507.0588235294138</v>
      </c>
      <c r="AV10" s="513">
        <v>251.17647058823562</v>
      </c>
      <c r="AW10" s="508">
        <f t="shared" si="13"/>
        <v>2</v>
      </c>
      <c r="AX10" s="699"/>
      <c r="AZ10" s="363" t="e">
        <f>RANK(AX10, $K$7:AX$21)</f>
        <v>#N/A</v>
      </c>
      <c r="BB10" s="360" t="e">
        <f t="shared" si="14"/>
        <v>#N/A</v>
      </c>
    </row>
    <row r="11" spans="1:54">
      <c r="A11" s="81"/>
      <c r="B11" s="685"/>
      <c r="C11" s="509">
        <v>5</v>
      </c>
      <c r="D11" s="502" t="s">
        <v>708</v>
      </c>
      <c r="E11" s="513">
        <v>5</v>
      </c>
      <c r="F11" s="513">
        <v>1500</v>
      </c>
      <c r="G11" s="513">
        <v>300</v>
      </c>
      <c r="H11" s="697"/>
      <c r="I11" s="513">
        <f>AVERAGE(P11,U11,Z11,AE11,AJ11,AO11,AT11)</f>
        <v>5</v>
      </c>
      <c r="J11" s="513">
        <f>AVERAGE(Q11,V11,AA11,AF11,AK11,AP11,AU11)</f>
        <v>1517.2222222222204</v>
      </c>
      <c r="K11" s="511">
        <f>AVERAGE(R11,W11,AB11,AG11,AL11,AQ11,AV11)</f>
        <v>303.44444444444406</v>
      </c>
      <c r="L11" s="697"/>
      <c r="M11" s="512">
        <f>RANK(K11, K$7:$K$21)</f>
        <v>1</v>
      </c>
      <c r="N11" s="652"/>
      <c r="O11" s="652"/>
      <c r="P11" s="509"/>
      <c r="Q11" s="513"/>
      <c r="R11" s="513"/>
      <c r="S11" s="508" t="e">
        <f t="shared" si="7"/>
        <v>#N/A</v>
      </c>
      <c r="T11" s="699"/>
      <c r="U11" s="509"/>
      <c r="V11" s="513"/>
      <c r="W11" s="513"/>
      <c r="X11" s="508" t="e">
        <f t="shared" si="8"/>
        <v>#N/A</v>
      </c>
      <c r="Y11" s="699"/>
      <c r="Z11" s="509"/>
      <c r="AA11" s="513"/>
      <c r="AB11" s="513"/>
      <c r="AC11" s="508" t="e">
        <f t="shared" si="9"/>
        <v>#N/A</v>
      </c>
      <c r="AD11" s="699"/>
      <c r="AE11" s="509"/>
      <c r="AF11" s="513"/>
      <c r="AG11" s="513"/>
      <c r="AH11" s="508" t="e">
        <f t="shared" si="10"/>
        <v>#N/A</v>
      </c>
      <c r="AI11" s="699"/>
      <c r="AJ11" s="509"/>
      <c r="AK11" s="513"/>
      <c r="AL11" s="513"/>
      <c r="AM11" s="508" t="e">
        <f t="shared" si="11"/>
        <v>#N/A</v>
      </c>
      <c r="AN11" s="699"/>
      <c r="AO11" s="509">
        <v>5</v>
      </c>
      <c r="AP11" s="513">
        <v>1524.444444444443</v>
      </c>
      <c r="AQ11" s="513">
        <v>304.88888888888857</v>
      </c>
      <c r="AR11" s="508">
        <f t="shared" si="12"/>
        <v>1</v>
      </c>
      <c r="AS11" s="699"/>
      <c r="AT11" s="509">
        <v>5</v>
      </c>
      <c r="AU11" s="513">
        <v>1509.9999999999977</v>
      </c>
      <c r="AV11" s="513">
        <v>301.99999999999955</v>
      </c>
      <c r="AW11" s="508">
        <f t="shared" si="13"/>
        <v>1</v>
      </c>
      <c r="AX11" s="699"/>
      <c r="AZ11" s="363" t="e">
        <f>RANK(AX11, $K$7:AX$21)</f>
        <v>#N/A</v>
      </c>
      <c r="BB11" s="360" t="e">
        <f t="shared" si="14"/>
        <v>#N/A</v>
      </c>
    </row>
    <row r="12" spans="1:54">
      <c r="A12" s="81"/>
      <c r="B12" s="685"/>
      <c r="C12" s="509">
        <v>6</v>
      </c>
      <c r="D12" s="502" t="s">
        <v>775</v>
      </c>
      <c r="E12" s="513">
        <v>15</v>
      </c>
      <c r="F12" s="513">
        <v>1200</v>
      </c>
      <c r="G12" s="513">
        <v>80</v>
      </c>
      <c r="H12" s="697"/>
      <c r="I12" s="513">
        <f t="shared" ref="I12:K12" si="15">AVERAGE(P12,U12,Z12,AE12,AJ12,AO12,AT12)</f>
        <v>12</v>
      </c>
      <c r="J12" s="513">
        <f t="shared" si="15"/>
        <v>992.99999999999557</v>
      </c>
      <c r="K12" s="511">
        <f t="shared" si="15"/>
        <v>82.749999999999631</v>
      </c>
      <c r="L12" s="697"/>
      <c r="M12" s="512">
        <f>RANK(K12, K$7:$K$21)</f>
        <v>6</v>
      </c>
      <c r="N12" s="652"/>
      <c r="O12" s="652"/>
      <c r="P12" s="509"/>
      <c r="Q12" s="513"/>
      <c r="R12" s="513"/>
      <c r="S12" s="508" t="e">
        <f t="shared" si="7"/>
        <v>#N/A</v>
      </c>
      <c r="T12" s="699"/>
      <c r="U12" s="509"/>
      <c r="V12" s="513"/>
      <c r="W12" s="513"/>
      <c r="X12" s="508" t="e">
        <f t="shared" si="8"/>
        <v>#N/A</v>
      </c>
      <c r="Y12" s="699"/>
      <c r="Z12" s="509"/>
      <c r="AA12" s="513"/>
      <c r="AB12" s="513"/>
      <c r="AC12" s="508" t="e">
        <f t="shared" si="9"/>
        <v>#N/A</v>
      </c>
      <c r="AD12" s="699"/>
      <c r="AE12" s="509"/>
      <c r="AF12" s="513"/>
      <c r="AG12" s="513"/>
      <c r="AH12" s="508" t="e">
        <f t="shared" si="10"/>
        <v>#N/A</v>
      </c>
      <c r="AI12" s="699"/>
      <c r="AJ12" s="509"/>
      <c r="AK12" s="513"/>
      <c r="AL12" s="513"/>
      <c r="AM12" s="508" t="e">
        <f t="shared" si="11"/>
        <v>#N/A</v>
      </c>
      <c r="AN12" s="699"/>
      <c r="AO12" s="509">
        <v>12</v>
      </c>
      <c r="AP12" s="513">
        <v>1013.9999999999955</v>
      </c>
      <c r="AQ12" s="513">
        <v>84.499999999999616</v>
      </c>
      <c r="AR12" s="508">
        <f t="shared" si="12"/>
        <v>6</v>
      </c>
      <c r="AS12" s="699"/>
      <c r="AT12" s="509">
        <v>12</v>
      </c>
      <c r="AU12" s="513">
        <v>971.99999999999568</v>
      </c>
      <c r="AV12" s="513">
        <v>80.999999999999645</v>
      </c>
      <c r="AW12" s="508">
        <f t="shared" si="13"/>
        <v>6</v>
      </c>
      <c r="AX12" s="699"/>
      <c r="AZ12" s="363" t="e">
        <f>RANK(AX12, $K$7:AX$21)</f>
        <v>#N/A</v>
      </c>
      <c r="BB12" s="360" t="e">
        <f t="shared" si="14"/>
        <v>#N/A</v>
      </c>
    </row>
    <row r="13" spans="1:54">
      <c r="A13" s="81"/>
      <c r="B13" s="685"/>
      <c r="C13" s="509">
        <v>7</v>
      </c>
      <c r="D13" s="502"/>
      <c r="E13" s="513"/>
      <c r="F13" s="513"/>
      <c r="G13" s="513"/>
      <c r="H13" s="697"/>
      <c r="I13" s="513"/>
      <c r="J13" s="513"/>
      <c r="K13" s="511"/>
      <c r="L13" s="697"/>
      <c r="M13" s="512" t="e">
        <f>RANK(K13, K$7:$K$21)</f>
        <v>#N/A</v>
      </c>
      <c r="N13" s="652"/>
      <c r="O13" s="652"/>
      <c r="P13" s="509"/>
      <c r="Q13" s="513"/>
      <c r="R13" s="513"/>
      <c r="S13" s="508" t="e">
        <f t="shared" si="7"/>
        <v>#N/A</v>
      </c>
      <c r="T13" s="699"/>
      <c r="U13" s="509"/>
      <c r="V13" s="513"/>
      <c r="W13" s="513"/>
      <c r="X13" s="508" t="e">
        <f t="shared" si="8"/>
        <v>#N/A</v>
      </c>
      <c r="Y13" s="699"/>
      <c r="Z13" s="509"/>
      <c r="AA13" s="513"/>
      <c r="AB13" s="513"/>
      <c r="AC13" s="508" t="e">
        <f t="shared" si="9"/>
        <v>#N/A</v>
      </c>
      <c r="AD13" s="699"/>
      <c r="AE13" s="509"/>
      <c r="AF13" s="513"/>
      <c r="AG13" s="513"/>
      <c r="AH13" s="508" t="e">
        <f t="shared" si="10"/>
        <v>#N/A</v>
      </c>
      <c r="AI13" s="699"/>
      <c r="AJ13" s="509"/>
      <c r="AK13" s="513"/>
      <c r="AL13" s="513"/>
      <c r="AM13" s="508" t="e">
        <f t="shared" si="11"/>
        <v>#N/A</v>
      </c>
      <c r="AN13" s="699"/>
      <c r="AO13" s="509"/>
      <c r="AP13" s="513"/>
      <c r="AQ13" s="513"/>
      <c r="AR13" s="508" t="e">
        <f t="shared" si="12"/>
        <v>#N/A</v>
      </c>
      <c r="AS13" s="699"/>
      <c r="AT13" s="509"/>
      <c r="AU13" s="513"/>
      <c r="AV13" s="513"/>
      <c r="AW13" s="508" t="e">
        <f t="shared" si="13"/>
        <v>#N/A</v>
      </c>
      <c r="AX13" s="699"/>
      <c r="AZ13" s="363" t="e">
        <f>RANK(AX13, $K$7:AX$21)</f>
        <v>#N/A</v>
      </c>
      <c r="BB13" s="360" t="e">
        <f t="shared" si="14"/>
        <v>#N/A</v>
      </c>
    </row>
    <row r="14" spans="1:54">
      <c r="A14" s="81"/>
      <c r="B14" s="685"/>
      <c r="C14" s="509">
        <v>8</v>
      </c>
      <c r="D14" s="353"/>
      <c r="E14" s="513" t="s">
        <v>779</v>
      </c>
      <c r="F14" s="513" t="s">
        <v>779</v>
      </c>
      <c r="G14" s="513" t="s">
        <v>779</v>
      </c>
      <c r="H14" s="697"/>
      <c r="I14" s="513"/>
      <c r="J14" s="513"/>
      <c r="K14" s="511"/>
      <c r="L14" s="697"/>
      <c r="M14" s="512" t="e">
        <f>RANK(K14, K$7:$K$21)</f>
        <v>#N/A</v>
      </c>
      <c r="N14" s="652"/>
      <c r="O14" s="652"/>
      <c r="P14" s="509"/>
      <c r="Q14" s="513"/>
      <c r="R14" s="513"/>
      <c r="S14" s="508" t="e">
        <f t="shared" si="7"/>
        <v>#N/A</v>
      </c>
      <c r="T14" s="699"/>
      <c r="U14" s="509"/>
      <c r="V14" s="513"/>
      <c r="W14" s="513"/>
      <c r="X14" s="508" t="e">
        <f t="shared" si="8"/>
        <v>#N/A</v>
      </c>
      <c r="Y14" s="699"/>
      <c r="Z14" s="509"/>
      <c r="AA14" s="513"/>
      <c r="AB14" s="513"/>
      <c r="AC14" s="508" t="e">
        <f t="shared" si="9"/>
        <v>#N/A</v>
      </c>
      <c r="AD14" s="699"/>
      <c r="AE14" s="509"/>
      <c r="AF14" s="513"/>
      <c r="AG14" s="513"/>
      <c r="AH14" s="508" t="e">
        <f t="shared" si="10"/>
        <v>#N/A</v>
      </c>
      <c r="AI14" s="699"/>
      <c r="AJ14" s="509"/>
      <c r="AK14" s="513"/>
      <c r="AL14" s="513"/>
      <c r="AM14" s="508" t="e">
        <f t="shared" si="11"/>
        <v>#N/A</v>
      </c>
      <c r="AN14" s="699"/>
      <c r="AO14" s="509"/>
      <c r="AP14" s="513"/>
      <c r="AQ14" s="513"/>
      <c r="AR14" s="508" t="e">
        <f t="shared" si="12"/>
        <v>#N/A</v>
      </c>
      <c r="AS14" s="699"/>
      <c r="AT14" s="509"/>
      <c r="AU14" s="513"/>
      <c r="AV14" s="513"/>
      <c r="AW14" s="508" t="e">
        <f t="shared" si="13"/>
        <v>#N/A</v>
      </c>
      <c r="AX14" s="699"/>
      <c r="AZ14" s="363" t="e">
        <f>RANK(AX14, $K$7:AX$21)</f>
        <v>#N/A</v>
      </c>
      <c r="BB14" s="360" t="e">
        <f t="shared" si="14"/>
        <v>#N/A</v>
      </c>
    </row>
    <row r="15" spans="1:54">
      <c r="A15" s="81"/>
      <c r="B15" s="685"/>
      <c r="C15" s="509">
        <v>9</v>
      </c>
      <c r="D15" s="502"/>
      <c r="E15" s="513" t="s">
        <v>779</v>
      </c>
      <c r="F15" s="513" t="s">
        <v>779</v>
      </c>
      <c r="G15" s="513" t="s">
        <v>779</v>
      </c>
      <c r="H15" s="697"/>
      <c r="I15" s="513"/>
      <c r="J15" s="513"/>
      <c r="K15" s="511"/>
      <c r="L15" s="697"/>
      <c r="M15" s="512" t="e">
        <f>RANK(K15, K$7:$K$21)</f>
        <v>#N/A</v>
      </c>
      <c r="N15" s="652"/>
      <c r="O15" s="652"/>
      <c r="P15" s="509"/>
      <c r="Q15" s="513"/>
      <c r="R15" s="513"/>
      <c r="S15" s="508" t="e">
        <f t="shared" si="7"/>
        <v>#N/A</v>
      </c>
      <c r="T15" s="699"/>
      <c r="U15" s="509"/>
      <c r="V15" s="513"/>
      <c r="W15" s="513"/>
      <c r="X15" s="508" t="e">
        <f t="shared" si="8"/>
        <v>#N/A</v>
      </c>
      <c r="Y15" s="699"/>
      <c r="Z15" s="509"/>
      <c r="AA15" s="513"/>
      <c r="AB15" s="513"/>
      <c r="AC15" s="508" t="e">
        <f t="shared" si="9"/>
        <v>#N/A</v>
      </c>
      <c r="AD15" s="699"/>
      <c r="AE15" s="509"/>
      <c r="AF15" s="513"/>
      <c r="AG15" s="513"/>
      <c r="AH15" s="508" t="e">
        <f t="shared" si="10"/>
        <v>#N/A</v>
      </c>
      <c r="AI15" s="699"/>
      <c r="AJ15" s="509"/>
      <c r="AK15" s="513"/>
      <c r="AL15" s="513"/>
      <c r="AM15" s="508" t="e">
        <f t="shared" si="11"/>
        <v>#N/A</v>
      </c>
      <c r="AN15" s="699"/>
      <c r="AO15" s="509"/>
      <c r="AP15" s="513"/>
      <c r="AQ15" s="513"/>
      <c r="AR15" s="508" t="e">
        <f t="shared" si="12"/>
        <v>#N/A</v>
      </c>
      <c r="AS15" s="699"/>
      <c r="AT15" s="509"/>
      <c r="AU15" s="513"/>
      <c r="AV15" s="513"/>
      <c r="AW15" s="508" t="e">
        <f t="shared" si="13"/>
        <v>#N/A</v>
      </c>
      <c r="AX15" s="699"/>
      <c r="AZ15" s="363" t="e">
        <f>RANK(AX15, $K$7:AX$21)</f>
        <v>#N/A</v>
      </c>
      <c r="BB15" s="360" t="e">
        <f t="shared" si="14"/>
        <v>#N/A</v>
      </c>
    </row>
    <row r="16" spans="1:54">
      <c r="A16" s="81"/>
      <c r="B16" s="685"/>
      <c r="C16" s="509">
        <v>10</v>
      </c>
      <c r="D16" s="502"/>
      <c r="E16" s="513" t="s">
        <v>779</v>
      </c>
      <c r="F16" s="513" t="s">
        <v>779</v>
      </c>
      <c r="G16" s="513" t="s">
        <v>779</v>
      </c>
      <c r="H16" s="697"/>
      <c r="I16" s="513"/>
      <c r="J16" s="513"/>
      <c r="K16" s="511"/>
      <c r="L16" s="697"/>
      <c r="M16" s="512" t="e">
        <f>RANK(K16, K$7:$K$21)</f>
        <v>#N/A</v>
      </c>
      <c r="N16" s="652"/>
      <c r="O16" s="652"/>
      <c r="P16" s="509"/>
      <c r="Q16" s="513"/>
      <c r="R16" s="513"/>
      <c r="S16" s="508" t="e">
        <f t="shared" si="7"/>
        <v>#N/A</v>
      </c>
      <c r="T16" s="699"/>
      <c r="U16" s="509"/>
      <c r="V16" s="513"/>
      <c r="W16" s="513"/>
      <c r="X16" s="508" t="e">
        <f t="shared" si="8"/>
        <v>#N/A</v>
      </c>
      <c r="Y16" s="699"/>
      <c r="Z16" s="509"/>
      <c r="AA16" s="513"/>
      <c r="AB16" s="513"/>
      <c r="AC16" s="508" t="e">
        <f t="shared" si="9"/>
        <v>#N/A</v>
      </c>
      <c r="AD16" s="699"/>
      <c r="AE16" s="509"/>
      <c r="AF16" s="513"/>
      <c r="AG16" s="513"/>
      <c r="AH16" s="508" t="e">
        <f t="shared" si="10"/>
        <v>#N/A</v>
      </c>
      <c r="AI16" s="699"/>
      <c r="AJ16" s="509"/>
      <c r="AK16" s="513"/>
      <c r="AL16" s="513"/>
      <c r="AM16" s="508" t="e">
        <f t="shared" si="11"/>
        <v>#N/A</v>
      </c>
      <c r="AN16" s="699"/>
      <c r="AO16" s="509"/>
      <c r="AP16" s="513"/>
      <c r="AQ16" s="513"/>
      <c r="AR16" s="508" t="e">
        <f t="shared" si="12"/>
        <v>#N/A</v>
      </c>
      <c r="AS16" s="699"/>
      <c r="AT16" s="509"/>
      <c r="AU16" s="513"/>
      <c r="AV16" s="513"/>
      <c r="AW16" s="508" t="e">
        <f t="shared" si="13"/>
        <v>#N/A</v>
      </c>
      <c r="AX16" s="699"/>
      <c r="AZ16" s="363" t="e">
        <f>RANK(AX16, $K$7:AX$21)</f>
        <v>#N/A</v>
      </c>
      <c r="BB16" s="360" t="e">
        <f t="shared" si="14"/>
        <v>#N/A</v>
      </c>
    </row>
    <row r="17" spans="2:54">
      <c r="B17" s="685"/>
      <c r="C17" s="509">
        <v>11</v>
      </c>
      <c r="D17" s="502"/>
      <c r="E17" s="513" t="s">
        <v>779</v>
      </c>
      <c r="F17" s="513" t="s">
        <v>779</v>
      </c>
      <c r="G17" s="513" t="s">
        <v>779</v>
      </c>
      <c r="H17" s="697"/>
      <c r="I17" s="509"/>
      <c r="J17" s="509"/>
      <c r="K17" s="509"/>
      <c r="L17" s="697"/>
      <c r="M17" s="512" t="e">
        <f>RANK(K17, K$7:$K$21)</f>
        <v>#N/A</v>
      </c>
      <c r="N17" s="652"/>
      <c r="O17" s="652"/>
      <c r="P17" s="509"/>
      <c r="Q17" s="513"/>
      <c r="R17" s="513"/>
      <c r="S17" s="508" t="e">
        <f t="shared" si="7"/>
        <v>#N/A</v>
      </c>
      <c r="T17" s="699"/>
      <c r="U17" s="509"/>
      <c r="V17" s="513"/>
      <c r="W17" s="513"/>
      <c r="X17" s="508" t="e">
        <f t="shared" si="8"/>
        <v>#N/A</v>
      </c>
      <c r="Y17" s="699"/>
      <c r="Z17" s="509"/>
      <c r="AA17" s="513"/>
      <c r="AB17" s="513"/>
      <c r="AC17" s="508" t="e">
        <f t="shared" si="9"/>
        <v>#N/A</v>
      </c>
      <c r="AD17" s="699"/>
      <c r="AE17" s="509"/>
      <c r="AF17" s="513"/>
      <c r="AG17" s="513"/>
      <c r="AH17" s="508" t="e">
        <f t="shared" si="10"/>
        <v>#N/A</v>
      </c>
      <c r="AI17" s="699"/>
      <c r="AJ17" s="509"/>
      <c r="AK17" s="513"/>
      <c r="AL17" s="513"/>
      <c r="AM17" s="508" t="e">
        <f t="shared" si="11"/>
        <v>#N/A</v>
      </c>
      <c r="AN17" s="699"/>
      <c r="AO17" s="509"/>
      <c r="AP17" s="513"/>
      <c r="AQ17" s="513"/>
      <c r="AR17" s="508" t="e">
        <f t="shared" si="12"/>
        <v>#N/A</v>
      </c>
      <c r="AS17" s="699"/>
      <c r="AT17" s="509"/>
      <c r="AU17" s="513"/>
      <c r="AV17" s="513"/>
      <c r="AW17" s="508" t="e">
        <f t="shared" si="13"/>
        <v>#N/A</v>
      </c>
      <c r="AX17" s="699"/>
      <c r="AZ17" s="363" t="e">
        <f>RANK(AX17, $K$7:AX$21)</f>
        <v>#N/A</v>
      </c>
      <c r="BB17" s="360" t="e">
        <f t="shared" si="14"/>
        <v>#N/A</v>
      </c>
    </row>
    <row r="18" spans="2:54">
      <c r="B18" s="685"/>
      <c r="C18" s="509">
        <v>12</v>
      </c>
      <c r="D18" s="502"/>
      <c r="E18" s="513" t="s">
        <v>779</v>
      </c>
      <c r="F18" s="513" t="s">
        <v>779</v>
      </c>
      <c r="G18" s="513" t="s">
        <v>779</v>
      </c>
      <c r="H18" s="697"/>
      <c r="I18" s="509"/>
      <c r="J18" s="509"/>
      <c r="K18" s="509"/>
      <c r="L18" s="697"/>
      <c r="M18" s="512" t="e">
        <f>RANK(K18, K$7:$K$21)</f>
        <v>#N/A</v>
      </c>
      <c r="N18" s="652"/>
      <c r="O18" s="652"/>
      <c r="P18" s="509"/>
      <c r="Q18" s="513"/>
      <c r="R18" s="513"/>
      <c r="S18" s="508" t="e">
        <f t="shared" si="7"/>
        <v>#N/A</v>
      </c>
      <c r="T18" s="699"/>
      <c r="U18" s="509"/>
      <c r="V18" s="513"/>
      <c r="W18" s="513"/>
      <c r="X18" s="508" t="e">
        <f t="shared" si="8"/>
        <v>#N/A</v>
      </c>
      <c r="Y18" s="699"/>
      <c r="Z18" s="509"/>
      <c r="AA18" s="513"/>
      <c r="AB18" s="513"/>
      <c r="AC18" s="508" t="e">
        <f t="shared" si="9"/>
        <v>#N/A</v>
      </c>
      <c r="AD18" s="699"/>
      <c r="AE18" s="509"/>
      <c r="AF18" s="513"/>
      <c r="AG18" s="513"/>
      <c r="AH18" s="508" t="e">
        <f t="shared" si="10"/>
        <v>#N/A</v>
      </c>
      <c r="AI18" s="699"/>
      <c r="AJ18" s="509"/>
      <c r="AK18" s="513"/>
      <c r="AL18" s="513"/>
      <c r="AM18" s="508" t="e">
        <f t="shared" si="11"/>
        <v>#N/A</v>
      </c>
      <c r="AN18" s="699"/>
      <c r="AO18" s="509"/>
      <c r="AP18" s="513"/>
      <c r="AQ18" s="513"/>
      <c r="AR18" s="508" t="e">
        <f t="shared" si="12"/>
        <v>#N/A</v>
      </c>
      <c r="AS18" s="699"/>
      <c r="AT18" s="509"/>
      <c r="AU18" s="513"/>
      <c r="AV18" s="513"/>
      <c r="AW18" s="508" t="e">
        <f t="shared" si="13"/>
        <v>#N/A</v>
      </c>
      <c r="AX18" s="699"/>
      <c r="AZ18" s="363" t="e">
        <f>RANK(AX18, $K$7:AX$21)</f>
        <v>#N/A</v>
      </c>
      <c r="BB18" s="360" t="e">
        <f t="shared" si="14"/>
        <v>#N/A</v>
      </c>
    </row>
    <row r="19" spans="2:54">
      <c r="B19" s="685"/>
      <c r="C19" s="509">
        <v>13</v>
      </c>
      <c r="D19" s="502"/>
      <c r="E19" s="513" t="s">
        <v>779</v>
      </c>
      <c r="F19" s="513" t="s">
        <v>779</v>
      </c>
      <c r="G19" s="513" t="s">
        <v>779</v>
      </c>
      <c r="H19" s="697"/>
      <c r="I19" s="509"/>
      <c r="J19" s="509"/>
      <c r="K19" s="509"/>
      <c r="L19" s="697"/>
      <c r="M19" s="512" t="e">
        <f>RANK(K19, K$7:$K$21)</f>
        <v>#N/A</v>
      </c>
      <c r="N19" s="652"/>
      <c r="O19" s="652"/>
      <c r="P19" s="509"/>
      <c r="Q19" s="513"/>
      <c r="R19" s="513"/>
      <c r="S19" s="508" t="e">
        <f t="shared" si="7"/>
        <v>#N/A</v>
      </c>
      <c r="T19" s="699"/>
      <c r="U19" s="509"/>
      <c r="V19" s="513"/>
      <c r="W19" s="513"/>
      <c r="X19" s="508" t="e">
        <f t="shared" si="8"/>
        <v>#N/A</v>
      </c>
      <c r="Y19" s="699"/>
      <c r="Z19" s="509"/>
      <c r="AA19" s="513"/>
      <c r="AB19" s="513"/>
      <c r="AC19" s="508" t="e">
        <f t="shared" si="9"/>
        <v>#N/A</v>
      </c>
      <c r="AD19" s="699"/>
      <c r="AE19" s="509"/>
      <c r="AF19" s="513"/>
      <c r="AG19" s="513"/>
      <c r="AH19" s="508" t="e">
        <f t="shared" si="10"/>
        <v>#N/A</v>
      </c>
      <c r="AI19" s="699"/>
      <c r="AJ19" s="509"/>
      <c r="AK19" s="513"/>
      <c r="AL19" s="513"/>
      <c r="AM19" s="508" t="e">
        <f t="shared" si="11"/>
        <v>#N/A</v>
      </c>
      <c r="AN19" s="699"/>
      <c r="AO19" s="509"/>
      <c r="AP19" s="513"/>
      <c r="AQ19" s="513"/>
      <c r="AR19" s="508" t="e">
        <f t="shared" si="12"/>
        <v>#N/A</v>
      </c>
      <c r="AS19" s="699"/>
      <c r="AT19" s="509"/>
      <c r="AU19" s="513"/>
      <c r="AV19" s="513"/>
      <c r="AW19" s="508" t="e">
        <f t="shared" si="13"/>
        <v>#N/A</v>
      </c>
      <c r="AX19" s="699"/>
      <c r="AZ19" s="363" t="e">
        <f>RANK(AX19, $K$7:AX$21)</f>
        <v>#N/A</v>
      </c>
      <c r="BB19" s="360" t="e">
        <f t="shared" si="14"/>
        <v>#N/A</v>
      </c>
    </row>
    <row r="20" spans="2:54">
      <c r="B20" s="685"/>
      <c r="C20" s="509">
        <v>14</v>
      </c>
      <c r="D20" s="502"/>
      <c r="E20" s="513" t="s">
        <v>779</v>
      </c>
      <c r="F20" s="513" t="s">
        <v>779</v>
      </c>
      <c r="G20" s="513" t="s">
        <v>779</v>
      </c>
      <c r="H20" s="697"/>
      <c r="I20" s="509"/>
      <c r="J20" s="509"/>
      <c r="K20" s="509"/>
      <c r="L20" s="697"/>
      <c r="M20" s="512" t="e">
        <f>RANK(K20, K$7:$K$21)</f>
        <v>#N/A</v>
      </c>
      <c r="N20" s="652"/>
      <c r="O20" s="652"/>
      <c r="P20" s="509"/>
      <c r="Q20" s="513"/>
      <c r="R20" s="513"/>
      <c r="S20" s="508" t="e">
        <f t="shared" si="7"/>
        <v>#N/A</v>
      </c>
      <c r="T20" s="699"/>
      <c r="U20" s="509"/>
      <c r="V20" s="513"/>
      <c r="W20" s="513"/>
      <c r="X20" s="508" t="e">
        <f t="shared" si="8"/>
        <v>#N/A</v>
      </c>
      <c r="Y20" s="699"/>
      <c r="Z20" s="509"/>
      <c r="AA20" s="513"/>
      <c r="AB20" s="513"/>
      <c r="AC20" s="508" t="e">
        <f t="shared" si="9"/>
        <v>#N/A</v>
      </c>
      <c r="AD20" s="699"/>
      <c r="AE20" s="509"/>
      <c r="AF20" s="513"/>
      <c r="AG20" s="513"/>
      <c r="AH20" s="508" t="e">
        <f t="shared" si="10"/>
        <v>#N/A</v>
      </c>
      <c r="AI20" s="699"/>
      <c r="AJ20" s="509"/>
      <c r="AK20" s="513"/>
      <c r="AL20" s="513"/>
      <c r="AM20" s="508" t="e">
        <f t="shared" si="11"/>
        <v>#N/A</v>
      </c>
      <c r="AN20" s="699"/>
      <c r="AO20" s="509"/>
      <c r="AP20" s="513"/>
      <c r="AQ20" s="513"/>
      <c r="AR20" s="508" t="e">
        <f t="shared" si="12"/>
        <v>#N/A</v>
      </c>
      <c r="AS20" s="699"/>
      <c r="AT20" s="509"/>
      <c r="AU20" s="513"/>
      <c r="AV20" s="513"/>
      <c r="AW20" s="508" t="e">
        <f t="shared" si="13"/>
        <v>#N/A</v>
      </c>
      <c r="AX20" s="699"/>
      <c r="AZ20" s="363" t="e">
        <f>RANK(AX20, $K$7:AX$21)</f>
        <v>#N/A</v>
      </c>
      <c r="BB20" s="360" t="e">
        <f t="shared" si="14"/>
        <v>#N/A</v>
      </c>
    </row>
    <row r="21" spans="2:54">
      <c r="B21" s="685"/>
      <c r="C21" s="509">
        <v>15</v>
      </c>
      <c r="D21" s="502"/>
      <c r="E21" s="513" t="s">
        <v>779</v>
      </c>
      <c r="F21" s="513" t="s">
        <v>779</v>
      </c>
      <c r="G21" s="513" t="s">
        <v>779</v>
      </c>
      <c r="H21" s="709"/>
      <c r="I21" s="509"/>
      <c r="J21" s="509"/>
      <c r="K21" s="509"/>
      <c r="L21" s="709"/>
      <c r="M21" s="512" t="e">
        <f>RANK(K21, K$7:$K$21)</f>
        <v>#N/A</v>
      </c>
      <c r="N21" s="652"/>
      <c r="O21" s="652"/>
      <c r="P21" s="509"/>
      <c r="Q21" s="513"/>
      <c r="R21" s="513"/>
      <c r="S21" s="508" t="e">
        <f t="shared" si="7"/>
        <v>#N/A</v>
      </c>
      <c r="T21" s="699"/>
      <c r="U21" s="509"/>
      <c r="V21" s="513"/>
      <c r="W21" s="513"/>
      <c r="X21" s="508" t="e">
        <f t="shared" si="8"/>
        <v>#N/A</v>
      </c>
      <c r="Y21" s="699"/>
      <c r="Z21" s="509"/>
      <c r="AA21" s="513"/>
      <c r="AB21" s="513"/>
      <c r="AC21" s="508" t="e">
        <f t="shared" si="9"/>
        <v>#N/A</v>
      </c>
      <c r="AD21" s="699"/>
      <c r="AE21" s="509"/>
      <c r="AF21" s="513"/>
      <c r="AG21" s="513"/>
      <c r="AH21" s="508" t="e">
        <f t="shared" si="10"/>
        <v>#N/A</v>
      </c>
      <c r="AI21" s="699"/>
      <c r="AJ21" s="509"/>
      <c r="AK21" s="513"/>
      <c r="AL21" s="513"/>
      <c r="AM21" s="508" t="e">
        <f t="shared" si="11"/>
        <v>#N/A</v>
      </c>
      <c r="AN21" s="699"/>
      <c r="AO21" s="509"/>
      <c r="AP21" s="513"/>
      <c r="AQ21" s="513"/>
      <c r="AR21" s="508" t="e">
        <f t="shared" si="12"/>
        <v>#N/A</v>
      </c>
      <c r="AS21" s="699"/>
      <c r="AT21" s="509"/>
      <c r="AU21" s="513"/>
      <c r="AV21" s="513"/>
      <c r="AW21" s="508" t="e">
        <f t="shared" si="13"/>
        <v>#N/A</v>
      </c>
      <c r="AX21" s="699"/>
      <c r="AZ21" s="362" t="e">
        <f>RANK(AX21, $K$7:AX$21)</f>
        <v>#N/A</v>
      </c>
      <c r="BB21" s="360" t="e">
        <f t="shared" si="14"/>
        <v>#N/A</v>
      </c>
    </row>
    <row r="22" spans="2:54" ht="15.75">
      <c r="B22" s="678" t="s">
        <v>163</v>
      </c>
      <c r="C22" s="679"/>
      <c r="D22" s="679"/>
      <c r="E22" s="679"/>
      <c r="F22" s="679"/>
      <c r="G22" s="679"/>
      <c r="H22" s="679"/>
      <c r="I22" s="203"/>
      <c r="J22" s="203"/>
      <c r="K22" s="203"/>
      <c r="L22" s="203"/>
      <c r="M22" s="204"/>
      <c r="N22" s="653" t="s">
        <v>156</v>
      </c>
      <c r="O22" s="653" t="s">
        <v>105</v>
      </c>
      <c r="P22" s="707">
        <f>AT2+1</f>
        <v>46056</v>
      </c>
      <c r="Q22" s="708"/>
      <c r="R22" s="708"/>
      <c r="S22" s="708"/>
      <c r="T22" s="708"/>
      <c r="U22" s="659">
        <f>P22+1</f>
        <v>46057</v>
      </c>
      <c r="V22" s="660"/>
      <c r="W22" s="660"/>
      <c r="X22" s="660"/>
      <c r="Y22" s="660"/>
      <c r="Z22" s="659">
        <f>U22+1</f>
        <v>46058</v>
      </c>
      <c r="AA22" s="660"/>
      <c r="AB22" s="660"/>
      <c r="AC22" s="660"/>
      <c r="AD22" s="660"/>
      <c r="AE22" s="659">
        <f>Z22+1</f>
        <v>46059</v>
      </c>
      <c r="AF22" s="660"/>
      <c r="AG22" s="660"/>
      <c r="AH22" s="660"/>
      <c r="AI22" s="660"/>
      <c r="AJ22" s="659">
        <f>AE22+1</f>
        <v>46060</v>
      </c>
      <c r="AK22" s="660"/>
      <c r="AL22" s="660"/>
      <c r="AM22" s="660"/>
      <c r="AN22" s="660"/>
      <c r="AO22" s="659">
        <f>AJ22+1</f>
        <v>46061</v>
      </c>
      <c r="AP22" s="660"/>
      <c r="AQ22" s="660"/>
      <c r="AR22" s="660"/>
      <c r="AS22" s="660"/>
      <c r="AT22" s="659">
        <f>AO22+1</f>
        <v>46062</v>
      </c>
      <c r="AU22" s="660"/>
      <c r="AV22" s="660"/>
      <c r="AW22" s="660"/>
      <c r="AX22" s="660"/>
    </row>
    <row r="23" spans="2:54" ht="15.75">
      <c r="B23" s="667"/>
      <c r="C23" s="667"/>
      <c r="D23" s="667"/>
      <c r="E23" s="667"/>
      <c r="F23" s="667"/>
      <c r="G23" s="667"/>
      <c r="H23" s="667"/>
      <c r="I23" s="205"/>
      <c r="J23" s="205"/>
      <c r="K23" s="205"/>
      <c r="L23" s="205"/>
      <c r="M23" s="206"/>
      <c r="N23" s="655"/>
      <c r="O23" s="655"/>
      <c r="P23" s="659" t="s">
        <v>336</v>
      </c>
      <c r="Q23" s="660"/>
      <c r="R23" s="660"/>
      <c r="S23" s="660"/>
      <c r="T23" s="660"/>
      <c r="U23" s="659" t="s">
        <v>337</v>
      </c>
      <c r="V23" s="660"/>
      <c r="W23" s="660"/>
      <c r="X23" s="660"/>
      <c r="Y23" s="660"/>
      <c r="Z23" s="659" t="s">
        <v>338</v>
      </c>
      <c r="AA23" s="660"/>
      <c r="AB23" s="660"/>
      <c r="AC23" s="660"/>
      <c r="AD23" s="660"/>
      <c r="AE23" s="659" t="s">
        <v>339</v>
      </c>
      <c r="AF23" s="660"/>
      <c r="AG23" s="660"/>
      <c r="AH23" s="660"/>
      <c r="AI23" s="660"/>
      <c r="AJ23" s="659" t="s">
        <v>340</v>
      </c>
      <c r="AK23" s="660"/>
      <c r="AL23" s="660"/>
      <c r="AM23" s="660"/>
      <c r="AN23" s="660"/>
      <c r="AO23" s="659" t="s">
        <v>341</v>
      </c>
      <c r="AP23" s="660"/>
      <c r="AQ23" s="660"/>
      <c r="AR23" s="660"/>
      <c r="AS23" s="660"/>
      <c r="AT23" s="659" t="s">
        <v>342</v>
      </c>
      <c r="AU23" s="660"/>
      <c r="AV23" s="660"/>
      <c r="AW23" s="660"/>
      <c r="AX23" s="660"/>
    </row>
    <row r="24" spans="2:54">
      <c r="B24" s="652" t="s">
        <v>894</v>
      </c>
      <c r="C24" s="652" t="s">
        <v>895</v>
      </c>
      <c r="D24" s="652"/>
      <c r="E24" s="652" t="s">
        <v>896</v>
      </c>
      <c r="F24" s="652"/>
      <c r="G24" s="652"/>
      <c r="H24" s="668" t="s">
        <v>897</v>
      </c>
      <c r="I24" s="636" t="s">
        <v>898</v>
      </c>
      <c r="J24" s="636"/>
      <c r="K24" s="636"/>
      <c r="L24" s="637" t="s">
        <v>897</v>
      </c>
      <c r="M24" s="643" t="s">
        <v>899</v>
      </c>
      <c r="N24" s="652"/>
      <c r="O24" s="652" t="s">
        <v>900</v>
      </c>
      <c r="P24" s="649" t="s">
        <v>901</v>
      </c>
      <c r="Q24" s="650"/>
      <c r="R24" s="650"/>
      <c r="S24" s="651"/>
      <c r="T24" s="652" t="s">
        <v>897</v>
      </c>
      <c r="U24" s="649" t="s">
        <v>901</v>
      </c>
      <c r="V24" s="650"/>
      <c r="W24" s="650"/>
      <c r="X24" s="651"/>
      <c r="Y24" s="652" t="s">
        <v>897</v>
      </c>
      <c r="Z24" s="649" t="s">
        <v>901</v>
      </c>
      <c r="AA24" s="650"/>
      <c r="AB24" s="650"/>
      <c r="AC24" s="651"/>
      <c r="AD24" s="652" t="s">
        <v>897</v>
      </c>
      <c r="AE24" s="649" t="s">
        <v>901</v>
      </c>
      <c r="AF24" s="650"/>
      <c r="AG24" s="650"/>
      <c r="AH24" s="651"/>
      <c r="AI24" s="652" t="s">
        <v>897</v>
      </c>
      <c r="AJ24" s="649" t="s">
        <v>901</v>
      </c>
      <c r="AK24" s="650"/>
      <c r="AL24" s="650"/>
      <c r="AM24" s="651"/>
      <c r="AN24" s="652" t="s">
        <v>897</v>
      </c>
      <c r="AO24" s="649" t="s">
        <v>901</v>
      </c>
      <c r="AP24" s="650"/>
      <c r="AQ24" s="650"/>
      <c r="AR24" s="651"/>
      <c r="AS24" s="652" t="s">
        <v>897</v>
      </c>
      <c r="AT24" s="649" t="s">
        <v>901</v>
      </c>
      <c r="AU24" s="650"/>
      <c r="AV24" s="650"/>
      <c r="AW24" s="651"/>
      <c r="AX24" s="652" t="s">
        <v>897</v>
      </c>
    </row>
    <row r="25" spans="2:54">
      <c r="B25" s="652"/>
      <c r="C25" s="652"/>
      <c r="D25" s="652"/>
      <c r="E25" s="652" t="s">
        <v>902</v>
      </c>
      <c r="F25" s="652"/>
      <c r="G25" s="652"/>
      <c r="H25" s="669"/>
      <c r="I25" s="636" t="s">
        <v>902</v>
      </c>
      <c r="J25" s="636"/>
      <c r="K25" s="636"/>
      <c r="L25" s="638"/>
      <c r="M25" s="644"/>
      <c r="N25" s="652"/>
      <c r="O25" s="652"/>
      <c r="P25" s="649" t="s">
        <v>903</v>
      </c>
      <c r="Q25" s="650"/>
      <c r="R25" s="650"/>
      <c r="S25" s="651"/>
      <c r="T25" s="652"/>
      <c r="U25" s="649" t="s">
        <v>903</v>
      </c>
      <c r="V25" s="650"/>
      <c r="W25" s="650"/>
      <c r="X25" s="651"/>
      <c r="Y25" s="652"/>
      <c r="Z25" s="649" t="s">
        <v>903</v>
      </c>
      <c r="AA25" s="650"/>
      <c r="AB25" s="650"/>
      <c r="AC25" s="651"/>
      <c r="AD25" s="652"/>
      <c r="AE25" s="649" t="s">
        <v>903</v>
      </c>
      <c r="AF25" s="650"/>
      <c r="AG25" s="650"/>
      <c r="AH25" s="651"/>
      <c r="AI25" s="652"/>
      <c r="AJ25" s="649" t="s">
        <v>903</v>
      </c>
      <c r="AK25" s="650"/>
      <c r="AL25" s="650"/>
      <c r="AM25" s="651"/>
      <c r="AN25" s="652"/>
      <c r="AO25" s="649" t="s">
        <v>903</v>
      </c>
      <c r="AP25" s="650"/>
      <c r="AQ25" s="650"/>
      <c r="AR25" s="651"/>
      <c r="AS25" s="652"/>
      <c r="AT25" s="649" t="s">
        <v>903</v>
      </c>
      <c r="AU25" s="650"/>
      <c r="AV25" s="650"/>
      <c r="AW25" s="651"/>
      <c r="AX25" s="652"/>
    </row>
    <row r="26" spans="2:54">
      <c r="B26" s="652"/>
      <c r="C26" s="652"/>
      <c r="D26" s="652"/>
      <c r="E26" s="525" t="s">
        <v>904</v>
      </c>
      <c r="F26" s="525" t="s">
        <v>905</v>
      </c>
      <c r="G26" s="525" t="s">
        <v>906</v>
      </c>
      <c r="H26" s="670"/>
      <c r="I26" s="524" t="s">
        <v>904</v>
      </c>
      <c r="J26" s="524" t="s">
        <v>905</v>
      </c>
      <c r="K26" s="524" t="s">
        <v>906</v>
      </c>
      <c r="L26" s="639"/>
      <c r="M26" s="645"/>
      <c r="N26" s="652"/>
      <c r="O26" s="652"/>
      <c r="P26" s="525" t="s">
        <v>904</v>
      </c>
      <c r="Q26" s="525" t="s">
        <v>905</v>
      </c>
      <c r="R26" s="525" t="s">
        <v>906</v>
      </c>
      <c r="S26" s="525" t="s">
        <v>899</v>
      </c>
      <c r="T26" s="652"/>
      <c r="U26" s="525" t="s">
        <v>904</v>
      </c>
      <c r="V26" s="525" t="s">
        <v>905</v>
      </c>
      <c r="W26" s="525" t="s">
        <v>906</v>
      </c>
      <c r="X26" s="525" t="s">
        <v>899</v>
      </c>
      <c r="Y26" s="652"/>
      <c r="Z26" s="525" t="s">
        <v>904</v>
      </c>
      <c r="AA26" s="525" t="s">
        <v>905</v>
      </c>
      <c r="AB26" s="525" t="s">
        <v>906</v>
      </c>
      <c r="AC26" s="525" t="s">
        <v>899</v>
      </c>
      <c r="AD26" s="652"/>
      <c r="AE26" s="525" t="s">
        <v>904</v>
      </c>
      <c r="AF26" s="525" t="s">
        <v>905</v>
      </c>
      <c r="AG26" s="525" t="s">
        <v>906</v>
      </c>
      <c r="AH26" s="525" t="s">
        <v>899</v>
      </c>
      <c r="AI26" s="652"/>
      <c r="AJ26" s="525" t="s">
        <v>904</v>
      </c>
      <c r="AK26" s="525" t="s">
        <v>905</v>
      </c>
      <c r="AL26" s="525" t="s">
        <v>906</v>
      </c>
      <c r="AM26" s="525" t="s">
        <v>899</v>
      </c>
      <c r="AN26" s="652"/>
      <c r="AO26" s="525" t="s">
        <v>904</v>
      </c>
      <c r="AP26" s="525" t="s">
        <v>905</v>
      </c>
      <c r="AQ26" s="525" t="s">
        <v>906</v>
      </c>
      <c r="AR26" s="525" t="s">
        <v>899</v>
      </c>
      <c r="AS26" s="652"/>
      <c r="AT26" s="525" t="s">
        <v>904</v>
      </c>
      <c r="AU26" s="525" t="s">
        <v>905</v>
      </c>
      <c r="AV26" s="525" t="s">
        <v>906</v>
      </c>
      <c r="AW26" s="525" t="s">
        <v>899</v>
      </c>
      <c r="AX26" s="652"/>
    </row>
    <row r="27" spans="2:54">
      <c r="B27" s="700" t="s">
        <v>907</v>
      </c>
      <c r="C27" s="526">
        <v>1</v>
      </c>
      <c r="D27" s="526" t="s">
        <v>370</v>
      </c>
      <c r="E27" s="182">
        <v>10</v>
      </c>
      <c r="F27" s="182">
        <v>1500</v>
      </c>
      <c r="G27" s="182">
        <v>150</v>
      </c>
      <c r="H27" s="704">
        <f>AVERAGE(G27:G41)</f>
        <v>178.33333333333334</v>
      </c>
      <c r="I27" s="527">
        <f>AVERAGE(P27,U27,Z27,AE27,AJ27,AO27,AT27)</f>
        <v>10</v>
      </c>
      <c r="J27" s="527">
        <f>AVERAGE(Q27,V27,AA27,AF27,AK27,AP27,AU27)</f>
        <v>1485.1714285714293</v>
      </c>
      <c r="K27" s="200">
        <f>AVERAGE(R27,W27,AB27,AG27,AL27,AQ27,AV27)</f>
        <v>148.51714285714294</v>
      </c>
      <c r="L27" s="633">
        <f>IFERROR(AVERAGE(K27:K41),"-")</f>
        <v>183.38212061918293</v>
      </c>
      <c r="M27" s="528">
        <f>RANK(K27, K$27:$K$41)</f>
        <v>5</v>
      </c>
      <c r="N27" s="652"/>
      <c r="O27" s="652"/>
      <c r="P27" s="526">
        <v>10</v>
      </c>
      <c r="Q27" s="182">
        <v>1591.2000000000005</v>
      </c>
      <c r="R27" s="182">
        <v>159.12000000000006</v>
      </c>
      <c r="S27" s="526">
        <f>RANK(R27, R$27:R$41)</f>
        <v>3</v>
      </c>
      <c r="T27" s="674">
        <f>AVERAGE(R27:R41)</f>
        <v>186.21940476190468</v>
      </c>
      <c r="U27" s="526">
        <v>10</v>
      </c>
      <c r="V27" s="182">
        <v>1388.0000000000014</v>
      </c>
      <c r="W27" s="182">
        <v>138.80000000000013</v>
      </c>
      <c r="X27" s="526">
        <f>RANK(W27, W$27:W$41)</f>
        <v>5</v>
      </c>
      <c r="Y27" s="674">
        <f>AVERAGE(W27:W41)</f>
        <v>184.99886363636361</v>
      </c>
      <c r="Z27" s="526">
        <v>10</v>
      </c>
      <c r="AA27" s="182">
        <v>1377.9999999999975</v>
      </c>
      <c r="AB27" s="182">
        <v>137.79999999999976</v>
      </c>
      <c r="AC27" s="526">
        <f>RANK(AB27, AB$27:AB$41)</f>
        <v>5</v>
      </c>
      <c r="AD27" s="674">
        <f>AVERAGE(AB27:AB41)</f>
        <v>185.26236559139798</v>
      </c>
      <c r="AE27" s="526">
        <v>10</v>
      </c>
      <c r="AF27" s="182">
        <v>1607.9999999999993</v>
      </c>
      <c r="AG27" s="182">
        <v>160.79999999999993</v>
      </c>
      <c r="AH27" s="526">
        <f>RANK(AG27, AG$27:AG$41)</f>
        <v>5</v>
      </c>
      <c r="AI27" s="674">
        <f>AVERAGE(AG27:AG41)</f>
        <v>185.12638888888887</v>
      </c>
      <c r="AJ27" s="526">
        <v>10</v>
      </c>
      <c r="AK27" s="182">
        <v>1461.0000000000052</v>
      </c>
      <c r="AL27" s="182">
        <v>146.10000000000053</v>
      </c>
      <c r="AM27" s="526">
        <f>RANK(AL27, AL$27:AL$41)</f>
        <v>5</v>
      </c>
      <c r="AN27" s="674">
        <f>AVERAGE(AL27:AL41)</f>
        <v>179.69235209235239</v>
      </c>
      <c r="AO27" s="526">
        <v>10</v>
      </c>
      <c r="AP27" s="182">
        <v>1374.0000000000014</v>
      </c>
      <c r="AQ27" s="182">
        <v>137.40000000000015</v>
      </c>
      <c r="AR27" s="526">
        <f>RANK(AQ27, AQ$27:AQ$41)</f>
        <v>5</v>
      </c>
      <c r="AS27" s="674">
        <f>AVERAGE(AQ27:AQ41)</f>
        <v>177.76290322580655</v>
      </c>
      <c r="AT27" s="526">
        <v>10</v>
      </c>
      <c r="AU27" s="182">
        <v>1596.0000000000005</v>
      </c>
      <c r="AV27" s="182">
        <v>159.60000000000005</v>
      </c>
      <c r="AW27" s="526">
        <f>RANK(AV27, AV$27:AV$41)</f>
        <v>3</v>
      </c>
      <c r="AX27" s="674">
        <f>AVERAGE(AV27:AV41)</f>
        <v>184.61256613756635</v>
      </c>
    </row>
    <row r="28" spans="2:54">
      <c r="B28" s="660"/>
      <c r="C28" s="526">
        <v>2</v>
      </c>
      <c r="D28" s="526" t="s">
        <v>371</v>
      </c>
      <c r="E28" s="182">
        <v>15</v>
      </c>
      <c r="F28" s="182">
        <v>1800</v>
      </c>
      <c r="G28" s="182">
        <v>120</v>
      </c>
      <c r="H28" s="705"/>
      <c r="I28" s="527">
        <f t="shared" ref="I28:K32" si="16">AVERAGE(P28,U28,Z28,AE28,AJ28,AO28,AT28)</f>
        <v>12</v>
      </c>
      <c r="J28" s="527">
        <f t="shared" si="16"/>
        <v>1809.0714285714298</v>
      </c>
      <c r="K28" s="200">
        <f t="shared" si="16"/>
        <v>150.75595238095246</v>
      </c>
      <c r="L28" s="634"/>
      <c r="M28" s="528">
        <f>RANK(K28, K$27:$K$41)</f>
        <v>4</v>
      </c>
      <c r="N28" s="652"/>
      <c r="O28" s="652"/>
      <c r="P28" s="526">
        <v>12</v>
      </c>
      <c r="Q28" s="182">
        <v>1691.9999999999993</v>
      </c>
      <c r="R28" s="182">
        <v>140.99999999999994</v>
      </c>
      <c r="S28" s="526">
        <f t="shared" ref="S28:S41" si="17">RANK(R28, R$27:R$41)</f>
        <v>5</v>
      </c>
      <c r="T28" s="674"/>
      <c r="U28" s="526">
        <v>12</v>
      </c>
      <c r="V28" s="182">
        <v>1880.9999999999993</v>
      </c>
      <c r="W28" s="182">
        <v>156.74999999999994</v>
      </c>
      <c r="X28" s="526">
        <f t="shared" ref="X28:X41" si="18">RANK(W28, W$27:W$41)</f>
        <v>4</v>
      </c>
      <c r="Y28" s="674"/>
      <c r="Z28" s="526">
        <v>12</v>
      </c>
      <c r="AA28" s="182">
        <v>1801.500000000003</v>
      </c>
      <c r="AB28" s="182">
        <v>150.12500000000026</v>
      </c>
      <c r="AC28" s="526">
        <f t="shared" ref="AC28:AC41" si="19">RANK(AB28, AB$27:AB$41)</f>
        <v>4</v>
      </c>
      <c r="AD28" s="674"/>
      <c r="AE28" s="526">
        <v>12</v>
      </c>
      <c r="AF28" s="182">
        <v>1940.0000000000018</v>
      </c>
      <c r="AG28" s="182">
        <v>161.66666666666683</v>
      </c>
      <c r="AH28" s="526">
        <f t="shared" ref="AH28:AH41" si="20">RANK(AG28, AG$27:AG$41)</f>
        <v>4</v>
      </c>
      <c r="AI28" s="674"/>
      <c r="AJ28" s="526">
        <v>12</v>
      </c>
      <c r="AK28" s="182">
        <v>1824.0000000000018</v>
      </c>
      <c r="AL28" s="182">
        <v>152.00000000000014</v>
      </c>
      <c r="AM28" s="526">
        <f t="shared" ref="AM28:AM41" si="21">RANK(AL28, AL$27:AL$41)</f>
        <v>4</v>
      </c>
      <c r="AN28" s="674"/>
      <c r="AO28" s="526">
        <v>12</v>
      </c>
      <c r="AP28" s="182">
        <v>1778.9999999999993</v>
      </c>
      <c r="AQ28" s="182">
        <v>148.24999999999994</v>
      </c>
      <c r="AR28" s="526">
        <f t="shared" ref="AR28:AR41" si="22">RANK(AQ28, AQ$27:AQ$41)</f>
        <v>3</v>
      </c>
      <c r="AS28" s="674"/>
      <c r="AT28" s="526">
        <v>12</v>
      </c>
      <c r="AU28" s="182">
        <v>1746.000000000003</v>
      </c>
      <c r="AV28" s="182">
        <v>145.50000000000026</v>
      </c>
      <c r="AW28" s="526">
        <f t="shared" ref="AW28:AW41" si="23">RANK(AV28, AV$27:AV$41)</f>
        <v>5</v>
      </c>
      <c r="AX28" s="674"/>
    </row>
    <row r="29" spans="2:54">
      <c r="B29" s="660"/>
      <c r="C29" s="526">
        <v>3</v>
      </c>
      <c r="D29" s="526" t="s">
        <v>372</v>
      </c>
      <c r="E29" s="182">
        <v>15</v>
      </c>
      <c r="F29" s="182">
        <v>1800</v>
      </c>
      <c r="G29" s="182">
        <v>120</v>
      </c>
      <c r="H29" s="705"/>
      <c r="I29" s="527">
        <f t="shared" si="16"/>
        <v>12</v>
      </c>
      <c r="J29" s="527">
        <f t="shared" si="16"/>
        <v>1830.2142857142878</v>
      </c>
      <c r="K29" s="200">
        <f t="shared" si="16"/>
        <v>152.51785714285731</v>
      </c>
      <c r="L29" s="634"/>
      <c r="M29" s="528">
        <f>RANK(K29, K$27:$K$41)</f>
        <v>3</v>
      </c>
      <c r="N29" s="652"/>
      <c r="O29" s="652"/>
      <c r="P29" s="526">
        <v>12</v>
      </c>
      <c r="Q29" s="182">
        <v>1759.4999999999993</v>
      </c>
      <c r="R29" s="182">
        <v>146.62499999999994</v>
      </c>
      <c r="S29" s="526">
        <f t="shared" si="17"/>
        <v>4</v>
      </c>
      <c r="T29" s="674"/>
      <c r="U29" s="526">
        <v>12</v>
      </c>
      <c r="V29" s="182">
        <v>1921.4999999999995</v>
      </c>
      <c r="W29" s="182">
        <v>160.12499999999997</v>
      </c>
      <c r="X29" s="526">
        <f t="shared" si="18"/>
        <v>3</v>
      </c>
      <c r="Y29" s="674"/>
      <c r="Z29" s="526">
        <v>12</v>
      </c>
      <c r="AA29" s="182">
        <v>1864.5000000000066</v>
      </c>
      <c r="AB29" s="182">
        <v>155.37500000000054</v>
      </c>
      <c r="AC29" s="526">
        <f t="shared" si="19"/>
        <v>3</v>
      </c>
      <c r="AD29" s="674"/>
      <c r="AE29" s="526">
        <v>12</v>
      </c>
      <c r="AF29" s="182">
        <v>1958.0000000000016</v>
      </c>
      <c r="AG29" s="182">
        <v>163.1666666666668</v>
      </c>
      <c r="AH29" s="526">
        <f t="shared" si="20"/>
        <v>3</v>
      </c>
      <c r="AI29" s="674"/>
      <c r="AJ29" s="526">
        <v>12</v>
      </c>
      <c r="AK29" s="182">
        <v>1840.0000000000018</v>
      </c>
      <c r="AL29" s="182">
        <v>153.33333333333348</v>
      </c>
      <c r="AM29" s="526">
        <f t="shared" si="21"/>
        <v>3</v>
      </c>
      <c r="AN29" s="674"/>
      <c r="AO29" s="526">
        <v>12</v>
      </c>
      <c r="AP29" s="182">
        <v>1688.9999999999995</v>
      </c>
      <c r="AQ29" s="182">
        <v>140.74999999999997</v>
      </c>
      <c r="AR29" s="526">
        <f t="shared" si="22"/>
        <v>4</v>
      </c>
      <c r="AS29" s="674"/>
      <c r="AT29" s="526">
        <v>12</v>
      </c>
      <c r="AU29" s="182">
        <v>1779.0000000000064</v>
      </c>
      <c r="AV29" s="182">
        <v>148.25000000000054</v>
      </c>
      <c r="AW29" s="526">
        <f t="shared" si="23"/>
        <v>4</v>
      </c>
      <c r="AX29" s="674"/>
    </row>
    <row r="30" spans="2:54">
      <c r="B30" s="660"/>
      <c r="C30" s="526">
        <v>4</v>
      </c>
      <c r="D30" s="526" t="s">
        <v>772</v>
      </c>
      <c r="E30" s="182">
        <v>5</v>
      </c>
      <c r="F30" s="182">
        <v>1500</v>
      </c>
      <c r="G30" s="182">
        <v>300</v>
      </c>
      <c r="H30" s="705"/>
      <c r="I30" s="527">
        <f t="shared" si="16"/>
        <v>6</v>
      </c>
      <c r="J30" s="527">
        <f t="shared" si="16"/>
        <v>1524.3136982065569</v>
      </c>
      <c r="K30" s="200">
        <f t="shared" si="16"/>
        <v>254.05228303442615</v>
      </c>
      <c r="L30" s="634"/>
      <c r="M30" s="528">
        <f>RANK(K30, K$27:$K$41)</f>
        <v>2</v>
      </c>
      <c r="N30" s="652"/>
      <c r="O30" s="652"/>
      <c r="P30" s="526">
        <v>6</v>
      </c>
      <c r="Q30" s="182">
        <v>1539.0000000000025</v>
      </c>
      <c r="R30" s="182">
        <v>256.5000000000004</v>
      </c>
      <c r="S30" s="526">
        <f t="shared" si="17"/>
        <v>2</v>
      </c>
      <c r="T30" s="674"/>
      <c r="U30" s="526">
        <v>6</v>
      </c>
      <c r="V30" s="182">
        <v>1513.6363636363635</v>
      </c>
      <c r="W30" s="182">
        <v>252.27272727272725</v>
      </c>
      <c r="X30" s="526">
        <f t="shared" si="18"/>
        <v>2</v>
      </c>
      <c r="Y30" s="674"/>
      <c r="Z30" s="526">
        <v>6</v>
      </c>
      <c r="AA30" s="182">
        <v>1530.0000000000027</v>
      </c>
      <c r="AB30" s="182">
        <v>255.00000000000045</v>
      </c>
      <c r="AC30" s="526">
        <f t="shared" si="19"/>
        <v>2</v>
      </c>
      <c r="AD30" s="674"/>
      <c r="AE30" s="526">
        <v>6</v>
      </c>
      <c r="AF30" s="182">
        <v>1518.7500000000018</v>
      </c>
      <c r="AG30" s="182">
        <v>253.12500000000031</v>
      </c>
      <c r="AH30" s="526">
        <f t="shared" si="20"/>
        <v>2</v>
      </c>
      <c r="AI30" s="674"/>
      <c r="AJ30" s="526">
        <v>6</v>
      </c>
      <c r="AK30" s="182">
        <v>1517.1428571428582</v>
      </c>
      <c r="AL30" s="182">
        <v>252.85714285714303</v>
      </c>
      <c r="AM30" s="526">
        <f t="shared" si="21"/>
        <v>2</v>
      </c>
      <c r="AN30" s="674"/>
      <c r="AO30" s="526">
        <v>6</v>
      </c>
      <c r="AP30" s="182">
        <v>1484.9999999999995</v>
      </c>
      <c r="AQ30" s="182">
        <v>247.49999999999991</v>
      </c>
      <c r="AR30" s="526">
        <f t="shared" si="22"/>
        <v>2</v>
      </c>
      <c r="AS30" s="674"/>
      <c r="AT30" s="526">
        <v>6</v>
      </c>
      <c r="AU30" s="182">
        <v>1566.6666666666688</v>
      </c>
      <c r="AV30" s="182">
        <v>261.11111111111148</v>
      </c>
      <c r="AW30" s="526">
        <f t="shared" si="23"/>
        <v>2</v>
      </c>
      <c r="AX30" s="674"/>
    </row>
    <row r="31" spans="2:54">
      <c r="B31" s="660"/>
      <c r="C31" s="526">
        <v>5</v>
      </c>
      <c r="D31" s="526" t="s">
        <v>708</v>
      </c>
      <c r="E31" s="182">
        <v>5</v>
      </c>
      <c r="F31" s="182">
        <v>1500</v>
      </c>
      <c r="G31" s="182">
        <v>300</v>
      </c>
      <c r="H31" s="705"/>
      <c r="I31" s="527">
        <f t="shared" si="16"/>
        <v>5</v>
      </c>
      <c r="J31" s="527">
        <f t="shared" si="16"/>
        <v>1516.890298641451</v>
      </c>
      <c r="K31" s="200">
        <f t="shared" si="16"/>
        <v>303.37805972829022</v>
      </c>
      <c r="L31" s="634"/>
      <c r="M31" s="528">
        <f>RANK(K31, K$27:$K$41)</f>
        <v>1</v>
      </c>
      <c r="N31" s="652"/>
      <c r="O31" s="652"/>
      <c r="P31" s="526">
        <v>5</v>
      </c>
      <c r="Q31" s="182">
        <v>1542.8571428571418</v>
      </c>
      <c r="R31" s="182">
        <v>308.57142857142833</v>
      </c>
      <c r="S31" s="526">
        <f t="shared" si="17"/>
        <v>1</v>
      </c>
      <c r="T31" s="674"/>
      <c r="U31" s="526">
        <v>5</v>
      </c>
      <c r="V31" s="182">
        <v>1472.7272727272743</v>
      </c>
      <c r="W31" s="182">
        <v>294.54545454545485</v>
      </c>
      <c r="X31" s="526">
        <f t="shared" si="18"/>
        <v>1</v>
      </c>
      <c r="Y31" s="674"/>
      <c r="Z31" s="526">
        <v>5</v>
      </c>
      <c r="AA31" s="182">
        <v>1503.870967741937</v>
      </c>
      <c r="AB31" s="182">
        <v>300.77419354838742</v>
      </c>
      <c r="AC31" s="526">
        <f t="shared" si="19"/>
        <v>1</v>
      </c>
      <c r="AD31" s="674"/>
      <c r="AE31" s="526">
        <v>5</v>
      </c>
      <c r="AF31" s="182">
        <v>1519.9999999999977</v>
      </c>
      <c r="AG31" s="182">
        <v>303.99999999999955</v>
      </c>
      <c r="AH31" s="526">
        <f t="shared" si="20"/>
        <v>1</v>
      </c>
      <c r="AI31" s="674"/>
      <c r="AJ31" s="526">
        <v>5</v>
      </c>
      <c r="AK31" s="182">
        <v>1551.8181818181845</v>
      </c>
      <c r="AL31" s="182">
        <v>310.36363636363689</v>
      </c>
      <c r="AM31" s="526">
        <f t="shared" si="21"/>
        <v>1</v>
      </c>
      <c r="AN31" s="674"/>
      <c r="AO31" s="526">
        <v>5</v>
      </c>
      <c r="AP31" s="182">
        <v>1488.387096774195</v>
      </c>
      <c r="AQ31" s="182">
        <v>297.677419354839</v>
      </c>
      <c r="AR31" s="526">
        <f t="shared" si="22"/>
        <v>1</v>
      </c>
      <c r="AS31" s="674"/>
      <c r="AT31" s="526">
        <v>5</v>
      </c>
      <c r="AU31" s="182">
        <v>1538.5714285714275</v>
      </c>
      <c r="AV31" s="182">
        <v>307.7142857142855</v>
      </c>
      <c r="AW31" s="526">
        <f t="shared" si="23"/>
        <v>1</v>
      </c>
      <c r="AX31" s="674"/>
    </row>
    <row r="32" spans="2:54">
      <c r="B32" s="660"/>
      <c r="C32" s="526">
        <v>6</v>
      </c>
      <c r="D32" s="526" t="s">
        <v>775</v>
      </c>
      <c r="E32" s="182">
        <v>15</v>
      </c>
      <c r="F32" s="182">
        <v>1200</v>
      </c>
      <c r="G32" s="182">
        <v>80</v>
      </c>
      <c r="H32" s="705"/>
      <c r="I32" s="527">
        <f t="shared" si="16"/>
        <v>12</v>
      </c>
      <c r="J32" s="527">
        <f t="shared" si="16"/>
        <v>1092.8571428571413</v>
      </c>
      <c r="K32" s="200">
        <f t="shared" si="16"/>
        <v>91.071428571428456</v>
      </c>
      <c r="L32" s="634"/>
      <c r="M32" s="528">
        <f>RANK(K32, K$27:$K$41)</f>
        <v>6</v>
      </c>
      <c r="N32" s="652"/>
      <c r="O32" s="652"/>
      <c r="P32" s="526">
        <v>12</v>
      </c>
      <c r="Q32" s="182">
        <v>1265.9999999999943</v>
      </c>
      <c r="R32" s="182">
        <v>105.49999999999953</v>
      </c>
      <c r="S32" s="526">
        <f t="shared" si="17"/>
        <v>6</v>
      </c>
      <c r="T32" s="674"/>
      <c r="U32" s="526">
        <v>12</v>
      </c>
      <c r="V32" s="182">
        <v>1289.9999999999943</v>
      </c>
      <c r="W32" s="182">
        <v>107.49999999999953</v>
      </c>
      <c r="X32" s="526">
        <f t="shared" si="18"/>
        <v>6</v>
      </c>
      <c r="Y32" s="674"/>
      <c r="Z32" s="526">
        <v>12</v>
      </c>
      <c r="AA32" s="182">
        <v>1349.9999999999941</v>
      </c>
      <c r="AB32" s="182">
        <v>112.4999999999995</v>
      </c>
      <c r="AC32" s="526">
        <f t="shared" si="19"/>
        <v>6</v>
      </c>
      <c r="AD32" s="674"/>
      <c r="AE32" s="526">
        <v>12</v>
      </c>
      <c r="AF32" s="182">
        <v>815.99999999999636</v>
      </c>
      <c r="AG32" s="182">
        <v>67.999999999999702</v>
      </c>
      <c r="AH32" s="526">
        <f t="shared" si="20"/>
        <v>6</v>
      </c>
      <c r="AI32" s="674"/>
      <c r="AJ32" s="526">
        <v>12</v>
      </c>
      <c r="AK32" s="182">
        <v>762.00000000000273</v>
      </c>
      <c r="AL32" s="182">
        <v>63.500000000000227</v>
      </c>
      <c r="AM32" s="526">
        <f t="shared" si="21"/>
        <v>6</v>
      </c>
      <c r="AN32" s="674"/>
      <c r="AO32" s="526">
        <v>12</v>
      </c>
      <c r="AP32" s="182">
        <v>1140.0000000000041</v>
      </c>
      <c r="AQ32" s="182">
        <v>95.000000000000341</v>
      </c>
      <c r="AR32" s="526">
        <f t="shared" si="22"/>
        <v>6</v>
      </c>
      <c r="AS32" s="674"/>
      <c r="AT32" s="526">
        <v>12</v>
      </c>
      <c r="AU32" s="182">
        <v>1026.0000000000036</v>
      </c>
      <c r="AV32" s="182">
        <v>85.500000000000298</v>
      </c>
      <c r="AW32" s="526">
        <f t="shared" si="23"/>
        <v>6</v>
      </c>
      <c r="AX32" s="674"/>
    </row>
    <row r="33" spans="2:50">
      <c r="B33" s="660"/>
      <c r="C33" s="526">
        <v>7</v>
      </c>
      <c r="D33" s="526"/>
      <c r="E33" s="182"/>
      <c r="F33" s="182"/>
      <c r="G33" s="182"/>
      <c r="H33" s="705"/>
      <c r="I33" s="527"/>
      <c r="J33" s="527"/>
      <c r="K33" s="200"/>
      <c r="L33" s="634"/>
      <c r="M33" s="528" t="e">
        <f>RANK(K33, K$27:$K$41)</f>
        <v>#N/A</v>
      </c>
      <c r="N33" s="652"/>
      <c r="O33" s="652"/>
      <c r="P33" s="526"/>
      <c r="Q33" s="182"/>
      <c r="R33" s="182"/>
      <c r="S33" s="526" t="e">
        <f t="shared" si="17"/>
        <v>#N/A</v>
      </c>
      <c r="T33" s="674"/>
      <c r="U33" s="526"/>
      <c r="V33" s="182"/>
      <c r="W33" s="182"/>
      <c r="X33" s="526" t="e">
        <f t="shared" si="18"/>
        <v>#N/A</v>
      </c>
      <c r="Y33" s="674"/>
      <c r="Z33" s="526"/>
      <c r="AA33" s="182"/>
      <c r="AB33" s="182"/>
      <c r="AC33" s="526" t="e">
        <f t="shared" si="19"/>
        <v>#N/A</v>
      </c>
      <c r="AD33" s="674"/>
      <c r="AE33" s="526"/>
      <c r="AF33" s="182"/>
      <c r="AG33" s="182"/>
      <c r="AH33" s="526" t="e">
        <f t="shared" si="20"/>
        <v>#N/A</v>
      </c>
      <c r="AI33" s="674"/>
      <c r="AJ33" s="526"/>
      <c r="AK33" s="182"/>
      <c r="AL33" s="182"/>
      <c r="AM33" s="526" t="e">
        <f t="shared" si="21"/>
        <v>#N/A</v>
      </c>
      <c r="AN33" s="674"/>
      <c r="AO33" s="526"/>
      <c r="AP33" s="182"/>
      <c r="AQ33" s="182"/>
      <c r="AR33" s="526" t="e">
        <f t="shared" si="22"/>
        <v>#N/A</v>
      </c>
      <c r="AS33" s="674"/>
      <c r="AT33" s="526"/>
      <c r="AU33" s="182"/>
      <c r="AV33" s="182"/>
      <c r="AW33" s="526" t="e">
        <f t="shared" si="23"/>
        <v>#N/A</v>
      </c>
      <c r="AX33" s="674"/>
    </row>
    <row r="34" spans="2:50">
      <c r="B34" s="660"/>
      <c r="C34" s="526">
        <v>8</v>
      </c>
      <c r="D34" s="526"/>
      <c r="E34" s="182"/>
      <c r="F34" s="182"/>
      <c r="G34" s="182"/>
      <c r="H34" s="705"/>
      <c r="I34" s="527"/>
      <c r="J34" s="527"/>
      <c r="K34" s="200"/>
      <c r="L34" s="634"/>
      <c r="M34" s="528" t="e">
        <f>RANK(K34, K$27:$K$41)</f>
        <v>#N/A</v>
      </c>
      <c r="N34" s="652"/>
      <c r="O34" s="652"/>
      <c r="P34" s="526"/>
      <c r="Q34" s="182"/>
      <c r="R34" s="182"/>
      <c r="S34" s="526" t="e">
        <f t="shared" si="17"/>
        <v>#N/A</v>
      </c>
      <c r="T34" s="674"/>
      <c r="U34" s="526"/>
      <c r="V34" s="182"/>
      <c r="W34" s="182"/>
      <c r="X34" s="526" t="e">
        <f t="shared" si="18"/>
        <v>#N/A</v>
      </c>
      <c r="Y34" s="674"/>
      <c r="Z34" s="526"/>
      <c r="AA34" s="182"/>
      <c r="AB34" s="182"/>
      <c r="AC34" s="526" t="e">
        <f t="shared" si="19"/>
        <v>#N/A</v>
      </c>
      <c r="AD34" s="674"/>
      <c r="AE34" s="526"/>
      <c r="AF34" s="182"/>
      <c r="AG34" s="182"/>
      <c r="AH34" s="526" t="e">
        <f t="shared" si="20"/>
        <v>#N/A</v>
      </c>
      <c r="AI34" s="674"/>
      <c r="AJ34" s="526"/>
      <c r="AK34" s="182"/>
      <c r="AL34" s="182"/>
      <c r="AM34" s="526" t="e">
        <f t="shared" si="21"/>
        <v>#N/A</v>
      </c>
      <c r="AN34" s="674"/>
      <c r="AO34" s="526"/>
      <c r="AP34" s="182"/>
      <c r="AQ34" s="182"/>
      <c r="AR34" s="526" t="e">
        <f t="shared" si="22"/>
        <v>#N/A</v>
      </c>
      <c r="AS34" s="674"/>
      <c r="AT34" s="526"/>
      <c r="AU34" s="182"/>
      <c r="AV34" s="182"/>
      <c r="AW34" s="526" t="e">
        <f t="shared" si="23"/>
        <v>#N/A</v>
      </c>
      <c r="AX34" s="674"/>
    </row>
    <row r="35" spans="2:50">
      <c r="B35" s="660"/>
      <c r="C35" s="526">
        <v>9</v>
      </c>
      <c r="D35" s="526"/>
      <c r="E35" s="526"/>
      <c r="F35" s="526"/>
      <c r="G35" s="526"/>
      <c r="H35" s="705"/>
      <c r="I35" s="527"/>
      <c r="J35" s="527"/>
      <c r="K35" s="200"/>
      <c r="L35" s="634"/>
      <c r="M35" s="528" t="e">
        <f>RANK(K35, K$27:$K$41)</f>
        <v>#N/A</v>
      </c>
      <c r="N35" s="652"/>
      <c r="O35" s="652"/>
      <c r="P35" s="526"/>
      <c r="Q35" s="526"/>
      <c r="R35" s="526"/>
      <c r="S35" s="526" t="e">
        <f t="shared" si="17"/>
        <v>#N/A</v>
      </c>
      <c r="T35" s="674"/>
      <c r="U35" s="526"/>
      <c r="V35" s="526"/>
      <c r="W35" s="526"/>
      <c r="X35" s="526" t="e">
        <f t="shared" si="18"/>
        <v>#N/A</v>
      </c>
      <c r="Y35" s="674"/>
      <c r="Z35" s="526"/>
      <c r="AA35" s="526"/>
      <c r="AB35" s="526"/>
      <c r="AC35" s="526" t="e">
        <f t="shared" si="19"/>
        <v>#N/A</v>
      </c>
      <c r="AD35" s="674"/>
      <c r="AE35" s="526"/>
      <c r="AF35" s="526"/>
      <c r="AG35" s="526"/>
      <c r="AH35" s="526" t="e">
        <f t="shared" si="20"/>
        <v>#N/A</v>
      </c>
      <c r="AI35" s="674"/>
      <c r="AJ35" s="526"/>
      <c r="AK35" s="526"/>
      <c r="AL35" s="526"/>
      <c r="AM35" s="526" t="e">
        <f t="shared" si="21"/>
        <v>#N/A</v>
      </c>
      <c r="AN35" s="674"/>
      <c r="AO35" s="526"/>
      <c r="AP35" s="526"/>
      <c r="AQ35" s="526"/>
      <c r="AR35" s="526" t="e">
        <f t="shared" si="22"/>
        <v>#N/A</v>
      </c>
      <c r="AS35" s="674"/>
      <c r="AT35" s="526"/>
      <c r="AU35" s="526"/>
      <c r="AV35" s="526"/>
      <c r="AW35" s="526" t="e">
        <f t="shared" si="23"/>
        <v>#N/A</v>
      </c>
      <c r="AX35" s="674"/>
    </row>
    <row r="36" spans="2:50">
      <c r="B36" s="660"/>
      <c r="C36" s="526">
        <v>10</v>
      </c>
      <c r="D36" s="526"/>
      <c r="E36" s="526"/>
      <c r="F36" s="526"/>
      <c r="G36" s="526"/>
      <c r="H36" s="705"/>
      <c r="I36" s="527"/>
      <c r="J36" s="527"/>
      <c r="K36" s="200"/>
      <c r="L36" s="634"/>
      <c r="M36" s="528" t="e">
        <f>RANK(K36, K$27:$K$41)</f>
        <v>#N/A</v>
      </c>
      <c r="N36" s="652"/>
      <c r="O36" s="652"/>
      <c r="P36" s="526"/>
      <c r="Q36" s="526"/>
      <c r="R36" s="526"/>
      <c r="S36" s="526" t="e">
        <f t="shared" si="17"/>
        <v>#N/A</v>
      </c>
      <c r="T36" s="674"/>
      <c r="U36" s="526"/>
      <c r="V36" s="526"/>
      <c r="W36" s="526"/>
      <c r="X36" s="526" t="e">
        <f t="shared" si="18"/>
        <v>#N/A</v>
      </c>
      <c r="Y36" s="674"/>
      <c r="Z36" s="526"/>
      <c r="AA36" s="526"/>
      <c r="AB36" s="526"/>
      <c r="AC36" s="526" t="e">
        <f t="shared" si="19"/>
        <v>#N/A</v>
      </c>
      <c r="AD36" s="674"/>
      <c r="AE36" s="526"/>
      <c r="AF36" s="526"/>
      <c r="AG36" s="526"/>
      <c r="AH36" s="526" t="e">
        <f t="shared" si="20"/>
        <v>#N/A</v>
      </c>
      <c r="AI36" s="674"/>
      <c r="AJ36" s="526"/>
      <c r="AK36" s="526"/>
      <c r="AL36" s="526"/>
      <c r="AM36" s="526" t="e">
        <f t="shared" si="21"/>
        <v>#N/A</v>
      </c>
      <c r="AN36" s="674"/>
      <c r="AO36" s="526"/>
      <c r="AP36" s="526"/>
      <c r="AQ36" s="526"/>
      <c r="AR36" s="526" t="e">
        <f t="shared" si="22"/>
        <v>#N/A</v>
      </c>
      <c r="AS36" s="674"/>
      <c r="AT36" s="526"/>
      <c r="AU36" s="526"/>
      <c r="AV36" s="526"/>
      <c r="AW36" s="526" t="e">
        <f t="shared" si="23"/>
        <v>#N/A</v>
      </c>
      <c r="AX36" s="674"/>
    </row>
    <row r="37" spans="2:50">
      <c r="B37" s="660"/>
      <c r="C37" s="526">
        <v>11</v>
      </c>
      <c r="D37" s="526"/>
      <c r="E37" s="526"/>
      <c r="F37" s="526"/>
      <c r="G37" s="526"/>
      <c r="H37" s="705"/>
      <c r="I37" s="202"/>
      <c r="J37" s="202"/>
      <c r="K37" s="202"/>
      <c r="L37" s="634"/>
      <c r="M37" s="528" t="e">
        <f>RANK(K37, K$27:$K$41)</f>
        <v>#N/A</v>
      </c>
      <c r="N37" s="652"/>
      <c r="O37" s="652"/>
      <c r="P37" s="526"/>
      <c r="Q37" s="526"/>
      <c r="R37" s="526"/>
      <c r="S37" s="526" t="e">
        <f t="shared" si="17"/>
        <v>#N/A</v>
      </c>
      <c r="T37" s="674"/>
      <c r="U37" s="526"/>
      <c r="V37" s="526"/>
      <c r="W37" s="526"/>
      <c r="X37" s="526" t="e">
        <f t="shared" si="18"/>
        <v>#N/A</v>
      </c>
      <c r="Y37" s="674"/>
      <c r="Z37" s="526"/>
      <c r="AA37" s="526"/>
      <c r="AB37" s="526"/>
      <c r="AC37" s="526" t="e">
        <f t="shared" si="19"/>
        <v>#N/A</v>
      </c>
      <c r="AD37" s="674"/>
      <c r="AE37" s="526"/>
      <c r="AF37" s="526"/>
      <c r="AG37" s="526"/>
      <c r="AH37" s="526" t="e">
        <f t="shared" si="20"/>
        <v>#N/A</v>
      </c>
      <c r="AI37" s="674"/>
      <c r="AJ37" s="526"/>
      <c r="AK37" s="526"/>
      <c r="AL37" s="526"/>
      <c r="AM37" s="526" t="e">
        <f t="shared" si="21"/>
        <v>#N/A</v>
      </c>
      <c r="AN37" s="674"/>
      <c r="AO37" s="526"/>
      <c r="AP37" s="526"/>
      <c r="AQ37" s="526"/>
      <c r="AR37" s="526" t="e">
        <f t="shared" si="22"/>
        <v>#N/A</v>
      </c>
      <c r="AS37" s="674"/>
      <c r="AT37" s="526"/>
      <c r="AU37" s="526"/>
      <c r="AV37" s="526"/>
      <c r="AW37" s="526" t="e">
        <f t="shared" si="23"/>
        <v>#N/A</v>
      </c>
      <c r="AX37" s="674"/>
    </row>
    <row r="38" spans="2:50">
      <c r="B38" s="660"/>
      <c r="C38" s="526">
        <v>12</v>
      </c>
      <c r="D38" s="526"/>
      <c r="E38" s="526"/>
      <c r="F38" s="526"/>
      <c r="G38" s="526"/>
      <c r="H38" s="705"/>
      <c r="I38" s="202"/>
      <c r="J38" s="202"/>
      <c r="K38" s="202"/>
      <c r="L38" s="634"/>
      <c r="M38" s="528" t="e">
        <f>RANK(K38, K$27:$K$41)</f>
        <v>#N/A</v>
      </c>
      <c r="N38" s="652"/>
      <c r="O38" s="652"/>
      <c r="P38" s="526"/>
      <c r="Q38" s="526"/>
      <c r="R38" s="526"/>
      <c r="S38" s="526" t="e">
        <f t="shared" si="17"/>
        <v>#N/A</v>
      </c>
      <c r="T38" s="674"/>
      <c r="U38" s="526"/>
      <c r="V38" s="526"/>
      <c r="W38" s="526"/>
      <c r="X38" s="526" t="e">
        <f t="shared" si="18"/>
        <v>#N/A</v>
      </c>
      <c r="Y38" s="674"/>
      <c r="Z38" s="526"/>
      <c r="AA38" s="526"/>
      <c r="AB38" s="526"/>
      <c r="AC38" s="526" t="e">
        <f t="shared" si="19"/>
        <v>#N/A</v>
      </c>
      <c r="AD38" s="674"/>
      <c r="AE38" s="526"/>
      <c r="AF38" s="526"/>
      <c r="AG38" s="526"/>
      <c r="AH38" s="526" t="e">
        <f t="shared" si="20"/>
        <v>#N/A</v>
      </c>
      <c r="AI38" s="674"/>
      <c r="AJ38" s="526"/>
      <c r="AK38" s="526"/>
      <c r="AL38" s="526"/>
      <c r="AM38" s="526" t="e">
        <f t="shared" si="21"/>
        <v>#N/A</v>
      </c>
      <c r="AN38" s="674"/>
      <c r="AO38" s="526"/>
      <c r="AP38" s="526"/>
      <c r="AQ38" s="526"/>
      <c r="AR38" s="526" t="e">
        <f t="shared" si="22"/>
        <v>#N/A</v>
      </c>
      <c r="AS38" s="674"/>
      <c r="AT38" s="526"/>
      <c r="AU38" s="526"/>
      <c r="AV38" s="526"/>
      <c r="AW38" s="526" t="e">
        <f t="shared" si="23"/>
        <v>#N/A</v>
      </c>
      <c r="AX38" s="674"/>
    </row>
    <row r="39" spans="2:50">
      <c r="B39" s="660"/>
      <c r="C39" s="526">
        <v>13</v>
      </c>
      <c r="D39" s="526"/>
      <c r="E39" s="526"/>
      <c r="F39" s="526"/>
      <c r="G39" s="526"/>
      <c r="H39" s="705"/>
      <c r="I39" s="202"/>
      <c r="J39" s="202"/>
      <c r="K39" s="202"/>
      <c r="L39" s="634"/>
      <c r="M39" s="528" t="e">
        <f>RANK(K39, K$27:$K$41)</f>
        <v>#N/A</v>
      </c>
      <c r="N39" s="652"/>
      <c r="O39" s="652"/>
      <c r="P39" s="526"/>
      <c r="Q39" s="526"/>
      <c r="R39" s="526"/>
      <c r="S39" s="526" t="e">
        <f t="shared" si="17"/>
        <v>#N/A</v>
      </c>
      <c r="T39" s="674"/>
      <c r="U39" s="526"/>
      <c r="V39" s="526"/>
      <c r="W39" s="526"/>
      <c r="X39" s="526" t="e">
        <f t="shared" si="18"/>
        <v>#N/A</v>
      </c>
      <c r="Y39" s="674"/>
      <c r="Z39" s="526"/>
      <c r="AA39" s="526"/>
      <c r="AB39" s="526"/>
      <c r="AC39" s="526" t="e">
        <f t="shared" si="19"/>
        <v>#N/A</v>
      </c>
      <c r="AD39" s="674"/>
      <c r="AE39" s="526"/>
      <c r="AF39" s="526"/>
      <c r="AG39" s="526"/>
      <c r="AH39" s="526" t="e">
        <f t="shared" si="20"/>
        <v>#N/A</v>
      </c>
      <c r="AI39" s="674"/>
      <c r="AJ39" s="526"/>
      <c r="AK39" s="526"/>
      <c r="AL39" s="526"/>
      <c r="AM39" s="526" t="e">
        <f t="shared" si="21"/>
        <v>#N/A</v>
      </c>
      <c r="AN39" s="674"/>
      <c r="AO39" s="526"/>
      <c r="AP39" s="526"/>
      <c r="AQ39" s="526"/>
      <c r="AR39" s="526" t="e">
        <f t="shared" si="22"/>
        <v>#N/A</v>
      </c>
      <c r="AS39" s="674"/>
      <c r="AT39" s="526"/>
      <c r="AU39" s="526"/>
      <c r="AV39" s="526"/>
      <c r="AW39" s="526" t="e">
        <f t="shared" si="23"/>
        <v>#N/A</v>
      </c>
      <c r="AX39" s="674"/>
    </row>
    <row r="40" spans="2:50">
      <c r="B40" s="660"/>
      <c r="C40" s="526">
        <v>14</v>
      </c>
      <c r="D40" s="526"/>
      <c r="E40" s="526"/>
      <c r="F40" s="526"/>
      <c r="G40" s="526"/>
      <c r="H40" s="705"/>
      <c r="I40" s="202"/>
      <c r="J40" s="202"/>
      <c r="K40" s="202"/>
      <c r="L40" s="634"/>
      <c r="M40" s="528" t="e">
        <f>RANK(K40, K$27:$K$41)</f>
        <v>#N/A</v>
      </c>
      <c r="N40" s="652"/>
      <c r="O40" s="652"/>
      <c r="P40" s="526"/>
      <c r="Q40" s="526"/>
      <c r="R40" s="526"/>
      <c r="S40" s="526" t="e">
        <f t="shared" si="17"/>
        <v>#N/A</v>
      </c>
      <c r="T40" s="674"/>
      <c r="U40" s="526"/>
      <c r="V40" s="526"/>
      <c r="W40" s="526"/>
      <c r="X40" s="526" t="e">
        <f t="shared" si="18"/>
        <v>#N/A</v>
      </c>
      <c r="Y40" s="674"/>
      <c r="Z40" s="526"/>
      <c r="AA40" s="526"/>
      <c r="AB40" s="526"/>
      <c r="AC40" s="526" t="e">
        <f t="shared" si="19"/>
        <v>#N/A</v>
      </c>
      <c r="AD40" s="674"/>
      <c r="AE40" s="526"/>
      <c r="AF40" s="526"/>
      <c r="AG40" s="526"/>
      <c r="AH40" s="526" t="e">
        <f t="shared" si="20"/>
        <v>#N/A</v>
      </c>
      <c r="AI40" s="674"/>
      <c r="AJ40" s="526"/>
      <c r="AK40" s="526"/>
      <c r="AL40" s="526"/>
      <c r="AM40" s="526" t="e">
        <f t="shared" si="21"/>
        <v>#N/A</v>
      </c>
      <c r="AN40" s="674"/>
      <c r="AO40" s="526"/>
      <c r="AP40" s="526"/>
      <c r="AQ40" s="526"/>
      <c r="AR40" s="526" t="e">
        <f t="shared" si="22"/>
        <v>#N/A</v>
      </c>
      <c r="AS40" s="674"/>
      <c r="AT40" s="526"/>
      <c r="AU40" s="526"/>
      <c r="AV40" s="526"/>
      <c r="AW40" s="526" t="e">
        <f t="shared" si="23"/>
        <v>#N/A</v>
      </c>
      <c r="AX40" s="674"/>
    </row>
    <row r="41" spans="2:50">
      <c r="B41" s="660"/>
      <c r="C41" s="526">
        <v>15</v>
      </c>
      <c r="D41" s="526"/>
      <c r="E41" s="526"/>
      <c r="F41" s="526"/>
      <c r="G41" s="526"/>
      <c r="H41" s="706"/>
      <c r="I41" s="202"/>
      <c r="J41" s="202"/>
      <c r="K41" s="202"/>
      <c r="L41" s="635"/>
      <c r="M41" s="527" t="e">
        <f>RANK(K41, K$27:$K$41)</f>
        <v>#N/A</v>
      </c>
      <c r="N41" s="652"/>
      <c r="O41" s="652"/>
      <c r="P41" s="526"/>
      <c r="Q41" s="526"/>
      <c r="R41" s="526"/>
      <c r="S41" s="526" t="e">
        <f t="shared" si="17"/>
        <v>#N/A</v>
      </c>
      <c r="T41" s="674"/>
      <c r="U41" s="526"/>
      <c r="V41" s="526"/>
      <c r="W41" s="526"/>
      <c r="X41" s="526" t="e">
        <f t="shared" si="18"/>
        <v>#N/A</v>
      </c>
      <c r="Y41" s="674"/>
      <c r="Z41" s="526"/>
      <c r="AA41" s="526"/>
      <c r="AB41" s="526"/>
      <c r="AC41" s="526" t="e">
        <f t="shared" si="19"/>
        <v>#N/A</v>
      </c>
      <c r="AD41" s="674"/>
      <c r="AE41" s="526"/>
      <c r="AF41" s="526"/>
      <c r="AG41" s="526"/>
      <c r="AH41" s="526" t="e">
        <f t="shared" si="20"/>
        <v>#N/A</v>
      </c>
      <c r="AI41" s="674"/>
      <c r="AJ41" s="526"/>
      <c r="AK41" s="526"/>
      <c r="AL41" s="526"/>
      <c r="AM41" s="526" t="e">
        <f t="shared" si="21"/>
        <v>#N/A</v>
      </c>
      <c r="AN41" s="674"/>
      <c r="AO41" s="526"/>
      <c r="AP41" s="526"/>
      <c r="AQ41" s="526"/>
      <c r="AR41" s="526" t="e">
        <f t="shared" si="22"/>
        <v>#N/A</v>
      </c>
      <c r="AS41" s="674"/>
      <c r="AT41" s="526"/>
      <c r="AU41" s="526"/>
      <c r="AV41" s="526"/>
      <c r="AW41" s="526" t="e">
        <f t="shared" si="23"/>
        <v>#N/A</v>
      </c>
      <c r="AX41" s="674"/>
    </row>
    <row r="42" spans="2:50" ht="15.75">
      <c r="B42" s="678" t="s">
        <v>163</v>
      </c>
      <c r="C42" s="679"/>
      <c r="D42" s="679"/>
      <c r="E42" s="679"/>
      <c r="F42" s="679"/>
      <c r="G42" s="679"/>
      <c r="H42" s="679"/>
      <c r="I42" s="208"/>
      <c r="J42" s="203"/>
      <c r="K42" s="208"/>
      <c r="L42" s="208"/>
      <c r="M42" s="204"/>
      <c r="N42" s="653" t="s">
        <v>156</v>
      </c>
      <c r="O42" s="653" t="s">
        <v>105</v>
      </c>
      <c r="P42" s="659">
        <f>P22+7</f>
        <v>46063</v>
      </c>
      <c r="Q42" s="660"/>
      <c r="R42" s="660"/>
      <c r="S42" s="660"/>
      <c r="T42" s="660"/>
      <c r="U42" s="656">
        <f>P42+1</f>
        <v>46064</v>
      </c>
      <c r="V42" s="657"/>
      <c r="W42" s="657"/>
      <c r="X42" s="657"/>
      <c r="Y42" s="658"/>
      <c r="Z42" s="656">
        <f>U42+1</f>
        <v>46065</v>
      </c>
      <c r="AA42" s="657"/>
      <c r="AB42" s="657"/>
      <c r="AC42" s="657"/>
      <c r="AD42" s="658"/>
      <c r="AE42" s="656">
        <f>Z42+1</f>
        <v>46066</v>
      </c>
      <c r="AF42" s="657"/>
      <c r="AG42" s="657"/>
      <c r="AH42" s="657"/>
      <c r="AI42" s="658"/>
      <c r="AJ42" s="656">
        <f>AE42+1</f>
        <v>46067</v>
      </c>
      <c r="AK42" s="657"/>
      <c r="AL42" s="657"/>
      <c r="AM42" s="657"/>
      <c r="AN42" s="658"/>
      <c r="AO42" s="656">
        <f>AJ42+1</f>
        <v>46068</v>
      </c>
      <c r="AP42" s="657"/>
      <c r="AQ42" s="657"/>
      <c r="AR42" s="657"/>
      <c r="AS42" s="658"/>
      <c r="AT42" s="656">
        <f>AO42+1</f>
        <v>46069</v>
      </c>
      <c r="AU42" s="657"/>
      <c r="AV42" s="657"/>
      <c r="AW42" s="657"/>
      <c r="AX42" s="658"/>
    </row>
    <row r="43" spans="2:50" ht="15.75">
      <c r="B43" s="667"/>
      <c r="C43" s="667"/>
      <c r="D43" s="667"/>
      <c r="E43" s="667"/>
      <c r="F43" s="667"/>
      <c r="G43" s="667"/>
      <c r="H43" s="667"/>
      <c r="I43" s="205"/>
      <c r="J43" s="205"/>
      <c r="K43" s="205"/>
      <c r="L43" s="205"/>
      <c r="M43" s="206"/>
      <c r="N43" s="655"/>
      <c r="O43" s="655"/>
      <c r="P43" s="659" t="s">
        <v>336</v>
      </c>
      <c r="Q43" s="660"/>
      <c r="R43" s="660"/>
      <c r="S43" s="660"/>
      <c r="T43" s="660"/>
      <c r="U43" s="659" t="s">
        <v>337</v>
      </c>
      <c r="V43" s="660"/>
      <c r="W43" s="660"/>
      <c r="X43" s="660"/>
      <c r="Y43" s="660"/>
      <c r="Z43" s="659" t="s">
        <v>338</v>
      </c>
      <c r="AA43" s="660"/>
      <c r="AB43" s="660"/>
      <c r="AC43" s="660"/>
      <c r="AD43" s="660"/>
      <c r="AE43" s="659" t="s">
        <v>339</v>
      </c>
      <c r="AF43" s="660"/>
      <c r="AG43" s="660"/>
      <c r="AH43" s="660"/>
      <c r="AI43" s="660"/>
      <c r="AJ43" s="659" t="s">
        <v>340</v>
      </c>
      <c r="AK43" s="660"/>
      <c r="AL43" s="660"/>
      <c r="AM43" s="660"/>
      <c r="AN43" s="660"/>
      <c r="AO43" s="659" t="s">
        <v>341</v>
      </c>
      <c r="AP43" s="660"/>
      <c r="AQ43" s="660"/>
      <c r="AR43" s="660"/>
      <c r="AS43" s="660"/>
      <c r="AT43" s="659" t="s">
        <v>342</v>
      </c>
      <c r="AU43" s="660"/>
      <c r="AV43" s="660"/>
      <c r="AW43" s="660"/>
      <c r="AX43" s="660"/>
    </row>
    <row r="44" spans="2:50">
      <c r="B44" s="652" t="s">
        <v>635</v>
      </c>
      <c r="C44" s="652" t="s">
        <v>636</v>
      </c>
      <c r="D44" s="652"/>
      <c r="E44" s="652" t="s">
        <v>637</v>
      </c>
      <c r="F44" s="652"/>
      <c r="G44" s="652"/>
      <c r="H44" s="668" t="s">
        <v>638</v>
      </c>
      <c r="I44" s="636" t="s">
        <v>639</v>
      </c>
      <c r="J44" s="636"/>
      <c r="K44" s="636"/>
      <c r="L44" s="637" t="s">
        <v>638</v>
      </c>
      <c r="M44" s="643" t="s">
        <v>640</v>
      </c>
      <c r="N44" s="652"/>
      <c r="O44" s="652" t="s">
        <v>641</v>
      </c>
      <c r="P44" s="649" t="s">
        <v>935</v>
      </c>
      <c r="Q44" s="650"/>
      <c r="R44" s="650"/>
      <c r="S44" s="651"/>
      <c r="T44" s="652" t="s">
        <v>936</v>
      </c>
      <c r="U44" s="649" t="s">
        <v>935</v>
      </c>
      <c r="V44" s="650"/>
      <c r="W44" s="650"/>
      <c r="X44" s="651"/>
      <c r="Y44" s="652" t="s">
        <v>936</v>
      </c>
      <c r="Z44" s="649" t="s">
        <v>935</v>
      </c>
      <c r="AA44" s="650"/>
      <c r="AB44" s="650"/>
      <c r="AC44" s="651"/>
      <c r="AD44" s="652" t="s">
        <v>936</v>
      </c>
      <c r="AE44" s="649" t="s">
        <v>935</v>
      </c>
      <c r="AF44" s="650"/>
      <c r="AG44" s="650"/>
      <c r="AH44" s="651"/>
      <c r="AI44" s="652" t="s">
        <v>936</v>
      </c>
      <c r="AJ44" s="649" t="s">
        <v>935</v>
      </c>
      <c r="AK44" s="650"/>
      <c r="AL44" s="650"/>
      <c r="AM44" s="651"/>
      <c r="AN44" s="652" t="s">
        <v>936</v>
      </c>
      <c r="AO44" s="649" t="s">
        <v>935</v>
      </c>
      <c r="AP44" s="650"/>
      <c r="AQ44" s="650"/>
      <c r="AR44" s="651"/>
      <c r="AS44" s="652" t="s">
        <v>936</v>
      </c>
      <c r="AT44" s="649" t="s">
        <v>935</v>
      </c>
      <c r="AU44" s="650"/>
      <c r="AV44" s="650"/>
      <c r="AW44" s="651"/>
      <c r="AX44" s="652" t="s">
        <v>936</v>
      </c>
    </row>
    <row r="45" spans="2:50">
      <c r="B45" s="652"/>
      <c r="C45" s="652"/>
      <c r="D45" s="652"/>
      <c r="E45" s="652" t="s">
        <v>642</v>
      </c>
      <c r="F45" s="652"/>
      <c r="G45" s="652"/>
      <c r="H45" s="669"/>
      <c r="I45" s="636" t="s">
        <v>642</v>
      </c>
      <c r="J45" s="636"/>
      <c r="K45" s="636"/>
      <c r="L45" s="638"/>
      <c r="M45" s="644"/>
      <c r="N45" s="652"/>
      <c r="O45" s="652"/>
      <c r="P45" s="649" t="s">
        <v>937</v>
      </c>
      <c r="Q45" s="650"/>
      <c r="R45" s="650"/>
      <c r="S45" s="651"/>
      <c r="T45" s="652"/>
      <c r="U45" s="649" t="s">
        <v>937</v>
      </c>
      <c r="V45" s="650"/>
      <c r="W45" s="650"/>
      <c r="X45" s="651"/>
      <c r="Y45" s="652"/>
      <c r="Z45" s="649" t="s">
        <v>937</v>
      </c>
      <c r="AA45" s="650"/>
      <c r="AB45" s="650"/>
      <c r="AC45" s="651"/>
      <c r="AD45" s="652"/>
      <c r="AE45" s="649" t="s">
        <v>937</v>
      </c>
      <c r="AF45" s="650"/>
      <c r="AG45" s="650"/>
      <c r="AH45" s="651"/>
      <c r="AI45" s="652"/>
      <c r="AJ45" s="649" t="s">
        <v>937</v>
      </c>
      <c r="AK45" s="650"/>
      <c r="AL45" s="650"/>
      <c r="AM45" s="651"/>
      <c r="AN45" s="652"/>
      <c r="AO45" s="649" t="s">
        <v>937</v>
      </c>
      <c r="AP45" s="650"/>
      <c r="AQ45" s="650"/>
      <c r="AR45" s="651"/>
      <c r="AS45" s="652"/>
      <c r="AT45" s="649" t="s">
        <v>937</v>
      </c>
      <c r="AU45" s="650"/>
      <c r="AV45" s="650"/>
      <c r="AW45" s="651"/>
      <c r="AX45" s="652"/>
    </row>
    <row r="46" spans="2:50">
      <c r="B46" s="652"/>
      <c r="C46" s="652"/>
      <c r="D46" s="652"/>
      <c r="E46" s="336" t="s">
        <v>643</v>
      </c>
      <c r="F46" s="336" t="s">
        <v>644</v>
      </c>
      <c r="G46" s="336" t="s">
        <v>645</v>
      </c>
      <c r="H46" s="670"/>
      <c r="I46" s="337" t="s">
        <v>643</v>
      </c>
      <c r="J46" s="337" t="s">
        <v>644</v>
      </c>
      <c r="K46" s="337" t="s">
        <v>645</v>
      </c>
      <c r="L46" s="639"/>
      <c r="M46" s="645"/>
      <c r="N46" s="652"/>
      <c r="O46" s="652"/>
      <c r="P46" s="536" t="s">
        <v>938</v>
      </c>
      <c r="Q46" s="536" t="s">
        <v>939</v>
      </c>
      <c r="R46" s="536" t="s">
        <v>940</v>
      </c>
      <c r="S46" s="536" t="s">
        <v>941</v>
      </c>
      <c r="T46" s="652"/>
      <c r="U46" s="536" t="s">
        <v>938</v>
      </c>
      <c r="V46" s="536" t="s">
        <v>939</v>
      </c>
      <c r="W46" s="536" t="s">
        <v>940</v>
      </c>
      <c r="X46" s="536" t="s">
        <v>941</v>
      </c>
      <c r="Y46" s="652"/>
      <c r="Z46" s="536" t="s">
        <v>938</v>
      </c>
      <c r="AA46" s="536" t="s">
        <v>939</v>
      </c>
      <c r="AB46" s="536" t="s">
        <v>940</v>
      </c>
      <c r="AC46" s="536" t="s">
        <v>941</v>
      </c>
      <c r="AD46" s="652"/>
      <c r="AE46" s="536" t="s">
        <v>938</v>
      </c>
      <c r="AF46" s="536" t="s">
        <v>939</v>
      </c>
      <c r="AG46" s="536" t="s">
        <v>940</v>
      </c>
      <c r="AH46" s="536" t="s">
        <v>941</v>
      </c>
      <c r="AI46" s="652"/>
      <c r="AJ46" s="536" t="s">
        <v>938</v>
      </c>
      <c r="AK46" s="536" t="s">
        <v>939</v>
      </c>
      <c r="AL46" s="536" t="s">
        <v>940</v>
      </c>
      <c r="AM46" s="536" t="s">
        <v>941</v>
      </c>
      <c r="AN46" s="652"/>
      <c r="AO46" s="536" t="s">
        <v>938</v>
      </c>
      <c r="AP46" s="536" t="s">
        <v>939</v>
      </c>
      <c r="AQ46" s="536" t="s">
        <v>940</v>
      </c>
      <c r="AR46" s="536" t="s">
        <v>941</v>
      </c>
      <c r="AS46" s="652"/>
      <c r="AT46" s="536" t="s">
        <v>938</v>
      </c>
      <c r="AU46" s="536" t="s">
        <v>939</v>
      </c>
      <c r="AV46" s="536" t="s">
        <v>940</v>
      </c>
      <c r="AW46" s="536" t="s">
        <v>941</v>
      </c>
      <c r="AX46" s="652"/>
    </row>
    <row r="47" spans="2:50">
      <c r="B47" s="700" t="s">
        <v>646</v>
      </c>
      <c r="C47" s="335">
        <v>1</v>
      </c>
      <c r="D47" s="508" t="s">
        <v>370</v>
      </c>
      <c r="E47" s="508">
        <v>10</v>
      </c>
      <c r="F47" s="508">
        <v>1500</v>
      </c>
      <c r="G47" s="182">
        <v>150</v>
      </c>
      <c r="H47" s="701">
        <f>AVERAGE(G47:G61)</f>
        <v>178.33333333333334</v>
      </c>
      <c r="I47" s="199">
        <f>AVERAGE(P47,U47,Z47,AE47,AJ47,AO47,AT47)</f>
        <v>10</v>
      </c>
      <c r="J47" s="199">
        <f>AVERAGE(Q47,V47,AA47,AF47,AK47,AP47,AU47)</f>
        <v>1452.799999999999</v>
      </c>
      <c r="K47" s="200">
        <f>AVERAGE(R47,W47,AB47,AG47,AL47,AQ47,AV47)</f>
        <v>145.27999999999989</v>
      </c>
      <c r="L47" s="633">
        <f>IFERROR(AVERAGE(K47:K61),"-")</f>
        <v>179.39643407891558</v>
      </c>
      <c r="M47" s="201">
        <f>RANK(K47, K$47:$K$61)</f>
        <v>5</v>
      </c>
      <c r="N47" s="652"/>
      <c r="O47" s="652"/>
      <c r="P47" s="537">
        <v>10</v>
      </c>
      <c r="Q47" s="182">
        <v>1545.5999999999956</v>
      </c>
      <c r="R47" s="182">
        <v>154.55999999999955</v>
      </c>
      <c r="S47" s="538">
        <f>RANK(R47, R$47:R$61)</f>
        <v>3</v>
      </c>
      <c r="T47" s="674">
        <f>AVERAGE(R47:R61)</f>
        <v>178.21298208127124</v>
      </c>
      <c r="U47" s="537">
        <v>10</v>
      </c>
      <c r="V47" s="182">
        <v>1422.0000000000014</v>
      </c>
      <c r="W47" s="182">
        <v>142.20000000000013</v>
      </c>
      <c r="X47" s="538">
        <f>RANK(W47, W$47:W$61)</f>
        <v>3</v>
      </c>
      <c r="Y47" s="674">
        <f>AVERAGE(W47:W61)</f>
        <v>181.06081242532855</v>
      </c>
      <c r="Z47" s="537">
        <v>10</v>
      </c>
      <c r="AA47" s="182">
        <v>1393.9999999999975</v>
      </c>
      <c r="AB47" s="182">
        <v>139.39999999999975</v>
      </c>
      <c r="AC47" s="538">
        <f>RANK(AB47, AB$47:AB$61)</f>
        <v>5</v>
      </c>
      <c r="AD47" s="674">
        <f>AVERAGE(AB47:AB61)</f>
        <v>177.38888888888889</v>
      </c>
      <c r="AE47" s="537">
        <v>10</v>
      </c>
      <c r="AF47" s="182">
        <v>1501.9999999999973</v>
      </c>
      <c r="AG47" s="182">
        <v>150.19999999999973</v>
      </c>
      <c r="AH47" s="538">
        <f>RANK(AG47, AG$47:AG$61)</f>
        <v>5</v>
      </c>
      <c r="AI47" s="674">
        <f>AVERAGE(AG47:AG61)</f>
        <v>203.89266798418961</v>
      </c>
      <c r="AJ47" s="537">
        <v>10</v>
      </c>
      <c r="AK47" s="182">
        <v>1398.0000000000014</v>
      </c>
      <c r="AL47" s="182">
        <v>139.80000000000013</v>
      </c>
      <c r="AM47" s="538">
        <f>RANK(AL47, AL$47:AL$61)</f>
        <v>5</v>
      </c>
      <c r="AN47" s="674">
        <f>AVERAGE(AL47:AL61)</f>
        <v>198.86681818181836</v>
      </c>
      <c r="AO47" s="537">
        <v>10</v>
      </c>
      <c r="AP47" s="182">
        <v>1401.9999999999975</v>
      </c>
      <c r="AQ47" s="182">
        <v>140.19999999999976</v>
      </c>
      <c r="AR47" s="538">
        <f>RANK(AQ47, AQ$47:AQ$61)</f>
        <v>5</v>
      </c>
      <c r="AS47" s="674">
        <f>AVERAGE(AQ47:AQ61)</f>
        <v>200.08</v>
      </c>
      <c r="AT47" s="537">
        <v>10</v>
      </c>
      <c r="AU47" s="182">
        <v>1506.0000000000014</v>
      </c>
      <c r="AV47" s="182">
        <v>150.60000000000014</v>
      </c>
      <c r="AW47" s="538">
        <f>RANK(AV47, AV$47:AV$61)</f>
        <v>3</v>
      </c>
      <c r="AX47" s="674">
        <f>AVERAGE(AV47:AV61)</f>
        <v>194.71072463768104</v>
      </c>
    </row>
    <row r="48" spans="2:50">
      <c r="B48" s="660"/>
      <c r="C48" s="335">
        <v>2</v>
      </c>
      <c r="D48" s="508" t="s">
        <v>371</v>
      </c>
      <c r="E48" s="508">
        <v>15</v>
      </c>
      <c r="F48" s="508">
        <v>1800</v>
      </c>
      <c r="G48" s="182">
        <v>120</v>
      </c>
      <c r="H48" s="702"/>
      <c r="I48" s="199">
        <f t="shared" ref="I48:I52" si="24">AVERAGE(P48,U48,Z48,AE48,AJ48,AO48,AT48)</f>
        <v>12</v>
      </c>
      <c r="J48" s="199">
        <f t="shared" ref="J48:J52" si="25">AVERAGE(Q48,V48,AA48,AF48,AK48,AP48,AU48)</f>
        <v>1749.3238095238082</v>
      </c>
      <c r="K48" s="200">
        <f t="shared" ref="K48:K52" si="26">AVERAGE(R48,W48,AB48,AG48,AL48,AQ48,AV48)</f>
        <v>145.77698412698402</v>
      </c>
      <c r="L48" s="634"/>
      <c r="M48" s="201">
        <f>RANK(K48, K$47:$K$61)</f>
        <v>4</v>
      </c>
      <c r="N48" s="652"/>
      <c r="O48" s="652"/>
      <c r="P48" s="537">
        <v>12</v>
      </c>
      <c r="Q48" s="182">
        <v>1700.9999999999959</v>
      </c>
      <c r="R48" s="182">
        <v>141.74999999999966</v>
      </c>
      <c r="S48" s="538">
        <f t="shared" ref="S48:S53" si="27">RANK(R48, R$47:R$61)</f>
        <v>5</v>
      </c>
      <c r="T48" s="674"/>
      <c r="U48" s="537">
        <v>12</v>
      </c>
      <c r="V48" s="182">
        <v>1704</v>
      </c>
      <c r="W48" s="182">
        <v>142</v>
      </c>
      <c r="X48" s="538">
        <f t="shared" ref="X48:X53" si="28">RANK(W48, W$47:W$61)</f>
        <v>4</v>
      </c>
      <c r="Y48" s="674"/>
      <c r="Z48" s="537">
        <v>12</v>
      </c>
      <c r="AA48" s="182">
        <v>1738.6666666666638</v>
      </c>
      <c r="AB48" s="182">
        <v>144.88888888888866</v>
      </c>
      <c r="AC48" s="538">
        <f t="shared" ref="AC48:AC53" si="29">RANK(AB48, AB$47:AB$61)</f>
        <v>3</v>
      </c>
      <c r="AD48" s="674"/>
      <c r="AE48" s="537">
        <v>12</v>
      </c>
      <c r="AF48" s="182">
        <v>1837.4999999999955</v>
      </c>
      <c r="AG48" s="182">
        <v>153.12499999999963</v>
      </c>
      <c r="AH48" s="538">
        <f t="shared" ref="AH48:AH53" si="30">RANK(AG48, AG$47:AG$61)</f>
        <v>3</v>
      </c>
      <c r="AI48" s="674"/>
      <c r="AJ48" s="537">
        <v>12</v>
      </c>
      <c r="AK48" s="182">
        <v>1800.000000000003</v>
      </c>
      <c r="AL48" s="182">
        <v>150.00000000000026</v>
      </c>
      <c r="AM48" s="538">
        <f t="shared" ref="AM48:AM53" si="31">RANK(AL48, AL$47:AL$61)</f>
        <v>4</v>
      </c>
      <c r="AN48" s="674"/>
      <c r="AO48" s="537">
        <v>12</v>
      </c>
      <c r="AP48" s="182">
        <v>1762.4999999999993</v>
      </c>
      <c r="AQ48" s="182">
        <v>146.87499999999994</v>
      </c>
      <c r="AR48" s="538">
        <f t="shared" ref="AR48:AR53" si="32">RANK(AQ48, AQ$47:AQ$61)</f>
        <v>3</v>
      </c>
      <c r="AS48" s="674"/>
      <c r="AT48" s="537">
        <v>12</v>
      </c>
      <c r="AU48" s="182">
        <v>1701.5999999999979</v>
      </c>
      <c r="AV48" s="182">
        <v>141.79999999999981</v>
      </c>
      <c r="AW48" s="538">
        <f t="shared" ref="AW48:AW53" si="33">RANK(AV48, AV$47:AV$61)</f>
        <v>4</v>
      </c>
      <c r="AX48" s="674"/>
    </row>
    <row r="49" spans="2:50">
      <c r="B49" s="660"/>
      <c r="C49" s="335">
        <v>3</v>
      </c>
      <c r="D49" s="508" t="s">
        <v>372</v>
      </c>
      <c r="E49" s="508">
        <v>15</v>
      </c>
      <c r="F49" s="508">
        <v>1800</v>
      </c>
      <c r="G49" s="182">
        <v>120</v>
      </c>
      <c r="H49" s="702"/>
      <c r="I49" s="199">
        <f t="shared" si="24"/>
        <v>12</v>
      </c>
      <c r="J49" s="199">
        <f t="shared" si="25"/>
        <v>1752.2095238095228</v>
      </c>
      <c r="K49" s="200">
        <f t="shared" si="26"/>
        <v>146.01746031746023</v>
      </c>
      <c r="L49" s="634"/>
      <c r="M49" s="201">
        <f>RANK(K49, K$47:$K$61)</f>
        <v>3</v>
      </c>
      <c r="N49" s="652"/>
      <c r="O49" s="652"/>
      <c r="P49" s="537">
        <v>12</v>
      </c>
      <c r="Q49" s="182">
        <v>1756.4999999999923</v>
      </c>
      <c r="R49" s="182">
        <v>146.37499999999935</v>
      </c>
      <c r="S49" s="538">
        <f t="shared" si="27"/>
        <v>4</v>
      </c>
      <c r="T49" s="674"/>
      <c r="U49" s="537">
        <v>12</v>
      </c>
      <c r="V49" s="182">
        <v>1701.3333333333333</v>
      </c>
      <c r="W49" s="182">
        <v>141.77777777777777</v>
      </c>
      <c r="X49" s="538">
        <f t="shared" si="28"/>
        <v>5</v>
      </c>
      <c r="Y49" s="674"/>
      <c r="Z49" s="537">
        <v>12</v>
      </c>
      <c r="AA49" s="182">
        <v>1733.3333333333333</v>
      </c>
      <c r="AB49" s="182">
        <v>144.44444444444443</v>
      </c>
      <c r="AC49" s="538">
        <f t="shared" si="29"/>
        <v>4</v>
      </c>
      <c r="AD49" s="674"/>
      <c r="AE49" s="537">
        <v>12</v>
      </c>
      <c r="AF49" s="182">
        <v>1835.9999999999995</v>
      </c>
      <c r="AG49" s="182">
        <v>152.99999999999997</v>
      </c>
      <c r="AH49" s="538">
        <f t="shared" si="30"/>
        <v>4</v>
      </c>
      <c r="AI49" s="674"/>
      <c r="AJ49" s="537">
        <v>12</v>
      </c>
      <c r="AK49" s="182">
        <v>1812.000000000003</v>
      </c>
      <c r="AL49" s="182">
        <v>151.00000000000026</v>
      </c>
      <c r="AM49" s="538">
        <f t="shared" si="31"/>
        <v>3</v>
      </c>
      <c r="AN49" s="674"/>
      <c r="AO49" s="537">
        <v>12</v>
      </c>
      <c r="AP49" s="182">
        <v>1741.5000000000027</v>
      </c>
      <c r="AQ49" s="182">
        <v>145.12500000000023</v>
      </c>
      <c r="AR49" s="538">
        <f t="shared" si="32"/>
        <v>4</v>
      </c>
      <c r="AS49" s="674"/>
      <c r="AT49" s="537">
        <v>12</v>
      </c>
      <c r="AU49" s="182">
        <v>1684.7999999999952</v>
      </c>
      <c r="AV49" s="182">
        <v>140.39999999999961</v>
      </c>
      <c r="AW49" s="538">
        <f t="shared" si="33"/>
        <v>5</v>
      </c>
      <c r="AX49" s="674"/>
    </row>
    <row r="50" spans="2:50">
      <c r="B50" s="660"/>
      <c r="C50" s="335">
        <v>4</v>
      </c>
      <c r="D50" s="508" t="s">
        <v>772</v>
      </c>
      <c r="E50" s="508">
        <v>5</v>
      </c>
      <c r="F50" s="508">
        <v>1500</v>
      </c>
      <c r="G50" s="182">
        <v>300</v>
      </c>
      <c r="H50" s="702"/>
      <c r="I50" s="199">
        <f t="shared" si="24"/>
        <v>6</v>
      </c>
      <c r="J50" s="199">
        <f t="shared" si="25"/>
        <v>1523.3503224464325</v>
      </c>
      <c r="K50" s="200">
        <f t="shared" si="26"/>
        <v>253.89172040773877</v>
      </c>
      <c r="L50" s="634"/>
      <c r="M50" s="201">
        <f>RANK(K50, K$47:$K$61)</f>
        <v>2</v>
      </c>
      <c r="N50" s="652"/>
      <c r="O50" s="652"/>
      <c r="P50" s="537">
        <v>6</v>
      </c>
      <c r="Q50" s="182">
        <v>1474.736842105262</v>
      </c>
      <c r="R50" s="182">
        <v>245.78947368421032</v>
      </c>
      <c r="S50" s="538">
        <f t="shared" si="27"/>
        <v>2</v>
      </c>
      <c r="T50" s="674"/>
      <c r="U50" s="537">
        <v>6</v>
      </c>
      <c r="V50" s="182">
        <v>1655.9999999999995</v>
      </c>
      <c r="W50" s="182">
        <v>275.99999999999994</v>
      </c>
      <c r="X50" s="538">
        <f t="shared" si="28"/>
        <v>2</v>
      </c>
      <c r="Y50" s="674"/>
      <c r="Z50" s="537">
        <v>6</v>
      </c>
      <c r="AA50" s="182">
        <v>1466.9999999999995</v>
      </c>
      <c r="AB50" s="182">
        <v>244.49999999999991</v>
      </c>
      <c r="AC50" s="538">
        <f t="shared" si="29"/>
        <v>2</v>
      </c>
      <c r="AD50" s="674"/>
      <c r="AE50" s="537">
        <v>6</v>
      </c>
      <c r="AF50" s="182">
        <v>1541.7391304347855</v>
      </c>
      <c r="AG50" s="182">
        <v>256.95652173913089</v>
      </c>
      <c r="AH50" s="538">
        <f t="shared" si="30"/>
        <v>2</v>
      </c>
      <c r="AI50" s="674"/>
      <c r="AJ50" s="537">
        <v>6</v>
      </c>
      <c r="AK50" s="182">
        <v>1505.4545454545455</v>
      </c>
      <c r="AL50" s="182">
        <v>250.90909090909091</v>
      </c>
      <c r="AM50" s="538">
        <f t="shared" si="31"/>
        <v>2</v>
      </c>
      <c r="AN50" s="674"/>
      <c r="AO50" s="537">
        <v>6</v>
      </c>
      <c r="AP50" s="182">
        <v>1541.9999999999995</v>
      </c>
      <c r="AQ50" s="182">
        <v>256.99999999999994</v>
      </c>
      <c r="AR50" s="538">
        <f t="shared" si="32"/>
        <v>2</v>
      </c>
      <c r="AS50" s="674"/>
      <c r="AT50" s="537">
        <v>6</v>
      </c>
      <c r="AU50" s="182">
        <v>1476.5217391304348</v>
      </c>
      <c r="AV50" s="182">
        <v>246.08695652173913</v>
      </c>
      <c r="AW50" s="538">
        <f t="shared" si="33"/>
        <v>2</v>
      </c>
      <c r="AX50" s="674"/>
    </row>
    <row r="51" spans="2:50">
      <c r="B51" s="660"/>
      <c r="C51" s="335">
        <v>5</v>
      </c>
      <c r="D51" s="508" t="s">
        <v>708</v>
      </c>
      <c r="E51" s="508">
        <v>5</v>
      </c>
      <c r="F51" s="508">
        <v>1500</v>
      </c>
      <c r="G51" s="182">
        <v>300</v>
      </c>
      <c r="H51" s="702"/>
      <c r="I51" s="199">
        <f t="shared" si="24"/>
        <v>5</v>
      </c>
      <c r="J51" s="199">
        <f t="shared" si="25"/>
        <v>1518.4083519527071</v>
      </c>
      <c r="K51" s="200">
        <f t="shared" si="26"/>
        <v>303.68167039054146</v>
      </c>
      <c r="L51" s="634"/>
      <c r="M51" s="201">
        <f>RANK(K51, K$47:$K$61)</f>
        <v>1</v>
      </c>
      <c r="N51" s="652"/>
      <c r="O51" s="652"/>
      <c r="P51" s="537">
        <v>5</v>
      </c>
      <c r="Q51" s="182">
        <v>1555.5555555555563</v>
      </c>
      <c r="R51" s="182">
        <v>311.11111111111126</v>
      </c>
      <c r="S51" s="538">
        <f t="shared" si="27"/>
        <v>1</v>
      </c>
      <c r="T51" s="674"/>
      <c r="U51" s="537">
        <v>5</v>
      </c>
      <c r="V51" s="182">
        <v>1501.9354838709692</v>
      </c>
      <c r="W51" s="182">
        <v>300.38709677419382</v>
      </c>
      <c r="X51" s="538">
        <f t="shared" si="28"/>
        <v>1</v>
      </c>
      <c r="Y51" s="674"/>
      <c r="Z51" s="537">
        <v>5</v>
      </c>
      <c r="AA51" s="182">
        <v>1498.0000000000014</v>
      </c>
      <c r="AB51" s="182">
        <v>299.60000000000025</v>
      </c>
      <c r="AC51" s="538">
        <f t="shared" si="29"/>
        <v>1</v>
      </c>
      <c r="AD51" s="674"/>
      <c r="AE51" s="537">
        <v>5</v>
      </c>
      <c r="AF51" s="182">
        <v>1530.9090909090889</v>
      </c>
      <c r="AG51" s="182">
        <v>306.18181818181779</v>
      </c>
      <c r="AH51" s="538">
        <f t="shared" si="30"/>
        <v>1</v>
      </c>
      <c r="AI51" s="674"/>
      <c r="AJ51" s="537">
        <v>5</v>
      </c>
      <c r="AK51" s="182">
        <v>1513.1250000000018</v>
      </c>
      <c r="AL51" s="182">
        <v>302.62500000000034</v>
      </c>
      <c r="AM51" s="538">
        <f t="shared" si="31"/>
        <v>1</v>
      </c>
      <c r="AN51" s="674"/>
      <c r="AO51" s="537">
        <v>5</v>
      </c>
      <c r="AP51" s="182">
        <v>1556.0000000000016</v>
      </c>
      <c r="AQ51" s="182">
        <v>311.20000000000033</v>
      </c>
      <c r="AR51" s="538">
        <f t="shared" si="32"/>
        <v>1</v>
      </c>
      <c r="AS51" s="674"/>
      <c r="AT51" s="537">
        <v>5</v>
      </c>
      <c r="AU51" s="182">
        <v>1473.3333333333321</v>
      </c>
      <c r="AV51" s="182">
        <v>294.6666666666664</v>
      </c>
      <c r="AW51" s="538">
        <f t="shared" si="33"/>
        <v>1</v>
      </c>
      <c r="AX51" s="674"/>
    </row>
    <row r="52" spans="2:50">
      <c r="B52" s="660"/>
      <c r="C52" s="335">
        <v>6</v>
      </c>
      <c r="D52" s="508" t="s">
        <v>775</v>
      </c>
      <c r="E52" s="508">
        <v>15</v>
      </c>
      <c r="F52" s="508">
        <v>1200</v>
      </c>
      <c r="G52" s="182">
        <v>80</v>
      </c>
      <c r="H52" s="702"/>
      <c r="I52" s="199">
        <f t="shared" si="24"/>
        <v>12.666666666666666</v>
      </c>
      <c r="J52" s="199">
        <f t="shared" si="25"/>
        <v>1031.9999999999982</v>
      </c>
      <c r="K52" s="200">
        <f t="shared" si="26"/>
        <v>81.730769230769113</v>
      </c>
      <c r="L52" s="634"/>
      <c r="M52" s="201">
        <f>RANK(K52, K$47:$K$61)</f>
        <v>6</v>
      </c>
      <c r="N52" s="652"/>
      <c r="O52" s="652"/>
      <c r="P52" s="537">
        <v>13</v>
      </c>
      <c r="Q52" s="182">
        <v>905.99999999999591</v>
      </c>
      <c r="R52" s="182">
        <v>69.692307692307381</v>
      </c>
      <c r="S52" s="538">
        <f t="shared" si="27"/>
        <v>6</v>
      </c>
      <c r="T52" s="674"/>
      <c r="U52" s="537">
        <v>13</v>
      </c>
      <c r="V52" s="182">
        <v>1091.999999999995</v>
      </c>
      <c r="W52" s="182">
        <v>83.999999999999616</v>
      </c>
      <c r="X52" s="538">
        <f t="shared" si="28"/>
        <v>6</v>
      </c>
      <c r="Y52" s="674"/>
      <c r="Z52" s="537">
        <v>12</v>
      </c>
      <c r="AA52" s="182">
        <v>1098.0000000000039</v>
      </c>
      <c r="AB52" s="182">
        <v>91.500000000000327</v>
      </c>
      <c r="AC52" s="538">
        <f t="shared" si="29"/>
        <v>6</v>
      </c>
      <c r="AD52" s="674"/>
      <c r="AE52" s="537"/>
      <c r="AF52" s="182"/>
      <c r="AG52" s="182"/>
      <c r="AH52" s="538" t="e">
        <f t="shared" si="30"/>
        <v>#N/A</v>
      </c>
      <c r="AI52" s="674"/>
      <c r="AJ52" s="537"/>
      <c r="AK52" s="182"/>
      <c r="AL52" s="182"/>
      <c r="AM52" s="538" t="e">
        <f t="shared" si="31"/>
        <v>#N/A</v>
      </c>
      <c r="AN52" s="674"/>
      <c r="AO52" s="537"/>
      <c r="AP52" s="182"/>
      <c r="AQ52" s="182"/>
      <c r="AR52" s="538" t="e">
        <f t="shared" si="32"/>
        <v>#N/A</v>
      </c>
      <c r="AS52" s="674"/>
      <c r="AT52" s="537"/>
      <c r="AU52" s="182"/>
      <c r="AV52" s="182"/>
      <c r="AW52" s="538" t="e">
        <f t="shared" si="33"/>
        <v>#N/A</v>
      </c>
      <c r="AX52" s="674"/>
    </row>
    <row r="53" spans="2:50">
      <c r="B53" s="660"/>
      <c r="C53" s="335">
        <v>7</v>
      </c>
      <c r="D53" s="508"/>
      <c r="E53" s="508"/>
      <c r="F53" s="508"/>
      <c r="G53" s="182"/>
      <c r="H53" s="702"/>
      <c r="I53" s="199"/>
      <c r="J53" s="199"/>
      <c r="K53" s="200"/>
      <c r="L53" s="634"/>
      <c r="M53" s="201" t="e">
        <f>RANK(K53, K$47:$K$61)</f>
        <v>#N/A</v>
      </c>
      <c r="N53" s="652"/>
      <c r="O53" s="652"/>
      <c r="P53" s="537"/>
      <c r="Q53" s="182"/>
      <c r="R53" s="182"/>
      <c r="S53" s="538" t="e">
        <f t="shared" si="27"/>
        <v>#N/A</v>
      </c>
      <c r="T53" s="674"/>
      <c r="U53" s="537"/>
      <c r="V53" s="182"/>
      <c r="W53" s="182"/>
      <c r="X53" s="538" t="e">
        <f t="shared" si="28"/>
        <v>#N/A</v>
      </c>
      <c r="Y53" s="674"/>
      <c r="Z53" s="537"/>
      <c r="AA53" s="182"/>
      <c r="AB53" s="182"/>
      <c r="AC53" s="538" t="e">
        <f t="shared" si="29"/>
        <v>#N/A</v>
      </c>
      <c r="AD53" s="674"/>
      <c r="AE53" s="537"/>
      <c r="AF53" s="182"/>
      <c r="AG53" s="182"/>
      <c r="AH53" s="538" t="e">
        <f t="shared" si="30"/>
        <v>#N/A</v>
      </c>
      <c r="AI53" s="674"/>
      <c r="AJ53" s="537"/>
      <c r="AK53" s="182"/>
      <c r="AL53" s="182"/>
      <c r="AM53" s="538" t="e">
        <f t="shared" si="31"/>
        <v>#N/A</v>
      </c>
      <c r="AN53" s="674"/>
      <c r="AO53" s="537"/>
      <c r="AP53" s="182"/>
      <c r="AQ53" s="182"/>
      <c r="AR53" s="538" t="e">
        <f t="shared" si="32"/>
        <v>#N/A</v>
      </c>
      <c r="AS53" s="674"/>
      <c r="AT53" s="537"/>
      <c r="AU53" s="182"/>
      <c r="AV53" s="182"/>
      <c r="AW53" s="538" t="e">
        <f t="shared" si="33"/>
        <v>#N/A</v>
      </c>
      <c r="AX53" s="674"/>
    </row>
    <row r="54" spans="2:50">
      <c r="B54" s="660"/>
      <c r="C54" s="335">
        <v>8</v>
      </c>
      <c r="D54" s="508"/>
      <c r="E54" s="508"/>
      <c r="F54" s="508"/>
      <c r="G54" s="182"/>
      <c r="H54" s="702"/>
      <c r="I54" s="465"/>
      <c r="J54" s="465"/>
      <c r="K54" s="200"/>
      <c r="L54" s="634"/>
      <c r="M54" s="201" t="e">
        <f>RANK(K54, K$47:$K$61)</f>
        <v>#N/A</v>
      </c>
      <c r="N54" s="652"/>
      <c r="O54" s="652"/>
      <c r="P54" s="537"/>
      <c r="Q54" s="537"/>
      <c r="R54" s="537"/>
      <c r="S54" s="538"/>
      <c r="T54" s="674"/>
      <c r="U54" s="537"/>
      <c r="V54" s="537"/>
      <c r="W54" s="537"/>
      <c r="X54" s="538"/>
      <c r="Y54" s="674"/>
      <c r="Z54" s="537"/>
      <c r="AA54" s="537"/>
      <c r="AB54" s="537"/>
      <c r="AC54" s="538"/>
      <c r="AD54" s="674"/>
      <c r="AE54" s="537"/>
      <c r="AF54" s="537"/>
      <c r="AG54" s="537"/>
      <c r="AH54" s="538"/>
      <c r="AI54" s="674"/>
      <c r="AJ54" s="537"/>
      <c r="AK54" s="537"/>
      <c r="AL54" s="537"/>
      <c r="AM54" s="538"/>
      <c r="AN54" s="674"/>
      <c r="AO54" s="537"/>
      <c r="AP54" s="537"/>
      <c r="AQ54" s="537"/>
      <c r="AR54" s="538"/>
      <c r="AS54" s="674"/>
      <c r="AT54" s="537"/>
      <c r="AU54" s="537"/>
      <c r="AV54" s="537"/>
      <c r="AW54" s="538"/>
      <c r="AX54" s="674"/>
    </row>
    <row r="55" spans="2:50">
      <c r="B55" s="660"/>
      <c r="C55" s="335">
        <v>9</v>
      </c>
      <c r="D55" s="508"/>
      <c r="E55" s="508"/>
      <c r="F55" s="508"/>
      <c r="G55" s="182"/>
      <c r="H55" s="702"/>
      <c r="I55" s="199"/>
      <c r="J55" s="199"/>
      <c r="K55" s="200"/>
      <c r="L55" s="634"/>
      <c r="M55" s="201" t="e">
        <f>RANK(K55, K$47:$K$61)</f>
        <v>#N/A</v>
      </c>
      <c r="N55" s="652"/>
      <c r="O55" s="652"/>
      <c r="P55" s="537"/>
      <c r="Q55" s="537"/>
      <c r="R55" s="537"/>
      <c r="S55" s="538"/>
      <c r="T55" s="674"/>
      <c r="U55" s="537"/>
      <c r="V55" s="537"/>
      <c r="W55" s="537"/>
      <c r="X55" s="538"/>
      <c r="Y55" s="674"/>
      <c r="Z55" s="537"/>
      <c r="AA55" s="537"/>
      <c r="AB55" s="537"/>
      <c r="AC55" s="538"/>
      <c r="AD55" s="674"/>
      <c r="AE55" s="537"/>
      <c r="AF55" s="537"/>
      <c r="AG55" s="537"/>
      <c r="AH55" s="538"/>
      <c r="AI55" s="674"/>
      <c r="AJ55" s="537"/>
      <c r="AK55" s="537"/>
      <c r="AL55" s="537"/>
      <c r="AM55" s="538"/>
      <c r="AN55" s="674"/>
      <c r="AO55" s="537"/>
      <c r="AP55" s="537"/>
      <c r="AQ55" s="537"/>
      <c r="AR55" s="538"/>
      <c r="AS55" s="674"/>
      <c r="AT55" s="537"/>
      <c r="AU55" s="537"/>
      <c r="AV55" s="537"/>
      <c r="AW55" s="538"/>
      <c r="AX55" s="674"/>
    </row>
    <row r="56" spans="2:50">
      <c r="B56" s="660"/>
      <c r="C56" s="335">
        <v>10</v>
      </c>
      <c r="D56" s="508"/>
      <c r="E56" s="508"/>
      <c r="F56" s="508"/>
      <c r="G56" s="182"/>
      <c r="H56" s="702"/>
      <c r="I56" s="199"/>
      <c r="J56" s="199"/>
      <c r="K56" s="200"/>
      <c r="L56" s="634"/>
      <c r="M56" s="201" t="e">
        <f>RANK(K56, K$47:$K$61)</f>
        <v>#N/A</v>
      </c>
      <c r="N56" s="652"/>
      <c r="O56" s="652"/>
      <c r="P56" s="537"/>
      <c r="Q56" s="537"/>
      <c r="R56" s="537"/>
      <c r="S56" s="538"/>
      <c r="T56" s="674"/>
      <c r="U56" s="537"/>
      <c r="V56" s="537"/>
      <c r="W56" s="537"/>
      <c r="X56" s="538"/>
      <c r="Y56" s="674"/>
      <c r="Z56" s="537"/>
      <c r="AA56" s="537"/>
      <c r="AB56" s="537"/>
      <c r="AC56" s="538"/>
      <c r="AD56" s="674"/>
      <c r="AE56" s="537"/>
      <c r="AF56" s="537"/>
      <c r="AG56" s="537"/>
      <c r="AH56" s="538"/>
      <c r="AI56" s="674"/>
      <c r="AJ56" s="537"/>
      <c r="AK56" s="537"/>
      <c r="AL56" s="537"/>
      <c r="AM56" s="538"/>
      <c r="AN56" s="674"/>
      <c r="AO56" s="537"/>
      <c r="AP56" s="537"/>
      <c r="AQ56" s="537"/>
      <c r="AR56" s="538"/>
      <c r="AS56" s="674"/>
      <c r="AT56" s="537"/>
      <c r="AU56" s="537"/>
      <c r="AV56" s="537"/>
      <c r="AW56" s="538"/>
      <c r="AX56" s="674"/>
    </row>
    <row r="57" spans="2:50">
      <c r="B57" s="660"/>
      <c r="C57" s="335">
        <v>11</v>
      </c>
      <c r="D57" s="508"/>
      <c r="E57" s="508"/>
      <c r="F57" s="508"/>
      <c r="G57" s="182"/>
      <c r="H57" s="702"/>
      <c r="I57" s="202"/>
      <c r="J57" s="202"/>
      <c r="K57" s="202"/>
      <c r="L57" s="634"/>
      <c r="M57" s="201" t="e">
        <f>RANK(K57, K$47:$K$61)</f>
        <v>#N/A</v>
      </c>
      <c r="N57" s="652"/>
      <c r="O57" s="652"/>
      <c r="P57" s="537"/>
      <c r="Q57" s="537"/>
      <c r="R57" s="537"/>
      <c r="S57" s="538"/>
      <c r="T57" s="674"/>
      <c r="U57" s="537"/>
      <c r="V57" s="537"/>
      <c r="W57" s="537"/>
      <c r="X57" s="538"/>
      <c r="Y57" s="674"/>
      <c r="Z57" s="537"/>
      <c r="AA57" s="537"/>
      <c r="AB57" s="537"/>
      <c r="AC57" s="538"/>
      <c r="AD57" s="674"/>
      <c r="AE57" s="537"/>
      <c r="AF57" s="537"/>
      <c r="AG57" s="537"/>
      <c r="AH57" s="538"/>
      <c r="AI57" s="674"/>
      <c r="AJ57" s="537"/>
      <c r="AK57" s="537"/>
      <c r="AL57" s="537"/>
      <c r="AM57" s="538"/>
      <c r="AN57" s="674"/>
      <c r="AO57" s="537"/>
      <c r="AP57" s="537"/>
      <c r="AQ57" s="537"/>
      <c r="AR57" s="538"/>
      <c r="AS57" s="674"/>
      <c r="AT57" s="537"/>
      <c r="AU57" s="537"/>
      <c r="AV57" s="537"/>
      <c r="AW57" s="538"/>
      <c r="AX57" s="674"/>
    </row>
    <row r="58" spans="2:50">
      <c r="B58" s="660"/>
      <c r="C58" s="335">
        <v>12</v>
      </c>
      <c r="D58" s="508"/>
      <c r="E58" s="508"/>
      <c r="F58" s="508"/>
      <c r="G58" s="182"/>
      <c r="H58" s="702"/>
      <c r="I58" s="202"/>
      <c r="J58" s="202"/>
      <c r="K58" s="202"/>
      <c r="L58" s="634"/>
      <c r="M58" s="201" t="e">
        <f>RANK(K58, K$47:$K$61)</f>
        <v>#N/A</v>
      </c>
      <c r="N58" s="652"/>
      <c r="O58" s="652"/>
      <c r="P58" s="537"/>
      <c r="Q58" s="537"/>
      <c r="R58" s="537"/>
      <c r="S58" s="538"/>
      <c r="T58" s="674"/>
      <c r="U58" s="537"/>
      <c r="V58" s="537"/>
      <c r="W58" s="537"/>
      <c r="X58" s="538"/>
      <c r="Y58" s="674"/>
      <c r="Z58" s="537"/>
      <c r="AA58" s="537"/>
      <c r="AB58" s="537"/>
      <c r="AC58" s="538"/>
      <c r="AD58" s="674"/>
      <c r="AE58" s="537"/>
      <c r="AF58" s="537"/>
      <c r="AG58" s="537"/>
      <c r="AH58" s="538"/>
      <c r="AI58" s="674"/>
      <c r="AJ58" s="537"/>
      <c r="AK58" s="537"/>
      <c r="AL58" s="537"/>
      <c r="AM58" s="538"/>
      <c r="AN58" s="674"/>
      <c r="AO58" s="537"/>
      <c r="AP58" s="537"/>
      <c r="AQ58" s="537"/>
      <c r="AR58" s="538"/>
      <c r="AS58" s="674"/>
      <c r="AT58" s="537"/>
      <c r="AU58" s="537"/>
      <c r="AV58" s="537"/>
      <c r="AW58" s="538"/>
      <c r="AX58" s="674"/>
    </row>
    <row r="59" spans="2:50">
      <c r="B59" s="660"/>
      <c r="C59" s="335">
        <v>13</v>
      </c>
      <c r="D59" s="508"/>
      <c r="E59" s="508"/>
      <c r="F59" s="508"/>
      <c r="G59" s="182"/>
      <c r="H59" s="702"/>
      <c r="I59" s="202"/>
      <c r="J59" s="202"/>
      <c r="K59" s="202"/>
      <c r="L59" s="634"/>
      <c r="M59" s="201" t="e">
        <f>RANK(K59, K$47:$K$61)</f>
        <v>#N/A</v>
      </c>
      <c r="N59" s="652"/>
      <c r="O59" s="652"/>
      <c r="P59" s="537"/>
      <c r="Q59" s="537"/>
      <c r="R59" s="537"/>
      <c r="S59" s="538"/>
      <c r="T59" s="674"/>
      <c r="U59" s="537"/>
      <c r="V59" s="537"/>
      <c r="W59" s="537"/>
      <c r="X59" s="538"/>
      <c r="Y59" s="674"/>
      <c r="Z59" s="537"/>
      <c r="AA59" s="537"/>
      <c r="AB59" s="537"/>
      <c r="AC59" s="538"/>
      <c r="AD59" s="674"/>
      <c r="AE59" s="537"/>
      <c r="AF59" s="537"/>
      <c r="AG59" s="537"/>
      <c r="AH59" s="538"/>
      <c r="AI59" s="674"/>
      <c r="AJ59" s="537"/>
      <c r="AK59" s="537"/>
      <c r="AL59" s="537"/>
      <c r="AM59" s="538"/>
      <c r="AN59" s="674"/>
      <c r="AO59" s="537"/>
      <c r="AP59" s="537"/>
      <c r="AQ59" s="537"/>
      <c r="AR59" s="538"/>
      <c r="AS59" s="674"/>
      <c r="AT59" s="537"/>
      <c r="AU59" s="537"/>
      <c r="AV59" s="537"/>
      <c r="AW59" s="538"/>
      <c r="AX59" s="674"/>
    </row>
    <row r="60" spans="2:50">
      <c r="B60" s="660"/>
      <c r="C60" s="335">
        <v>14</v>
      </c>
      <c r="D60" s="508"/>
      <c r="E60" s="508"/>
      <c r="F60" s="508"/>
      <c r="G60" s="182"/>
      <c r="H60" s="702"/>
      <c r="I60" s="202"/>
      <c r="J60" s="202"/>
      <c r="K60" s="202"/>
      <c r="L60" s="634"/>
      <c r="M60" s="201" t="e">
        <f>RANK(K60, K$47:$K$61)</f>
        <v>#N/A</v>
      </c>
      <c r="N60" s="652"/>
      <c r="O60" s="652"/>
      <c r="P60" s="537"/>
      <c r="Q60" s="537"/>
      <c r="R60" s="537"/>
      <c r="S60" s="538"/>
      <c r="T60" s="674"/>
      <c r="U60" s="537"/>
      <c r="V60" s="537"/>
      <c r="W60" s="537"/>
      <c r="X60" s="538"/>
      <c r="Y60" s="674"/>
      <c r="Z60" s="537"/>
      <c r="AA60" s="537"/>
      <c r="AB60" s="537"/>
      <c r="AC60" s="538"/>
      <c r="AD60" s="674"/>
      <c r="AE60" s="537"/>
      <c r="AF60" s="537"/>
      <c r="AG60" s="537"/>
      <c r="AH60" s="538"/>
      <c r="AI60" s="674"/>
      <c r="AJ60" s="537"/>
      <c r="AK60" s="537"/>
      <c r="AL60" s="537"/>
      <c r="AM60" s="538"/>
      <c r="AN60" s="674"/>
      <c r="AO60" s="537"/>
      <c r="AP60" s="537"/>
      <c r="AQ60" s="537"/>
      <c r="AR60" s="538"/>
      <c r="AS60" s="674"/>
      <c r="AT60" s="537"/>
      <c r="AU60" s="537"/>
      <c r="AV60" s="537"/>
      <c r="AW60" s="538"/>
      <c r="AX60" s="674"/>
    </row>
    <row r="61" spans="2:50">
      <c r="B61" s="660"/>
      <c r="C61" s="335">
        <v>15</v>
      </c>
      <c r="D61" s="508"/>
      <c r="E61" s="508"/>
      <c r="F61" s="508"/>
      <c r="G61" s="508"/>
      <c r="H61" s="703"/>
      <c r="I61" s="202"/>
      <c r="J61" s="202"/>
      <c r="K61" s="202"/>
      <c r="L61" s="635"/>
      <c r="M61" s="201" t="e">
        <f>RANK(K61, K$47:$K$61)</f>
        <v>#N/A</v>
      </c>
      <c r="N61" s="652"/>
      <c r="O61" s="652"/>
      <c r="P61" s="537"/>
      <c r="Q61" s="537"/>
      <c r="R61" s="537"/>
      <c r="S61" s="538"/>
      <c r="T61" s="674"/>
      <c r="U61" s="537"/>
      <c r="V61" s="537"/>
      <c r="W61" s="537"/>
      <c r="X61" s="538"/>
      <c r="Y61" s="674"/>
      <c r="Z61" s="537"/>
      <c r="AA61" s="537"/>
      <c r="AB61" s="537"/>
      <c r="AC61" s="538"/>
      <c r="AD61" s="674"/>
      <c r="AE61" s="537"/>
      <c r="AF61" s="537"/>
      <c r="AG61" s="537"/>
      <c r="AH61" s="538"/>
      <c r="AI61" s="674"/>
      <c r="AJ61" s="537"/>
      <c r="AK61" s="537"/>
      <c r="AL61" s="537"/>
      <c r="AM61" s="538"/>
      <c r="AN61" s="674"/>
      <c r="AO61" s="537"/>
      <c r="AP61" s="537"/>
      <c r="AQ61" s="537"/>
      <c r="AR61" s="538"/>
      <c r="AS61" s="674"/>
      <c r="AT61" s="537"/>
      <c r="AU61" s="537"/>
      <c r="AV61" s="537"/>
      <c r="AW61" s="538"/>
      <c r="AX61" s="674"/>
    </row>
    <row r="62" spans="2:50" ht="15.75">
      <c r="B62" s="664" t="s">
        <v>163</v>
      </c>
      <c r="C62" s="665"/>
      <c r="D62" s="665"/>
      <c r="E62" s="665"/>
      <c r="F62" s="665"/>
      <c r="G62" s="665"/>
      <c r="H62" s="666"/>
      <c r="I62" s="208"/>
      <c r="J62" s="208"/>
      <c r="K62" s="208"/>
      <c r="L62" s="208"/>
      <c r="M62" s="207"/>
      <c r="N62" s="653" t="s">
        <v>156</v>
      </c>
      <c r="O62" s="653" t="s">
        <v>105</v>
      </c>
      <c r="P62" s="659">
        <f>P42+7</f>
        <v>46070</v>
      </c>
      <c r="Q62" s="660"/>
      <c r="R62" s="660"/>
      <c r="S62" s="660"/>
      <c r="T62" s="660"/>
      <c r="U62" s="656">
        <f>P62+1</f>
        <v>46071</v>
      </c>
      <c r="V62" s="657"/>
      <c r="W62" s="657"/>
      <c r="X62" s="657"/>
      <c r="Y62" s="658"/>
      <c r="Z62" s="656">
        <f>U62+1</f>
        <v>46072</v>
      </c>
      <c r="AA62" s="657"/>
      <c r="AB62" s="657"/>
      <c r="AC62" s="657"/>
      <c r="AD62" s="658"/>
      <c r="AE62" s="656">
        <f>Z62+1</f>
        <v>46073</v>
      </c>
      <c r="AF62" s="657"/>
      <c r="AG62" s="657"/>
      <c r="AH62" s="657"/>
      <c r="AI62" s="658"/>
      <c r="AJ62" s="656">
        <f>AE62+1</f>
        <v>46074</v>
      </c>
      <c r="AK62" s="657"/>
      <c r="AL62" s="657"/>
      <c r="AM62" s="657"/>
      <c r="AN62" s="658"/>
      <c r="AO62" s="656">
        <f>AJ62+1</f>
        <v>46075</v>
      </c>
      <c r="AP62" s="657"/>
      <c r="AQ62" s="657"/>
      <c r="AR62" s="657"/>
      <c r="AS62" s="658"/>
      <c r="AT62" s="656">
        <f>AO62+1</f>
        <v>46076</v>
      </c>
      <c r="AU62" s="657"/>
      <c r="AV62" s="657"/>
      <c r="AW62" s="657"/>
      <c r="AX62" s="658"/>
    </row>
    <row r="63" spans="2:50" ht="15.75">
      <c r="B63" s="667"/>
      <c r="C63" s="667"/>
      <c r="D63" s="667"/>
      <c r="E63" s="667"/>
      <c r="F63" s="667"/>
      <c r="G63" s="667"/>
      <c r="H63" s="667"/>
      <c r="I63" s="205"/>
      <c r="J63" s="205"/>
      <c r="K63" s="205"/>
      <c r="L63" s="205"/>
      <c r="M63" s="206"/>
      <c r="N63" s="655"/>
      <c r="O63" s="655"/>
      <c r="P63" s="659" t="s">
        <v>336</v>
      </c>
      <c r="Q63" s="660"/>
      <c r="R63" s="660"/>
      <c r="S63" s="660"/>
      <c r="T63" s="660"/>
      <c r="U63" s="659" t="s">
        <v>337</v>
      </c>
      <c r="V63" s="660"/>
      <c r="W63" s="660"/>
      <c r="X63" s="660"/>
      <c r="Y63" s="660"/>
      <c r="Z63" s="659" t="s">
        <v>338</v>
      </c>
      <c r="AA63" s="660"/>
      <c r="AB63" s="660"/>
      <c r="AC63" s="660"/>
      <c r="AD63" s="660"/>
      <c r="AE63" s="659" t="s">
        <v>339</v>
      </c>
      <c r="AF63" s="660"/>
      <c r="AG63" s="660"/>
      <c r="AH63" s="660"/>
      <c r="AI63" s="660"/>
      <c r="AJ63" s="659" t="s">
        <v>340</v>
      </c>
      <c r="AK63" s="660"/>
      <c r="AL63" s="660"/>
      <c r="AM63" s="660"/>
      <c r="AN63" s="660"/>
      <c r="AO63" s="659" t="s">
        <v>341</v>
      </c>
      <c r="AP63" s="660"/>
      <c r="AQ63" s="660"/>
      <c r="AR63" s="660"/>
      <c r="AS63" s="660"/>
      <c r="AT63" s="659" t="s">
        <v>342</v>
      </c>
      <c r="AU63" s="660"/>
      <c r="AV63" s="660"/>
      <c r="AW63" s="660"/>
      <c r="AX63" s="660"/>
    </row>
    <row r="64" spans="2:50">
      <c r="B64" s="652" t="s">
        <v>431</v>
      </c>
      <c r="C64" s="652" t="s">
        <v>441</v>
      </c>
      <c r="D64" s="652"/>
      <c r="E64" s="652" t="s">
        <v>432</v>
      </c>
      <c r="F64" s="652"/>
      <c r="G64" s="652"/>
      <c r="H64" s="668" t="s">
        <v>428</v>
      </c>
      <c r="I64" s="636" t="s">
        <v>433</v>
      </c>
      <c r="J64" s="636"/>
      <c r="K64" s="636"/>
      <c r="L64" s="637" t="s">
        <v>428</v>
      </c>
      <c r="M64" s="643" t="s">
        <v>429</v>
      </c>
      <c r="N64" s="652"/>
      <c r="O64" s="652" t="s">
        <v>434</v>
      </c>
      <c r="P64" s="649" t="s">
        <v>430</v>
      </c>
      <c r="Q64" s="650"/>
      <c r="R64" s="650"/>
      <c r="S64" s="651"/>
      <c r="T64" s="652" t="s">
        <v>428</v>
      </c>
      <c r="U64" s="649" t="s">
        <v>430</v>
      </c>
      <c r="V64" s="650"/>
      <c r="W64" s="650"/>
      <c r="X64" s="651"/>
      <c r="Y64" s="652" t="s">
        <v>428</v>
      </c>
      <c r="Z64" s="649" t="s">
        <v>430</v>
      </c>
      <c r="AA64" s="650"/>
      <c r="AB64" s="650"/>
      <c r="AC64" s="651"/>
      <c r="AD64" s="652" t="s">
        <v>428</v>
      </c>
      <c r="AE64" s="649" t="s">
        <v>430</v>
      </c>
      <c r="AF64" s="650"/>
      <c r="AG64" s="650"/>
      <c r="AH64" s="651"/>
      <c r="AI64" s="652" t="s">
        <v>428</v>
      </c>
      <c r="AJ64" s="649" t="s">
        <v>430</v>
      </c>
      <c r="AK64" s="650"/>
      <c r="AL64" s="650"/>
      <c r="AM64" s="651"/>
      <c r="AN64" s="652" t="s">
        <v>428</v>
      </c>
      <c r="AO64" s="649" t="s">
        <v>430</v>
      </c>
      <c r="AP64" s="650"/>
      <c r="AQ64" s="650"/>
      <c r="AR64" s="651"/>
      <c r="AS64" s="652" t="s">
        <v>428</v>
      </c>
      <c r="AT64" s="649" t="s">
        <v>430</v>
      </c>
      <c r="AU64" s="650"/>
      <c r="AV64" s="650"/>
      <c r="AW64" s="651"/>
      <c r="AX64" s="652" t="s">
        <v>428</v>
      </c>
    </row>
    <row r="65" spans="2:50">
      <c r="B65" s="652"/>
      <c r="C65" s="652"/>
      <c r="D65" s="652"/>
      <c r="E65" s="652" t="s">
        <v>435</v>
      </c>
      <c r="F65" s="652"/>
      <c r="G65" s="652"/>
      <c r="H65" s="669"/>
      <c r="I65" s="636" t="s">
        <v>435</v>
      </c>
      <c r="J65" s="636"/>
      <c r="K65" s="636"/>
      <c r="L65" s="638"/>
      <c r="M65" s="644"/>
      <c r="N65" s="652"/>
      <c r="O65" s="652"/>
      <c r="P65" s="649" t="s">
        <v>436</v>
      </c>
      <c r="Q65" s="650"/>
      <c r="R65" s="650"/>
      <c r="S65" s="651"/>
      <c r="T65" s="652"/>
      <c r="U65" s="649" t="s">
        <v>436</v>
      </c>
      <c r="V65" s="650"/>
      <c r="W65" s="650"/>
      <c r="X65" s="651"/>
      <c r="Y65" s="652"/>
      <c r="Z65" s="649" t="s">
        <v>436</v>
      </c>
      <c r="AA65" s="650"/>
      <c r="AB65" s="650"/>
      <c r="AC65" s="651"/>
      <c r="AD65" s="652"/>
      <c r="AE65" s="649" t="s">
        <v>436</v>
      </c>
      <c r="AF65" s="650"/>
      <c r="AG65" s="650"/>
      <c r="AH65" s="651"/>
      <c r="AI65" s="652"/>
      <c r="AJ65" s="649" t="s">
        <v>436</v>
      </c>
      <c r="AK65" s="650"/>
      <c r="AL65" s="650"/>
      <c r="AM65" s="651"/>
      <c r="AN65" s="652"/>
      <c r="AO65" s="649" t="s">
        <v>436</v>
      </c>
      <c r="AP65" s="650"/>
      <c r="AQ65" s="650"/>
      <c r="AR65" s="651"/>
      <c r="AS65" s="652"/>
      <c r="AT65" s="649" t="s">
        <v>436</v>
      </c>
      <c r="AU65" s="650"/>
      <c r="AV65" s="650"/>
      <c r="AW65" s="651"/>
      <c r="AX65" s="652"/>
    </row>
    <row r="66" spans="2:50">
      <c r="B66" s="652"/>
      <c r="C66" s="652"/>
      <c r="D66" s="652"/>
      <c r="E66" s="308" t="s">
        <v>437</v>
      </c>
      <c r="F66" s="308" t="s">
        <v>438</v>
      </c>
      <c r="G66" s="308" t="s">
        <v>439</v>
      </c>
      <c r="H66" s="670"/>
      <c r="I66" s="307" t="s">
        <v>437</v>
      </c>
      <c r="J66" s="307" t="s">
        <v>438</v>
      </c>
      <c r="K66" s="307" t="s">
        <v>439</v>
      </c>
      <c r="L66" s="639"/>
      <c r="M66" s="645"/>
      <c r="N66" s="652"/>
      <c r="O66" s="652"/>
      <c r="P66" s="308" t="s">
        <v>437</v>
      </c>
      <c r="Q66" s="308" t="s">
        <v>438</v>
      </c>
      <c r="R66" s="308" t="s">
        <v>439</v>
      </c>
      <c r="S66" s="308" t="s">
        <v>429</v>
      </c>
      <c r="T66" s="652"/>
      <c r="U66" s="308" t="s">
        <v>437</v>
      </c>
      <c r="V66" s="308" t="s">
        <v>438</v>
      </c>
      <c r="W66" s="308" t="s">
        <v>439</v>
      </c>
      <c r="X66" s="308" t="s">
        <v>429</v>
      </c>
      <c r="Y66" s="652"/>
      <c r="Z66" s="308" t="s">
        <v>437</v>
      </c>
      <c r="AA66" s="308" t="s">
        <v>438</v>
      </c>
      <c r="AB66" s="308" t="s">
        <v>439</v>
      </c>
      <c r="AC66" s="308" t="s">
        <v>429</v>
      </c>
      <c r="AD66" s="652"/>
      <c r="AE66" s="308" t="s">
        <v>437</v>
      </c>
      <c r="AF66" s="308" t="s">
        <v>438</v>
      </c>
      <c r="AG66" s="308" t="s">
        <v>439</v>
      </c>
      <c r="AH66" s="308" t="s">
        <v>429</v>
      </c>
      <c r="AI66" s="652"/>
      <c r="AJ66" s="308" t="s">
        <v>437</v>
      </c>
      <c r="AK66" s="308" t="s">
        <v>438</v>
      </c>
      <c r="AL66" s="308" t="s">
        <v>439</v>
      </c>
      <c r="AM66" s="308" t="s">
        <v>429</v>
      </c>
      <c r="AN66" s="652"/>
      <c r="AO66" s="308" t="s">
        <v>437</v>
      </c>
      <c r="AP66" s="308" t="s">
        <v>438</v>
      </c>
      <c r="AQ66" s="308" t="s">
        <v>439</v>
      </c>
      <c r="AR66" s="308" t="s">
        <v>429</v>
      </c>
      <c r="AS66" s="652"/>
      <c r="AT66" s="308" t="s">
        <v>437</v>
      </c>
      <c r="AU66" s="308" t="s">
        <v>438</v>
      </c>
      <c r="AV66" s="308" t="s">
        <v>439</v>
      </c>
      <c r="AW66" s="308" t="s">
        <v>429</v>
      </c>
      <c r="AX66" s="652"/>
    </row>
    <row r="67" spans="2:50">
      <c r="B67" s="700" t="s">
        <v>468</v>
      </c>
      <c r="C67" s="309">
        <v>1</v>
      </c>
      <c r="D67" s="508" t="s">
        <v>370</v>
      </c>
      <c r="E67" s="508">
        <v>10</v>
      </c>
      <c r="F67" s="508">
        <v>1500</v>
      </c>
      <c r="G67" s="182">
        <v>150</v>
      </c>
      <c r="H67" s="701" t="e">
        <f>AVERAGE(G81:G87)</f>
        <v>#DIV/0!</v>
      </c>
      <c r="I67" s="199" t="e">
        <f>AVERAGE(P87,U87,Z87,AE87,AJ87,AO87,AT87)</f>
        <v>#DIV/0!</v>
      </c>
      <c r="J67" s="199" t="e">
        <f>AVERAGE(Q87,V87,AA87,AF87,AK87,AP87,AU87)</f>
        <v>#DIV/0!</v>
      </c>
      <c r="K67" s="200" t="e">
        <f>AVERAGE(R87,W87,AB87,AG87,AL87,AQ87,AV87)</f>
        <v>#DIV/0!</v>
      </c>
      <c r="L67" s="633" t="str">
        <f>IFERROR(AVERAGE(K81:K87),"-")</f>
        <v>-</v>
      </c>
      <c r="M67" s="201" t="e">
        <f>RANK(K87, K$81:$K$87)</f>
        <v>#DIV/0!</v>
      </c>
      <c r="N67" s="652"/>
      <c r="O67" s="652"/>
      <c r="P67" s="182"/>
      <c r="Q67" s="182"/>
      <c r="R67" s="510"/>
      <c r="S67" s="309" t="e">
        <f>RANK(R87, R$81:R$87)</f>
        <v>#N/A</v>
      </c>
      <c r="T67" s="674" t="e">
        <f>AVERAGE(R81:R87)</f>
        <v>#DIV/0!</v>
      </c>
      <c r="U67" s="182"/>
      <c r="V67" s="182"/>
      <c r="W67" s="510"/>
      <c r="X67" s="477" t="e">
        <f>RANK(W87, W$81:W$87)</f>
        <v>#N/A</v>
      </c>
      <c r="Y67" s="674" t="e">
        <f>AVERAGE(W81:W87)</f>
        <v>#DIV/0!</v>
      </c>
      <c r="Z67" s="182"/>
      <c r="AA67" s="182"/>
      <c r="AB67" s="510"/>
      <c r="AC67" s="477" t="e">
        <f>RANK(AB87, AB$81:AB$87)</f>
        <v>#N/A</v>
      </c>
      <c r="AD67" s="674" t="e">
        <f>AVERAGE(AB81:AB87)</f>
        <v>#DIV/0!</v>
      </c>
      <c r="AE67" s="182"/>
      <c r="AF67" s="182"/>
      <c r="AG67" s="510"/>
      <c r="AH67" s="477" t="e">
        <f>RANK(AG87, AG$81:AG$87)</f>
        <v>#N/A</v>
      </c>
      <c r="AI67" s="674" t="e">
        <f>AVERAGE(AG81:AG87)</f>
        <v>#DIV/0!</v>
      </c>
      <c r="AJ67" s="182"/>
      <c r="AK67" s="182"/>
      <c r="AL67" s="510"/>
      <c r="AM67" s="477" t="e">
        <f>RANK(AL87, AL$81:AL$87)</f>
        <v>#N/A</v>
      </c>
      <c r="AN67" s="674" t="e">
        <f>AVERAGE(AL81:AL87)</f>
        <v>#DIV/0!</v>
      </c>
      <c r="AO67" s="182"/>
      <c r="AP67" s="182"/>
      <c r="AQ67" s="510"/>
      <c r="AR67" s="477" t="e">
        <f>RANK(AQ87, AQ$81:AQ$87)</f>
        <v>#N/A</v>
      </c>
      <c r="AS67" s="674" t="e">
        <f>AVERAGE(AQ81:AQ87)</f>
        <v>#DIV/0!</v>
      </c>
      <c r="AT67" s="182"/>
      <c r="AU67" s="182"/>
      <c r="AV67" s="510"/>
      <c r="AW67" s="477" t="e">
        <f>RANK(AV87, AV$81:AV$87)</f>
        <v>#N/A</v>
      </c>
      <c r="AX67" s="674" t="e">
        <f>AVERAGE(AV81:AV87)</f>
        <v>#DIV/0!</v>
      </c>
    </row>
    <row r="68" spans="2:50">
      <c r="B68" s="660"/>
      <c r="C68" s="309">
        <v>2</v>
      </c>
      <c r="D68" s="508"/>
      <c r="E68" s="508"/>
      <c r="F68" s="508"/>
      <c r="G68" s="182"/>
      <c r="H68" s="702"/>
      <c r="I68" s="199" t="e">
        <f t="shared" ref="I68:I72" si="34">AVERAGE(P68,U68,Z68,AE68,AJ68,AO68,AT68)</f>
        <v>#DIV/0!</v>
      </c>
      <c r="J68" s="199" t="e">
        <f t="shared" ref="J68:J72" si="35">AVERAGE(Q68,V68,AA68,AF68,AK68,AP68,AU68)</f>
        <v>#DIV/0!</v>
      </c>
      <c r="K68" s="200" t="e">
        <f t="shared" ref="K68:K72" si="36">AVERAGE(R68,W68,AB68,AG68,AL68,AQ68,AV68)</f>
        <v>#DIV/0!</v>
      </c>
      <c r="L68" s="634"/>
      <c r="M68" s="201" t="e">
        <f>RANK(K68, K$81:$K$87)</f>
        <v>#DIV/0!</v>
      </c>
      <c r="N68" s="652"/>
      <c r="O68" s="652"/>
      <c r="P68" s="508"/>
      <c r="Q68" s="182"/>
      <c r="R68" s="510"/>
      <c r="S68" s="340" t="e">
        <f t="shared" ref="S68:S81" si="37">RANK(R68, R$81:R$87)</f>
        <v>#N/A</v>
      </c>
      <c r="T68" s="674"/>
      <c r="U68" s="508"/>
      <c r="V68" s="182"/>
      <c r="W68" s="510"/>
      <c r="X68" s="477" t="e">
        <f t="shared" ref="X68:X81" si="38">RANK(W68, W$81:W$87)</f>
        <v>#N/A</v>
      </c>
      <c r="Y68" s="674"/>
      <c r="Z68" s="508"/>
      <c r="AA68" s="182"/>
      <c r="AB68" s="510"/>
      <c r="AC68" s="477" t="e">
        <f t="shared" ref="AC68:AC81" si="39">RANK(AB68, AB$81:AB$87)</f>
        <v>#N/A</v>
      </c>
      <c r="AD68" s="674"/>
      <c r="AE68" s="508"/>
      <c r="AF68" s="182"/>
      <c r="AG68" s="510"/>
      <c r="AH68" s="477" t="e">
        <f t="shared" ref="AH68:AH81" si="40">RANK(AG68, AG$81:AG$87)</f>
        <v>#N/A</v>
      </c>
      <c r="AI68" s="674"/>
      <c r="AJ68" s="508"/>
      <c r="AK68" s="182"/>
      <c r="AL68" s="510"/>
      <c r="AM68" s="477" t="e">
        <f t="shared" ref="AM68:AM81" si="41">RANK(AL68, AL$81:AL$87)</f>
        <v>#N/A</v>
      </c>
      <c r="AN68" s="674"/>
      <c r="AO68" s="508"/>
      <c r="AP68" s="182"/>
      <c r="AQ68" s="510"/>
      <c r="AR68" s="477" t="e">
        <f t="shared" ref="AR68:AR81" si="42">RANK(AQ68, AQ$81:AQ$87)</f>
        <v>#N/A</v>
      </c>
      <c r="AS68" s="674"/>
      <c r="AT68" s="508"/>
      <c r="AU68" s="182"/>
      <c r="AV68" s="510"/>
      <c r="AW68" s="477" t="e">
        <f t="shared" ref="AW68:AW81" si="43">RANK(AV68, AV$81:AV$87)</f>
        <v>#N/A</v>
      </c>
      <c r="AX68" s="674"/>
    </row>
    <row r="69" spans="2:50">
      <c r="B69" s="660"/>
      <c r="C69" s="309">
        <v>3</v>
      </c>
      <c r="D69" s="508"/>
      <c r="E69" s="508"/>
      <c r="F69" s="508"/>
      <c r="G69" s="182"/>
      <c r="H69" s="702"/>
      <c r="I69" s="199" t="e">
        <f t="shared" si="34"/>
        <v>#DIV/0!</v>
      </c>
      <c r="J69" s="199" t="e">
        <f t="shared" si="35"/>
        <v>#DIV/0!</v>
      </c>
      <c r="K69" s="200" t="e">
        <f t="shared" si="36"/>
        <v>#DIV/0!</v>
      </c>
      <c r="L69" s="634"/>
      <c r="M69" s="201" t="e">
        <f>RANK(K69, K$81:$K$87)</f>
        <v>#DIV/0!</v>
      </c>
      <c r="N69" s="652"/>
      <c r="O69" s="652"/>
      <c r="P69" s="508"/>
      <c r="Q69" s="182"/>
      <c r="R69" s="510"/>
      <c r="S69" s="340" t="e">
        <f t="shared" si="37"/>
        <v>#N/A</v>
      </c>
      <c r="T69" s="674"/>
      <c r="U69" s="508"/>
      <c r="V69" s="182"/>
      <c r="W69" s="510"/>
      <c r="X69" s="477" t="e">
        <f t="shared" si="38"/>
        <v>#N/A</v>
      </c>
      <c r="Y69" s="674"/>
      <c r="Z69" s="508"/>
      <c r="AA69" s="182"/>
      <c r="AB69" s="510"/>
      <c r="AC69" s="477" t="e">
        <f t="shared" si="39"/>
        <v>#N/A</v>
      </c>
      <c r="AD69" s="674"/>
      <c r="AE69" s="508"/>
      <c r="AF69" s="182"/>
      <c r="AG69" s="510"/>
      <c r="AH69" s="477" t="e">
        <f t="shared" si="40"/>
        <v>#N/A</v>
      </c>
      <c r="AI69" s="674"/>
      <c r="AJ69" s="508"/>
      <c r="AK69" s="182"/>
      <c r="AL69" s="510"/>
      <c r="AM69" s="477" t="e">
        <f t="shared" si="41"/>
        <v>#N/A</v>
      </c>
      <c r="AN69" s="674"/>
      <c r="AO69" s="508"/>
      <c r="AP69" s="182"/>
      <c r="AQ69" s="510"/>
      <c r="AR69" s="477" t="e">
        <f t="shared" si="42"/>
        <v>#N/A</v>
      </c>
      <c r="AS69" s="674"/>
      <c r="AT69" s="508"/>
      <c r="AU69" s="182"/>
      <c r="AV69" s="510"/>
      <c r="AW69" s="477" t="e">
        <f t="shared" si="43"/>
        <v>#N/A</v>
      </c>
      <c r="AX69" s="674"/>
    </row>
    <row r="70" spans="2:50">
      <c r="B70" s="660"/>
      <c r="C70" s="309">
        <v>4</v>
      </c>
      <c r="D70" s="508"/>
      <c r="E70" s="508"/>
      <c r="F70" s="508"/>
      <c r="G70" s="182"/>
      <c r="H70" s="702"/>
      <c r="I70" s="199" t="e">
        <f t="shared" si="34"/>
        <v>#DIV/0!</v>
      </c>
      <c r="J70" s="199" t="e">
        <f t="shared" si="35"/>
        <v>#DIV/0!</v>
      </c>
      <c r="K70" s="200" t="e">
        <f t="shared" si="36"/>
        <v>#DIV/0!</v>
      </c>
      <c r="L70" s="634"/>
      <c r="M70" s="201" t="e">
        <f>RANK(K70, K$81:$K$87)</f>
        <v>#DIV/0!</v>
      </c>
      <c r="N70" s="652"/>
      <c r="O70" s="652"/>
      <c r="P70" s="508"/>
      <c r="Q70" s="182"/>
      <c r="R70" s="510"/>
      <c r="S70" s="340" t="e">
        <f t="shared" si="37"/>
        <v>#N/A</v>
      </c>
      <c r="T70" s="674"/>
      <c r="U70" s="508"/>
      <c r="V70" s="182"/>
      <c r="W70" s="510"/>
      <c r="X70" s="477" t="e">
        <f t="shared" si="38"/>
        <v>#N/A</v>
      </c>
      <c r="Y70" s="674"/>
      <c r="Z70" s="508"/>
      <c r="AA70" s="182"/>
      <c r="AB70" s="510"/>
      <c r="AC70" s="477" t="e">
        <f t="shared" si="39"/>
        <v>#N/A</v>
      </c>
      <c r="AD70" s="674"/>
      <c r="AE70" s="508"/>
      <c r="AF70" s="182"/>
      <c r="AG70" s="510"/>
      <c r="AH70" s="477" t="e">
        <f t="shared" si="40"/>
        <v>#N/A</v>
      </c>
      <c r="AI70" s="674"/>
      <c r="AJ70" s="508"/>
      <c r="AK70" s="182"/>
      <c r="AL70" s="510"/>
      <c r="AM70" s="477" t="e">
        <f t="shared" si="41"/>
        <v>#N/A</v>
      </c>
      <c r="AN70" s="674"/>
      <c r="AO70" s="508"/>
      <c r="AP70" s="182"/>
      <c r="AQ70" s="510"/>
      <c r="AR70" s="477" t="e">
        <f t="shared" si="42"/>
        <v>#N/A</v>
      </c>
      <c r="AS70" s="674"/>
      <c r="AT70" s="508"/>
      <c r="AU70" s="182"/>
      <c r="AV70" s="510"/>
      <c r="AW70" s="477" t="e">
        <f t="shared" si="43"/>
        <v>#N/A</v>
      </c>
      <c r="AX70" s="674"/>
    </row>
    <row r="71" spans="2:50">
      <c r="B71" s="660"/>
      <c r="C71" s="309">
        <v>5</v>
      </c>
      <c r="D71" s="508"/>
      <c r="E71" s="508"/>
      <c r="F71" s="508"/>
      <c r="G71" s="182"/>
      <c r="H71" s="702"/>
      <c r="I71" s="199" t="e">
        <f t="shared" si="34"/>
        <v>#DIV/0!</v>
      </c>
      <c r="J71" s="199" t="e">
        <f t="shared" si="35"/>
        <v>#DIV/0!</v>
      </c>
      <c r="K71" s="200" t="e">
        <f t="shared" si="36"/>
        <v>#DIV/0!</v>
      </c>
      <c r="L71" s="634"/>
      <c r="M71" s="201" t="e">
        <f>RANK(K71, K$81:$K$87)</f>
        <v>#DIV/0!</v>
      </c>
      <c r="N71" s="652"/>
      <c r="O71" s="652"/>
      <c r="P71" s="508"/>
      <c r="Q71" s="182"/>
      <c r="R71" s="510"/>
      <c r="S71" s="340" t="e">
        <f t="shared" si="37"/>
        <v>#N/A</v>
      </c>
      <c r="T71" s="674"/>
      <c r="U71" s="508"/>
      <c r="V71" s="182"/>
      <c r="W71" s="510"/>
      <c r="X71" s="477" t="e">
        <f t="shared" si="38"/>
        <v>#N/A</v>
      </c>
      <c r="Y71" s="674"/>
      <c r="Z71" s="508"/>
      <c r="AA71" s="182"/>
      <c r="AB71" s="510"/>
      <c r="AC71" s="477" t="e">
        <f t="shared" si="39"/>
        <v>#N/A</v>
      </c>
      <c r="AD71" s="674"/>
      <c r="AE71" s="508"/>
      <c r="AF71" s="182"/>
      <c r="AG71" s="510"/>
      <c r="AH71" s="477" t="e">
        <f t="shared" si="40"/>
        <v>#N/A</v>
      </c>
      <c r="AI71" s="674"/>
      <c r="AJ71" s="508"/>
      <c r="AK71" s="182"/>
      <c r="AL71" s="510"/>
      <c r="AM71" s="477" t="e">
        <f t="shared" si="41"/>
        <v>#N/A</v>
      </c>
      <c r="AN71" s="674"/>
      <c r="AO71" s="508"/>
      <c r="AP71" s="182"/>
      <c r="AQ71" s="510"/>
      <c r="AR71" s="477" t="e">
        <f t="shared" si="42"/>
        <v>#N/A</v>
      </c>
      <c r="AS71" s="674"/>
      <c r="AT71" s="508"/>
      <c r="AU71" s="182"/>
      <c r="AV71" s="510"/>
      <c r="AW71" s="477" t="e">
        <f t="shared" si="43"/>
        <v>#N/A</v>
      </c>
      <c r="AX71" s="674"/>
    </row>
    <row r="72" spans="2:50">
      <c r="B72" s="660"/>
      <c r="C72" s="309">
        <v>6</v>
      </c>
      <c r="D72" s="508"/>
      <c r="E72" s="508"/>
      <c r="F72" s="508"/>
      <c r="G72" s="182"/>
      <c r="H72" s="702"/>
      <c r="I72" s="199" t="e">
        <f t="shared" si="34"/>
        <v>#DIV/0!</v>
      </c>
      <c r="J72" s="199" t="e">
        <f t="shared" si="35"/>
        <v>#DIV/0!</v>
      </c>
      <c r="K72" s="200" t="e">
        <f t="shared" si="36"/>
        <v>#DIV/0!</v>
      </c>
      <c r="L72" s="634"/>
      <c r="M72" s="201" t="e">
        <f>RANK(K72, K$81:$K$87)</f>
        <v>#DIV/0!</v>
      </c>
      <c r="N72" s="652"/>
      <c r="O72" s="652"/>
      <c r="P72" s="508"/>
      <c r="Q72" s="182"/>
      <c r="R72" s="510"/>
      <c r="S72" s="340" t="e">
        <f t="shared" si="37"/>
        <v>#N/A</v>
      </c>
      <c r="T72" s="674"/>
      <c r="U72" s="508"/>
      <c r="V72" s="182"/>
      <c r="W72" s="510"/>
      <c r="X72" s="477" t="e">
        <f t="shared" si="38"/>
        <v>#N/A</v>
      </c>
      <c r="Y72" s="674"/>
      <c r="Z72" s="508"/>
      <c r="AA72" s="182"/>
      <c r="AB72" s="510"/>
      <c r="AC72" s="477" t="e">
        <f t="shared" si="39"/>
        <v>#N/A</v>
      </c>
      <c r="AD72" s="674"/>
      <c r="AE72" s="508"/>
      <c r="AF72" s="182"/>
      <c r="AG72" s="510"/>
      <c r="AH72" s="477" t="e">
        <f t="shared" si="40"/>
        <v>#N/A</v>
      </c>
      <c r="AI72" s="674"/>
      <c r="AJ72" s="508"/>
      <c r="AK72" s="182"/>
      <c r="AL72" s="510"/>
      <c r="AM72" s="477" t="e">
        <f t="shared" si="41"/>
        <v>#N/A</v>
      </c>
      <c r="AN72" s="674"/>
      <c r="AO72" s="508"/>
      <c r="AP72" s="182"/>
      <c r="AQ72" s="510"/>
      <c r="AR72" s="477" t="e">
        <f t="shared" si="42"/>
        <v>#N/A</v>
      </c>
      <c r="AS72" s="674"/>
      <c r="AT72" s="508"/>
      <c r="AU72" s="182"/>
      <c r="AV72" s="510"/>
      <c r="AW72" s="477" t="e">
        <f t="shared" si="43"/>
        <v>#N/A</v>
      </c>
      <c r="AX72" s="674"/>
    </row>
    <row r="73" spans="2:50">
      <c r="B73" s="660"/>
      <c r="C73" s="309">
        <v>7</v>
      </c>
      <c r="D73" s="508"/>
      <c r="E73" s="508"/>
      <c r="F73" s="508"/>
      <c r="G73" s="182"/>
      <c r="H73" s="702"/>
      <c r="I73" s="544" t="e">
        <f t="shared" ref="I73" si="44">AVERAGE(P73,U73,Z73,AE73,AJ73,AO73,AT73)</f>
        <v>#DIV/0!</v>
      </c>
      <c r="J73" s="544" t="e">
        <f t="shared" ref="J73" si="45">AVERAGE(Q73,V73,AA73,AF73,AK73,AP73,AU73)</f>
        <v>#DIV/0!</v>
      </c>
      <c r="K73" s="200" t="e">
        <f t="shared" ref="K73" si="46">AVERAGE(R73,W73,AB73,AG73,AL73,AQ73,AV73)</f>
        <v>#DIV/0!</v>
      </c>
      <c r="L73" s="634"/>
      <c r="M73" s="201" t="e">
        <f>RANK(K73, K$81:$K$87)</f>
        <v>#DIV/0!</v>
      </c>
      <c r="N73" s="652"/>
      <c r="O73" s="652"/>
      <c r="P73" s="508"/>
      <c r="Q73" s="182"/>
      <c r="R73" s="510"/>
      <c r="S73" s="340" t="e">
        <f t="shared" si="37"/>
        <v>#N/A</v>
      </c>
      <c r="T73" s="674"/>
      <c r="U73" s="508"/>
      <c r="V73" s="182"/>
      <c r="W73" s="510"/>
      <c r="X73" s="477" t="e">
        <f t="shared" si="38"/>
        <v>#N/A</v>
      </c>
      <c r="Y73" s="674"/>
      <c r="Z73" s="508"/>
      <c r="AA73" s="182"/>
      <c r="AB73" s="510"/>
      <c r="AC73" s="477" t="e">
        <f t="shared" si="39"/>
        <v>#N/A</v>
      </c>
      <c r="AD73" s="674"/>
      <c r="AE73" s="508"/>
      <c r="AF73" s="182"/>
      <c r="AG73" s="510"/>
      <c r="AH73" s="477" t="e">
        <f t="shared" si="40"/>
        <v>#N/A</v>
      </c>
      <c r="AI73" s="674"/>
      <c r="AJ73" s="508"/>
      <c r="AK73" s="182"/>
      <c r="AL73" s="510"/>
      <c r="AM73" s="477" t="e">
        <f t="shared" si="41"/>
        <v>#N/A</v>
      </c>
      <c r="AN73" s="674"/>
      <c r="AO73" s="508"/>
      <c r="AP73" s="182"/>
      <c r="AQ73" s="510"/>
      <c r="AR73" s="477" t="e">
        <f t="shared" si="42"/>
        <v>#N/A</v>
      </c>
      <c r="AS73" s="674"/>
      <c r="AT73" s="508"/>
      <c r="AU73" s="182"/>
      <c r="AV73" s="510"/>
      <c r="AW73" s="477" t="e">
        <f t="shared" si="43"/>
        <v>#N/A</v>
      </c>
      <c r="AX73" s="674"/>
    </row>
    <row r="74" spans="2:50">
      <c r="B74" s="660"/>
      <c r="C74" s="309">
        <v>8</v>
      </c>
      <c r="D74" s="508"/>
      <c r="E74" s="508"/>
      <c r="F74" s="508"/>
      <c r="G74" s="182"/>
      <c r="H74" s="702"/>
      <c r="I74" s="429"/>
      <c r="J74" s="429"/>
      <c r="K74" s="200"/>
      <c r="L74" s="634"/>
      <c r="M74" s="201" t="e">
        <f>RANK(K74, K$81:$K$87)</f>
        <v>#DIV/0!</v>
      </c>
      <c r="N74" s="652"/>
      <c r="O74" s="652"/>
      <c r="P74" s="508"/>
      <c r="Q74" s="182"/>
      <c r="R74" s="510"/>
      <c r="S74" s="340" t="e">
        <f t="shared" si="37"/>
        <v>#N/A</v>
      </c>
      <c r="T74" s="674"/>
      <c r="U74" s="508"/>
      <c r="V74" s="182"/>
      <c r="W74" s="510"/>
      <c r="X74" s="477" t="e">
        <f t="shared" si="38"/>
        <v>#N/A</v>
      </c>
      <c r="Y74" s="674"/>
      <c r="Z74" s="508"/>
      <c r="AA74" s="182"/>
      <c r="AB74" s="510"/>
      <c r="AC74" s="477" t="e">
        <f t="shared" si="39"/>
        <v>#N/A</v>
      </c>
      <c r="AD74" s="674"/>
      <c r="AE74" s="508"/>
      <c r="AF74" s="182"/>
      <c r="AG74" s="510"/>
      <c r="AH74" s="477" t="e">
        <f t="shared" si="40"/>
        <v>#N/A</v>
      </c>
      <c r="AI74" s="674"/>
      <c r="AJ74" s="508"/>
      <c r="AK74" s="182"/>
      <c r="AL74" s="510"/>
      <c r="AM74" s="477" t="e">
        <f t="shared" si="41"/>
        <v>#N/A</v>
      </c>
      <c r="AN74" s="674"/>
      <c r="AO74" s="508"/>
      <c r="AP74" s="182"/>
      <c r="AQ74" s="510"/>
      <c r="AR74" s="477" t="e">
        <f t="shared" si="42"/>
        <v>#N/A</v>
      </c>
      <c r="AS74" s="674"/>
      <c r="AT74" s="508"/>
      <c r="AU74" s="182"/>
      <c r="AV74" s="510"/>
      <c r="AW74" s="477" t="e">
        <f t="shared" si="43"/>
        <v>#N/A</v>
      </c>
      <c r="AX74" s="674"/>
    </row>
    <row r="75" spans="2:50">
      <c r="B75" s="660"/>
      <c r="C75" s="309">
        <v>9</v>
      </c>
      <c r="D75" s="508"/>
      <c r="E75" s="508"/>
      <c r="F75" s="508"/>
      <c r="G75" s="182"/>
      <c r="H75" s="702"/>
      <c r="I75" s="199"/>
      <c r="J75" s="199"/>
      <c r="K75" s="200"/>
      <c r="L75" s="634"/>
      <c r="M75" s="201" t="e">
        <f>RANK(K75, K$81:$K$87)</f>
        <v>#DIV/0!</v>
      </c>
      <c r="N75" s="652"/>
      <c r="O75" s="652"/>
      <c r="P75" s="508"/>
      <c r="Q75" s="182"/>
      <c r="R75" s="510"/>
      <c r="S75" s="340" t="e">
        <f t="shared" si="37"/>
        <v>#N/A</v>
      </c>
      <c r="T75" s="674"/>
      <c r="U75" s="508"/>
      <c r="V75" s="182"/>
      <c r="W75" s="510"/>
      <c r="X75" s="477" t="e">
        <f t="shared" si="38"/>
        <v>#N/A</v>
      </c>
      <c r="Y75" s="674"/>
      <c r="Z75" s="508"/>
      <c r="AA75" s="182"/>
      <c r="AB75" s="510"/>
      <c r="AC75" s="477" t="e">
        <f t="shared" si="39"/>
        <v>#N/A</v>
      </c>
      <c r="AD75" s="674"/>
      <c r="AE75" s="508"/>
      <c r="AF75" s="182"/>
      <c r="AG75" s="510"/>
      <c r="AH75" s="477" t="e">
        <f t="shared" si="40"/>
        <v>#N/A</v>
      </c>
      <c r="AI75" s="674"/>
      <c r="AJ75" s="508"/>
      <c r="AK75" s="182"/>
      <c r="AL75" s="510"/>
      <c r="AM75" s="477" t="e">
        <f t="shared" si="41"/>
        <v>#N/A</v>
      </c>
      <c r="AN75" s="674"/>
      <c r="AO75" s="508"/>
      <c r="AP75" s="182"/>
      <c r="AQ75" s="510"/>
      <c r="AR75" s="477" t="e">
        <f t="shared" si="42"/>
        <v>#N/A</v>
      </c>
      <c r="AS75" s="674"/>
      <c r="AT75" s="508"/>
      <c r="AU75" s="182"/>
      <c r="AV75" s="510"/>
      <c r="AW75" s="477" t="e">
        <f t="shared" si="43"/>
        <v>#N/A</v>
      </c>
      <c r="AX75" s="674"/>
    </row>
    <row r="76" spans="2:50">
      <c r="B76" s="660"/>
      <c r="C76" s="309">
        <v>10</v>
      </c>
      <c r="D76" s="508"/>
      <c r="E76" s="508"/>
      <c r="F76" s="508"/>
      <c r="G76" s="182"/>
      <c r="H76" s="702"/>
      <c r="I76" s="199"/>
      <c r="J76" s="199"/>
      <c r="K76" s="200"/>
      <c r="L76" s="634"/>
      <c r="M76" s="201" t="e">
        <f>RANK(K76, K$81:$K$87)</f>
        <v>#DIV/0!</v>
      </c>
      <c r="N76" s="652"/>
      <c r="O76" s="652"/>
      <c r="P76" s="508"/>
      <c r="Q76" s="182"/>
      <c r="R76" s="510"/>
      <c r="S76" s="340" t="e">
        <f t="shared" si="37"/>
        <v>#N/A</v>
      </c>
      <c r="T76" s="674"/>
      <c r="U76" s="508"/>
      <c r="V76" s="182"/>
      <c r="W76" s="510"/>
      <c r="X76" s="477" t="e">
        <f t="shared" si="38"/>
        <v>#N/A</v>
      </c>
      <c r="Y76" s="674"/>
      <c r="Z76" s="508"/>
      <c r="AA76" s="182"/>
      <c r="AB76" s="510"/>
      <c r="AC76" s="477" t="e">
        <f t="shared" si="39"/>
        <v>#N/A</v>
      </c>
      <c r="AD76" s="674"/>
      <c r="AE76" s="508"/>
      <c r="AF76" s="182"/>
      <c r="AG76" s="510"/>
      <c r="AH76" s="477" t="e">
        <f t="shared" si="40"/>
        <v>#N/A</v>
      </c>
      <c r="AI76" s="674"/>
      <c r="AJ76" s="508"/>
      <c r="AK76" s="182"/>
      <c r="AL76" s="510"/>
      <c r="AM76" s="477" t="e">
        <f t="shared" si="41"/>
        <v>#N/A</v>
      </c>
      <c r="AN76" s="674"/>
      <c r="AO76" s="508"/>
      <c r="AP76" s="182"/>
      <c r="AQ76" s="510"/>
      <c r="AR76" s="477" t="e">
        <f t="shared" si="42"/>
        <v>#N/A</v>
      </c>
      <c r="AS76" s="674"/>
      <c r="AT76" s="508"/>
      <c r="AU76" s="182"/>
      <c r="AV76" s="510"/>
      <c r="AW76" s="477" t="e">
        <f t="shared" si="43"/>
        <v>#N/A</v>
      </c>
      <c r="AX76" s="674"/>
    </row>
    <row r="77" spans="2:50">
      <c r="B77" s="660"/>
      <c r="C77" s="309">
        <v>11</v>
      </c>
      <c r="D77" s="508"/>
      <c r="E77" s="508"/>
      <c r="F77" s="508"/>
      <c r="G77" s="182"/>
      <c r="H77" s="702"/>
      <c r="I77" s="202"/>
      <c r="J77" s="202"/>
      <c r="K77" s="202"/>
      <c r="L77" s="634"/>
      <c r="M77" s="201" t="e">
        <f>RANK(K77, K$81:$K$87)</f>
        <v>#DIV/0!</v>
      </c>
      <c r="N77" s="652"/>
      <c r="O77" s="652"/>
      <c r="P77" s="508"/>
      <c r="Q77" s="508"/>
      <c r="R77" s="508"/>
      <c r="S77" s="340" t="e">
        <f t="shared" si="37"/>
        <v>#N/A</v>
      </c>
      <c r="T77" s="674"/>
      <c r="U77" s="508"/>
      <c r="V77" s="508"/>
      <c r="W77" s="508"/>
      <c r="X77" s="477" t="e">
        <f t="shared" si="38"/>
        <v>#N/A</v>
      </c>
      <c r="Y77" s="674"/>
      <c r="Z77" s="508"/>
      <c r="AA77" s="508"/>
      <c r="AB77" s="508"/>
      <c r="AC77" s="477" t="e">
        <f t="shared" si="39"/>
        <v>#N/A</v>
      </c>
      <c r="AD77" s="674"/>
      <c r="AE77" s="508"/>
      <c r="AF77" s="508"/>
      <c r="AG77" s="508"/>
      <c r="AH77" s="477" t="e">
        <f t="shared" si="40"/>
        <v>#N/A</v>
      </c>
      <c r="AI77" s="674"/>
      <c r="AJ77" s="508"/>
      <c r="AK77" s="508"/>
      <c r="AL77" s="508"/>
      <c r="AM77" s="477" t="e">
        <f t="shared" si="41"/>
        <v>#N/A</v>
      </c>
      <c r="AN77" s="674"/>
      <c r="AO77" s="508"/>
      <c r="AP77" s="508"/>
      <c r="AQ77" s="508"/>
      <c r="AR77" s="477" t="e">
        <f t="shared" si="42"/>
        <v>#N/A</v>
      </c>
      <c r="AS77" s="674"/>
      <c r="AT77" s="508"/>
      <c r="AU77" s="508"/>
      <c r="AV77" s="508"/>
      <c r="AW77" s="477" t="e">
        <f t="shared" si="43"/>
        <v>#N/A</v>
      </c>
      <c r="AX77" s="674"/>
    </row>
    <row r="78" spans="2:50">
      <c r="B78" s="660"/>
      <c r="C78" s="309">
        <v>12</v>
      </c>
      <c r="D78" s="508"/>
      <c r="E78" s="508"/>
      <c r="F78" s="508"/>
      <c r="G78" s="182"/>
      <c r="H78" s="702"/>
      <c r="I78" s="202"/>
      <c r="J78" s="202"/>
      <c r="K78" s="202"/>
      <c r="L78" s="634"/>
      <c r="M78" s="201" t="e">
        <f>RANK(K78, K$81:$K$87)</f>
        <v>#DIV/0!</v>
      </c>
      <c r="N78" s="652"/>
      <c r="O78" s="652"/>
      <c r="P78" s="508"/>
      <c r="Q78" s="508"/>
      <c r="R78" s="508"/>
      <c r="S78" s="340" t="e">
        <f t="shared" si="37"/>
        <v>#N/A</v>
      </c>
      <c r="T78" s="674"/>
      <c r="U78" s="508"/>
      <c r="V78" s="508"/>
      <c r="W78" s="508"/>
      <c r="X78" s="477" t="e">
        <f t="shared" si="38"/>
        <v>#N/A</v>
      </c>
      <c r="Y78" s="674"/>
      <c r="Z78" s="508"/>
      <c r="AA78" s="508"/>
      <c r="AB78" s="508"/>
      <c r="AC78" s="477" t="e">
        <f t="shared" si="39"/>
        <v>#N/A</v>
      </c>
      <c r="AD78" s="674"/>
      <c r="AE78" s="508"/>
      <c r="AF78" s="508"/>
      <c r="AG78" s="508"/>
      <c r="AH78" s="477" t="e">
        <f t="shared" si="40"/>
        <v>#N/A</v>
      </c>
      <c r="AI78" s="674"/>
      <c r="AJ78" s="508"/>
      <c r="AK78" s="508"/>
      <c r="AL78" s="508"/>
      <c r="AM78" s="477" t="e">
        <f t="shared" si="41"/>
        <v>#N/A</v>
      </c>
      <c r="AN78" s="674"/>
      <c r="AO78" s="508"/>
      <c r="AP78" s="508"/>
      <c r="AQ78" s="508"/>
      <c r="AR78" s="477" t="e">
        <f t="shared" si="42"/>
        <v>#N/A</v>
      </c>
      <c r="AS78" s="674"/>
      <c r="AT78" s="508"/>
      <c r="AU78" s="508"/>
      <c r="AV78" s="508"/>
      <c r="AW78" s="477" t="e">
        <f t="shared" si="43"/>
        <v>#N/A</v>
      </c>
      <c r="AX78" s="674"/>
    </row>
    <row r="79" spans="2:50">
      <c r="B79" s="660"/>
      <c r="C79" s="309">
        <v>13</v>
      </c>
      <c r="D79" s="508"/>
      <c r="E79" s="508"/>
      <c r="F79" s="508"/>
      <c r="G79" s="182"/>
      <c r="H79" s="702"/>
      <c r="I79" s="202"/>
      <c r="J79" s="202"/>
      <c r="K79" s="202"/>
      <c r="L79" s="634"/>
      <c r="M79" s="201" t="e">
        <f>RANK(K79, K$81:$K$87)</f>
        <v>#DIV/0!</v>
      </c>
      <c r="N79" s="652"/>
      <c r="O79" s="652"/>
      <c r="P79" s="508"/>
      <c r="Q79" s="508"/>
      <c r="R79" s="508"/>
      <c r="S79" s="340" t="e">
        <f t="shared" si="37"/>
        <v>#N/A</v>
      </c>
      <c r="T79" s="674"/>
      <c r="U79" s="508"/>
      <c r="V79" s="508"/>
      <c r="W79" s="508"/>
      <c r="X79" s="477" t="e">
        <f t="shared" si="38"/>
        <v>#N/A</v>
      </c>
      <c r="Y79" s="674"/>
      <c r="Z79" s="508"/>
      <c r="AA79" s="508"/>
      <c r="AB79" s="508"/>
      <c r="AC79" s="477" t="e">
        <f t="shared" si="39"/>
        <v>#N/A</v>
      </c>
      <c r="AD79" s="674"/>
      <c r="AE79" s="508"/>
      <c r="AF79" s="508"/>
      <c r="AG79" s="508"/>
      <c r="AH79" s="477" t="e">
        <f t="shared" si="40"/>
        <v>#N/A</v>
      </c>
      <c r="AI79" s="674"/>
      <c r="AJ79" s="508"/>
      <c r="AK79" s="508"/>
      <c r="AL79" s="508"/>
      <c r="AM79" s="477" t="e">
        <f t="shared" si="41"/>
        <v>#N/A</v>
      </c>
      <c r="AN79" s="674"/>
      <c r="AO79" s="508"/>
      <c r="AP79" s="508"/>
      <c r="AQ79" s="508"/>
      <c r="AR79" s="477" t="e">
        <f t="shared" si="42"/>
        <v>#N/A</v>
      </c>
      <c r="AS79" s="674"/>
      <c r="AT79" s="508"/>
      <c r="AU79" s="508"/>
      <c r="AV79" s="508"/>
      <c r="AW79" s="477" t="e">
        <f t="shared" si="43"/>
        <v>#N/A</v>
      </c>
      <c r="AX79" s="674"/>
    </row>
    <row r="80" spans="2:50">
      <c r="B80" s="660"/>
      <c r="C80" s="309">
        <v>14</v>
      </c>
      <c r="D80" s="508"/>
      <c r="E80" s="508"/>
      <c r="F80" s="508"/>
      <c r="G80" s="182"/>
      <c r="H80" s="702"/>
      <c r="I80" s="202"/>
      <c r="J80" s="202"/>
      <c r="K80" s="202"/>
      <c r="L80" s="634"/>
      <c r="M80" s="201" t="e">
        <f>RANK(K80, K$81:$K$87)</f>
        <v>#DIV/0!</v>
      </c>
      <c r="N80" s="652"/>
      <c r="O80" s="652"/>
      <c r="P80" s="508"/>
      <c r="Q80" s="508"/>
      <c r="R80" s="508"/>
      <c r="S80" s="340" t="e">
        <f t="shared" si="37"/>
        <v>#N/A</v>
      </c>
      <c r="T80" s="674"/>
      <c r="U80" s="508"/>
      <c r="V80" s="508"/>
      <c r="W80" s="508"/>
      <c r="X80" s="477" t="e">
        <f t="shared" si="38"/>
        <v>#N/A</v>
      </c>
      <c r="Y80" s="674"/>
      <c r="Z80" s="508"/>
      <c r="AA80" s="508"/>
      <c r="AB80" s="508"/>
      <c r="AC80" s="477" t="e">
        <f t="shared" si="39"/>
        <v>#N/A</v>
      </c>
      <c r="AD80" s="674"/>
      <c r="AE80" s="508"/>
      <c r="AF80" s="508"/>
      <c r="AG80" s="508"/>
      <c r="AH80" s="477" t="e">
        <f t="shared" si="40"/>
        <v>#N/A</v>
      </c>
      <c r="AI80" s="674"/>
      <c r="AJ80" s="508"/>
      <c r="AK80" s="508"/>
      <c r="AL80" s="508"/>
      <c r="AM80" s="477" t="e">
        <f t="shared" si="41"/>
        <v>#N/A</v>
      </c>
      <c r="AN80" s="674"/>
      <c r="AO80" s="508"/>
      <c r="AP80" s="508"/>
      <c r="AQ80" s="508"/>
      <c r="AR80" s="477" t="e">
        <f t="shared" si="42"/>
        <v>#N/A</v>
      </c>
      <c r="AS80" s="674"/>
      <c r="AT80" s="508"/>
      <c r="AU80" s="508"/>
      <c r="AV80" s="508"/>
      <c r="AW80" s="477" t="e">
        <f t="shared" si="43"/>
        <v>#N/A</v>
      </c>
      <c r="AX80" s="674"/>
    </row>
    <row r="81" spans="2:50">
      <c r="B81" s="660"/>
      <c r="C81" s="309">
        <v>15</v>
      </c>
      <c r="D81" s="508"/>
      <c r="E81" s="508"/>
      <c r="F81" s="508"/>
      <c r="G81" s="508"/>
      <c r="H81" s="703"/>
      <c r="I81" s="202"/>
      <c r="J81" s="202"/>
      <c r="K81" s="202"/>
      <c r="L81" s="635"/>
      <c r="M81" s="201" t="e">
        <f>RANK(K81, K$81:$K$87)</f>
        <v>#DIV/0!</v>
      </c>
      <c r="N81" s="652"/>
      <c r="O81" s="652"/>
      <c r="P81" s="448"/>
      <c r="Q81" s="448"/>
      <c r="R81" s="448"/>
      <c r="S81" s="340" t="e">
        <f t="shared" si="37"/>
        <v>#N/A</v>
      </c>
      <c r="T81" s="674"/>
      <c r="U81" s="477"/>
      <c r="V81" s="477"/>
      <c r="W81" s="477"/>
      <c r="X81" s="477" t="e">
        <f t="shared" si="38"/>
        <v>#N/A</v>
      </c>
      <c r="Y81" s="674"/>
      <c r="Z81" s="477"/>
      <c r="AA81" s="477"/>
      <c r="AB81" s="477"/>
      <c r="AC81" s="477" t="e">
        <f t="shared" si="39"/>
        <v>#N/A</v>
      </c>
      <c r="AD81" s="674"/>
      <c r="AE81" s="477"/>
      <c r="AF81" s="477"/>
      <c r="AG81" s="477"/>
      <c r="AH81" s="477" t="e">
        <f t="shared" si="40"/>
        <v>#N/A</v>
      </c>
      <c r="AI81" s="674"/>
      <c r="AJ81" s="477"/>
      <c r="AK81" s="477"/>
      <c r="AL81" s="477"/>
      <c r="AM81" s="477" t="e">
        <f t="shared" si="41"/>
        <v>#N/A</v>
      </c>
      <c r="AN81" s="674"/>
      <c r="AO81" s="477"/>
      <c r="AP81" s="477"/>
      <c r="AQ81" s="477"/>
      <c r="AR81" s="477" t="e">
        <f t="shared" si="42"/>
        <v>#N/A</v>
      </c>
      <c r="AS81" s="674"/>
      <c r="AT81" s="477"/>
      <c r="AU81" s="477"/>
      <c r="AV81" s="477"/>
      <c r="AW81" s="477" t="e">
        <f t="shared" si="43"/>
        <v>#N/A</v>
      </c>
      <c r="AX81" s="674"/>
    </row>
    <row r="82" spans="2:50" ht="15.75">
      <c r="B82" s="664" t="s">
        <v>163</v>
      </c>
      <c r="C82" s="665"/>
      <c r="D82" s="665"/>
      <c r="E82" s="665"/>
      <c r="F82" s="665"/>
      <c r="G82" s="665"/>
      <c r="H82" s="666"/>
      <c r="I82" s="208"/>
      <c r="J82" s="208"/>
      <c r="K82" s="208"/>
      <c r="L82" s="208"/>
      <c r="M82" s="207"/>
      <c r="N82" s="653" t="s">
        <v>156</v>
      </c>
      <c r="O82" s="653" t="s">
        <v>105</v>
      </c>
      <c r="P82" s="659">
        <f>P62+7</f>
        <v>46077</v>
      </c>
      <c r="Q82" s="660"/>
      <c r="R82" s="660"/>
      <c r="S82" s="660"/>
      <c r="T82" s="660"/>
      <c r="U82" s="656">
        <f>P82+1</f>
        <v>46078</v>
      </c>
      <c r="V82" s="657"/>
      <c r="W82" s="657"/>
      <c r="X82" s="657"/>
      <c r="Y82" s="658"/>
      <c r="Z82" s="656">
        <f>U82+1</f>
        <v>46079</v>
      </c>
      <c r="AA82" s="657"/>
      <c r="AB82" s="657"/>
      <c r="AC82" s="657"/>
      <c r="AD82" s="658"/>
      <c r="AE82" s="656">
        <f>Z82+1</f>
        <v>46080</v>
      </c>
      <c r="AF82" s="657"/>
      <c r="AG82" s="657"/>
      <c r="AH82" s="657"/>
      <c r="AI82" s="658"/>
      <c r="AJ82" s="656">
        <f>AE82+1</f>
        <v>46081</v>
      </c>
      <c r="AK82" s="657"/>
      <c r="AL82" s="657"/>
      <c r="AM82" s="657"/>
      <c r="AN82" s="658"/>
      <c r="AO82" s="656">
        <f>AJ82+1</f>
        <v>46082</v>
      </c>
      <c r="AP82" s="657"/>
      <c r="AQ82" s="657"/>
      <c r="AR82" s="657"/>
      <c r="AS82" s="658"/>
      <c r="AT82" s="656">
        <f>AO82+1</f>
        <v>46083</v>
      </c>
      <c r="AU82" s="657"/>
      <c r="AV82" s="657"/>
      <c r="AW82" s="657"/>
      <c r="AX82" s="658"/>
    </row>
    <row r="83" spans="2:50" ht="15.75">
      <c r="B83" s="667"/>
      <c r="C83" s="667"/>
      <c r="D83" s="667"/>
      <c r="E83" s="667"/>
      <c r="F83" s="667"/>
      <c r="G83" s="667"/>
      <c r="H83" s="667"/>
      <c r="I83" s="205"/>
      <c r="J83" s="205"/>
      <c r="K83" s="205"/>
      <c r="L83" s="205"/>
      <c r="M83" s="206"/>
      <c r="N83" s="655"/>
      <c r="O83" s="655"/>
      <c r="P83" s="659" t="s">
        <v>336</v>
      </c>
      <c r="Q83" s="660"/>
      <c r="R83" s="660"/>
      <c r="S83" s="660"/>
      <c r="T83" s="660"/>
      <c r="U83" s="659" t="s">
        <v>337</v>
      </c>
      <c r="V83" s="660"/>
      <c r="W83" s="660"/>
      <c r="X83" s="660"/>
      <c r="Y83" s="660"/>
      <c r="Z83" s="659" t="s">
        <v>338</v>
      </c>
      <c r="AA83" s="660"/>
      <c r="AB83" s="660"/>
      <c r="AC83" s="660"/>
      <c r="AD83" s="660"/>
      <c r="AE83" s="659" t="s">
        <v>339</v>
      </c>
      <c r="AF83" s="660"/>
      <c r="AG83" s="660"/>
      <c r="AH83" s="660"/>
      <c r="AI83" s="660"/>
      <c r="AJ83" s="659" t="s">
        <v>340</v>
      </c>
      <c r="AK83" s="660"/>
      <c r="AL83" s="660"/>
      <c r="AM83" s="660"/>
      <c r="AN83" s="660"/>
      <c r="AO83" s="659" t="s">
        <v>341</v>
      </c>
      <c r="AP83" s="660"/>
      <c r="AQ83" s="660"/>
      <c r="AR83" s="660"/>
      <c r="AS83" s="660"/>
      <c r="AT83" s="659" t="s">
        <v>342</v>
      </c>
      <c r="AU83" s="660"/>
      <c r="AV83" s="660"/>
      <c r="AW83" s="660"/>
      <c r="AX83" s="660"/>
    </row>
    <row r="84" spans="2:50">
      <c r="B84" s="652" t="s">
        <v>472</v>
      </c>
      <c r="C84" s="652" t="s">
        <v>473</v>
      </c>
      <c r="D84" s="652"/>
      <c r="E84" s="652" t="s">
        <v>474</v>
      </c>
      <c r="F84" s="652"/>
      <c r="G84" s="652"/>
      <c r="H84" s="668" t="s">
        <v>475</v>
      </c>
      <c r="I84" s="636" t="s">
        <v>476</v>
      </c>
      <c r="J84" s="636"/>
      <c r="K84" s="636"/>
      <c r="L84" s="637" t="s">
        <v>475</v>
      </c>
      <c r="M84" s="643" t="s">
        <v>477</v>
      </c>
      <c r="N84" s="652"/>
      <c r="O84" s="652" t="s">
        <v>478</v>
      </c>
      <c r="P84" s="649" t="s">
        <v>479</v>
      </c>
      <c r="Q84" s="650"/>
      <c r="R84" s="650"/>
      <c r="S84" s="651"/>
      <c r="T84" s="652" t="s">
        <v>475</v>
      </c>
      <c r="U84" s="649" t="s">
        <v>479</v>
      </c>
      <c r="V84" s="650"/>
      <c r="W84" s="650"/>
      <c r="X84" s="651"/>
      <c r="Y84" s="652" t="s">
        <v>475</v>
      </c>
      <c r="Z84" s="649" t="s">
        <v>479</v>
      </c>
      <c r="AA84" s="650"/>
      <c r="AB84" s="650"/>
      <c r="AC84" s="651"/>
      <c r="AD84" s="652" t="s">
        <v>475</v>
      </c>
      <c r="AE84" s="649" t="s">
        <v>479</v>
      </c>
      <c r="AF84" s="650"/>
      <c r="AG84" s="650"/>
      <c r="AH84" s="651"/>
      <c r="AI84" s="652" t="s">
        <v>475</v>
      </c>
      <c r="AJ84" s="649" t="s">
        <v>479</v>
      </c>
      <c r="AK84" s="650"/>
      <c r="AL84" s="650"/>
      <c r="AM84" s="651"/>
      <c r="AN84" s="652" t="s">
        <v>475</v>
      </c>
      <c r="AO84" s="649" t="s">
        <v>479</v>
      </c>
      <c r="AP84" s="650"/>
      <c r="AQ84" s="650"/>
      <c r="AR84" s="651"/>
      <c r="AS84" s="652" t="s">
        <v>475</v>
      </c>
      <c r="AT84" s="649" t="s">
        <v>479</v>
      </c>
      <c r="AU84" s="650"/>
      <c r="AV84" s="650"/>
      <c r="AW84" s="651"/>
      <c r="AX84" s="652" t="s">
        <v>475</v>
      </c>
    </row>
    <row r="85" spans="2:50">
      <c r="B85" s="652"/>
      <c r="C85" s="652"/>
      <c r="D85" s="652"/>
      <c r="E85" s="652" t="s">
        <v>480</v>
      </c>
      <c r="F85" s="652"/>
      <c r="G85" s="652"/>
      <c r="H85" s="669"/>
      <c r="I85" s="636" t="s">
        <v>480</v>
      </c>
      <c r="J85" s="636"/>
      <c r="K85" s="636"/>
      <c r="L85" s="638"/>
      <c r="M85" s="644"/>
      <c r="N85" s="652"/>
      <c r="O85" s="652"/>
      <c r="P85" s="649" t="s">
        <v>481</v>
      </c>
      <c r="Q85" s="650"/>
      <c r="R85" s="650"/>
      <c r="S85" s="651"/>
      <c r="T85" s="652"/>
      <c r="U85" s="649" t="s">
        <v>481</v>
      </c>
      <c r="V85" s="650"/>
      <c r="W85" s="650"/>
      <c r="X85" s="651"/>
      <c r="Y85" s="652"/>
      <c r="Z85" s="649" t="s">
        <v>481</v>
      </c>
      <c r="AA85" s="650"/>
      <c r="AB85" s="650"/>
      <c r="AC85" s="651"/>
      <c r="AD85" s="652"/>
      <c r="AE85" s="649" t="s">
        <v>481</v>
      </c>
      <c r="AF85" s="650"/>
      <c r="AG85" s="650"/>
      <c r="AH85" s="651"/>
      <c r="AI85" s="652"/>
      <c r="AJ85" s="649" t="s">
        <v>481</v>
      </c>
      <c r="AK85" s="650"/>
      <c r="AL85" s="650"/>
      <c r="AM85" s="651"/>
      <c r="AN85" s="652"/>
      <c r="AO85" s="649" t="s">
        <v>481</v>
      </c>
      <c r="AP85" s="650"/>
      <c r="AQ85" s="650"/>
      <c r="AR85" s="651"/>
      <c r="AS85" s="652"/>
      <c r="AT85" s="649" t="s">
        <v>481</v>
      </c>
      <c r="AU85" s="650"/>
      <c r="AV85" s="650"/>
      <c r="AW85" s="651"/>
      <c r="AX85" s="652"/>
    </row>
    <row r="86" spans="2:50">
      <c r="B86" s="652"/>
      <c r="C86" s="652"/>
      <c r="D86" s="652"/>
      <c r="E86" s="302" t="s">
        <v>482</v>
      </c>
      <c r="F86" s="302" t="s">
        <v>483</v>
      </c>
      <c r="G86" s="302" t="s">
        <v>484</v>
      </c>
      <c r="H86" s="670"/>
      <c r="I86" s="303" t="s">
        <v>482</v>
      </c>
      <c r="J86" s="303" t="s">
        <v>483</v>
      </c>
      <c r="K86" s="303" t="s">
        <v>484</v>
      </c>
      <c r="L86" s="639"/>
      <c r="M86" s="645"/>
      <c r="N86" s="652"/>
      <c r="O86" s="652"/>
      <c r="P86" s="302" t="s">
        <v>482</v>
      </c>
      <c r="Q86" s="302" t="s">
        <v>483</v>
      </c>
      <c r="R86" s="302" t="s">
        <v>484</v>
      </c>
      <c r="S86" s="302" t="s">
        <v>477</v>
      </c>
      <c r="T86" s="652"/>
      <c r="U86" s="302" t="s">
        <v>482</v>
      </c>
      <c r="V86" s="302" t="s">
        <v>483</v>
      </c>
      <c r="W86" s="302" t="s">
        <v>484</v>
      </c>
      <c r="X86" s="302" t="s">
        <v>477</v>
      </c>
      <c r="Y86" s="652"/>
      <c r="Z86" s="302" t="s">
        <v>482</v>
      </c>
      <c r="AA86" s="302" t="s">
        <v>483</v>
      </c>
      <c r="AB86" s="302" t="s">
        <v>484</v>
      </c>
      <c r="AC86" s="302" t="s">
        <v>477</v>
      </c>
      <c r="AD86" s="652"/>
      <c r="AE86" s="302" t="s">
        <v>482</v>
      </c>
      <c r="AF86" s="302" t="s">
        <v>483</v>
      </c>
      <c r="AG86" s="302" t="s">
        <v>484</v>
      </c>
      <c r="AH86" s="302" t="s">
        <v>477</v>
      </c>
      <c r="AI86" s="652"/>
      <c r="AJ86" s="302" t="s">
        <v>482</v>
      </c>
      <c r="AK86" s="302" t="s">
        <v>483</v>
      </c>
      <c r="AL86" s="302" t="s">
        <v>484</v>
      </c>
      <c r="AM86" s="302" t="s">
        <v>477</v>
      </c>
      <c r="AN86" s="652"/>
      <c r="AO86" s="302" t="s">
        <v>482</v>
      </c>
      <c r="AP86" s="302" t="s">
        <v>483</v>
      </c>
      <c r="AQ86" s="302" t="s">
        <v>484</v>
      </c>
      <c r="AR86" s="302" t="s">
        <v>477</v>
      </c>
      <c r="AS86" s="652"/>
      <c r="AT86" s="302" t="s">
        <v>482</v>
      </c>
      <c r="AU86" s="302" t="s">
        <v>483</v>
      </c>
      <c r="AV86" s="302" t="s">
        <v>484</v>
      </c>
      <c r="AW86" s="302" t="s">
        <v>477</v>
      </c>
      <c r="AX86" s="652"/>
    </row>
    <row r="87" spans="2:50">
      <c r="B87" s="700" t="s">
        <v>485</v>
      </c>
      <c r="C87" s="301">
        <v>1</v>
      </c>
      <c r="D87" s="546"/>
      <c r="E87" s="546"/>
      <c r="F87" s="546"/>
      <c r="G87" s="182"/>
      <c r="H87" s="701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33" t="str">
        <f>IFERROR(AVERAGE(K87:K101),"-")</f>
        <v>-</v>
      </c>
      <c r="M87" s="201" t="e">
        <f>RANK(K87, K$87:$K$101)</f>
        <v>#DIV/0!</v>
      </c>
      <c r="N87" s="652"/>
      <c r="O87" s="652"/>
      <c r="P87" s="182"/>
      <c r="Q87" s="182"/>
      <c r="R87" s="182"/>
      <c r="S87" s="301" t="e">
        <f>RANK(R87, R$87:R$101)</f>
        <v>#N/A</v>
      </c>
      <c r="T87" s="674" t="e">
        <f>AVERAGE(R87:R101)</f>
        <v>#DIV/0!</v>
      </c>
      <c r="U87" s="182"/>
      <c r="V87" s="182"/>
      <c r="W87" s="182"/>
      <c r="X87" s="477" t="e">
        <f t="shared" ref="X87:X101" si="47">RANK(W87, W$87:W$101)</f>
        <v>#N/A</v>
      </c>
      <c r="Y87" s="674" t="e">
        <f t="shared" ref="Y87" si="48">AVERAGE(W87:W101)</f>
        <v>#DIV/0!</v>
      </c>
      <c r="Z87" s="182"/>
      <c r="AA87" s="182"/>
      <c r="AB87" s="182"/>
      <c r="AC87" s="477" t="e">
        <f t="shared" ref="AC87:AC101" si="49">RANK(AB87, AB$87:AB$101)</f>
        <v>#N/A</v>
      </c>
      <c r="AD87" s="674" t="e">
        <f t="shared" ref="AD87" si="50">AVERAGE(AB87:AB101)</f>
        <v>#DIV/0!</v>
      </c>
      <c r="AE87" s="182"/>
      <c r="AF87" s="182"/>
      <c r="AG87" s="510"/>
      <c r="AH87" s="477" t="e">
        <f t="shared" ref="AH87:AH101" si="51">RANK(AG87, AG$87:AG$101)</f>
        <v>#N/A</v>
      </c>
      <c r="AI87" s="674" t="e">
        <f t="shared" ref="AI87" si="52">AVERAGE(AG87:AG101)</f>
        <v>#DIV/0!</v>
      </c>
      <c r="AJ87" s="182"/>
      <c r="AK87" s="182"/>
      <c r="AL87" s="510"/>
      <c r="AM87" s="477" t="e">
        <f t="shared" ref="AM87:AM101" si="53">RANK(AL87, AL$87:AL$101)</f>
        <v>#N/A</v>
      </c>
      <c r="AN87" s="674" t="e">
        <f t="shared" ref="AN87" si="54">AVERAGE(AL87:AL101)</f>
        <v>#DIV/0!</v>
      </c>
      <c r="AO87" s="182"/>
      <c r="AP87" s="182"/>
      <c r="AQ87" s="510"/>
      <c r="AR87" s="477" t="e">
        <f t="shared" ref="AR87:AR101" si="55">RANK(AQ87, AQ$87:AQ$101)</f>
        <v>#N/A</v>
      </c>
      <c r="AS87" s="674" t="e">
        <f t="shared" ref="AS87" si="56">AVERAGE(AQ87:AQ101)</f>
        <v>#DIV/0!</v>
      </c>
      <c r="AT87" s="182"/>
      <c r="AU87" s="182"/>
      <c r="AV87" s="510"/>
      <c r="AW87" s="477" t="e">
        <f t="shared" ref="AW87:AW101" si="57">RANK(AV87, AV$87:AV$101)</f>
        <v>#N/A</v>
      </c>
      <c r="AX87" s="674" t="e">
        <f t="shared" ref="AX87" si="58">AVERAGE(AV87:AV101)</f>
        <v>#DIV/0!</v>
      </c>
    </row>
    <row r="88" spans="2:50">
      <c r="B88" s="660"/>
      <c r="C88" s="301">
        <v>2</v>
      </c>
      <c r="D88" s="546"/>
      <c r="E88" s="546"/>
      <c r="F88" s="546"/>
      <c r="G88" s="182"/>
      <c r="H88" s="702"/>
      <c r="I88" s="199" t="e">
        <f t="shared" ref="I88:I92" si="59">AVERAGE(P88,U88,Z88,AE88,AJ88,AO88,AT88)</f>
        <v>#DIV/0!</v>
      </c>
      <c r="J88" s="199" t="e">
        <f t="shared" ref="J88:J92" si="60">AVERAGE(Q88,V88,AA88,AF88,AK88,AP88,AU88)</f>
        <v>#DIV/0!</v>
      </c>
      <c r="K88" s="200" t="e">
        <f t="shared" ref="K88:K92" si="61">AVERAGE(R88,W88,AB88,AG88,AL88,AQ88,AV88)</f>
        <v>#DIV/0!</v>
      </c>
      <c r="L88" s="634"/>
      <c r="M88" s="201" t="e">
        <f>RANK(K88, K$87:$K$101)</f>
        <v>#DIV/0!</v>
      </c>
      <c r="N88" s="652"/>
      <c r="O88" s="652"/>
      <c r="P88" s="182"/>
      <c r="Q88" s="182"/>
      <c r="R88" s="182"/>
      <c r="S88" s="301" t="e">
        <f t="shared" ref="S88:S101" si="62">RANK(R88, R$87:R$101)</f>
        <v>#N/A</v>
      </c>
      <c r="T88" s="674"/>
      <c r="U88" s="182"/>
      <c r="V88" s="182"/>
      <c r="W88" s="182"/>
      <c r="X88" s="477" t="e">
        <f t="shared" si="47"/>
        <v>#N/A</v>
      </c>
      <c r="Y88" s="674"/>
      <c r="Z88" s="182"/>
      <c r="AA88" s="182"/>
      <c r="AB88" s="182"/>
      <c r="AC88" s="477" t="e">
        <f t="shared" si="49"/>
        <v>#N/A</v>
      </c>
      <c r="AD88" s="674"/>
      <c r="AE88" s="508"/>
      <c r="AF88" s="182"/>
      <c r="AG88" s="510"/>
      <c r="AH88" s="477" t="e">
        <f t="shared" si="51"/>
        <v>#N/A</v>
      </c>
      <c r="AI88" s="674"/>
      <c r="AJ88" s="508"/>
      <c r="AK88" s="182"/>
      <c r="AL88" s="510"/>
      <c r="AM88" s="477" t="e">
        <f t="shared" si="53"/>
        <v>#N/A</v>
      </c>
      <c r="AN88" s="674"/>
      <c r="AO88" s="508"/>
      <c r="AP88" s="182"/>
      <c r="AQ88" s="510"/>
      <c r="AR88" s="477" t="e">
        <f t="shared" si="55"/>
        <v>#N/A</v>
      </c>
      <c r="AS88" s="674"/>
      <c r="AT88" s="508"/>
      <c r="AU88" s="182"/>
      <c r="AV88" s="510"/>
      <c r="AW88" s="477" t="e">
        <f t="shared" si="57"/>
        <v>#N/A</v>
      </c>
      <c r="AX88" s="674"/>
    </row>
    <row r="89" spans="2:50">
      <c r="B89" s="660"/>
      <c r="C89" s="301">
        <v>3</v>
      </c>
      <c r="D89" s="546"/>
      <c r="E89" s="546"/>
      <c r="F89" s="546"/>
      <c r="G89" s="182"/>
      <c r="H89" s="702"/>
      <c r="I89" s="199" t="e">
        <f t="shared" si="59"/>
        <v>#DIV/0!</v>
      </c>
      <c r="J89" s="199" t="e">
        <f t="shared" si="60"/>
        <v>#DIV/0!</v>
      </c>
      <c r="K89" s="200" t="e">
        <f t="shared" si="61"/>
        <v>#DIV/0!</v>
      </c>
      <c r="L89" s="634"/>
      <c r="M89" s="201" t="e">
        <f>RANK(K89, K$87:$K$101)</f>
        <v>#DIV/0!</v>
      </c>
      <c r="N89" s="652"/>
      <c r="O89" s="652"/>
      <c r="P89" s="182"/>
      <c r="Q89" s="182"/>
      <c r="R89" s="182"/>
      <c r="S89" s="301" t="e">
        <f t="shared" si="62"/>
        <v>#N/A</v>
      </c>
      <c r="T89" s="674"/>
      <c r="U89" s="182"/>
      <c r="V89" s="182"/>
      <c r="W89" s="182"/>
      <c r="X89" s="477" t="e">
        <f t="shared" si="47"/>
        <v>#N/A</v>
      </c>
      <c r="Y89" s="674"/>
      <c r="Z89" s="182"/>
      <c r="AA89" s="182"/>
      <c r="AB89" s="182"/>
      <c r="AC89" s="477" t="e">
        <f t="shared" si="49"/>
        <v>#N/A</v>
      </c>
      <c r="AD89" s="674"/>
      <c r="AE89" s="508"/>
      <c r="AF89" s="182"/>
      <c r="AG89" s="510"/>
      <c r="AH89" s="477" t="e">
        <f t="shared" si="51"/>
        <v>#N/A</v>
      </c>
      <c r="AI89" s="674"/>
      <c r="AJ89" s="508"/>
      <c r="AK89" s="182"/>
      <c r="AL89" s="510"/>
      <c r="AM89" s="477" t="e">
        <f t="shared" si="53"/>
        <v>#N/A</v>
      </c>
      <c r="AN89" s="674"/>
      <c r="AO89" s="508"/>
      <c r="AP89" s="182"/>
      <c r="AQ89" s="510"/>
      <c r="AR89" s="477" t="e">
        <f t="shared" si="55"/>
        <v>#N/A</v>
      </c>
      <c r="AS89" s="674"/>
      <c r="AT89" s="508"/>
      <c r="AU89" s="182"/>
      <c r="AV89" s="510"/>
      <c r="AW89" s="477" t="e">
        <f t="shared" si="57"/>
        <v>#N/A</v>
      </c>
      <c r="AX89" s="674"/>
    </row>
    <row r="90" spans="2:50">
      <c r="B90" s="660"/>
      <c r="C90" s="301">
        <v>4</v>
      </c>
      <c r="D90" s="546"/>
      <c r="E90" s="546"/>
      <c r="F90" s="546"/>
      <c r="G90" s="182"/>
      <c r="H90" s="702"/>
      <c r="I90" s="199" t="e">
        <f t="shared" si="59"/>
        <v>#DIV/0!</v>
      </c>
      <c r="J90" s="199" t="e">
        <f t="shared" si="60"/>
        <v>#DIV/0!</v>
      </c>
      <c r="K90" s="200" t="e">
        <f t="shared" si="61"/>
        <v>#DIV/0!</v>
      </c>
      <c r="L90" s="634"/>
      <c r="M90" s="201" t="e">
        <f>RANK(K90, K$87:$K$101)</f>
        <v>#DIV/0!</v>
      </c>
      <c r="N90" s="652"/>
      <c r="O90" s="652"/>
      <c r="P90" s="182"/>
      <c r="Q90" s="182"/>
      <c r="R90" s="182"/>
      <c r="S90" s="301" t="e">
        <f t="shared" si="62"/>
        <v>#N/A</v>
      </c>
      <c r="T90" s="674"/>
      <c r="U90" s="182"/>
      <c r="V90" s="182"/>
      <c r="W90" s="182"/>
      <c r="X90" s="477" t="e">
        <f t="shared" si="47"/>
        <v>#N/A</v>
      </c>
      <c r="Y90" s="674"/>
      <c r="Z90" s="182"/>
      <c r="AA90" s="182"/>
      <c r="AB90" s="182"/>
      <c r="AC90" s="477" t="e">
        <f t="shared" si="49"/>
        <v>#N/A</v>
      </c>
      <c r="AD90" s="674"/>
      <c r="AE90" s="508"/>
      <c r="AF90" s="182"/>
      <c r="AG90" s="510"/>
      <c r="AH90" s="477" t="e">
        <f t="shared" si="51"/>
        <v>#N/A</v>
      </c>
      <c r="AI90" s="674"/>
      <c r="AJ90" s="508"/>
      <c r="AK90" s="182"/>
      <c r="AL90" s="510"/>
      <c r="AM90" s="477" t="e">
        <f t="shared" si="53"/>
        <v>#N/A</v>
      </c>
      <c r="AN90" s="674"/>
      <c r="AO90" s="508"/>
      <c r="AP90" s="182"/>
      <c r="AQ90" s="510"/>
      <c r="AR90" s="477" t="e">
        <f t="shared" si="55"/>
        <v>#N/A</v>
      </c>
      <c r="AS90" s="674"/>
      <c r="AT90" s="508"/>
      <c r="AU90" s="182"/>
      <c r="AV90" s="510"/>
      <c r="AW90" s="477" t="e">
        <f t="shared" si="57"/>
        <v>#N/A</v>
      </c>
      <c r="AX90" s="674"/>
    </row>
    <row r="91" spans="2:50">
      <c r="B91" s="660"/>
      <c r="C91" s="301">
        <v>5</v>
      </c>
      <c r="D91" s="546"/>
      <c r="E91" s="546"/>
      <c r="F91" s="546"/>
      <c r="G91" s="182"/>
      <c r="H91" s="702"/>
      <c r="I91" s="199" t="e">
        <f t="shared" si="59"/>
        <v>#DIV/0!</v>
      </c>
      <c r="J91" s="199" t="e">
        <f t="shared" si="60"/>
        <v>#DIV/0!</v>
      </c>
      <c r="K91" s="200" t="e">
        <f t="shared" si="61"/>
        <v>#DIV/0!</v>
      </c>
      <c r="L91" s="634"/>
      <c r="M91" s="201" t="e">
        <f>RANK(K91, K$87:$K$101)</f>
        <v>#DIV/0!</v>
      </c>
      <c r="N91" s="652"/>
      <c r="O91" s="652"/>
      <c r="P91" s="182"/>
      <c r="Q91" s="182"/>
      <c r="R91" s="182"/>
      <c r="S91" s="301" t="e">
        <f t="shared" si="62"/>
        <v>#N/A</v>
      </c>
      <c r="T91" s="674"/>
      <c r="U91" s="182"/>
      <c r="V91" s="182"/>
      <c r="W91" s="182"/>
      <c r="X91" s="477" t="e">
        <f t="shared" si="47"/>
        <v>#N/A</v>
      </c>
      <c r="Y91" s="674"/>
      <c r="Z91" s="182"/>
      <c r="AA91" s="182"/>
      <c r="AB91" s="182"/>
      <c r="AC91" s="477" t="e">
        <f t="shared" si="49"/>
        <v>#N/A</v>
      </c>
      <c r="AD91" s="674"/>
      <c r="AE91" s="508"/>
      <c r="AF91" s="182"/>
      <c r="AG91" s="510"/>
      <c r="AH91" s="477" t="e">
        <f t="shared" si="51"/>
        <v>#N/A</v>
      </c>
      <c r="AI91" s="674"/>
      <c r="AJ91" s="508"/>
      <c r="AK91" s="182"/>
      <c r="AL91" s="510"/>
      <c r="AM91" s="477" t="e">
        <f t="shared" si="53"/>
        <v>#N/A</v>
      </c>
      <c r="AN91" s="674"/>
      <c r="AO91" s="508"/>
      <c r="AP91" s="182"/>
      <c r="AQ91" s="510"/>
      <c r="AR91" s="477" t="e">
        <f t="shared" si="55"/>
        <v>#N/A</v>
      </c>
      <c r="AS91" s="674"/>
      <c r="AT91" s="508"/>
      <c r="AU91" s="182"/>
      <c r="AV91" s="510"/>
      <c r="AW91" s="477" t="e">
        <f t="shared" si="57"/>
        <v>#N/A</v>
      </c>
      <c r="AX91" s="674"/>
    </row>
    <row r="92" spans="2:50">
      <c r="B92" s="660"/>
      <c r="C92" s="301">
        <v>6</v>
      </c>
      <c r="D92" s="546"/>
      <c r="E92" s="546"/>
      <c r="F92" s="546"/>
      <c r="G92" s="182"/>
      <c r="H92" s="702"/>
      <c r="I92" s="199" t="e">
        <f t="shared" si="59"/>
        <v>#DIV/0!</v>
      </c>
      <c r="J92" s="199" t="e">
        <f t="shared" si="60"/>
        <v>#DIV/0!</v>
      </c>
      <c r="K92" s="200" t="e">
        <f t="shared" si="61"/>
        <v>#DIV/0!</v>
      </c>
      <c r="L92" s="634"/>
      <c r="M92" s="201" t="e">
        <f>RANK(K92, K$87:$K$101)</f>
        <v>#DIV/0!</v>
      </c>
      <c r="N92" s="652"/>
      <c r="O92" s="652"/>
      <c r="P92" s="182"/>
      <c r="Q92" s="182"/>
      <c r="R92" s="182"/>
      <c r="S92" s="301" t="e">
        <f t="shared" si="62"/>
        <v>#N/A</v>
      </c>
      <c r="T92" s="674"/>
      <c r="U92" s="182"/>
      <c r="V92" s="182"/>
      <c r="W92" s="182"/>
      <c r="X92" s="477" t="e">
        <f t="shared" si="47"/>
        <v>#N/A</v>
      </c>
      <c r="Y92" s="674"/>
      <c r="Z92" s="182"/>
      <c r="AA92" s="182"/>
      <c r="AB92" s="182"/>
      <c r="AC92" s="477" t="e">
        <f t="shared" si="49"/>
        <v>#N/A</v>
      </c>
      <c r="AD92" s="674"/>
      <c r="AE92" s="508"/>
      <c r="AF92" s="182"/>
      <c r="AG92" s="510"/>
      <c r="AH92" s="477" t="e">
        <f t="shared" si="51"/>
        <v>#N/A</v>
      </c>
      <c r="AI92" s="674"/>
      <c r="AJ92" s="508"/>
      <c r="AK92" s="182"/>
      <c r="AL92" s="510"/>
      <c r="AM92" s="477" t="e">
        <f t="shared" si="53"/>
        <v>#N/A</v>
      </c>
      <c r="AN92" s="674"/>
      <c r="AO92" s="508"/>
      <c r="AP92" s="182"/>
      <c r="AQ92" s="510"/>
      <c r="AR92" s="477" t="e">
        <f t="shared" si="55"/>
        <v>#N/A</v>
      </c>
      <c r="AS92" s="674"/>
      <c r="AT92" s="508"/>
      <c r="AU92" s="182"/>
      <c r="AV92" s="510"/>
      <c r="AW92" s="477" t="e">
        <f t="shared" si="57"/>
        <v>#N/A</v>
      </c>
      <c r="AX92" s="674"/>
    </row>
    <row r="93" spans="2:50">
      <c r="B93" s="660"/>
      <c r="C93" s="301">
        <v>7</v>
      </c>
      <c r="D93" s="508"/>
      <c r="E93" s="508"/>
      <c r="F93" s="508"/>
      <c r="G93" s="182"/>
      <c r="H93" s="702"/>
      <c r="I93" s="199"/>
      <c r="J93" s="199"/>
      <c r="K93" s="200"/>
      <c r="L93" s="634"/>
      <c r="M93" s="201" t="e">
        <f>RANK(K93, K$87:$K$101)</f>
        <v>#DIV/0!</v>
      </c>
      <c r="N93" s="652"/>
      <c r="O93" s="652"/>
      <c r="P93" s="508"/>
      <c r="Q93" s="182"/>
      <c r="R93" s="510"/>
      <c r="S93" s="301" t="e">
        <f t="shared" si="62"/>
        <v>#N/A</v>
      </c>
      <c r="T93" s="674"/>
      <c r="U93" s="508"/>
      <c r="V93" s="182"/>
      <c r="W93" s="510"/>
      <c r="X93" s="477" t="e">
        <f t="shared" si="47"/>
        <v>#N/A</v>
      </c>
      <c r="Y93" s="674"/>
      <c r="Z93" s="508"/>
      <c r="AA93" s="182"/>
      <c r="AB93" s="510"/>
      <c r="AC93" s="477" t="e">
        <f t="shared" si="49"/>
        <v>#N/A</v>
      </c>
      <c r="AD93" s="674"/>
      <c r="AE93" s="508"/>
      <c r="AF93" s="182"/>
      <c r="AG93" s="510"/>
      <c r="AH93" s="477" t="e">
        <f t="shared" si="51"/>
        <v>#N/A</v>
      </c>
      <c r="AI93" s="674"/>
      <c r="AJ93" s="508"/>
      <c r="AK93" s="182"/>
      <c r="AL93" s="510"/>
      <c r="AM93" s="477" t="e">
        <f t="shared" si="53"/>
        <v>#N/A</v>
      </c>
      <c r="AN93" s="674"/>
      <c r="AO93" s="508"/>
      <c r="AP93" s="182"/>
      <c r="AQ93" s="510"/>
      <c r="AR93" s="477" t="e">
        <f t="shared" si="55"/>
        <v>#N/A</v>
      </c>
      <c r="AS93" s="674"/>
      <c r="AT93" s="508"/>
      <c r="AU93" s="182"/>
      <c r="AV93" s="510"/>
      <c r="AW93" s="477" t="e">
        <f t="shared" si="57"/>
        <v>#N/A</v>
      </c>
      <c r="AX93" s="674"/>
    </row>
    <row r="94" spans="2:50">
      <c r="B94" s="660"/>
      <c r="C94" s="301">
        <v>8</v>
      </c>
      <c r="D94" s="508"/>
      <c r="E94" s="508"/>
      <c r="F94" s="508"/>
      <c r="G94" s="182"/>
      <c r="H94" s="702"/>
      <c r="I94" s="446"/>
      <c r="J94" s="446"/>
      <c r="K94" s="200"/>
      <c r="L94" s="634"/>
      <c r="M94" s="201" t="e">
        <f>RANK(K94, K$87:$K$101)</f>
        <v>#DIV/0!</v>
      </c>
      <c r="N94" s="652"/>
      <c r="O94" s="652"/>
      <c r="P94" s="508"/>
      <c r="Q94" s="182"/>
      <c r="R94" s="510"/>
      <c r="S94" s="301" t="e">
        <f t="shared" si="62"/>
        <v>#N/A</v>
      </c>
      <c r="T94" s="674"/>
      <c r="U94" s="508"/>
      <c r="V94" s="182"/>
      <c r="W94" s="510"/>
      <c r="X94" s="477" t="e">
        <f t="shared" si="47"/>
        <v>#N/A</v>
      </c>
      <c r="Y94" s="674"/>
      <c r="Z94" s="508"/>
      <c r="AA94" s="182"/>
      <c r="AB94" s="510"/>
      <c r="AC94" s="477" t="e">
        <f t="shared" si="49"/>
        <v>#N/A</v>
      </c>
      <c r="AD94" s="674"/>
      <c r="AE94" s="508"/>
      <c r="AF94" s="182"/>
      <c r="AG94" s="510"/>
      <c r="AH94" s="477" t="e">
        <f t="shared" si="51"/>
        <v>#N/A</v>
      </c>
      <c r="AI94" s="674"/>
      <c r="AJ94" s="508"/>
      <c r="AK94" s="182"/>
      <c r="AL94" s="510"/>
      <c r="AM94" s="477" t="e">
        <f t="shared" si="53"/>
        <v>#N/A</v>
      </c>
      <c r="AN94" s="674"/>
      <c r="AO94" s="508"/>
      <c r="AP94" s="182"/>
      <c r="AQ94" s="510"/>
      <c r="AR94" s="477" t="e">
        <f t="shared" si="55"/>
        <v>#N/A</v>
      </c>
      <c r="AS94" s="674"/>
      <c r="AT94" s="508"/>
      <c r="AU94" s="182"/>
      <c r="AV94" s="510"/>
      <c r="AW94" s="477" t="e">
        <f t="shared" si="57"/>
        <v>#N/A</v>
      </c>
      <c r="AX94" s="674"/>
    </row>
    <row r="95" spans="2:50">
      <c r="B95" s="660"/>
      <c r="C95" s="301">
        <v>9</v>
      </c>
      <c r="D95" s="508"/>
      <c r="E95" s="508"/>
      <c r="F95" s="508"/>
      <c r="G95" s="182"/>
      <c r="H95" s="702"/>
      <c r="I95" s="199"/>
      <c r="J95" s="199"/>
      <c r="K95" s="200"/>
      <c r="L95" s="634"/>
      <c r="M95" s="201" t="e">
        <f>RANK(K95, K$87:$K$101)</f>
        <v>#DIV/0!</v>
      </c>
      <c r="N95" s="652"/>
      <c r="O95" s="652"/>
      <c r="P95" s="508"/>
      <c r="Q95" s="182"/>
      <c r="R95" s="510"/>
      <c r="S95" s="301" t="e">
        <f t="shared" si="62"/>
        <v>#N/A</v>
      </c>
      <c r="T95" s="674"/>
      <c r="U95" s="508"/>
      <c r="V95" s="182"/>
      <c r="W95" s="510"/>
      <c r="X95" s="477" t="e">
        <f t="shared" si="47"/>
        <v>#N/A</v>
      </c>
      <c r="Y95" s="674"/>
      <c r="Z95" s="508"/>
      <c r="AA95" s="182"/>
      <c r="AB95" s="510"/>
      <c r="AC95" s="477" t="e">
        <f t="shared" si="49"/>
        <v>#N/A</v>
      </c>
      <c r="AD95" s="674"/>
      <c r="AE95" s="508"/>
      <c r="AF95" s="182"/>
      <c r="AG95" s="510"/>
      <c r="AH95" s="477" t="e">
        <f t="shared" si="51"/>
        <v>#N/A</v>
      </c>
      <c r="AI95" s="674"/>
      <c r="AJ95" s="508"/>
      <c r="AK95" s="182"/>
      <c r="AL95" s="510"/>
      <c r="AM95" s="477" t="e">
        <f t="shared" si="53"/>
        <v>#N/A</v>
      </c>
      <c r="AN95" s="674"/>
      <c r="AO95" s="508"/>
      <c r="AP95" s="182"/>
      <c r="AQ95" s="510"/>
      <c r="AR95" s="477" t="e">
        <f t="shared" si="55"/>
        <v>#N/A</v>
      </c>
      <c r="AS95" s="674"/>
      <c r="AT95" s="508"/>
      <c r="AU95" s="182"/>
      <c r="AV95" s="510"/>
      <c r="AW95" s="477" t="e">
        <f t="shared" si="57"/>
        <v>#N/A</v>
      </c>
      <c r="AX95" s="674"/>
    </row>
    <row r="96" spans="2:50">
      <c r="B96" s="660"/>
      <c r="C96" s="301">
        <v>10</v>
      </c>
      <c r="D96" s="508"/>
      <c r="E96" s="508"/>
      <c r="F96" s="508"/>
      <c r="G96" s="182"/>
      <c r="H96" s="702"/>
      <c r="I96" s="199"/>
      <c r="J96" s="199"/>
      <c r="K96" s="200"/>
      <c r="L96" s="634"/>
      <c r="M96" s="201" t="e">
        <f>RANK(K96, K$87:$K$101)</f>
        <v>#DIV/0!</v>
      </c>
      <c r="N96" s="652"/>
      <c r="O96" s="652"/>
      <c r="P96" s="508"/>
      <c r="Q96" s="182"/>
      <c r="R96" s="510"/>
      <c r="S96" s="301" t="e">
        <f t="shared" si="62"/>
        <v>#N/A</v>
      </c>
      <c r="T96" s="674"/>
      <c r="U96" s="508"/>
      <c r="V96" s="182"/>
      <c r="W96" s="510"/>
      <c r="X96" s="477" t="e">
        <f t="shared" si="47"/>
        <v>#N/A</v>
      </c>
      <c r="Y96" s="674"/>
      <c r="Z96" s="508"/>
      <c r="AA96" s="182"/>
      <c r="AB96" s="510"/>
      <c r="AC96" s="477" t="e">
        <f t="shared" si="49"/>
        <v>#N/A</v>
      </c>
      <c r="AD96" s="674"/>
      <c r="AE96" s="508"/>
      <c r="AF96" s="182"/>
      <c r="AG96" s="510"/>
      <c r="AH96" s="477" t="e">
        <f t="shared" si="51"/>
        <v>#N/A</v>
      </c>
      <c r="AI96" s="674"/>
      <c r="AJ96" s="508"/>
      <c r="AK96" s="182"/>
      <c r="AL96" s="510"/>
      <c r="AM96" s="477" t="e">
        <f t="shared" si="53"/>
        <v>#N/A</v>
      </c>
      <c r="AN96" s="674"/>
      <c r="AO96" s="508"/>
      <c r="AP96" s="182"/>
      <c r="AQ96" s="510"/>
      <c r="AR96" s="477" t="e">
        <f t="shared" si="55"/>
        <v>#N/A</v>
      </c>
      <c r="AS96" s="674"/>
      <c r="AT96" s="508"/>
      <c r="AU96" s="182"/>
      <c r="AV96" s="510"/>
      <c r="AW96" s="477" t="e">
        <f t="shared" si="57"/>
        <v>#N/A</v>
      </c>
      <c r="AX96" s="674"/>
    </row>
    <row r="97" spans="2:50">
      <c r="B97" s="660"/>
      <c r="C97" s="301">
        <v>11</v>
      </c>
      <c r="D97" s="508"/>
      <c r="E97" s="508"/>
      <c r="F97" s="508"/>
      <c r="G97" s="182"/>
      <c r="H97" s="702"/>
      <c r="I97" s="202"/>
      <c r="J97" s="202"/>
      <c r="K97" s="202"/>
      <c r="L97" s="634"/>
      <c r="M97" s="201" t="e">
        <f>RANK(K97, K$87:$K$101)</f>
        <v>#DIV/0!</v>
      </c>
      <c r="N97" s="652"/>
      <c r="O97" s="652"/>
      <c r="P97" s="508"/>
      <c r="Q97" s="508"/>
      <c r="R97" s="508"/>
      <c r="S97" s="301" t="e">
        <f t="shared" si="62"/>
        <v>#N/A</v>
      </c>
      <c r="T97" s="674"/>
      <c r="U97" s="508"/>
      <c r="V97" s="508"/>
      <c r="W97" s="508"/>
      <c r="X97" s="477" t="e">
        <f t="shared" si="47"/>
        <v>#N/A</v>
      </c>
      <c r="Y97" s="674"/>
      <c r="Z97" s="508"/>
      <c r="AA97" s="508"/>
      <c r="AB97" s="508"/>
      <c r="AC97" s="477" t="e">
        <f t="shared" si="49"/>
        <v>#N/A</v>
      </c>
      <c r="AD97" s="674"/>
      <c r="AE97" s="508"/>
      <c r="AF97" s="508"/>
      <c r="AG97" s="508"/>
      <c r="AH97" s="477" t="e">
        <f t="shared" si="51"/>
        <v>#N/A</v>
      </c>
      <c r="AI97" s="674"/>
      <c r="AJ97" s="508"/>
      <c r="AK97" s="508"/>
      <c r="AL97" s="508"/>
      <c r="AM97" s="477" t="e">
        <f t="shared" si="53"/>
        <v>#N/A</v>
      </c>
      <c r="AN97" s="674"/>
      <c r="AO97" s="508"/>
      <c r="AP97" s="508"/>
      <c r="AQ97" s="508"/>
      <c r="AR97" s="477" t="e">
        <f t="shared" si="55"/>
        <v>#N/A</v>
      </c>
      <c r="AS97" s="674"/>
      <c r="AT97" s="508"/>
      <c r="AU97" s="508"/>
      <c r="AV97" s="508"/>
      <c r="AW97" s="477" t="e">
        <f t="shared" si="57"/>
        <v>#N/A</v>
      </c>
      <c r="AX97" s="674"/>
    </row>
    <row r="98" spans="2:50">
      <c r="B98" s="660"/>
      <c r="C98" s="301">
        <v>12</v>
      </c>
      <c r="D98" s="508"/>
      <c r="E98" s="508"/>
      <c r="F98" s="508"/>
      <c r="G98" s="182"/>
      <c r="H98" s="702"/>
      <c r="I98" s="202"/>
      <c r="J98" s="202"/>
      <c r="K98" s="202"/>
      <c r="L98" s="634"/>
      <c r="M98" s="201" t="e">
        <f>RANK(K98, K$87:$K$101)</f>
        <v>#DIV/0!</v>
      </c>
      <c r="N98" s="652"/>
      <c r="O98" s="652"/>
      <c r="P98" s="508"/>
      <c r="Q98" s="508"/>
      <c r="R98" s="508"/>
      <c r="S98" s="301" t="e">
        <f t="shared" si="62"/>
        <v>#N/A</v>
      </c>
      <c r="T98" s="674"/>
      <c r="U98" s="508"/>
      <c r="V98" s="508"/>
      <c r="W98" s="508"/>
      <c r="X98" s="477" t="e">
        <f t="shared" si="47"/>
        <v>#N/A</v>
      </c>
      <c r="Y98" s="674"/>
      <c r="Z98" s="508"/>
      <c r="AA98" s="508"/>
      <c r="AB98" s="508"/>
      <c r="AC98" s="477" t="e">
        <f t="shared" si="49"/>
        <v>#N/A</v>
      </c>
      <c r="AD98" s="674"/>
      <c r="AE98" s="508"/>
      <c r="AF98" s="508"/>
      <c r="AG98" s="508"/>
      <c r="AH98" s="477" t="e">
        <f t="shared" si="51"/>
        <v>#N/A</v>
      </c>
      <c r="AI98" s="674"/>
      <c r="AJ98" s="508"/>
      <c r="AK98" s="508"/>
      <c r="AL98" s="508"/>
      <c r="AM98" s="477" t="e">
        <f t="shared" si="53"/>
        <v>#N/A</v>
      </c>
      <c r="AN98" s="674"/>
      <c r="AO98" s="508"/>
      <c r="AP98" s="508"/>
      <c r="AQ98" s="508"/>
      <c r="AR98" s="477" t="e">
        <f t="shared" si="55"/>
        <v>#N/A</v>
      </c>
      <c r="AS98" s="674"/>
      <c r="AT98" s="508"/>
      <c r="AU98" s="508"/>
      <c r="AV98" s="508"/>
      <c r="AW98" s="477" t="e">
        <f t="shared" si="57"/>
        <v>#N/A</v>
      </c>
      <c r="AX98" s="674"/>
    </row>
    <row r="99" spans="2:50">
      <c r="B99" s="660"/>
      <c r="C99" s="301">
        <v>13</v>
      </c>
      <c r="D99" s="508"/>
      <c r="E99" s="508"/>
      <c r="F99" s="508"/>
      <c r="G99" s="182"/>
      <c r="H99" s="702"/>
      <c r="I99" s="202"/>
      <c r="J99" s="202"/>
      <c r="K99" s="202"/>
      <c r="L99" s="634"/>
      <c r="M99" s="201" t="e">
        <f>RANK(K99, K$87:$K$101)</f>
        <v>#DIV/0!</v>
      </c>
      <c r="N99" s="652"/>
      <c r="O99" s="652"/>
      <c r="P99" s="508"/>
      <c r="Q99" s="508"/>
      <c r="R99" s="508"/>
      <c r="S99" s="301" t="e">
        <f t="shared" si="62"/>
        <v>#N/A</v>
      </c>
      <c r="T99" s="674"/>
      <c r="U99" s="508"/>
      <c r="V99" s="508"/>
      <c r="W99" s="508"/>
      <c r="X99" s="477" t="e">
        <f t="shared" si="47"/>
        <v>#N/A</v>
      </c>
      <c r="Y99" s="674"/>
      <c r="Z99" s="508"/>
      <c r="AA99" s="508"/>
      <c r="AB99" s="508"/>
      <c r="AC99" s="477" t="e">
        <f t="shared" si="49"/>
        <v>#N/A</v>
      </c>
      <c r="AD99" s="674"/>
      <c r="AE99" s="508"/>
      <c r="AF99" s="508"/>
      <c r="AG99" s="508"/>
      <c r="AH99" s="477" t="e">
        <f t="shared" si="51"/>
        <v>#N/A</v>
      </c>
      <c r="AI99" s="674"/>
      <c r="AJ99" s="508"/>
      <c r="AK99" s="508"/>
      <c r="AL99" s="508"/>
      <c r="AM99" s="477" t="e">
        <f t="shared" si="53"/>
        <v>#N/A</v>
      </c>
      <c r="AN99" s="674"/>
      <c r="AO99" s="508"/>
      <c r="AP99" s="508"/>
      <c r="AQ99" s="508"/>
      <c r="AR99" s="477" t="e">
        <f t="shared" si="55"/>
        <v>#N/A</v>
      </c>
      <c r="AS99" s="674"/>
      <c r="AT99" s="508"/>
      <c r="AU99" s="508"/>
      <c r="AV99" s="508"/>
      <c r="AW99" s="477" t="e">
        <f t="shared" si="57"/>
        <v>#N/A</v>
      </c>
      <c r="AX99" s="674"/>
    </row>
    <row r="100" spans="2:50">
      <c r="B100" s="660"/>
      <c r="C100" s="301">
        <v>14</v>
      </c>
      <c r="D100" s="508"/>
      <c r="E100" s="508"/>
      <c r="F100" s="508"/>
      <c r="G100" s="182"/>
      <c r="H100" s="702"/>
      <c r="I100" s="202"/>
      <c r="J100" s="202"/>
      <c r="K100" s="202"/>
      <c r="L100" s="634"/>
      <c r="M100" s="201" t="e">
        <f>RANK(K100, K$87:$K$101)</f>
        <v>#DIV/0!</v>
      </c>
      <c r="N100" s="652"/>
      <c r="O100" s="652"/>
      <c r="P100" s="508"/>
      <c r="Q100" s="508"/>
      <c r="R100" s="508"/>
      <c r="S100" s="301" t="e">
        <f t="shared" si="62"/>
        <v>#N/A</v>
      </c>
      <c r="T100" s="674"/>
      <c r="U100" s="508"/>
      <c r="V100" s="508"/>
      <c r="W100" s="508"/>
      <c r="X100" s="477" t="e">
        <f t="shared" si="47"/>
        <v>#N/A</v>
      </c>
      <c r="Y100" s="674"/>
      <c r="Z100" s="508"/>
      <c r="AA100" s="508"/>
      <c r="AB100" s="508"/>
      <c r="AC100" s="477" t="e">
        <f t="shared" si="49"/>
        <v>#N/A</v>
      </c>
      <c r="AD100" s="674"/>
      <c r="AE100" s="508"/>
      <c r="AF100" s="508"/>
      <c r="AG100" s="508"/>
      <c r="AH100" s="477" t="e">
        <f t="shared" si="51"/>
        <v>#N/A</v>
      </c>
      <c r="AI100" s="674"/>
      <c r="AJ100" s="508"/>
      <c r="AK100" s="508"/>
      <c r="AL100" s="508"/>
      <c r="AM100" s="477" t="e">
        <f t="shared" si="53"/>
        <v>#N/A</v>
      </c>
      <c r="AN100" s="674"/>
      <c r="AO100" s="508"/>
      <c r="AP100" s="508"/>
      <c r="AQ100" s="508"/>
      <c r="AR100" s="477" t="e">
        <f t="shared" si="55"/>
        <v>#N/A</v>
      </c>
      <c r="AS100" s="674"/>
      <c r="AT100" s="508"/>
      <c r="AU100" s="508"/>
      <c r="AV100" s="508"/>
      <c r="AW100" s="477" t="e">
        <f t="shared" si="57"/>
        <v>#N/A</v>
      </c>
      <c r="AX100" s="674"/>
    </row>
    <row r="101" spans="2:50">
      <c r="B101" s="660"/>
      <c r="C101" s="301">
        <v>15</v>
      </c>
      <c r="D101" s="508"/>
      <c r="E101" s="508"/>
      <c r="F101" s="508"/>
      <c r="G101" s="508"/>
      <c r="H101" s="703"/>
      <c r="I101" s="202"/>
      <c r="J101" s="202"/>
      <c r="K101" s="202"/>
      <c r="L101" s="635"/>
      <c r="M101" s="199" t="e">
        <f>RANK(K101, K$87:$K$101)</f>
        <v>#DIV/0!</v>
      </c>
      <c r="N101" s="652"/>
      <c r="O101" s="652"/>
      <c r="P101" s="448"/>
      <c r="Q101" s="448"/>
      <c r="R101" s="448"/>
      <c r="S101" s="301" t="e">
        <f t="shared" si="62"/>
        <v>#N/A</v>
      </c>
      <c r="T101" s="674"/>
      <c r="U101" s="477"/>
      <c r="V101" s="477"/>
      <c r="W101" s="477"/>
      <c r="X101" s="477" t="e">
        <f t="shared" si="47"/>
        <v>#N/A</v>
      </c>
      <c r="Y101" s="674"/>
      <c r="Z101" s="477"/>
      <c r="AA101" s="477"/>
      <c r="AB101" s="477"/>
      <c r="AC101" s="477" t="e">
        <f t="shared" si="49"/>
        <v>#N/A</v>
      </c>
      <c r="AD101" s="674"/>
      <c r="AE101" s="477"/>
      <c r="AF101" s="477"/>
      <c r="AG101" s="477"/>
      <c r="AH101" s="477" t="e">
        <f t="shared" si="51"/>
        <v>#N/A</v>
      </c>
      <c r="AI101" s="674"/>
      <c r="AJ101" s="477"/>
      <c r="AK101" s="477"/>
      <c r="AL101" s="477"/>
      <c r="AM101" s="477" t="e">
        <f t="shared" si="53"/>
        <v>#N/A</v>
      </c>
      <c r="AN101" s="674"/>
      <c r="AO101" s="477"/>
      <c r="AP101" s="477"/>
      <c r="AQ101" s="477"/>
      <c r="AR101" s="477" t="e">
        <f t="shared" si="55"/>
        <v>#N/A</v>
      </c>
      <c r="AS101" s="674"/>
      <c r="AT101" s="477"/>
      <c r="AU101" s="477"/>
      <c r="AV101" s="477"/>
      <c r="AW101" s="477" t="e">
        <f t="shared" si="57"/>
        <v>#N/A</v>
      </c>
      <c r="AX101" s="674"/>
    </row>
    <row r="102" spans="2:50" ht="15.75">
      <c r="B102" s="664" t="s">
        <v>163</v>
      </c>
      <c r="C102" s="665"/>
      <c r="D102" s="665"/>
      <c r="E102" s="665"/>
      <c r="F102" s="665"/>
      <c r="G102" s="665"/>
      <c r="H102" s="666"/>
      <c r="I102" s="208"/>
      <c r="J102" s="208"/>
      <c r="K102" s="208"/>
      <c r="L102" s="208"/>
      <c r="M102" s="207"/>
      <c r="N102" s="653" t="s">
        <v>156</v>
      </c>
      <c r="O102" s="653" t="s">
        <v>105</v>
      </c>
      <c r="P102" s="659">
        <f>P82+7</f>
        <v>46084</v>
      </c>
      <c r="Q102" s="660"/>
      <c r="R102" s="660"/>
      <c r="S102" s="660"/>
      <c r="T102" s="660"/>
      <c r="U102" s="656">
        <f>P102+1</f>
        <v>46085</v>
      </c>
      <c r="V102" s="657"/>
      <c r="W102" s="657"/>
      <c r="X102" s="657"/>
      <c r="Y102" s="658"/>
      <c r="Z102" s="656">
        <f>U102+1</f>
        <v>46086</v>
      </c>
      <c r="AA102" s="657"/>
      <c r="AB102" s="657"/>
      <c r="AC102" s="657"/>
      <c r="AD102" s="658"/>
      <c r="AE102" s="656">
        <f>Z102+1</f>
        <v>46087</v>
      </c>
      <c r="AF102" s="657"/>
      <c r="AG102" s="657"/>
      <c r="AH102" s="657"/>
      <c r="AI102" s="658"/>
      <c r="AJ102" s="656">
        <f>AE102+1</f>
        <v>46088</v>
      </c>
      <c r="AK102" s="657"/>
      <c r="AL102" s="657"/>
      <c r="AM102" s="657"/>
      <c r="AN102" s="658"/>
      <c r="AO102" s="656">
        <f>AJ102+1</f>
        <v>46089</v>
      </c>
      <c r="AP102" s="657"/>
      <c r="AQ102" s="657"/>
      <c r="AR102" s="657"/>
      <c r="AS102" s="658"/>
      <c r="AT102" s="656">
        <f>AO102+1</f>
        <v>46090</v>
      </c>
      <c r="AU102" s="657"/>
      <c r="AV102" s="657"/>
      <c r="AW102" s="657"/>
      <c r="AX102" s="658"/>
    </row>
    <row r="103" spans="2:50" ht="15.75">
      <c r="B103" s="667"/>
      <c r="C103" s="667"/>
      <c r="D103" s="667"/>
      <c r="E103" s="667"/>
      <c r="F103" s="667"/>
      <c r="G103" s="667"/>
      <c r="H103" s="667"/>
      <c r="I103" s="205"/>
      <c r="J103" s="205"/>
      <c r="K103" s="205"/>
      <c r="L103" s="205"/>
      <c r="M103" s="206"/>
      <c r="N103" s="655"/>
      <c r="O103" s="655"/>
      <c r="P103" s="659" t="s">
        <v>158</v>
      </c>
      <c r="Q103" s="660"/>
      <c r="R103" s="660"/>
      <c r="S103" s="660"/>
      <c r="T103" s="660"/>
      <c r="U103" s="659" t="s">
        <v>114</v>
      </c>
      <c r="V103" s="660"/>
      <c r="W103" s="660"/>
      <c r="X103" s="660"/>
      <c r="Y103" s="660"/>
      <c r="Z103" s="659" t="s">
        <v>159</v>
      </c>
      <c r="AA103" s="660"/>
      <c r="AB103" s="660"/>
      <c r="AC103" s="660"/>
      <c r="AD103" s="660"/>
      <c r="AE103" s="659" t="s">
        <v>157</v>
      </c>
      <c r="AF103" s="660"/>
      <c r="AG103" s="660"/>
      <c r="AH103" s="660"/>
      <c r="AI103" s="660"/>
      <c r="AJ103" s="659" t="s">
        <v>160</v>
      </c>
      <c r="AK103" s="660"/>
      <c r="AL103" s="660"/>
      <c r="AM103" s="660"/>
      <c r="AN103" s="660"/>
      <c r="AO103" s="659" t="s">
        <v>115</v>
      </c>
      <c r="AP103" s="660"/>
      <c r="AQ103" s="660"/>
      <c r="AR103" s="660"/>
      <c r="AS103" s="660"/>
      <c r="AT103" s="659" t="s">
        <v>162</v>
      </c>
      <c r="AU103" s="660"/>
      <c r="AV103" s="660"/>
      <c r="AW103" s="660"/>
      <c r="AX103" s="660"/>
    </row>
    <row r="104" spans="2:50">
      <c r="B104" s="652" t="s">
        <v>844</v>
      </c>
      <c r="C104" s="652" t="s">
        <v>845</v>
      </c>
      <c r="D104" s="652"/>
      <c r="E104" s="652" t="s">
        <v>846</v>
      </c>
      <c r="F104" s="652"/>
      <c r="G104" s="652"/>
      <c r="H104" s="668" t="s">
        <v>847</v>
      </c>
      <c r="I104" s="652" t="s">
        <v>848</v>
      </c>
      <c r="J104" s="652"/>
      <c r="K104" s="652"/>
      <c r="L104" s="668" t="s">
        <v>847</v>
      </c>
      <c r="M104" s="653" t="s">
        <v>849</v>
      </c>
      <c r="N104" s="652"/>
      <c r="O104" s="652" t="s">
        <v>850</v>
      </c>
      <c r="P104" s="649" t="s">
        <v>851</v>
      </c>
      <c r="Q104" s="650"/>
      <c r="R104" s="650"/>
      <c r="S104" s="651"/>
      <c r="T104" s="652" t="s">
        <v>847</v>
      </c>
      <c r="U104" s="649" t="s">
        <v>851</v>
      </c>
      <c r="V104" s="650"/>
      <c r="W104" s="650"/>
      <c r="X104" s="651"/>
      <c r="Y104" s="652" t="s">
        <v>847</v>
      </c>
      <c r="Z104" s="649" t="s">
        <v>851</v>
      </c>
      <c r="AA104" s="650"/>
      <c r="AB104" s="650"/>
      <c r="AC104" s="651"/>
      <c r="AD104" s="652" t="s">
        <v>847</v>
      </c>
      <c r="AE104" s="649" t="s">
        <v>851</v>
      </c>
      <c r="AF104" s="650"/>
      <c r="AG104" s="650"/>
      <c r="AH104" s="651"/>
      <c r="AI104" s="652" t="s">
        <v>847</v>
      </c>
      <c r="AJ104" s="649" t="s">
        <v>851</v>
      </c>
      <c r="AK104" s="650"/>
      <c r="AL104" s="650"/>
      <c r="AM104" s="651"/>
      <c r="AN104" s="652" t="s">
        <v>847</v>
      </c>
      <c r="AO104" s="649" t="s">
        <v>851</v>
      </c>
      <c r="AP104" s="650"/>
      <c r="AQ104" s="650"/>
      <c r="AR104" s="651"/>
      <c r="AS104" s="652" t="s">
        <v>847</v>
      </c>
      <c r="AT104" s="649" t="s">
        <v>851</v>
      </c>
      <c r="AU104" s="650"/>
      <c r="AV104" s="650"/>
      <c r="AW104" s="651"/>
      <c r="AX104" s="652" t="s">
        <v>847</v>
      </c>
    </row>
    <row r="105" spans="2:50">
      <c r="B105" s="652"/>
      <c r="C105" s="652"/>
      <c r="D105" s="652"/>
      <c r="E105" s="652" t="s">
        <v>852</v>
      </c>
      <c r="F105" s="652"/>
      <c r="G105" s="652"/>
      <c r="H105" s="669"/>
      <c r="I105" s="652" t="s">
        <v>852</v>
      </c>
      <c r="J105" s="652"/>
      <c r="K105" s="652"/>
      <c r="L105" s="669"/>
      <c r="M105" s="654"/>
      <c r="N105" s="652"/>
      <c r="O105" s="652"/>
      <c r="P105" s="649" t="s">
        <v>853</v>
      </c>
      <c r="Q105" s="650"/>
      <c r="R105" s="650"/>
      <c r="S105" s="651"/>
      <c r="T105" s="652"/>
      <c r="U105" s="649" t="s">
        <v>853</v>
      </c>
      <c r="V105" s="650"/>
      <c r="W105" s="650"/>
      <c r="X105" s="651"/>
      <c r="Y105" s="652"/>
      <c r="Z105" s="649" t="s">
        <v>853</v>
      </c>
      <c r="AA105" s="650"/>
      <c r="AB105" s="650"/>
      <c r="AC105" s="651"/>
      <c r="AD105" s="652"/>
      <c r="AE105" s="649" t="s">
        <v>853</v>
      </c>
      <c r="AF105" s="650"/>
      <c r="AG105" s="650"/>
      <c r="AH105" s="651"/>
      <c r="AI105" s="652"/>
      <c r="AJ105" s="649" t="s">
        <v>853</v>
      </c>
      <c r="AK105" s="650"/>
      <c r="AL105" s="650"/>
      <c r="AM105" s="651"/>
      <c r="AN105" s="652"/>
      <c r="AO105" s="649" t="s">
        <v>853</v>
      </c>
      <c r="AP105" s="650"/>
      <c r="AQ105" s="650"/>
      <c r="AR105" s="651"/>
      <c r="AS105" s="652"/>
      <c r="AT105" s="649" t="s">
        <v>853</v>
      </c>
      <c r="AU105" s="650"/>
      <c r="AV105" s="650"/>
      <c r="AW105" s="651"/>
      <c r="AX105" s="652"/>
    </row>
    <row r="106" spans="2:50">
      <c r="B106" s="652"/>
      <c r="C106" s="652"/>
      <c r="D106" s="652"/>
      <c r="E106" s="492" t="s">
        <v>854</v>
      </c>
      <c r="F106" s="492" t="s">
        <v>855</v>
      </c>
      <c r="G106" s="492" t="s">
        <v>856</v>
      </c>
      <c r="H106" s="670"/>
      <c r="I106" s="492" t="s">
        <v>854</v>
      </c>
      <c r="J106" s="492" t="s">
        <v>855</v>
      </c>
      <c r="K106" s="492" t="s">
        <v>856</v>
      </c>
      <c r="L106" s="670"/>
      <c r="M106" s="655"/>
      <c r="N106" s="652"/>
      <c r="O106" s="652"/>
      <c r="P106" s="492" t="s">
        <v>854</v>
      </c>
      <c r="Q106" s="492" t="s">
        <v>855</v>
      </c>
      <c r="R106" s="492" t="s">
        <v>856</v>
      </c>
      <c r="S106" s="492" t="s">
        <v>849</v>
      </c>
      <c r="T106" s="652"/>
      <c r="U106" s="492" t="s">
        <v>854</v>
      </c>
      <c r="V106" s="492" t="s">
        <v>855</v>
      </c>
      <c r="W106" s="492" t="s">
        <v>856</v>
      </c>
      <c r="X106" s="492" t="s">
        <v>849</v>
      </c>
      <c r="Y106" s="652"/>
      <c r="Z106" s="492" t="s">
        <v>854</v>
      </c>
      <c r="AA106" s="492" t="s">
        <v>855</v>
      </c>
      <c r="AB106" s="492" t="s">
        <v>856</v>
      </c>
      <c r="AC106" s="492" t="s">
        <v>849</v>
      </c>
      <c r="AD106" s="652"/>
      <c r="AE106" s="492" t="s">
        <v>854</v>
      </c>
      <c r="AF106" s="492" t="s">
        <v>855</v>
      </c>
      <c r="AG106" s="492" t="s">
        <v>856</v>
      </c>
      <c r="AH106" s="492" t="s">
        <v>849</v>
      </c>
      <c r="AI106" s="652"/>
      <c r="AJ106" s="492" t="s">
        <v>854</v>
      </c>
      <c r="AK106" s="492" t="s">
        <v>855</v>
      </c>
      <c r="AL106" s="492" t="s">
        <v>856</v>
      </c>
      <c r="AM106" s="492" t="s">
        <v>849</v>
      </c>
      <c r="AN106" s="652"/>
      <c r="AO106" s="492" t="s">
        <v>854</v>
      </c>
      <c r="AP106" s="492" t="s">
        <v>855</v>
      </c>
      <c r="AQ106" s="492" t="s">
        <v>856</v>
      </c>
      <c r="AR106" s="492" t="s">
        <v>849</v>
      </c>
      <c r="AS106" s="652"/>
      <c r="AT106" s="492" t="s">
        <v>854</v>
      </c>
      <c r="AU106" s="492" t="s">
        <v>855</v>
      </c>
      <c r="AV106" s="492" t="s">
        <v>856</v>
      </c>
      <c r="AW106" s="492" t="s">
        <v>849</v>
      </c>
      <c r="AX106" s="652"/>
    </row>
    <row r="107" spans="2:50">
      <c r="B107" s="700" t="s">
        <v>857</v>
      </c>
      <c r="C107" s="497">
        <v>1</v>
      </c>
      <c r="D107" s="508"/>
      <c r="E107" s="508"/>
      <c r="F107" s="508"/>
      <c r="G107" s="182"/>
      <c r="H107" s="696" t="e">
        <f>AVERAGE(G107:G121)</f>
        <v>#DIV/0!</v>
      </c>
      <c r="I107" s="498" t="e">
        <f>AVERAGE(P107,U107,Z107,AE107,AJ107,AO107,AT107)</f>
        <v>#DIV/0!</v>
      </c>
      <c r="J107" s="498" t="e">
        <f>AVERAGE(Q107,V107,AA107,AF107,AK107,AP107,AU107)</f>
        <v>#DIV/0!</v>
      </c>
      <c r="K107" s="499" t="e">
        <f>AVERAGE(R107,W107,AB107,AG107,AL107,AQ107,AV107)</f>
        <v>#DIV/0!</v>
      </c>
      <c r="L107" s="633" t="str">
        <f>IFERROR(AVERAGE(K107:K121),"-")</f>
        <v>-</v>
      </c>
      <c r="M107" s="498" t="e">
        <f>RANK(K107, K$107:$K$121)</f>
        <v>#DIV/0!</v>
      </c>
      <c r="N107" s="652"/>
      <c r="O107" s="652"/>
      <c r="P107" s="182"/>
      <c r="Q107" s="182"/>
      <c r="R107" s="510"/>
      <c r="S107" s="497" t="e">
        <f t="shared" ref="S107:S121" si="63">RANK(R107, R$81:R$87)</f>
        <v>#N/A</v>
      </c>
      <c r="T107" s="699" t="e">
        <f>AVERAGE(R107:R121)</f>
        <v>#DIV/0!</v>
      </c>
      <c r="U107" s="182"/>
      <c r="V107" s="182"/>
      <c r="W107" s="510"/>
      <c r="X107" s="497" t="e">
        <f t="shared" ref="X107:X121" si="64">RANK(W107, W$81:W$87)</f>
        <v>#N/A</v>
      </c>
      <c r="Y107" s="699" t="e">
        <f t="shared" ref="Y107" si="65">AVERAGE(W107:W121)</f>
        <v>#DIV/0!</v>
      </c>
      <c r="Z107" s="182"/>
      <c r="AA107" s="182"/>
      <c r="AB107" s="510"/>
      <c r="AC107" s="497" t="e">
        <f t="shared" ref="AC107:AC121" si="66">RANK(AB107, AB$81:AB$87)</f>
        <v>#N/A</v>
      </c>
      <c r="AD107" s="699" t="e">
        <f t="shared" ref="AD107" si="67">AVERAGE(AB107:AB121)</f>
        <v>#DIV/0!</v>
      </c>
      <c r="AE107" s="182"/>
      <c r="AF107" s="182"/>
      <c r="AG107" s="510"/>
      <c r="AH107" s="497" t="e">
        <f t="shared" ref="AH107:AH121" si="68">RANK(AG107, AG$81:AG$87)</f>
        <v>#N/A</v>
      </c>
      <c r="AI107" s="699" t="e">
        <f t="shared" ref="AI107" si="69">AVERAGE(AG107:AG121)</f>
        <v>#DIV/0!</v>
      </c>
      <c r="AJ107" s="182"/>
      <c r="AK107" s="182"/>
      <c r="AL107" s="510"/>
      <c r="AM107" s="497" t="e">
        <f t="shared" ref="AM107:AM121" si="70">RANK(AL107, AL$81:AL$87)</f>
        <v>#N/A</v>
      </c>
      <c r="AN107" s="699" t="e">
        <f t="shared" ref="AN107" si="71">AVERAGE(AL107:AL121)</f>
        <v>#DIV/0!</v>
      </c>
      <c r="AO107" s="182"/>
      <c r="AP107" s="182"/>
      <c r="AQ107" s="510"/>
      <c r="AR107" s="497" t="e">
        <f t="shared" ref="AR107:AR121" si="72">RANK(AQ107, AQ$81:AQ$87)</f>
        <v>#N/A</v>
      </c>
      <c r="AS107" s="699" t="e">
        <f t="shared" ref="AS107" si="73">AVERAGE(AQ107:AQ121)</f>
        <v>#DIV/0!</v>
      </c>
      <c r="AT107" s="182"/>
      <c r="AU107" s="182"/>
      <c r="AV107" s="510"/>
      <c r="AW107" s="497" t="e">
        <f t="shared" ref="AW107:AW121" si="74">RANK(AV107, AV$81:AV$87)</f>
        <v>#N/A</v>
      </c>
      <c r="AX107" s="699" t="e">
        <f t="shared" ref="AX107" si="75">AVERAGE(AV107:AV121)</f>
        <v>#DIV/0!</v>
      </c>
    </row>
    <row r="108" spans="2:50">
      <c r="B108" s="685"/>
      <c r="C108" s="497">
        <v>2</v>
      </c>
      <c r="D108" s="508"/>
      <c r="E108" s="508"/>
      <c r="F108" s="508"/>
      <c r="G108" s="182"/>
      <c r="H108" s="697"/>
      <c r="I108" s="498" t="e">
        <f t="shared" ref="I108:K110" si="76">AVERAGE(P108,U108,Z108,AE108,AJ108,AO108,AT108)</f>
        <v>#DIV/0!</v>
      </c>
      <c r="J108" s="498" t="e">
        <f t="shared" si="76"/>
        <v>#DIV/0!</v>
      </c>
      <c r="K108" s="499" t="e">
        <f t="shared" si="76"/>
        <v>#DIV/0!</v>
      </c>
      <c r="L108" s="634"/>
      <c r="M108" s="498" t="e">
        <f>RANK(K108, K$107:$K$121)</f>
        <v>#DIV/0!</v>
      </c>
      <c r="N108" s="652"/>
      <c r="O108" s="652"/>
      <c r="P108" s="508"/>
      <c r="Q108" s="182"/>
      <c r="R108" s="510"/>
      <c r="S108" s="497" t="e">
        <f t="shared" si="63"/>
        <v>#N/A</v>
      </c>
      <c r="T108" s="699"/>
      <c r="U108" s="508"/>
      <c r="V108" s="182"/>
      <c r="W108" s="510"/>
      <c r="X108" s="497" t="e">
        <f t="shared" si="64"/>
        <v>#N/A</v>
      </c>
      <c r="Y108" s="699"/>
      <c r="Z108" s="508"/>
      <c r="AA108" s="182"/>
      <c r="AB108" s="510"/>
      <c r="AC108" s="497" t="e">
        <f t="shared" si="66"/>
        <v>#N/A</v>
      </c>
      <c r="AD108" s="699"/>
      <c r="AE108" s="508"/>
      <c r="AF108" s="182"/>
      <c r="AG108" s="510"/>
      <c r="AH108" s="497" t="e">
        <f t="shared" si="68"/>
        <v>#N/A</v>
      </c>
      <c r="AI108" s="699"/>
      <c r="AJ108" s="508"/>
      <c r="AK108" s="182"/>
      <c r="AL108" s="510"/>
      <c r="AM108" s="497" t="e">
        <f t="shared" si="70"/>
        <v>#N/A</v>
      </c>
      <c r="AN108" s="699"/>
      <c r="AO108" s="508"/>
      <c r="AP108" s="182"/>
      <c r="AQ108" s="510"/>
      <c r="AR108" s="497" t="e">
        <f t="shared" si="72"/>
        <v>#N/A</v>
      </c>
      <c r="AS108" s="699"/>
      <c r="AT108" s="508"/>
      <c r="AU108" s="182"/>
      <c r="AV108" s="510"/>
      <c r="AW108" s="497" t="e">
        <f t="shared" si="74"/>
        <v>#N/A</v>
      </c>
      <c r="AX108" s="699"/>
    </row>
    <row r="109" spans="2:50">
      <c r="B109" s="685"/>
      <c r="C109" s="497">
        <v>3</v>
      </c>
      <c r="D109" s="508"/>
      <c r="E109" s="508"/>
      <c r="F109" s="508"/>
      <c r="G109" s="182"/>
      <c r="H109" s="697"/>
      <c r="I109" s="498" t="e">
        <f t="shared" si="76"/>
        <v>#DIV/0!</v>
      </c>
      <c r="J109" s="498" t="e">
        <f t="shared" si="76"/>
        <v>#DIV/0!</v>
      </c>
      <c r="K109" s="499" t="e">
        <f t="shared" si="76"/>
        <v>#DIV/0!</v>
      </c>
      <c r="L109" s="634"/>
      <c r="M109" s="498" t="e">
        <f>RANK(K109, K$107:$K$121)</f>
        <v>#DIV/0!</v>
      </c>
      <c r="N109" s="652"/>
      <c r="O109" s="652"/>
      <c r="P109" s="508"/>
      <c r="Q109" s="182"/>
      <c r="R109" s="510"/>
      <c r="S109" s="497" t="e">
        <f t="shared" si="63"/>
        <v>#N/A</v>
      </c>
      <c r="T109" s="699"/>
      <c r="U109" s="508"/>
      <c r="V109" s="182"/>
      <c r="W109" s="510"/>
      <c r="X109" s="497" t="e">
        <f t="shared" si="64"/>
        <v>#N/A</v>
      </c>
      <c r="Y109" s="699"/>
      <c r="Z109" s="508"/>
      <c r="AA109" s="182"/>
      <c r="AB109" s="510"/>
      <c r="AC109" s="497" t="e">
        <f t="shared" si="66"/>
        <v>#N/A</v>
      </c>
      <c r="AD109" s="699"/>
      <c r="AE109" s="508"/>
      <c r="AF109" s="182"/>
      <c r="AG109" s="510"/>
      <c r="AH109" s="497" t="e">
        <f t="shared" si="68"/>
        <v>#N/A</v>
      </c>
      <c r="AI109" s="699"/>
      <c r="AJ109" s="508"/>
      <c r="AK109" s="182"/>
      <c r="AL109" s="510"/>
      <c r="AM109" s="497" t="e">
        <f t="shared" si="70"/>
        <v>#N/A</v>
      </c>
      <c r="AN109" s="699"/>
      <c r="AO109" s="508"/>
      <c r="AP109" s="182"/>
      <c r="AQ109" s="510"/>
      <c r="AR109" s="497" t="e">
        <f t="shared" si="72"/>
        <v>#N/A</v>
      </c>
      <c r="AS109" s="699"/>
      <c r="AT109" s="508"/>
      <c r="AU109" s="182"/>
      <c r="AV109" s="510"/>
      <c r="AW109" s="497" t="e">
        <f t="shared" si="74"/>
        <v>#N/A</v>
      </c>
      <c r="AX109" s="699"/>
    </row>
    <row r="110" spans="2:50">
      <c r="B110" s="685"/>
      <c r="C110" s="497">
        <v>4</v>
      </c>
      <c r="D110" s="508"/>
      <c r="E110" s="508"/>
      <c r="F110" s="508"/>
      <c r="G110" s="182"/>
      <c r="H110" s="697"/>
      <c r="I110" s="498" t="e">
        <f t="shared" si="76"/>
        <v>#DIV/0!</v>
      </c>
      <c r="J110" s="498" t="e">
        <f t="shared" si="76"/>
        <v>#DIV/0!</v>
      </c>
      <c r="K110" s="499" t="e">
        <f t="shared" si="76"/>
        <v>#DIV/0!</v>
      </c>
      <c r="L110" s="634"/>
      <c r="M110" s="498" t="e">
        <f>RANK(K110, K$107:$K$121)</f>
        <v>#DIV/0!</v>
      </c>
      <c r="N110" s="652"/>
      <c r="O110" s="652"/>
      <c r="P110" s="508"/>
      <c r="Q110" s="182"/>
      <c r="R110" s="510"/>
      <c r="S110" s="497" t="e">
        <f t="shared" si="63"/>
        <v>#N/A</v>
      </c>
      <c r="T110" s="699"/>
      <c r="U110" s="508"/>
      <c r="V110" s="182"/>
      <c r="W110" s="510"/>
      <c r="X110" s="497" t="e">
        <f t="shared" si="64"/>
        <v>#N/A</v>
      </c>
      <c r="Y110" s="699"/>
      <c r="Z110" s="508"/>
      <c r="AA110" s="182"/>
      <c r="AB110" s="510"/>
      <c r="AC110" s="497" t="e">
        <f t="shared" si="66"/>
        <v>#N/A</v>
      </c>
      <c r="AD110" s="699"/>
      <c r="AE110" s="508"/>
      <c r="AF110" s="182"/>
      <c r="AG110" s="510"/>
      <c r="AH110" s="497" t="e">
        <f t="shared" si="68"/>
        <v>#N/A</v>
      </c>
      <c r="AI110" s="699"/>
      <c r="AJ110" s="508"/>
      <c r="AK110" s="182"/>
      <c r="AL110" s="510"/>
      <c r="AM110" s="497" t="e">
        <f t="shared" si="70"/>
        <v>#N/A</v>
      </c>
      <c r="AN110" s="699"/>
      <c r="AO110" s="508"/>
      <c r="AP110" s="182"/>
      <c r="AQ110" s="510"/>
      <c r="AR110" s="497" t="e">
        <f t="shared" si="72"/>
        <v>#N/A</v>
      </c>
      <c r="AS110" s="699"/>
      <c r="AT110" s="508"/>
      <c r="AU110" s="182"/>
      <c r="AV110" s="510"/>
      <c r="AW110" s="497" t="e">
        <f t="shared" si="74"/>
        <v>#N/A</v>
      </c>
      <c r="AX110" s="699"/>
    </row>
    <row r="111" spans="2:50">
      <c r="B111" s="685"/>
      <c r="C111" s="497">
        <v>5</v>
      </c>
      <c r="D111" s="508"/>
      <c r="E111" s="508"/>
      <c r="F111" s="508"/>
      <c r="G111" s="182"/>
      <c r="H111" s="697"/>
      <c r="I111" s="498" t="e">
        <f>AVERAGE(P111,U111,Z111,AE111,AJ111,AO111,AT111)</f>
        <v>#DIV/0!</v>
      </c>
      <c r="J111" s="498" t="e">
        <f>AVERAGE(Q111,V111,AA111,AF111,AK111,AP111,AU111)</f>
        <v>#DIV/0!</v>
      </c>
      <c r="K111" s="499" t="e">
        <f>AVERAGE(R111,W111,AB111,AG111,AL111,AQ111,AV111)</f>
        <v>#DIV/0!</v>
      </c>
      <c r="L111" s="634"/>
      <c r="M111" s="498" t="e">
        <f>RANK(K111, K$107:$K$121)</f>
        <v>#DIV/0!</v>
      </c>
      <c r="N111" s="652"/>
      <c r="O111" s="652"/>
      <c r="P111" s="508"/>
      <c r="Q111" s="182"/>
      <c r="R111" s="510"/>
      <c r="S111" s="497" t="e">
        <f t="shared" si="63"/>
        <v>#N/A</v>
      </c>
      <c r="T111" s="699"/>
      <c r="U111" s="508"/>
      <c r="V111" s="182"/>
      <c r="W111" s="510"/>
      <c r="X111" s="497" t="e">
        <f t="shared" si="64"/>
        <v>#N/A</v>
      </c>
      <c r="Y111" s="699"/>
      <c r="Z111" s="508"/>
      <c r="AA111" s="182"/>
      <c r="AB111" s="510"/>
      <c r="AC111" s="497" t="e">
        <f t="shared" si="66"/>
        <v>#N/A</v>
      </c>
      <c r="AD111" s="699"/>
      <c r="AE111" s="508"/>
      <c r="AF111" s="182"/>
      <c r="AG111" s="510"/>
      <c r="AH111" s="497" t="e">
        <f t="shared" si="68"/>
        <v>#N/A</v>
      </c>
      <c r="AI111" s="699"/>
      <c r="AJ111" s="508"/>
      <c r="AK111" s="182"/>
      <c r="AL111" s="510"/>
      <c r="AM111" s="497" t="e">
        <f t="shared" si="70"/>
        <v>#N/A</v>
      </c>
      <c r="AN111" s="699"/>
      <c r="AO111" s="508"/>
      <c r="AP111" s="182"/>
      <c r="AQ111" s="510"/>
      <c r="AR111" s="497" t="e">
        <f t="shared" si="72"/>
        <v>#N/A</v>
      </c>
      <c r="AS111" s="699"/>
      <c r="AT111" s="508"/>
      <c r="AU111" s="182"/>
      <c r="AV111" s="510"/>
      <c r="AW111" s="497" t="e">
        <f t="shared" si="74"/>
        <v>#N/A</v>
      </c>
      <c r="AX111" s="699"/>
    </row>
    <row r="112" spans="2:50">
      <c r="B112" s="685"/>
      <c r="C112" s="497">
        <v>6</v>
      </c>
      <c r="D112" s="508"/>
      <c r="E112" s="508"/>
      <c r="F112" s="508"/>
      <c r="G112" s="182"/>
      <c r="H112" s="697"/>
      <c r="I112" s="498" t="e">
        <f t="shared" ref="I112:K113" si="77">AVERAGE(P112,U112,Z112,AE112,AJ112,AO112,AT112)</f>
        <v>#DIV/0!</v>
      </c>
      <c r="J112" s="498" t="e">
        <f t="shared" si="77"/>
        <v>#DIV/0!</v>
      </c>
      <c r="K112" s="499" t="e">
        <f t="shared" si="77"/>
        <v>#DIV/0!</v>
      </c>
      <c r="L112" s="634"/>
      <c r="M112" s="498" t="e">
        <f>RANK(K112, K$107:$K$121)</f>
        <v>#DIV/0!</v>
      </c>
      <c r="N112" s="652"/>
      <c r="O112" s="652"/>
      <c r="P112" s="508"/>
      <c r="Q112" s="182"/>
      <c r="R112" s="510"/>
      <c r="S112" s="497" t="e">
        <f t="shared" si="63"/>
        <v>#N/A</v>
      </c>
      <c r="T112" s="699"/>
      <c r="U112" s="508"/>
      <c r="V112" s="182"/>
      <c r="W112" s="510"/>
      <c r="X112" s="497" t="e">
        <f t="shared" si="64"/>
        <v>#N/A</v>
      </c>
      <c r="Y112" s="699"/>
      <c r="Z112" s="508"/>
      <c r="AA112" s="182"/>
      <c r="AB112" s="510"/>
      <c r="AC112" s="497" t="e">
        <f t="shared" si="66"/>
        <v>#N/A</v>
      </c>
      <c r="AD112" s="699"/>
      <c r="AE112" s="508"/>
      <c r="AF112" s="182"/>
      <c r="AG112" s="510"/>
      <c r="AH112" s="497" t="e">
        <f t="shared" si="68"/>
        <v>#N/A</v>
      </c>
      <c r="AI112" s="699"/>
      <c r="AJ112" s="508"/>
      <c r="AK112" s="182"/>
      <c r="AL112" s="510"/>
      <c r="AM112" s="497" t="e">
        <f t="shared" si="70"/>
        <v>#N/A</v>
      </c>
      <c r="AN112" s="699"/>
      <c r="AO112" s="508"/>
      <c r="AP112" s="182"/>
      <c r="AQ112" s="510"/>
      <c r="AR112" s="497" t="e">
        <f t="shared" si="72"/>
        <v>#N/A</v>
      </c>
      <c r="AS112" s="699"/>
      <c r="AT112" s="508"/>
      <c r="AU112" s="182"/>
      <c r="AV112" s="510"/>
      <c r="AW112" s="497" t="e">
        <f t="shared" si="74"/>
        <v>#N/A</v>
      </c>
      <c r="AX112" s="699"/>
    </row>
    <row r="113" spans="2:50">
      <c r="B113" s="685"/>
      <c r="C113" s="497">
        <v>7</v>
      </c>
      <c r="D113" s="508"/>
      <c r="E113" s="508"/>
      <c r="F113" s="508"/>
      <c r="G113" s="182"/>
      <c r="H113" s="697"/>
      <c r="I113" s="498" t="e">
        <f t="shared" si="77"/>
        <v>#DIV/0!</v>
      </c>
      <c r="J113" s="498" t="e">
        <f t="shared" si="77"/>
        <v>#DIV/0!</v>
      </c>
      <c r="K113" s="499" t="e">
        <f t="shared" si="77"/>
        <v>#DIV/0!</v>
      </c>
      <c r="L113" s="634"/>
      <c r="M113" s="498" t="e">
        <f>RANK(K113, K$107:$K$121)</f>
        <v>#DIV/0!</v>
      </c>
      <c r="N113" s="652"/>
      <c r="O113" s="652"/>
      <c r="P113" s="508"/>
      <c r="Q113" s="182"/>
      <c r="R113" s="510"/>
      <c r="S113" s="497" t="e">
        <f t="shared" si="63"/>
        <v>#N/A</v>
      </c>
      <c r="T113" s="699"/>
      <c r="U113" s="508"/>
      <c r="V113" s="182"/>
      <c r="W113" s="510"/>
      <c r="X113" s="497" t="e">
        <f t="shared" si="64"/>
        <v>#N/A</v>
      </c>
      <c r="Y113" s="699"/>
      <c r="Z113" s="508"/>
      <c r="AA113" s="182"/>
      <c r="AB113" s="510"/>
      <c r="AC113" s="497" t="e">
        <f t="shared" si="66"/>
        <v>#N/A</v>
      </c>
      <c r="AD113" s="699"/>
      <c r="AE113" s="508"/>
      <c r="AF113" s="182"/>
      <c r="AG113" s="510"/>
      <c r="AH113" s="497" t="e">
        <f t="shared" si="68"/>
        <v>#N/A</v>
      </c>
      <c r="AI113" s="699"/>
      <c r="AJ113" s="508"/>
      <c r="AK113" s="182"/>
      <c r="AL113" s="510"/>
      <c r="AM113" s="497" t="e">
        <f t="shared" si="70"/>
        <v>#N/A</v>
      </c>
      <c r="AN113" s="699"/>
      <c r="AO113" s="508"/>
      <c r="AP113" s="182"/>
      <c r="AQ113" s="510"/>
      <c r="AR113" s="497" t="e">
        <f t="shared" si="72"/>
        <v>#N/A</v>
      </c>
      <c r="AS113" s="699"/>
      <c r="AT113" s="508"/>
      <c r="AU113" s="182"/>
      <c r="AV113" s="510"/>
      <c r="AW113" s="497" t="e">
        <f t="shared" si="74"/>
        <v>#N/A</v>
      </c>
      <c r="AX113" s="699"/>
    </row>
    <row r="114" spans="2:50">
      <c r="B114" s="685"/>
      <c r="C114" s="497">
        <v>8</v>
      </c>
      <c r="D114" s="508"/>
      <c r="E114" s="508"/>
      <c r="F114" s="508"/>
      <c r="G114" s="182"/>
      <c r="H114" s="697"/>
      <c r="I114" s="498"/>
      <c r="J114" s="498"/>
      <c r="K114" s="499"/>
      <c r="L114" s="634"/>
      <c r="M114" s="498" t="e">
        <f>RANK(K114, K$107:$K$121)</f>
        <v>#DIV/0!</v>
      </c>
      <c r="N114" s="652"/>
      <c r="O114" s="652"/>
      <c r="P114" s="508"/>
      <c r="Q114" s="182"/>
      <c r="R114" s="510"/>
      <c r="S114" s="497" t="e">
        <f t="shared" si="63"/>
        <v>#N/A</v>
      </c>
      <c r="T114" s="699"/>
      <c r="U114" s="508"/>
      <c r="V114" s="182"/>
      <c r="W114" s="510"/>
      <c r="X114" s="497" t="e">
        <f t="shared" si="64"/>
        <v>#N/A</v>
      </c>
      <c r="Y114" s="699"/>
      <c r="Z114" s="508"/>
      <c r="AA114" s="182"/>
      <c r="AB114" s="510"/>
      <c r="AC114" s="497" t="e">
        <f t="shared" si="66"/>
        <v>#N/A</v>
      </c>
      <c r="AD114" s="699"/>
      <c r="AE114" s="508"/>
      <c r="AF114" s="182"/>
      <c r="AG114" s="510"/>
      <c r="AH114" s="497" t="e">
        <f t="shared" si="68"/>
        <v>#N/A</v>
      </c>
      <c r="AI114" s="699"/>
      <c r="AJ114" s="508"/>
      <c r="AK114" s="182"/>
      <c r="AL114" s="510"/>
      <c r="AM114" s="497" t="e">
        <f t="shared" si="70"/>
        <v>#N/A</v>
      </c>
      <c r="AN114" s="699"/>
      <c r="AO114" s="508"/>
      <c r="AP114" s="182"/>
      <c r="AQ114" s="510"/>
      <c r="AR114" s="497" t="e">
        <f t="shared" si="72"/>
        <v>#N/A</v>
      </c>
      <c r="AS114" s="699"/>
      <c r="AT114" s="508"/>
      <c r="AU114" s="182"/>
      <c r="AV114" s="510"/>
      <c r="AW114" s="497" t="e">
        <f t="shared" si="74"/>
        <v>#N/A</v>
      </c>
      <c r="AX114" s="699"/>
    </row>
    <row r="115" spans="2:50">
      <c r="B115" s="685"/>
      <c r="C115" s="497">
        <v>9</v>
      </c>
      <c r="D115" s="508"/>
      <c r="E115" s="508"/>
      <c r="F115" s="508"/>
      <c r="G115" s="182"/>
      <c r="H115" s="697"/>
      <c r="I115" s="498"/>
      <c r="J115" s="498"/>
      <c r="K115" s="499"/>
      <c r="L115" s="634"/>
      <c r="M115" s="498" t="e">
        <f>RANK(K115, K$107:$K$121)</f>
        <v>#DIV/0!</v>
      </c>
      <c r="N115" s="652"/>
      <c r="O115" s="652"/>
      <c r="P115" s="508"/>
      <c r="Q115" s="182"/>
      <c r="R115" s="510"/>
      <c r="S115" s="497" t="e">
        <f t="shared" si="63"/>
        <v>#N/A</v>
      </c>
      <c r="T115" s="699"/>
      <c r="U115" s="508"/>
      <c r="V115" s="182"/>
      <c r="W115" s="510"/>
      <c r="X115" s="497" t="e">
        <f t="shared" si="64"/>
        <v>#N/A</v>
      </c>
      <c r="Y115" s="699"/>
      <c r="Z115" s="508"/>
      <c r="AA115" s="182"/>
      <c r="AB115" s="510"/>
      <c r="AC115" s="497" t="e">
        <f t="shared" si="66"/>
        <v>#N/A</v>
      </c>
      <c r="AD115" s="699"/>
      <c r="AE115" s="508"/>
      <c r="AF115" s="182"/>
      <c r="AG115" s="510"/>
      <c r="AH115" s="497" t="e">
        <f t="shared" si="68"/>
        <v>#N/A</v>
      </c>
      <c r="AI115" s="699"/>
      <c r="AJ115" s="508"/>
      <c r="AK115" s="182"/>
      <c r="AL115" s="510"/>
      <c r="AM115" s="497" t="e">
        <f t="shared" si="70"/>
        <v>#N/A</v>
      </c>
      <c r="AN115" s="699"/>
      <c r="AO115" s="508"/>
      <c r="AP115" s="182"/>
      <c r="AQ115" s="510"/>
      <c r="AR115" s="497" t="e">
        <f t="shared" si="72"/>
        <v>#N/A</v>
      </c>
      <c r="AS115" s="699"/>
      <c r="AT115" s="508"/>
      <c r="AU115" s="182"/>
      <c r="AV115" s="510"/>
      <c r="AW115" s="497" t="e">
        <f t="shared" si="74"/>
        <v>#N/A</v>
      </c>
      <c r="AX115" s="699"/>
    </row>
    <row r="116" spans="2:50">
      <c r="B116" s="685"/>
      <c r="C116" s="497">
        <v>10</v>
      </c>
      <c r="D116" s="508"/>
      <c r="E116" s="508"/>
      <c r="F116" s="508"/>
      <c r="G116" s="182"/>
      <c r="H116" s="697"/>
      <c r="I116" s="498"/>
      <c r="J116" s="498"/>
      <c r="K116" s="499"/>
      <c r="L116" s="634"/>
      <c r="M116" s="498" t="e">
        <f>RANK(K116, K$107:$K$121)</f>
        <v>#DIV/0!</v>
      </c>
      <c r="N116" s="652"/>
      <c r="O116" s="652"/>
      <c r="P116" s="508"/>
      <c r="Q116" s="182"/>
      <c r="R116" s="510"/>
      <c r="S116" s="497" t="e">
        <f t="shared" si="63"/>
        <v>#N/A</v>
      </c>
      <c r="T116" s="699"/>
      <c r="U116" s="508"/>
      <c r="V116" s="182"/>
      <c r="W116" s="510"/>
      <c r="X116" s="497" t="e">
        <f t="shared" si="64"/>
        <v>#N/A</v>
      </c>
      <c r="Y116" s="699"/>
      <c r="Z116" s="508"/>
      <c r="AA116" s="182"/>
      <c r="AB116" s="510"/>
      <c r="AC116" s="497" t="e">
        <f t="shared" si="66"/>
        <v>#N/A</v>
      </c>
      <c r="AD116" s="699"/>
      <c r="AE116" s="508"/>
      <c r="AF116" s="182"/>
      <c r="AG116" s="510"/>
      <c r="AH116" s="497" t="e">
        <f t="shared" si="68"/>
        <v>#N/A</v>
      </c>
      <c r="AI116" s="699"/>
      <c r="AJ116" s="508"/>
      <c r="AK116" s="182"/>
      <c r="AL116" s="510"/>
      <c r="AM116" s="497" t="e">
        <f t="shared" si="70"/>
        <v>#N/A</v>
      </c>
      <c r="AN116" s="699"/>
      <c r="AO116" s="508"/>
      <c r="AP116" s="182"/>
      <c r="AQ116" s="510"/>
      <c r="AR116" s="497" t="e">
        <f t="shared" si="72"/>
        <v>#N/A</v>
      </c>
      <c r="AS116" s="699"/>
      <c r="AT116" s="508"/>
      <c r="AU116" s="182"/>
      <c r="AV116" s="510"/>
      <c r="AW116" s="497" t="e">
        <f t="shared" si="74"/>
        <v>#N/A</v>
      </c>
      <c r="AX116" s="699"/>
    </row>
    <row r="117" spans="2:50">
      <c r="B117" s="685"/>
      <c r="C117" s="497">
        <v>11</v>
      </c>
      <c r="D117" s="508"/>
      <c r="E117" s="508"/>
      <c r="F117" s="508"/>
      <c r="G117" s="182"/>
      <c r="H117" s="697"/>
      <c r="I117" s="497"/>
      <c r="J117" s="497"/>
      <c r="K117" s="497"/>
      <c r="L117" s="634"/>
      <c r="M117" s="498" t="e">
        <f>RANK(K117, K$107:$K$121)</f>
        <v>#DIV/0!</v>
      </c>
      <c r="N117" s="652"/>
      <c r="O117" s="652"/>
      <c r="P117" s="508"/>
      <c r="Q117" s="508"/>
      <c r="R117" s="508"/>
      <c r="S117" s="497" t="e">
        <f t="shared" si="63"/>
        <v>#N/A</v>
      </c>
      <c r="T117" s="699"/>
      <c r="U117" s="508"/>
      <c r="V117" s="508"/>
      <c r="W117" s="508"/>
      <c r="X117" s="497" t="e">
        <f t="shared" si="64"/>
        <v>#N/A</v>
      </c>
      <c r="Y117" s="699"/>
      <c r="Z117" s="508"/>
      <c r="AA117" s="508"/>
      <c r="AB117" s="508"/>
      <c r="AC117" s="497" t="e">
        <f t="shared" si="66"/>
        <v>#N/A</v>
      </c>
      <c r="AD117" s="699"/>
      <c r="AE117" s="508"/>
      <c r="AF117" s="508"/>
      <c r="AG117" s="508"/>
      <c r="AH117" s="497" t="e">
        <f t="shared" si="68"/>
        <v>#N/A</v>
      </c>
      <c r="AI117" s="699"/>
      <c r="AJ117" s="508"/>
      <c r="AK117" s="508"/>
      <c r="AL117" s="508"/>
      <c r="AM117" s="497" t="e">
        <f t="shared" si="70"/>
        <v>#N/A</v>
      </c>
      <c r="AN117" s="699"/>
      <c r="AO117" s="508"/>
      <c r="AP117" s="508"/>
      <c r="AQ117" s="508"/>
      <c r="AR117" s="497" t="e">
        <f t="shared" si="72"/>
        <v>#N/A</v>
      </c>
      <c r="AS117" s="699"/>
      <c r="AT117" s="508"/>
      <c r="AU117" s="508"/>
      <c r="AV117" s="508"/>
      <c r="AW117" s="497" t="e">
        <f t="shared" si="74"/>
        <v>#N/A</v>
      </c>
      <c r="AX117" s="699"/>
    </row>
    <row r="118" spans="2:50">
      <c r="B118" s="685"/>
      <c r="C118" s="497">
        <v>12</v>
      </c>
      <c r="D118" s="508"/>
      <c r="E118" s="508"/>
      <c r="F118" s="508"/>
      <c r="G118" s="182"/>
      <c r="H118" s="697"/>
      <c r="I118" s="497"/>
      <c r="J118" s="497"/>
      <c r="K118" s="497"/>
      <c r="L118" s="634"/>
      <c r="M118" s="498" t="e">
        <f>RANK(K118, K$107:$K$121)</f>
        <v>#DIV/0!</v>
      </c>
      <c r="N118" s="652"/>
      <c r="O118" s="652"/>
      <c r="P118" s="508"/>
      <c r="Q118" s="508"/>
      <c r="R118" s="508"/>
      <c r="S118" s="497" t="e">
        <f t="shared" si="63"/>
        <v>#N/A</v>
      </c>
      <c r="T118" s="699"/>
      <c r="U118" s="508"/>
      <c r="V118" s="508"/>
      <c r="W118" s="508"/>
      <c r="X118" s="497" t="e">
        <f t="shared" si="64"/>
        <v>#N/A</v>
      </c>
      <c r="Y118" s="699"/>
      <c r="Z118" s="508"/>
      <c r="AA118" s="508"/>
      <c r="AB118" s="508"/>
      <c r="AC118" s="497" t="e">
        <f t="shared" si="66"/>
        <v>#N/A</v>
      </c>
      <c r="AD118" s="699"/>
      <c r="AE118" s="508"/>
      <c r="AF118" s="508"/>
      <c r="AG118" s="508"/>
      <c r="AH118" s="497" t="e">
        <f t="shared" si="68"/>
        <v>#N/A</v>
      </c>
      <c r="AI118" s="699"/>
      <c r="AJ118" s="508"/>
      <c r="AK118" s="508"/>
      <c r="AL118" s="508"/>
      <c r="AM118" s="497" t="e">
        <f t="shared" si="70"/>
        <v>#N/A</v>
      </c>
      <c r="AN118" s="699"/>
      <c r="AO118" s="508"/>
      <c r="AP118" s="508"/>
      <c r="AQ118" s="508"/>
      <c r="AR118" s="497" t="e">
        <f t="shared" si="72"/>
        <v>#N/A</v>
      </c>
      <c r="AS118" s="699"/>
      <c r="AT118" s="508"/>
      <c r="AU118" s="508"/>
      <c r="AV118" s="508"/>
      <c r="AW118" s="497" t="e">
        <f t="shared" si="74"/>
        <v>#N/A</v>
      </c>
      <c r="AX118" s="699"/>
    </row>
    <row r="119" spans="2:50">
      <c r="B119" s="685"/>
      <c r="C119" s="497">
        <v>13</v>
      </c>
      <c r="D119" s="508"/>
      <c r="E119" s="508"/>
      <c r="F119" s="508"/>
      <c r="G119" s="182"/>
      <c r="H119" s="697"/>
      <c r="I119" s="497"/>
      <c r="J119" s="497"/>
      <c r="K119" s="497"/>
      <c r="L119" s="634"/>
      <c r="M119" s="498" t="e">
        <f>RANK(K119, K$107:$K$121)</f>
        <v>#DIV/0!</v>
      </c>
      <c r="N119" s="652"/>
      <c r="O119" s="652"/>
      <c r="P119" s="508"/>
      <c r="Q119" s="508"/>
      <c r="R119" s="508"/>
      <c r="S119" s="497" t="e">
        <f t="shared" si="63"/>
        <v>#N/A</v>
      </c>
      <c r="T119" s="699"/>
      <c r="U119" s="508"/>
      <c r="V119" s="508"/>
      <c r="W119" s="508"/>
      <c r="X119" s="497" t="e">
        <f t="shared" si="64"/>
        <v>#N/A</v>
      </c>
      <c r="Y119" s="699"/>
      <c r="Z119" s="508"/>
      <c r="AA119" s="508"/>
      <c r="AB119" s="508"/>
      <c r="AC119" s="497" t="e">
        <f t="shared" si="66"/>
        <v>#N/A</v>
      </c>
      <c r="AD119" s="699"/>
      <c r="AE119" s="508"/>
      <c r="AF119" s="508"/>
      <c r="AG119" s="508"/>
      <c r="AH119" s="497" t="e">
        <f t="shared" si="68"/>
        <v>#N/A</v>
      </c>
      <c r="AI119" s="699"/>
      <c r="AJ119" s="508"/>
      <c r="AK119" s="508"/>
      <c r="AL119" s="508"/>
      <c r="AM119" s="497" t="e">
        <f t="shared" si="70"/>
        <v>#N/A</v>
      </c>
      <c r="AN119" s="699"/>
      <c r="AO119" s="508"/>
      <c r="AP119" s="508"/>
      <c r="AQ119" s="508"/>
      <c r="AR119" s="497" t="e">
        <f t="shared" si="72"/>
        <v>#N/A</v>
      </c>
      <c r="AS119" s="699"/>
      <c r="AT119" s="508"/>
      <c r="AU119" s="508"/>
      <c r="AV119" s="508"/>
      <c r="AW119" s="497" t="e">
        <f t="shared" si="74"/>
        <v>#N/A</v>
      </c>
      <c r="AX119" s="699"/>
    </row>
    <row r="120" spans="2:50">
      <c r="B120" s="685"/>
      <c r="C120" s="497">
        <v>14</v>
      </c>
      <c r="D120" s="508"/>
      <c r="E120" s="508"/>
      <c r="F120" s="508"/>
      <c r="G120" s="182"/>
      <c r="H120" s="697"/>
      <c r="I120" s="497"/>
      <c r="J120" s="497"/>
      <c r="K120" s="497"/>
      <c r="L120" s="634"/>
      <c r="M120" s="498" t="e">
        <f>RANK(K120, K$107:$K$121)</f>
        <v>#DIV/0!</v>
      </c>
      <c r="N120" s="652"/>
      <c r="O120" s="652"/>
      <c r="P120" s="508"/>
      <c r="Q120" s="508"/>
      <c r="R120" s="508"/>
      <c r="S120" s="497" t="e">
        <f t="shared" si="63"/>
        <v>#N/A</v>
      </c>
      <c r="T120" s="699"/>
      <c r="U120" s="508"/>
      <c r="V120" s="508"/>
      <c r="W120" s="508"/>
      <c r="X120" s="497" t="e">
        <f t="shared" si="64"/>
        <v>#N/A</v>
      </c>
      <c r="Y120" s="699"/>
      <c r="Z120" s="508"/>
      <c r="AA120" s="508"/>
      <c r="AB120" s="508"/>
      <c r="AC120" s="497" t="e">
        <f t="shared" si="66"/>
        <v>#N/A</v>
      </c>
      <c r="AD120" s="699"/>
      <c r="AE120" s="508"/>
      <c r="AF120" s="508"/>
      <c r="AG120" s="508"/>
      <c r="AH120" s="497" t="e">
        <f t="shared" si="68"/>
        <v>#N/A</v>
      </c>
      <c r="AI120" s="699"/>
      <c r="AJ120" s="508"/>
      <c r="AK120" s="508"/>
      <c r="AL120" s="508"/>
      <c r="AM120" s="497" t="e">
        <f t="shared" si="70"/>
        <v>#N/A</v>
      </c>
      <c r="AN120" s="699"/>
      <c r="AO120" s="508"/>
      <c r="AP120" s="508"/>
      <c r="AQ120" s="508"/>
      <c r="AR120" s="497" t="e">
        <f t="shared" si="72"/>
        <v>#N/A</v>
      </c>
      <c r="AS120" s="699"/>
      <c r="AT120" s="508"/>
      <c r="AU120" s="508"/>
      <c r="AV120" s="508"/>
      <c r="AW120" s="497" t="e">
        <f t="shared" si="74"/>
        <v>#N/A</v>
      </c>
      <c r="AX120" s="699"/>
    </row>
    <row r="121" spans="2:50">
      <c r="B121" s="685"/>
      <c r="C121" s="497">
        <v>15</v>
      </c>
      <c r="D121" s="508"/>
      <c r="E121" s="508"/>
      <c r="F121" s="508"/>
      <c r="G121" s="508"/>
      <c r="H121" s="709"/>
      <c r="I121" s="497"/>
      <c r="J121" s="497"/>
      <c r="K121" s="497"/>
      <c r="L121" s="635"/>
      <c r="M121" s="498" t="e">
        <f>RANK(K121, K$107:$K$121)</f>
        <v>#DIV/0!</v>
      </c>
      <c r="N121" s="652"/>
      <c r="O121" s="652"/>
      <c r="P121" s="497"/>
      <c r="Q121" s="498"/>
      <c r="R121" s="498"/>
      <c r="S121" s="497" t="e">
        <f t="shared" si="63"/>
        <v>#N/A</v>
      </c>
      <c r="T121" s="699"/>
      <c r="U121" s="497"/>
      <c r="V121" s="498"/>
      <c r="W121" s="498"/>
      <c r="X121" s="497" t="e">
        <f t="shared" si="64"/>
        <v>#N/A</v>
      </c>
      <c r="Y121" s="699"/>
      <c r="Z121" s="497"/>
      <c r="AA121" s="498"/>
      <c r="AB121" s="498"/>
      <c r="AC121" s="497" t="e">
        <f t="shared" si="66"/>
        <v>#N/A</v>
      </c>
      <c r="AD121" s="699"/>
      <c r="AE121" s="497"/>
      <c r="AF121" s="498"/>
      <c r="AG121" s="498"/>
      <c r="AH121" s="497" t="e">
        <f t="shared" si="68"/>
        <v>#N/A</v>
      </c>
      <c r="AI121" s="699"/>
      <c r="AJ121" s="497"/>
      <c r="AK121" s="498"/>
      <c r="AL121" s="498"/>
      <c r="AM121" s="497" t="e">
        <f t="shared" si="70"/>
        <v>#N/A</v>
      </c>
      <c r="AN121" s="699"/>
      <c r="AO121" s="497"/>
      <c r="AP121" s="498"/>
      <c r="AQ121" s="498"/>
      <c r="AR121" s="497" t="e">
        <f t="shared" si="72"/>
        <v>#N/A</v>
      </c>
      <c r="AS121" s="699"/>
      <c r="AT121" s="497"/>
      <c r="AU121" s="498"/>
      <c r="AV121" s="498"/>
      <c r="AW121" s="497" t="e">
        <f t="shared" si="74"/>
        <v>#N/A</v>
      </c>
      <c r="AX121" s="699"/>
    </row>
    <row r="123" spans="2:50" ht="15.75">
      <c r="B123" s="691" t="s">
        <v>674</v>
      </c>
      <c r="C123" s="692"/>
      <c r="D123" s="692"/>
      <c r="E123" s="692"/>
      <c r="F123" s="692"/>
      <c r="G123" s="692"/>
      <c r="H123" s="693"/>
      <c r="I123" s="348"/>
      <c r="J123" s="348"/>
      <c r="K123" s="348"/>
      <c r="L123" s="348"/>
      <c r="M123" s="349"/>
    </row>
    <row r="124" spans="2:50" ht="15.75">
      <c r="B124" s="694"/>
      <c r="C124" s="694"/>
      <c r="D124" s="694"/>
      <c r="E124" s="694"/>
      <c r="F124" s="694"/>
      <c r="G124" s="694"/>
      <c r="H124" s="694"/>
      <c r="I124" s="350"/>
      <c r="J124" s="350"/>
      <c r="K124" s="350"/>
      <c r="L124" s="350"/>
      <c r="M124" s="351"/>
    </row>
    <row r="125" spans="2:50">
      <c r="B125" s="652" t="s">
        <v>675</v>
      </c>
      <c r="C125" s="652" t="s">
        <v>676</v>
      </c>
      <c r="D125" s="652"/>
      <c r="E125" s="652" t="s">
        <v>677</v>
      </c>
      <c r="F125" s="652"/>
      <c r="G125" s="652"/>
      <c r="H125" s="668" t="s">
        <v>678</v>
      </c>
      <c r="I125" s="695" t="s">
        <v>679</v>
      </c>
      <c r="J125" s="695"/>
      <c r="K125" s="695"/>
      <c r="L125" s="716" t="s">
        <v>678</v>
      </c>
      <c r="M125" s="719" t="s">
        <v>680</v>
      </c>
    </row>
    <row r="126" spans="2:50">
      <c r="B126" s="652"/>
      <c r="C126" s="652"/>
      <c r="D126" s="652"/>
      <c r="E126" s="652" t="s">
        <v>681</v>
      </c>
      <c r="F126" s="652"/>
      <c r="G126" s="652"/>
      <c r="H126" s="669"/>
      <c r="I126" s="695" t="s">
        <v>681</v>
      </c>
      <c r="J126" s="695"/>
      <c r="K126" s="695"/>
      <c r="L126" s="717"/>
      <c r="M126" s="720"/>
    </row>
    <row r="127" spans="2:50">
      <c r="B127" s="652"/>
      <c r="C127" s="652"/>
      <c r="D127" s="652"/>
      <c r="E127" s="345" t="s">
        <v>682</v>
      </c>
      <c r="F127" s="345" t="s">
        <v>683</v>
      </c>
      <c r="G127" s="345" t="s">
        <v>684</v>
      </c>
      <c r="H127" s="670"/>
      <c r="I127" s="352" t="s">
        <v>682</v>
      </c>
      <c r="J127" s="352" t="s">
        <v>683</v>
      </c>
      <c r="K127" s="352" t="s">
        <v>684</v>
      </c>
      <c r="L127" s="718"/>
      <c r="M127" s="721"/>
    </row>
    <row r="128" spans="2:50">
      <c r="B128" s="700" t="s">
        <v>686</v>
      </c>
      <c r="C128" s="344">
        <v>1</v>
      </c>
      <c r="D128" s="227"/>
      <c r="E128" s="182"/>
      <c r="F128" s="344"/>
      <c r="G128" s="347"/>
      <c r="H128" s="701" t="e">
        <f>AVERAGE(G128:G142)</f>
        <v>#DIV/0!</v>
      </c>
      <c r="I128" s="199" t="e">
        <f t="shared" ref="I128:K134" si="78">AVERAGEIF($D$7:$D$121,$D128,I$7:I$121)</f>
        <v>#DIV/0!</v>
      </c>
      <c r="J128" s="199" t="e">
        <f t="shared" si="78"/>
        <v>#DIV/0!</v>
      </c>
      <c r="K128" s="199" t="e">
        <f>AVERAGEIF($D$7:$D$121,$D128,K$7:K$121)</f>
        <v>#DIV/0!</v>
      </c>
      <c r="L128" s="713" t="e">
        <f>AVERAGE(K128:K142)</f>
        <v>#DIV/0!</v>
      </c>
      <c r="M128" s="199" t="e">
        <f>RANK(K128, K$128:$K$142)</f>
        <v>#DIV/0!</v>
      </c>
    </row>
    <row r="129" spans="2:13">
      <c r="B129" s="660"/>
      <c r="C129" s="344">
        <v>2</v>
      </c>
      <c r="D129" s="227"/>
      <c r="E129" s="182"/>
      <c r="F129" s="344"/>
      <c r="G129" s="347"/>
      <c r="H129" s="702"/>
      <c r="I129" s="199" t="e">
        <f t="shared" si="78"/>
        <v>#DIV/0!</v>
      </c>
      <c r="J129" s="199" t="e">
        <f t="shared" si="78"/>
        <v>#DIV/0!</v>
      </c>
      <c r="K129" s="199" t="e">
        <f t="shared" si="78"/>
        <v>#DIV/0!</v>
      </c>
      <c r="L129" s="714"/>
      <c r="M129" s="199" t="e">
        <f>RANK(K129, K$128:$K$142)</f>
        <v>#DIV/0!</v>
      </c>
    </row>
    <row r="130" spans="2:13">
      <c r="B130" s="660"/>
      <c r="C130" s="344">
        <v>3</v>
      </c>
      <c r="D130" s="227"/>
      <c r="E130" s="182"/>
      <c r="F130" s="344"/>
      <c r="G130" s="347"/>
      <c r="H130" s="702"/>
      <c r="I130" s="199" t="e">
        <f t="shared" si="78"/>
        <v>#DIV/0!</v>
      </c>
      <c r="J130" s="199" t="e">
        <f t="shared" si="78"/>
        <v>#DIV/0!</v>
      </c>
      <c r="K130" s="199" t="e">
        <f t="shared" si="78"/>
        <v>#DIV/0!</v>
      </c>
      <c r="L130" s="714"/>
      <c r="M130" s="199" t="e">
        <f>RANK(K130, K$128:$K$142)</f>
        <v>#DIV/0!</v>
      </c>
    </row>
    <row r="131" spans="2:13">
      <c r="B131" s="660"/>
      <c r="C131" s="344">
        <v>4</v>
      </c>
      <c r="D131" s="227"/>
      <c r="E131" s="182"/>
      <c r="F131" s="344"/>
      <c r="G131" s="347"/>
      <c r="H131" s="702"/>
      <c r="I131" s="199" t="e">
        <f t="shared" si="78"/>
        <v>#DIV/0!</v>
      </c>
      <c r="J131" s="199" t="e">
        <f t="shared" si="78"/>
        <v>#DIV/0!</v>
      </c>
      <c r="K131" s="199" t="e">
        <f t="shared" si="78"/>
        <v>#DIV/0!</v>
      </c>
      <c r="L131" s="714"/>
      <c r="M131" s="199" t="e">
        <f>RANK(K131, K$128:$K$142)</f>
        <v>#DIV/0!</v>
      </c>
    </row>
    <row r="132" spans="2:13">
      <c r="B132" s="660"/>
      <c r="C132" s="344">
        <v>5</v>
      </c>
      <c r="D132" s="227"/>
      <c r="E132" s="182"/>
      <c r="F132" s="344"/>
      <c r="G132" s="347"/>
      <c r="H132" s="702"/>
      <c r="I132" s="199" t="e">
        <f t="shared" si="78"/>
        <v>#DIV/0!</v>
      </c>
      <c r="J132" s="199" t="e">
        <f t="shared" si="78"/>
        <v>#DIV/0!</v>
      </c>
      <c r="K132" s="199" t="e">
        <f t="shared" si="78"/>
        <v>#DIV/0!</v>
      </c>
      <c r="L132" s="714"/>
      <c r="M132" s="199" t="e">
        <f>RANK(K132, K$128:$K$142)</f>
        <v>#DIV/0!</v>
      </c>
    </row>
    <row r="133" spans="2:13">
      <c r="B133" s="660"/>
      <c r="C133" s="344">
        <v>6</v>
      </c>
      <c r="D133" s="353"/>
      <c r="E133" s="182"/>
      <c r="F133" s="344"/>
      <c r="G133" s="347"/>
      <c r="H133" s="702"/>
      <c r="I133" s="199" t="e">
        <f t="shared" si="78"/>
        <v>#DIV/0!</v>
      </c>
      <c r="J133" s="199" t="e">
        <f t="shared" si="78"/>
        <v>#DIV/0!</v>
      </c>
      <c r="K133" s="199" t="e">
        <f t="shared" si="78"/>
        <v>#DIV/0!</v>
      </c>
      <c r="L133" s="714"/>
      <c r="M133" s="199" t="e">
        <f>RANK(K133, K$128:$K$142)</f>
        <v>#DIV/0!</v>
      </c>
    </row>
    <row r="134" spans="2:13">
      <c r="B134" s="660"/>
      <c r="C134" s="344">
        <v>7</v>
      </c>
      <c r="D134" s="227"/>
      <c r="E134" s="182"/>
      <c r="F134" s="344"/>
      <c r="G134" s="347"/>
      <c r="H134" s="702"/>
      <c r="I134" s="199" t="e">
        <f t="shared" si="78"/>
        <v>#DIV/0!</v>
      </c>
      <c r="J134" s="199" t="e">
        <f t="shared" si="78"/>
        <v>#DIV/0!</v>
      </c>
      <c r="K134" s="199" t="e">
        <f t="shared" si="78"/>
        <v>#DIV/0!</v>
      </c>
      <c r="L134" s="714"/>
      <c r="M134" s="199" t="e">
        <f>RANK(K134, K$128:$K$142)</f>
        <v>#DIV/0!</v>
      </c>
    </row>
    <row r="135" spans="2:13">
      <c r="B135" s="660"/>
      <c r="C135" s="344">
        <v>8</v>
      </c>
      <c r="D135" s="227"/>
      <c r="E135" s="182"/>
      <c r="F135" s="344"/>
      <c r="G135" s="347"/>
      <c r="H135" s="702"/>
      <c r="I135" s="199"/>
      <c r="J135" s="199"/>
      <c r="K135" s="199"/>
      <c r="L135" s="714"/>
      <c r="M135" s="199" t="e">
        <f>RANK(K135, K$128:$K$142)</f>
        <v>#DIV/0!</v>
      </c>
    </row>
    <row r="136" spans="2:13">
      <c r="B136" s="660"/>
      <c r="C136" s="344">
        <v>9</v>
      </c>
      <c r="D136" s="227"/>
      <c r="E136" s="344"/>
      <c r="F136" s="344"/>
      <c r="G136" s="344"/>
      <c r="H136" s="702"/>
      <c r="I136" s="199"/>
      <c r="J136" s="199"/>
      <c r="K136" s="199"/>
      <c r="L136" s="714"/>
      <c r="M136" s="199" t="e">
        <f>RANK(K136, K$128:$K$142)</f>
        <v>#DIV/0!</v>
      </c>
    </row>
    <row r="137" spans="2:13">
      <c r="B137" s="660"/>
      <c r="C137" s="344">
        <v>10</v>
      </c>
      <c r="D137" s="227"/>
      <c r="E137" s="344"/>
      <c r="F137" s="344"/>
      <c r="G137" s="344"/>
      <c r="H137" s="702"/>
      <c r="I137" s="199"/>
      <c r="J137" s="199"/>
      <c r="K137" s="199"/>
      <c r="L137" s="714"/>
      <c r="M137" s="199" t="e">
        <f>RANK(K137, K$128:$K$142)</f>
        <v>#DIV/0!</v>
      </c>
    </row>
    <row r="138" spans="2:13">
      <c r="B138" s="660"/>
      <c r="C138" s="344">
        <v>11</v>
      </c>
      <c r="D138" s="227"/>
      <c r="E138" s="344"/>
      <c r="F138" s="344"/>
      <c r="G138" s="344"/>
      <c r="H138" s="702"/>
      <c r="I138" s="199"/>
      <c r="J138" s="199"/>
      <c r="K138" s="199"/>
      <c r="L138" s="714"/>
      <c r="M138" s="199" t="e">
        <f>RANK(K138, K$128:$K$142)</f>
        <v>#DIV/0!</v>
      </c>
    </row>
    <row r="139" spans="2:13">
      <c r="B139" s="660"/>
      <c r="C139" s="344">
        <v>12</v>
      </c>
      <c r="D139" s="227"/>
      <c r="E139" s="344"/>
      <c r="F139" s="344"/>
      <c r="G139" s="344"/>
      <c r="H139" s="702"/>
      <c r="I139" s="199"/>
      <c r="J139" s="199"/>
      <c r="K139" s="199"/>
      <c r="L139" s="714"/>
      <c r="M139" s="199" t="e">
        <f>RANK(K139, K$128:$K$142)</f>
        <v>#DIV/0!</v>
      </c>
    </row>
    <row r="140" spans="2:13">
      <c r="B140" s="660"/>
      <c r="C140" s="344">
        <v>13</v>
      </c>
      <c r="D140" s="227"/>
      <c r="E140" s="344"/>
      <c r="F140" s="344"/>
      <c r="G140" s="344"/>
      <c r="H140" s="702"/>
      <c r="I140" s="199"/>
      <c r="J140" s="199"/>
      <c r="K140" s="199"/>
      <c r="L140" s="714"/>
      <c r="M140" s="199" t="e">
        <f>RANK(K140, K$128:$K$142)</f>
        <v>#DIV/0!</v>
      </c>
    </row>
    <row r="141" spans="2:13">
      <c r="B141" s="660"/>
      <c r="C141" s="344">
        <v>14</v>
      </c>
      <c r="D141" s="227"/>
      <c r="E141" s="344"/>
      <c r="F141" s="344"/>
      <c r="G141" s="344"/>
      <c r="H141" s="702"/>
      <c r="I141" s="199"/>
      <c r="J141" s="199"/>
      <c r="K141" s="199"/>
      <c r="L141" s="714"/>
      <c r="M141" s="199" t="e">
        <f>RANK(K141, K$128:$K$142)</f>
        <v>#DIV/0!</v>
      </c>
    </row>
    <row r="142" spans="2:13">
      <c r="B142" s="660"/>
      <c r="C142" s="344">
        <v>15</v>
      </c>
      <c r="D142" s="227"/>
      <c r="E142" s="344"/>
      <c r="F142" s="344"/>
      <c r="G142" s="344"/>
      <c r="H142" s="703"/>
      <c r="I142" s="199"/>
      <c r="J142" s="199"/>
      <c r="K142" s="199"/>
      <c r="L142" s="715"/>
      <c r="M142" s="19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25" zoomScale="55" zoomScaleNormal="55" workbookViewId="0">
      <pane xSplit="15" topLeftCell="P1" activePane="topRight" state="frozen"/>
      <selection activeCell="P2" sqref="P2:AN2"/>
      <selection pane="topRight" activeCell="AT47" sqref="AT47:AV56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22" t="s">
        <v>332</v>
      </c>
      <c r="C1" s="221">
        <f>AVERAGE(L7,L27,L47,L67,L87,L107)</f>
        <v>250.60178249244078</v>
      </c>
    </row>
    <row r="2" spans="1:54" ht="15.75">
      <c r="A2" s="81"/>
      <c r="B2" s="664" t="s">
        <v>163</v>
      </c>
      <c r="C2" s="664"/>
      <c r="D2" s="664"/>
      <c r="E2" s="664"/>
      <c r="F2" s="664"/>
      <c r="G2" s="664"/>
      <c r="H2" s="664"/>
      <c r="I2" s="310"/>
      <c r="J2" s="310"/>
      <c r="K2" s="310"/>
      <c r="L2" s="310"/>
      <c r="M2" s="197"/>
      <c r="N2" s="653" t="s">
        <v>156</v>
      </c>
      <c r="O2" s="653" t="s">
        <v>155</v>
      </c>
      <c r="P2" s="710"/>
      <c r="Q2" s="711"/>
      <c r="R2" s="711"/>
      <c r="S2" s="711"/>
      <c r="T2" s="712"/>
      <c r="U2" s="659"/>
      <c r="V2" s="660"/>
      <c r="W2" s="660"/>
      <c r="X2" s="660"/>
      <c r="Y2" s="660"/>
      <c r="Z2" s="659"/>
      <c r="AA2" s="660"/>
      <c r="AB2" s="660"/>
      <c r="AC2" s="660"/>
      <c r="AD2" s="660"/>
      <c r="AE2" s="659"/>
      <c r="AF2" s="660"/>
      <c r="AG2" s="660"/>
      <c r="AH2" s="660"/>
      <c r="AI2" s="660"/>
      <c r="AJ2" s="659"/>
      <c r="AK2" s="660"/>
      <c r="AL2" s="660"/>
      <c r="AM2" s="660"/>
      <c r="AN2" s="660"/>
      <c r="AO2" s="659">
        <v>46054</v>
      </c>
      <c r="AP2" s="660"/>
      <c r="AQ2" s="660"/>
      <c r="AR2" s="660"/>
      <c r="AS2" s="660"/>
      <c r="AT2" s="659">
        <f>AO2+1</f>
        <v>46055</v>
      </c>
      <c r="AU2" s="660"/>
      <c r="AV2" s="660"/>
      <c r="AW2" s="660"/>
      <c r="AX2" s="660"/>
    </row>
    <row r="3" spans="1:54" ht="15.75">
      <c r="A3" s="81"/>
      <c r="B3" s="683"/>
      <c r="C3" s="683"/>
      <c r="D3" s="683"/>
      <c r="E3" s="683"/>
      <c r="F3" s="683"/>
      <c r="G3" s="683"/>
      <c r="H3" s="683"/>
      <c r="I3" s="311"/>
      <c r="J3" s="311"/>
      <c r="K3" s="311"/>
      <c r="L3" s="311"/>
      <c r="M3" s="198"/>
      <c r="N3" s="655"/>
      <c r="O3" s="655"/>
      <c r="P3" s="656" t="s">
        <v>158</v>
      </c>
      <c r="Q3" s="657"/>
      <c r="R3" s="657"/>
      <c r="S3" s="657"/>
      <c r="T3" s="658"/>
      <c r="U3" s="656" t="s">
        <v>114</v>
      </c>
      <c r="V3" s="657"/>
      <c r="W3" s="657"/>
      <c r="X3" s="657"/>
      <c r="Y3" s="658"/>
      <c r="Z3" s="656" t="s">
        <v>159</v>
      </c>
      <c r="AA3" s="657"/>
      <c r="AB3" s="657"/>
      <c r="AC3" s="657"/>
      <c r="AD3" s="658"/>
      <c r="AE3" s="656" t="s">
        <v>157</v>
      </c>
      <c r="AF3" s="657"/>
      <c r="AG3" s="657"/>
      <c r="AH3" s="657"/>
      <c r="AI3" s="658"/>
      <c r="AJ3" s="656" t="s">
        <v>160</v>
      </c>
      <c r="AK3" s="657"/>
      <c r="AL3" s="657"/>
      <c r="AM3" s="657"/>
      <c r="AN3" s="658"/>
      <c r="AO3" s="656" t="s">
        <v>161</v>
      </c>
      <c r="AP3" s="657"/>
      <c r="AQ3" s="657"/>
      <c r="AR3" s="657"/>
      <c r="AS3" s="658"/>
      <c r="AT3" s="656" t="s">
        <v>162</v>
      </c>
      <c r="AU3" s="657"/>
      <c r="AV3" s="657"/>
      <c r="AW3" s="657"/>
      <c r="AX3" s="658"/>
    </row>
    <row r="4" spans="1:54">
      <c r="A4" s="81"/>
      <c r="B4" s="652" t="s">
        <v>154</v>
      </c>
      <c r="C4" s="652" t="s">
        <v>441</v>
      </c>
      <c r="D4" s="652"/>
      <c r="E4" s="652" t="s">
        <v>474</v>
      </c>
      <c r="F4" s="652"/>
      <c r="G4" s="652"/>
      <c r="H4" s="668" t="s">
        <v>428</v>
      </c>
      <c r="I4" s="652" t="s">
        <v>476</v>
      </c>
      <c r="J4" s="652"/>
      <c r="K4" s="652"/>
      <c r="L4" s="668" t="s">
        <v>428</v>
      </c>
      <c r="M4" s="653" t="s">
        <v>429</v>
      </c>
      <c r="N4" s="652"/>
      <c r="O4" s="652" t="s">
        <v>478</v>
      </c>
      <c r="P4" s="649" t="s">
        <v>430</v>
      </c>
      <c r="Q4" s="650"/>
      <c r="R4" s="650"/>
      <c r="S4" s="651"/>
      <c r="T4" s="652" t="s">
        <v>428</v>
      </c>
      <c r="U4" s="649" t="s">
        <v>430</v>
      </c>
      <c r="V4" s="650"/>
      <c r="W4" s="650"/>
      <c r="X4" s="651"/>
      <c r="Y4" s="652" t="s">
        <v>428</v>
      </c>
      <c r="Z4" s="649" t="s">
        <v>430</v>
      </c>
      <c r="AA4" s="650"/>
      <c r="AB4" s="650"/>
      <c r="AC4" s="651"/>
      <c r="AD4" s="652" t="s">
        <v>428</v>
      </c>
      <c r="AE4" s="649" t="s">
        <v>430</v>
      </c>
      <c r="AF4" s="650"/>
      <c r="AG4" s="650"/>
      <c r="AH4" s="651"/>
      <c r="AI4" s="652" t="s">
        <v>428</v>
      </c>
      <c r="AJ4" s="649" t="s">
        <v>430</v>
      </c>
      <c r="AK4" s="650"/>
      <c r="AL4" s="650"/>
      <c r="AM4" s="651"/>
      <c r="AN4" s="652" t="s">
        <v>428</v>
      </c>
      <c r="AO4" s="649" t="s">
        <v>430</v>
      </c>
      <c r="AP4" s="650"/>
      <c r="AQ4" s="650"/>
      <c r="AR4" s="651"/>
      <c r="AS4" s="652" t="s">
        <v>428</v>
      </c>
      <c r="AT4" s="649" t="s">
        <v>430</v>
      </c>
      <c r="AU4" s="650"/>
      <c r="AV4" s="650"/>
      <c r="AW4" s="651"/>
      <c r="AX4" s="652" t="s">
        <v>428</v>
      </c>
    </row>
    <row r="5" spans="1:54">
      <c r="A5" s="81"/>
      <c r="B5" s="652"/>
      <c r="C5" s="652"/>
      <c r="D5" s="652"/>
      <c r="E5" s="652" t="s">
        <v>435</v>
      </c>
      <c r="F5" s="652"/>
      <c r="G5" s="652"/>
      <c r="H5" s="669"/>
      <c r="I5" s="652" t="s">
        <v>435</v>
      </c>
      <c r="J5" s="652"/>
      <c r="K5" s="652"/>
      <c r="L5" s="669"/>
      <c r="M5" s="654"/>
      <c r="N5" s="652"/>
      <c r="O5" s="652"/>
      <c r="P5" s="649" t="s">
        <v>853</v>
      </c>
      <c r="Q5" s="650"/>
      <c r="R5" s="650"/>
      <c r="S5" s="651"/>
      <c r="T5" s="652"/>
      <c r="U5" s="649" t="s">
        <v>853</v>
      </c>
      <c r="V5" s="650"/>
      <c r="W5" s="650"/>
      <c r="X5" s="651"/>
      <c r="Y5" s="652"/>
      <c r="Z5" s="649" t="s">
        <v>853</v>
      </c>
      <c r="AA5" s="650"/>
      <c r="AB5" s="650"/>
      <c r="AC5" s="651"/>
      <c r="AD5" s="652"/>
      <c r="AE5" s="649" t="s">
        <v>853</v>
      </c>
      <c r="AF5" s="650"/>
      <c r="AG5" s="650"/>
      <c r="AH5" s="651"/>
      <c r="AI5" s="652"/>
      <c r="AJ5" s="649" t="s">
        <v>853</v>
      </c>
      <c r="AK5" s="650"/>
      <c r="AL5" s="650"/>
      <c r="AM5" s="651"/>
      <c r="AN5" s="652"/>
      <c r="AO5" s="649" t="s">
        <v>853</v>
      </c>
      <c r="AP5" s="650"/>
      <c r="AQ5" s="650"/>
      <c r="AR5" s="651"/>
      <c r="AS5" s="652"/>
      <c r="AT5" s="649" t="s">
        <v>853</v>
      </c>
      <c r="AU5" s="650"/>
      <c r="AV5" s="650"/>
      <c r="AW5" s="651"/>
      <c r="AX5" s="652"/>
    </row>
    <row r="6" spans="1:54">
      <c r="A6" s="79"/>
      <c r="B6" s="652"/>
      <c r="C6" s="652"/>
      <c r="D6" s="652"/>
      <c r="E6" s="518" t="s">
        <v>437</v>
      </c>
      <c r="F6" s="518" t="s">
        <v>855</v>
      </c>
      <c r="G6" s="518" t="s">
        <v>856</v>
      </c>
      <c r="H6" s="670"/>
      <c r="I6" s="518" t="s">
        <v>437</v>
      </c>
      <c r="J6" s="518" t="s">
        <v>855</v>
      </c>
      <c r="K6" s="518" t="s">
        <v>856</v>
      </c>
      <c r="L6" s="670"/>
      <c r="M6" s="655"/>
      <c r="N6" s="652"/>
      <c r="O6" s="652"/>
      <c r="P6" s="518" t="s">
        <v>437</v>
      </c>
      <c r="Q6" s="518" t="s">
        <v>855</v>
      </c>
      <c r="R6" s="518" t="s">
        <v>856</v>
      </c>
      <c r="S6" s="518" t="s">
        <v>429</v>
      </c>
      <c r="T6" s="652"/>
      <c r="U6" s="518" t="s">
        <v>437</v>
      </c>
      <c r="V6" s="518" t="s">
        <v>855</v>
      </c>
      <c r="W6" s="518" t="s">
        <v>856</v>
      </c>
      <c r="X6" s="518" t="s">
        <v>429</v>
      </c>
      <c r="Y6" s="652"/>
      <c r="Z6" s="518" t="s">
        <v>437</v>
      </c>
      <c r="AA6" s="518" t="s">
        <v>855</v>
      </c>
      <c r="AB6" s="518" t="s">
        <v>856</v>
      </c>
      <c r="AC6" s="518" t="s">
        <v>429</v>
      </c>
      <c r="AD6" s="652"/>
      <c r="AE6" s="518" t="s">
        <v>437</v>
      </c>
      <c r="AF6" s="518" t="s">
        <v>855</v>
      </c>
      <c r="AG6" s="518" t="s">
        <v>856</v>
      </c>
      <c r="AH6" s="518" t="s">
        <v>429</v>
      </c>
      <c r="AI6" s="652"/>
      <c r="AJ6" s="518" t="s">
        <v>437</v>
      </c>
      <c r="AK6" s="518" t="s">
        <v>855</v>
      </c>
      <c r="AL6" s="518" t="s">
        <v>856</v>
      </c>
      <c r="AM6" s="518" t="s">
        <v>429</v>
      </c>
      <c r="AN6" s="652"/>
      <c r="AO6" s="518" t="s">
        <v>437</v>
      </c>
      <c r="AP6" s="518" t="s">
        <v>855</v>
      </c>
      <c r="AQ6" s="518" t="s">
        <v>856</v>
      </c>
      <c r="AR6" s="518" t="s">
        <v>429</v>
      </c>
      <c r="AS6" s="652"/>
      <c r="AT6" s="518" t="s">
        <v>437</v>
      </c>
      <c r="AU6" s="518" t="s">
        <v>855</v>
      </c>
      <c r="AV6" s="518" t="s">
        <v>856</v>
      </c>
      <c r="AW6" s="518" t="s">
        <v>429</v>
      </c>
      <c r="AX6" s="652"/>
    </row>
    <row r="7" spans="1:54">
      <c r="A7" s="81"/>
      <c r="B7" s="700" t="s">
        <v>858</v>
      </c>
      <c r="C7" s="519">
        <v>1</v>
      </c>
      <c r="D7" s="502" t="s">
        <v>398</v>
      </c>
      <c r="E7" s="522">
        <v>4</v>
      </c>
      <c r="F7" s="522">
        <v>2000</v>
      </c>
      <c r="G7" s="522">
        <v>500</v>
      </c>
      <c r="H7" s="696">
        <f>AVERAGE(G7:G21)</f>
        <v>291.83148148148149</v>
      </c>
      <c r="I7" s="522">
        <f>AVERAGE(P7,U7,Z7,AE7,AJ7,AO7,AT7)</f>
        <v>5</v>
      </c>
      <c r="J7" s="522">
        <f>AVERAGE(Q7,V7,AA7,AF7,AK7,AP7,AU7)</f>
        <v>2136.0206659012629</v>
      </c>
      <c r="K7" s="517">
        <f>AVERAGE(R7,W7,AB7,AG7,AL7,AQ7,AV7)</f>
        <v>427.2041331802526</v>
      </c>
      <c r="L7" s="696">
        <f>AVERAGE(K7:K21)</f>
        <v>253.86024978438491</v>
      </c>
      <c r="M7" s="522">
        <f>RANK(K7, K$7:$K$21)</f>
        <v>3</v>
      </c>
      <c r="N7" s="652"/>
      <c r="O7" s="652"/>
      <c r="P7" s="519"/>
      <c r="Q7" s="522"/>
      <c r="R7" s="522"/>
      <c r="S7" s="519" t="e">
        <f>RANK(R7, R$7:R$21)</f>
        <v>#N/A</v>
      </c>
      <c r="T7" s="699" t="e">
        <f>AVERAGE(R7:R21)</f>
        <v>#DIV/0!</v>
      </c>
      <c r="U7" s="556"/>
      <c r="V7" s="558"/>
      <c r="W7" s="558"/>
      <c r="X7" s="519" t="e">
        <f>RANK(W7, W$7:W$21)</f>
        <v>#N/A</v>
      </c>
      <c r="Y7" s="699" t="e">
        <f t="shared" ref="Y7" si="0">AVERAGE(W7:W21)</f>
        <v>#DIV/0!</v>
      </c>
      <c r="Z7" s="556"/>
      <c r="AA7" s="558"/>
      <c r="AB7" s="558"/>
      <c r="AC7" s="519" t="e">
        <f>RANK(AB7, AB$7:AB$21)</f>
        <v>#N/A</v>
      </c>
      <c r="AD7" s="699" t="e">
        <f t="shared" ref="AD7" si="1">AVERAGE(AB7:AB21)</f>
        <v>#DIV/0!</v>
      </c>
      <c r="AE7" s="556"/>
      <c r="AF7" s="558"/>
      <c r="AG7" s="558"/>
      <c r="AH7" s="519" t="e">
        <f>RANK(AG7, AG$7:AG$21)</f>
        <v>#N/A</v>
      </c>
      <c r="AI7" s="699" t="e">
        <f t="shared" ref="AI7" si="2">AVERAGE(AG7:AG21)</f>
        <v>#DIV/0!</v>
      </c>
      <c r="AJ7" s="556"/>
      <c r="AK7" s="558"/>
      <c r="AL7" s="558"/>
      <c r="AM7" s="519" t="e">
        <f>RANK(AL7, AL$7:AL$21)</f>
        <v>#N/A</v>
      </c>
      <c r="AN7" s="699" t="e">
        <f t="shared" ref="AN7" si="3">AVERAGE(AL7:AL21)</f>
        <v>#DIV/0!</v>
      </c>
      <c r="AO7" s="556">
        <v>5</v>
      </c>
      <c r="AP7" s="558">
        <v>2128.6567164179105</v>
      </c>
      <c r="AQ7" s="558">
        <v>425.73134328358208</v>
      </c>
      <c r="AR7" s="519">
        <f>RANK(AQ7, AQ$7:AQ$21)</f>
        <v>3</v>
      </c>
      <c r="AS7" s="699">
        <f t="shared" ref="AS7" si="4">AVERAGE(AQ7:AQ21)</f>
        <v>252.49998289950057</v>
      </c>
      <c r="AT7" s="556">
        <v>5</v>
      </c>
      <c r="AU7" s="558">
        <v>2143.3846153846152</v>
      </c>
      <c r="AV7" s="558">
        <v>428.67692307692306</v>
      </c>
      <c r="AW7" s="519">
        <f>RANK(AV7, AV$7:AV$21)</f>
        <v>2</v>
      </c>
      <c r="AX7" s="699">
        <f t="shared" ref="AX7" si="5">AVERAGE(AV7:AV21)</f>
        <v>255.22051666926927</v>
      </c>
      <c r="AZ7" s="363" t="e">
        <f>RANK(AX7, $K$7:AX$21)</f>
        <v>#N/A</v>
      </c>
      <c r="BB7" s="360" t="e">
        <f>RANK(BA7, BA$7:BA$21)</f>
        <v>#N/A</v>
      </c>
    </row>
    <row r="8" spans="1:54" ht="15" customHeight="1">
      <c r="A8" s="81"/>
      <c r="B8" s="685"/>
      <c r="C8" s="519">
        <v>2</v>
      </c>
      <c r="D8" s="502" t="s">
        <v>513</v>
      </c>
      <c r="E8" s="522">
        <v>4</v>
      </c>
      <c r="F8" s="522">
        <v>2000</v>
      </c>
      <c r="G8" s="522">
        <v>500</v>
      </c>
      <c r="H8" s="697"/>
      <c r="I8" s="522">
        <f t="shared" ref="I8:I17" si="6">AVERAGE(P8,U8,Z8,AE8,AJ8,AO8,AT8)</f>
        <v>5</v>
      </c>
      <c r="J8" s="522">
        <f t="shared" ref="J8:J17" si="7">AVERAGE(Q8,V8,AA8,AF8,AK8,AP8,AU8)</f>
        <v>2165.3117433414054</v>
      </c>
      <c r="K8" s="517">
        <f t="shared" ref="K8:K17" si="8">AVERAGE(R8,W8,AB8,AG8,AL8,AQ8,AV8)</f>
        <v>433.06234866828106</v>
      </c>
      <c r="L8" s="697"/>
      <c r="M8" s="522">
        <f>RANK(K8, K$7:$K$21)</f>
        <v>2</v>
      </c>
      <c r="N8" s="652"/>
      <c r="O8" s="652"/>
      <c r="P8" s="519"/>
      <c r="Q8" s="522"/>
      <c r="R8" s="522"/>
      <c r="S8" s="519" t="e">
        <f t="shared" ref="S8:S21" si="9">RANK(R8, R$7:R$21)</f>
        <v>#N/A</v>
      </c>
      <c r="T8" s="699"/>
      <c r="U8" s="556"/>
      <c r="V8" s="558"/>
      <c r="W8" s="558"/>
      <c r="X8" s="519" t="e">
        <f t="shared" ref="X8:X21" si="10">RANK(W8, W$7:W$21)</f>
        <v>#N/A</v>
      </c>
      <c r="Y8" s="699"/>
      <c r="Z8" s="556"/>
      <c r="AA8" s="558"/>
      <c r="AB8" s="558"/>
      <c r="AC8" s="519" t="e">
        <f t="shared" ref="AC8:AC21" si="11">RANK(AB8, AB$7:AB$21)</f>
        <v>#N/A</v>
      </c>
      <c r="AD8" s="699"/>
      <c r="AE8" s="556"/>
      <c r="AF8" s="558"/>
      <c r="AG8" s="558"/>
      <c r="AH8" s="519" t="e">
        <f t="shared" ref="AH8:AH21" si="12">RANK(AG8, AG$7:AG$21)</f>
        <v>#N/A</v>
      </c>
      <c r="AI8" s="699"/>
      <c r="AJ8" s="556"/>
      <c r="AK8" s="558"/>
      <c r="AL8" s="558"/>
      <c r="AM8" s="519" t="e">
        <f t="shared" ref="AM8:AM21" si="13">RANK(AL8, AL$7:AL$21)</f>
        <v>#N/A</v>
      </c>
      <c r="AN8" s="699"/>
      <c r="AO8" s="556">
        <v>5</v>
      </c>
      <c r="AP8" s="558">
        <v>2188.9285714285729</v>
      </c>
      <c r="AQ8" s="558">
        <v>437.78571428571456</v>
      </c>
      <c r="AR8" s="519">
        <f t="shared" ref="AR8:AR21" si="14">RANK(AQ8, AQ$7:AQ$21)</f>
        <v>1</v>
      </c>
      <c r="AS8" s="699"/>
      <c r="AT8" s="556">
        <v>5</v>
      </c>
      <c r="AU8" s="558">
        <v>2141.6949152542375</v>
      </c>
      <c r="AV8" s="558">
        <v>428.3389830508475</v>
      </c>
      <c r="AW8" s="519">
        <f t="shared" ref="AW8:AW21" si="15">RANK(AV8, AV$7:AV$21)</f>
        <v>3</v>
      </c>
      <c r="AX8" s="699"/>
      <c r="AZ8" s="363" t="e">
        <f>RANK(AX8, $K$7:AX$21)</f>
        <v>#N/A</v>
      </c>
      <c r="BB8" s="360" t="e">
        <f t="shared" ref="BB8:BB21" si="16">RANK(BA8, BA$7:BA$21)</f>
        <v>#N/A</v>
      </c>
    </row>
    <row r="9" spans="1:54">
      <c r="A9" s="81"/>
      <c r="B9" s="685"/>
      <c r="C9" s="519">
        <v>3</v>
      </c>
      <c r="D9" s="502" t="s">
        <v>399</v>
      </c>
      <c r="E9" s="522">
        <v>13</v>
      </c>
      <c r="F9" s="522">
        <v>2250</v>
      </c>
      <c r="G9" s="522">
        <v>160.69999999999999</v>
      </c>
      <c r="H9" s="697"/>
      <c r="I9" s="522">
        <f t="shared" si="6"/>
        <v>13</v>
      </c>
      <c r="J9" s="522">
        <f t="shared" si="7"/>
        <v>1987.1206896551728</v>
      </c>
      <c r="K9" s="517">
        <f t="shared" si="8"/>
        <v>152.85543766578252</v>
      </c>
      <c r="L9" s="697"/>
      <c r="M9" s="522">
        <f>RANK(K9, K$7:$K$21)</f>
        <v>11</v>
      </c>
      <c r="N9" s="652"/>
      <c r="O9" s="652"/>
      <c r="P9" s="519"/>
      <c r="Q9" s="522"/>
      <c r="R9" s="522"/>
      <c r="S9" s="519" t="e">
        <f t="shared" si="9"/>
        <v>#N/A</v>
      </c>
      <c r="T9" s="699"/>
      <c r="U9" s="556"/>
      <c r="V9" s="558"/>
      <c r="W9" s="558"/>
      <c r="X9" s="519" t="e">
        <f t="shared" si="10"/>
        <v>#N/A</v>
      </c>
      <c r="Y9" s="699"/>
      <c r="Z9" s="556"/>
      <c r="AA9" s="558"/>
      <c r="AB9" s="558"/>
      <c r="AC9" s="519" t="e">
        <f t="shared" si="11"/>
        <v>#N/A</v>
      </c>
      <c r="AD9" s="699"/>
      <c r="AE9" s="556"/>
      <c r="AF9" s="558"/>
      <c r="AG9" s="558"/>
      <c r="AH9" s="519" t="e">
        <f t="shared" si="12"/>
        <v>#N/A</v>
      </c>
      <c r="AI9" s="699"/>
      <c r="AJ9" s="556"/>
      <c r="AK9" s="558"/>
      <c r="AL9" s="558"/>
      <c r="AM9" s="519" t="e">
        <f t="shared" si="13"/>
        <v>#N/A</v>
      </c>
      <c r="AN9" s="699"/>
      <c r="AO9" s="556">
        <v>13</v>
      </c>
      <c r="AP9" s="558">
        <v>1987.2413793103451</v>
      </c>
      <c r="AQ9" s="558">
        <v>152.86472148541117</v>
      </c>
      <c r="AR9" s="519">
        <f t="shared" si="14"/>
        <v>11</v>
      </c>
      <c r="AS9" s="699"/>
      <c r="AT9" s="556">
        <v>13</v>
      </c>
      <c r="AU9" s="558">
        <v>1987.0000000000005</v>
      </c>
      <c r="AV9" s="558">
        <v>152.84615384615387</v>
      </c>
      <c r="AW9" s="519">
        <f t="shared" si="15"/>
        <v>11</v>
      </c>
      <c r="AX9" s="699"/>
      <c r="AZ9" s="363" t="e">
        <f>RANK(AX9, $K$7:AX$21)</f>
        <v>#N/A</v>
      </c>
      <c r="BB9" s="360" t="e">
        <f t="shared" si="16"/>
        <v>#N/A</v>
      </c>
    </row>
    <row r="10" spans="1:54">
      <c r="A10" s="81"/>
      <c r="B10" s="685"/>
      <c r="C10" s="519">
        <v>4</v>
      </c>
      <c r="D10" s="502" t="s">
        <v>400</v>
      </c>
      <c r="E10" s="522">
        <v>12</v>
      </c>
      <c r="F10" s="522">
        <v>2250</v>
      </c>
      <c r="G10" s="522">
        <v>176.5</v>
      </c>
      <c r="H10" s="697"/>
      <c r="I10" s="522">
        <f t="shared" si="6"/>
        <v>12</v>
      </c>
      <c r="J10" s="522">
        <f t="shared" si="7"/>
        <v>1951.3432835820909</v>
      </c>
      <c r="K10" s="517">
        <f t="shared" si="8"/>
        <v>162.61194029850756</v>
      </c>
      <c r="L10" s="697"/>
      <c r="M10" s="522">
        <f>RANK(K10, K$7:$K$21)</f>
        <v>10</v>
      </c>
      <c r="N10" s="652"/>
      <c r="O10" s="652"/>
      <c r="P10" s="519"/>
      <c r="Q10" s="522"/>
      <c r="R10" s="522"/>
      <c r="S10" s="519" t="e">
        <f t="shared" si="9"/>
        <v>#N/A</v>
      </c>
      <c r="T10" s="699"/>
      <c r="U10" s="556"/>
      <c r="V10" s="558"/>
      <c r="W10" s="558"/>
      <c r="X10" s="519" t="e">
        <f t="shared" si="10"/>
        <v>#N/A</v>
      </c>
      <c r="Y10" s="699"/>
      <c r="Z10" s="556"/>
      <c r="AA10" s="558"/>
      <c r="AB10" s="558"/>
      <c r="AC10" s="519" t="e">
        <f t="shared" si="11"/>
        <v>#N/A</v>
      </c>
      <c r="AD10" s="699"/>
      <c r="AE10" s="556"/>
      <c r="AF10" s="558"/>
      <c r="AG10" s="558"/>
      <c r="AH10" s="519" t="e">
        <f t="shared" si="12"/>
        <v>#N/A</v>
      </c>
      <c r="AI10" s="699"/>
      <c r="AJ10" s="556"/>
      <c r="AK10" s="558"/>
      <c r="AL10" s="558"/>
      <c r="AM10" s="519" t="e">
        <f t="shared" si="13"/>
        <v>#N/A</v>
      </c>
      <c r="AN10" s="699"/>
      <c r="AO10" s="556">
        <v>12</v>
      </c>
      <c r="AP10" s="558">
        <v>1941.492537313434</v>
      </c>
      <c r="AQ10" s="558">
        <v>161.79104477611949</v>
      </c>
      <c r="AR10" s="519">
        <f t="shared" si="14"/>
        <v>10</v>
      </c>
      <c r="AS10" s="699"/>
      <c r="AT10" s="556">
        <v>12</v>
      </c>
      <c r="AU10" s="558">
        <v>1961.1940298507475</v>
      </c>
      <c r="AV10" s="558">
        <v>163.43283582089563</v>
      </c>
      <c r="AW10" s="519">
        <f t="shared" si="15"/>
        <v>10</v>
      </c>
      <c r="AX10" s="699"/>
      <c r="AZ10" s="363" t="e">
        <f>RANK(AX10, $K$7:AX$21)</f>
        <v>#N/A</v>
      </c>
      <c r="BB10" s="360" t="e">
        <f t="shared" si="16"/>
        <v>#N/A</v>
      </c>
    </row>
    <row r="11" spans="1:54">
      <c r="A11" s="81"/>
      <c r="B11" s="685"/>
      <c r="C11" s="519">
        <v>5</v>
      </c>
      <c r="D11" s="502" t="s">
        <v>401</v>
      </c>
      <c r="E11" s="522">
        <v>12</v>
      </c>
      <c r="F11" s="522">
        <v>2250</v>
      </c>
      <c r="G11" s="522">
        <v>187.5</v>
      </c>
      <c r="H11" s="697"/>
      <c r="I11" s="522">
        <f t="shared" si="6"/>
        <v>12</v>
      </c>
      <c r="J11" s="522">
        <f t="shared" si="7"/>
        <v>2202.624666920442</v>
      </c>
      <c r="K11" s="517">
        <f t="shared" si="8"/>
        <v>183.55205557670348</v>
      </c>
      <c r="L11" s="697"/>
      <c r="M11" s="522">
        <f>RANK(K11, K$7:$K$21)</f>
        <v>8</v>
      </c>
      <c r="N11" s="652"/>
      <c r="O11" s="652"/>
      <c r="P11" s="519"/>
      <c r="Q11" s="522"/>
      <c r="R11" s="522"/>
      <c r="S11" s="519" t="e">
        <f t="shared" si="9"/>
        <v>#N/A</v>
      </c>
      <c r="T11" s="699"/>
      <c r="U11" s="556"/>
      <c r="V11" s="558"/>
      <c r="W11" s="558"/>
      <c r="X11" s="519" t="e">
        <f t="shared" si="10"/>
        <v>#N/A</v>
      </c>
      <c r="Y11" s="699"/>
      <c r="Z11" s="556"/>
      <c r="AA11" s="558"/>
      <c r="AB11" s="558"/>
      <c r="AC11" s="519" t="e">
        <f t="shared" si="11"/>
        <v>#N/A</v>
      </c>
      <c r="AD11" s="699"/>
      <c r="AE11" s="556"/>
      <c r="AF11" s="558"/>
      <c r="AG11" s="558"/>
      <c r="AH11" s="519" t="e">
        <f t="shared" si="12"/>
        <v>#N/A</v>
      </c>
      <c r="AI11" s="699"/>
      <c r="AJ11" s="556"/>
      <c r="AK11" s="558"/>
      <c r="AL11" s="558"/>
      <c r="AM11" s="519" t="e">
        <f t="shared" si="13"/>
        <v>#N/A</v>
      </c>
      <c r="AN11" s="699"/>
      <c r="AO11" s="556">
        <v>12</v>
      </c>
      <c r="AP11" s="558">
        <v>2162.4324324324321</v>
      </c>
      <c r="AQ11" s="558">
        <v>180.20270270270268</v>
      </c>
      <c r="AR11" s="519">
        <f t="shared" si="14"/>
        <v>8</v>
      </c>
      <c r="AS11" s="699"/>
      <c r="AT11" s="556">
        <v>12</v>
      </c>
      <c r="AU11" s="558">
        <v>2242.8169014084515</v>
      </c>
      <c r="AV11" s="558">
        <v>186.90140845070428</v>
      </c>
      <c r="AW11" s="519">
        <f t="shared" si="15"/>
        <v>7</v>
      </c>
      <c r="AX11" s="699"/>
      <c r="AZ11" s="363" t="e">
        <f>RANK(AX11, $K$7:AX$21)</f>
        <v>#N/A</v>
      </c>
      <c r="BB11" s="360" t="e">
        <f t="shared" si="16"/>
        <v>#N/A</v>
      </c>
    </row>
    <row r="12" spans="1:54">
      <c r="A12" s="81"/>
      <c r="B12" s="685"/>
      <c r="C12" s="519">
        <v>6</v>
      </c>
      <c r="D12" s="502" t="s">
        <v>402</v>
      </c>
      <c r="E12" s="522">
        <v>13</v>
      </c>
      <c r="F12" s="522">
        <v>2250</v>
      </c>
      <c r="G12" s="522">
        <v>173</v>
      </c>
      <c r="H12" s="697"/>
      <c r="I12" s="522">
        <f t="shared" si="6"/>
        <v>13</v>
      </c>
      <c r="J12" s="522">
        <f t="shared" si="7"/>
        <v>2179.4523809523807</v>
      </c>
      <c r="K12" s="517">
        <f t="shared" si="8"/>
        <v>167.65018315018315</v>
      </c>
      <c r="L12" s="697"/>
      <c r="M12" s="522">
        <f>RANK(K12, K$7:$K$21)</f>
        <v>9</v>
      </c>
      <c r="N12" s="652"/>
      <c r="O12" s="652"/>
      <c r="P12" s="519"/>
      <c r="Q12" s="522"/>
      <c r="R12" s="522"/>
      <c r="S12" s="519" t="e">
        <f t="shared" si="9"/>
        <v>#N/A</v>
      </c>
      <c r="T12" s="699"/>
      <c r="U12" s="556"/>
      <c r="V12" s="558"/>
      <c r="W12" s="558"/>
      <c r="X12" s="519" t="e">
        <f t="shared" si="10"/>
        <v>#N/A</v>
      </c>
      <c r="Y12" s="699"/>
      <c r="Z12" s="556"/>
      <c r="AA12" s="558"/>
      <c r="AB12" s="558"/>
      <c r="AC12" s="519" t="e">
        <f t="shared" si="11"/>
        <v>#N/A</v>
      </c>
      <c r="AD12" s="699"/>
      <c r="AE12" s="556"/>
      <c r="AF12" s="558"/>
      <c r="AG12" s="558"/>
      <c r="AH12" s="519" t="e">
        <f t="shared" si="12"/>
        <v>#N/A</v>
      </c>
      <c r="AI12" s="699"/>
      <c r="AJ12" s="556"/>
      <c r="AK12" s="558"/>
      <c r="AL12" s="558"/>
      <c r="AM12" s="519" t="e">
        <f t="shared" si="13"/>
        <v>#N/A</v>
      </c>
      <c r="AN12" s="699"/>
      <c r="AO12" s="556">
        <v>13</v>
      </c>
      <c r="AP12" s="558">
        <v>2198.3333333333339</v>
      </c>
      <c r="AQ12" s="558">
        <v>169.10256410256414</v>
      </c>
      <c r="AR12" s="519">
        <f t="shared" si="14"/>
        <v>9</v>
      </c>
      <c r="AS12" s="699"/>
      <c r="AT12" s="556">
        <v>13</v>
      </c>
      <c r="AU12" s="558">
        <v>2160.571428571428</v>
      </c>
      <c r="AV12" s="558">
        <v>166.19780219780216</v>
      </c>
      <c r="AW12" s="519">
        <f t="shared" si="15"/>
        <v>9</v>
      </c>
      <c r="AX12" s="699"/>
      <c r="AZ12" s="363" t="e">
        <f>RANK(AX12, $K$7:AX$21)</f>
        <v>#N/A</v>
      </c>
      <c r="BB12" s="360" t="e">
        <f t="shared" si="16"/>
        <v>#N/A</v>
      </c>
    </row>
    <row r="13" spans="1:54">
      <c r="A13" s="81"/>
      <c r="B13" s="685"/>
      <c r="C13" s="519">
        <v>7</v>
      </c>
      <c r="D13" s="502" t="s">
        <v>403</v>
      </c>
      <c r="E13" s="522">
        <v>10</v>
      </c>
      <c r="F13" s="522">
        <v>2250</v>
      </c>
      <c r="G13" s="522">
        <v>225</v>
      </c>
      <c r="H13" s="697"/>
      <c r="I13" s="522">
        <f t="shared" si="6"/>
        <v>10</v>
      </c>
      <c r="J13" s="522">
        <f t="shared" si="7"/>
        <v>2016.1086206896543</v>
      </c>
      <c r="K13" s="517">
        <f t="shared" si="8"/>
        <v>201.61086206896545</v>
      </c>
      <c r="L13" s="697"/>
      <c r="M13" s="522">
        <f>RANK(K13, K$7:$K$21)</f>
        <v>6</v>
      </c>
      <c r="N13" s="652"/>
      <c r="O13" s="652"/>
      <c r="P13" s="519"/>
      <c r="Q13" s="522"/>
      <c r="R13" s="522"/>
      <c r="S13" s="519" t="e">
        <f t="shared" si="9"/>
        <v>#N/A</v>
      </c>
      <c r="T13" s="699"/>
      <c r="U13" s="556"/>
      <c r="V13" s="558"/>
      <c r="W13" s="558"/>
      <c r="X13" s="519" t="e">
        <f t="shared" si="10"/>
        <v>#N/A</v>
      </c>
      <c r="Y13" s="699"/>
      <c r="Z13" s="556"/>
      <c r="AA13" s="558"/>
      <c r="AB13" s="558"/>
      <c r="AC13" s="519" t="e">
        <f t="shared" si="11"/>
        <v>#N/A</v>
      </c>
      <c r="AD13" s="699"/>
      <c r="AE13" s="556"/>
      <c r="AF13" s="558"/>
      <c r="AG13" s="558"/>
      <c r="AH13" s="519" t="e">
        <f t="shared" si="12"/>
        <v>#N/A</v>
      </c>
      <c r="AI13" s="699"/>
      <c r="AJ13" s="556"/>
      <c r="AK13" s="558"/>
      <c r="AL13" s="558"/>
      <c r="AM13" s="519" t="e">
        <f t="shared" si="13"/>
        <v>#N/A</v>
      </c>
      <c r="AN13" s="699"/>
      <c r="AO13" s="556">
        <v>10</v>
      </c>
      <c r="AP13" s="558">
        <v>2001.5172413793098</v>
      </c>
      <c r="AQ13" s="558">
        <v>200.15172413793098</v>
      </c>
      <c r="AR13" s="519">
        <f t="shared" si="14"/>
        <v>6</v>
      </c>
      <c r="AS13" s="699"/>
      <c r="AT13" s="556">
        <v>10</v>
      </c>
      <c r="AU13" s="558">
        <v>2030.6999999999991</v>
      </c>
      <c r="AV13" s="558">
        <v>203.06999999999991</v>
      </c>
      <c r="AW13" s="519">
        <f t="shared" si="15"/>
        <v>6</v>
      </c>
      <c r="AX13" s="699"/>
      <c r="AZ13" s="363" t="e">
        <f>RANK(AX13, $K$7:AX$21)</f>
        <v>#N/A</v>
      </c>
      <c r="BB13" s="360" t="e">
        <f t="shared" si="16"/>
        <v>#N/A</v>
      </c>
    </row>
    <row r="14" spans="1:54">
      <c r="A14" s="81"/>
      <c r="B14" s="685"/>
      <c r="C14" s="519">
        <v>8</v>
      </c>
      <c r="D14" s="502" t="s">
        <v>397</v>
      </c>
      <c r="E14" s="522">
        <v>18</v>
      </c>
      <c r="F14" s="522">
        <v>1250</v>
      </c>
      <c r="G14" s="522">
        <v>69.444444444444443</v>
      </c>
      <c r="H14" s="697"/>
      <c r="I14" s="522">
        <f t="shared" si="6"/>
        <v>13</v>
      </c>
      <c r="J14" s="522">
        <f t="shared" si="7"/>
        <v>1258.1250000000005</v>
      </c>
      <c r="K14" s="517">
        <f t="shared" si="8"/>
        <v>96.778846153846189</v>
      </c>
      <c r="L14" s="697"/>
      <c r="M14" s="522">
        <f>RANK(K14, K$7:$K$21)</f>
        <v>12</v>
      </c>
      <c r="N14" s="652"/>
      <c r="O14" s="652"/>
      <c r="P14" s="519"/>
      <c r="Q14" s="522"/>
      <c r="R14" s="522"/>
      <c r="S14" s="519" t="e">
        <f t="shared" si="9"/>
        <v>#N/A</v>
      </c>
      <c r="T14" s="699"/>
      <c r="U14" s="556"/>
      <c r="V14" s="558"/>
      <c r="W14" s="558"/>
      <c r="X14" s="519" t="e">
        <f t="shared" si="10"/>
        <v>#N/A</v>
      </c>
      <c r="Y14" s="699"/>
      <c r="Z14" s="556"/>
      <c r="AA14" s="558"/>
      <c r="AB14" s="558"/>
      <c r="AC14" s="519" t="e">
        <f t="shared" si="11"/>
        <v>#N/A</v>
      </c>
      <c r="AD14" s="699"/>
      <c r="AE14" s="556"/>
      <c r="AF14" s="558"/>
      <c r="AG14" s="558"/>
      <c r="AH14" s="519" t="e">
        <f t="shared" si="12"/>
        <v>#N/A</v>
      </c>
      <c r="AI14" s="699"/>
      <c r="AJ14" s="556"/>
      <c r="AK14" s="558"/>
      <c r="AL14" s="558"/>
      <c r="AM14" s="519" t="e">
        <f t="shared" si="13"/>
        <v>#N/A</v>
      </c>
      <c r="AN14" s="699"/>
      <c r="AO14" s="556">
        <v>13</v>
      </c>
      <c r="AP14" s="558">
        <v>1254.0000000000005</v>
      </c>
      <c r="AQ14" s="558">
        <v>96.461538461538495</v>
      </c>
      <c r="AR14" s="519">
        <f t="shared" si="14"/>
        <v>12</v>
      </c>
      <c r="AS14" s="699"/>
      <c r="AT14" s="556">
        <v>13</v>
      </c>
      <c r="AU14" s="558">
        <v>1262.2500000000007</v>
      </c>
      <c r="AV14" s="558">
        <v>97.096153846153896</v>
      </c>
      <c r="AW14" s="519">
        <f t="shared" si="15"/>
        <v>12</v>
      </c>
      <c r="AX14" s="699"/>
      <c r="AZ14" s="363" t="e">
        <f>RANK(AX14, $K$7:AX$21)</f>
        <v>#N/A</v>
      </c>
      <c r="BB14" s="360" t="e">
        <f t="shared" si="16"/>
        <v>#N/A</v>
      </c>
    </row>
    <row r="15" spans="1:54">
      <c r="A15" s="81"/>
      <c r="B15" s="685"/>
      <c r="C15" s="519">
        <v>9</v>
      </c>
      <c r="D15" s="502" t="s">
        <v>810</v>
      </c>
      <c r="E15" s="522">
        <v>6</v>
      </c>
      <c r="F15" s="522">
        <v>2000</v>
      </c>
      <c r="G15" s="522">
        <v>333.33333333333331</v>
      </c>
      <c r="H15" s="697"/>
      <c r="I15" s="522">
        <f t="shared" si="6"/>
        <v>7</v>
      </c>
      <c r="J15" s="522">
        <f t="shared" si="7"/>
        <v>1751.2299465240662</v>
      </c>
      <c r="K15" s="517">
        <f t="shared" si="8"/>
        <v>250.17570664629517</v>
      </c>
      <c r="L15" s="697"/>
      <c r="M15" s="522">
        <f>RANK(K15, K$7:$K$21)</f>
        <v>5</v>
      </c>
      <c r="N15" s="652"/>
      <c r="O15" s="652"/>
      <c r="P15" s="519"/>
      <c r="Q15" s="522"/>
      <c r="R15" s="522"/>
      <c r="S15" s="519" t="e">
        <f t="shared" si="9"/>
        <v>#N/A</v>
      </c>
      <c r="T15" s="699"/>
      <c r="U15" s="556"/>
      <c r="V15" s="558"/>
      <c r="W15" s="558"/>
      <c r="X15" s="519" t="e">
        <f t="shared" si="10"/>
        <v>#N/A</v>
      </c>
      <c r="Y15" s="699"/>
      <c r="Z15" s="556"/>
      <c r="AA15" s="558"/>
      <c r="AB15" s="558"/>
      <c r="AC15" s="519" t="e">
        <f t="shared" si="11"/>
        <v>#N/A</v>
      </c>
      <c r="AD15" s="699"/>
      <c r="AE15" s="556"/>
      <c r="AF15" s="558"/>
      <c r="AG15" s="558"/>
      <c r="AH15" s="519" t="e">
        <f t="shared" si="12"/>
        <v>#N/A</v>
      </c>
      <c r="AI15" s="699"/>
      <c r="AJ15" s="556"/>
      <c r="AK15" s="558"/>
      <c r="AL15" s="558"/>
      <c r="AM15" s="519" t="e">
        <f t="shared" si="13"/>
        <v>#N/A</v>
      </c>
      <c r="AN15" s="699"/>
      <c r="AO15" s="556">
        <v>7</v>
      </c>
      <c r="AP15" s="558">
        <v>1723.6363636363699</v>
      </c>
      <c r="AQ15" s="558">
        <v>246.23376623376711</v>
      </c>
      <c r="AR15" s="519">
        <f t="shared" si="14"/>
        <v>5</v>
      </c>
      <c r="AS15" s="699"/>
      <c r="AT15" s="556">
        <v>7</v>
      </c>
      <c r="AU15" s="558">
        <v>1778.8235294117624</v>
      </c>
      <c r="AV15" s="558">
        <v>254.1176470588232</v>
      </c>
      <c r="AW15" s="519">
        <f t="shared" si="15"/>
        <v>5</v>
      </c>
      <c r="AX15" s="699"/>
      <c r="AZ15" s="363" t="e">
        <f>RANK(AX15, $K$7:AX$21)</f>
        <v>#N/A</v>
      </c>
      <c r="BB15" s="360" t="e">
        <f t="shared" si="16"/>
        <v>#N/A</v>
      </c>
    </row>
    <row r="16" spans="1:54">
      <c r="A16" s="81"/>
      <c r="B16" s="685"/>
      <c r="C16" s="519">
        <v>10</v>
      </c>
      <c r="D16" s="502" t="s">
        <v>821</v>
      </c>
      <c r="E16" s="522">
        <v>4</v>
      </c>
      <c r="F16" s="522">
        <v>2000</v>
      </c>
      <c r="G16" s="522">
        <v>500</v>
      </c>
      <c r="H16" s="697"/>
      <c r="I16" s="522">
        <f t="shared" si="6"/>
        <v>5</v>
      </c>
      <c r="J16" s="522">
        <f t="shared" si="7"/>
        <v>1757.2500000000061</v>
      </c>
      <c r="K16" s="517">
        <f t="shared" si="8"/>
        <v>351.45000000000124</v>
      </c>
      <c r="L16" s="697"/>
      <c r="M16" s="522">
        <f>RANK(K16, K$7:$K$21)</f>
        <v>4</v>
      </c>
      <c r="N16" s="652"/>
      <c r="O16" s="652"/>
      <c r="P16" s="519"/>
      <c r="Q16" s="522"/>
      <c r="R16" s="522"/>
      <c r="S16" s="519" t="e">
        <f t="shared" si="9"/>
        <v>#N/A</v>
      </c>
      <c r="T16" s="699"/>
      <c r="U16" s="556"/>
      <c r="V16" s="558"/>
      <c r="W16" s="558"/>
      <c r="X16" s="519" t="e">
        <f t="shared" si="10"/>
        <v>#N/A</v>
      </c>
      <c r="Y16" s="699"/>
      <c r="Z16" s="556"/>
      <c r="AA16" s="558"/>
      <c r="AB16" s="558"/>
      <c r="AC16" s="519" t="e">
        <f t="shared" si="11"/>
        <v>#N/A</v>
      </c>
      <c r="AD16" s="699"/>
      <c r="AE16" s="556"/>
      <c r="AF16" s="558"/>
      <c r="AG16" s="558"/>
      <c r="AH16" s="519" t="e">
        <f t="shared" si="12"/>
        <v>#N/A</v>
      </c>
      <c r="AI16" s="699"/>
      <c r="AJ16" s="556"/>
      <c r="AK16" s="558"/>
      <c r="AL16" s="558"/>
      <c r="AM16" s="519" t="e">
        <f t="shared" si="13"/>
        <v>#N/A</v>
      </c>
      <c r="AN16" s="699"/>
      <c r="AO16" s="556">
        <v>5</v>
      </c>
      <c r="AP16" s="558">
        <v>1702.5000000000059</v>
      </c>
      <c r="AQ16" s="558">
        <v>340.50000000000119</v>
      </c>
      <c r="AR16" s="519">
        <f t="shared" si="14"/>
        <v>4</v>
      </c>
      <c r="AS16" s="699"/>
      <c r="AT16" s="556">
        <v>5</v>
      </c>
      <c r="AU16" s="558">
        <v>1812.0000000000064</v>
      </c>
      <c r="AV16" s="558">
        <v>362.40000000000128</v>
      </c>
      <c r="AW16" s="519">
        <f t="shared" si="15"/>
        <v>4</v>
      </c>
      <c r="AX16" s="699"/>
      <c r="AZ16" s="363" t="e">
        <f>RANK(AX16, $K$7:AX$21)</f>
        <v>#N/A</v>
      </c>
      <c r="BB16" s="360" t="e">
        <f t="shared" si="16"/>
        <v>#N/A</v>
      </c>
    </row>
    <row r="17" spans="2:54">
      <c r="B17" s="685"/>
      <c r="C17" s="519">
        <v>11</v>
      </c>
      <c r="D17" s="502" t="s">
        <v>829</v>
      </c>
      <c r="E17" s="522">
        <v>12</v>
      </c>
      <c r="F17" s="522">
        <v>2250</v>
      </c>
      <c r="G17" s="522">
        <v>176.5</v>
      </c>
      <c r="H17" s="697"/>
      <c r="I17" s="522">
        <f t="shared" si="6"/>
        <v>12</v>
      </c>
      <c r="J17" s="522">
        <f t="shared" si="7"/>
        <v>2212.2006651884694</v>
      </c>
      <c r="K17" s="517">
        <f t="shared" si="8"/>
        <v>184.35005543237244</v>
      </c>
      <c r="L17" s="697"/>
      <c r="M17" s="522">
        <f>RANK(K17, K$7:$K$21)</f>
        <v>7</v>
      </c>
      <c r="N17" s="652"/>
      <c r="O17" s="652"/>
      <c r="P17" s="519"/>
      <c r="Q17" s="522"/>
      <c r="R17" s="522"/>
      <c r="S17" s="519" t="e">
        <f t="shared" si="9"/>
        <v>#N/A</v>
      </c>
      <c r="T17" s="699"/>
      <c r="U17" s="556"/>
      <c r="V17" s="558"/>
      <c r="W17" s="558"/>
      <c r="X17" s="519" t="e">
        <f t="shared" si="10"/>
        <v>#N/A</v>
      </c>
      <c r="Y17" s="699"/>
      <c r="Z17" s="556"/>
      <c r="AA17" s="558"/>
      <c r="AB17" s="558"/>
      <c r="AC17" s="519" t="e">
        <f t="shared" si="11"/>
        <v>#N/A</v>
      </c>
      <c r="AD17" s="699"/>
      <c r="AE17" s="556"/>
      <c r="AF17" s="558"/>
      <c r="AG17" s="558"/>
      <c r="AH17" s="519" t="e">
        <f t="shared" si="12"/>
        <v>#N/A</v>
      </c>
      <c r="AI17" s="699"/>
      <c r="AJ17" s="556"/>
      <c r="AK17" s="558"/>
      <c r="AL17" s="558"/>
      <c r="AM17" s="519" t="e">
        <f t="shared" si="13"/>
        <v>#N/A</v>
      </c>
      <c r="AN17" s="699"/>
      <c r="AO17" s="556">
        <v>12</v>
      </c>
      <c r="AP17" s="558">
        <v>2213.181818181818</v>
      </c>
      <c r="AQ17" s="558">
        <v>184.43181818181816</v>
      </c>
      <c r="AR17" s="519">
        <f t="shared" si="14"/>
        <v>7</v>
      </c>
      <c r="AS17" s="699"/>
      <c r="AT17" s="556">
        <v>12</v>
      </c>
      <c r="AU17" s="558">
        <v>2211.2195121951208</v>
      </c>
      <c r="AV17" s="558">
        <v>184.26829268292673</v>
      </c>
      <c r="AW17" s="519">
        <f t="shared" si="15"/>
        <v>8</v>
      </c>
      <c r="AX17" s="699"/>
      <c r="AZ17" s="363" t="e">
        <f>RANK(AX17, $K$7:AX$21)</f>
        <v>#N/A</v>
      </c>
      <c r="BB17" s="360" t="e">
        <f t="shared" si="16"/>
        <v>#N/A</v>
      </c>
    </row>
    <row r="18" spans="2:54">
      <c r="B18" s="685"/>
      <c r="C18" s="519">
        <v>12</v>
      </c>
      <c r="D18" s="502" t="s">
        <v>908</v>
      </c>
      <c r="E18" s="522">
        <v>4</v>
      </c>
      <c r="F18" s="522">
        <v>2000</v>
      </c>
      <c r="G18" s="522">
        <v>500</v>
      </c>
      <c r="H18" s="697"/>
      <c r="I18" s="558">
        <f t="shared" ref="I18" si="17">AVERAGE(P18,U18,Z18,AE18,AJ18,AO18,AT18)</f>
        <v>5</v>
      </c>
      <c r="J18" s="558">
        <f t="shared" ref="J18" si="18">AVERAGE(Q18,V18,AA18,AF18,AK18,AP18,AU18)</f>
        <v>2175.1071428571413</v>
      </c>
      <c r="K18" s="554">
        <f t="shared" ref="K18" si="19">AVERAGE(R18,W18,AB18,AG18,AL18,AQ18,AV18)</f>
        <v>435.02142857142826</v>
      </c>
      <c r="L18" s="697"/>
      <c r="M18" s="522">
        <f>RANK(K18, K$7:$K$21)</f>
        <v>1</v>
      </c>
      <c r="N18" s="652"/>
      <c r="O18" s="652"/>
      <c r="P18" s="519"/>
      <c r="Q18" s="522"/>
      <c r="R18" s="522"/>
      <c r="S18" s="519" t="e">
        <f t="shared" si="9"/>
        <v>#N/A</v>
      </c>
      <c r="T18" s="699"/>
      <c r="U18" s="556"/>
      <c r="V18" s="558"/>
      <c r="W18" s="558"/>
      <c r="X18" s="519" t="e">
        <f t="shared" si="10"/>
        <v>#N/A</v>
      </c>
      <c r="Y18" s="699"/>
      <c r="Z18" s="556"/>
      <c r="AA18" s="558"/>
      <c r="AB18" s="558"/>
      <c r="AC18" s="519" t="e">
        <f t="shared" si="11"/>
        <v>#N/A</v>
      </c>
      <c r="AD18" s="699"/>
      <c r="AE18" s="556"/>
      <c r="AF18" s="558"/>
      <c r="AG18" s="558"/>
      <c r="AH18" s="519" t="e">
        <f t="shared" si="12"/>
        <v>#N/A</v>
      </c>
      <c r="AI18" s="699"/>
      <c r="AJ18" s="556"/>
      <c r="AK18" s="558"/>
      <c r="AL18" s="558"/>
      <c r="AM18" s="519" t="e">
        <f t="shared" si="13"/>
        <v>#N/A</v>
      </c>
      <c r="AN18" s="699"/>
      <c r="AO18" s="556">
        <v>5</v>
      </c>
      <c r="AP18" s="558">
        <v>2173.7142857142835</v>
      </c>
      <c r="AQ18" s="558">
        <v>434.74285714285668</v>
      </c>
      <c r="AR18" s="519">
        <f t="shared" si="14"/>
        <v>2</v>
      </c>
      <c r="AS18" s="699"/>
      <c r="AT18" s="556">
        <v>5</v>
      </c>
      <c r="AU18" s="558">
        <v>2176.4999999999991</v>
      </c>
      <c r="AV18" s="558">
        <v>435.29999999999984</v>
      </c>
      <c r="AW18" s="519">
        <f t="shared" si="15"/>
        <v>1</v>
      </c>
      <c r="AX18" s="699"/>
      <c r="AZ18" s="363" t="e">
        <f>RANK(AX18, $K$7:AX$21)</f>
        <v>#N/A</v>
      </c>
      <c r="BB18" s="360" t="e">
        <f t="shared" si="16"/>
        <v>#N/A</v>
      </c>
    </row>
    <row r="19" spans="2:54">
      <c r="B19" s="685"/>
      <c r="C19" s="519">
        <v>13</v>
      </c>
      <c r="D19" s="502"/>
      <c r="E19" s="522" t="s">
        <v>779</v>
      </c>
      <c r="F19" s="522" t="s">
        <v>779</v>
      </c>
      <c r="G19" s="522" t="s">
        <v>779</v>
      </c>
      <c r="H19" s="697"/>
      <c r="I19" s="522"/>
      <c r="J19" s="522"/>
      <c r="K19" s="517"/>
      <c r="L19" s="697"/>
      <c r="M19" s="522" t="e">
        <f>RANK(K19, K$7:$K$21)</f>
        <v>#N/A</v>
      </c>
      <c r="N19" s="652"/>
      <c r="O19" s="652"/>
      <c r="P19" s="519"/>
      <c r="Q19" s="522"/>
      <c r="R19" s="522"/>
      <c r="S19" s="519" t="e">
        <f t="shared" si="9"/>
        <v>#N/A</v>
      </c>
      <c r="T19" s="699"/>
      <c r="U19" s="556"/>
      <c r="V19" s="558"/>
      <c r="W19" s="558"/>
      <c r="X19" s="519" t="e">
        <f t="shared" si="10"/>
        <v>#N/A</v>
      </c>
      <c r="Y19" s="699"/>
      <c r="Z19" s="556"/>
      <c r="AA19" s="558"/>
      <c r="AB19" s="558"/>
      <c r="AC19" s="519" t="e">
        <f t="shared" si="11"/>
        <v>#N/A</v>
      </c>
      <c r="AD19" s="699"/>
      <c r="AE19" s="556"/>
      <c r="AF19" s="558"/>
      <c r="AG19" s="558"/>
      <c r="AH19" s="519" t="e">
        <f t="shared" si="12"/>
        <v>#N/A</v>
      </c>
      <c r="AI19" s="699"/>
      <c r="AJ19" s="556"/>
      <c r="AK19" s="558"/>
      <c r="AL19" s="558"/>
      <c r="AM19" s="519" t="e">
        <f t="shared" si="13"/>
        <v>#N/A</v>
      </c>
      <c r="AN19" s="699"/>
      <c r="AO19" s="556"/>
      <c r="AP19" s="558"/>
      <c r="AQ19" s="558"/>
      <c r="AR19" s="519" t="e">
        <f t="shared" si="14"/>
        <v>#N/A</v>
      </c>
      <c r="AS19" s="699"/>
      <c r="AT19" s="556"/>
      <c r="AU19" s="558"/>
      <c r="AV19" s="558"/>
      <c r="AW19" s="519" t="e">
        <f t="shared" si="15"/>
        <v>#N/A</v>
      </c>
      <c r="AX19" s="699"/>
      <c r="AZ19" s="363" t="e">
        <f>RANK(AX19, $K$7:AX$21)</f>
        <v>#N/A</v>
      </c>
      <c r="BB19" s="360" t="e">
        <f t="shared" si="16"/>
        <v>#N/A</v>
      </c>
    </row>
    <row r="20" spans="2:54">
      <c r="B20" s="685"/>
      <c r="C20" s="519">
        <v>14</v>
      </c>
      <c r="D20" s="502"/>
      <c r="E20" s="522" t="s">
        <v>779</v>
      </c>
      <c r="F20" s="522" t="s">
        <v>779</v>
      </c>
      <c r="G20" s="522" t="s">
        <v>779</v>
      </c>
      <c r="H20" s="697"/>
      <c r="I20" s="522"/>
      <c r="J20" s="522"/>
      <c r="K20" s="517"/>
      <c r="L20" s="697"/>
      <c r="M20" s="522" t="e">
        <f>RANK(K20, K$7:$K$21)</f>
        <v>#N/A</v>
      </c>
      <c r="N20" s="652"/>
      <c r="O20" s="652"/>
      <c r="P20" s="519"/>
      <c r="Q20" s="522"/>
      <c r="R20" s="522"/>
      <c r="S20" s="519" t="e">
        <f t="shared" si="9"/>
        <v>#N/A</v>
      </c>
      <c r="T20" s="699"/>
      <c r="U20" s="556"/>
      <c r="V20" s="558"/>
      <c r="W20" s="558"/>
      <c r="X20" s="519" t="e">
        <f t="shared" si="10"/>
        <v>#N/A</v>
      </c>
      <c r="Y20" s="699"/>
      <c r="Z20" s="556"/>
      <c r="AA20" s="558"/>
      <c r="AB20" s="558"/>
      <c r="AC20" s="519" t="e">
        <f t="shared" si="11"/>
        <v>#N/A</v>
      </c>
      <c r="AD20" s="699"/>
      <c r="AE20" s="556"/>
      <c r="AF20" s="558"/>
      <c r="AG20" s="558"/>
      <c r="AH20" s="519" t="e">
        <f t="shared" si="12"/>
        <v>#N/A</v>
      </c>
      <c r="AI20" s="699"/>
      <c r="AJ20" s="556"/>
      <c r="AK20" s="558"/>
      <c r="AL20" s="558"/>
      <c r="AM20" s="519" t="e">
        <f t="shared" si="13"/>
        <v>#N/A</v>
      </c>
      <c r="AN20" s="699"/>
      <c r="AO20" s="556"/>
      <c r="AP20" s="558"/>
      <c r="AQ20" s="558"/>
      <c r="AR20" s="519" t="e">
        <f t="shared" si="14"/>
        <v>#N/A</v>
      </c>
      <c r="AS20" s="699"/>
      <c r="AT20" s="556"/>
      <c r="AU20" s="558"/>
      <c r="AV20" s="558"/>
      <c r="AW20" s="519" t="e">
        <f t="shared" si="15"/>
        <v>#N/A</v>
      </c>
      <c r="AX20" s="699"/>
      <c r="AZ20" s="363" t="e">
        <f>RANK(AX20, $K$7:AX$21)</f>
        <v>#N/A</v>
      </c>
      <c r="BB20" s="360" t="e">
        <f t="shared" si="16"/>
        <v>#N/A</v>
      </c>
    </row>
    <row r="21" spans="2:54">
      <c r="B21" s="685"/>
      <c r="C21" s="519">
        <v>15</v>
      </c>
      <c r="D21" s="502"/>
      <c r="E21" s="522" t="s">
        <v>779</v>
      </c>
      <c r="F21" s="522" t="s">
        <v>779</v>
      </c>
      <c r="G21" s="522" t="s">
        <v>779</v>
      </c>
      <c r="H21" s="709"/>
      <c r="I21" s="522"/>
      <c r="J21" s="522"/>
      <c r="K21" s="517"/>
      <c r="L21" s="709"/>
      <c r="M21" s="522" t="e">
        <f>RANK(K21, K$7:$K$21)</f>
        <v>#N/A</v>
      </c>
      <c r="N21" s="652"/>
      <c r="O21" s="652"/>
      <c r="P21" s="519"/>
      <c r="Q21" s="522"/>
      <c r="R21" s="522"/>
      <c r="S21" s="519" t="e">
        <f t="shared" si="9"/>
        <v>#N/A</v>
      </c>
      <c r="T21" s="699"/>
      <c r="U21" s="556"/>
      <c r="V21" s="558"/>
      <c r="W21" s="558"/>
      <c r="X21" s="519" t="e">
        <f t="shared" si="10"/>
        <v>#N/A</v>
      </c>
      <c r="Y21" s="699"/>
      <c r="Z21" s="556"/>
      <c r="AA21" s="558"/>
      <c r="AB21" s="558"/>
      <c r="AC21" s="519" t="e">
        <f t="shared" si="11"/>
        <v>#N/A</v>
      </c>
      <c r="AD21" s="699"/>
      <c r="AE21" s="556"/>
      <c r="AF21" s="558"/>
      <c r="AG21" s="558"/>
      <c r="AH21" s="519" t="e">
        <f t="shared" si="12"/>
        <v>#N/A</v>
      </c>
      <c r="AI21" s="699"/>
      <c r="AJ21" s="556"/>
      <c r="AK21" s="558"/>
      <c r="AL21" s="558"/>
      <c r="AM21" s="519" t="e">
        <f t="shared" si="13"/>
        <v>#N/A</v>
      </c>
      <c r="AN21" s="699"/>
      <c r="AO21" s="556"/>
      <c r="AP21" s="558"/>
      <c r="AQ21" s="558"/>
      <c r="AR21" s="519" t="e">
        <f t="shared" si="14"/>
        <v>#N/A</v>
      </c>
      <c r="AS21" s="699"/>
      <c r="AT21" s="556"/>
      <c r="AU21" s="558"/>
      <c r="AV21" s="558"/>
      <c r="AW21" s="519" t="e">
        <f t="shared" si="15"/>
        <v>#N/A</v>
      </c>
      <c r="AX21" s="699"/>
      <c r="AZ21" s="362" t="e">
        <f>RANK(AX21, $K$7:AX$21)</f>
        <v>#N/A</v>
      </c>
      <c r="BB21" s="360" t="e">
        <f t="shared" si="16"/>
        <v>#N/A</v>
      </c>
    </row>
    <row r="22" spans="2:54" ht="15.75">
      <c r="B22" s="678" t="s">
        <v>163</v>
      </c>
      <c r="C22" s="679"/>
      <c r="D22" s="679"/>
      <c r="E22" s="679"/>
      <c r="F22" s="679"/>
      <c r="G22" s="679"/>
      <c r="H22" s="679"/>
      <c r="I22" s="203"/>
      <c r="J22" s="203"/>
      <c r="K22" s="203"/>
      <c r="L22" s="203"/>
      <c r="M22" s="204"/>
      <c r="N22" s="653" t="s">
        <v>156</v>
      </c>
      <c r="O22" s="653" t="s">
        <v>105</v>
      </c>
      <c r="P22" s="659">
        <v>46056</v>
      </c>
      <c r="Q22" s="660"/>
      <c r="R22" s="660"/>
      <c r="S22" s="660"/>
      <c r="T22" s="660"/>
      <c r="U22" s="659">
        <f>P22+1</f>
        <v>46057</v>
      </c>
      <c r="V22" s="660"/>
      <c r="W22" s="660"/>
      <c r="X22" s="660"/>
      <c r="Y22" s="660"/>
      <c r="Z22" s="659">
        <f>U22+1</f>
        <v>46058</v>
      </c>
      <c r="AA22" s="660"/>
      <c r="AB22" s="660"/>
      <c r="AC22" s="660"/>
      <c r="AD22" s="660"/>
      <c r="AE22" s="659">
        <f>Z22+1</f>
        <v>46059</v>
      </c>
      <c r="AF22" s="660"/>
      <c r="AG22" s="660"/>
      <c r="AH22" s="660"/>
      <c r="AI22" s="660"/>
      <c r="AJ22" s="659">
        <f>AE22+1</f>
        <v>46060</v>
      </c>
      <c r="AK22" s="660"/>
      <c r="AL22" s="660"/>
      <c r="AM22" s="660"/>
      <c r="AN22" s="660"/>
      <c r="AO22" s="659">
        <f>AJ22+1</f>
        <v>46061</v>
      </c>
      <c r="AP22" s="660"/>
      <c r="AQ22" s="660"/>
      <c r="AR22" s="660"/>
      <c r="AS22" s="660"/>
      <c r="AT22" s="659">
        <f>AO22+1</f>
        <v>46062</v>
      </c>
      <c r="AU22" s="660"/>
      <c r="AV22" s="660"/>
      <c r="AW22" s="660"/>
      <c r="AX22" s="660"/>
    </row>
    <row r="23" spans="2:54" ht="15.75">
      <c r="B23" s="667"/>
      <c r="C23" s="667"/>
      <c r="D23" s="667"/>
      <c r="E23" s="667"/>
      <c r="F23" s="667"/>
      <c r="G23" s="667"/>
      <c r="H23" s="667"/>
      <c r="I23" s="205"/>
      <c r="J23" s="205"/>
      <c r="K23" s="205"/>
      <c r="L23" s="205"/>
      <c r="M23" s="206"/>
      <c r="N23" s="655"/>
      <c r="O23" s="655"/>
      <c r="P23" s="659" t="s">
        <v>336</v>
      </c>
      <c r="Q23" s="660"/>
      <c r="R23" s="660"/>
      <c r="S23" s="660"/>
      <c r="T23" s="660"/>
      <c r="U23" s="659" t="s">
        <v>337</v>
      </c>
      <c r="V23" s="660"/>
      <c r="W23" s="660"/>
      <c r="X23" s="660"/>
      <c r="Y23" s="660"/>
      <c r="Z23" s="659" t="s">
        <v>338</v>
      </c>
      <c r="AA23" s="660"/>
      <c r="AB23" s="660"/>
      <c r="AC23" s="660"/>
      <c r="AD23" s="660"/>
      <c r="AE23" s="659" t="s">
        <v>339</v>
      </c>
      <c r="AF23" s="660"/>
      <c r="AG23" s="660"/>
      <c r="AH23" s="660"/>
      <c r="AI23" s="660"/>
      <c r="AJ23" s="659" t="s">
        <v>340</v>
      </c>
      <c r="AK23" s="660"/>
      <c r="AL23" s="660"/>
      <c r="AM23" s="660"/>
      <c r="AN23" s="660"/>
      <c r="AO23" s="659" t="s">
        <v>341</v>
      </c>
      <c r="AP23" s="660"/>
      <c r="AQ23" s="660"/>
      <c r="AR23" s="660"/>
      <c r="AS23" s="660"/>
      <c r="AT23" s="659" t="s">
        <v>342</v>
      </c>
      <c r="AU23" s="660"/>
      <c r="AV23" s="660"/>
      <c r="AW23" s="660"/>
      <c r="AX23" s="660"/>
    </row>
    <row r="24" spans="2:54">
      <c r="B24" s="652" t="s">
        <v>431</v>
      </c>
      <c r="C24" s="652" t="s">
        <v>441</v>
      </c>
      <c r="D24" s="652"/>
      <c r="E24" s="652" t="s">
        <v>432</v>
      </c>
      <c r="F24" s="652"/>
      <c r="G24" s="652"/>
      <c r="H24" s="668" t="s">
        <v>428</v>
      </c>
      <c r="I24" s="636" t="s">
        <v>433</v>
      </c>
      <c r="J24" s="636"/>
      <c r="K24" s="636"/>
      <c r="L24" s="637" t="s">
        <v>428</v>
      </c>
      <c r="M24" s="643" t="s">
        <v>429</v>
      </c>
      <c r="N24" s="652"/>
      <c r="O24" s="652" t="s">
        <v>434</v>
      </c>
      <c r="P24" s="649" t="s">
        <v>901</v>
      </c>
      <c r="Q24" s="650"/>
      <c r="R24" s="650"/>
      <c r="S24" s="651"/>
      <c r="T24" s="652" t="s">
        <v>897</v>
      </c>
      <c r="U24" s="649" t="s">
        <v>901</v>
      </c>
      <c r="V24" s="650"/>
      <c r="W24" s="650"/>
      <c r="X24" s="651"/>
      <c r="Y24" s="652" t="s">
        <v>897</v>
      </c>
      <c r="Z24" s="649" t="s">
        <v>901</v>
      </c>
      <c r="AA24" s="650"/>
      <c r="AB24" s="650"/>
      <c r="AC24" s="651"/>
      <c r="AD24" s="652" t="s">
        <v>897</v>
      </c>
      <c r="AE24" s="649" t="s">
        <v>901</v>
      </c>
      <c r="AF24" s="650"/>
      <c r="AG24" s="650"/>
      <c r="AH24" s="651"/>
      <c r="AI24" s="652" t="s">
        <v>897</v>
      </c>
      <c r="AJ24" s="649" t="s">
        <v>901</v>
      </c>
      <c r="AK24" s="650"/>
      <c r="AL24" s="650"/>
      <c r="AM24" s="651"/>
      <c r="AN24" s="652" t="s">
        <v>897</v>
      </c>
      <c r="AO24" s="649" t="s">
        <v>901</v>
      </c>
      <c r="AP24" s="650"/>
      <c r="AQ24" s="650"/>
      <c r="AR24" s="651"/>
      <c r="AS24" s="652" t="s">
        <v>897</v>
      </c>
      <c r="AT24" s="649" t="s">
        <v>901</v>
      </c>
      <c r="AU24" s="650"/>
      <c r="AV24" s="650"/>
      <c r="AW24" s="651"/>
      <c r="AX24" s="652" t="s">
        <v>897</v>
      </c>
    </row>
    <row r="25" spans="2:54">
      <c r="B25" s="652"/>
      <c r="C25" s="652"/>
      <c r="D25" s="652"/>
      <c r="E25" s="652" t="s">
        <v>435</v>
      </c>
      <c r="F25" s="652"/>
      <c r="G25" s="652"/>
      <c r="H25" s="669"/>
      <c r="I25" s="636" t="s">
        <v>435</v>
      </c>
      <c r="J25" s="636"/>
      <c r="K25" s="636"/>
      <c r="L25" s="638"/>
      <c r="M25" s="644"/>
      <c r="N25" s="652"/>
      <c r="O25" s="652"/>
      <c r="P25" s="649" t="s">
        <v>903</v>
      </c>
      <c r="Q25" s="650"/>
      <c r="R25" s="650"/>
      <c r="S25" s="651"/>
      <c r="T25" s="652"/>
      <c r="U25" s="649" t="s">
        <v>903</v>
      </c>
      <c r="V25" s="650"/>
      <c r="W25" s="650"/>
      <c r="X25" s="651"/>
      <c r="Y25" s="652"/>
      <c r="Z25" s="649" t="s">
        <v>903</v>
      </c>
      <c r="AA25" s="650"/>
      <c r="AB25" s="650"/>
      <c r="AC25" s="651"/>
      <c r="AD25" s="652"/>
      <c r="AE25" s="649" t="s">
        <v>903</v>
      </c>
      <c r="AF25" s="650"/>
      <c r="AG25" s="650"/>
      <c r="AH25" s="651"/>
      <c r="AI25" s="652"/>
      <c r="AJ25" s="649" t="s">
        <v>903</v>
      </c>
      <c r="AK25" s="650"/>
      <c r="AL25" s="650"/>
      <c r="AM25" s="651"/>
      <c r="AN25" s="652"/>
      <c r="AO25" s="649" t="s">
        <v>903</v>
      </c>
      <c r="AP25" s="650"/>
      <c r="AQ25" s="650"/>
      <c r="AR25" s="651"/>
      <c r="AS25" s="652"/>
      <c r="AT25" s="649" t="s">
        <v>903</v>
      </c>
      <c r="AU25" s="650"/>
      <c r="AV25" s="650"/>
      <c r="AW25" s="651"/>
      <c r="AX25" s="652"/>
    </row>
    <row r="26" spans="2:54">
      <c r="B26" s="652"/>
      <c r="C26" s="652"/>
      <c r="D26" s="652"/>
      <c r="E26" s="308" t="s">
        <v>437</v>
      </c>
      <c r="F26" s="308" t="s">
        <v>438</v>
      </c>
      <c r="G26" s="308" t="s">
        <v>439</v>
      </c>
      <c r="H26" s="670"/>
      <c r="I26" s="307" t="s">
        <v>437</v>
      </c>
      <c r="J26" s="307" t="s">
        <v>438</v>
      </c>
      <c r="K26" s="307" t="s">
        <v>439</v>
      </c>
      <c r="L26" s="639"/>
      <c r="M26" s="645"/>
      <c r="N26" s="652"/>
      <c r="O26" s="652"/>
      <c r="P26" s="525" t="s">
        <v>904</v>
      </c>
      <c r="Q26" s="525" t="s">
        <v>905</v>
      </c>
      <c r="R26" s="525" t="s">
        <v>906</v>
      </c>
      <c r="S26" s="525" t="s">
        <v>899</v>
      </c>
      <c r="T26" s="652"/>
      <c r="U26" s="525" t="s">
        <v>904</v>
      </c>
      <c r="V26" s="525" t="s">
        <v>905</v>
      </c>
      <c r="W26" s="525" t="s">
        <v>906</v>
      </c>
      <c r="X26" s="525" t="s">
        <v>899</v>
      </c>
      <c r="Y26" s="652"/>
      <c r="Z26" s="525" t="s">
        <v>904</v>
      </c>
      <c r="AA26" s="525" t="s">
        <v>905</v>
      </c>
      <c r="AB26" s="525" t="s">
        <v>906</v>
      </c>
      <c r="AC26" s="525" t="s">
        <v>899</v>
      </c>
      <c r="AD26" s="652"/>
      <c r="AE26" s="525" t="s">
        <v>904</v>
      </c>
      <c r="AF26" s="525" t="s">
        <v>905</v>
      </c>
      <c r="AG26" s="525" t="s">
        <v>906</v>
      </c>
      <c r="AH26" s="525" t="s">
        <v>899</v>
      </c>
      <c r="AI26" s="652"/>
      <c r="AJ26" s="525" t="s">
        <v>904</v>
      </c>
      <c r="AK26" s="525" t="s">
        <v>905</v>
      </c>
      <c r="AL26" s="525" t="s">
        <v>906</v>
      </c>
      <c r="AM26" s="525" t="s">
        <v>899</v>
      </c>
      <c r="AN26" s="652"/>
      <c r="AO26" s="525" t="s">
        <v>904</v>
      </c>
      <c r="AP26" s="525" t="s">
        <v>905</v>
      </c>
      <c r="AQ26" s="525" t="s">
        <v>906</v>
      </c>
      <c r="AR26" s="525" t="s">
        <v>899</v>
      </c>
      <c r="AS26" s="652"/>
      <c r="AT26" s="525" t="s">
        <v>904</v>
      </c>
      <c r="AU26" s="525" t="s">
        <v>905</v>
      </c>
      <c r="AV26" s="525" t="s">
        <v>906</v>
      </c>
      <c r="AW26" s="525" t="s">
        <v>899</v>
      </c>
      <c r="AX26" s="652"/>
    </row>
    <row r="27" spans="2:54">
      <c r="B27" s="700" t="s">
        <v>440</v>
      </c>
      <c r="C27" s="309">
        <v>1</v>
      </c>
      <c r="D27" s="227" t="s">
        <v>398</v>
      </c>
      <c r="E27" s="182">
        <v>4</v>
      </c>
      <c r="F27" s="309">
        <v>2000</v>
      </c>
      <c r="G27" s="312">
        <v>500</v>
      </c>
      <c r="H27" s="701">
        <f>AVERAGE(G27:G41)</f>
        <v>291.83148148148149</v>
      </c>
      <c r="I27" s="199">
        <f>AVERAGE(P27,U27,Z27,AE27,AJ27,AO27,AT27)</f>
        <v>5</v>
      </c>
      <c r="J27" s="199">
        <f>AVERAGE(Q27,V27,AA27,AF27,AK27,AP27,AU27)</f>
        <v>2111.9289132947411</v>
      </c>
      <c r="K27" s="200">
        <f>AVERAGE(R27,W27,AB27,AG27,AL27,AQ27,AV27)</f>
        <v>422.38578265894824</v>
      </c>
      <c r="L27" s="633">
        <f>IFERROR(AVERAGE(K27:K41),"-")</f>
        <v>253.38927043933504</v>
      </c>
      <c r="M27" s="201">
        <f>RANK(K27, K$27:$K$41)</f>
        <v>2</v>
      </c>
      <c r="N27" s="652"/>
      <c r="O27" s="652"/>
      <c r="P27" s="182">
        <v>5</v>
      </c>
      <c r="Q27" s="182">
        <v>2092.6153846153843</v>
      </c>
      <c r="R27" s="182">
        <v>418.52307692307687</v>
      </c>
      <c r="S27" s="526">
        <f>RANK(R27, R$27:R$41)</f>
        <v>2</v>
      </c>
      <c r="T27" s="674">
        <f>AVERAGE(R27:R41)</f>
        <v>253.43664731963523</v>
      </c>
      <c r="U27" s="182">
        <v>5</v>
      </c>
      <c r="V27" s="182">
        <v>2130.9999999999991</v>
      </c>
      <c r="W27" s="182">
        <v>426.19999999999982</v>
      </c>
      <c r="X27" s="526">
        <f>RANK(W27, W$27:W$41)</f>
        <v>2</v>
      </c>
      <c r="Y27" s="674">
        <f>AVERAGE(W27:W41)</f>
        <v>253.69817494058529</v>
      </c>
      <c r="Z27" s="182">
        <v>5</v>
      </c>
      <c r="AA27" s="182">
        <v>2088.9999999999991</v>
      </c>
      <c r="AB27" s="182">
        <v>417.79999999999984</v>
      </c>
      <c r="AC27" s="526">
        <f>RANK(AB27, AB$27:AB$41)</f>
        <v>3</v>
      </c>
      <c r="AD27" s="674">
        <f>AVERAGE(AB27:AB41)</f>
        <v>243.75725726981719</v>
      </c>
      <c r="AE27" s="182">
        <v>5</v>
      </c>
      <c r="AF27" s="182">
        <v>2089.7872340425533</v>
      </c>
      <c r="AG27" s="182">
        <v>417.95744680851067</v>
      </c>
      <c r="AH27" s="526">
        <f>RANK(AG27, AG$27:AG$41)</f>
        <v>3</v>
      </c>
      <c r="AI27" s="674">
        <f>AVERAGE(AG27:AG41)</f>
        <v>244.40502849061602</v>
      </c>
      <c r="AJ27" s="182">
        <v>5</v>
      </c>
      <c r="AK27" s="182">
        <v>2135.094339622643</v>
      </c>
      <c r="AL27" s="182">
        <v>427.01886792452859</v>
      </c>
      <c r="AM27" s="526">
        <f>RANK(AL27, AL$27:AL$41)</f>
        <v>1</v>
      </c>
      <c r="AN27" s="674">
        <f>AVERAGE(AL27:AL41)</f>
        <v>243.98154870265213</v>
      </c>
      <c r="AO27" s="182">
        <v>5</v>
      </c>
      <c r="AP27" s="182">
        <v>2099.130434782609</v>
      </c>
      <c r="AQ27" s="182">
        <v>419.82608695652181</v>
      </c>
      <c r="AR27" s="526"/>
      <c r="AS27" s="674">
        <f>AVERAGE(AQ27:AQ41)</f>
        <v>243.98244135001738</v>
      </c>
      <c r="AT27" s="182">
        <v>5</v>
      </c>
      <c r="AU27" s="182">
        <v>2146.8749999999995</v>
      </c>
      <c r="AV27" s="182">
        <v>429.37499999999989</v>
      </c>
      <c r="AW27" s="526"/>
      <c r="AX27" s="674">
        <f>AVERAGE(AV27:AV41)</f>
        <v>246.80970724673335</v>
      </c>
    </row>
    <row r="28" spans="2:54">
      <c r="B28" s="660"/>
      <c r="C28" s="309">
        <v>2</v>
      </c>
      <c r="D28" s="227" t="s">
        <v>513</v>
      </c>
      <c r="E28" s="182">
        <v>4</v>
      </c>
      <c r="F28" s="309">
        <v>2000</v>
      </c>
      <c r="G28" s="312">
        <v>500</v>
      </c>
      <c r="H28" s="702"/>
      <c r="I28" s="199">
        <f t="shared" ref="I28:I36" si="20">AVERAGE(P28,U28,Z28,AE28,AJ28,AO28,AT28)</f>
        <v>5</v>
      </c>
      <c r="J28" s="199">
        <f t="shared" ref="J28:J36" si="21">AVERAGE(Q28,V28,AA28,AF28,AK28,AP28,AU28)</f>
        <v>2124.1099748544016</v>
      </c>
      <c r="K28" s="200">
        <f t="shared" ref="K28:K36" si="22">AVERAGE(R28,W28,AB28,AG28,AL28,AQ28,AV28)</f>
        <v>424.82199497088021</v>
      </c>
      <c r="L28" s="634"/>
      <c r="M28" s="201">
        <f>RANK(K28, K$27:$K$41)</f>
        <v>1</v>
      </c>
      <c r="N28" s="652"/>
      <c r="O28" s="652"/>
      <c r="P28" s="182">
        <v>5</v>
      </c>
      <c r="Q28" s="182">
        <v>2121.7241379310331</v>
      </c>
      <c r="R28" s="182">
        <v>424.34482758620663</v>
      </c>
      <c r="S28" s="526">
        <f t="shared" ref="S28:S41" si="23">RANK(R28, R$27:R$41)</f>
        <v>1</v>
      </c>
      <c r="T28" s="674"/>
      <c r="U28" s="182">
        <v>5</v>
      </c>
      <c r="V28" s="182">
        <v>2165.4545454545469</v>
      </c>
      <c r="W28" s="182">
        <v>433.09090909090935</v>
      </c>
      <c r="X28" s="526">
        <f t="shared" ref="X28:X40" si="24">RANK(W28, W$27:W$41)</f>
        <v>1</v>
      </c>
      <c r="Y28" s="674"/>
      <c r="Z28" s="182">
        <v>5</v>
      </c>
      <c r="AA28" s="182">
        <v>2129.4545454545469</v>
      </c>
      <c r="AB28" s="182">
        <v>425.89090909090936</v>
      </c>
      <c r="AC28" s="526">
        <f t="shared" ref="AC28:AC40" si="25">RANK(AB28, AB$27:AB$41)</f>
        <v>1</v>
      </c>
      <c r="AD28" s="674"/>
      <c r="AE28" s="182">
        <v>5</v>
      </c>
      <c r="AF28" s="182">
        <v>2128.571428571428</v>
      </c>
      <c r="AG28" s="182">
        <v>425.71428571428561</v>
      </c>
      <c r="AH28" s="526">
        <f t="shared" ref="AH28:AH40" si="26">RANK(AG28, AG$27:AG$41)</f>
        <v>1</v>
      </c>
      <c r="AI28" s="674"/>
      <c r="AJ28" s="182">
        <v>5</v>
      </c>
      <c r="AK28" s="182">
        <v>2100.0000000000005</v>
      </c>
      <c r="AL28" s="182">
        <v>420.00000000000011</v>
      </c>
      <c r="AM28" s="526">
        <f t="shared" ref="AM28:AM40" si="27">RANK(AL28, AL$27:AL$41)</f>
        <v>2</v>
      </c>
      <c r="AN28" s="674"/>
      <c r="AO28" s="182">
        <v>5</v>
      </c>
      <c r="AP28" s="182">
        <v>2110.3448275862056</v>
      </c>
      <c r="AQ28" s="182">
        <v>422.06896551724111</v>
      </c>
      <c r="AR28" s="526"/>
      <c r="AS28" s="674"/>
      <c r="AT28" s="182">
        <v>5</v>
      </c>
      <c r="AU28" s="182">
        <v>2113.2203389830497</v>
      </c>
      <c r="AV28" s="182">
        <v>422.64406779660993</v>
      </c>
      <c r="AW28" s="526"/>
      <c r="AX28" s="674"/>
    </row>
    <row r="29" spans="2:54">
      <c r="B29" s="660"/>
      <c r="C29" s="309">
        <v>3</v>
      </c>
      <c r="D29" s="227" t="s">
        <v>399</v>
      </c>
      <c r="E29" s="182">
        <v>13</v>
      </c>
      <c r="F29" s="309">
        <v>2250</v>
      </c>
      <c r="G29" s="312">
        <v>160.69999999999999</v>
      </c>
      <c r="H29" s="702"/>
      <c r="I29" s="199">
        <f t="shared" si="20"/>
        <v>13</v>
      </c>
      <c r="J29" s="199">
        <f t="shared" si="21"/>
        <v>2081.587965960799</v>
      </c>
      <c r="K29" s="200">
        <f t="shared" si="22"/>
        <v>160.12215122775379</v>
      </c>
      <c r="L29" s="634"/>
      <c r="M29" s="201">
        <f>RANK(K29, K$27:$K$41)</f>
        <v>11</v>
      </c>
      <c r="N29" s="652"/>
      <c r="O29" s="652"/>
      <c r="P29" s="182">
        <v>13</v>
      </c>
      <c r="Q29" s="182">
        <v>2126.181818181818</v>
      </c>
      <c r="R29" s="182">
        <v>163.55244755244755</v>
      </c>
      <c r="S29" s="526">
        <f t="shared" si="23"/>
        <v>11</v>
      </c>
      <c r="T29" s="674"/>
      <c r="U29" s="182">
        <v>13</v>
      </c>
      <c r="V29" s="182">
        <v>2074.1379310344828</v>
      </c>
      <c r="W29" s="182">
        <v>159.54907161803715</v>
      </c>
      <c r="X29" s="526">
        <f t="shared" si="24"/>
        <v>11</v>
      </c>
      <c r="Y29" s="674"/>
      <c r="Z29" s="182">
        <v>13</v>
      </c>
      <c r="AA29" s="182">
        <v>2095.7894736842104</v>
      </c>
      <c r="AB29" s="182">
        <v>161.21457489878543</v>
      </c>
      <c r="AC29" s="526">
        <f t="shared" si="25"/>
        <v>10</v>
      </c>
      <c r="AD29" s="674"/>
      <c r="AE29" s="182">
        <v>13</v>
      </c>
      <c r="AF29" s="182">
        <v>2053.6363636363635</v>
      </c>
      <c r="AG29" s="182">
        <v>157.97202797202797</v>
      </c>
      <c r="AH29" s="526">
        <f t="shared" si="26"/>
        <v>10</v>
      </c>
      <c r="AI29" s="674"/>
      <c r="AJ29" s="182">
        <v>13</v>
      </c>
      <c r="AK29" s="182">
        <v>2061.1764705882342</v>
      </c>
      <c r="AL29" s="182">
        <v>158.55203619909494</v>
      </c>
      <c r="AM29" s="526">
        <f t="shared" si="27"/>
        <v>10</v>
      </c>
      <c r="AN29" s="674"/>
      <c r="AO29" s="182">
        <v>13</v>
      </c>
      <c r="AP29" s="182">
        <v>2057.1428571428569</v>
      </c>
      <c r="AQ29" s="182">
        <v>158.24175824175822</v>
      </c>
      <c r="AR29" s="526"/>
      <c r="AS29" s="674"/>
      <c r="AT29" s="182">
        <v>13</v>
      </c>
      <c r="AU29" s="182">
        <v>2103.0508474576272</v>
      </c>
      <c r="AV29" s="182">
        <v>161.77314211212519</v>
      </c>
      <c r="AW29" s="526"/>
      <c r="AX29" s="674"/>
    </row>
    <row r="30" spans="2:54">
      <c r="B30" s="660"/>
      <c r="C30" s="309">
        <v>4</v>
      </c>
      <c r="D30" s="227" t="s">
        <v>400</v>
      </c>
      <c r="E30" s="182">
        <v>12</v>
      </c>
      <c r="F30" s="309">
        <v>2250</v>
      </c>
      <c r="G30" s="312">
        <v>176.5</v>
      </c>
      <c r="H30" s="702"/>
      <c r="I30" s="199">
        <f t="shared" si="20"/>
        <v>12</v>
      </c>
      <c r="J30" s="199">
        <f t="shared" si="21"/>
        <v>2084.0198600009426</v>
      </c>
      <c r="K30" s="200">
        <f t="shared" si="22"/>
        <v>173.66832166674521</v>
      </c>
      <c r="L30" s="634"/>
      <c r="M30" s="201">
        <f>RANK(K30, K$27:$K$41)</f>
        <v>9</v>
      </c>
      <c r="N30" s="652"/>
      <c r="O30" s="652"/>
      <c r="P30" s="182">
        <v>12</v>
      </c>
      <c r="Q30" s="182">
        <v>2063.8095238095243</v>
      </c>
      <c r="R30" s="182">
        <v>171.98412698412702</v>
      </c>
      <c r="S30" s="526">
        <f t="shared" si="23"/>
        <v>9</v>
      </c>
      <c r="T30" s="674"/>
      <c r="U30" s="182">
        <v>12</v>
      </c>
      <c r="V30" s="182">
        <v>2080.6451612903229</v>
      </c>
      <c r="W30" s="182">
        <v>173.38709677419357</v>
      </c>
      <c r="X30" s="526">
        <f t="shared" si="24"/>
        <v>9</v>
      </c>
      <c r="Y30" s="674"/>
      <c r="Z30" s="182">
        <v>12</v>
      </c>
      <c r="AA30" s="182">
        <v>2078.7096774193556</v>
      </c>
      <c r="AB30" s="182">
        <v>173.22580645161295</v>
      </c>
      <c r="AC30" s="526">
        <f t="shared" si="25"/>
        <v>8</v>
      </c>
      <c r="AD30" s="674"/>
      <c r="AE30" s="182">
        <v>12</v>
      </c>
      <c r="AF30" s="182">
        <v>2046.923076923078</v>
      </c>
      <c r="AG30" s="182">
        <v>170.57692307692318</v>
      </c>
      <c r="AH30" s="526">
        <f t="shared" si="26"/>
        <v>8</v>
      </c>
      <c r="AI30" s="674"/>
      <c r="AJ30" s="182">
        <v>12</v>
      </c>
      <c r="AK30" s="182">
        <v>2066.3157894736842</v>
      </c>
      <c r="AL30" s="182">
        <v>172.19298245614036</v>
      </c>
      <c r="AM30" s="526">
        <f t="shared" si="27"/>
        <v>8</v>
      </c>
      <c r="AN30" s="674"/>
      <c r="AO30" s="182">
        <v>12</v>
      </c>
      <c r="AP30" s="182">
        <v>2119.354838709678</v>
      </c>
      <c r="AQ30" s="182">
        <v>176.61290322580649</v>
      </c>
      <c r="AR30" s="526"/>
      <c r="AS30" s="674"/>
      <c r="AT30" s="182">
        <v>12</v>
      </c>
      <c r="AU30" s="182">
        <v>2132.3809523809532</v>
      </c>
      <c r="AV30" s="182">
        <v>177.69841269841277</v>
      </c>
      <c r="AW30" s="526"/>
      <c r="AX30" s="674"/>
    </row>
    <row r="31" spans="2:54">
      <c r="B31" s="660"/>
      <c r="C31" s="309">
        <v>5</v>
      </c>
      <c r="D31" s="227" t="s">
        <v>401</v>
      </c>
      <c r="E31" s="182">
        <v>12</v>
      </c>
      <c r="F31" s="309">
        <v>2250</v>
      </c>
      <c r="G31" s="312">
        <v>187.5</v>
      </c>
      <c r="H31" s="702"/>
      <c r="I31" s="199">
        <f t="shared" si="20"/>
        <v>12</v>
      </c>
      <c r="J31" s="199">
        <f t="shared" si="21"/>
        <v>2220.8170547550621</v>
      </c>
      <c r="K31" s="200">
        <f t="shared" si="22"/>
        <v>185.06808789625521</v>
      </c>
      <c r="L31" s="634"/>
      <c r="M31" s="201">
        <f>RANK(K31, K$27:$K$41)</f>
        <v>8</v>
      </c>
      <c r="N31" s="652"/>
      <c r="O31" s="652"/>
      <c r="P31" s="182">
        <v>12</v>
      </c>
      <c r="Q31" s="182">
        <v>2242.608695652174</v>
      </c>
      <c r="R31" s="182">
        <v>186.8840579710145</v>
      </c>
      <c r="S31" s="526">
        <f t="shared" si="23"/>
        <v>7</v>
      </c>
      <c r="T31" s="674"/>
      <c r="U31" s="182">
        <v>12</v>
      </c>
      <c r="V31" s="182">
        <v>2221.7910447761196</v>
      </c>
      <c r="W31" s="182">
        <v>185.14925373134329</v>
      </c>
      <c r="X31" s="526">
        <f t="shared" si="24"/>
        <v>7</v>
      </c>
      <c r="Y31" s="674"/>
      <c r="Z31" s="182">
        <v>12</v>
      </c>
      <c r="AA31" s="182">
        <v>2190.8571428571431</v>
      </c>
      <c r="AB31" s="182">
        <v>182.57142857142858</v>
      </c>
      <c r="AC31" s="526">
        <f t="shared" si="25"/>
        <v>7</v>
      </c>
      <c r="AD31" s="674"/>
      <c r="AE31" s="182">
        <v>12</v>
      </c>
      <c r="AF31" s="182">
        <v>2231.9999999999995</v>
      </c>
      <c r="AG31" s="182">
        <v>185.99999999999997</v>
      </c>
      <c r="AH31" s="526">
        <f t="shared" si="26"/>
        <v>7</v>
      </c>
      <c r="AI31" s="674"/>
      <c r="AJ31" s="182">
        <v>12</v>
      </c>
      <c r="AK31" s="182">
        <v>2204.0624999999995</v>
      </c>
      <c r="AL31" s="182">
        <v>183.67187499999997</v>
      </c>
      <c r="AM31" s="526">
        <f t="shared" si="27"/>
        <v>7</v>
      </c>
      <c r="AN31" s="674"/>
      <c r="AO31" s="182">
        <v>12</v>
      </c>
      <c r="AP31" s="182">
        <v>2219.9999999999991</v>
      </c>
      <c r="AQ31" s="182">
        <v>184.99999999999991</v>
      </c>
      <c r="AR31" s="526"/>
      <c r="AS31" s="674"/>
      <c r="AT31" s="182">
        <v>12</v>
      </c>
      <c r="AU31" s="182">
        <v>2234.3999999999996</v>
      </c>
      <c r="AV31" s="182">
        <v>186.19999999999996</v>
      </c>
      <c r="AW31" s="526"/>
      <c r="AX31" s="674"/>
    </row>
    <row r="32" spans="2:54">
      <c r="B32" s="660"/>
      <c r="C32" s="309">
        <v>6</v>
      </c>
      <c r="D32" s="227" t="s">
        <v>402</v>
      </c>
      <c r="E32" s="182">
        <v>13</v>
      </c>
      <c r="F32" s="309">
        <v>2250</v>
      </c>
      <c r="G32" s="312">
        <v>173</v>
      </c>
      <c r="H32" s="702"/>
      <c r="I32" s="199">
        <f t="shared" si="20"/>
        <v>13</v>
      </c>
      <c r="J32" s="199">
        <f t="shared" si="21"/>
        <v>2164.316059786438</v>
      </c>
      <c r="K32" s="200">
        <f t="shared" si="22"/>
        <v>166.48585075280292</v>
      </c>
      <c r="L32" s="634"/>
      <c r="M32" s="201">
        <f>RANK(K32, K$27:$K$41)</f>
        <v>10</v>
      </c>
      <c r="N32" s="652"/>
      <c r="O32" s="652"/>
      <c r="P32" s="182">
        <v>13</v>
      </c>
      <c r="Q32" s="182">
        <v>2136.2264150943392</v>
      </c>
      <c r="R32" s="182">
        <v>164.32510885341071</v>
      </c>
      <c r="S32" s="526">
        <f t="shared" si="23"/>
        <v>10</v>
      </c>
      <c r="T32" s="674"/>
      <c r="U32" s="182">
        <v>13</v>
      </c>
      <c r="V32" s="182">
        <v>2189.3750000000005</v>
      </c>
      <c r="W32" s="182">
        <v>168.41346153846158</v>
      </c>
      <c r="X32" s="526">
        <f t="shared" si="24"/>
        <v>10</v>
      </c>
      <c r="Y32" s="674"/>
      <c r="Z32" s="182">
        <v>13</v>
      </c>
      <c r="AA32" s="182">
        <v>2141.489361702128</v>
      </c>
      <c r="AB32" s="182">
        <v>164.72995090016369</v>
      </c>
      <c r="AC32" s="526">
        <f t="shared" si="25"/>
        <v>9</v>
      </c>
      <c r="AD32" s="674"/>
      <c r="AE32" s="182">
        <v>13</v>
      </c>
      <c r="AF32" s="182">
        <v>2171.1111111111113</v>
      </c>
      <c r="AG32" s="182">
        <v>167.00854700854703</v>
      </c>
      <c r="AH32" s="526">
        <f t="shared" si="26"/>
        <v>9</v>
      </c>
      <c r="AI32" s="674"/>
      <c r="AJ32" s="182">
        <v>13</v>
      </c>
      <c r="AK32" s="182">
        <v>2150.217391304348</v>
      </c>
      <c r="AL32" s="182">
        <v>165.40133779264215</v>
      </c>
      <c r="AM32" s="526">
        <f t="shared" si="27"/>
        <v>9</v>
      </c>
      <c r="AN32" s="674"/>
      <c r="AO32" s="182">
        <v>13</v>
      </c>
      <c r="AP32" s="182">
        <v>2156.2162162162153</v>
      </c>
      <c r="AQ32" s="182">
        <v>165.86278586278578</v>
      </c>
      <c r="AR32" s="526"/>
      <c r="AS32" s="674"/>
      <c r="AT32" s="182">
        <v>13</v>
      </c>
      <c r="AU32" s="182">
        <v>2205.5769230769233</v>
      </c>
      <c r="AV32" s="182">
        <v>169.65976331360949</v>
      </c>
      <c r="AW32" s="526"/>
      <c r="AX32" s="674"/>
    </row>
    <row r="33" spans="2:50">
      <c r="B33" s="660"/>
      <c r="C33" s="309">
        <v>7</v>
      </c>
      <c r="D33" s="227" t="s">
        <v>403</v>
      </c>
      <c r="E33" s="182">
        <v>10</v>
      </c>
      <c r="F33" s="309">
        <v>2250</v>
      </c>
      <c r="G33" s="312">
        <v>225</v>
      </c>
      <c r="H33" s="702"/>
      <c r="I33" s="199">
        <f t="shared" si="20"/>
        <v>10</v>
      </c>
      <c r="J33" s="199">
        <f t="shared" si="21"/>
        <v>2098.7542761614654</v>
      </c>
      <c r="K33" s="200">
        <f t="shared" si="22"/>
        <v>209.8754276161466</v>
      </c>
      <c r="L33" s="634"/>
      <c r="M33" s="201">
        <f>RANK(K33, K$27:$K$41)</f>
        <v>6</v>
      </c>
      <c r="N33" s="652"/>
      <c r="O33" s="652"/>
      <c r="P33" s="182">
        <v>10</v>
      </c>
      <c r="Q33" s="182">
        <v>2077.6874999999995</v>
      </c>
      <c r="R33" s="182">
        <v>207.76874999999995</v>
      </c>
      <c r="S33" s="526">
        <f t="shared" si="23"/>
        <v>6</v>
      </c>
      <c r="T33" s="674"/>
      <c r="U33" s="182">
        <v>10</v>
      </c>
      <c r="V33" s="182">
        <v>2104.0746268656717</v>
      </c>
      <c r="W33" s="182">
        <v>210.40746268656716</v>
      </c>
      <c r="X33" s="526">
        <f t="shared" si="24"/>
        <v>6</v>
      </c>
      <c r="Y33" s="674"/>
      <c r="Z33" s="182">
        <v>10</v>
      </c>
      <c r="AA33" s="182">
        <v>2117.6129032258054</v>
      </c>
      <c r="AB33" s="182">
        <v>211.76129032258055</v>
      </c>
      <c r="AC33" s="526">
        <f t="shared" si="25"/>
        <v>5</v>
      </c>
      <c r="AD33" s="674"/>
      <c r="AE33" s="182">
        <v>10</v>
      </c>
      <c r="AF33" s="182">
        <v>2068.6721311475417</v>
      </c>
      <c r="AG33" s="182">
        <v>206.86721311475418</v>
      </c>
      <c r="AH33" s="526">
        <f t="shared" si="26"/>
        <v>5</v>
      </c>
      <c r="AI33" s="674"/>
      <c r="AJ33" s="182">
        <v>10</v>
      </c>
      <c r="AK33" s="182">
        <v>2133.3934426229498</v>
      </c>
      <c r="AL33" s="182">
        <v>213.33934426229499</v>
      </c>
      <c r="AM33" s="526">
        <f t="shared" si="27"/>
        <v>5</v>
      </c>
      <c r="AN33" s="674"/>
      <c r="AO33" s="182">
        <v>10</v>
      </c>
      <c r="AP33" s="182">
        <v>2054.9268292682918</v>
      </c>
      <c r="AQ33" s="182">
        <v>205.49268292682919</v>
      </c>
      <c r="AR33" s="526"/>
      <c r="AS33" s="674"/>
      <c r="AT33" s="182">
        <v>10</v>
      </c>
      <c r="AU33" s="182">
        <v>2134.912499999999</v>
      </c>
      <c r="AV33" s="182">
        <v>213.49124999999989</v>
      </c>
      <c r="AW33" s="526"/>
      <c r="AX33" s="674"/>
    </row>
    <row r="34" spans="2:50">
      <c r="B34" s="660"/>
      <c r="C34" s="309">
        <v>8</v>
      </c>
      <c r="D34" s="227" t="s">
        <v>397</v>
      </c>
      <c r="E34" s="182">
        <v>18</v>
      </c>
      <c r="F34" s="309">
        <v>1250</v>
      </c>
      <c r="G34" s="312">
        <v>69.444444444444443</v>
      </c>
      <c r="H34" s="702"/>
      <c r="I34" s="199">
        <f t="shared" si="20"/>
        <v>13</v>
      </c>
      <c r="J34" s="199">
        <f t="shared" si="21"/>
        <v>1243.8443977591039</v>
      </c>
      <c r="K34" s="200">
        <f t="shared" si="22"/>
        <v>95.680338289161838</v>
      </c>
      <c r="L34" s="634"/>
      <c r="M34" s="201">
        <f>RANK(K34, K$27:$K$41)</f>
        <v>12</v>
      </c>
      <c r="N34" s="652"/>
      <c r="O34" s="652"/>
      <c r="P34" s="182">
        <v>13</v>
      </c>
      <c r="Q34" s="182">
        <v>1247.2941176470597</v>
      </c>
      <c r="R34" s="182">
        <v>95.945701357466135</v>
      </c>
      <c r="S34" s="526">
        <f t="shared" si="23"/>
        <v>12</v>
      </c>
      <c r="T34" s="674"/>
      <c r="U34" s="182">
        <v>13</v>
      </c>
      <c r="V34" s="182">
        <v>1218.6666666666665</v>
      </c>
      <c r="W34" s="182">
        <v>93.743589743589737</v>
      </c>
      <c r="X34" s="526">
        <f t="shared" si="24"/>
        <v>12</v>
      </c>
      <c r="Y34" s="674"/>
      <c r="Z34" s="182">
        <v>13</v>
      </c>
      <c r="AA34" s="182">
        <v>1254.6666666666667</v>
      </c>
      <c r="AB34" s="182">
        <v>96.512820512820525</v>
      </c>
      <c r="AC34" s="526">
        <f t="shared" si="25"/>
        <v>11</v>
      </c>
      <c r="AD34" s="674"/>
      <c r="AE34" s="182">
        <v>13</v>
      </c>
      <c r="AF34" s="182">
        <v>1237.6000000000006</v>
      </c>
      <c r="AG34" s="182">
        <v>95.200000000000045</v>
      </c>
      <c r="AH34" s="526">
        <f t="shared" si="26"/>
        <v>11</v>
      </c>
      <c r="AI34" s="674"/>
      <c r="AJ34" s="182">
        <v>13</v>
      </c>
      <c r="AK34" s="182">
        <v>1224.7500000000007</v>
      </c>
      <c r="AL34" s="182">
        <v>94.21153846153851</v>
      </c>
      <c r="AM34" s="526">
        <f t="shared" si="27"/>
        <v>11</v>
      </c>
      <c r="AN34" s="674"/>
      <c r="AO34" s="182">
        <v>13</v>
      </c>
      <c r="AP34" s="182">
        <v>1260.6000000000004</v>
      </c>
      <c r="AQ34" s="182">
        <v>96.969230769230791</v>
      </c>
      <c r="AR34" s="526"/>
      <c r="AS34" s="674"/>
      <c r="AT34" s="182">
        <v>13</v>
      </c>
      <c r="AU34" s="182">
        <v>1263.3333333333335</v>
      </c>
      <c r="AV34" s="182">
        <v>97.179487179487197</v>
      </c>
      <c r="AW34" s="526"/>
      <c r="AX34" s="674"/>
    </row>
    <row r="35" spans="2:50">
      <c r="B35" s="660"/>
      <c r="C35" s="309">
        <v>9</v>
      </c>
      <c r="D35" s="227" t="s">
        <v>810</v>
      </c>
      <c r="E35" s="182">
        <v>6</v>
      </c>
      <c r="F35" s="309">
        <v>2000</v>
      </c>
      <c r="G35" s="312">
        <v>333.33333333333331</v>
      </c>
      <c r="H35" s="702"/>
      <c r="I35" s="199">
        <f t="shared" si="20"/>
        <v>7</v>
      </c>
      <c r="J35" s="199">
        <f t="shared" si="21"/>
        <v>1753.1868131868112</v>
      </c>
      <c r="K35" s="200">
        <f t="shared" si="22"/>
        <v>250.45525902668732</v>
      </c>
      <c r="L35" s="634"/>
      <c r="M35" s="201">
        <f>RANK(K35, K$27:$K$41)</f>
        <v>5</v>
      </c>
      <c r="N35" s="652"/>
      <c r="O35" s="652"/>
      <c r="P35" s="182">
        <v>7</v>
      </c>
      <c r="Q35" s="182">
        <v>1786.1538461538414</v>
      </c>
      <c r="R35" s="182">
        <v>255.1648351648345</v>
      </c>
      <c r="S35" s="526">
        <f t="shared" si="23"/>
        <v>5</v>
      </c>
      <c r="T35" s="674"/>
      <c r="U35" s="182">
        <v>7</v>
      </c>
      <c r="V35" s="182">
        <v>1799.9999999999961</v>
      </c>
      <c r="W35" s="182">
        <v>257.1428571428566</v>
      </c>
      <c r="X35" s="526">
        <f t="shared" si="24"/>
        <v>5</v>
      </c>
      <c r="Y35" s="674"/>
      <c r="Z35" s="182">
        <v>7</v>
      </c>
      <c r="AA35" s="182">
        <v>1705.7142857142819</v>
      </c>
      <c r="AB35" s="182">
        <v>243.67346938775455</v>
      </c>
      <c r="AC35" s="526">
        <f t="shared" si="25"/>
        <v>4</v>
      </c>
      <c r="AD35" s="674"/>
      <c r="AE35" s="182">
        <v>7</v>
      </c>
      <c r="AF35" s="182">
        <v>1757.1428571428635</v>
      </c>
      <c r="AG35" s="182">
        <v>251.02040816326621</v>
      </c>
      <c r="AH35" s="526">
        <f t="shared" si="26"/>
        <v>4</v>
      </c>
      <c r="AI35" s="674"/>
      <c r="AJ35" s="182">
        <v>7</v>
      </c>
      <c r="AK35" s="182">
        <v>1716.9230769230726</v>
      </c>
      <c r="AL35" s="182">
        <v>245.27472527472466</v>
      </c>
      <c r="AM35" s="526">
        <f t="shared" si="27"/>
        <v>4</v>
      </c>
      <c r="AN35" s="674"/>
      <c r="AO35" s="182" t="s">
        <v>779</v>
      </c>
      <c r="AP35" s="182" t="s">
        <v>779</v>
      </c>
      <c r="AQ35" s="182" t="s">
        <v>779</v>
      </c>
      <c r="AR35" s="526"/>
      <c r="AS35" s="674"/>
      <c r="AT35" s="182" t="s">
        <v>779</v>
      </c>
      <c r="AU35" s="182" t="s">
        <v>779</v>
      </c>
      <c r="AV35" s="182" t="s">
        <v>779</v>
      </c>
      <c r="AW35" s="526"/>
      <c r="AX35" s="674"/>
    </row>
    <row r="36" spans="2:50">
      <c r="B36" s="660"/>
      <c r="C36" s="309">
        <v>10</v>
      </c>
      <c r="D36" s="227" t="s">
        <v>821</v>
      </c>
      <c r="E36" s="182">
        <v>4</v>
      </c>
      <c r="F36" s="309">
        <v>2000</v>
      </c>
      <c r="G36" s="312">
        <v>500</v>
      </c>
      <c r="H36" s="702"/>
      <c r="I36" s="199">
        <f t="shared" si="20"/>
        <v>5</v>
      </c>
      <c r="J36" s="199">
        <f t="shared" si="21"/>
        <v>1736.6666666666729</v>
      </c>
      <c r="K36" s="200">
        <f t="shared" si="22"/>
        <v>347.33333333333456</v>
      </c>
      <c r="L36" s="634"/>
      <c r="M36" s="201">
        <f>RANK(K36, K$27:$K$41)</f>
        <v>4</v>
      </c>
      <c r="N36" s="652"/>
      <c r="O36" s="652"/>
      <c r="P36" s="182">
        <v>5</v>
      </c>
      <c r="Q36" s="182">
        <v>1753.3333333333394</v>
      </c>
      <c r="R36" s="182">
        <v>350.66666666666788</v>
      </c>
      <c r="S36" s="526">
        <f t="shared" si="23"/>
        <v>4</v>
      </c>
      <c r="T36" s="674"/>
      <c r="U36" s="182">
        <v>5</v>
      </c>
      <c r="V36" s="182">
        <v>1720.0000000000061</v>
      </c>
      <c r="W36" s="182">
        <v>344.00000000000125</v>
      </c>
      <c r="X36" s="526">
        <f t="shared" si="24"/>
        <v>4</v>
      </c>
      <c r="Y36" s="674"/>
      <c r="Z36" s="182"/>
      <c r="AA36" s="182"/>
      <c r="AB36" s="182"/>
      <c r="AC36" s="526" t="e">
        <f t="shared" si="25"/>
        <v>#N/A</v>
      </c>
      <c r="AD36" s="674"/>
      <c r="AE36" s="182"/>
      <c r="AF36" s="182"/>
      <c r="AG36" s="182"/>
      <c r="AH36" s="526" t="e">
        <f t="shared" si="26"/>
        <v>#N/A</v>
      </c>
      <c r="AI36" s="674"/>
      <c r="AJ36" s="182"/>
      <c r="AK36" s="182"/>
      <c r="AL36" s="182"/>
      <c r="AM36" s="526" t="e">
        <f t="shared" si="27"/>
        <v>#N/A</v>
      </c>
      <c r="AN36" s="674"/>
      <c r="AO36" s="182" t="s">
        <v>779</v>
      </c>
      <c r="AP36" s="182" t="s">
        <v>779</v>
      </c>
      <c r="AQ36" s="182" t="s">
        <v>779</v>
      </c>
      <c r="AR36" s="526"/>
      <c r="AS36" s="674"/>
      <c r="AT36" s="182" t="s">
        <v>779</v>
      </c>
      <c r="AU36" s="182" t="s">
        <v>779</v>
      </c>
      <c r="AV36" s="182" t="s">
        <v>779</v>
      </c>
      <c r="AW36" s="526"/>
      <c r="AX36" s="674"/>
    </row>
    <row r="37" spans="2:50">
      <c r="B37" s="660"/>
      <c r="C37" s="309">
        <v>11</v>
      </c>
      <c r="D37" s="227" t="s">
        <v>829</v>
      </c>
      <c r="E37" s="182">
        <v>12</v>
      </c>
      <c r="F37" s="309">
        <v>2250</v>
      </c>
      <c r="G37" s="312">
        <v>176.5</v>
      </c>
      <c r="H37" s="702"/>
      <c r="I37" s="527">
        <f t="shared" ref="I37:I38" si="28">AVERAGE(P37,U37,Z37,AE37,AJ37,AO37,AT37)</f>
        <v>12</v>
      </c>
      <c r="J37" s="527">
        <f t="shared" ref="J37:J38" si="29">AVERAGE(Q37,V37,AA37,AF37,AK37,AP37,AU37)</f>
        <v>2224.5237818858777</v>
      </c>
      <c r="K37" s="200">
        <f t="shared" ref="K37:K38" si="30">AVERAGE(R37,W37,AB37,AG37,AL37,AQ37,AV37)</f>
        <v>185.37698182382314</v>
      </c>
      <c r="L37" s="634"/>
      <c r="M37" s="201">
        <f>RANK(K37, K$27:$K$41)</f>
        <v>7</v>
      </c>
      <c r="N37" s="652"/>
      <c r="O37" s="652"/>
      <c r="P37" s="182">
        <v>12</v>
      </c>
      <c r="Q37" s="182">
        <v>2216.9620253164571</v>
      </c>
      <c r="R37" s="182">
        <v>184.74683544303809</v>
      </c>
      <c r="S37" s="526">
        <f t="shared" si="23"/>
        <v>8</v>
      </c>
      <c r="T37" s="674"/>
      <c r="U37" s="182">
        <v>12</v>
      </c>
      <c r="V37" s="182">
        <v>2168.1481481481474</v>
      </c>
      <c r="W37" s="182">
        <v>180.67901234567896</v>
      </c>
      <c r="X37" s="526">
        <f t="shared" si="24"/>
        <v>8</v>
      </c>
      <c r="Y37" s="674"/>
      <c r="Z37" s="182">
        <v>12</v>
      </c>
      <c r="AA37" s="182">
        <v>2228.5714285714298</v>
      </c>
      <c r="AB37" s="182">
        <v>185.71428571428581</v>
      </c>
      <c r="AC37" s="526">
        <f t="shared" si="25"/>
        <v>6</v>
      </c>
      <c r="AD37" s="674"/>
      <c r="AE37" s="182">
        <v>12</v>
      </c>
      <c r="AF37" s="182">
        <v>2238.4615384615381</v>
      </c>
      <c r="AG37" s="182">
        <v>186.53846153846152</v>
      </c>
      <c r="AH37" s="526">
        <f t="shared" si="26"/>
        <v>6</v>
      </c>
      <c r="AI37" s="674"/>
      <c r="AJ37" s="182">
        <v>12</v>
      </c>
      <c r="AK37" s="182">
        <v>2257.6119402985073</v>
      </c>
      <c r="AL37" s="182">
        <v>188.13432835820893</v>
      </c>
      <c r="AM37" s="526">
        <f t="shared" si="27"/>
        <v>6</v>
      </c>
      <c r="AN37" s="674"/>
      <c r="AO37" s="182">
        <v>12</v>
      </c>
      <c r="AP37" s="182">
        <v>2228.9999999999991</v>
      </c>
      <c r="AQ37" s="182">
        <v>185.74999999999991</v>
      </c>
      <c r="AR37" s="526"/>
      <c r="AS37" s="674"/>
      <c r="AT37" s="182">
        <v>12</v>
      </c>
      <c r="AU37" s="182">
        <v>2232.9113924050644</v>
      </c>
      <c r="AV37" s="182">
        <v>186.0759493670887</v>
      </c>
      <c r="AW37" s="526"/>
      <c r="AX37" s="674"/>
    </row>
    <row r="38" spans="2:50">
      <c r="B38" s="660"/>
      <c r="C38" s="309">
        <v>12</v>
      </c>
      <c r="D38" s="227" t="s">
        <v>908</v>
      </c>
      <c r="E38" s="182">
        <v>4</v>
      </c>
      <c r="F38" s="309">
        <v>2000</v>
      </c>
      <c r="G38" s="312">
        <v>500</v>
      </c>
      <c r="H38" s="702"/>
      <c r="I38" s="527">
        <f t="shared" si="28"/>
        <v>5</v>
      </c>
      <c r="J38" s="527">
        <f t="shared" si="29"/>
        <v>2096.9885800474035</v>
      </c>
      <c r="K38" s="200">
        <f t="shared" si="30"/>
        <v>419.3977160094808</v>
      </c>
      <c r="L38" s="634"/>
      <c r="M38" s="201">
        <f>RANK(K38, K$27:$K$41)</f>
        <v>3</v>
      </c>
      <c r="N38" s="652"/>
      <c r="O38" s="652"/>
      <c r="P38" s="182">
        <v>5</v>
      </c>
      <c r="Q38" s="182">
        <v>2086.6666666666652</v>
      </c>
      <c r="R38" s="182">
        <v>417.33333333333303</v>
      </c>
      <c r="S38" s="526">
        <f t="shared" si="23"/>
        <v>3</v>
      </c>
      <c r="T38" s="674"/>
      <c r="U38" s="182">
        <v>5</v>
      </c>
      <c r="V38" s="182">
        <v>2063.076923076922</v>
      </c>
      <c r="W38" s="182">
        <v>412.61538461538441</v>
      </c>
      <c r="X38" s="526">
        <f t="shared" si="24"/>
        <v>3</v>
      </c>
      <c r="Y38" s="674"/>
      <c r="Z38" s="182">
        <v>5</v>
      </c>
      <c r="AA38" s="182">
        <v>2091.1764705882379</v>
      </c>
      <c r="AB38" s="182">
        <v>418.23529411764758</v>
      </c>
      <c r="AC38" s="526">
        <f t="shared" si="25"/>
        <v>2</v>
      </c>
      <c r="AD38" s="674"/>
      <c r="AE38" s="182">
        <v>5</v>
      </c>
      <c r="AF38" s="182">
        <v>2117.9999999999995</v>
      </c>
      <c r="AG38" s="182">
        <v>423.59999999999991</v>
      </c>
      <c r="AH38" s="526">
        <f t="shared" si="26"/>
        <v>2</v>
      </c>
      <c r="AI38" s="674"/>
      <c r="AJ38" s="182">
        <v>5</v>
      </c>
      <c r="AK38" s="182">
        <v>2080.0000000000009</v>
      </c>
      <c r="AL38" s="182">
        <v>416.00000000000017</v>
      </c>
      <c r="AM38" s="526">
        <f t="shared" si="27"/>
        <v>3</v>
      </c>
      <c r="AN38" s="674"/>
      <c r="AO38" s="182">
        <v>5</v>
      </c>
      <c r="AP38" s="182">
        <v>2120.0000000000009</v>
      </c>
      <c r="AQ38" s="182">
        <v>424.00000000000017</v>
      </c>
      <c r="AR38" s="526"/>
      <c r="AS38" s="674"/>
      <c r="AT38" s="182">
        <v>5</v>
      </c>
      <c r="AU38" s="182">
        <v>2120.0000000000023</v>
      </c>
      <c r="AV38" s="182">
        <v>424.00000000000045</v>
      </c>
      <c r="AW38" s="526"/>
      <c r="AX38" s="674"/>
    </row>
    <row r="39" spans="2:50">
      <c r="B39" s="660"/>
      <c r="C39" s="309">
        <v>13</v>
      </c>
      <c r="D39" s="227"/>
      <c r="E39" s="182"/>
      <c r="F39" s="309"/>
      <c r="G39" s="312"/>
      <c r="H39" s="702"/>
      <c r="I39" s="202"/>
      <c r="J39" s="202"/>
      <c r="K39" s="202"/>
      <c r="L39" s="634"/>
      <c r="M39" s="201" t="e">
        <f>RANK(K39, K$27:$K$41)</f>
        <v>#N/A</v>
      </c>
      <c r="N39" s="652"/>
      <c r="O39" s="652"/>
      <c r="P39" s="182"/>
      <c r="Q39" s="182"/>
      <c r="R39" s="182"/>
      <c r="S39" s="526" t="e">
        <f t="shared" si="23"/>
        <v>#N/A</v>
      </c>
      <c r="T39" s="674"/>
      <c r="U39" s="182"/>
      <c r="V39" s="182"/>
      <c r="W39" s="182"/>
      <c r="X39" s="526" t="e">
        <f t="shared" si="24"/>
        <v>#N/A</v>
      </c>
      <c r="Y39" s="674"/>
      <c r="Z39" s="182"/>
      <c r="AA39" s="182"/>
      <c r="AB39" s="182"/>
      <c r="AC39" s="526" t="e">
        <f t="shared" si="25"/>
        <v>#N/A</v>
      </c>
      <c r="AD39" s="674"/>
      <c r="AE39" s="182"/>
      <c r="AF39" s="182"/>
      <c r="AG39" s="182"/>
      <c r="AH39" s="526" t="e">
        <f t="shared" si="26"/>
        <v>#N/A</v>
      </c>
      <c r="AI39" s="674"/>
      <c r="AJ39" s="182"/>
      <c r="AK39" s="182"/>
      <c r="AL39" s="182"/>
      <c r="AM39" s="526" t="e">
        <f t="shared" si="27"/>
        <v>#N/A</v>
      </c>
      <c r="AN39" s="674"/>
      <c r="AO39" s="182"/>
      <c r="AP39" s="182"/>
      <c r="AQ39" s="182"/>
      <c r="AR39" s="526"/>
      <c r="AS39" s="674"/>
      <c r="AT39" s="182"/>
      <c r="AU39" s="182"/>
      <c r="AV39" s="182"/>
      <c r="AW39" s="526"/>
      <c r="AX39" s="674"/>
    </row>
    <row r="40" spans="2:50">
      <c r="B40" s="660"/>
      <c r="C40" s="309">
        <v>14</v>
      </c>
      <c r="D40" s="227"/>
      <c r="E40" s="182"/>
      <c r="F40" s="309"/>
      <c r="G40" s="312"/>
      <c r="H40" s="702"/>
      <c r="I40" s="202"/>
      <c r="J40" s="202"/>
      <c r="K40" s="202"/>
      <c r="L40" s="634"/>
      <c r="M40" s="201" t="e">
        <f>RANK(K40, K$27:$K$41)</f>
        <v>#N/A</v>
      </c>
      <c r="N40" s="652"/>
      <c r="O40" s="652"/>
      <c r="P40" s="182"/>
      <c r="Q40" s="182"/>
      <c r="R40" s="182"/>
      <c r="S40" s="526" t="e">
        <f t="shared" si="23"/>
        <v>#N/A</v>
      </c>
      <c r="T40" s="674"/>
      <c r="U40" s="182"/>
      <c r="V40" s="182"/>
      <c r="W40" s="182"/>
      <c r="X40" s="526" t="e">
        <f t="shared" si="24"/>
        <v>#N/A</v>
      </c>
      <c r="Y40" s="674"/>
      <c r="Z40" s="182"/>
      <c r="AA40" s="182"/>
      <c r="AB40" s="182"/>
      <c r="AC40" s="526" t="e">
        <f t="shared" si="25"/>
        <v>#N/A</v>
      </c>
      <c r="AD40" s="674"/>
      <c r="AE40" s="182"/>
      <c r="AF40" s="182"/>
      <c r="AG40" s="182"/>
      <c r="AH40" s="526" t="e">
        <f t="shared" si="26"/>
        <v>#N/A</v>
      </c>
      <c r="AI40" s="674"/>
      <c r="AJ40" s="182"/>
      <c r="AK40" s="182"/>
      <c r="AL40" s="182"/>
      <c r="AM40" s="526" t="e">
        <f t="shared" si="27"/>
        <v>#N/A</v>
      </c>
      <c r="AN40" s="674"/>
      <c r="AO40" s="182"/>
      <c r="AP40" s="182"/>
      <c r="AQ40" s="182"/>
      <c r="AR40" s="526"/>
      <c r="AS40" s="674"/>
      <c r="AT40" s="182"/>
      <c r="AU40" s="182"/>
      <c r="AV40" s="182"/>
      <c r="AW40" s="526"/>
      <c r="AX40" s="674"/>
    </row>
    <row r="41" spans="2:50">
      <c r="B41" s="660"/>
      <c r="C41" s="309">
        <v>15</v>
      </c>
      <c r="D41" s="227"/>
      <c r="E41" s="182"/>
      <c r="F41" s="309"/>
      <c r="G41" s="312"/>
      <c r="H41" s="703"/>
      <c r="I41" s="202"/>
      <c r="J41" s="202"/>
      <c r="K41" s="202"/>
      <c r="L41" s="635"/>
      <c r="M41" s="199" t="e">
        <f>RANK(K41, K$27:$K$41)</f>
        <v>#N/A</v>
      </c>
      <c r="N41" s="652"/>
      <c r="O41" s="652"/>
      <c r="P41" s="182"/>
      <c r="Q41" s="182"/>
      <c r="R41" s="182"/>
      <c r="S41" s="526" t="e">
        <f t="shared" si="23"/>
        <v>#N/A</v>
      </c>
      <c r="T41" s="674"/>
      <c r="U41" s="182"/>
      <c r="V41" s="182"/>
      <c r="W41" s="182"/>
      <c r="X41" s="526"/>
      <c r="Y41" s="674"/>
      <c r="Z41" s="182"/>
      <c r="AA41" s="182"/>
      <c r="AB41" s="182"/>
      <c r="AC41" s="526"/>
      <c r="AD41" s="674"/>
      <c r="AE41" s="182"/>
      <c r="AF41" s="182"/>
      <c r="AG41" s="182"/>
      <c r="AH41" s="526"/>
      <c r="AI41" s="674"/>
      <c r="AJ41" s="182"/>
      <c r="AK41" s="182"/>
      <c r="AL41" s="182"/>
      <c r="AM41" s="526"/>
      <c r="AN41" s="674"/>
      <c r="AO41" s="182"/>
      <c r="AP41" s="182"/>
      <c r="AQ41" s="182"/>
      <c r="AR41" s="526"/>
      <c r="AS41" s="674"/>
      <c r="AT41" s="182"/>
      <c r="AU41" s="182"/>
      <c r="AV41" s="182"/>
      <c r="AW41" s="526"/>
      <c r="AX41" s="674"/>
    </row>
    <row r="42" spans="2:50" ht="15.75">
      <c r="B42" s="678" t="s">
        <v>163</v>
      </c>
      <c r="C42" s="679"/>
      <c r="D42" s="679"/>
      <c r="E42" s="679"/>
      <c r="F42" s="679"/>
      <c r="G42" s="679"/>
      <c r="H42" s="679"/>
      <c r="I42" s="208"/>
      <c r="J42" s="203"/>
      <c r="K42" s="208"/>
      <c r="L42" s="208"/>
      <c r="M42" s="204"/>
      <c r="N42" s="653" t="s">
        <v>156</v>
      </c>
      <c r="O42" s="653" t="s">
        <v>105</v>
      </c>
      <c r="P42" s="659">
        <f>P22+7</f>
        <v>46063</v>
      </c>
      <c r="Q42" s="660"/>
      <c r="R42" s="660"/>
      <c r="S42" s="660"/>
      <c r="T42" s="660"/>
      <c r="U42" s="656">
        <f>P42+1</f>
        <v>46064</v>
      </c>
      <c r="V42" s="657"/>
      <c r="W42" s="657"/>
      <c r="X42" s="657"/>
      <c r="Y42" s="658"/>
      <c r="Z42" s="656">
        <f>U42+1</f>
        <v>46065</v>
      </c>
      <c r="AA42" s="657"/>
      <c r="AB42" s="657"/>
      <c r="AC42" s="657"/>
      <c r="AD42" s="658"/>
      <c r="AE42" s="656">
        <f>Z42+1</f>
        <v>46066</v>
      </c>
      <c r="AF42" s="657"/>
      <c r="AG42" s="657"/>
      <c r="AH42" s="657"/>
      <c r="AI42" s="658"/>
      <c r="AJ42" s="656">
        <f>AE42+1</f>
        <v>46067</v>
      </c>
      <c r="AK42" s="657"/>
      <c r="AL42" s="657"/>
      <c r="AM42" s="657"/>
      <c r="AN42" s="658"/>
      <c r="AO42" s="656">
        <f>AJ42+1</f>
        <v>46068</v>
      </c>
      <c r="AP42" s="657"/>
      <c r="AQ42" s="657"/>
      <c r="AR42" s="657"/>
      <c r="AS42" s="658"/>
      <c r="AT42" s="656">
        <f>AO42+1</f>
        <v>46069</v>
      </c>
      <c r="AU42" s="657"/>
      <c r="AV42" s="657"/>
      <c r="AW42" s="657"/>
      <c r="AX42" s="658"/>
    </row>
    <row r="43" spans="2:50" ht="15.75">
      <c r="B43" s="667"/>
      <c r="C43" s="667"/>
      <c r="D43" s="667"/>
      <c r="E43" s="667"/>
      <c r="F43" s="667"/>
      <c r="G43" s="667"/>
      <c r="H43" s="667"/>
      <c r="I43" s="205"/>
      <c r="J43" s="205"/>
      <c r="K43" s="205"/>
      <c r="L43" s="205"/>
      <c r="M43" s="206"/>
      <c r="N43" s="655"/>
      <c r="O43" s="655"/>
      <c r="P43" s="659" t="s">
        <v>336</v>
      </c>
      <c r="Q43" s="660"/>
      <c r="R43" s="660"/>
      <c r="S43" s="660"/>
      <c r="T43" s="660"/>
      <c r="U43" s="659" t="s">
        <v>337</v>
      </c>
      <c r="V43" s="660"/>
      <c r="W43" s="660"/>
      <c r="X43" s="660"/>
      <c r="Y43" s="660"/>
      <c r="Z43" s="659" t="s">
        <v>338</v>
      </c>
      <c r="AA43" s="660"/>
      <c r="AB43" s="660"/>
      <c r="AC43" s="660"/>
      <c r="AD43" s="660"/>
      <c r="AE43" s="659" t="s">
        <v>339</v>
      </c>
      <c r="AF43" s="660"/>
      <c r="AG43" s="660"/>
      <c r="AH43" s="660"/>
      <c r="AI43" s="660"/>
      <c r="AJ43" s="659" t="s">
        <v>340</v>
      </c>
      <c r="AK43" s="660"/>
      <c r="AL43" s="660"/>
      <c r="AM43" s="660"/>
      <c r="AN43" s="660"/>
      <c r="AO43" s="659" t="s">
        <v>341</v>
      </c>
      <c r="AP43" s="660"/>
      <c r="AQ43" s="660"/>
      <c r="AR43" s="660"/>
      <c r="AS43" s="660"/>
      <c r="AT43" s="659" t="s">
        <v>342</v>
      </c>
      <c r="AU43" s="660"/>
      <c r="AV43" s="660"/>
      <c r="AW43" s="660"/>
      <c r="AX43" s="660"/>
    </row>
    <row r="44" spans="2:50">
      <c r="B44" s="652" t="s">
        <v>431</v>
      </c>
      <c r="C44" s="652" t="s">
        <v>441</v>
      </c>
      <c r="D44" s="652"/>
      <c r="E44" s="652" t="s">
        <v>432</v>
      </c>
      <c r="F44" s="652"/>
      <c r="G44" s="652"/>
      <c r="H44" s="668" t="s">
        <v>428</v>
      </c>
      <c r="I44" s="636" t="s">
        <v>433</v>
      </c>
      <c r="J44" s="636"/>
      <c r="K44" s="636"/>
      <c r="L44" s="637" t="s">
        <v>428</v>
      </c>
      <c r="M44" s="643" t="s">
        <v>429</v>
      </c>
      <c r="N44" s="652"/>
      <c r="O44" s="652" t="s">
        <v>434</v>
      </c>
      <c r="P44" s="649" t="s">
        <v>935</v>
      </c>
      <c r="Q44" s="650"/>
      <c r="R44" s="650"/>
      <c r="S44" s="651"/>
      <c r="T44" s="652" t="s">
        <v>936</v>
      </c>
      <c r="U44" s="649" t="s">
        <v>935</v>
      </c>
      <c r="V44" s="650"/>
      <c r="W44" s="650"/>
      <c r="X44" s="651"/>
      <c r="Y44" s="652" t="s">
        <v>936</v>
      </c>
      <c r="Z44" s="649" t="s">
        <v>935</v>
      </c>
      <c r="AA44" s="650"/>
      <c r="AB44" s="650"/>
      <c r="AC44" s="651"/>
      <c r="AD44" s="652" t="s">
        <v>936</v>
      </c>
      <c r="AE44" s="649" t="s">
        <v>935</v>
      </c>
      <c r="AF44" s="650"/>
      <c r="AG44" s="650"/>
      <c r="AH44" s="651"/>
      <c r="AI44" s="652" t="s">
        <v>936</v>
      </c>
      <c r="AJ44" s="649" t="s">
        <v>935</v>
      </c>
      <c r="AK44" s="650"/>
      <c r="AL44" s="650"/>
      <c r="AM44" s="651"/>
      <c r="AN44" s="652" t="s">
        <v>936</v>
      </c>
      <c r="AO44" s="649" t="s">
        <v>935</v>
      </c>
      <c r="AP44" s="650"/>
      <c r="AQ44" s="650"/>
      <c r="AR44" s="651"/>
      <c r="AS44" s="652" t="s">
        <v>936</v>
      </c>
      <c r="AT44" s="649" t="s">
        <v>935</v>
      </c>
      <c r="AU44" s="650"/>
      <c r="AV44" s="650"/>
      <c r="AW44" s="651"/>
      <c r="AX44" s="652" t="s">
        <v>936</v>
      </c>
    </row>
    <row r="45" spans="2:50">
      <c r="B45" s="652"/>
      <c r="C45" s="652"/>
      <c r="D45" s="652"/>
      <c r="E45" s="652" t="s">
        <v>435</v>
      </c>
      <c r="F45" s="652"/>
      <c r="G45" s="652"/>
      <c r="H45" s="669"/>
      <c r="I45" s="636" t="s">
        <v>435</v>
      </c>
      <c r="J45" s="636"/>
      <c r="K45" s="636"/>
      <c r="L45" s="638"/>
      <c r="M45" s="644"/>
      <c r="N45" s="652"/>
      <c r="O45" s="652"/>
      <c r="P45" s="649" t="s">
        <v>937</v>
      </c>
      <c r="Q45" s="650"/>
      <c r="R45" s="650"/>
      <c r="S45" s="651"/>
      <c r="T45" s="652"/>
      <c r="U45" s="649" t="s">
        <v>937</v>
      </c>
      <c r="V45" s="650"/>
      <c r="W45" s="650"/>
      <c r="X45" s="651"/>
      <c r="Y45" s="652"/>
      <c r="Z45" s="649" t="s">
        <v>937</v>
      </c>
      <c r="AA45" s="650"/>
      <c r="AB45" s="650"/>
      <c r="AC45" s="651"/>
      <c r="AD45" s="652"/>
      <c r="AE45" s="649" t="s">
        <v>937</v>
      </c>
      <c r="AF45" s="650"/>
      <c r="AG45" s="650"/>
      <c r="AH45" s="651"/>
      <c r="AI45" s="652"/>
      <c r="AJ45" s="649" t="s">
        <v>937</v>
      </c>
      <c r="AK45" s="650"/>
      <c r="AL45" s="650"/>
      <c r="AM45" s="651"/>
      <c r="AN45" s="652"/>
      <c r="AO45" s="649" t="s">
        <v>937</v>
      </c>
      <c r="AP45" s="650"/>
      <c r="AQ45" s="650"/>
      <c r="AR45" s="651"/>
      <c r="AS45" s="652"/>
      <c r="AT45" s="649" t="s">
        <v>937</v>
      </c>
      <c r="AU45" s="650"/>
      <c r="AV45" s="650"/>
      <c r="AW45" s="651"/>
      <c r="AX45" s="652"/>
    </row>
    <row r="46" spans="2:50">
      <c r="B46" s="652"/>
      <c r="C46" s="652"/>
      <c r="D46" s="652"/>
      <c r="E46" s="308" t="s">
        <v>437</v>
      </c>
      <c r="F46" s="308" t="s">
        <v>438</v>
      </c>
      <c r="G46" s="308" t="s">
        <v>439</v>
      </c>
      <c r="H46" s="670"/>
      <c r="I46" s="307" t="s">
        <v>437</v>
      </c>
      <c r="J46" s="307" t="s">
        <v>438</v>
      </c>
      <c r="K46" s="307" t="s">
        <v>439</v>
      </c>
      <c r="L46" s="639"/>
      <c r="M46" s="645"/>
      <c r="N46" s="652"/>
      <c r="O46" s="652"/>
      <c r="P46" s="536" t="s">
        <v>938</v>
      </c>
      <c r="Q46" s="536" t="s">
        <v>939</v>
      </c>
      <c r="R46" s="536" t="s">
        <v>940</v>
      </c>
      <c r="S46" s="536" t="s">
        <v>941</v>
      </c>
      <c r="T46" s="652"/>
      <c r="U46" s="536" t="s">
        <v>938</v>
      </c>
      <c r="V46" s="536" t="s">
        <v>939</v>
      </c>
      <c r="W46" s="536" t="s">
        <v>940</v>
      </c>
      <c r="X46" s="536" t="s">
        <v>941</v>
      </c>
      <c r="Y46" s="652"/>
      <c r="Z46" s="536" t="s">
        <v>938</v>
      </c>
      <c r="AA46" s="536" t="s">
        <v>939</v>
      </c>
      <c r="AB46" s="536" t="s">
        <v>940</v>
      </c>
      <c r="AC46" s="536" t="s">
        <v>941</v>
      </c>
      <c r="AD46" s="652"/>
      <c r="AE46" s="536" t="s">
        <v>938</v>
      </c>
      <c r="AF46" s="536" t="s">
        <v>939</v>
      </c>
      <c r="AG46" s="536" t="s">
        <v>940</v>
      </c>
      <c r="AH46" s="536" t="s">
        <v>941</v>
      </c>
      <c r="AI46" s="652"/>
      <c r="AJ46" s="536" t="s">
        <v>938</v>
      </c>
      <c r="AK46" s="536" t="s">
        <v>939</v>
      </c>
      <c r="AL46" s="536" t="s">
        <v>940</v>
      </c>
      <c r="AM46" s="536" t="s">
        <v>941</v>
      </c>
      <c r="AN46" s="652"/>
      <c r="AO46" s="536" t="s">
        <v>938</v>
      </c>
      <c r="AP46" s="536" t="s">
        <v>939</v>
      </c>
      <c r="AQ46" s="536" t="s">
        <v>940</v>
      </c>
      <c r="AR46" s="536" t="s">
        <v>941</v>
      </c>
      <c r="AS46" s="652"/>
      <c r="AT46" s="536" t="s">
        <v>938</v>
      </c>
      <c r="AU46" s="536" t="s">
        <v>939</v>
      </c>
      <c r="AV46" s="536" t="s">
        <v>940</v>
      </c>
      <c r="AW46" s="536" t="s">
        <v>941</v>
      </c>
      <c r="AX46" s="652"/>
    </row>
    <row r="47" spans="2:50">
      <c r="B47" s="700" t="s">
        <v>440</v>
      </c>
      <c r="C47" s="309">
        <v>1</v>
      </c>
      <c r="D47" s="227" t="s">
        <v>398</v>
      </c>
      <c r="E47" s="182">
        <v>4</v>
      </c>
      <c r="F47" s="514">
        <v>2000</v>
      </c>
      <c r="G47" s="515">
        <v>500</v>
      </c>
      <c r="H47" s="701">
        <f>AVERAGE(G47:G61)</f>
        <v>266.86444444444442</v>
      </c>
      <c r="I47" s="199">
        <f>AVERAGE(P47,U47,Z47,AE47,AJ47,AO47,AT47)</f>
        <v>5</v>
      </c>
      <c r="J47" s="199">
        <f>AVERAGE(Q47,V47,AA47,AF47,AK47,AP47,AU47)</f>
        <v>2120.8430056216166</v>
      </c>
      <c r="K47" s="200">
        <f>AVERAGE(R47,W47,AB47,AG47,AL47,AQ47,AV47)</f>
        <v>424.16860112432329</v>
      </c>
      <c r="L47" s="633">
        <f>IFERROR(AVERAGE(K47:K61),"-")</f>
        <v>244.55582725360242</v>
      </c>
      <c r="M47" s="201">
        <f>RANK(K47, K$47:$K$61)</f>
        <v>1</v>
      </c>
      <c r="N47" s="652"/>
      <c r="O47" s="652"/>
      <c r="P47" s="182">
        <v>5</v>
      </c>
      <c r="Q47" s="182">
        <v>2161.9354838709669</v>
      </c>
      <c r="R47" s="182">
        <v>432.38709677419337</v>
      </c>
      <c r="S47" s="537">
        <f>RANK(R47, R$47:R$61)</f>
        <v>1</v>
      </c>
      <c r="T47" s="674">
        <f>AVERAGE(R47:R61)</f>
        <v>245.98162601852977</v>
      </c>
      <c r="U47" s="182">
        <v>5</v>
      </c>
      <c r="V47" s="182">
        <v>2108.2758620689642</v>
      </c>
      <c r="W47" s="182">
        <v>421.65517241379285</v>
      </c>
      <c r="X47" s="537">
        <f>RANK(W47, W$47:W$61)</f>
        <v>2</v>
      </c>
      <c r="Y47" s="674">
        <f>AVERAGE(W47:W61)</f>
        <v>246.19451503830632</v>
      </c>
      <c r="Z47" s="182">
        <v>5</v>
      </c>
      <c r="AA47" s="182">
        <v>2113.6842105263177</v>
      </c>
      <c r="AB47" s="182">
        <v>422.73684210526352</v>
      </c>
      <c r="AC47" s="537">
        <f>RANK(AB47, AB$47:AB$61)</f>
        <v>2</v>
      </c>
      <c r="AD47" s="674">
        <f>AVERAGE(AB47:AB61)</f>
        <v>245.00953086240256</v>
      </c>
      <c r="AE47" s="182">
        <v>5</v>
      </c>
      <c r="AF47" s="182">
        <v>2135.217391304348</v>
      </c>
      <c r="AG47" s="182">
        <v>427.04347826086962</v>
      </c>
      <c r="AH47" s="537">
        <f>RANK(AG47, AG$47:AG$61)</f>
        <v>2</v>
      </c>
      <c r="AI47" s="674">
        <f>AVERAGE(AG47:AG61)</f>
        <v>243.70235962125031</v>
      </c>
      <c r="AJ47" s="182">
        <v>5</v>
      </c>
      <c r="AK47" s="182">
        <v>2084.4444444444457</v>
      </c>
      <c r="AL47" s="182">
        <v>416.88888888888914</v>
      </c>
      <c r="AM47" s="537">
        <f>RANK(AL47, AL$47:AL$61)</f>
        <v>1</v>
      </c>
      <c r="AN47" s="674">
        <f>AVERAGE(AL47:AL61)</f>
        <v>242.13745640436022</v>
      </c>
      <c r="AO47" s="182">
        <v>5</v>
      </c>
      <c r="AP47" s="182">
        <v>2080.4081632653069</v>
      </c>
      <c r="AQ47" s="182">
        <v>416.08163265306138</v>
      </c>
      <c r="AR47" s="537">
        <f>RANK(AQ47, AQ$47:AQ$61)</f>
        <v>2</v>
      </c>
      <c r="AS47" s="674">
        <f>AVERAGE(AQ47:AQ61)</f>
        <v>242.88367681183809</v>
      </c>
      <c r="AT47" s="182">
        <v>5</v>
      </c>
      <c r="AU47" s="182">
        <v>2161.9354838709669</v>
      </c>
      <c r="AV47" s="182">
        <v>432.38709677419337</v>
      </c>
      <c r="AW47" s="537">
        <f>RANK(AV47, AV$47:AV$61)</f>
        <v>1</v>
      </c>
      <c r="AX47" s="674">
        <f>AVERAGE(AV47:AV61)</f>
        <v>245.98162601852977</v>
      </c>
    </row>
    <row r="48" spans="2:50">
      <c r="B48" s="660"/>
      <c r="C48" s="309">
        <v>2</v>
      </c>
      <c r="D48" s="227" t="s">
        <v>513</v>
      </c>
      <c r="E48" s="182">
        <v>4</v>
      </c>
      <c r="F48" s="514">
        <v>2000</v>
      </c>
      <c r="G48" s="515">
        <v>500</v>
      </c>
      <c r="H48" s="702"/>
      <c r="I48" s="199">
        <f t="shared" ref="I48:I56" si="31">AVERAGE(P48,U48,Z48,AE48,AJ48,AO48,AT48)</f>
        <v>5</v>
      </c>
      <c r="J48" s="199">
        <f t="shared" ref="J48:J56" si="32">AVERAGE(Q48,V48,AA48,AF48,AK48,AP48,AU48)</f>
        <v>2109.1424741391756</v>
      </c>
      <c r="K48" s="200">
        <f t="shared" ref="K48:K56" si="33">AVERAGE(R48,W48,AB48,AG48,AL48,AQ48,AV48)</f>
        <v>421.82849482783513</v>
      </c>
      <c r="L48" s="634"/>
      <c r="M48" s="201">
        <f>RANK(K48, K$47:$K$61)</f>
        <v>2</v>
      </c>
      <c r="N48" s="652"/>
      <c r="O48" s="652"/>
      <c r="P48" s="182">
        <v>5</v>
      </c>
      <c r="Q48" s="182">
        <v>2127.8571428571445</v>
      </c>
      <c r="R48" s="182">
        <v>425.5714285714289</v>
      </c>
      <c r="S48" s="537">
        <f t="shared" ref="S48:S61" si="34">RANK(R48, R$47:R$61)</f>
        <v>2</v>
      </c>
      <c r="T48" s="674"/>
      <c r="U48" s="182">
        <v>5</v>
      </c>
      <c r="V48" s="182">
        <v>2103.3333333333344</v>
      </c>
      <c r="W48" s="182">
        <v>420.66666666666686</v>
      </c>
      <c r="X48" s="537">
        <f t="shared" ref="X48:X61" si="35">RANK(W48, W$47:W$61)</f>
        <v>3</v>
      </c>
      <c r="Y48" s="674"/>
      <c r="Z48" s="182">
        <v>5</v>
      </c>
      <c r="AA48" s="182">
        <v>2155.4716981132087</v>
      </c>
      <c r="AB48" s="182">
        <v>431.09433962264177</v>
      </c>
      <c r="AC48" s="537">
        <f t="shared" ref="AC48:AC61" si="36">RANK(AB48, AB$47:AB$61)</f>
        <v>1</v>
      </c>
      <c r="AD48" s="674"/>
      <c r="AE48" s="182">
        <v>5</v>
      </c>
      <c r="AF48" s="182">
        <v>2139.1304347826085</v>
      </c>
      <c r="AG48" s="182">
        <v>427.82608695652169</v>
      </c>
      <c r="AH48" s="537">
        <f t="shared" ref="AH48:AH61" si="37">RANK(AG48, AG$47:AG$61)</f>
        <v>1</v>
      </c>
      <c r="AI48" s="674"/>
      <c r="AJ48" s="182">
        <v>5</v>
      </c>
      <c r="AK48" s="182">
        <v>2057.8947368421068</v>
      </c>
      <c r="AL48" s="182">
        <v>411.57894736842138</v>
      </c>
      <c r="AM48" s="537">
        <f t="shared" ref="AM48:AM61" si="38">RANK(AL48, AL$47:AL$61)</f>
        <v>3</v>
      </c>
      <c r="AN48" s="674"/>
      <c r="AO48" s="182">
        <v>5</v>
      </c>
      <c r="AP48" s="182">
        <v>2052.4528301886803</v>
      </c>
      <c r="AQ48" s="182">
        <v>410.49056603773607</v>
      </c>
      <c r="AR48" s="537">
        <f t="shared" ref="AR48:AR61" si="39">RANK(AQ48, AQ$47:AQ$61)</f>
        <v>3</v>
      </c>
      <c r="AS48" s="674"/>
      <c r="AT48" s="182">
        <v>5</v>
      </c>
      <c r="AU48" s="182">
        <v>2127.8571428571445</v>
      </c>
      <c r="AV48" s="182">
        <v>425.5714285714289</v>
      </c>
      <c r="AW48" s="537">
        <f t="shared" ref="AW48:AW61" si="40">RANK(AV48, AV$47:AV$61)</f>
        <v>2</v>
      </c>
      <c r="AX48" s="674"/>
    </row>
    <row r="49" spans="2:50">
      <c r="B49" s="660"/>
      <c r="C49" s="309">
        <v>3</v>
      </c>
      <c r="D49" s="227" t="s">
        <v>399</v>
      </c>
      <c r="E49" s="182">
        <v>13</v>
      </c>
      <c r="F49" s="514">
        <v>2250</v>
      </c>
      <c r="G49" s="515">
        <v>160.69999999999999</v>
      </c>
      <c r="H49" s="702"/>
      <c r="I49" s="199">
        <f t="shared" si="31"/>
        <v>13</v>
      </c>
      <c r="J49" s="199">
        <f t="shared" si="32"/>
        <v>2086.369693640168</v>
      </c>
      <c r="K49" s="200">
        <f t="shared" si="33"/>
        <v>160.48997643385908</v>
      </c>
      <c r="L49" s="634"/>
      <c r="M49" s="201">
        <f>RANK(K49, K$47:$K$61)</f>
        <v>9</v>
      </c>
      <c r="N49" s="652"/>
      <c r="O49" s="652"/>
      <c r="P49" s="182">
        <v>13</v>
      </c>
      <c r="Q49" s="182">
        <v>2101.0714285714289</v>
      </c>
      <c r="R49" s="182">
        <v>161.62087912087915</v>
      </c>
      <c r="S49" s="537">
        <f t="shared" si="34"/>
        <v>9</v>
      </c>
      <c r="T49" s="674"/>
      <c r="U49" s="182">
        <v>13</v>
      </c>
      <c r="V49" s="182">
        <v>2133.333333333333</v>
      </c>
      <c r="W49" s="182">
        <v>164.10256410256409</v>
      </c>
      <c r="X49" s="537">
        <f t="shared" si="35"/>
        <v>9</v>
      </c>
      <c r="Y49" s="674"/>
      <c r="Z49" s="182">
        <v>13</v>
      </c>
      <c r="AA49" s="182">
        <v>2053.0000000000005</v>
      </c>
      <c r="AB49" s="182">
        <v>157.92307692307696</v>
      </c>
      <c r="AC49" s="537">
        <f t="shared" si="36"/>
        <v>9</v>
      </c>
      <c r="AD49" s="674"/>
      <c r="AE49" s="182">
        <v>13</v>
      </c>
      <c r="AF49" s="182">
        <v>2058.823529411764</v>
      </c>
      <c r="AG49" s="182">
        <v>158.37104072398185</v>
      </c>
      <c r="AH49" s="537">
        <f t="shared" si="37"/>
        <v>9</v>
      </c>
      <c r="AI49" s="674"/>
      <c r="AJ49" s="182">
        <v>13</v>
      </c>
      <c r="AK49" s="182">
        <v>2093.898305084746</v>
      </c>
      <c r="AL49" s="182">
        <v>161.0691003911343</v>
      </c>
      <c r="AM49" s="537">
        <f t="shared" si="38"/>
        <v>9</v>
      </c>
      <c r="AN49" s="674"/>
      <c r="AO49" s="182">
        <v>13</v>
      </c>
      <c r="AP49" s="182">
        <v>2063.3898305084749</v>
      </c>
      <c r="AQ49" s="182">
        <v>158.72229465449806</v>
      </c>
      <c r="AR49" s="537">
        <f t="shared" si="39"/>
        <v>9</v>
      </c>
      <c r="AS49" s="674"/>
      <c r="AT49" s="182">
        <v>13</v>
      </c>
      <c r="AU49" s="182">
        <v>2101.0714285714289</v>
      </c>
      <c r="AV49" s="182">
        <v>161.62087912087915</v>
      </c>
      <c r="AW49" s="537">
        <f t="shared" si="40"/>
        <v>9</v>
      </c>
      <c r="AX49" s="674"/>
    </row>
    <row r="50" spans="2:50">
      <c r="B50" s="660"/>
      <c r="C50" s="309">
        <v>4</v>
      </c>
      <c r="D50" s="227" t="s">
        <v>400</v>
      </c>
      <c r="E50" s="182">
        <v>12</v>
      </c>
      <c r="F50" s="514">
        <v>2250</v>
      </c>
      <c r="G50" s="515">
        <v>176.5</v>
      </c>
      <c r="H50" s="702"/>
      <c r="I50" s="199">
        <f t="shared" si="31"/>
        <v>12</v>
      </c>
      <c r="J50" s="199">
        <f t="shared" si="32"/>
        <v>2115.3604268847917</v>
      </c>
      <c r="K50" s="200">
        <f t="shared" si="33"/>
        <v>176.28003557373265</v>
      </c>
      <c r="L50" s="634"/>
      <c r="M50" s="201">
        <f>RANK(K50, K$47:$K$61)</f>
        <v>7</v>
      </c>
      <c r="N50" s="652"/>
      <c r="O50" s="652"/>
      <c r="P50" s="182">
        <v>12</v>
      </c>
      <c r="Q50" s="182">
        <v>2122.3728813559323</v>
      </c>
      <c r="R50" s="182">
        <v>176.86440677966104</v>
      </c>
      <c r="S50" s="537">
        <f t="shared" si="34"/>
        <v>7</v>
      </c>
      <c r="T50" s="674"/>
      <c r="U50" s="182">
        <v>12</v>
      </c>
      <c r="V50" s="182">
        <v>2137.6271186440681</v>
      </c>
      <c r="W50" s="182">
        <v>178.13559322033902</v>
      </c>
      <c r="X50" s="537">
        <f t="shared" si="35"/>
        <v>7</v>
      </c>
      <c r="Y50" s="674"/>
      <c r="Z50" s="182">
        <v>12</v>
      </c>
      <c r="AA50" s="182">
        <v>2116.6153846153843</v>
      </c>
      <c r="AB50" s="182">
        <v>176.38461538461536</v>
      </c>
      <c r="AC50" s="537">
        <f t="shared" si="36"/>
        <v>7</v>
      </c>
      <c r="AD50" s="674"/>
      <c r="AE50" s="182">
        <v>12</v>
      </c>
      <c r="AF50" s="182">
        <v>2122.2222222222222</v>
      </c>
      <c r="AG50" s="182">
        <v>176.85185185185185</v>
      </c>
      <c r="AH50" s="537">
        <f t="shared" si="37"/>
        <v>7</v>
      </c>
      <c r="AI50" s="674"/>
      <c r="AJ50" s="182">
        <v>12</v>
      </c>
      <c r="AK50" s="182">
        <v>2076.0000000000009</v>
      </c>
      <c r="AL50" s="182">
        <v>173.00000000000009</v>
      </c>
      <c r="AM50" s="537">
        <f t="shared" si="38"/>
        <v>7</v>
      </c>
      <c r="AN50" s="674"/>
      <c r="AO50" s="182">
        <v>12</v>
      </c>
      <c r="AP50" s="182">
        <v>2110.3125000000009</v>
      </c>
      <c r="AQ50" s="182">
        <v>175.85937500000009</v>
      </c>
      <c r="AR50" s="537">
        <f t="shared" si="39"/>
        <v>7</v>
      </c>
      <c r="AS50" s="674"/>
      <c r="AT50" s="182">
        <v>12</v>
      </c>
      <c r="AU50" s="182">
        <v>2122.3728813559323</v>
      </c>
      <c r="AV50" s="182">
        <v>176.86440677966104</v>
      </c>
      <c r="AW50" s="537">
        <f t="shared" si="40"/>
        <v>7</v>
      </c>
      <c r="AX50" s="674"/>
    </row>
    <row r="51" spans="2:50">
      <c r="B51" s="660"/>
      <c r="C51" s="309">
        <v>5</v>
      </c>
      <c r="D51" s="227" t="s">
        <v>401</v>
      </c>
      <c r="E51" s="182">
        <v>12</v>
      </c>
      <c r="F51" s="514">
        <v>2250</v>
      </c>
      <c r="G51" s="515">
        <v>187.5</v>
      </c>
      <c r="H51" s="702"/>
      <c r="I51" s="199">
        <f t="shared" si="31"/>
        <v>12</v>
      </c>
      <c r="J51" s="199">
        <f t="shared" si="32"/>
        <v>2228.7395632197222</v>
      </c>
      <c r="K51" s="200">
        <f t="shared" si="33"/>
        <v>185.7282969349769</v>
      </c>
      <c r="L51" s="634"/>
      <c r="M51" s="201">
        <f>RANK(K51, K$47:$K$61)</f>
        <v>5</v>
      </c>
      <c r="N51" s="652"/>
      <c r="O51" s="652"/>
      <c r="P51" s="182">
        <v>12</v>
      </c>
      <c r="Q51" s="182">
        <v>2237.74647887324</v>
      </c>
      <c r="R51" s="182">
        <v>186.47887323943667</v>
      </c>
      <c r="S51" s="537">
        <f t="shared" si="34"/>
        <v>5</v>
      </c>
      <c r="T51" s="674"/>
      <c r="U51" s="182">
        <v>12</v>
      </c>
      <c r="V51" s="182">
        <v>2232.8571428571431</v>
      </c>
      <c r="W51" s="182">
        <v>186.07142857142858</v>
      </c>
      <c r="X51" s="537">
        <f t="shared" si="35"/>
        <v>5</v>
      </c>
      <c r="Y51" s="674"/>
      <c r="Z51" s="182">
        <v>12</v>
      </c>
      <c r="AA51" s="182">
        <v>2264.1666666666656</v>
      </c>
      <c r="AB51" s="182">
        <v>188.68055555555546</v>
      </c>
      <c r="AC51" s="537">
        <f t="shared" si="36"/>
        <v>5</v>
      </c>
      <c r="AD51" s="674"/>
      <c r="AE51" s="182">
        <v>12</v>
      </c>
      <c r="AF51" s="182">
        <v>2255.0769230769224</v>
      </c>
      <c r="AG51" s="182">
        <v>187.92307692307688</v>
      </c>
      <c r="AH51" s="537">
        <f t="shared" si="37"/>
        <v>5</v>
      </c>
      <c r="AI51" s="674"/>
      <c r="AJ51" s="182">
        <v>12</v>
      </c>
      <c r="AK51" s="182">
        <v>2180.506329113924</v>
      </c>
      <c r="AL51" s="182">
        <v>181.70886075949366</v>
      </c>
      <c r="AM51" s="537">
        <f t="shared" si="38"/>
        <v>6</v>
      </c>
      <c r="AN51" s="674"/>
      <c r="AO51" s="182">
        <v>12</v>
      </c>
      <c r="AP51" s="182">
        <v>2193.0769230769229</v>
      </c>
      <c r="AQ51" s="182">
        <v>182.75641025641025</v>
      </c>
      <c r="AR51" s="537">
        <f t="shared" si="39"/>
        <v>6</v>
      </c>
      <c r="AS51" s="674"/>
      <c r="AT51" s="182">
        <v>12</v>
      </c>
      <c r="AU51" s="182">
        <v>2237.74647887324</v>
      </c>
      <c r="AV51" s="182">
        <v>186.47887323943667</v>
      </c>
      <c r="AW51" s="537">
        <f t="shared" si="40"/>
        <v>5</v>
      </c>
      <c r="AX51" s="674"/>
    </row>
    <row r="52" spans="2:50">
      <c r="B52" s="660"/>
      <c r="C52" s="309">
        <v>6</v>
      </c>
      <c r="D52" s="227" t="s">
        <v>402</v>
      </c>
      <c r="E52" s="182">
        <v>13</v>
      </c>
      <c r="F52" s="514">
        <v>2250</v>
      </c>
      <c r="G52" s="515">
        <v>173</v>
      </c>
      <c r="H52" s="702"/>
      <c r="I52" s="199">
        <f t="shared" si="31"/>
        <v>13</v>
      </c>
      <c r="J52" s="199">
        <f t="shared" si="32"/>
        <v>2187.3606896248411</v>
      </c>
      <c r="K52" s="200">
        <f t="shared" si="33"/>
        <v>168.25851458652622</v>
      </c>
      <c r="L52" s="634"/>
      <c r="M52" s="201">
        <f>RANK(K52, K$47:$K$61)</f>
        <v>8</v>
      </c>
      <c r="N52" s="652"/>
      <c r="O52" s="652"/>
      <c r="P52" s="182">
        <v>13</v>
      </c>
      <c r="Q52" s="182">
        <v>2196.923076923078</v>
      </c>
      <c r="R52" s="182">
        <v>168.99408284023679</v>
      </c>
      <c r="S52" s="537">
        <f t="shared" si="34"/>
        <v>8</v>
      </c>
      <c r="T52" s="674"/>
      <c r="U52" s="182">
        <v>13</v>
      </c>
      <c r="V52" s="182">
        <v>2208.484848484849</v>
      </c>
      <c r="W52" s="182">
        <v>169.88344988344991</v>
      </c>
      <c r="X52" s="537">
        <f t="shared" si="35"/>
        <v>8</v>
      </c>
      <c r="Y52" s="674"/>
      <c r="Z52" s="182">
        <v>13</v>
      </c>
      <c r="AA52" s="182">
        <v>2162.8301886792456</v>
      </c>
      <c r="AB52" s="182">
        <v>166.37155297532658</v>
      </c>
      <c r="AC52" s="537">
        <f t="shared" si="36"/>
        <v>8</v>
      </c>
      <c r="AD52" s="674"/>
      <c r="AE52" s="182">
        <v>13</v>
      </c>
      <c r="AF52" s="182">
        <v>2175.757575757576</v>
      </c>
      <c r="AG52" s="182">
        <v>167.36596736596738</v>
      </c>
      <c r="AH52" s="537">
        <f t="shared" si="37"/>
        <v>8</v>
      </c>
      <c r="AI52" s="674"/>
      <c r="AJ52" s="182">
        <v>13</v>
      </c>
      <c r="AK52" s="182">
        <v>2183.3333333333339</v>
      </c>
      <c r="AL52" s="182">
        <v>167.94871794871798</v>
      </c>
      <c r="AM52" s="537">
        <f t="shared" si="38"/>
        <v>8</v>
      </c>
      <c r="AN52" s="674"/>
      <c r="AO52" s="182">
        <v>13</v>
      </c>
      <c r="AP52" s="182">
        <v>2187.2727272727261</v>
      </c>
      <c r="AQ52" s="182">
        <v>168.25174825174815</v>
      </c>
      <c r="AR52" s="537">
        <f t="shared" si="39"/>
        <v>8</v>
      </c>
      <c r="AS52" s="674"/>
      <c r="AT52" s="182">
        <v>13</v>
      </c>
      <c r="AU52" s="182">
        <v>2196.923076923078</v>
      </c>
      <c r="AV52" s="182">
        <v>168.99408284023679</v>
      </c>
      <c r="AW52" s="537">
        <f t="shared" si="40"/>
        <v>8</v>
      </c>
      <c r="AX52" s="674"/>
    </row>
    <row r="53" spans="2:50">
      <c r="B53" s="660"/>
      <c r="C53" s="309">
        <v>7</v>
      </c>
      <c r="D53" s="227" t="s">
        <v>403</v>
      </c>
      <c r="E53" s="182">
        <v>10</v>
      </c>
      <c r="F53" s="514">
        <v>2250</v>
      </c>
      <c r="G53" s="515">
        <v>225</v>
      </c>
      <c r="H53" s="702"/>
      <c r="I53" s="199">
        <f t="shared" si="31"/>
        <v>10</v>
      </c>
      <c r="J53" s="199">
        <f t="shared" si="32"/>
        <v>2106.3323430344685</v>
      </c>
      <c r="K53" s="200">
        <f t="shared" si="33"/>
        <v>210.63323430344684</v>
      </c>
      <c r="L53" s="634"/>
      <c r="M53" s="201">
        <f>RANK(K53, K$47:$K$61)</f>
        <v>4</v>
      </c>
      <c r="N53" s="652"/>
      <c r="O53" s="652"/>
      <c r="P53" s="182">
        <v>10</v>
      </c>
      <c r="Q53" s="182">
        <v>2106.645569620252</v>
      </c>
      <c r="R53" s="182">
        <v>210.66455696202519</v>
      </c>
      <c r="S53" s="537">
        <f t="shared" si="34"/>
        <v>4</v>
      </c>
      <c r="T53" s="674"/>
      <c r="U53" s="182">
        <v>10</v>
      </c>
      <c r="V53" s="182">
        <v>2139.6986301369861</v>
      </c>
      <c r="W53" s="182">
        <v>213.96986301369861</v>
      </c>
      <c r="X53" s="537">
        <f t="shared" si="35"/>
        <v>4</v>
      </c>
      <c r="Y53" s="674"/>
      <c r="Z53" s="182">
        <v>10</v>
      </c>
      <c r="AA53" s="182">
        <v>2072.4216867469872</v>
      </c>
      <c r="AB53" s="182">
        <v>207.24216867469872</v>
      </c>
      <c r="AC53" s="537">
        <f t="shared" si="36"/>
        <v>4</v>
      </c>
      <c r="AD53" s="674"/>
      <c r="AE53" s="182">
        <v>10</v>
      </c>
      <c r="AF53" s="182">
        <v>2072.3684210526312</v>
      </c>
      <c r="AG53" s="182">
        <v>207.23684210526312</v>
      </c>
      <c r="AH53" s="537">
        <f t="shared" si="37"/>
        <v>4</v>
      </c>
      <c r="AI53" s="674"/>
      <c r="AJ53" s="182">
        <v>10</v>
      </c>
      <c r="AK53" s="182">
        <v>2135.1818181818185</v>
      </c>
      <c r="AL53" s="182">
        <v>213.51818181818186</v>
      </c>
      <c r="AM53" s="537">
        <f t="shared" si="38"/>
        <v>4</v>
      </c>
      <c r="AN53" s="674"/>
      <c r="AO53" s="182">
        <v>10</v>
      </c>
      <c r="AP53" s="182">
        <v>2111.3647058823526</v>
      </c>
      <c r="AQ53" s="182">
        <v>211.13647058823526</v>
      </c>
      <c r="AR53" s="537">
        <f t="shared" si="39"/>
        <v>4</v>
      </c>
      <c r="AS53" s="674"/>
      <c r="AT53" s="182">
        <v>10</v>
      </c>
      <c r="AU53" s="182">
        <v>2106.645569620252</v>
      </c>
      <c r="AV53" s="182">
        <v>210.66455696202519</v>
      </c>
      <c r="AW53" s="537">
        <f t="shared" si="40"/>
        <v>4</v>
      </c>
      <c r="AX53" s="674"/>
    </row>
    <row r="54" spans="2:50">
      <c r="B54" s="660"/>
      <c r="C54" s="309">
        <v>8</v>
      </c>
      <c r="D54" s="227" t="s">
        <v>397</v>
      </c>
      <c r="E54" s="182">
        <v>18</v>
      </c>
      <c r="F54" s="514">
        <v>1250</v>
      </c>
      <c r="G54" s="515">
        <v>69.444444444444443</v>
      </c>
      <c r="H54" s="702"/>
      <c r="I54" s="199">
        <f t="shared" si="31"/>
        <v>13</v>
      </c>
      <c r="J54" s="199">
        <f t="shared" si="32"/>
        <v>1272.3727090836335</v>
      </c>
      <c r="K54" s="200">
        <f t="shared" si="33"/>
        <v>97.874823775664126</v>
      </c>
      <c r="L54" s="634"/>
      <c r="M54" s="201">
        <f>RANK(K54, K$47:$K$61)</f>
        <v>10</v>
      </c>
      <c r="N54" s="652"/>
      <c r="O54" s="652"/>
      <c r="P54" s="182">
        <v>13</v>
      </c>
      <c r="Q54" s="182">
        <v>1298.6666666666667</v>
      </c>
      <c r="R54" s="182">
        <v>99.897435897435898</v>
      </c>
      <c r="S54" s="537">
        <f t="shared" si="34"/>
        <v>10</v>
      </c>
      <c r="T54" s="674"/>
      <c r="U54" s="182">
        <v>13</v>
      </c>
      <c r="V54" s="182">
        <v>1277.6470588235302</v>
      </c>
      <c r="W54" s="182">
        <v>98.280542986425402</v>
      </c>
      <c r="X54" s="537">
        <f t="shared" si="35"/>
        <v>10</v>
      </c>
      <c r="Y54" s="674"/>
      <c r="Z54" s="182">
        <v>13</v>
      </c>
      <c r="AA54" s="182">
        <v>1252.2000000000003</v>
      </c>
      <c r="AB54" s="182">
        <v>96.32307692307694</v>
      </c>
      <c r="AC54" s="537">
        <f t="shared" si="36"/>
        <v>10</v>
      </c>
      <c r="AD54" s="674"/>
      <c r="AE54" s="182">
        <v>13</v>
      </c>
      <c r="AF54" s="182">
        <v>1200.6666666666667</v>
      </c>
      <c r="AG54" s="182">
        <v>92.358974358974365</v>
      </c>
      <c r="AH54" s="537">
        <f t="shared" si="37"/>
        <v>10</v>
      </c>
      <c r="AI54" s="674"/>
      <c r="AJ54" s="182">
        <v>13</v>
      </c>
      <c r="AK54" s="182">
        <v>1323.3333333333335</v>
      </c>
      <c r="AL54" s="182">
        <v>101.79487179487181</v>
      </c>
      <c r="AM54" s="537">
        <f t="shared" si="38"/>
        <v>10</v>
      </c>
      <c r="AN54" s="674"/>
      <c r="AO54" s="182">
        <v>13</v>
      </c>
      <c r="AP54" s="182">
        <v>1255.4285714285716</v>
      </c>
      <c r="AQ54" s="182">
        <v>96.571428571428584</v>
      </c>
      <c r="AR54" s="537">
        <f t="shared" si="39"/>
        <v>10</v>
      </c>
      <c r="AS54" s="674"/>
      <c r="AT54" s="182">
        <v>13</v>
      </c>
      <c r="AU54" s="182">
        <v>1298.6666666666667</v>
      </c>
      <c r="AV54" s="182">
        <v>99.897435897435898</v>
      </c>
      <c r="AW54" s="537">
        <f t="shared" si="40"/>
        <v>10</v>
      </c>
      <c r="AX54" s="674"/>
    </row>
    <row r="55" spans="2:50">
      <c r="B55" s="660"/>
      <c r="C55" s="309">
        <v>9</v>
      </c>
      <c r="D55" s="227" t="s">
        <v>829</v>
      </c>
      <c r="E55" s="182">
        <v>12</v>
      </c>
      <c r="F55" s="514">
        <v>2250</v>
      </c>
      <c r="G55" s="515">
        <v>176.5</v>
      </c>
      <c r="H55" s="702"/>
      <c r="I55" s="199">
        <f t="shared" si="31"/>
        <v>12</v>
      </c>
      <c r="J55" s="199">
        <f t="shared" si="32"/>
        <v>2196.6941181737857</v>
      </c>
      <c r="K55" s="200">
        <f t="shared" si="33"/>
        <v>183.05784318114885</v>
      </c>
      <c r="L55" s="634"/>
      <c r="M55" s="201">
        <f>RANK(K55, K$47:$K$61)</f>
        <v>6</v>
      </c>
      <c r="N55" s="652"/>
      <c r="O55" s="652"/>
      <c r="P55" s="182">
        <v>12</v>
      </c>
      <c r="Q55" s="182">
        <v>2171.2499999999991</v>
      </c>
      <c r="R55" s="182">
        <v>180.93749999999991</v>
      </c>
      <c r="S55" s="537">
        <f t="shared" si="34"/>
        <v>6</v>
      </c>
      <c r="T55" s="674"/>
      <c r="U55" s="182">
        <v>12</v>
      </c>
      <c r="V55" s="182">
        <v>2195.6756756756768</v>
      </c>
      <c r="W55" s="182">
        <v>182.97297297297305</v>
      </c>
      <c r="X55" s="537">
        <f t="shared" si="35"/>
        <v>6</v>
      </c>
      <c r="Y55" s="674"/>
      <c r="Z55" s="182">
        <v>12</v>
      </c>
      <c r="AA55" s="182">
        <v>2210.0000000000014</v>
      </c>
      <c r="AB55" s="182">
        <v>184.16666666666677</v>
      </c>
      <c r="AC55" s="537">
        <f t="shared" si="36"/>
        <v>6</v>
      </c>
      <c r="AD55" s="674"/>
      <c r="AE55" s="182">
        <v>12</v>
      </c>
      <c r="AF55" s="182">
        <v>2181.1267605633807</v>
      </c>
      <c r="AG55" s="182">
        <v>181.76056338028172</v>
      </c>
      <c r="AH55" s="537">
        <f t="shared" si="37"/>
        <v>6</v>
      </c>
      <c r="AI55" s="674"/>
      <c r="AJ55" s="182">
        <v>12</v>
      </c>
      <c r="AK55" s="182">
        <v>2185.7142857142867</v>
      </c>
      <c r="AL55" s="182">
        <v>182.14285714285722</v>
      </c>
      <c r="AM55" s="537">
        <f t="shared" si="38"/>
        <v>5</v>
      </c>
      <c r="AN55" s="674"/>
      <c r="AO55" s="182">
        <v>12</v>
      </c>
      <c r="AP55" s="182">
        <v>2261.8421052631588</v>
      </c>
      <c r="AQ55" s="182">
        <v>188.48684210526324</v>
      </c>
      <c r="AR55" s="537">
        <f t="shared" si="39"/>
        <v>5</v>
      </c>
      <c r="AS55" s="674"/>
      <c r="AT55" s="182">
        <v>12</v>
      </c>
      <c r="AU55" s="182">
        <v>2171.2499999999991</v>
      </c>
      <c r="AV55" s="182">
        <v>180.93749999999991</v>
      </c>
      <c r="AW55" s="537">
        <f t="shared" si="40"/>
        <v>6</v>
      </c>
      <c r="AX55" s="674"/>
    </row>
    <row r="56" spans="2:50">
      <c r="B56" s="660"/>
      <c r="C56" s="309">
        <v>10</v>
      </c>
      <c r="D56" s="227" t="s">
        <v>908</v>
      </c>
      <c r="E56" s="182">
        <v>4</v>
      </c>
      <c r="F56" s="514">
        <v>2000</v>
      </c>
      <c r="G56" s="515">
        <v>500</v>
      </c>
      <c r="H56" s="702"/>
      <c r="I56" s="199">
        <f t="shared" si="31"/>
        <v>5</v>
      </c>
      <c r="J56" s="199">
        <f t="shared" si="32"/>
        <v>2086.1922589725559</v>
      </c>
      <c r="K56" s="200">
        <f t="shared" si="33"/>
        <v>417.23845179451115</v>
      </c>
      <c r="L56" s="634"/>
      <c r="M56" s="201">
        <f>RANK(K56, K$47:$K$61)</f>
        <v>3</v>
      </c>
      <c r="N56" s="652"/>
      <c r="O56" s="652"/>
      <c r="P56" s="182">
        <v>5</v>
      </c>
      <c r="Q56" s="182">
        <v>2082.0000000000018</v>
      </c>
      <c r="R56" s="182">
        <v>416.40000000000038</v>
      </c>
      <c r="S56" s="537">
        <f t="shared" si="34"/>
        <v>3</v>
      </c>
      <c r="T56" s="674"/>
      <c r="U56" s="182">
        <v>5</v>
      </c>
      <c r="V56" s="182">
        <v>2131.0344827586223</v>
      </c>
      <c r="W56" s="182">
        <v>426.20689655172447</v>
      </c>
      <c r="X56" s="537">
        <f t="shared" si="35"/>
        <v>1</v>
      </c>
      <c r="Y56" s="674"/>
      <c r="Z56" s="182">
        <v>5</v>
      </c>
      <c r="AA56" s="182">
        <v>2095.862068965519</v>
      </c>
      <c r="AB56" s="182">
        <v>419.17241379310383</v>
      </c>
      <c r="AC56" s="537">
        <f t="shared" si="36"/>
        <v>3</v>
      </c>
      <c r="AD56" s="674"/>
      <c r="AE56" s="182">
        <v>5</v>
      </c>
      <c r="AF56" s="182">
        <v>2051.4285714285706</v>
      </c>
      <c r="AG56" s="182">
        <v>410.28571428571411</v>
      </c>
      <c r="AH56" s="537">
        <f t="shared" si="37"/>
        <v>3</v>
      </c>
      <c r="AI56" s="674"/>
      <c r="AJ56" s="182">
        <v>5</v>
      </c>
      <c r="AK56" s="182">
        <v>2058.6206896551739</v>
      </c>
      <c r="AL56" s="182">
        <v>411.72413793103476</v>
      </c>
      <c r="AM56" s="537">
        <f t="shared" si="38"/>
        <v>2</v>
      </c>
      <c r="AN56" s="674"/>
      <c r="AO56" s="182">
        <v>5</v>
      </c>
      <c r="AP56" s="182">
        <v>2102.400000000001</v>
      </c>
      <c r="AQ56" s="182">
        <v>420.48000000000019</v>
      </c>
      <c r="AR56" s="537">
        <f t="shared" si="39"/>
        <v>1</v>
      </c>
      <c r="AS56" s="674"/>
      <c r="AT56" s="182">
        <v>5</v>
      </c>
      <c r="AU56" s="182">
        <v>2082.0000000000018</v>
      </c>
      <c r="AV56" s="182">
        <v>416.40000000000038</v>
      </c>
      <c r="AW56" s="537">
        <f t="shared" si="40"/>
        <v>3</v>
      </c>
      <c r="AX56" s="674"/>
    </row>
    <row r="57" spans="2:50">
      <c r="B57" s="660"/>
      <c r="C57" s="309">
        <v>11</v>
      </c>
      <c r="D57" s="227"/>
      <c r="E57" s="182"/>
      <c r="F57" s="514"/>
      <c r="G57" s="515"/>
      <c r="H57" s="702"/>
      <c r="I57" s="483"/>
      <c r="J57" s="483"/>
      <c r="K57" s="200"/>
      <c r="L57" s="634"/>
      <c r="M57" s="201" t="e">
        <f>RANK(K57, K$47:$K$61)</f>
        <v>#N/A</v>
      </c>
      <c r="N57" s="652"/>
      <c r="O57" s="652"/>
      <c r="P57" s="182"/>
      <c r="Q57" s="182"/>
      <c r="R57" s="182"/>
      <c r="S57" s="537" t="e">
        <f t="shared" si="34"/>
        <v>#N/A</v>
      </c>
      <c r="T57" s="674"/>
      <c r="U57" s="182"/>
      <c r="V57" s="182"/>
      <c r="W57" s="182"/>
      <c r="X57" s="537" t="e">
        <f t="shared" si="35"/>
        <v>#N/A</v>
      </c>
      <c r="Y57" s="674"/>
      <c r="Z57" s="182"/>
      <c r="AA57" s="182"/>
      <c r="AB57" s="182"/>
      <c r="AC57" s="537" t="e">
        <f t="shared" si="36"/>
        <v>#N/A</v>
      </c>
      <c r="AD57" s="674"/>
      <c r="AE57" s="182"/>
      <c r="AF57" s="182"/>
      <c r="AG57" s="182"/>
      <c r="AH57" s="537" t="e">
        <f t="shared" si="37"/>
        <v>#N/A</v>
      </c>
      <c r="AI57" s="674"/>
      <c r="AJ57" s="182"/>
      <c r="AK57" s="182"/>
      <c r="AL57" s="182"/>
      <c r="AM57" s="537" t="e">
        <f t="shared" si="38"/>
        <v>#N/A</v>
      </c>
      <c r="AN57" s="674"/>
      <c r="AO57" s="182"/>
      <c r="AP57" s="182"/>
      <c r="AQ57" s="182"/>
      <c r="AR57" s="537" t="e">
        <f t="shared" si="39"/>
        <v>#N/A</v>
      </c>
      <c r="AS57" s="674"/>
      <c r="AT57" s="182"/>
      <c r="AU57" s="182"/>
      <c r="AV57" s="182"/>
      <c r="AW57" s="537" t="e">
        <f t="shared" si="40"/>
        <v>#N/A</v>
      </c>
      <c r="AX57" s="674"/>
    </row>
    <row r="58" spans="2:50">
      <c r="B58" s="660"/>
      <c r="C58" s="309">
        <v>12</v>
      </c>
      <c r="D58" s="227"/>
      <c r="E58" s="182"/>
      <c r="F58" s="514"/>
      <c r="G58" s="515"/>
      <c r="H58" s="702"/>
      <c r="I58" s="540"/>
      <c r="J58" s="540"/>
      <c r="K58" s="200"/>
      <c r="L58" s="634"/>
      <c r="M58" s="201" t="e">
        <f>RANK(K58, K$47:$K$61)</f>
        <v>#N/A</v>
      </c>
      <c r="N58" s="652"/>
      <c r="O58" s="652"/>
      <c r="P58" s="182"/>
      <c r="Q58" s="182"/>
      <c r="R58" s="182"/>
      <c r="S58" s="537" t="e">
        <f t="shared" si="34"/>
        <v>#N/A</v>
      </c>
      <c r="T58" s="674"/>
      <c r="U58" s="182"/>
      <c r="V58" s="182"/>
      <c r="W58" s="182"/>
      <c r="X58" s="537" t="e">
        <f t="shared" si="35"/>
        <v>#N/A</v>
      </c>
      <c r="Y58" s="674"/>
      <c r="Z58" s="182"/>
      <c r="AA58" s="182"/>
      <c r="AB58" s="182"/>
      <c r="AC58" s="537" t="e">
        <f t="shared" si="36"/>
        <v>#N/A</v>
      </c>
      <c r="AD58" s="674"/>
      <c r="AE58" s="182"/>
      <c r="AF58" s="182"/>
      <c r="AG58" s="182"/>
      <c r="AH58" s="537" t="e">
        <f t="shared" si="37"/>
        <v>#N/A</v>
      </c>
      <c r="AI58" s="674"/>
      <c r="AJ58" s="182"/>
      <c r="AK58" s="182"/>
      <c r="AL58" s="182"/>
      <c r="AM58" s="537" t="e">
        <f t="shared" si="38"/>
        <v>#N/A</v>
      </c>
      <c r="AN58" s="674"/>
      <c r="AO58" s="182"/>
      <c r="AP58" s="182"/>
      <c r="AQ58" s="182"/>
      <c r="AR58" s="537" t="e">
        <f t="shared" si="39"/>
        <v>#N/A</v>
      </c>
      <c r="AS58" s="674"/>
      <c r="AT58" s="182"/>
      <c r="AU58" s="182"/>
      <c r="AV58" s="182"/>
      <c r="AW58" s="537" t="e">
        <f t="shared" si="40"/>
        <v>#N/A</v>
      </c>
      <c r="AX58" s="674"/>
    </row>
    <row r="59" spans="2:50">
      <c r="B59" s="660"/>
      <c r="C59" s="309">
        <v>13</v>
      </c>
      <c r="D59" s="227"/>
      <c r="E59" s="182"/>
      <c r="F59" s="514"/>
      <c r="G59" s="515"/>
      <c r="H59" s="702"/>
      <c r="I59" s="202"/>
      <c r="J59" s="202"/>
      <c r="K59" s="202"/>
      <c r="L59" s="634"/>
      <c r="M59" s="201" t="e">
        <f>RANK(K59, K$47:$K$61)</f>
        <v>#N/A</v>
      </c>
      <c r="N59" s="652"/>
      <c r="O59" s="652"/>
      <c r="P59" s="182"/>
      <c r="Q59" s="182"/>
      <c r="R59" s="182"/>
      <c r="S59" s="537" t="e">
        <f t="shared" si="34"/>
        <v>#N/A</v>
      </c>
      <c r="T59" s="674"/>
      <c r="U59" s="182"/>
      <c r="V59" s="182"/>
      <c r="W59" s="182"/>
      <c r="X59" s="537" t="e">
        <f t="shared" si="35"/>
        <v>#N/A</v>
      </c>
      <c r="Y59" s="674"/>
      <c r="Z59" s="182"/>
      <c r="AA59" s="182"/>
      <c r="AB59" s="182"/>
      <c r="AC59" s="537" t="e">
        <f t="shared" si="36"/>
        <v>#N/A</v>
      </c>
      <c r="AD59" s="674"/>
      <c r="AE59" s="182"/>
      <c r="AF59" s="182"/>
      <c r="AG59" s="182"/>
      <c r="AH59" s="537" t="e">
        <f t="shared" si="37"/>
        <v>#N/A</v>
      </c>
      <c r="AI59" s="674"/>
      <c r="AJ59" s="182"/>
      <c r="AK59" s="182"/>
      <c r="AL59" s="182"/>
      <c r="AM59" s="537" t="e">
        <f t="shared" si="38"/>
        <v>#N/A</v>
      </c>
      <c r="AN59" s="674"/>
      <c r="AO59" s="182"/>
      <c r="AP59" s="182"/>
      <c r="AQ59" s="182"/>
      <c r="AR59" s="537" t="e">
        <f t="shared" si="39"/>
        <v>#N/A</v>
      </c>
      <c r="AS59" s="674"/>
      <c r="AT59" s="182"/>
      <c r="AU59" s="182"/>
      <c r="AV59" s="182"/>
      <c r="AW59" s="537" t="e">
        <f t="shared" si="40"/>
        <v>#N/A</v>
      </c>
      <c r="AX59" s="674"/>
    </row>
    <row r="60" spans="2:50">
      <c r="B60" s="660"/>
      <c r="C60" s="309">
        <v>14</v>
      </c>
      <c r="D60" s="227"/>
      <c r="E60" s="182"/>
      <c r="F60" s="514"/>
      <c r="G60" s="515"/>
      <c r="H60" s="702"/>
      <c r="I60" s="202"/>
      <c r="J60" s="202"/>
      <c r="K60" s="202"/>
      <c r="L60" s="634"/>
      <c r="M60" s="201" t="e">
        <f>RANK(K60, K$47:$K$61)</f>
        <v>#N/A</v>
      </c>
      <c r="N60" s="652"/>
      <c r="O60" s="652"/>
      <c r="P60" s="182"/>
      <c r="Q60" s="182"/>
      <c r="R60" s="182"/>
      <c r="S60" s="537" t="e">
        <f t="shared" si="34"/>
        <v>#N/A</v>
      </c>
      <c r="T60" s="674"/>
      <c r="U60" s="182"/>
      <c r="V60" s="182"/>
      <c r="W60" s="182"/>
      <c r="X60" s="537" t="e">
        <f t="shared" si="35"/>
        <v>#N/A</v>
      </c>
      <c r="Y60" s="674"/>
      <c r="Z60" s="182"/>
      <c r="AA60" s="182"/>
      <c r="AB60" s="182"/>
      <c r="AC60" s="537" t="e">
        <f t="shared" si="36"/>
        <v>#N/A</v>
      </c>
      <c r="AD60" s="674"/>
      <c r="AE60" s="182"/>
      <c r="AF60" s="182"/>
      <c r="AG60" s="182"/>
      <c r="AH60" s="537" t="e">
        <f t="shared" si="37"/>
        <v>#N/A</v>
      </c>
      <c r="AI60" s="674"/>
      <c r="AJ60" s="182"/>
      <c r="AK60" s="182"/>
      <c r="AL60" s="182"/>
      <c r="AM60" s="537" t="e">
        <f t="shared" si="38"/>
        <v>#N/A</v>
      </c>
      <c r="AN60" s="674"/>
      <c r="AO60" s="182"/>
      <c r="AP60" s="182"/>
      <c r="AQ60" s="182"/>
      <c r="AR60" s="537" t="e">
        <f t="shared" si="39"/>
        <v>#N/A</v>
      </c>
      <c r="AS60" s="674"/>
      <c r="AT60" s="182"/>
      <c r="AU60" s="182"/>
      <c r="AV60" s="182"/>
      <c r="AW60" s="537" t="e">
        <f t="shared" si="40"/>
        <v>#N/A</v>
      </c>
      <c r="AX60" s="674"/>
    </row>
    <row r="61" spans="2:50">
      <c r="B61" s="660"/>
      <c r="C61" s="309">
        <v>15</v>
      </c>
      <c r="D61" s="227"/>
      <c r="E61" s="182"/>
      <c r="F61" s="514"/>
      <c r="G61" s="515"/>
      <c r="H61" s="703"/>
      <c r="I61" s="202"/>
      <c r="J61" s="202"/>
      <c r="K61" s="202"/>
      <c r="L61" s="635"/>
      <c r="M61" s="201" t="e">
        <f>RANK(K61, K$47:$K$61)</f>
        <v>#N/A</v>
      </c>
      <c r="N61" s="652"/>
      <c r="O61" s="652"/>
      <c r="P61" s="182"/>
      <c r="Q61" s="182"/>
      <c r="R61" s="182"/>
      <c r="S61" s="537" t="e">
        <f t="shared" si="34"/>
        <v>#N/A</v>
      </c>
      <c r="T61" s="674"/>
      <c r="U61" s="182"/>
      <c r="V61" s="182"/>
      <c r="W61" s="182"/>
      <c r="X61" s="537" t="e">
        <f t="shared" si="35"/>
        <v>#N/A</v>
      </c>
      <c r="Y61" s="674"/>
      <c r="Z61" s="182"/>
      <c r="AA61" s="182"/>
      <c r="AB61" s="182"/>
      <c r="AC61" s="537" t="e">
        <f t="shared" si="36"/>
        <v>#N/A</v>
      </c>
      <c r="AD61" s="674"/>
      <c r="AE61" s="182"/>
      <c r="AF61" s="182"/>
      <c r="AG61" s="182"/>
      <c r="AH61" s="537" t="e">
        <f t="shared" si="37"/>
        <v>#N/A</v>
      </c>
      <c r="AI61" s="674"/>
      <c r="AJ61" s="182"/>
      <c r="AK61" s="182"/>
      <c r="AL61" s="182"/>
      <c r="AM61" s="537" t="e">
        <f t="shared" si="38"/>
        <v>#N/A</v>
      </c>
      <c r="AN61" s="674"/>
      <c r="AO61" s="182"/>
      <c r="AP61" s="182"/>
      <c r="AQ61" s="182"/>
      <c r="AR61" s="537" t="e">
        <f t="shared" si="39"/>
        <v>#N/A</v>
      </c>
      <c r="AS61" s="674"/>
      <c r="AT61" s="182"/>
      <c r="AU61" s="182"/>
      <c r="AV61" s="182"/>
      <c r="AW61" s="537" t="e">
        <f t="shared" si="40"/>
        <v>#N/A</v>
      </c>
      <c r="AX61" s="674"/>
    </row>
    <row r="62" spans="2:50" ht="15.75">
      <c r="B62" s="664" t="s">
        <v>163</v>
      </c>
      <c r="C62" s="665"/>
      <c r="D62" s="665"/>
      <c r="E62" s="665"/>
      <c r="F62" s="665"/>
      <c r="G62" s="665"/>
      <c r="H62" s="666"/>
      <c r="I62" s="208"/>
      <c r="J62" s="208"/>
      <c r="K62" s="208"/>
      <c r="L62" s="208"/>
      <c r="M62" s="207"/>
      <c r="N62" s="653" t="s">
        <v>156</v>
      </c>
      <c r="O62" s="653" t="s">
        <v>105</v>
      </c>
      <c r="P62" s="659">
        <f>P42+7</f>
        <v>46070</v>
      </c>
      <c r="Q62" s="660"/>
      <c r="R62" s="660"/>
      <c r="S62" s="660"/>
      <c r="T62" s="660"/>
      <c r="U62" s="656">
        <f>P62+1</f>
        <v>46071</v>
      </c>
      <c r="V62" s="657"/>
      <c r="W62" s="657"/>
      <c r="X62" s="657"/>
      <c r="Y62" s="658"/>
      <c r="Z62" s="656">
        <f>U62+1</f>
        <v>46072</v>
      </c>
      <c r="AA62" s="657"/>
      <c r="AB62" s="657"/>
      <c r="AC62" s="657"/>
      <c r="AD62" s="658"/>
      <c r="AE62" s="656">
        <f>Z62+1</f>
        <v>46073</v>
      </c>
      <c r="AF62" s="657"/>
      <c r="AG62" s="657"/>
      <c r="AH62" s="657"/>
      <c r="AI62" s="658"/>
      <c r="AJ62" s="656">
        <f>AE62+1</f>
        <v>46074</v>
      </c>
      <c r="AK62" s="657"/>
      <c r="AL62" s="657"/>
      <c r="AM62" s="657"/>
      <c r="AN62" s="658"/>
      <c r="AO62" s="656">
        <f>AJ62+1</f>
        <v>46075</v>
      </c>
      <c r="AP62" s="657"/>
      <c r="AQ62" s="657"/>
      <c r="AR62" s="657"/>
      <c r="AS62" s="658"/>
      <c r="AT62" s="656">
        <f>AO62+1</f>
        <v>46076</v>
      </c>
      <c r="AU62" s="657"/>
      <c r="AV62" s="657"/>
      <c r="AW62" s="657"/>
      <c r="AX62" s="658"/>
    </row>
    <row r="63" spans="2:50" ht="15.75">
      <c r="B63" s="667"/>
      <c r="C63" s="667"/>
      <c r="D63" s="667"/>
      <c r="E63" s="667"/>
      <c r="F63" s="667"/>
      <c r="G63" s="667"/>
      <c r="H63" s="667"/>
      <c r="I63" s="205"/>
      <c r="J63" s="205"/>
      <c r="K63" s="205"/>
      <c r="L63" s="205"/>
      <c r="M63" s="206"/>
      <c r="N63" s="655"/>
      <c r="O63" s="655"/>
      <c r="P63" s="659" t="s">
        <v>336</v>
      </c>
      <c r="Q63" s="660"/>
      <c r="R63" s="660"/>
      <c r="S63" s="660"/>
      <c r="T63" s="660"/>
      <c r="U63" s="659" t="s">
        <v>337</v>
      </c>
      <c r="V63" s="660"/>
      <c r="W63" s="660"/>
      <c r="X63" s="660"/>
      <c r="Y63" s="660"/>
      <c r="Z63" s="659" t="s">
        <v>338</v>
      </c>
      <c r="AA63" s="660"/>
      <c r="AB63" s="660"/>
      <c r="AC63" s="660"/>
      <c r="AD63" s="660"/>
      <c r="AE63" s="659" t="s">
        <v>339</v>
      </c>
      <c r="AF63" s="660"/>
      <c r="AG63" s="660"/>
      <c r="AH63" s="660"/>
      <c r="AI63" s="660"/>
      <c r="AJ63" s="659" t="s">
        <v>340</v>
      </c>
      <c r="AK63" s="660"/>
      <c r="AL63" s="660"/>
      <c r="AM63" s="660"/>
      <c r="AN63" s="660"/>
      <c r="AO63" s="659" t="s">
        <v>341</v>
      </c>
      <c r="AP63" s="660"/>
      <c r="AQ63" s="660"/>
      <c r="AR63" s="660"/>
      <c r="AS63" s="660"/>
      <c r="AT63" s="659" t="s">
        <v>342</v>
      </c>
      <c r="AU63" s="660"/>
      <c r="AV63" s="660"/>
      <c r="AW63" s="660"/>
      <c r="AX63" s="660"/>
    </row>
    <row r="64" spans="2:50">
      <c r="B64" s="652" t="s">
        <v>431</v>
      </c>
      <c r="C64" s="652" t="s">
        <v>441</v>
      </c>
      <c r="D64" s="652"/>
      <c r="E64" s="652" t="s">
        <v>432</v>
      </c>
      <c r="F64" s="652"/>
      <c r="G64" s="652"/>
      <c r="H64" s="668" t="s">
        <v>428</v>
      </c>
      <c r="I64" s="636" t="s">
        <v>433</v>
      </c>
      <c r="J64" s="636"/>
      <c r="K64" s="636"/>
      <c r="L64" s="637" t="s">
        <v>428</v>
      </c>
      <c r="M64" s="643" t="s">
        <v>429</v>
      </c>
      <c r="N64" s="652"/>
      <c r="O64" s="652" t="s">
        <v>434</v>
      </c>
      <c r="P64" s="649" t="s">
        <v>430</v>
      </c>
      <c r="Q64" s="650"/>
      <c r="R64" s="650"/>
      <c r="S64" s="651"/>
      <c r="T64" s="652" t="s">
        <v>428</v>
      </c>
      <c r="U64" s="649" t="s">
        <v>430</v>
      </c>
      <c r="V64" s="650"/>
      <c r="W64" s="650"/>
      <c r="X64" s="651"/>
      <c r="Y64" s="652" t="s">
        <v>428</v>
      </c>
      <c r="Z64" s="649" t="s">
        <v>430</v>
      </c>
      <c r="AA64" s="650"/>
      <c r="AB64" s="650"/>
      <c r="AC64" s="651"/>
      <c r="AD64" s="652" t="s">
        <v>428</v>
      </c>
      <c r="AE64" s="649" t="s">
        <v>430</v>
      </c>
      <c r="AF64" s="650"/>
      <c r="AG64" s="650"/>
      <c r="AH64" s="651"/>
      <c r="AI64" s="652" t="s">
        <v>428</v>
      </c>
      <c r="AJ64" s="649" t="s">
        <v>430</v>
      </c>
      <c r="AK64" s="650"/>
      <c r="AL64" s="650"/>
      <c r="AM64" s="651"/>
      <c r="AN64" s="652" t="s">
        <v>428</v>
      </c>
      <c r="AO64" s="649" t="s">
        <v>430</v>
      </c>
      <c r="AP64" s="650"/>
      <c r="AQ64" s="650"/>
      <c r="AR64" s="651"/>
      <c r="AS64" s="652" t="s">
        <v>428</v>
      </c>
      <c r="AT64" s="649" t="s">
        <v>430</v>
      </c>
      <c r="AU64" s="650"/>
      <c r="AV64" s="650"/>
      <c r="AW64" s="651"/>
      <c r="AX64" s="652" t="s">
        <v>428</v>
      </c>
    </row>
    <row r="65" spans="2:50">
      <c r="B65" s="652"/>
      <c r="C65" s="652"/>
      <c r="D65" s="652"/>
      <c r="E65" s="652" t="s">
        <v>435</v>
      </c>
      <c r="F65" s="652"/>
      <c r="G65" s="652"/>
      <c r="H65" s="669"/>
      <c r="I65" s="636" t="s">
        <v>435</v>
      </c>
      <c r="J65" s="636"/>
      <c r="K65" s="636"/>
      <c r="L65" s="638"/>
      <c r="M65" s="644"/>
      <c r="N65" s="652"/>
      <c r="O65" s="652"/>
      <c r="P65" s="649" t="s">
        <v>436</v>
      </c>
      <c r="Q65" s="650"/>
      <c r="R65" s="650"/>
      <c r="S65" s="651"/>
      <c r="T65" s="652"/>
      <c r="U65" s="649" t="s">
        <v>436</v>
      </c>
      <c r="V65" s="650"/>
      <c r="W65" s="650"/>
      <c r="X65" s="651"/>
      <c r="Y65" s="652"/>
      <c r="Z65" s="649" t="s">
        <v>436</v>
      </c>
      <c r="AA65" s="650"/>
      <c r="AB65" s="650"/>
      <c r="AC65" s="651"/>
      <c r="AD65" s="652"/>
      <c r="AE65" s="649" t="s">
        <v>436</v>
      </c>
      <c r="AF65" s="650"/>
      <c r="AG65" s="650"/>
      <c r="AH65" s="651"/>
      <c r="AI65" s="652"/>
      <c r="AJ65" s="649" t="s">
        <v>436</v>
      </c>
      <c r="AK65" s="650"/>
      <c r="AL65" s="650"/>
      <c r="AM65" s="651"/>
      <c r="AN65" s="652"/>
      <c r="AO65" s="649" t="s">
        <v>436</v>
      </c>
      <c r="AP65" s="650"/>
      <c r="AQ65" s="650"/>
      <c r="AR65" s="651"/>
      <c r="AS65" s="652"/>
      <c r="AT65" s="649" t="s">
        <v>436</v>
      </c>
      <c r="AU65" s="650"/>
      <c r="AV65" s="650"/>
      <c r="AW65" s="651"/>
      <c r="AX65" s="652"/>
    </row>
    <row r="66" spans="2:50">
      <c r="B66" s="652"/>
      <c r="C66" s="652"/>
      <c r="D66" s="652"/>
      <c r="E66" s="308" t="s">
        <v>437</v>
      </c>
      <c r="F66" s="308" t="s">
        <v>438</v>
      </c>
      <c r="G66" s="308" t="s">
        <v>439</v>
      </c>
      <c r="H66" s="670"/>
      <c r="I66" s="307" t="s">
        <v>437</v>
      </c>
      <c r="J66" s="307" t="s">
        <v>438</v>
      </c>
      <c r="K66" s="307" t="s">
        <v>439</v>
      </c>
      <c r="L66" s="639"/>
      <c r="M66" s="645"/>
      <c r="N66" s="652"/>
      <c r="O66" s="652"/>
      <c r="P66" s="308" t="s">
        <v>437</v>
      </c>
      <c r="Q66" s="308" t="s">
        <v>438</v>
      </c>
      <c r="R66" s="308" t="s">
        <v>439</v>
      </c>
      <c r="S66" s="308" t="s">
        <v>429</v>
      </c>
      <c r="T66" s="652"/>
      <c r="U66" s="308" t="s">
        <v>437</v>
      </c>
      <c r="V66" s="308" t="s">
        <v>438</v>
      </c>
      <c r="W66" s="308" t="s">
        <v>439</v>
      </c>
      <c r="X66" s="308" t="s">
        <v>429</v>
      </c>
      <c r="Y66" s="652"/>
      <c r="Z66" s="308" t="s">
        <v>437</v>
      </c>
      <c r="AA66" s="308" t="s">
        <v>438</v>
      </c>
      <c r="AB66" s="308" t="s">
        <v>439</v>
      </c>
      <c r="AC66" s="308" t="s">
        <v>429</v>
      </c>
      <c r="AD66" s="652"/>
      <c r="AE66" s="308" t="s">
        <v>437</v>
      </c>
      <c r="AF66" s="308" t="s">
        <v>438</v>
      </c>
      <c r="AG66" s="308" t="s">
        <v>439</v>
      </c>
      <c r="AH66" s="308" t="s">
        <v>429</v>
      </c>
      <c r="AI66" s="652"/>
      <c r="AJ66" s="308" t="s">
        <v>437</v>
      </c>
      <c r="AK66" s="308" t="s">
        <v>438</v>
      </c>
      <c r="AL66" s="308" t="s">
        <v>439</v>
      </c>
      <c r="AM66" s="308" t="s">
        <v>429</v>
      </c>
      <c r="AN66" s="652"/>
      <c r="AO66" s="308" t="s">
        <v>437</v>
      </c>
      <c r="AP66" s="308" t="s">
        <v>438</v>
      </c>
      <c r="AQ66" s="308" t="s">
        <v>439</v>
      </c>
      <c r="AR66" s="308" t="s">
        <v>429</v>
      </c>
      <c r="AS66" s="652"/>
      <c r="AT66" s="308" t="s">
        <v>437</v>
      </c>
      <c r="AU66" s="308" t="s">
        <v>438</v>
      </c>
      <c r="AV66" s="308" t="s">
        <v>439</v>
      </c>
      <c r="AW66" s="308" t="s">
        <v>429</v>
      </c>
      <c r="AX66" s="652"/>
    </row>
    <row r="67" spans="2:50">
      <c r="B67" s="700" t="s">
        <v>440</v>
      </c>
      <c r="C67" s="309">
        <v>1</v>
      </c>
      <c r="D67" s="227"/>
      <c r="E67" s="182"/>
      <c r="F67" s="514"/>
      <c r="G67" s="515"/>
      <c r="H67" s="701" t="e">
        <f>AVERAGE(G67:G81)</f>
        <v>#DIV/0!</v>
      </c>
      <c r="I67" s="199" t="e">
        <f>AVERAGE(P67,U67,Z67,AE67,AJ67,AO67,AT67)</f>
        <v>#DIV/0!</v>
      </c>
      <c r="J67" s="199" t="e">
        <f>AVERAGE(Q67,V67,AA67,AF67,AK67,AP67,AU67)</f>
        <v>#DIV/0!</v>
      </c>
      <c r="K67" s="200" t="e">
        <f>AVERAGE(R67,W67,AB67,AG67,AL67,AQ67,AV67)</f>
        <v>#DIV/0!</v>
      </c>
      <c r="L67" s="633" t="str">
        <f>IFERROR(AVERAGE(K67:K81),"-")</f>
        <v>-</v>
      </c>
      <c r="M67" s="201" t="e">
        <f>RANK(K67, K$67:$K$81)</f>
        <v>#DIV/0!</v>
      </c>
      <c r="N67" s="652"/>
      <c r="O67" s="652"/>
      <c r="P67" s="182"/>
      <c r="Q67" s="182"/>
      <c r="R67" s="182"/>
      <c r="S67" s="309" t="e">
        <f>RANK(R67, R$67:R$81)</f>
        <v>#N/A</v>
      </c>
      <c r="T67" s="674" t="e">
        <f>AVERAGE(R67:R81)</f>
        <v>#DIV/0!</v>
      </c>
      <c r="U67" s="182"/>
      <c r="V67" s="182"/>
      <c r="W67" s="182"/>
      <c r="X67" s="477" t="e">
        <f t="shared" ref="X67:X81" si="41">RANK(W67, W$67:W$81)</f>
        <v>#N/A</v>
      </c>
      <c r="Y67" s="674" t="e">
        <f t="shared" ref="Y67" si="42">AVERAGE(W67:W81)</f>
        <v>#DIV/0!</v>
      </c>
      <c r="Z67" s="182"/>
      <c r="AA67" s="182"/>
      <c r="AB67" s="182"/>
      <c r="AC67" s="477" t="e">
        <f t="shared" ref="AC67:AC81" si="43">RANK(AB67, AB$67:AB$81)</f>
        <v>#N/A</v>
      </c>
      <c r="AD67" s="674" t="e">
        <f t="shared" ref="AD67" si="44">AVERAGE(AB67:AB81)</f>
        <v>#DIV/0!</v>
      </c>
      <c r="AE67" s="182"/>
      <c r="AF67" s="182"/>
      <c r="AG67" s="182"/>
      <c r="AH67" s="477" t="e">
        <f t="shared" ref="AH67:AH81" si="45">RANK(AG67, AG$67:AG$81)</f>
        <v>#N/A</v>
      </c>
      <c r="AI67" s="674" t="e">
        <f t="shared" ref="AI67" si="46">AVERAGE(AG67:AG81)</f>
        <v>#DIV/0!</v>
      </c>
      <c r="AJ67" s="182"/>
      <c r="AK67" s="182"/>
      <c r="AL67" s="182"/>
      <c r="AM67" s="477" t="e">
        <f t="shared" ref="AM67:AM81" si="47">RANK(AL67, AL$67:AL$81)</f>
        <v>#N/A</v>
      </c>
      <c r="AN67" s="674" t="e">
        <f t="shared" ref="AN67" si="48">AVERAGE(AL67:AL81)</f>
        <v>#DIV/0!</v>
      </c>
      <c r="AO67" s="182"/>
      <c r="AP67" s="182"/>
      <c r="AQ67" s="182"/>
      <c r="AR67" s="477" t="e">
        <f t="shared" ref="AR67:AR81" si="49">RANK(AQ67, AQ$67:AQ$81)</f>
        <v>#N/A</v>
      </c>
      <c r="AS67" s="674" t="e">
        <f t="shared" ref="AS67" si="50">AVERAGE(AQ67:AQ81)</f>
        <v>#DIV/0!</v>
      </c>
      <c r="AT67" s="182"/>
      <c r="AU67" s="182"/>
      <c r="AV67" s="182"/>
      <c r="AW67" s="477" t="e">
        <f t="shared" ref="AW67:AW81" si="51">RANK(AV67, AV$67:AV$81)</f>
        <v>#N/A</v>
      </c>
      <c r="AX67" s="674" t="e">
        <f t="shared" ref="AX67" si="52">AVERAGE(AV67:AV81)</f>
        <v>#DIV/0!</v>
      </c>
    </row>
    <row r="68" spans="2:50">
      <c r="B68" s="660"/>
      <c r="C68" s="309">
        <v>2</v>
      </c>
      <c r="D68" s="227"/>
      <c r="E68" s="182"/>
      <c r="F68" s="514"/>
      <c r="G68" s="515"/>
      <c r="H68" s="702"/>
      <c r="I68" s="199" t="e">
        <f t="shared" ref="I68:I75" si="53">AVERAGE(P68,U68,Z68,AE68,AJ68,AO68,AT68)</f>
        <v>#DIV/0!</v>
      </c>
      <c r="J68" s="199" t="e">
        <f t="shared" ref="J68:J75" si="54">AVERAGE(Q68,V68,AA68,AF68,AK68,AP68,AU68)</f>
        <v>#DIV/0!</v>
      </c>
      <c r="K68" s="200" t="e">
        <f t="shared" ref="K68:K75" si="55">AVERAGE(R68,W68,AB68,AG68,AL68,AQ68,AV68)</f>
        <v>#DIV/0!</v>
      </c>
      <c r="L68" s="634"/>
      <c r="M68" s="201" t="e">
        <f>RANK(K68, K$67:$K$81)</f>
        <v>#DIV/0!</v>
      </c>
      <c r="N68" s="652"/>
      <c r="O68" s="652"/>
      <c r="P68" s="182"/>
      <c r="Q68" s="182"/>
      <c r="R68" s="182"/>
      <c r="S68" s="340" t="e">
        <f t="shared" ref="S68:S81" si="56">RANK(R68, R$67:R$81)</f>
        <v>#N/A</v>
      </c>
      <c r="T68" s="674"/>
      <c r="U68" s="182"/>
      <c r="V68" s="182"/>
      <c r="W68" s="182"/>
      <c r="X68" s="477" t="e">
        <f t="shared" si="41"/>
        <v>#N/A</v>
      </c>
      <c r="Y68" s="674"/>
      <c r="Z68" s="182"/>
      <c r="AA68" s="182"/>
      <c r="AB68" s="182"/>
      <c r="AC68" s="477" t="e">
        <f t="shared" si="43"/>
        <v>#N/A</v>
      </c>
      <c r="AD68" s="674"/>
      <c r="AE68" s="182"/>
      <c r="AF68" s="182"/>
      <c r="AG68" s="182"/>
      <c r="AH68" s="477" t="e">
        <f t="shared" si="45"/>
        <v>#N/A</v>
      </c>
      <c r="AI68" s="674"/>
      <c r="AJ68" s="182"/>
      <c r="AK68" s="182"/>
      <c r="AL68" s="182"/>
      <c r="AM68" s="477" t="e">
        <f t="shared" si="47"/>
        <v>#N/A</v>
      </c>
      <c r="AN68" s="674"/>
      <c r="AO68" s="182"/>
      <c r="AP68" s="182"/>
      <c r="AQ68" s="182"/>
      <c r="AR68" s="477" t="e">
        <f t="shared" si="49"/>
        <v>#N/A</v>
      </c>
      <c r="AS68" s="674"/>
      <c r="AT68" s="182"/>
      <c r="AU68" s="182"/>
      <c r="AV68" s="182"/>
      <c r="AW68" s="477" t="e">
        <f t="shared" si="51"/>
        <v>#N/A</v>
      </c>
      <c r="AX68" s="674"/>
    </row>
    <row r="69" spans="2:50">
      <c r="B69" s="660"/>
      <c r="C69" s="309">
        <v>3</v>
      </c>
      <c r="D69" s="227"/>
      <c r="E69" s="182"/>
      <c r="F69" s="514"/>
      <c r="G69" s="515"/>
      <c r="H69" s="702"/>
      <c r="I69" s="199" t="e">
        <f t="shared" si="53"/>
        <v>#DIV/0!</v>
      </c>
      <c r="J69" s="199" t="e">
        <f t="shared" si="54"/>
        <v>#DIV/0!</v>
      </c>
      <c r="K69" s="200" t="e">
        <f t="shared" si="55"/>
        <v>#DIV/0!</v>
      </c>
      <c r="L69" s="634"/>
      <c r="M69" s="201" t="e">
        <f>RANK(K69, K$67:$K$81)</f>
        <v>#DIV/0!</v>
      </c>
      <c r="N69" s="652"/>
      <c r="O69" s="652"/>
      <c r="P69" s="182"/>
      <c r="Q69" s="182"/>
      <c r="R69" s="182"/>
      <c r="S69" s="340" t="e">
        <f t="shared" si="56"/>
        <v>#N/A</v>
      </c>
      <c r="T69" s="674"/>
      <c r="U69" s="182"/>
      <c r="V69" s="182"/>
      <c r="W69" s="182"/>
      <c r="X69" s="477" t="e">
        <f t="shared" si="41"/>
        <v>#N/A</v>
      </c>
      <c r="Y69" s="674"/>
      <c r="Z69" s="182"/>
      <c r="AA69" s="182"/>
      <c r="AB69" s="182"/>
      <c r="AC69" s="477" t="e">
        <f t="shared" si="43"/>
        <v>#N/A</v>
      </c>
      <c r="AD69" s="674"/>
      <c r="AE69" s="182"/>
      <c r="AF69" s="182"/>
      <c r="AG69" s="182"/>
      <c r="AH69" s="477" t="e">
        <f t="shared" si="45"/>
        <v>#N/A</v>
      </c>
      <c r="AI69" s="674"/>
      <c r="AJ69" s="182"/>
      <c r="AK69" s="182"/>
      <c r="AL69" s="182"/>
      <c r="AM69" s="477" t="e">
        <f t="shared" si="47"/>
        <v>#N/A</v>
      </c>
      <c r="AN69" s="674"/>
      <c r="AO69" s="182"/>
      <c r="AP69" s="182"/>
      <c r="AQ69" s="182"/>
      <c r="AR69" s="477" t="e">
        <f t="shared" si="49"/>
        <v>#N/A</v>
      </c>
      <c r="AS69" s="674"/>
      <c r="AT69" s="182"/>
      <c r="AU69" s="182"/>
      <c r="AV69" s="182"/>
      <c r="AW69" s="477" t="e">
        <f t="shared" si="51"/>
        <v>#N/A</v>
      </c>
      <c r="AX69" s="674"/>
    </row>
    <row r="70" spans="2:50">
      <c r="B70" s="660"/>
      <c r="C70" s="309">
        <v>4</v>
      </c>
      <c r="D70" s="227"/>
      <c r="E70" s="182"/>
      <c r="F70" s="514"/>
      <c r="G70" s="515"/>
      <c r="H70" s="702"/>
      <c r="I70" s="199" t="e">
        <f t="shared" si="53"/>
        <v>#DIV/0!</v>
      </c>
      <c r="J70" s="199" t="e">
        <f t="shared" si="54"/>
        <v>#DIV/0!</v>
      </c>
      <c r="K70" s="200" t="e">
        <f t="shared" si="55"/>
        <v>#DIV/0!</v>
      </c>
      <c r="L70" s="634"/>
      <c r="M70" s="201" t="e">
        <f>RANK(K70, K$67:$K$81)</f>
        <v>#DIV/0!</v>
      </c>
      <c r="N70" s="652"/>
      <c r="O70" s="652"/>
      <c r="P70" s="182"/>
      <c r="Q70" s="182"/>
      <c r="R70" s="182"/>
      <c r="S70" s="340" t="e">
        <f t="shared" si="56"/>
        <v>#N/A</v>
      </c>
      <c r="T70" s="674"/>
      <c r="U70" s="182"/>
      <c r="V70" s="182"/>
      <c r="W70" s="182"/>
      <c r="X70" s="477" t="e">
        <f t="shared" si="41"/>
        <v>#N/A</v>
      </c>
      <c r="Y70" s="674"/>
      <c r="Z70" s="182"/>
      <c r="AA70" s="182"/>
      <c r="AB70" s="182"/>
      <c r="AC70" s="477" t="e">
        <f t="shared" si="43"/>
        <v>#N/A</v>
      </c>
      <c r="AD70" s="674"/>
      <c r="AE70" s="182"/>
      <c r="AF70" s="182"/>
      <c r="AG70" s="182"/>
      <c r="AH70" s="477" t="e">
        <f t="shared" si="45"/>
        <v>#N/A</v>
      </c>
      <c r="AI70" s="674"/>
      <c r="AJ70" s="182"/>
      <c r="AK70" s="182"/>
      <c r="AL70" s="182"/>
      <c r="AM70" s="477" t="e">
        <f t="shared" si="47"/>
        <v>#N/A</v>
      </c>
      <c r="AN70" s="674"/>
      <c r="AO70" s="182"/>
      <c r="AP70" s="182"/>
      <c r="AQ70" s="182"/>
      <c r="AR70" s="477" t="e">
        <f t="shared" si="49"/>
        <v>#N/A</v>
      </c>
      <c r="AS70" s="674"/>
      <c r="AT70" s="182"/>
      <c r="AU70" s="182"/>
      <c r="AV70" s="182"/>
      <c r="AW70" s="477" t="e">
        <f t="shared" si="51"/>
        <v>#N/A</v>
      </c>
      <c r="AX70" s="674"/>
    </row>
    <row r="71" spans="2:50">
      <c r="B71" s="660"/>
      <c r="C71" s="309">
        <v>5</v>
      </c>
      <c r="D71" s="227"/>
      <c r="E71" s="182"/>
      <c r="F71" s="514"/>
      <c r="G71" s="515"/>
      <c r="H71" s="702"/>
      <c r="I71" s="199" t="e">
        <f t="shared" si="53"/>
        <v>#DIV/0!</v>
      </c>
      <c r="J71" s="199" t="e">
        <f t="shared" si="54"/>
        <v>#DIV/0!</v>
      </c>
      <c r="K71" s="200" t="e">
        <f t="shared" si="55"/>
        <v>#DIV/0!</v>
      </c>
      <c r="L71" s="634"/>
      <c r="M71" s="201" t="e">
        <f>RANK(K71, K$67:$K$81)</f>
        <v>#DIV/0!</v>
      </c>
      <c r="N71" s="652"/>
      <c r="O71" s="652"/>
      <c r="P71" s="182"/>
      <c r="Q71" s="182"/>
      <c r="R71" s="182"/>
      <c r="S71" s="340" t="e">
        <f t="shared" si="56"/>
        <v>#N/A</v>
      </c>
      <c r="T71" s="674"/>
      <c r="U71" s="182"/>
      <c r="V71" s="182"/>
      <c r="W71" s="182"/>
      <c r="X71" s="477" t="e">
        <f t="shared" si="41"/>
        <v>#N/A</v>
      </c>
      <c r="Y71" s="674"/>
      <c r="Z71" s="182"/>
      <c r="AA71" s="182"/>
      <c r="AB71" s="182"/>
      <c r="AC71" s="477" t="e">
        <f t="shared" si="43"/>
        <v>#N/A</v>
      </c>
      <c r="AD71" s="674"/>
      <c r="AE71" s="182"/>
      <c r="AF71" s="182"/>
      <c r="AG71" s="182"/>
      <c r="AH71" s="477" t="e">
        <f t="shared" si="45"/>
        <v>#N/A</v>
      </c>
      <c r="AI71" s="674"/>
      <c r="AJ71" s="182"/>
      <c r="AK71" s="182"/>
      <c r="AL71" s="182"/>
      <c r="AM71" s="477" t="e">
        <f t="shared" si="47"/>
        <v>#N/A</v>
      </c>
      <c r="AN71" s="674"/>
      <c r="AO71" s="182"/>
      <c r="AP71" s="182"/>
      <c r="AQ71" s="182"/>
      <c r="AR71" s="477" t="e">
        <f t="shared" si="49"/>
        <v>#N/A</v>
      </c>
      <c r="AS71" s="674"/>
      <c r="AT71" s="182"/>
      <c r="AU71" s="182"/>
      <c r="AV71" s="182"/>
      <c r="AW71" s="477" t="e">
        <f t="shared" si="51"/>
        <v>#N/A</v>
      </c>
      <c r="AX71" s="674"/>
    </row>
    <row r="72" spans="2:50">
      <c r="B72" s="660"/>
      <c r="C72" s="309">
        <v>6</v>
      </c>
      <c r="D72" s="227"/>
      <c r="E72" s="182"/>
      <c r="F72" s="514"/>
      <c r="G72" s="515"/>
      <c r="H72" s="702"/>
      <c r="I72" s="199" t="e">
        <f t="shared" si="53"/>
        <v>#DIV/0!</v>
      </c>
      <c r="J72" s="199" t="e">
        <f t="shared" si="54"/>
        <v>#DIV/0!</v>
      </c>
      <c r="K72" s="200" t="e">
        <f t="shared" si="55"/>
        <v>#DIV/0!</v>
      </c>
      <c r="L72" s="634"/>
      <c r="M72" s="201" t="e">
        <f>RANK(K72, K$67:$K$81)</f>
        <v>#DIV/0!</v>
      </c>
      <c r="N72" s="652"/>
      <c r="O72" s="652"/>
      <c r="P72" s="182"/>
      <c r="Q72" s="182"/>
      <c r="R72" s="182"/>
      <c r="S72" s="340" t="e">
        <f t="shared" si="56"/>
        <v>#N/A</v>
      </c>
      <c r="T72" s="674"/>
      <c r="U72" s="182"/>
      <c r="V72" s="182"/>
      <c r="W72" s="182"/>
      <c r="X72" s="477" t="e">
        <f t="shared" si="41"/>
        <v>#N/A</v>
      </c>
      <c r="Y72" s="674"/>
      <c r="Z72" s="182"/>
      <c r="AA72" s="182"/>
      <c r="AB72" s="182"/>
      <c r="AC72" s="477" t="e">
        <f t="shared" si="43"/>
        <v>#N/A</v>
      </c>
      <c r="AD72" s="674"/>
      <c r="AE72" s="182"/>
      <c r="AF72" s="182"/>
      <c r="AG72" s="182"/>
      <c r="AH72" s="477" t="e">
        <f t="shared" si="45"/>
        <v>#N/A</v>
      </c>
      <c r="AI72" s="674"/>
      <c r="AJ72" s="182"/>
      <c r="AK72" s="182"/>
      <c r="AL72" s="182"/>
      <c r="AM72" s="477" t="e">
        <f t="shared" si="47"/>
        <v>#N/A</v>
      </c>
      <c r="AN72" s="674"/>
      <c r="AO72" s="182"/>
      <c r="AP72" s="182"/>
      <c r="AQ72" s="182"/>
      <c r="AR72" s="477" t="e">
        <f t="shared" si="49"/>
        <v>#N/A</v>
      </c>
      <c r="AS72" s="674"/>
      <c r="AT72" s="182"/>
      <c r="AU72" s="182"/>
      <c r="AV72" s="182"/>
      <c r="AW72" s="477" t="e">
        <f t="shared" si="51"/>
        <v>#N/A</v>
      </c>
      <c r="AX72" s="674"/>
    </row>
    <row r="73" spans="2:50">
      <c r="B73" s="660"/>
      <c r="C73" s="309">
        <v>7</v>
      </c>
      <c r="D73" s="227"/>
      <c r="E73" s="182"/>
      <c r="F73" s="514"/>
      <c r="G73" s="515"/>
      <c r="H73" s="702"/>
      <c r="I73" s="199" t="e">
        <f t="shared" si="53"/>
        <v>#DIV/0!</v>
      </c>
      <c r="J73" s="199" t="e">
        <f t="shared" si="54"/>
        <v>#DIV/0!</v>
      </c>
      <c r="K73" s="200" t="e">
        <f t="shared" si="55"/>
        <v>#DIV/0!</v>
      </c>
      <c r="L73" s="634"/>
      <c r="M73" s="201" t="e">
        <f>RANK(K73, K$67:$K$81)</f>
        <v>#DIV/0!</v>
      </c>
      <c r="N73" s="652"/>
      <c r="O73" s="652"/>
      <c r="P73" s="182"/>
      <c r="Q73" s="182"/>
      <c r="R73" s="182"/>
      <c r="S73" s="340" t="e">
        <f t="shared" si="56"/>
        <v>#N/A</v>
      </c>
      <c r="T73" s="674"/>
      <c r="U73" s="182"/>
      <c r="V73" s="182"/>
      <c r="W73" s="182"/>
      <c r="X73" s="477" t="e">
        <f t="shared" si="41"/>
        <v>#N/A</v>
      </c>
      <c r="Y73" s="674"/>
      <c r="Z73" s="182"/>
      <c r="AA73" s="182"/>
      <c r="AB73" s="182"/>
      <c r="AC73" s="477" t="e">
        <f t="shared" si="43"/>
        <v>#N/A</v>
      </c>
      <c r="AD73" s="674"/>
      <c r="AE73" s="182"/>
      <c r="AF73" s="182"/>
      <c r="AG73" s="182"/>
      <c r="AH73" s="477" t="e">
        <f t="shared" si="45"/>
        <v>#N/A</v>
      </c>
      <c r="AI73" s="674"/>
      <c r="AJ73" s="182"/>
      <c r="AK73" s="182"/>
      <c r="AL73" s="182"/>
      <c r="AM73" s="477" t="e">
        <f t="shared" si="47"/>
        <v>#N/A</v>
      </c>
      <c r="AN73" s="674"/>
      <c r="AO73" s="182"/>
      <c r="AP73" s="182"/>
      <c r="AQ73" s="182"/>
      <c r="AR73" s="477" t="e">
        <f t="shared" si="49"/>
        <v>#N/A</v>
      </c>
      <c r="AS73" s="674"/>
      <c r="AT73" s="182"/>
      <c r="AU73" s="182"/>
      <c r="AV73" s="182"/>
      <c r="AW73" s="477" t="e">
        <f t="shared" si="51"/>
        <v>#N/A</v>
      </c>
      <c r="AX73" s="674"/>
    </row>
    <row r="74" spans="2:50">
      <c r="B74" s="660"/>
      <c r="C74" s="309">
        <v>8</v>
      </c>
      <c r="D74" s="227"/>
      <c r="E74" s="182"/>
      <c r="F74" s="514"/>
      <c r="G74" s="515"/>
      <c r="H74" s="702"/>
      <c r="I74" s="199" t="e">
        <f t="shared" si="53"/>
        <v>#DIV/0!</v>
      </c>
      <c r="J74" s="199" t="e">
        <f t="shared" si="54"/>
        <v>#DIV/0!</v>
      </c>
      <c r="K74" s="200" t="e">
        <f t="shared" si="55"/>
        <v>#DIV/0!</v>
      </c>
      <c r="L74" s="634"/>
      <c r="M74" s="201" t="e">
        <f>RANK(K74, K$67:$K$81)</f>
        <v>#DIV/0!</v>
      </c>
      <c r="N74" s="652"/>
      <c r="O74" s="652"/>
      <c r="P74" s="182"/>
      <c r="Q74" s="182"/>
      <c r="R74" s="182"/>
      <c r="S74" s="340" t="e">
        <f t="shared" si="56"/>
        <v>#N/A</v>
      </c>
      <c r="T74" s="674"/>
      <c r="U74" s="182"/>
      <c r="V74" s="182"/>
      <c r="W74" s="182"/>
      <c r="X74" s="477" t="e">
        <f t="shared" si="41"/>
        <v>#N/A</v>
      </c>
      <c r="Y74" s="674"/>
      <c r="Z74" s="182"/>
      <c r="AA74" s="182"/>
      <c r="AB74" s="182"/>
      <c r="AC74" s="477" t="e">
        <f t="shared" si="43"/>
        <v>#N/A</v>
      </c>
      <c r="AD74" s="674"/>
      <c r="AE74" s="182"/>
      <c r="AF74" s="182"/>
      <c r="AG74" s="182"/>
      <c r="AH74" s="477" t="e">
        <f t="shared" si="45"/>
        <v>#N/A</v>
      </c>
      <c r="AI74" s="674"/>
      <c r="AJ74" s="182"/>
      <c r="AK74" s="182"/>
      <c r="AL74" s="182"/>
      <c r="AM74" s="477" t="e">
        <f t="shared" si="47"/>
        <v>#N/A</v>
      </c>
      <c r="AN74" s="674"/>
      <c r="AO74" s="182"/>
      <c r="AP74" s="182"/>
      <c r="AQ74" s="182"/>
      <c r="AR74" s="477" t="e">
        <f t="shared" si="49"/>
        <v>#N/A</v>
      </c>
      <c r="AS74" s="674"/>
      <c r="AT74" s="182"/>
      <c r="AU74" s="182"/>
      <c r="AV74" s="182"/>
      <c r="AW74" s="477" t="e">
        <f t="shared" si="51"/>
        <v>#N/A</v>
      </c>
      <c r="AX74" s="674"/>
    </row>
    <row r="75" spans="2:50">
      <c r="B75" s="660"/>
      <c r="C75" s="309">
        <v>9</v>
      </c>
      <c r="D75" s="227"/>
      <c r="E75" s="182"/>
      <c r="F75" s="514"/>
      <c r="G75" s="515"/>
      <c r="H75" s="702"/>
      <c r="I75" s="199" t="e">
        <f t="shared" si="53"/>
        <v>#DIV/0!</v>
      </c>
      <c r="J75" s="199" t="e">
        <f t="shared" si="54"/>
        <v>#DIV/0!</v>
      </c>
      <c r="K75" s="200" t="e">
        <f t="shared" si="55"/>
        <v>#DIV/0!</v>
      </c>
      <c r="L75" s="634"/>
      <c r="M75" s="201" t="e">
        <f>RANK(K75, K$67:$K$81)</f>
        <v>#DIV/0!</v>
      </c>
      <c r="N75" s="652"/>
      <c r="O75" s="652"/>
      <c r="P75" s="182"/>
      <c r="Q75" s="182"/>
      <c r="R75" s="182"/>
      <c r="S75" s="340" t="e">
        <f t="shared" si="56"/>
        <v>#N/A</v>
      </c>
      <c r="T75" s="674"/>
      <c r="U75" s="182"/>
      <c r="V75" s="182"/>
      <c r="W75" s="182"/>
      <c r="X75" s="477" t="e">
        <f t="shared" si="41"/>
        <v>#N/A</v>
      </c>
      <c r="Y75" s="674"/>
      <c r="Z75" s="182"/>
      <c r="AA75" s="182"/>
      <c r="AB75" s="182"/>
      <c r="AC75" s="477" t="e">
        <f t="shared" si="43"/>
        <v>#N/A</v>
      </c>
      <c r="AD75" s="674"/>
      <c r="AE75" s="182"/>
      <c r="AF75" s="182"/>
      <c r="AG75" s="182"/>
      <c r="AH75" s="477" t="e">
        <f t="shared" si="45"/>
        <v>#N/A</v>
      </c>
      <c r="AI75" s="674"/>
      <c r="AJ75" s="182"/>
      <c r="AK75" s="182"/>
      <c r="AL75" s="182"/>
      <c r="AM75" s="477" t="e">
        <f t="shared" si="47"/>
        <v>#N/A</v>
      </c>
      <c r="AN75" s="674"/>
      <c r="AO75" s="182"/>
      <c r="AP75" s="182"/>
      <c r="AQ75" s="182"/>
      <c r="AR75" s="477" t="e">
        <f t="shared" si="49"/>
        <v>#N/A</v>
      </c>
      <c r="AS75" s="674"/>
      <c r="AT75" s="182"/>
      <c r="AU75" s="182"/>
      <c r="AV75" s="182"/>
      <c r="AW75" s="477" t="e">
        <f t="shared" si="51"/>
        <v>#N/A</v>
      </c>
      <c r="AX75" s="674"/>
    </row>
    <row r="76" spans="2:50">
      <c r="B76" s="660"/>
      <c r="C76" s="309">
        <v>10</v>
      </c>
      <c r="D76" s="227"/>
      <c r="E76" s="182"/>
      <c r="F76" s="514"/>
      <c r="G76" s="515"/>
      <c r="H76" s="702"/>
      <c r="I76" s="488" t="e">
        <f t="shared" ref="I76:I77" si="57">AVERAGE(P76,U76,Z76,AE76,AJ76,AO76,AT76)</f>
        <v>#DIV/0!</v>
      </c>
      <c r="J76" s="488" t="e">
        <f t="shared" ref="J76:J77" si="58">AVERAGE(Q76,V76,AA76,AF76,AK76,AP76,AU76)</f>
        <v>#DIV/0!</v>
      </c>
      <c r="K76" s="200" t="e">
        <f t="shared" ref="K76:K77" si="59">AVERAGE(R76,W76,AB76,AG76,AL76,AQ76,AV76)</f>
        <v>#DIV/0!</v>
      </c>
      <c r="L76" s="634"/>
      <c r="M76" s="201" t="e">
        <f>RANK(K76, K$67:$K$81)</f>
        <v>#DIV/0!</v>
      </c>
      <c r="N76" s="652"/>
      <c r="O76" s="652"/>
      <c r="P76" s="182"/>
      <c r="Q76" s="182"/>
      <c r="R76" s="182"/>
      <c r="S76" s="340" t="e">
        <f t="shared" si="56"/>
        <v>#N/A</v>
      </c>
      <c r="T76" s="674"/>
      <c r="U76" s="182"/>
      <c r="V76" s="182"/>
      <c r="W76" s="182"/>
      <c r="X76" s="477" t="e">
        <f t="shared" si="41"/>
        <v>#N/A</v>
      </c>
      <c r="Y76" s="674"/>
      <c r="Z76" s="182"/>
      <c r="AA76" s="182"/>
      <c r="AB76" s="182"/>
      <c r="AC76" s="477" t="e">
        <f t="shared" si="43"/>
        <v>#N/A</v>
      </c>
      <c r="AD76" s="674"/>
      <c r="AE76" s="182"/>
      <c r="AF76" s="182"/>
      <c r="AG76" s="182"/>
      <c r="AH76" s="477" t="e">
        <f t="shared" si="45"/>
        <v>#N/A</v>
      </c>
      <c r="AI76" s="674"/>
      <c r="AJ76" s="182"/>
      <c r="AK76" s="182"/>
      <c r="AL76" s="182"/>
      <c r="AM76" s="477" t="e">
        <f t="shared" si="47"/>
        <v>#N/A</v>
      </c>
      <c r="AN76" s="674"/>
      <c r="AO76" s="182"/>
      <c r="AP76" s="182"/>
      <c r="AQ76" s="182"/>
      <c r="AR76" s="477" t="e">
        <f t="shared" si="49"/>
        <v>#N/A</v>
      </c>
      <c r="AS76" s="674"/>
      <c r="AT76" s="182"/>
      <c r="AU76" s="182"/>
      <c r="AV76" s="182"/>
      <c r="AW76" s="477" t="e">
        <f t="shared" si="51"/>
        <v>#N/A</v>
      </c>
      <c r="AX76" s="674"/>
    </row>
    <row r="77" spans="2:50">
      <c r="B77" s="660"/>
      <c r="C77" s="309">
        <v>11</v>
      </c>
      <c r="D77" s="227"/>
      <c r="E77" s="182"/>
      <c r="F77" s="514"/>
      <c r="G77" s="515"/>
      <c r="H77" s="702"/>
      <c r="I77" s="488" t="e">
        <f t="shared" si="57"/>
        <v>#DIV/0!</v>
      </c>
      <c r="J77" s="488" t="e">
        <f t="shared" si="58"/>
        <v>#DIV/0!</v>
      </c>
      <c r="K77" s="200" t="e">
        <f t="shared" si="59"/>
        <v>#DIV/0!</v>
      </c>
      <c r="L77" s="634"/>
      <c r="M77" s="201" t="e">
        <f>RANK(K77, K$67:$K$81)</f>
        <v>#DIV/0!</v>
      </c>
      <c r="N77" s="652"/>
      <c r="O77" s="652"/>
      <c r="P77" s="182"/>
      <c r="Q77" s="182"/>
      <c r="R77" s="182"/>
      <c r="S77" s="340" t="e">
        <f t="shared" si="56"/>
        <v>#N/A</v>
      </c>
      <c r="T77" s="674"/>
      <c r="U77" s="182"/>
      <c r="V77" s="182"/>
      <c r="W77" s="182"/>
      <c r="X77" s="477" t="e">
        <f t="shared" si="41"/>
        <v>#N/A</v>
      </c>
      <c r="Y77" s="674"/>
      <c r="Z77" s="182"/>
      <c r="AA77" s="182"/>
      <c r="AB77" s="182"/>
      <c r="AC77" s="477" t="e">
        <f t="shared" si="43"/>
        <v>#N/A</v>
      </c>
      <c r="AD77" s="674"/>
      <c r="AE77" s="182"/>
      <c r="AF77" s="182"/>
      <c r="AG77" s="182"/>
      <c r="AH77" s="477" t="e">
        <f t="shared" si="45"/>
        <v>#N/A</v>
      </c>
      <c r="AI77" s="674"/>
      <c r="AJ77" s="182"/>
      <c r="AK77" s="182"/>
      <c r="AL77" s="182"/>
      <c r="AM77" s="477" t="e">
        <f t="shared" si="47"/>
        <v>#N/A</v>
      </c>
      <c r="AN77" s="674"/>
      <c r="AO77" s="182"/>
      <c r="AP77" s="182"/>
      <c r="AQ77" s="182"/>
      <c r="AR77" s="477" t="e">
        <f t="shared" si="49"/>
        <v>#N/A</v>
      </c>
      <c r="AS77" s="674"/>
      <c r="AT77" s="182"/>
      <c r="AU77" s="182"/>
      <c r="AV77" s="182"/>
      <c r="AW77" s="477" t="e">
        <f t="shared" si="51"/>
        <v>#N/A</v>
      </c>
      <c r="AX77" s="674"/>
    </row>
    <row r="78" spans="2:50">
      <c r="B78" s="660"/>
      <c r="C78" s="309">
        <v>12</v>
      </c>
      <c r="D78" s="227"/>
      <c r="E78" s="182"/>
      <c r="F78" s="514"/>
      <c r="G78" s="515"/>
      <c r="H78" s="702"/>
      <c r="I78" s="544" t="e">
        <f t="shared" ref="I78" si="60">AVERAGE(P78,U78,Z78,AE78,AJ78,AO78,AT78)</f>
        <v>#DIV/0!</v>
      </c>
      <c r="J78" s="544" t="e">
        <f t="shared" ref="J78" si="61">AVERAGE(Q78,V78,AA78,AF78,AK78,AP78,AU78)</f>
        <v>#DIV/0!</v>
      </c>
      <c r="K78" s="200" t="e">
        <f t="shared" ref="K78" si="62">AVERAGE(R78,W78,AB78,AG78,AL78,AQ78,AV78)</f>
        <v>#DIV/0!</v>
      </c>
      <c r="L78" s="634"/>
      <c r="M78" s="201" t="e">
        <f>RANK(K78, K$67:$K$81)</f>
        <v>#DIV/0!</v>
      </c>
      <c r="N78" s="652"/>
      <c r="O78" s="652"/>
      <c r="P78" s="182"/>
      <c r="Q78" s="182"/>
      <c r="R78" s="182"/>
      <c r="S78" s="340" t="e">
        <f t="shared" si="56"/>
        <v>#N/A</v>
      </c>
      <c r="T78" s="674"/>
      <c r="U78" s="182"/>
      <c r="V78" s="182"/>
      <c r="W78" s="182"/>
      <c r="X78" s="477" t="e">
        <f t="shared" si="41"/>
        <v>#N/A</v>
      </c>
      <c r="Y78" s="674"/>
      <c r="Z78" s="182"/>
      <c r="AA78" s="182"/>
      <c r="AB78" s="182"/>
      <c r="AC78" s="477" t="e">
        <f t="shared" si="43"/>
        <v>#N/A</v>
      </c>
      <c r="AD78" s="674"/>
      <c r="AE78" s="182"/>
      <c r="AF78" s="182"/>
      <c r="AG78" s="182"/>
      <c r="AH78" s="477" t="e">
        <f t="shared" si="45"/>
        <v>#N/A</v>
      </c>
      <c r="AI78" s="674"/>
      <c r="AJ78" s="182"/>
      <c r="AK78" s="182"/>
      <c r="AL78" s="182"/>
      <c r="AM78" s="477" t="e">
        <f t="shared" si="47"/>
        <v>#N/A</v>
      </c>
      <c r="AN78" s="674"/>
      <c r="AO78" s="182"/>
      <c r="AP78" s="182"/>
      <c r="AQ78" s="182"/>
      <c r="AR78" s="477" t="e">
        <f t="shared" si="49"/>
        <v>#N/A</v>
      </c>
      <c r="AS78" s="674"/>
      <c r="AT78" s="182"/>
      <c r="AU78" s="182"/>
      <c r="AV78" s="182"/>
      <c r="AW78" s="477" t="e">
        <f t="shared" si="51"/>
        <v>#N/A</v>
      </c>
      <c r="AX78" s="674"/>
    </row>
    <row r="79" spans="2:50">
      <c r="B79" s="660"/>
      <c r="C79" s="309">
        <v>13</v>
      </c>
      <c r="D79" s="227"/>
      <c r="E79" s="182"/>
      <c r="F79" s="514"/>
      <c r="G79" s="515"/>
      <c r="H79" s="702"/>
      <c r="I79" s="202"/>
      <c r="J79" s="202"/>
      <c r="K79" s="202"/>
      <c r="L79" s="634"/>
      <c r="M79" s="201" t="e">
        <f>RANK(K79, K$67:$K$81)</f>
        <v>#DIV/0!</v>
      </c>
      <c r="N79" s="652"/>
      <c r="O79" s="652"/>
      <c r="P79" s="182"/>
      <c r="Q79" s="182"/>
      <c r="R79" s="182"/>
      <c r="S79" s="340" t="e">
        <f t="shared" si="56"/>
        <v>#N/A</v>
      </c>
      <c r="T79" s="674"/>
      <c r="U79" s="182"/>
      <c r="V79" s="182"/>
      <c r="W79" s="182"/>
      <c r="X79" s="477" t="e">
        <f t="shared" si="41"/>
        <v>#N/A</v>
      </c>
      <c r="Y79" s="674"/>
      <c r="Z79" s="182"/>
      <c r="AA79" s="182"/>
      <c r="AB79" s="182"/>
      <c r="AC79" s="477" t="e">
        <f t="shared" si="43"/>
        <v>#N/A</v>
      </c>
      <c r="AD79" s="674"/>
      <c r="AE79" s="182"/>
      <c r="AF79" s="182"/>
      <c r="AG79" s="182"/>
      <c r="AH79" s="477" t="e">
        <f t="shared" si="45"/>
        <v>#N/A</v>
      </c>
      <c r="AI79" s="674"/>
      <c r="AJ79" s="182"/>
      <c r="AK79" s="182"/>
      <c r="AL79" s="182"/>
      <c r="AM79" s="477" t="e">
        <f t="shared" si="47"/>
        <v>#N/A</v>
      </c>
      <c r="AN79" s="674"/>
      <c r="AO79" s="182"/>
      <c r="AP79" s="182"/>
      <c r="AQ79" s="182"/>
      <c r="AR79" s="477" t="e">
        <f t="shared" si="49"/>
        <v>#N/A</v>
      </c>
      <c r="AS79" s="674"/>
      <c r="AT79" s="182"/>
      <c r="AU79" s="182"/>
      <c r="AV79" s="182"/>
      <c r="AW79" s="477" t="e">
        <f t="shared" si="51"/>
        <v>#N/A</v>
      </c>
      <c r="AX79" s="674"/>
    </row>
    <row r="80" spans="2:50">
      <c r="B80" s="660"/>
      <c r="C80" s="309">
        <v>14</v>
      </c>
      <c r="D80" s="227"/>
      <c r="E80" s="182"/>
      <c r="F80" s="514"/>
      <c r="G80" s="515"/>
      <c r="H80" s="702"/>
      <c r="I80" s="202"/>
      <c r="J80" s="202"/>
      <c r="K80" s="202"/>
      <c r="L80" s="634"/>
      <c r="M80" s="201" t="e">
        <f>RANK(K80, K$67:$K$81)</f>
        <v>#DIV/0!</v>
      </c>
      <c r="N80" s="652"/>
      <c r="O80" s="652"/>
      <c r="P80" s="182"/>
      <c r="Q80" s="182"/>
      <c r="R80" s="182"/>
      <c r="S80" s="340" t="e">
        <f t="shared" si="56"/>
        <v>#N/A</v>
      </c>
      <c r="T80" s="674"/>
      <c r="U80" s="182"/>
      <c r="V80" s="182"/>
      <c r="W80" s="182"/>
      <c r="X80" s="477" t="e">
        <f t="shared" si="41"/>
        <v>#N/A</v>
      </c>
      <c r="Y80" s="674"/>
      <c r="Z80" s="182"/>
      <c r="AA80" s="182"/>
      <c r="AB80" s="182"/>
      <c r="AC80" s="477" t="e">
        <f t="shared" si="43"/>
        <v>#N/A</v>
      </c>
      <c r="AD80" s="674"/>
      <c r="AE80" s="182"/>
      <c r="AF80" s="182"/>
      <c r="AG80" s="182"/>
      <c r="AH80" s="477" t="e">
        <f t="shared" si="45"/>
        <v>#N/A</v>
      </c>
      <c r="AI80" s="674"/>
      <c r="AJ80" s="182"/>
      <c r="AK80" s="182"/>
      <c r="AL80" s="182"/>
      <c r="AM80" s="477" t="e">
        <f t="shared" si="47"/>
        <v>#N/A</v>
      </c>
      <c r="AN80" s="674"/>
      <c r="AO80" s="182"/>
      <c r="AP80" s="182"/>
      <c r="AQ80" s="182"/>
      <c r="AR80" s="477" t="e">
        <f t="shared" si="49"/>
        <v>#N/A</v>
      </c>
      <c r="AS80" s="674"/>
      <c r="AT80" s="182"/>
      <c r="AU80" s="182"/>
      <c r="AV80" s="182"/>
      <c r="AW80" s="477" t="e">
        <f t="shared" si="51"/>
        <v>#N/A</v>
      </c>
      <c r="AX80" s="674"/>
    </row>
    <row r="81" spans="2:50">
      <c r="B81" s="660"/>
      <c r="C81" s="309">
        <v>15</v>
      </c>
      <c r="D81" s="227"/>
      <c r="E81" s="182"/>
      <c r="F81" s="514"/>
      <c r="G81" s="515"/>
      <c r="H81" s="703"/>
      <c r="I81" s="202"/>
      <c r="J81" s="202"/>
      <c r="K81" s="202"/>
      <c r="L81" s="635"/>
      <c r="M81" s="201" t="e">
        <f>RANK(K81, K$67:$K$81)</f>
        <v>#DIV/0!</v>
      </c>
      <c r="N81" s="652"/>
      <c r="O81" s="652"/>
      <c r="P81" s="182"/>
      <c r="Q81" s="182"/>
      <c r="R81" s="182"/>
      <c r="S81" s="340" t="e">
        <f t="shared" si="56"/>
        <v>#N/A</v>
      </c>
      <c r="T81" s="674"/>
      <c r="U81" s="182"/>
      <c r="V81" s="182"/>
      <c r="W81" s="182"/>
      <c r="X81" s="477" t="e">
        <f t="shared" si="41"/>
        <v>#N/A</v>
      </c>
      <c r="Y81" s="674"/>
      <c r="Z81" s="182"/>
      <c r="AA81" s="182"/>
      <c r="AB81" s="182"/>
      <c r="AC81" s="477" t="e">
        <f t="shared" si="43"/>
        <v>#N/A</v>
      </c>
      <c r="AD81" s="674"/>
      <c r="AE81" s="182"/>
      <c r="AF81" s="182"/>
      <c r="AG81" s="182"/>
      <c r="AH81" s="477" t="e">
        <f t="shared" si="45"/>
        <v>#N/A</v>
      </c>
      <c r="AI81" s="674"/>
      <c r="AJ81" s="182"/>
      <c r="AK81" s="182"/>
      <c r="AL81" s="182"/>
      <c r="AM81" s="477" t="e">
        <f t="shared" si="47"/>
        <v>#N/A</v>
      </c>
      <c r="AN81" s="674"/>
      <c r="AO81" s="182"/>
      <c r="AP81" s="182"/>
      <c r="AQ81" s="182"/>
      <c r="AR81" s="477" t="e">
        <f t="shared" si="49"/>
        <v>#N/A</v>
      </c>
      <c r="AS81" s="674"/>
      <c r="AT81" s="182"/>
      <c r="AU81" s="182"/>
      <c r="AV81" s="182"/>
      <c r="AW81" s="477" t="e">
        <f t="shared" si="51"/>
        <v>#N/A</v>
      </c>
      <c r="AX81" s="674"/>
    </row>
    <row r="82" spans="2:50" ht="15.75">
      <c r="B82" s="664" t="s">
        <v>163</v>
      </c>
      <c r="C82" s="665"/>
      <c r="D82" s="665"/>
      <c r="E82" s="665"/>
      <c r="F82" s="665"/>
      <c r="G82" s="665"/>
      <c r="H82" s="666"/>
      <c r="I82" s="208"/>
      <c r="J82" s="208"/>
      <c r="K82" s="208"/>
      <c r="L82" s="208"/>
      <c r="M82" s="207"/>
      <c r="N82" s="653" t="s">
        <v>156</v>
      </c>
      <c r="O82" s="653" t="s">
        <v>105</v>
      </c>
      <c r="P82" s="659">
        <f>P62+7</f>
        <v>46077</v>
      </c>
      <c r="Q82" s="660"/>
      <c r="R82" s="660"/>
      <c r="S82" s="660"/>
      <c r="T82" s="660"/>
      <c r="U82" s="656">
        <f>P82+1</f>
        <v>46078</v>
      </c>
      <c r="V82" s="657"/>
      <c r="W82" s="657"/>
      <c r="X82" s="657"/>
      <c r="Y82" s="658"/>
      <c r="Z82" s="656">
        <f>U82+1</f>
        <v>46079</v>
      </c>
      <c r="AA82" s="657"/>
      <c r="AB82" s="657"/>
      <c r="AC82" s="657"/>
      <c r="AD82" s="658"/>
      <c r="AE82" s="656">
        <f>Z82+1</f>
        <v>46080</v>
      </c>
      <c r="AF82" s="657"/>
      <c r="AG82" s="657"/>
      <c r="AH82" s="657"/>
      <c r="AI82" s="658"/>
      <c r="AJ82" s="656">
        <f>AE82+1</f>
        <v>46081</v>
      </c>
      <c r="AK82" s="657"/>
      <c r="AL82" s="657"/>
      <c r="AM82" s="657"/>
      <c r="AN82" s="658"/>
      <c r="AO82" s="656">
        <f>AJ82+1</f>
        <v>46082</v>
      </c>
      <c r="AP82" s="657"/>
      <c r="AQ82" s="657"/>
      <c r="AR82" s="657"/>
      <c r="AS82" s="658"/>
      <c r="AT82" s="656">
        <f>AO82+1</f>
        <v>46083</v>
      </c>
      <c r="AU82" s="657"/>
      <c r="AV82" s="657"/>
      <c r="AW82" s="657"/>
      <c r="AX82" s="658"/>
    </row>
    <row r="83" spans="2:50" ht="15.75">
      <c r="B83" s="667"/>
      <c r="C83" s="667"/>
      <c r="D83" s="667"/>
      <c r="E83" s="667"/>
      <c r="F83" s="667"/>
      <c r="G83" s="667"/>
      <c r="H83" s="667"/>
      <c r="I83" s="205"/>
      <c r="J83" s="205"/>
      <c r="K83" s="205"/>
      <c r="L83" s="205"/>
      <c r="M83" s="206"/>
      <c r="N83" s="655"/>
      <c r="O83" s="655"/>
      <c r="P83" s="659" t="s">
        <v>336</v>
      </c>
      <c r="Q83" s="660"/>
      <c r="R83" s="660"/>
      <c r="S83" s="660"/>
      <c r="T83" s="660"/>
      <c r="U83" s="659" t="s">
        <v>337</v>
      </c>
      <c r="V83" s="660"/>
      <c r="W83" s="660"/>
      <c r="X83" s="660"/>
      <c r="Y83" s="660"/>
      <c r="Z83" s="659" t="s">
        <v>338</v>
      </c>
      <c r="AA83" s="660"/>
      <c r="AB83" s="660"/>
      <c r="AC83" s="660"/>
      <c r="AD83" s="660"/>
      <c r="AE83" s="659" t="s">
        <v>339</v>
      </c>
      <c r="AF83" s="660"/>
      <c r="AG83" s="660"/>
      <c r="AH83" s="660"/>
      <c r="AI83" s="660"/>
      <c r="AJ83" s="659" t="s">
        <v>340</v>
      </c>
      <c r="AK83" s="660"/>
      <c r="AL83" s="660"/>
      <c r="AM83" s="660"/>
      <c r="AN83" s="660"/>
      <c r="AO83" s="659" t="s">
        <v>341</v>
      </c>
      <c r="AP83" s="660"/>
      <c r="AQ83" s="660"/>
      <c r="AR83" s="660"/>
      <c r="AS83" s="660"/>
      <c r="AT83" s="659" t="s">
        <v>342</v>
      </c>
      <c r="AU83" s="660"/>
      <c r="AV83" s="660"/>
      <c r="AW83" s="660"/>
      <c r="AX83" s="660"/>
    </row>
    <row r="84" spans="2:50">
      <c r="B84" s="652" t="s">
        <v>472</v>
      </c>
      <c r="C84" s="652" t="s">
        <v>473</v>
      </c>
      <c r="D84" s="652"/>
      <c r="E84" s="652" t="s">
        <v>474</v>
      </c>
      <c r="F84" s="652"/>
      <c r="G84" s="652"/>
      <c r="H84" s="668" t="s">
        <v>475</v>
      </c>
      <c r="I84" s="636" t="s">
        <v>476</v>
      </c>
      <c r="J84" s="636"/>
      <c r="K84" s="636"/>
      <c r="L84" s="637" t="s">
        <v>475</v>
      </c>
      <c r="M84" s="643" t="s">
        <v>477</v>
      </c>
      <c r="N84" s="652"/>
      <c r="O84" s="652" t="s">
        <v>478</v>
      </c>
      <c r="P84" s="649" t="s">
        <v>479</v>
      </c>
      <c r="Q84" s="650"/>
      <c r="R84" s="650"/>
      <c r="S84" s="651"/>
      <c r="T84" s="652" t="s">
        <v>475</v>
      </c>
      <c r="U84" s="649" t="s">
        <v>479</v>
      </c>
      <c r="V84" s="650"/>
      <c r="W84" s="650"/>
      <c r="X84" s="651"/>
      <c r="Y84" s="652" t="s">
        <v>475</v>
      </c>
      <c r="Z84" s="649" t="s">
        <v>479</v>
      </c>
      <c r="AA84" s="650"/>
      <c r="AB84" s="650"/>
      <c r="AC84" s="651"/>
      <c r="AD84" s="652" t="s">
        <v>475</v>
      </c>
      <c r="AE84" s="649" t="s">
        <v>479</v>
      </c>
      <c r="AF84" s="650"/>
      <c r="AG84" s="650"/>
      <c r="AH84" s="651"/>
      <c r="AI84" s="652" t="s">
        <v>475</v>
      </c>
      <c r="AJ84" s="649" t="s">
        <v>479</v>
      </c>
      <c r="AK84" s="650"/>
      <c r="AL84" s="650"/>
      <c r="AM84" s="651"/>
      <c r="AN84" s="652" t="s">
        <v>475</v>
      </c>
      <c r="AO84" s="649" t="s">
        <v>479</v>
      </c>
      <c r="AP84" s="650"/>
      <c r="AQ84" s="650"/>
      <c r="AR84" s="651"/>
      <c r="AS84" s="652" t="s">
        <v>475</v>
      </c>
      <c r="AT84" s="649" t="s">
        <v>479</v>
      </c>
      <c r="AU84" s="650"/>
      <c r="AV84" s="650"/>
      <c r="AW84" s="651"/>
      <c r="AX84" s="652" t="s">
        <v>475</v>
      </c>
    </row>
    <row r="85" spans="2:50">
      <c r="B85" s="652"/>
      <c r="C85" s="652"/>
      <c r="D85" s="652"/>
      <c r="E85" s="652" t="s">
        <v>480</v>
      </c>
      <c r="F85" s="652"/>
      <c r="G85" s="652"/>
      <c r="H85" s="669"/>
      <c r="I85" s="636" t="s">
        <v>480</v>
      </c>
      <c r="J85" s="636"/>
      <c r="K85" s="636"/>
      <c r="L85" s="638"/>
      <c r="M85" s="644"/>
      <c r="N85" s="652"/>
      <c r="O85" s="652"/>
      <c r="P85" s="649" t="s">
        <v>481</v>
      </c>
      <c r="Q85" s="650"/>
      <c r="R85" s="650"/>
      <c r="S85" s="651"/>
      <c r="T85" s="652"/>
      <c r="U85" s="649" t="s">
        <v>481</v>
      </c>
      <c r="V85" s="650"/>
      <c r="W85" s="650"/>
      <c r="X85" s="651"/>
      <c r="Y85" s="652"/>
      <c r="Z85" s="649" t="s">
        <v>481</v>
      </c>
      <c r="AA85" s="650"/>
      <c r="AB85" s="650"/>
      <c r="AC85" s="651"/>
      <c r="AD85" s="652"/>
      <c r="AE85" s="649" t="s">
        <v>481</v>
      </c>
      <c r="AF85" s="650"/>
      <c r="AG85" s="650"/>
      <c r="AH85" s="651"/>
      <c r="AI85" s="652"/>
      <c r="AJ85" s="649" t="s">
        <v>481</v>
      </c>
      <c r="AK85" s="650"/>
      <c r="AL85" s="650"/>
      <c r="AM85" s="651"/>
      <c r="AN85" s="652"/>
      <c r="AO85" s="649" t="s">
        <v>481</v>
      </c>
      <c r="AP85" s="650"/>
      <c r="AQ85" s="650"/>
      <c r="AR85" s="651"/>
      <c r="AS85" s="652"/>
      <c r="AT85" s="649" t="s">
        <v>481</v>
      </c>
      <c r="AU85" s="650"/>
      <c r="AV85" s="650"/>
      <c r="AW85" s="651"/>
      <c r="AX85" s="652"/>
    </row>
    <row r="86" spans="2:50">
      <c r="B86" s="652"/>
      <c r="C86" s="652"/>
      <c r="D86" s="652"/>
      <c r="E86" s="302" t="s">
        <v>482</v>
      </c>
      <c r="F86" s="302" t="s">
        <v>483</v>
      </c>
      <c r="G86" s="302" t="s">
        <v>484</v>
      </c>
      <c r="H86" s="670"/>
      <c r="I86" s="303" t="s">
        <v>482</v>
      </c>
      <c r="J86" s="303" t="s">
        <v>483</v>
      </c>
      <c r="K86" s="303" t="s">
        <v>484</v>
      </c>
      <c r="L86" s="639"/>
      <c r="M86" s="645"/>
      <c r="N86" s="652"/>
      <c r="O86" s="652"/>
      <c r="P86" s="302" t="s">
        <v>482</v>
      </c>
      <c r="Q86" s="302" t="s">
        <v>483</v>
      </c>
      <c r="R86" s="302" t="s">
        <v>484</v>
      </c>
      <c r="S86" s="302" t="s">
        <v>477</v>
      </c>
      <c r="T86" s="652"/>
      <c r="U86" s="302" t="s">
        <v>482</v>
      </c>
      <c r="V86" s="302" t="s">
        <v>483</v>
      </c>
      <c r="W86" s="302" t="s">
        <v>484</v>
      </c>
      <c r="X86" s="302" t="s">
        <v>477</v>
      </c>
      <c r="Y86" s="652"/>
      <c r="Z86" s="302" t="s">
        <v>482</v>
      </c>
      <c r="AA86" s="302" t="s">
        <v>483</v>
      </c>
      <c r="AB86" s="302" t="s">
        <v>484</v>
      </c>
      <c r="AC86" s="302" t="s">
        <v>477</v>
      </c>
      <c r="AD86" s="652"/>
      <c r="AE86" s="302" t="s">
        <v>482</v>
      </c>
      <c r="AF86" s="302" t="s">
        <v>483</v>
      </c>
      <c r="AG86" s="302" t="s">
        <v>484</v>
      </c>
      <c r="AH86" s="302" t="s">
        <v>477</v>
      </c>
      <c r="AI86" s="652"/>
      <c r="AJ86" s="302" t="s">
        <v>482</v>
      </c>
      <c r="AK86" s="302" t="s">
        <v>483</v>
      </c>
      <c r="AL86" s="302" t="s">
        <v>484</v>
      </c>
      <c r="AM86" s="302" t="s">
        <v>477</v>
      </c>
      <c r="AN86" s="652"/>
      <c r="AO86" s="302" t="s">
        <v>482</v>
      </c>
      <c r="AP86" s="302" t="s">
        <v>483</v>
      </c>
      <c r="AQ86" s="302" t="s">
        <v>484</v>
      </c>
      <c r="AR86" s="302" t="s">
        <v>477</v>
      </c>
      <c r="AS86" s="652"/>
      <c r="AT86" s="302" t="s">
        <v>482</v>
      </c>
      <c r="AU86" s="302" t="s">
        <v>483</v>
      </c>
      <c r="AV86" s="302" t="s">
        <v>484</v>
      </c>
      <c r="AW86" s="302" t="s">
        <v>477</v>
      </c>
      <c r="AX86" s="652"/>
    </row>
    <row r="87" spans="2:50">
      <c r="B87" s="700" t="s">
        <v>486</v>
      </c>
      <c r="C87" s="301">
        <v>1</v>
      </c>
      <c r="D87" s="227"/>
      <c r="E87" s="182"/>
      <c r="F87" s="514"/>
      <c r="G87" s="515"/>
      <c r="H87" s="701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33" t="str">
        <f>IFERROR(AVERAGE(K87:K101),"-")</f>
        <v>-</v>
      </c>
      <c r="M87" s="201" t="e">
        <f>RANK(K87, K$87:$K$101)</f>
        <v>#DIV/0!</v>
      </c>
      <c r="N87" s="652"/>
      <c r="O87" s="652"/>
      <c r="P87" s="182"/>
      <c r="Q87" s="182"/>
      <c r="R87" s="182"/>
      <c r="S87" s="301" t="e">
        <f>RANK(R87, R$87:R$101)</f>
        <v>#N/A</v>
      </c>
      <c r="T87" s="674" t="e">
        <f>AVERAGE(R87:R101)</f>
        <v>#DIV/0!</v>
      </c>
      <c r="U87" s="182"/>
      <c r="V87" s="182"/>
      <c r="W87" s="182"/>
      <c r="X87" s="477" t="e">
        <f t="shared" ref="X87:X101" si="63">RANK(W87, W$87:W$101)</f>
        <v>#N/A</v>
      </c>
      <c r="Y87" s="674" t="e">
        <f t="shared" ref="Y87" si="64">AVERAGE(W87:W101)</f>
        <v>#DIV/0!</v>
      </c>
      <c r="Z87" s="182"/>
      <c r="AA87" s="182"/>
      <c r="AB87" s="182"/>
      <c r="AC87" s="477" t="e">
        <f t="shared" ref="AC87:AC101" si="65">RANK(AB87, AB$87:AB$101)</f>
        <v>#N/A</v>
      </c>
      <c r="AD87" s="674" t="e">
        <f t="shared" ref="AD87" si="66">AVERAGE(AB87:AB101)</f>
        <v>#DIV/0!</v>
      </c>
      <c r="AE87" s="182"/>
      <c r="AF87" s="182"/>
      <c r="AG87" s="182"/>
      <c r="AH87" s="477" t="e">
        <f t="shared" ref="AH87:AH101" si="67">RANK(AG87, AG$87:AG$101)</f>
        <v>#N/A</v>
      </c>
      <c r="AI87" s="674" t="e">
        <f t="shared" ref="AI87" si="68">AVERAGE(AG87:AG101)</f>
        <v>#DIV/0!</v>
      </c>
      <c r="AJ87" s="182"/>
      <c r="AK87" s="182"/>
      <c r="AL87" s="182"/>
      <c r="AM87" s="477" t="e">
        <f t="shared" ref="AM87:AM101" si="69">RANK(AL87, AL$87:AL$101)</f>
        <v>#N/A</v>
      </c>
      <c r="AN87" s="674" t="e">
        <f t="shared" ref="AN87" si="70">AVERAGE(AL87:AL101)</f>
        <v>#DIV/0!</v>
      </c>
      <c r="AO87" s="182"/>
      <c r="AP87" s="182"/>
      <c r="AQ87" s="182"/>
      <c r="AR87" s="477" t="e">
        <f t="shared" ref="AR87:AR101" si="71">RANK(AQ87, AQ$87:AQ$101)</f>
        <v>#N/A</v>
      </c>
      <c r="AS87" s="674" t="e">
        <f t="shared" ref="AS87" si="72">AVERAGE(AQ87:AQ101)</f>
        <v>#DIV/0!</v>
      </c>
      <c r="AT87" s="182"/>
      <c r="AU87" s="182"/>
      <c r="AV87" s="182"/>
      <c r="AW87" s="477" t="e">
        <f t="shared" ref="AW87:AW101" si="73">RANK(AV87, AV$87:AV$101)</f>
        <v>#N/A</v>
      </c>
      <c r="AX87" s="674" t="e">
        <f t="shared" ref="AX87" si="74">AVERAGE(AV87:AV101)</f>
        <v>#DIV/0!</v>
      </c>
    </row>
    <row r="88" spans="2:50">
      <c r="B88" s="660"/>
      <c r="C88" s="301">
        <v>2</v>
      </c>
      <c r="D88" s="227"/>
      <c r="E88" s="182"/>
      <c r="F88" s="514"/>
      <c r="G88" s="515"/>
      <c r="H88" s="702"/>
      <c r="I88" s="199" t="e">
        <f t="shared" ref="I88:K96" si="75">AVERAGE(P88,U88,Z88,AE88,AJ88,AO88,AT88)</f>
        <v>#DIV/0!</v>
      </c>
      <c r="J88" s="199" t="e">
        <f t="shared" si="75"/>
        <v>#DIV/0!</v>
      </c>
      <c r="K88" s="200" t="e">
        <f t="shared" si="75"/>
        <v>#DIV/0!</v>
      </c>
      <c r="L88" s="634"/>
      <c r="M88" s="201" t="e">
        <f>RANK(K88, K$87:$K$101)</f>
        <v>#DIV/0!</v>
      </c>
      <c r="N88" s="652"/>
      <c r="O88" s="652"/>
      <c r="P88" s="182"/>
      <c r="Q88" s="182"/>
      <c r="R88" s="182"/>
      <c r="S88" s="301" t="e">
        <f t="shared" ref="S88:S101" si="76">RANK(R88, R$87:R$101)</f>
        <v>#N/A</v>
      </c>
      <c r="T88" s="674"/>
      <c r="U88" s="182"/>
      <c r="V88" s="182"/>
      <c r="W88" s="182"/>
      <c r="X88" s="477" t="e">
        <f t="shared" si="63"/>
        <v>#N/A</v>
      </c>
      <c r="Y88" s="674"/>
      <c r="Z88" s="182"/>
      <c r="AA88" s="182"/>
      <c r="AB88" s="182"/>
      <c r="AC88" s="477" t="e">
        <f t="shared" si="65"/>
        <v>#N/A</v>
      </c>
      <c r="AD88" s="674"/>
      <c r="AE88" s="182"/>
      <c r="AF88" s="182"/>
      <c r="AG88" s="182"/>
      <c r="AH88" s="477" t="e">
        <f t="shared" si="67"/>
        <v>#N/A</v>
      </c>
      <c r="AI88" s="674"/>
      <c r="AJ88" s="182"/>
      <c r="AK88" s="182"/>
      <c r="AL88" s="182"/>
      <c r="AM88" s="477" t="e">
        <f t="shared" si="69"/>
        <v>#N/A</v>
      </c>
      <c r="AN88" s="674"/>
      <c r="AO88" s="182"/>
      <c r="AP88" s="182"/>
      <c r="AQ88" s="182"/>
      <c r="AR88" s="477" t="e">
        <f t="shared" si="71"/>
        <v>#N/A</v>
      </c>
      <c r="AS88" s="674"/>
      <c r="AT88" s="182"/>
      <c r="AU88" s="182"/>
      <c r="AV88" s="182"/>
      <c r="AW88" s="477" t="e">
        <f t="shared" si="73"/>
        <v>#N/A</v>
      </c>
      <c r="AX88" s="674"/>
    </row>
    <row r="89" spans="2:50">
      <c r="B89" s="660"/>
      <c r="C89" s="301">
        <v>3</v>
      </c>
      <c r="D89" s="227"/>
      <c r="E89" s="182"/>
      <c r="F89" s="514"/>
      <c r="G89" s="515"/>
      <c r="H89" s="702"/>
      <c r="I89" s="199" t="e">
        <f t="shared" si="75"/>
        <v>#DIV/0!</v>
      </c>
      <c r="J89" s="199" t="e">
        <f t="shared" si="75"/>
        <v>#DIV/0!</v>
      </c>
      <c r="K89" s="200" t="e">
        <f t="shared" si="75"/>
        <v>#DIV/0!</v>
      </c>
      <c r="L89" s="634"/>
      <c r="M89" s="201" t="e">
        <f>RANK(K89, K$87:$K$101)</f>
        <v>#DIV/0!</v>
      </c>
      <c r="N89" s="652"/>
      <c r="O89" s="652"/>
      <c r="P89" s="182"/>
      <c r="Q89" s="182"/>
      <c r="R89" s="182"/>
      <c r="S89" s="301" t="e">
        <f t="shared" si="76"/>
        <v>#N/A</v>
      </c>
      <c r="T89" s="674"/>
      <c r="U89" s="182"/>
      <c r="V89" s="182"/>
      <c r="W89" s="182"/>
      <c r="X89" s="477" t="e">
        <f t="shared" si="63"/>
        <v>#N/A</v>
      </c>
      <c r="Y89" s="674"/>
      <c r="Z89" s="182"/>
      <c r="AA89" s="182"/>
      <c r="AB89" s="182"/>
      <c r="AC89" s="477" t="e">
        <f t="shared" si="65"/>
        <v>#N/A</v>
      </c>
      <c r="AD89" s="674"/>
      <c r="AE89" s="182"/>
      <c r="AF89" s="182"/>
      <c r="AG89" s="182"/>
      <c r="AH89" s="477" t="e">
        <f t="shared" si="67"/>
        <v>#N/A</v>
      </c>
      <c r="AI89" s="674"/>
      <c r="AJ89" s="182"/>
      <c r="AK89" s="182"/>
      <c r="AL89" s="182"/>
      <c r="AM89" s="477" t="e">
        <f t="shared" si="69"/>
        <v>#N/A</v>
      </c>
      <c r="AN89" s="674"/>
      <c r="AO89" s="182"/>
      <c r="AP89" s="182"/>
      <c r="AQ89" s="182"/>
      <c r="AR89" s="477" t="e">
        <f t="shared" si="71"/>
        <v>#N/A</v>
      </c>
      <c r="AS89" s="674"/>
      <c r="AT89" s="182"/>
      <c r="AU89" s="182"/>
      <c r="AV89" s="182"/>
      <c r="AW89" s="477" t="e">
        <f t="shared" si="73"/>
        <v>#N/A</v>
      </c>
      <c r="AX89" s="674"/>
    </row>
    <row r="90" spans="2:50">
      <c r="B90" s="660"/>
      <c r="C90" s="301">
        <v>4</v>
      </c>
      <c r="D90" s="227"/>
      <c r="E90" s="182"/>
      <c r="F90" s="514"/>
      <c r="G90" s="515"/>
      <c r="H90" s="702"/>
      <c r="I90" s="199" t="e">
        <f t="shared" si="75"/>
        <v>#DIV/0!</v>
      </c>
      <c r="J90" s="199" t="e">
        <f t="shared" si="75"/>
        <v>#DIV/0!</v>
      </c>
      <c r="K90" s="200" t="e">
        <f t="shared" si="75"/>
        <v>#DIV/0!</v>
      </c>
      <c r="L90" s="634"/>
      <c r="M90" s="201" t="e">
        <f>RANK(K90, K$87:$K$101)</f>
        <v>#DIV/0!</v>
      </c>
      <c r="N90" s="652"/>
      <c r="O90" s="652"/>
      <c r="P90" s="182"/>
      <c r="Q90" s="182"/>
      <c r="R90" s="182"/>
      <c r="S90" s="301" t="e">
        <f t="shared" si="76"/>
        <v>#N/A</v>
      </c>
      <c r="T90" s="674"/>
      <c r="U90" s="182"/>
      <c r="V90" s="182"/>
      <c r="W90" s="182"/>
      <c r="X90" s="477" t="e">
        <f t="shared" si="63"/>
        <v>#N/A</v>
      </c>
      <c r="Y90" s="674"/>
      <c r="Z90" s="182"/>
      <c r="AA90" s="182"/>
      <c r="AB90" s="182"/>
      <c r="AC90" s="477" t="e">
        <f t="shared" si="65"/>
        <v>#N/A</v>
      </c>
      <c r="AD90" s="674"/>
      <c r="AE90" s="182"/>
      <c r="AF90" s="182"/>
      <c r="AG90" s="182"/>
      <c r="AH90" s="477" t="e">
        <f t="shared" si="67"/>
        <v>#N/A</v>
      </c>
      <c r="AI90" s="674"/>
      <c r="AJ90" s="182"/>
      <c r="AK90" s="182"/>
      <c r="AL90" s="182"/>
      <c r="AM90" s="477" t="e">
        <f t="shared" si="69"/>
        <v>#N/A</v>
      </c>
      <c r="AN90" s="674"/>
      <c r="AO90" s="182"/>
      <c r="AP90" s="182"/>
      <c r="AQ90" s="182"/>
      <c r="AR90" s="477" t="e">
        <f t="shared" si="71"/>
        <v>#N/A</v>
      </c>
      <c r="AS90" s="674"/>
      <c r="AT90" s="182"/>
      <c r="AU90" s="182"/>
      <c r="AV90" s="182"/>
      <c r="AW90" s="477" t="e">
        <f t="shared" si="73"/>
        <v>#N/A</v>
      </c>
      <c r="AX90" s="674"/>
    </row>
    <row r="91" spans="2:50">
      <c r="B91" s="660"/>
      <c r="C91" s="301">
        <v>5</v>
      </c>
      <c r="D91" s="227"/>
      <c r="E91" s="182"/>
      <c r="F91" s="514"/>
      <c r="G91" s="515"/>
      <c r="H91" s="702"/>
      <c r="I91" s="199" t="e">
        <f t="shared" si="75"/>
        <v>#DIV/0!</v>
      </c>
      <c r="J91" s="199" t="e">
        <f t="shared" si="75"/>
        <v>#DIV/0!</v>
      </c>
      <c r="K91" s="200" t="e">
        <f t="shared" si="75"/>
        <v>#DIV/0!</v>
      </c>
      <c r="L91" s="634"/>
      <c r="M91" s="201" t="e">
        <f>RANK(K91, K$87:$K$101)</f>
        <v>#DIV/0!</v>
      </c>
      <c r="N91" s="652"/>
      <c r="O91" s="652"/>
      <c r="P91" s="182"/>
      <c r="Q91" s="182"/>
      <c r="R91" s="182"/>
      <c r="S91" s="301" t="e">
        <f t="shared" si="76"/>
        <v>#N/A</v>
      </c>
      <c r="T91" s="674"/>
      <c r="U91" s="182"/>
      <c r="V91" s="182"/>
      <c r="W91" s="182"/>
      <c r="X91" s="477" t="e">
        <f t="shared" si="63"/>
        <v>#N/A</v>
      </c>
      <c r="Y91" s="674"/>
      <c r="Z91" s="182"/>
      <c r="AA91" s="182"/>
      <c r="AB91" s="182"/>
      <c r="AC91" s="477" t="e">
        <f t="shared" si="65"/>
        <v>#N/A</v>
      </c>
      <c r="AD91" s="674"/>
      <c r="AE91" s="182"/>
      <c r="AF91" s="182"/>
      <c r="AG91" s="182"/>
      <c r="AH91" s="477" t="e">
        <f t="shared" si="67"/>
        <v>#N/A</v>
      </c>
      <c r="AI91" s="674"/>
      <c r="AJ91" s="182"/>
      <c r="AK91" s="182"/>
      <c r="AL91" s="182"/>
      <c r="AM91" s="477" t="e">
        <f t="shared" si="69"/>
        <v>#N/A</v>
      </c>
      <c r="AN91" s="674"/>
      <c r="AO91" s="182"/>
      <c r="AP91" s="182"/>
      <c r="AQ91" s="182"/>
      <c r="AR91" s="477" t="e">
        <f t="shared" si="71"/>
        <v>#N/A</v>
      </c>
      <c r="AS91" s="674"/>
      <c r="AT91" s="182"/>
      <c r="AU91" s="182"/>
      <c r="AV91" s="182"/>
      <c r="AW91" s="477" t="e">
        <f t="shared" si="73"/>
        <v>#N/A</v>
      </c>
      <c r="AX91" s="674"/>
    </row>
    <row r="92" spans="2:50">
      <c r="B92" s="660"/>
      <c r="C92" s="301">
        <v>6</v>
      </c>
      <c r="D92" s="227"/>
      <c r="E92" s="182"/>
      <c r="F92" s="514"/>
      <c r="G92" s="515"/>
      <c r="H92" s="702"/>
      <c r="I92" s="199" t="e">
        <f t="shared" si="75"/>
        <v>#DIV/0!</v>
      </c>
      <c r="J92" s="199" t="e">
        <f t="shared" si="75"/>
        <v>#DIV/0!</v>
      </c>
      <c r="K92" s="200" t="e">
        <f t="shared" si="75"/>
        <v>#DIV/0!</v>
      </c>
      <c r="L92" s="634"/>
      <c r="M92" s="201" t="e">
        <f>RANK(K92, K$87:$K$101)</f>
        <v>#DIV/0!</v>
      </c>
      <c r="N92" s="652"/>
      <c r="O92" s="652"/>
      <c r="P92" s="182"/>
      <c r="Q92" s="182"/>
      <c r="R92" s="182"/>
      <c r="S92" s="301" t="e">
        <f t="shared" si="76"/>
        <v>#N/A</v>
      </c>
      <c r="T92" s="674"/>
      <c r="U92" s="182"/>
      <c r="V92" s="182"/>
      <c r="W92" s="182"/>
      <c r="X92" s="477" t="e">
        <f t="shared" si="63"/>
        <v>#N/A</v>
      </c>
      <c r="Y92" s="674"/>
      <c r="Z92" s="182"/>
      <c r="AA92" s="182"/>
      <c r="AB92" s="182"/>
      <c r="AC92" s="477" t="e">
        <f t="shared" si="65"/>
        <v>#N/A</v>
      </c>
      <c r="AD92" s="674"/>
      <c r="AE92" s="182"/>
      <c r="AF92" s="182"/>
      <c r="AG92" s="182"/>
      <c r="AH92" s="477" t="e">
        <f t="shared" si="67"/>
        <v>#N/A</v>
      </c>
      <c r="AI92" s="674"/>
      <c r="AJ92" s="182"/>
      <c r="AK92" s="182"/>
      <c r="AL92" s="182"/>
      <c r="AM92" s="477" t="e">
        <f t="shared" si="69"/>
        <v>#N/A</v>
      </c>
      <c r="AN92" s="674"/>
      <c r="AO92" s="182"/>
      <c r="AP92" s="182"/>
      <c r="AQ92" s="182"/>
      <c r="AR92" s="477" t="e">
        <f t="shared" si="71"/>
        <v>#N/A</v>
      </c>
      <c r="AS92" s="674"/>
      <c r="AT92" s="182"/>
      <c r="AU92" s="182"/>
      <c r="AV92" s="182"/>
      <c r="AW92" s="477" t="e">
        <f t="shared" si="73"/>
        <v>#N/A</v>
      </c>
      <c r="AX92" s="674"/>
    </row>
    <row r="93" spans="2:50">
      <c r="B93" s="660"/>
      <c r="C93" s="301">
        <v>7</v>
      </c>
      <c r="D93" s="227"/>
      <c r="E93" s="182"/>
      <c r="F93" s="514"/>
      <c r="G93" s="515"/>
      <c r="H93" s="702"/>
      <c r="I93" s="199" t="e">
        <f t="shared" si="75"/>
        <v>#DIV/0!</v>
      </c>
      <c r="J93" s="199" t="e">
        <f t="shared" si="75"/>
        <v>#DIV/0!</v>
      </c>
      <c r="K93" s="200" t="e">
        <f t="shared" si="75"/>
        <v>#DIV/0!</v>
      </c>
      <c r="L93" s="634"/>
      <c r="M93" s="201" t="e">
        <f>RANK(K93, K$87:$K$101)</f>
        <v>#DIV/0!</v>
      </c>
      <c r="N93" s="652"/>
      <c r="O93" s="652"/>
      <c r="P93" s="182"/>
      <c r="Q93" s="182"/>
      <c r="R93" s="182"/>
      <c r="S93" s="301" t="e">
        <f t="shared" si="76"/>
        <v>#N/A</v>
      </c>
      <c r="T93" s="674"/>
      <c r="U93" s="182"/>
      <c r="V93" s="182"/>
      <c r="W93" s="182"/>
      <c r="X93" s="477" t="e">
        <f t="shared" si="63"/>
        <v>#N/A</v>
      </c>
      <c r="Y93" s="674"/>
      <c r="Z93" s="182"/>
      <c r="AA93" s="182"/>
      <c r="AB93" s="182"/>
      <c r="AC93" s="477" t="e">
        <f t="shared" si="65"/>
        <v>#N/A</v>
      </c>
      <c r="AD93" s="674"/>
      <c r="AE93" s="182"/>
      <c r="AF93" s="182"/>
      <c r="AG93" s="182"/>
      <c r="AH93" s="477" t="e">
        <f t="shared" si="67"/>
        <v>#N/A</v>
      </c>
      <c r="AI93" s="674"/>
      <c r="AJ93" s="182"/>
      <c r="AK93" s="182"/>
      <c r="AL93" s="182"/>
      <c r="AM93" s="477" t="e">
        <f t="shared" si="69"/>
        <v>#N/A</v>
      </c>
      <c r="AN93" s="674"/>
      <c r="AO93" s="182"/>
      <c r="AP93" s="182"/>
      <c r="AQ93" s="182"/>
      <c r="AR93" s="477" t="e">
        <f t="shared" si="71"/>
        <v>#N/A</v>
      </c>
      <c r="AS93" s="674"/>
      <c r="AT93" s="182"/>
      <c r="AU93" s="182"/>
      <c r="AV93" s="182"/>
      <c r="AW93" s="477" t="e">
        <f t="shared" si="73"/>
        <v>#N/A</v>
      </c>
      <c r="AX93" s="674"/>
    </row>
    <row r="94" spans="2:50">
      <c r="B94" s="660"/>
      <c r="C94" s="301">
        <v>8</v>
      </c>
      <c r="D94" s="227"/>
      <c r="E94" s="182"/>
      <c r="F94" s="514"/>
      <c r="G94" s="515"/>
      <c r="H94" s="702"/>
      <c r="I94" s="199" t="e">
        <f t="shared" si="75"/>
        <v>#DIV/0!</v>
      </c>
      <c r="J94" s="199" t="e">
        <f t="shared" si="75"/>
        <v>#DIV/0!</v>
      </c>
      <c r="K94" s="200" t="e">
        <f t="shared" si="75"/>
        <v>#DIV/0!</v>
      </c>
      <c r="L94" s="634"/>
      <c r="M94" s="201" t="e">
        <f>RANK(K94, K$87:$K$101)</f>
        <v>#DIV/0!</v>
      </c>
      <c r="N94" s="652"/>
      <c r="O94" s="652"/>
      <c r="P94" s="182"/>
      <c r="Q94" s="182"/>
      <c r="R94" s="182"/>
      <c r="S94" s="301" t="e">
        <f t="shared" si="76"/>
        <v>#N/A</v>
      </c>
      <c r="T94" s="674"/>
      <c r="U94" s="182"/>
      <c r="V94" s="182"/>
      <c r="W94" s="182"/>
      <c r="X94" s="477" t="e">
        <f t="shared" si="63"/>
        <v>#N/A</v>
      </c>
      <c r="Y94" s="674"/>
      <c r="Z94" s="182"/>
      <c r="AA94" s="182"/>
      <c r="AB94" s="182"/>
      <c r="AC94" s="477" t="e">
        <f t="shared" si="65"/>
        <v>#N/A</v>
      </c>
      <c r="AD94" s="674"/>
      <c r="AE94" s="182"/>
      <c r="AF94" s="182"/>
      <c r="AG94" s="182"/>
      <c r="AH94" s="477" t="e">
        <f t="shared" si="67"/>
        <v>#N/A</v>
      </c>
      <c r="AI94" s="674"/>
      <c r="AJ94" s="182"/>
      <c r="AK94" s="182"/>
      <c r="AL94" s="182"/>
      <c r="AM94" s="477" t="e">
        <f t="shared" si="69"/>
        <v>#N/A</v>
      </c>
      <c r="AN94" s="674"/>
      <c r="AO94" s="182"/>
      <c r="AP94" s="182"/>
      <c r="AQ94" s="182"/>
      <c r="AR94" s="477" t="e">
        <f t="shared" si="71"/>
        <v>#N/A</v>
      </c>
      <c r="AS94" s="674"/>
      <c r="AT94" s="182"/>
      <c r="AU94" s="182"/>
      <c r="AV94" s="182"/>
      <c r="AW94" s="477" t="e">
        <f t="shared" si="73"/>
        <v>#N/A</v>
      </c>
      <c r="AX94" s="674"/>
    </row>
    <row r="95" spans="2:50">
      <c r="B95" s="660"/>
      <c r="C95" s="301">
        <v>9</v>
      </c>
      <c r="D95" s="227"/>
      <c r="E95" s="182"/>
      <c r="F95" s="514"/>
      <c r="G95" s="515"/>
      <c r="H95" s="702"/>
      <c r="I95" s="199" t="e">
        <f t="shared" si="75"/>
        <v>#DIV/0!</v>
      </c>
      <c r="J95" s="199" t="e">
        <f t="shared" si="75"/>
        <v>#DIV/0!</v>
      </c>
      <c r="K95" s="200" t="e">
        <f t="shared" si="75"/>
        <v>#DIV/0!</v>
      </c>
      <c r="L95" s="634"/>
      <c r="M95" s="201" t="e">
        <f>RANK(K95, K$87:$K$101)</f>
        <v>#DIV/0!</v>
      </c>
      <c r="N95" s="652"/>
      <c r="O95" s="652"/>
      <c r="P95" s="182"/>
      <c r="Q95" s="182"/>
      <c r="R95" s="182"/>
      <c r="S95" s="301" t="e">
        <f t="shared" si="76"/>
        <v>#N/A</v>
      </c>
      <c r="T95" s="674"/>
      <c r="U95" s="182"/>
      <c r="V95" s="182"/>
      <c r="W95" s="182"/>
      <c r="X95" s="477" t="e">
        <f t="shared" si="63"/>
        <v>#N/A</v>
      </c>
      <c r="Y95" s="674"/>
      <c r="Z95" s="182"/>
      <c r="AA95" s="182"/>
      <c r="AB95" s="182"/>
      <c r="AC95" s="477" t="e">
        <f t="shared" si="65"/>
        <v>#N/A</v>
      </c>
      <c r="AD95" s="674"/>
      <c r="AE95" s="182"/>
      <c r="AF95" s="182"/>
      <c r="AG95" s="182"/>
      <c r="AH95" s="477" t="e">
        <f t="shared" si="67"/>
        <v>#N/A</v>
      </c>
      <c r="AI95" s="674"/>
      <c r="AJ95" s="182"/>
      <c r="AK95" s="182"/>
      <c r="AL95" s="182"/>
      <c r="AM95" s="477" t="e">
        <f t="shared" si="69"/>
        <v>#N/A</v>
      </c>
      <c r="AN95" s="674"/>
      <c r="AO95" s="182"/>
      <c r="AP95" s="182"/>
      <c r="AQ95" s="182"/>
      <c r="AR95" s="477" t="e">
        <f t="shared" si="71"/>
        <v>#N/A</v>
      </c>
      <c r="AS95" s="674"/>
      <c r="AT95" s="182"/>
      <c r="AU95" s="182"/>
      <c r="AV95" s="182"/>
      <c r="AW95" s="477" t="e">
        <f t="shared" si="73"/>
        <v>#N/A</v>
      </c>
      <c r="AX95" s="674"/>
    </row>
    <row r="96" spans="2:50">
      <c r="B96" s="660"/>
      <c r="C96" s="301">
        <v>10</v>
      </c>
      <c r="D96" s="227"/>
      <c r="E96" s="182"/>
      <c r="F96" s="514"/>
      <c r="G96" s="515"/>
      <c r="H96" s="702"/>
      <c r="I96" s="199" t="e">
        <f t="shared" si="75"/>
        <v>#DIV/0!</v>
      </c>
      <c r="J96" s="199" t="e">
        <f t="shared" si="75"/>
        <v>#DIV/0!</v>
      </c>
      <c r="K96" s="200" t="e">
        <f t="shared" si="75"/>
        <v>#DIV/0!</v>
      </c>
      <c r="L96" s="634"/>
      <c r="M96" s="201" t="e">
        <f>RANK(K96, K$87:$K$101)</f>
        <v>#DIV/0!</v>
      </c>
      <c r="N96" s="652"/>
      <c r="O96" s="652"/>
      <c r="P96" s="182"/>
      <c r="Q96" s="182"/>
      <c r="R96" s="182"/>
      <c r="S96" s="301" t="e">
        <f t="shared" si="76"/>
        <v>#N/A</v>
      </c>
      <c r="T96" s="674"/>
      <c r="U96" s="182"/>
      <c r="V96" s="182"/>
      <c r="W96" s="182"/>
      <c r="X96" s="477" t="e">
        <f t="shared" si="63"/>
        <v>#N/A</v>
      </c>
      <c r="Y96" s="674"/>
      <c r="Z96" s="182"/>
      <c r="AA96" s="182"/>
      <c r="AB96" s="182"/>
      <c r="AC96" s="477" t="e">
        <f t="shared" si="65"/>
        <v>#N/A</v>
      </c>
      <c r="AD96" s="674"/>
      <c r="AE96" s="182"/>
      <c r="AF96" s="182"/>
      <c r="AG96" s="182"/>
      <c r="AH96" s="477" t="e">
        <f t="shared" si="67"/>
        <v>#N/A</v>
      </c>
      <c r="AI96" s="674"/>
      <c r="AJ96" s="182"/>
      <c r="AK96" s="182"/>
      <c r="AL96" s="182"/>
      <c r="AM96" s="477" t="e">
        <f t="shared" si="69"/>
        <v>#N/A</v>
      </c>
      <c r="AN96" s="674"/>
      <c r="AO96" s="182"/>
      <c r="AP96" s="182"/>
      <c r="AQ96" s="182"/>
      <c r="AR96" s="477" t="e">
        <f t="shared" si="71"/>
        <v>#N/A</v>
      </c>
      <c r="AS96" s="674"/>
      <c r="AT96" s="182"/>
      <c r="AU96" s="182"/>
      <c r="AV96" s="182"/>
      <c r="AW96" s="477" t="e">
        <f t="shared" si="73"/>
        <v>#N/A</v>
      </c>
      <c r="AX96" s="674"/>
    </row>
    <row r="97" spans="2:50">
      <c r="B97" s="660"/>
      <c r="C97" s="301">
        <v>11</v>
      </c>
      <c r="D97" s="227"/>
      <c r="E97" s="182"/>
      <c r="F97" s="514"/>
      <c r="G97" s="515"/>
      <c r="H97" s="702"/>
      <c r="I97" s="490" t="e">
        <f t="shared" ref="I97" si="77">AVERAGE(P97,U97,Z97,AE97,AJ97,AO97,AT97)</f>
        <v>#DIV/0!</v>
      </c>
      <c r="J97" s="490" t="e">
        <f t="shared" ref="J97" si="78">AVERAGE(Q97,V97,AA97,AF97,AK97,AP97,AU97)</f>
        <v>#DIV/0!</v>
      </c>
      <c r="K97" s="200" t="e">
        <f t="shared" ref="K97" si="79">AVERAGE(R97,W97,AB97,AG97,AL97,AQ97,AV97)</f>
        <v>#DIV/0!</v>
      </c>
      <c r="L97" s="634"/>
      <c r="M97" s="201" t="e">
        <f>RANK(K97, K$87:$K$101)</f>
        <v>#DIV/0!</v>
      </c>
      <c r="N97" s="652"/>
      <c r="O97" s="652"/>
      <c r="P97" s="182"/>
      <c r="Q97" s="182"/>
      <c r="R97" s="182"/>
      <c r="S97" s="301" t="e">
        <f t="shared" si="76"/>
        <v>#N/A</v>
      </c>
      <c r="T97" s="674"/>
      <c r="U97" s="182"/>
      <c r="V97" s="182"/>
      <c r="W97" s="182"/>
      <c r="X97" s="477" t="e">
        <f t="shared" si="63"/>
        <v>#N/A</v>
      </c>
      <c r="Y97" s="674"/>
      <c r="Z97" s="182"/>
      <c r="AA97" s="182"/>
      <c r="AB97" s="182"/>
      <c r="AC97" s="477" t="e">
        <f t="shared" si="65"/>
        <v>#N/A</v>
      </c>
      <c r="AD97" s="674"/>
      <c r="AE97" s="182"/>
      <c r="AF97" s="182"/>
      <c r="AG97" s="182"/>
      <c r="AH97" s="477" t="e">
        <f t="shared" si="67"/>
        <v>#N/A</v>
      </c>
      <c r="AI97" s="674"/>
      <c r="AJ97" s="182"/>
      <c r="AK97" s="182"/>
      <c r="AL97" s="182"/>
      <c r="AM97" s="477" t="e">
        <f t="shared" si="69"/>
        <v>#N/A</v>
      </c>
      <c r="AN97" s="674"/>
      <c r="AO97" s="182"/>
      <c r="AP97" s="182"/>
      <c r="AQ97" s="182"/>
      <c r="AR97" s="477" t="e">
        <f t="shared" si="71"/>
        <v>#N/A</v>
      </c>
      <c r="AS97" s="674"/>
      <c r="AT97" s="182"/>
      <c r="AU97" s="182"/>
      <c r="AV97" s="182"/>
      <c r="AW97" s="477" t="e">
        <f t="shared" si="73"/>
        <v>#N/A</v>
      </c>
      <c r="AX97" s="674"/>
    </row>
    <row r="98" spans="2:50">
      <c r="B98" s="660"/>
      <c r="C98" s="301">
        <v>12</v>
      </c>
      <c r="D98" s="227"/>
      <c r="E98" s="182"/>
      <c r="F98" s="514"/>
      <c r="G98" s="515"/>
      <c r="H98" s="702"/>
      <c r="I98" s="547" t="e">
        <f t="shared" ref="I98" si="80">AVERAGE(P98,U98,Z98,AE98,AJ98,AO98,AT98)</f>
        <v>#DIV/0!</v>
      </c>
      <c r="J98" s="547" t="e">
        <f t="shared" ref="J98" si="81">AVERAGE(Q98,V98,AA98,AF98,AK98,AP98,AU98)</f>
        <v>#DIV/0!</v>
      </c>
      <c r="K98" s="200" t="e">
        <f t="shared" ref="K98" si="82">AVERAGE(R98,W98,AB98,AG98,AL98,AQ98,AV98)</f>
        <v>#DIV/0!</v>
      </c>
      <c r="L98" s="634"/>
      <c r="M98" s="201" t="e">
        <f>RANK(K98, K$87:$K$101)</f>
        <v>#DIV/0!</v>
      </c>
      <c r="N98" s="652"/>
      <c r="O98" s="652"/>
      <c r="P98" s="182"/>
      <c r="Q98" s="182"/>
      <c r="R98" s="182"/>
      <c r="S98" s="301" t="e">
        <f t="shared" si="76"/>
        <v>#N/A</v>
      </c>
      <c r="T98" s="674"/>
      <c r="U98" s="182"/>
      <c r="V98" s="182"/>
      <c r="W98" s="182"/>
      <c r="X98" s="477" t="e">
        <f t="shared" si="63"/>
        <v>#N/A</v>
      </c>
      <c r="Y98" s="674"/>
      <c r="Z98" s="182"/>
      <c r="AA98" s="182"/>
      <c r="AB98" s="182"/>
      <c r="AC98" s="477" t="e">
        <f t="shared" si="65"/>
        <v>#N/A</v>
      </c>
      <c r="AD98" s="674"/>
      <c r="AE98" s="182"/>
      <c r="AF98" s="182"/>
      <c r="AG98" s="182"/>
      <c r="AH98" s="477" t="e">
        <f t="shared" si="67"/>
        <v>#N/A</v>
      </c>
      <c r="AI98" s="674"/>
      <c r="AJ98" s="182"/>
      <c r="AK98" s="182"/>
      <c r="AL98" s="182"/>
      <c r="AM98" s="477" t="e">
        <f t="shared" si="69"/>
        <v>#N/A</v>
      </c>
      <c r="AN98" s="674"/>
      <c r="AO98" s="182"/>
      <c r="AP98" s="182"/>
      <c r="AQ98" s="182"/>
      <c r="AR98" s="477" t="e">
        <f t="shared" si="71"/>
        <v>#N/A</v>
      </c>
      <c r="AS98" s="674"/>
      <c r="AT98" s="182"/>
      <c r="AU98" s="182"/>
      <c r="AV98" s="182"/>
      <c r="AW98" s="477" t="e">
        <f t="shared" si="73"/>
        <v>#N/A</v>
      </c>
      <c r="AX98" s="674"/>
    </row>
    <row r="99" spans="2:50">
      <c r="B99" s="660"/>
      <c r="C99" s="301">
        <v>13</v>
      </c>
      <c r="D99" s="227"/>
      <c r="E99" s="182"/>
      <c r="F99" s="514"/>
      <c r="G99" s="515"/>
      <c r="H99" s="702"/>
      <c r="I99" s="202"/>
      <c r="J99" s="202"/>
      <c r="K99" s="202"/>
      <c r="L99" s="634"/>
      <c r="M99" s="201" t="e">
        <f>RANK(K99, K$87:$K$101)</f>
        <v>#DIV/0!</v>
      </c>
      <c r="N99" s="652"/>
      <c r="O99" s="652"/>
      <c r="P99" s="182"/>
      <c r="Q99" s="182"/>
      <c r="R99" s="182"/>
      <c r="S99" s="301" t="e">
        <f t="shared" si="76"/>
        <v>#N/A</v>
      </c>
      <c r="T99" s="674"/>
      <c r="U99" s="182"/>
      <c r="V99" s="182"/>
      <c r="W99" s="182"/>
      <c r="X99" s="477" t="e">
        <f t="shared" si="63"/>
        <v>#N/A</v>
      </c>
      <c r="Y99" s="674"/>
      <c r="Z99" s="182"/>
      <c r="AA99" s="182"/>
      <c r="AB99" s="182"/>
      <c r="AC99" s="477" t="e">
        <f t="shared" si="65"/>
        <v>#N/A</v>
      </c>
      <c r="AD99" s="674"/>
      <c r="AE99" s="182"/>
      <c r="AF99" s="182"/>
      <c r="AG99" s="182"/>
      <c r="AH99" s="477" t="e">
        <f t="shared" si="67"/>
        <v>#N/A</v>
      </c>
      <c r="AI99" s="674"/>
      <c r="AJ99" s="182"/>
      <c r="AK99" s="182"/>
      <c r="AL99" s="182"/>
      <c r="AM99" s="477" t="e">
        <f t="shared" si="69"/>
        <v>#N/A</v>
      </c>
      <c r="AN99" s="674"/>
      <c r="AO99" s="182"/>
      <c r="AP99" s="182"/>
      <c r="AQ99" s="182"/>
      <c r="AR99" s="477" t="e">
        <f t="shared" si="71"/>
        <v>#N/A</v>
      </c>
      <c r="AS99" s="674"/>
      <c r="AT99" s="182"/>
      <c r="AU99" s="182"/>
      <c r="AV99" s="182"/>
      <c r="AW99" s="477" t="e">
        <f t="shared" si="73"/>
        <v>#N/A</v>
      </c>
      <c r="AX99" s="674"/>
    </row>
    <row r="100" spans="2:50">
      <c r="B100" s="660"/>
      <c r="C100" s="301">
        <v>14</v>
      </c>
      <c r="D100" s="227"/>
      <c r="E100" s="182"/>
      <c r="F100" s="514"/>
      <c r="G100" s="515"/>
      <c r="H100" s="702"/>
      <c r="I100" s="202"/>
      <c r="J100" s="202"/>
      <c r="K100" s="202"/>
      <c r="L100" s="634"/>
      <c r="M100" s="201" t="e">
        <f>RANK(K100, K$87:$K$101)</f>
        <v>#DIV/0!</v>
      </c>
      <c r="N100" s="652"/>
      <c r="O100" s="652"/>
      <c r="P100" s="182"/>
      <c r="Q100" s="182"/>
      <c r="R100" s="182"/>
      <c r="S100" s="301" t="e">
        <f t="shared" si="76"/>
        <v>#N/A</v>
      </c>
      <c r="T100" s="674"/>
      <c r="U100" s="182"/>
      <c r="V100" s="182"/>
      <c r="W100" s="182"/>
      <c r="X100" s="477" t="e">
        <f t="shared" si="63"/>
        <v>#N/A</v>
      </c>
      <c r="Y100" s="674"/>
      <c r="Z100" s="182"/>
      <c r="AA100" s="182"/>
      <c r="AB100" s="182"/>
      <c r="AC100" s="477" t="e">
        <f t="shared" si="65"/>
        <v>#N/A</v>
      </c>
      <c r="AD100" s="674"/>
      <c r="AE100" s="182"/>
      <c r="AF100" s="182"/>
      <c r="AG100" s="182"/>
      <c r="AH100" s="477" t="e">
        <f t="shared" si="67"/>
        <v>#N/A</v>
      </c>
      <c r="AI100" s="674"/>
      <c r="AJ100" s="182"/>
      <c r="AK100" s="182"/>
      <c r="AL100" s="182"/>
      <c r="AM100" s="477" t="e">
        <f t="shared" si="69"/>
        <v>#N/A</v>
      </c>
      <c r="AN100" s="674"/>
      <c r="AO100" s="182"/>
      <c r="AP100" s="182"/>
      <c r="AQ100" s="182"/>
      <c r="AR100" s="477" t="e">
        <f t="shared" si="71"/>
        <v>#N/A</v>
      </c>
      <c r="AS100" s="674"/>
      <c r="AT100" s="182"/>
      <c r="AU100" s="182"/>
      <c r="AV100" s="182"/>
      <c r="AW100" s="477" t="e">
        <f t="shared" si="73"/>
        <v>#N/A</v>
      </c>
      <c r="AX100" s="674"/>
    </row>
    <row r="101" spans="2:50">
      <c r="B101" s="660"/>
      <c r="C101" s="301">
        <v>15</v>
      </c>
      <c r="D101" s="227"/>
      <c r="E101" s="182"/>
      <c r="F101" s="514"/>
      <c r="G101" s="515"/>
      <c r="H101" s="703"/>
      <c r="I101" s="202"/>
      <c r="J101" s="202"/>
      <c r="K101" s="202"/>
      <c r="L101" s="635"/>
      <c r="M101" s="199" t="e">
        <f>RANK(K101, K$87:$K$101)</f>
        <v>#DIV/0!</v>
      </c>
      <c r="N101" s="652"/>
      <c r="O101" s="652"/>
      <c r="P101" s="182"/>
      <c r="Q101" s="182"/>
      <c r="R101" s="182"/>
      <c r="S101" s="301" t="e">
        <f t="shared" si="76"/>
        <v>#N/A</v>
      </c>
      <c r="T101" s="674"/>
      <c r="U101" s="182"/>
      <c r="V101" s="182"/>
      <c r="W101" s="182"/>
      <c r="X101" s="477" t="e">
        <f t="shared" si="63"/>
        <v>#N/A</v>
      </c>
      <c r="Y101" s="674"/>
      <c r="Z101" s="182"/>
      <c r="AA101" s="182"/>
      <c r="AB101" s="182"/>
      <c r="AC101" s="477" t="e">
        <f t="shared" si="65"/>
        <v>#N/A</v>
      </c>
      <c r="AD101" s="674"/>
      <c r="AE101" s="182"/>
      <c r="AF101" s="182"/>
      <c r="AG101" s="182"/>
      <c r="AH101" s="477" t="e">
        <f t="shared" si="67"/>
        <v>#N/A</v>
      </c>
      <c r="AI101" s="674"/>
      <c r="AJ101" s="182"/>
      <c r="AK101" s="182"/>
      <c r="AL101" s="182"/>
      <c r="AM101" s="477" t="e">
        <f t="shared" si="69"/>
        <v>#N/A</v>
      </c>
      <c r="AN101" s="674"/>
      <c r="AO101" s="182"/>
      <c r="AP101" s="182"/>
      <c r="AQ101" s="182"/>
      <c r="AR101" s="477" t="e">
        <f t="shared" si="71"/>
        <v>#N/A</v>
      </c>
      <c r="AS101" s="674"/>
      <c r="AT101" s="182"/>
      <c r="AU101" s="182"/>
      <c r="AV101" s="182"/>
      <c r="AW101" s="477" t="e">
        <f t="shared" si="73"/>
        <v>#N/A</v>
      </c>
      <c r="AX101" s="674"/>
    </row>
    <row r="102" spans="2:50" ht="15.75">
      <c r="B102" s="664" t="s">
        <v>163</v>
      </c>
      <c r="C102" s="665"/>
      <c r="D102" s="665"/>
      <c r="E102" s="665"/>
      <c r="F102" s="665"/>
      <c r="G102" s="665"/>
      <c r="H102" s="666"/>
      <c r="I102" s="208"/>
      <c r="J102" s="208"/>
      <c r="K102" s="208"/>
      <c r="L102" s="208"/>
      <c r="M102" s="207"/>
      <c r="N102" s="653" t="s">
        <v>156</v>
      </c>
      <c r="O102" s="653" t="s">
        <v>105</v>
      </c>
      <c r="P102" s="659">
        <f>P82+7</f>
        <v>46084</v>
      </c>
      <c r="Q102" s="660"/>
      <c r="R102" s="660"/>
      <c r="S102" s="660"/>
      <c r="T102" s="660"/>
      <c r="U102" s="656">
        <f>P102+1</f>
        <v>46085</v>
      </c>
      <c r="V102" s="657"/>
      <c r="W102" s="657"/>
      <c r="X102" s="657"/>
      <c r="Y102" s="658"/>
      <c r="Z102" s="656">
        <f>U102+1</f>
        <v>46086</v>
      </c>
      <c r="AA102" s="657"/>
      <c r="AB102" s="657"/>
      <c r="AC102" s="657"/>
      <c r="AD102" s="658"/>
      <c r="AE102" s="656">
        <f>Z102+1</f>
        <v>46087</v>
      </c>
      <c r="AF102" s="657"/>
      <c r="AG102" s="657"/>
      <c r="AH102" s="657"/>
      <c r="AI102" s="658"/>
      <c r="AJ102" s="656">
        <f>AE102+1</f>
        <v>46088</v>
      </c>
      <c r="AK102" s="657"/>
      <c r="AL102" s="657"/>
      <c r="AM102" s="657"/>
      <c r="AN102" s="658"/>
      <c r="AO102" s="656">
        <f>AJ102+1</f>
        <v>46089</v>
      </c>
      <c r="AP102" s="657"/>
      <c r="AQ102" s="657"/>
      <c r="AR102" s="657"/>
      <c r="AS102" s="658"/>
      <c r="AT102" s="656">
        <f>AO102+1</f>
        <v>46090</v>
      </c>
      <c r="AU102" s="657"/>
      <c r="AV102" s="657"/>
      <c r="AW102" s="657"/>
      <c r="AX102" s="658"/>
    </row>
    <row r="103" spans="2:50" ht="15.75">
      <c r="B103" s="667"/>
      <c r="C103" s="667"/>
      <c r="D103" s="667"/>
      <c r="E103" s="667"/>
      <c r="F103" s="667"/>
      <c r="G103" s="667"/>
      <c r="H103" s="667"/>
      <c r="I103" s="205"/>
      <c r="J103" s="205"/>
      <c r="K103" s="205"/>
      <c r="L103" s="205"/>
      <c r="M103" s="206"/>
      <c r="N103" s="655"/>
      <c r="O103" s="655"/>
      <c r="P103" s="659" t="s">
        <v>158</v>
      </c>
      <c r="Q103" s="660"/>
      <c r="R103" s="660"/>
      <c r="S103" s="660"/>
      <c r="T103" s="660"/>
      <c r="U103" s="659" t="s">
        <v>114</v>
      </c>
      <c r="V103" s="660"/>
      <c r="W103" s="660"/>
      <c r="X103" s="660"/>
      <c r="Y103" s="660"/>
      <c r="Z103" s="659" t="s">
        <v>159</v>
      </c>
      <c r="AA103" s="660"/>
      <c r="AB103" s="660"/>
      <c r="AC103" s="660"/>
      <c r="AD103" s="660"/>
      <c r="AE103" s="659" t="s">
        <v>157</v>
      </c>
      <c r="AF103" s="660"/>
      <c r="AG103" s="660"/>
      <c r="AH103" s="660"/>
      <c r="AI103" s="660"/>
      <c r="AJ103" s="659" t="s">
        <v>160</v>
      </c>
      <c r="AK103" s="660"/>
      <c r="AL103" s="660"/>
      <c r="AM103" s="660"/>
      <c r="AN103" s="660"/>
      <c r="AO103" s="659" t="s">
        <v>115</v>
      </c>
      <c r="AP103" s="660"/>
      <c r="AQ103" s="660"/>
      <c r="AR103" s="660"/>
      <c r="AS103" s="660"/>
      <c r="AT103" s="659" t="s">
        <v>162</v>
      </c>
      <c r="AU103" s="660"/>
      <c r="AV103" s="660"/>
      <c r="AW103" s="660"/>
      <c r="AX103" s="660"/>
    </row>
    <row r="104" spans="2:50">
      <c r="B104" s="652" t="s">
        <v>844</v>
      </c>
      <c r="C104" s="652" t="s">
        <v>845</v>
      </c>
      <c r="D104" s="652"/>
      <c r="E104" s="652" t="s">
        <v>846</v>
      </c>
      <c r="F104" s="652"/>
      <c r="G104" s="652"/>
      <c r="H104" s="668" t="s">
        <v>847</v>
      </c>
      <c r="I104" s="652" t="s">
        <v>848</v>
      </c>
      <c r="J104" s="652"/>
      <c r="K104" s="652"/>
      <c r="L104" s="668" t="s">
        <v>847</v>
      </c>
      <c r="M104" s="653" t="s">
        <v>849</v>
      </c>
      <c r="N104" s="652"/>
      <c r="O104" s="652" t="s">
        <v>850</v>
      </c>
      <c r="P104" s="649" t="s">
        <v>851</v>
      </c>
      <c r="Q104" s="650"/>
      <c r="R104" s="650"/>
      <c r="S104" s="651"/>
      <c r="T104" s="652" t="s">
        <v>847</v>
      </c>
      <c r="U104" s="649" t="s">
        <v>851</v>
      </c>
      <c r="V104" s="650"/>
      <c r="W104" s="650"/>
      <c r="X104" s="651"/>
      <c r="Y104" s="652" t="s">
        <v>847</v>
      </c>
      <c r="Z104" s="649" t="s">
        <v>851</v>
      </c>
      <c r="AA104" s="650"/>
      <c r="AB104" s="650"/>
      <c r="AC104" s="651"/>
      <c r="AD104" s="652" t="s">
        <v>847</v>
      </c>
      <c r="AE104" s="649" t="s">
        <v>851</v>
      </c>
      <c r="AF104" s="650"/>
      <c r="AG104" s="650"/>
      <c r="AH104" s="651"/>
      <c r="AI104" s="652" t="s">
        <v>847</v>
      </c>
      <c r="AJ104" s="649" t="s">
        <v>851</v>
      </c>
      <c r="AK104" s="650"/>
      <c r="AL104" s="650"/>
      <c r="AM104" s="651"/>
      <c r="AN104" s="652" t="s">
        <v>847</v>
      </c>
      <c r="AO104" s="649" t="s">
        <v>851</v>
      </c>
      <c r="AP104" s="650"/>
      <c r="AQ104" s="650"/>
      <c r="AR104" s="651"/>
      <c r="AS104" s="652" t="s">
        <v>847</v>
      </c>
      <c r="AT104" s="649" t="s">
        <v>851</v>
      </c>
      <c r="AU104" s="650"/>
      <c r="AV104" s="650"/>
      <c r="AW104" s="651"/>
      <c r="AX104" s="652" t="s">
        <v>847</v>
      </c>
    </row>
    <row r="105" spans="2:50">
      <c r="B105" s="652"/>
      <c r="C105" s="652"/>
      <c r="D105" s="652"/>
      <c r="E105" s="652" t="s">
        <v>852</v>
      </c>
      <c r="F105" s="652"/>
      <c r="G105" s="652"/>
      <c r="H105" s="669"/>
      <c r="I105" s="652" t="s">
        <v>852</v>
      </c>
      <c r="J105" s="652"/>
      <c r="K105" s="652"/>
      <c r="L105" s="669"/>
      <c r="M105" s="654"/>
      <c r="N105" s="652"/>
      <c r="O105" s="652"/>
      <c r="P105" s="649" t="s">
        <v>853</v>
      </c>
      <c r="Q105" s="650"/>
      <c r="R105" s="650"/>
      <c r="S105" s="651"/>
      <c r="T105" s="652"/>
      <c r="U105" s="649" t="s">
        <v>853</v>
      </c>
      <c r="V105" s="650"/>
      <c r="W105" s="650"/>
      <c r="X105" s="651"/>
      <c r="Y105" s="652"/>
      <c r="Z105" s="649" t="s">
        <v>853</v>
      </c>
      <c r="AA105" s="650"/>
      <c r="AB105" s="650"/>
      <c r="AC105" s="651"/>
      <c r="AD105" s="652"/>
      <c r="AE105" s="649" t="s">
        <v>853</v>
      </c>
      <c r="AF105" s="650"/>
      <c r="AG105" s="650"/>
      <c r="AH105" s="651"/>
      <c r="AI105" s="652"/>
      <c r="AJ105" s="649" t="s">
        <v>853</v>
      </c>
      <c r="AK105" s="650"/>
      <c r="AL105" s="650"/>
      <c r="AM105" s="651"/>
      <c r="AN105" s="652"/>
      <c r="AO105" s="649" t="s">
        <v>853</v>
      </c>
      <c r="AP105" s="650"/>
      <c r="AQ105" s="650"/>
      <c r="AR105" s="651"/>
      <c r="AS105" s="652"/>
      <c r="AT105" s="649" t="s">
        <v>853</v>
      </c>
      <c r="AU105" s="650"/>
      <c r="AV105" s="650"/>
      <c r="AW105" s="651"/>
      <c r="AX105" s="652"/>
    </row>
    <row r="106" spans="2:50">
      <c r="B106" s="652"/>
      <c r="C106" s="652"/>
      <c r="D106" s="652"/>
      <c r="E106" s="492" t="s">
        <v>854</v>
      </c>
      <c r="F106" s="492" t="s">
        <v>855</v>
      </c>
      <c r="G106" s="492" t="s">
        <v>856</v>
      </c>
      <c r="H106" s="670"/>
      <c r="I106" s="492" t="s">
        <v>854</v>
      </c>
      <c r="J106" s="492" t="s">
        <v>855</v>
      </c>
      <c r="K106" s="492" t="s">
        <v>856</v>
      </c>
      <c r="L106" s="670"/>
      <c r="M106" s="655"/>
      <c r="N106" s="652"/>
      <c r="O106" s="652"/>
      <c r="P106" s="492" t="s">
        <v>854</v>
      </c>
      <c r="Q106" s="492" t="s">
        <v>855</v>
      </c>
      <c r="R106" s="492" t="s">
        <v>856</v>
      </c>
      <c r="S106" s="492" t="s">
        <v>849</v>
      </c>
      <c r="T106" s="652"/>
      <c r="U106" s="492" t="s">
        <v>854</v>
      </c>
      <c r="V106" s="492" t="s">
        <v>855</v>
      </c>
      <c r="W106" s="492" t="s">
        <v>856</v>
      </c>
      <c r="X106" s="492" t="s">
        <v>849</v>
      </c>
      <c r="Y106" s="652"/>
      <c r="Z106" s="492" t="s">
        <v>854</v>
      </c>
      <c r="AA106" s="492" t="s">
        <v>855</v>
      </c>
      <c r="AB106" s="492" t="s">
        <v>856</v>
      </c>
      <c r="AC106" s="492" t="s">
        <v>849</v>
      </c>
      <c r="AD106" s="652"/>
      <c r="AE106" s="492" t="s">
        <v>854</v>
      </c>
      <c r="AF106" s="492" t="s">
        <v>855</v>
      </c>
      <c r="AG106" s="492" t="s">
        <v>856</v>
      </c>
      <c r="AH106" s="492" t="s">
        <v>849</v>
      </c>
      <c r="AI106" s="652"/>
      <c r="AJ106" s="492" t="s">
        <v>854</v>
      </c>
      <c r="AK106" s="492" t="s">
        <v>855</v>
      </c>
      <c r="AL106" s="492" t="s">
        <v>856</v>
      </c>
      <c r="AM106" s="492" t="s">
        <v>849</v>
      </c>
      <c r="AN106" s="652"/>
      <c r="AO106" s="492" t="s">
        <v>854</v>
      </c>
      <c r="AP106" s="492" t="s">
        <v>855</v>
      </c>
      <c r="AQ106" s="492" t="s">
        <v>856</v>
      </c>
      <c r="AR106" s="492" t="s">
        <v>849</v>
      </c>
      <c r="AS106" s="652"/>
      <c r="AT106" s="492" t="s">
        <v>854</v>
      </c>
      <c r="AU106" s="492" t="s">
        <v>855</v>
      </c>
      <c r="AV106" s="492" t="s">
        <v>856</v>
      </c>
      <c r="AW106" s="492" t="s">
        <v>849</v>
      </c>
      <c r="AX106" s="652"/>
    </row>
    <row r="107" spans="2:50">
      <c r="B107" s="700" t="s">
        <v>858</v>
      </c>
      <c r="C107" s="497">
        <v>1</v>
      </c>
      <c r="D107" s="502"/>
      <c r="E107" s="498"/>
      <c r="F107" s="498"/>
      <c r="G107" s="498"/>
      <c r="H107" s="696" t="e">
        <f>AVERAGE(G107:G121)</f>
        <v>#DIV/0!</v>
      </c>
      <c r="I107" s="498" t="e">
        <f>AVERAGE(P107,U107,Z107,AE107,AJ107,AO107,AT107)</f>
        <v>#DIV/0!</v>
      </c>
      <c r="J107" s="498" t="e">
        <f>AVERAGE(Q107,V107,AA107,AF107,AK107,AP107,AU107)</f>
        <v>#DIV/0!</v>
      </c>
      <c r="K107" s="499" t="e">
        <f>AVERAGE(R107,W107,AB107,AG107,AL107,AQ107,AV107)</f>
        <v>#DIV/0!</v>
      </c>
      <c r="L107" s="633" t="str">
        <f>IFERROR(AVERAGE(K107:K121),"-")</f>
        <v>-</v>
      </c>
      <c r="M107" s="498" t="e">
        <f>RANK(K107, K$67:$K$81)</f>
        <v>#DIV/0!</v>
      </c>
      <c r="N107" s="652"/>
      <c r="O107" s="652"/>
      <c r="P107" s="182"/>
      <c r="Q107" s="182"/>
      <c r="R107" s="182"/>
      <c r="S107" s="497" t="e">
        <f>RANK(R107, R$67:R$81)</f>
        <v>#N/A</v>
      </c>
      <c r="T107" s="699" t="e">
        <f>AVERAGE(R107:R121)</f>
        <v>#DIV/0!</v>
      </c>
      <c r="U107" s="182"/>
      <c r="V107" s="182"/>
      <c r="W107" s="182"/>
      <c r="X107" s="497" t="e">
        <f t="shared" ref="X107:AM121" si="83">RANK(W107, W$67:W$81)</f>
        <v>#N/A</v>
      </c>
      <c r="Y107" s="699" t="e">
        <f t="shared" ref="Y107" si="84">AVERAGE(W107:W121)</f>
        <v>#DIV/0!</v>
      </c>
      <c r="Z107" s="182"/>
      <c r="AA107" s="182"/>
      <c r="AB107" s="182"/>
      <c r="AC107" s="497" t="e">
        <f t="shared" ref="AC107" si="85">RANK(AB107, AB$67:AB$81)</f>
        <v>#N/A</v>
      </c>
      <c r="AD107" s="699" t="e">
        <f t="shared" ref="AD107" si="86">AVERAGE(AB107:AB121)</f>
        <v>#DIV/0!</v>
      </c>
      <c r="AE107" s="182"/>
      <c r="AF107" s="182"/>
      <c r="AG107" s="182"/>
      <c r="AH107" s="497" t="e">
        <f t="shared" ref="AH107" si="87">RANK(AG107, AG$67:AG$81)</f>
        <v>#N/A</v>
      </c>
      <c r="AI107" s="699" t="e">
        <f t="shared" ref="AI107" si="88">AVERAGE(AG107:AG121)</f>
        <v>#DIV/0!</v>
      </c>
      <c r="AJ107" s="182"/>
      <c r="AK107" s="182"/>
      <c r="AL107" s="182"/>
      <c r="AM107" s="497" t="e">
        <f t="shared" ref="AM107" si="89">RANK(AL107, AL$67:AL$81)</f>
        <v>#N/A</v>
      </c>
      <c r="AN107" s="699" t="e">
        <f t="shared" ref="AN107" si="90">AVERAGE(AL107:AL121)</f>
        <v>#DIV/0!</v>
      </c>
      <c r="AO107" s="182"/>
      <c r="AP107" s="182"/>
      <c r="AQ107" s="182"/>
      <c r="AR107" s="497" t="e">
        <f t="shared" ref="AR107:AW121" si="91">RANK(AQ107, AQ$67:AQ$81)</f>
        <v>#N/A</v>
      </c>
      <c r="AS107" s="699" t="e">
        <f t="shared" ref="AS107" si="92">AVERAGE(AQ107:AQ121)</f>
        <v>#DIV/0!</v>
      </c>
      <c r="AT107" s="182"/>
      <c r="AU107" s="182"/>
      <c r="AV107" s="182"/>
      <c r="AW107" s="497" t="e">
        <f t="shared" ref="AW107" si="93">RANK(AV107, AV$67:AV$81)</f>
        <v>#N/A</v>
      </c>
      <c r="AX107" s="699" t="e">
        <f t="shared" ref="AX107" si="94">AVERAGE(AV107:AV121)</f>
        <v>#DIV/0!</v>
      </c>
    </row>
    <row r="108" spans="2:50">
      <c r="B108" s="685"/>
      <c r="C108" s="497">
        <v>2</v>
      </c>
      <c r="D108" s="502"/>
      <c r="E108" s="498"/>
      <c r="F108" s="498"/>
      <c r="G108" s="498"/>
      <c r="H108" s="697"/>
      <c r="I108" s="498" t="e">
        <f t="shared" ref="I108:K117" si="95">AVERAGE(P108,U108,Z108,AE108,AJ108,AO108,AT108)</f>
        <v>#DIV/0!</v>
      </c>
      <c r="J108" s="498" t="e">
        <f t="shared" si="95"/>
        <v>#DIV/0!</v>
      </c>
      <c r="K108" s="499" t="e">
        <f t="shared" si="95"/>
        <v>#DIV/0!</v>
      </c>
      <c r="L108" s="634"/>
      <c r="M108" s="498" t="e">
        <f>RANK(K108, K$67:$K$81)</f>
        <v>#DIV/0!</v>
      </c>
      <c r="N108" s="652"/>
      <c r="O108" s="652"/>
      <c r="P108" s="182"/>
      <c r="Q108" s="182"/>
      <c r="R108" s="182"/>
      <c r="S108" s="497" t="e">
        <f t="shared" ref="S108:S121" si="96">RANK(R108, R$67:R$81)</f>
        <v>#N/A</v>
      </c>
      <c r="T108" s="699"/>
      <c r="U108" s="182"/>
      <c r="V108" s="182"/>
      <c r="W108" s="182"/>
      <c r="X108" s="497" t="e">
        <f t="shared" si="83"/>
        <v>#N/A</v>
      </c>
      <c r="Y108" s="699"/>
      <c r="Z108" s="182"/>
      <c r="AA108" s="182"/>
      <c r="AB108" s="182"/>
      <c r="AC108" s="497" t="e">
        <f t="shared" si="83"/>
        <v>#N/A</v>
      </c>
      <c r="AD108" s="699"/>
      <c r="AE108" s="182"/>
      <c r="AF108" s="182"/>
      <c r="AG108" s="182"/>
      <c r="AH108" s="497" t="e">
        <f t="shared" si="83"/>
        <v>#N/A</v>
      </c>
      <c r="AI108" s="699"/>
      <c r="AJ108" s="182"/>
      <c r="AK108" s="182"/>
      <c r="AL108" s="182"/>
      <c r="AM108" s="497" t="e">
        <f t="shared" si="83"/>
        <v>#N/A</v>
      </c>
      <c r="AN108" s="699"/>
      <c r="AO108" s="182"/>
      <c r="AP108" s="182"/>
      <c r="AQ108" s="182"/>
      <c r="AR108" s="497" t="e">
        <f t="shared" si="91"/>
        <v>#N/A</v>
      </c>
      <c r="AS108" s="699"/>
      <c r="AT108" s="182"/>
      <c r="AU108" s="182"/>
      <c r="AV108" s="182"/>
      <c r="AW108" s="497" t="e">
        <f t="shared" si="91"/>
        <v>#N/A</v>
      </c>
      <c r="AX108" s="699"/>
    </row>
    <row r="109" spans="2:50">
      <c r="B109" s="685"/>
      <c r="C109" s="497">
        <v>3</v>
      </c>
      <c r="D109" s="502"/>
      <c r="E109" s="498"/>
      <c r="F109" s="498"/>
      <c r="G109" s="498"/>
      <c r="H109" s="697"/>
      <c r="I109" s="498" t="e">
        <f t="shared" si="95"/>
        <v>#DIV/0!</v>
      </c>
      <c r="J109" s="498" t="e">
        <f t="shared" si="95"/>
        <v>#DIV/0!</v>
      </c>
      <c r="K109" s="499" t="e">
        <f t="shared" si="95"/>
        <v>#DIV/0!</v>
      </c>
      <c r="L109" s="634"/>
      <c r="M109" s="498" t="e">
        <f>RANK(K109, K$67:$K$81)</f>
        <v>#DIV/0!</v>
      </c>
      <c r="N109" s="652"/>
      <c r="O109" s="652"/>
      <c r="P109" s="182"/>
      <c r="Q109" s="182"/>
      <c r="R109" s="182"/>
      <c r="S109" s="497" t="e">
        <f t="shared" si="96"/>
        <v>#N/A</v>
      </c>
      <c r="T109" s="699"/>
      <c r="U109" s="182"/>
      <c r="V109" s="182"/>
      <c r="W109" s="182"/>
      <c r="X109" s="497" t="e">
        <f t="shared" si="83"/>
        <v>#N/A</v>
      </c>
      <c r="Y109" s="699"/>
      <c r="Z109" s="182"/>
      <c r="AA109" s="182"/>
      <c r="AB109" s="182"/>
      <c r="AC109" s="497" t="e">
        <f t="shared" si="83"/>
        <v>#N/A</v>
      </c>
      <c r="AD109" s="699"/>
      <c r="AE109" s="182"/>
      <c r="AF109" s="182"/>
      <c r="AG109" s="182"/>
      <c r="AH109" s="497" t="e">
        <f t="shared" si="83"/>
        <v>#N/A</v>
      </c>
      <c r="AI109" s="699"/>
      <c r="AJ109" s="182"/>
      <c r="AK109" s="182"/>
      <c r="AL109" s="182"/>
      <c r="AM109" s="497" t="e">
        <f t="shared" si="83"/>
        <v>#N/A</v>
      </c>
      <c r="AN109" s="699"/>
      <c r="AO109" s="182"/>
      <c r="AP109" s="182"/>
      <c r="AQ109" s="182"/>
      <c r="AR109" s="497" t="e">
        <f t="shared" si="91"/>
        <v>#N/A</v>
      </c>
      <c r="AS109" s="699"/>
      <c r="AT109" s="182"/>
      <c r="AU109" s="182"/>
      <c r="AV109" s="182"/>
      <c r="AW109" s="497" t="e">
        <f t="shared" si="91"/>
        <v>#N/A</v>
      </c>
      <c r="AX109" s="699"/>
    </row>
    <row r="110" spans="2:50">
      <c r="B110" s="685"/>
      <c r="C110" s="497">
        <v>4</v>
      </c>
      <c r="D110" s="502"/>
      <c r="E110" s="498"/>
      <c r="F110" s="498"/>
      <c r="G110" s="498"/>
      <c r="H110" s="697"/>
      <c r="I110" s="498" t="e">
        <f t="shared" si="95"/>
        <v>#DIV/0!</v>
      </c>
      <c r="J110" s="498" t="e">
        <f t="shared" si="95"/>
        <v>#DIV/0!</v>
      </c>
      <c r="K110" s="499" t="e">
        <f t="shared" si="95"/>
        <v>#DIV/0!</v>
      </c>
      <c r="L110" s="634"/>
      <c r="M110" s="498" t="e">
        <f>RANK(K110, K$67:$K$81)</f>
        <v>#DIV/0!</v>
      </c>
      <c r="N110" s="652"/>
      <c r="O110" s="652"/>
      <c r="P110" s="182"/>
      <c r="Q110" s="182"/>
      <c r="R110" s="182"/>
      <c r="S110" s="497" t="e">
        <f t="shared" si="96"/>
        <v>#N/A</v>
      </c>
      <c r="T110" s="699"/>
      <c r="U110" s="182"/>
      <c r="V110" s="182"/>
      <c r="W110" s="182"/>
      <c r="X110" s="497" t="e">
        <f t="shared" si="83"/>
        <v>#N/A</v>
      </c>
      <c r="Y110" s="699"/>
      <c r="Z110" s="182"/>
      <c r="AA110" s="182"/>
      <c r="AB110" s="182"/>
      <c r="AC110" s="497" t="e">
        <f t="shared" si="83"/>
        <v>#N/A</v>
      </c>
      <c r="AD110" s="699"/>
      <c r="AE110" s="182"/>
      <c r="AF110" s="182"/>
      <c r="AG110" s="182"/>
      <c r="AH110" s="497" t="e">
        <f t="shared" si="83"/>
        <v>#N/A</v>
      </c>
      <c r="AI110" s="699"/>
      <c r="AJ110" s="182"/>
      <c r="AK110" s="182"/>
      <c r="AL110" s="182"/>
      <c r="AM110" s="497" t="e">
        <f t="shared" si="83"/>
        <v>#N/A</v>
      </c>
      <c r="AN110" s="699"/>
      <c r="AO110" s="182"/>
      <c r="AP110" s="182"/>
      <c r="AQ110" s="182"/>
      <c r="AR110" s="497" t="e">
        <f t="shared" si="91"/>
        <v>#N/A</v>
      </c>
      <c r="AS110" s="699"/>
      <c r="AT110" s="182"/>
      <c r="AU110" s="182"/>
      <c r="AV110" s="182"/>
      <c r="AW110" s="497" t="e">
        <f t="shared" si="91"/>
        <v>#N/A</v>
      </c>
      <c r="AX110" s="699"/>
    </row>
    <row r="111" spans="2:50">
      <c r="B111" s="685"/>
      <c r="C111" s="497">
        <v>5</v>
      </c>
      <c r="D111" s="502"/>
      <c r="E111" s="498"/>
      <c r="F111" s="498"/>
      <c r="G111" s="498"/>
      <c r="H111" s="697"/>
      <c r="I111" s="498" t="e">
        <f t="shared" si="95"/>
        <v>#DIV/0!</v>
      </c>
      <c r="J111" s="498" t="e">
        <f t="shared" si="95"/>
        <v>#DIV/0!</v>
      </c>
      <c r="K111" s="499" t="e">
        <f t="shared" si="95"/>
        <v>#DIV/0!</v>
      </c>
      <c r="L111" s="634"/>
      <c r="M111" s="498" t="e">
        <f>RANK(K111, K$67:$K$81)</f>
        <v>#DIV/0!</v>
      </c>
      <c r="N111" s="652"/>
      <c r="O111" s="652"/>
      <c r="P111" s="182"/>
      <c r="Q111" s="182"/>
      <c r="R111" s="182"/>
      <c r="S111" s="497" t="e">
        <f t="shared" si="96"/>
        <v>#N/A</v>
      </c>
      <c r="T111" s="699"/>
      <c r="U111" s="182"/>
      <c r="V111" s="182"/>
      <c r="W111" s="182"/>
      <c r="X111" s="497" t="e">
        <f t="shared" si="83"/>
        <v>#N/A</v>
      </c>
      <c r="Y111" s="699"/>
      <c r="Z111" s="182"/>
      <c r="AA111" s="182"/>
      <c r="AB111" s="182"/>
      <c r="AC111" s="497" t="e">
        <f t="shared" si="83"/>
        <v>#N/A</v>
      </c>
      <c r="AD111" s="699"/>
      <c r="AE111" s="182"/>
      <c r="AF111" s="182"/>
      <c r="AG111" s="182"/>
      <c r="AH111" s="497" t="e">
        <f t="shared" si="83"/>
        <v>#N/A</v>
      </c>
      <c r="AI111" s="699"/>
      <c r="AJ111" s="182"/>
      <c r="AK111" s="182"/>
      <c r="AL111" s="182"/>
      <c r="AM111" s="497" t="e">
        <f t="shared" si="83"/>
        <v>#N/A</v>
      </c>
      <c r="AN111" s="699"/>
      <c r="AO111" s="182"/>
      <c r="AP111" s="182"/>
      <c r="AQ111" s="182"/>
      <c r="AR111" s="497" t="e">
        <f t="shared" si="91"/>
        <v>#N/A</v>
      </c>
      <c r="AS111" s="699"/>
      <c r="AT111" s="182"/>
      <c r="AU111" s="182"/>
      <c r="AV111" s="182"/>
      <c r="AW111" s="497" t="e">
        <f t="shared" si="91"/>
        <v>#N/A</v>
      </c>
      <c r="AX111" s="699"/>
    </row>
    <row r="112" spans="2:50">
      <c r="B112" s="685"/>
      <c r="C112" s="497">
        <v>6</v>
      </c>
      <c r="D112" s="502"/>
      <c r="E112" s="498"/>
      <c r="F112" s="498"/>
      <c r="G112" s="498"/>
      <c r="H112" s="697"/>
      <c r="I112" s="498" t="e">
        <f t="shared" si="95"/>
        <v>#DIV/0!</v>
      </c>
      <c r="J112" s="498" t="e">
        <f t="shared" si="95"/>
        <v>#DIV/0!</v>
      </c>
      <c r="K112" s="499" t="e">
        <f t="shared" si="95"/>
        <v>#DIV/0!</v>
      </c>
      <c r="L112" s="634"/>
      <c r="M112" s="498" t="e">
        <f>RANK(K112, K$67:$K$81)</f>
        <v>#DIV/0!</v>
      </c>
      <c r="N112" s="652"/>
      <c r="O112" s="652"/>
      <c r="P112" s="182"/>
      <c r="Q112" s="182"/>
      <c r="R112" s="182"/>
      <c r="S112" s="497" t="e">
        <f t="shared" si="96"/>
        <v>#N/A</v>
      </c>
      <c r="T112" s="699"/>
      <c r="U112" s="182"/>
      <c r="V112" s="182"/>
      <c r="W112" s="182"/>
      <c r="X112" s="497" t="e">
        <f t="shared" si="83"/>
        <v>#N/A</v>
      </c>
      <c r="Y112" s="699"/>
      <c r="Z112" s="182"/>
      <c r="AA112" s="182"/>
      <c r="AB112" s="182"/>
      <c r="AC112" s="497" t="e">
        <f t="shared" si="83"/>
        <v>#N/A</v>
      </c>
      <c r="AD112" s="699"/>
      <c r="AE112" s="182"/>
      <c r="AF112" s="182"/>
      <c r="AG112" s="182"/>
      <c r="AH112" s="497" t="e">
        <f t="shared" si="83"/>
        <v>#N/A</v>
      </c>
      <c r="AI112" s="699"/>
      <c r="AJ112" s="182"/>
      <c r="AK112" s="182"/>
      <c r="AL112" s="182"/>
      <c r="AM112" s="497" t="e">
        <f t="shared" si="83"/>
        <v>#N/A</v>
      </c>
      <c r="AN112" s="699"/>
      <c r="AO112" s="182"/>
      <c r="AP112" s="182"/>
      <c r="AQ112" s="182"/>
      <c r="AR112" s="497" t="e">
        <f t="shared" si="91"/>
        <v>#N/A</v>
      </c>
      <c r="AS112" s="699"/>
      <c r="AT112" s="182"/>
      <c r="AU112" s="182"/>
      <c r="AV112" s="182"/>
      <c r="AW112" s="497" t="e">
        <f t="shared" si="91"/>
        <v>#N/A</v>
      </c>
      <c r="AX112" s="699"/>
    </row>
    <row r="113" spans="2:50">
      <c r="B113" s="685"/>
      <c r="C113" s="497">
        <v>7</v>
      </c>
      <c r="D113" s="502"/>
      <c r="E113" s="498"/>
      <c r="F113" s="498"/>
      <c r="G113" s="498"/>
      <c r="H113" s="697"/>
      <c r="I113" s="498" t="e">
        <f t="shared" si="95"/>
        <v>#DIV/0!</v>
      </c>
      <c r="J113" s="498" t="e">
        <f t="shared" si="95"/>
        <v>#DIV/0!</v>
      </c>
      <c r="K113" s="499" t="e">
        <f t="shared" si="95"/>
        <v>#DIV/0!</v>
      </c>
      <c r="L113" s="634"/>
      <c r="M113" s="498" t="e">
        <f>RANK(K113, K$67:$K$81)</f>
        <v>#DIV/0!</v>
      </c>
      <c r="N113" s="652"/>
      <c r="O113" s="652"/>
      <c r="P113" s="182"/>
      <c r="Q113" s="182"/>
      <c r="R113" s="182"/>
      <c r="S113" s="497" t="e">
        <f t="shared" si="96"/>
        <v>#N/A</v>
      </c>
      <c r="T113" s="699"/>
      <c r="U113" s="182"/>
      <c r="V113" s="182"/>
      <c r="W113" s="182"/>
      <c r="X113" s="497" t="e">
        <f t="shared" si="83"/>
        <v>#N/A</v>
      </c>
      <c r="Y113" s="699"/>
      <c r="Z113" s="182"/>
      <c r="AA113" s="182"/>
      <c r="AB113" s="182"/>
      <c r="AC113" s="497" t="e">
        <f t="shared" si="83"/>
        <v>#N/A</v>
      </c>
      <c r="AD113" s="699"/>
      <c r="AE113" s="182"/>
      <c r="AF113" s="182"/>
      <c r="AG113" s="182"/>
      <c r="AH113" s="497" t="e">
        <f t="shared" si="83"/>
        <v>#N/A</v>
      </c>
      <c r="AI113" s="699"/>
      <c r="AJ113" s="182"/>
      <c r="AK113" s="182"/>
      <c r="AL113" s="182"/>
      <c r="AM113" s="497" t="e">
        <f t="shared" si="83"/>
        <v>#N/A</v>
      </c>
      <c r="AN113" s="699"/>
      <c r="AO113" s="182"/>
      <c r="AP113" s="182"/>
      <c r="AQ113" s="182"/>
      <c r="AR113" s="497" t="e">
        <f t="shared" si="91"/>
        <v>#N/A</v>
      </c>
      <c r="AS113" s="699"/>
      <c r="AT113" s="182"/>
      <c r="AU113" s="182"/>
      <c r="AV113" s="182"/>
      <c r="AW113" s="497" t="e">
        <f t="shared" si="91"/>
        <v>#N/A</v>
      </c>
      <c r="AX113" s="699"/>
    </row>
    <row r="114" spans="2:50">
      <c r="B114" s="685"/>
      <c r="C114" s="497">
        <v>8</v>
      </c>
      <c r="D114" s="502"/>
      <c r="E114" s="498"/>
      <c r="F114" s="498"/>
      <c r="G114" s="498"/>
      <c r="H114" s="697"/>
      <c r="I114" s="498" t="e">
        <f t="shared" si="95"/>
        <v>#DIV/0!</v>
      </c>
      <c r="J114" s="498" t="e">
        <f t="shared" si="95"/>
        <v>#DIV/0!</v>
      </c>
      <c r="K114" s="499" t="e">
        <f t="shared" si="95"/>
        <v>#DIV/0!</v>
      </c>
      <c r="L114" s="634"/>
      <c r="M114" s="498" t="e">
        <f>RANK(K114, K$67:$K$81)</f>
        <v>#DIV/0!</v>
      </c>
      <c r="N114" s="652"/>
      <c r="O114" s="652"/>
      <c r="P114" s="182"/>
      <c r="Q114" s="182"/>
      <c r="R114" s="182"/>
      <c r="S114" s="497" t="e">
        <f t="shared" si="96"/>
        <v>#N/A</v>
      </c>
      <c r="T114" s="699"/>
      <c r="U114" s="182"/>
      <c r="V114" s="182"/>
      <c r="W114" s="182"/>
      <c r="X114" s="497" t="e">
        <f t="shared" si="83"/>
        <v>#N/A</v>
      </c>
      <c r="Y114" s="699"/>
      <c r="Z114" s="182"/>
      <c r="AA114" s="182"/>
      <c r="AB114" s="182"/>
      <c r="AC114" s="497" t="e">
        <f t="shared" si="83"/>
        <v>#N/A</v>
      </c>
      <c r="AD114" s="699"/>
      <c r="AE114" s="182"/>
      <c r="AF114" s="182"/>
      <c r="AG114" s="182"/>
      <c r="AH114" s="497" t="e">
        <f t="shared" si="83"/>
        <v>#N/A</v>
      </c>
      <c r="AI114" s="699"/>
      <c r="AJ114" s="182"/>
      <c r="AK114" s="182"/>
      <c r="AL114" s="182"/>
      <c r="AM114" s="497" t="e">
        <f t="shared" si="83"/>
        <v>#N/A</v>
      </c>
      <c r="AN114" s="699"/>
      <c r="AO114" s="182"/>
      <c r="AP114" s="182"/>
      <c r="AQ114" s="182"/>
      <c r="AR114" s="497" t="e">
        <f t="shared" si="91"/>
        <v>#N/A</v>
      </c>
      <c r="AS114" s="699"/>
      <c r="AT114" s="182"/>
      <c r="AU114" s="182"/>
      <c r="AV114" s="182"/>
      <c r="AW114" s="497" t="e">
        <f t="shared" si="91"/>
        <v>#N/A</v>
      </c>
      <c r="AX114" s="699"/>
    </row>
    <row r="115" spans="2:50">
      <c r="B115" s="685"/>
      <c r="C115" s="497">
        <v>9</v>
      </c>
      <c r="D115" s="502"/>
      <c r="E115" s="498"/>
      <c r="F115" s="498"/>
      <c r="G115" s="498"/>
      <c r="H115" s="697"/>
      <c r="I115" s="498" t="e">
        <f t="shared" si="95"/>
        <v>#DIV/0!</v>
      </c>
      <c r="J115" s="498" t="e">
        <f t="shared" si="95"/>
        <v>#DIV/0!</v>
      </c>
      <c r="K115" s="499" t="e">
        <f t="shared" si="95"/>
        <v>#DIV/0!</v>
      </c>
      <c r="L115" s="634"/>
      <c r="M115" s="498" t="e">
        <f>RANK(K115, K$67:$K$81)</f>
        <v>#DIV/0!</v>
      </c>
      <c r="N115" s="652"/>
      <c r="O115" s="652"/>
      <c r="P115" s="182"/>
      <c r="Q115" s="182"/>
      <c r="R115" s="182"/>
      <c r="S115" s="497" t="e">
        <f t="shared" si="96"/>
        <v>#N/A</v>
      </c>
      <c r="T115" s="699"/>
      <c r="U115" s="182"/>
      <c r="V115" s="182"/>
      <c r="W115" s="182"/>
      <c r="X115" s="497" t="e">
        <f t="shared" si="83"/>
        <v>#N/A</v>
      </c>
      <c r="Y115" s="699"/>
      <c r="Z115" s="182"/>
      <c r="AA115" s="182"/>
      <c r="AB115" s="182"/>
      <c r="AC115" s="497" t="e">
        <f t="shared" si="83"/>
        <v>#N/A</v>
      </c>
      <c r="AD115" s="699"/>
      <c r="AE115" s="182"/>
      <c r="AF115" s="182"/>
      <c r="AG115" s="182"/>
      <c r="AH115" s="497" t="e">
        <f t="shared" si="83"/>
        <v>#N/A</v>
      </c>
      <c r="AI115" s="699"/>
      <c r="AJ115" s="182"/>
      <c r="AK115" s="182"/>
      <c r="AL115" s="182"/>
      <c r="AM115" s="497" t="e">
        <f t="shared" si="83"/>
        <v>#N/A</v>
      </c>
      <c r="AN115" s="699"/>
      <c r="AO115" s="182"/>
      <c r="AP115" s="182"/>
      <c r="AQ115" s="182"/>
      <c r="AR115" s="497" t="e">
        <f t="shared" si="91"/>
        <v>#N/A</v>
      </c>
      <c r="AS115" s="699"/>
      <c r="AT115" s="182"/>
      <c r="AU115" s="182"/>
      <c r="AV115" s="182"/>
      <c r="AW115" s="497" t="e">
        <f t="shared" si="91"/>
        <v>#N/A</v>
      </c>
      <c r="AX115" s="699"/>
    </row>
    <row r="116" spans="2:50">
      <c r="B116" s="685"/>
      <c r="C116" s="497">
        <v>10</v>
      </c>
      <c r="D116" s="502"/>
      <c r="E116" s="498"/>
      <c r="F116" s="498"/>
      <c r="G116" s="498"/>
      <c r="H116" s="697"/>
      <c r="I116" s="498" t="e">
        <f t="shared" si="95"/>
        <v>#DIV/0!</v>
      </c>
      <c r="J116" s="498" t="e">
        <f t="shared" si="95"/>
        <v>#DIV/0!</v>
      </c>
      <c r="K116" s="499" t="e">
        <f t="shared" si="95"/>
        <v>#DIV/0!</v>
      </c>
      <c r="L116" s="634"/>
      <c r="M116" s="498" t="e">
        <f>RANK(K116, K$67:$K$81)</f>
        <v>#DIV/0!</v>
      </c>
      <c r="N116" s="652"/>
      <c r="O116" s="652"/>
      <c r="P116" s="182"/>
      <c r="Q116" s="182"/>
      <c r="R116" s="182"/>
      <c r="S116" s="497" t="e">
        <f t="shared" si="96"/>
        <v>#N/A</v>
      </c>
      <c r="T116" s="699"/>
      <c r="U116" s="182"/>
      <c r="V116" s="182"/>
      <c r="W116" s="182"/>
      <c r="X116" s="497" t="e">
        <f t="shared" si="83"/>
        <v>#N/A</v>
      </c>
      <c r="Y116" s="699"/>
      <c r="Z116" s="182"/>
      <c r="AA116" s="182"/>
      <c r="AB116" s="182"/>
      <c r="AC116" s="497" t="e">
        <f t="shared" si="83"/>
        <v>#N/A</v>
      </c>
      <c r="AD116" s="699"/>
      <c r="AE116" s="182"/>
      <c r="AF116" s="182"/>
      <c r="AG116" s="182"/>
      <c r="AH116" s="497" t="e">
        <f t="shared" si="83"/>
        <v>#N/A</v>
      </c>
      <c r="AI116" s="699"/>
      <c r="AJ116" s="182"/>
      <c r="AK116" s="182"/>
      <c r="AL116" s="182"/>
      <c r="AM116" s="497" t="e">
        <f t="shared" si="83"/>
        <v>#N/A</v>
      </c>
      <c r="AN116" s="699"/>
      <c r="AO116" s="182"/>
      <c r="AP116" s="182"/>
      <c r="AQ116" s="182"/>
      <c r="AR116" s="497" t="e">
        <f t="shared" si="91"/>
        <v>#N/A</v>
      </c>
      <c r="AS116" s="699"/>
      <c r="AT116" s="182"/>
      <c r="AU116" s="182"/>
      <c r="AV116" s="182"/>
      <c r="AW116" s="497" t="e">
        <f t="shared" si="91"/>
        <v>#N/A</v>
      </c>
      <c r="AX116" s="699"/>
    </row>
    <row r="117" spans="2:50">
      <c r="B117" s="685"/>
      <c r="C117" s="497">
        <v>11</v>
      </c>
      <c r="D117" s="502"/>
      <c r="E117" s="498"/>
      <c r="F117" s="498"/>
      <c r="G117" s="498"/>
      <c r="H117" s="697"/>
      <c r="I117" s="498" t="e">
        <f t="shared" si="95"/>
        <v>#DIV/0!</v>
      </c>
      <c r="J117" s="498" t="e">
        <f t="shared" si="95"/>
        <v>#DIV/0!</v>
      </c>
      <c r="K117" s="499" t="e">
        <f t="shared" si="95"/>
        <v>#DIV/0!</v>
      </c>
      <c r="L117" s="634"/>
      <c r="M117" s="498" t="e">
        <f>RANK(K117, K$67:$K$81)</f>
        <v>#DIV/0!</v>
      </c>
      <c r="N117" s="652"/>
      <c r="O117" s="652"/>
      <c r="P117" s="182"/>
      <c r="Q117" s="182"/>
      <c r="R117" s="182"/>
      <c r="S117" s="497" t="e">
        <f t="shared" si="96"/>
        <v>#N/A</v>
      </c>
      <c r="T117" s="699"/>
      <c r="U117" s="182"/>
      <c r="V117" s="182"/>
      <c r="W117" s="182"/>
      <c r="X117" s="497" t="e">
        <f t="shared" si="83"/>
        <v>#N/A</v>
      </c>
      <c r="Y117" s="699"/>
      <c r="Z117" s="182"/>
      <c r="AA117" s="182"/>
      <c r="AB117" s="182"/>
      <c r="AC117" s="497" t="e">
        <f t="shared" si="83"/>
        <v>#N/A</v>
      </c>
      <c r="AD117" s="699"/>
      <c r="AE117" s="182"/>
      <c r="AF117" s="182"/>
      <c r="AG117" s="182"/>
      <c r="AH117" s="497" t="e">
        <f t="shared" si="83"/>
        <v>#N/A</v>
      </c>
      <c r="AI117" s="699"/>
      <c r="AJ117" s="182"/>
      <c r="AK117" s="182"/>
      <c r="AL117" s="182"/>
      <c r="AM117" s="497" t="e">
        <f t="shared" si="83"/>
        <v>#N/A</v>
      </c>
      <c r="AN117" s="699"/>
      <c r="AO117" s="182"/>
      <c r="AP117" s="182"/>
      <c r="AQ117" s="182"/>
      <c r="AR117" s="497" t="e">
        <f t="shared" si="91"/>
        <v>#N/A</v>
      </c>
      <c r="AS117" s="699"/>
      <c r="AT117" s="182"/>
      <c r="AU117" s="182"/>
      <c r="AV117" s="182"/>
      <c r="AW117" s="497" t="e">
        <f t="shared" si="91"/>
        <v>#N/A</v>
      </c>
      <c r="AX117" s="699"/>
    </row>
    <row r="118" spans="2:50">
      <c r="B118" s="685"/>
      <c r="C118" s="497">
        <v>12</v>
      </c>
      <c r="D118" s="502"/>
      <c r="E118" s="498"/>
      <c r="F118" s="498"/>
      <c r="G118" s="498"/>
      <c r="H118" s="697"/>
      <c r="I118" s="498"/>
      <c r="J118" s="498"/>
      <c r="K118" s="499"/>
      <c r="L118" s="634"/>
      <c r="M118" s="498" t="e">
        <f>RANK(K118, K$67:$K$81)</f>
        <v>#DIV/0!</v>
      </c>
      <c r="N118" s="652"/>
      <c r="O118" s="652"/>
      <c r="P118" s="182"/>
      <c r="Q118" s="182"/>
      <c r="R118" s="182"/>
      <c r="S118" s="497" t="e">
        <f t="shared" si="96"/>
        <v>#N/A</v>
      </c>
      <c r="T118" s="699"/>
      <c r="U118" s="182"/>
      <c r="V118" s="182"/>
      <c r="W118" s="182"/>
      <c r="X118" s="497" t="e">
        <f t="shared" si="83"/>
        <v>#N/A</v>
      </c>
      <c r="Y118" s="699"/>
      <c r="Z118" s="182"/>
      <c r="AA118" s="182"/>
      <c r="AB118" s="182"/>
      <c r="AC118" s="497" t="e">
        <f t="shared" si="83"/>
        <v>#N/A</v>
      </c>
      <c r="AD118" s="699"/>
      <c r="AE118" s="182"/>
      <c r="AF118" s="182"/>
      <c r="AG118" s="182"/>
      <c r="AH118" s="497" t="e">
        <f t="shared" si="83"/>
        <v>#N/A</v>
      </c>
      <c r="AI118" s="699"/>
      <c r="AJ118" s="182"/>
      <c r="AK118" s="182"/>
      <c r="AL118" s="182"/>
      <c r="AM118" s="497" t="e">
        <f t="shared" si="83"/>
        <v>#N/A</v>
      </c>
      <c r="AN118" s="699"/>
      <c r="AO118" s="182"/>
      <c r="AP118" s="182"/>
      <c r="AQ118" s="182"/>
      <c r="AR118" s="497" t="e">
        <f t="shared" si="91"/>
        <v>#N/A</v>
      </c>
      <c r="AS118" s="699"/>
      <c r="AT118" s="182"/>
      <c r="AU118" s="182"/>
      <c r="AV118" s="182"/>
      <c r="AW118" s="497" t="e">
        <f t="shared" si="91"/>
        <v>#N/A</v>
      </c>
      <c r="AX118" s="699"/>
    </row>
    <row r="119" spans="2:50">
      <c r="B119" s="685"/>
      <c r="C119" s="497">
        <v>13</v>
      </c>
      <c r="D119" s="502"/>
      <c r="E119" s="498"/>
      <c r="F119" s="498"/>
      <c r="G119" s="498"/>
      <c r="H119" s="697"/>
      <c r="I119" s="498"/>
      <c r="J119" s="498"/>
      <c r="K119" s="499"/>
      <c r="L119" s="634"/>
      <c r="M119" s="498" t="e">
        <f>RANK(K119, K$67:$K$81)</f>
        <v>#DIV/0!</v>
      </c>
      <c r="N119" s="652"/>
      <c r="O119" s="652"/>
      <c r="P119" s="182"/>
      <c r="Q119" s="182"/>
      <c r="R119" s="182"/>
      <c r="S119" s="497" t="e">
        <f t="shared" si="96"/>
        <v>#N/A</v>
      </c>
      <c r="T119" s="699"/>
      <c r="U119" s="182"/>
      <c r="V119" s="182"/>
      <c r="W119" s="182"/>
      <c r="X119" s="497" t="e">
        <f t="shared" si="83"/>
        <v>#N/A</v>
      </c>
      <c r="Y119" s="699"/>
      <c r="Z119" s="182"/>
      <c r="AA119" s="182"/>
      <c r="AB119" s="182"/>
      <c r="AC119" s="497" t="e">
        <f t="shared" si="83"/>
        <v>#N/A</v>
      </c>
      <c r="AD119" s="699"/>
      <c r="AE119" s="182"/>
      <c r="AF119" s="182"/>
      <c r="AG119" s="182"/>
      <c r="AH119" s="497" t="e">
        <f t="shared" si="83"/>
        <v>#N/A</v>
      </c>
      <c r="AI119" s="699"/>
      <c r="AJ119" s="182"/>
      <c r="AK119" s="182"/>
      <c r="AL119" s="182"/>
      <c r="AM119" s="497" t="e">
        <f t="shared" si="83"/>
        <v>#N/A</v>
      </c>
      <c r="AN119" s="699"/>
      <c r="AO119" s="182"/>
      <c r="AP119" s="182"/>
      <c r="AQ119" s="182"/>
      <c r="AR119" s="497" t="e">
        <f t="shared" si="91"/>
        <v>#N/A</v>
      </c>
      <c r="AS119" s="699"/>
      <c r="AT119" s="182"/>
      <c r="AU119" s="182"/>
      <c r="AV119" s="182"/>
      <c r="AW119" s="497" t="e">
        <f t="shared" si="91"/>
        <v>#N/A</v>
      </c>
      <c r="AX119" s="699"/>
    </row>
    <row r="120" spans="2:50">
      <c r="B120" s="685"/>
      <c r="C120" s="497">
        <v>14</v>
      </c>
      <c r="D120" s="502"/>
      <c r="E120" s="498"/>
      <c r="F120" s="498"/>
      <c r="G120" s="498"/>
      <c r="H120" s="697"/>
      <c r="I120" s="498"/>
      <c r="J120" s="498"/>
      <c r="K120" s="499"/>
      <c r="L120" s="634"/>
      <c r="M120" s="498" t="e">
        <f>RANK(K120, K$67:$K$81)</f>
        <v>#DIV/0!</v>
      </c>
      <c r="N120" s="652"/>
      <c r="O120" s="652"/>
      <c r="P120" s="182"/>
      <c r="Q120" s="182"/>
      <c r="R120" s="182"/>
      <c r="S120" s="497" t="e">
        <f t="shared" si="96"/>
        <v>#N/A</v>
      </c>
      <c r="T120" s="699"/>
      <c r="U120" s="182"/>
      <c r="V120" s="182"/>
      <c r="W120" s="182"/>
      <c r="X120" s="497" t="e">
        <f t="shared" si="83"/>
        <v>#N/A</v>
      </c>
      <c r="Y120" s="699"/>
      <c r="Z120" s="182"/>
      <c r="AA120" s="182"/>
      <c r="AB120" s="182"/>
      <c r="AC120" s="497" t="e">
        <f t="shared" si="83"/>
        <v>#N/A</v>
      </c>
      <c r="AD120" s="699"/>
      <c r="AE120" s="182"/>
      <c r="AF120" s="182"/>
      <c r="AG120" s="182"/>
      <c r="AH120" s="497" t="e">
        <f t="shared" si="83"/>
        <v>#N/A</v>
      </c>
      <c r="AI120" s="699"/>
      <c r="AJ120" s="182"/>
      <c r="AK120" s="182"/>
      <c r="AL120" s="182"/>
      <c r="AM120" s="497" t="e">
        <f t="shared" si="83"/>
        <v>#N/A</v>
      </c>
      <c r="AN120" s="699"/>
      <c r="AO120" s="182"/>
      <c r="AP120" s="182"/>
      <c r="AQ120" s="182"/>
      <c r="AR120" s="497" t="e">
        <f t="shared" si="91"/>
        <v>#N/A</v>
      </c>
      <c r="AS120" s="699"/>
      <c r="AT120" s="182"/>
      <c r="AU120" s="182"/>
      <c r="AV120" s="182"/>
      <c r="AW120" s="497" t="e">
        <f t="shared" si="91"/>
        <v>#N/A</v>
      </c>
      <c r="AX120" s="699"/>
    </row>
    <row r="121" spans="2:50">
      <c r="B121" s="685"/>
      <c r="C121" s="497">
        <v>15</v>
      </c>
      <c r="D121" s="502"/>
      <c r="E121" s="498"/>
      <c r="F121" s="498"/>
      <c r="G121" s="498"/>
      <c r="H121" s="709"/>
      <c r="I121" s="498"/>
      <c r="J121" s="498"/>
      <c r="K121" s="499"/>
      <c r="L121" s="635"/>
      <c r="M121" s="498" t="e">
        <f>RANK(K121, K$67:$K$81)</f>
        <v>#DIV/0!</v>
      </c>
      <c r="N121" s="652"/>
      <c r="O121" s="652"/>
      <c r="P121" s="182"/>
      <c r="Q121" s="182"/>
      <c r="R121" s="182"/>
      <c r="S121" s="497" t="e">
        <f t="shared" si="96"/>
        <v>#N/A</v>
      </c>
      <c r="T121" s="699"/>
      <c r="U121" s="182"/>
      <c r="V121" s="182"/>
      <c r="W121" s="182"/>
      <c r="X121" s="497" t="e">
        <f t="shared" si="83"/>
        <v>#N/A</v>
      </c>
      <c r="Y121" s="699"/>
      <c r="Z121" s="182"/>
      <c r="AA121" s="182"/>
      <c r="AB121" s="182"/>
      <c r="AC121" s="497" t="e">
        <f t="shared" si="83"/>
        <v>#N/A</v>
      </c>
      <c r="AD121" s="699"/>
      <c r="AE121" s="182"/>
      <c r="AF121" s="182"/>
      <c r="AG121" s="182"/>
      <c r="AH121" s="497" t="e">
        <f t="shared" si="83"/>
        <v>#N/A</v>
      </c>
      <c r="AI121" s="699"/>
      <c r="AJ121" s="182"/>
      <c r="AK121" s="182"/>
      <c r="AL121" s="182"/>
      <c r="AM121" s="497" t="e">
        <f t="shared" si="83"/>
        <v>#N/A</v>
      </c>
      <c r="AN121" s="699"/>
      <c r="AO121" s="182"/>
      <c r="AP121" s="182"/>
      <c r="AQ121" s="182"/>
      <c r="AR121" s="497" t="e">
        <f t="shared" si="91"/>
        <v>#N/A</v>
      </c>
      <c r="AS121" s="699"/>
      <c r="AT121" s="182"/>
      <c r="AU121" s="182"/>
      <c r="AV121" s="182"/>
      <c r="AW121" s="497" t="e">
        <f t="shared" si="91"/>
        <v>#N/A</v>
      </c>
      <c r="AX121" s="699"/>
    </row>
    <row r="123" spans="2:50" ht="15.75">
      <c r="B123" s="691" t="s">
        <v>687</v>
      </c>
      <c r="C123" s="692"/>
      <c r="D123" s="692"/>
      <c r="E123" s="692"/>
      <c r="F123" s="692"/>
      <c r="G123" s="692"/>
      <c r="H123" s="693"/>
      <c r="I123" s="348"/>
      <c r="J123" s="348"/>
      <c r="K123" s="348"/>
      <c r="L123" s="348"/>
      <c r="M123" s="349"/>
    </row>
    <row r="124" spans="2:50" ht="15.75">
      <c r="B124" s="694"/>
      <c r="C124" s="694"/>
      <c r="D124" s="694"/>
      <c r="E124" s="694"/>
      <c r="F124" s="694"/>
      <c r="G124" s="694"/>
      <c r="H124" s="694"/>
      <c r="I124" s="350"/>
      <c r="J124" s="350"/>
      <c r="K124" s="350"/>
      <c r="L124" s="350"/>
      <c r="M124" s="351"/>
    </row>
    <row r="125" spans="2:50">
      <c r="B125" s="652" t="s">
        <v>154</v>
      </c>
      <c r="C125" s="652" t="s">
        <v>441</v>
      </c>
      <c r="D125" s="652"/>
      <c r="E125" s="652" t="s">
        <v>432</v>
      </c>
      <c r="F125" s="652"/>
      <c r="G125" s="652"/>
      <c r="H125" s="668" t="s">
        <v>428</v>
      </c>
      <c r="I125" s="695" t="s">
        <v>433</v>
      </c>
      <c r="J125" s="695"/>
      <c r="K125" s="695"/>
      <c r="L125" s="716" t="s">
        <v>428</v>
      </c>
      <c r="M125" s="719" t="s">
        <v>429</v>
      </c>
    </row>
    <row r="126" spans="2:50">
      <c r="B126" s="652"/>
      <c r="C126" s="652"/>
      <c r="D126" s="652"/>
      <c r="E126" s="652" t="s">
        <v>435</v>
      </c>
      <c r="F126" s="652"/>
      <c r="G126" s="652"/>
      <c r="H126" s="669"/>
      <c r="I126" s="695" t="s">
        <v>435</v>
      </c>
      <c r="J126" s="695"/>
      <c r="K126" s="695"/>
      <c r="L126" s="717"/>
      <c r="M126" s="720"/>
    </row>
    <row r="127" spans="2:50">
      <c r="B127" s="652"/>
      <c r="C127" s="652"/>
      <c r="D127" s="652"/>
      <c r="E127" s="345" t="s">
        <v>437</v>
      </c>
      <c r="F127" s="345" t="s">
        <v>438</v>
      </c>
      <c r="G127" s="345" t="s">
        <v>439</v>
      </c>
      <c r="H127" s="670"/>
      <c r="I127" s="352" t="s">
        <v>437</v>
      </c>
      <c r="J127" s="352" t="s">
        <v>438</v>
      </c>
      <c r="K127" s="352" t="s">
        <v>439</v>
      </c>
      <c r="L127" s="718"/>
      <c r="M127" s="721"/>
    </row>
    <row r="128" spans="2:50">
      <c r="B128" s="700" t="s">
        <v>440</v>
      </c>
      <c r="C128" s="344">
        <v>1</v>
      </c>
      <c r="D128" s="227"/>
      <c r="E128" s="182"/>
      <c r="F128" s="344"/>
      <c r="G128" s="347"/>
      <c r="H128" s="701" t="e">
        <f>AVERAGE(G128:G142)</f>
        <v>#DIV/0!</v>
      </c>
      <c r="I128" s="199" t="e">
        <f t="shared" ref="I128:J138" si="97">AVERAGEIF($D$7:$D$121,$D128,I$7:I$121)</f>
        <v>#DIV/0!</v>
      </c>
      <c r="J128" s="199" t="e">
        <f t="shared" si="97"/>
        <v>#DIV/0!</v>
      </c>
      <c r="K128" s="199" t="e">
        <f t="shared" ref="K128:K138" si="98">AVERAGEIF($D$7:$D$121,$D128,K$7:K$121)</f>
        <v>#DIV/0!</v>
      </c>
      <c r="L128" s="713" t="e">
        <f>AVERAGE(K128:K142)</f>
        <v>#DIV/0!</v>
      </c>
      <c r="M128" s="199" t="e">
        <f>RANK(K128, K$128:$K$142)</f>
        <v>#DIV/0!</v>
      </c>
    </row>
    <row r="129" spans="2:13">
      <c r="B129" s="660"/>
      <c r="C129" s="344">
        <v>2</v>
      </c>
      <c r="D129" s="227"/>
      <c r="E129" s="182"/>
      <c r="F129" s="344"/>
      <c r="G129" s="347"/>
      <c r="H129" s="702"/>
      <c r="I129" s="199" t="e">
        <f t="shared" si="97"/>
        <v>#DIV/0!</v>
      </c>
      <c r="J129" s="199" t="e">
        <f t="shared" si="97"/>
        <v>#DIV/0!</v>
      </c>
      <c r="K129" s="199" t="e">
        <f t="shared" si="98"/>
        <v>#DIV/0!</v>
      </c>
      <c r="L129" s="714"/>
      <c r="M129" s="199" t="e">
        <f>RANK(K129, K$128:$K$142)</f>
        <v>#DIV/0!</v>
      </c>
    </row>
    <row r="130" spans="2:13">
      <c r="B130" s="660"/>
      <c r="C130" s="344">
        <v>3</v>
      </c>
      <c r="D130" s="227"/>
      <c r="E130" s="182"/>
      <c r="F130" s="344"/>
      <c r="G130" s="347"/>
      <c r="H130" s="702"/>
      <c r="I130" s="199" t="e">
        <f t="shared" si="97"/>
        <v>#DIV/0!</v>
      </c>
      <c r="J130" s="199" t="e">
        <f t="shared" si="97"/>
        <v>#DIV/0!</v>
      </c>
      <c r="K130" s="199" t="e">
        <f t="shared" si="98"/>
        <v>#DIV/0!</v>
      </c>
      <c r="L130" s="714"/>
      <c r="M130" s="199" t="e">
        <f>RANK(K130, K$128:$K$142)</f>
        <v>#DIV/0!</v>
      </c>
    </row>
    <row r="131" spans="2:13">
      <c r="B131" s="660"/>
      <c r="C131" s="344">
        <v>4</v>
      </c>
      <c r="D131" s="227"/>
      <c r="E131" s="182"/>
      <c r="F131" s="344"/>
      <c r="G131" s="347"/>
      <c r="H131" s="702"/>
      <c r="I131" s="199" t="e">
        <f t="shared" si="97"/>
        <v>#DIV/0!</v>
      </c>
      <c r="J131" s="199" t="e">
        <f t="shared" si="97"/>
        <v>#DIV/0!</v>
      </c>
      <c r="K131" s="199" t="e">
        <f t="shared" si="98"/>
        <v>#DIV/0!</v>
      </c>
      <c r="L131" s="714"/>
      <c r="M131" s="199" t="e">
        <f>RANK(K131, K$128:$K$142)</f>
        <v>#DIV/0!</v>
      </c>
    </row>
    <row r="132" spans="2:13">
      <c r="B132" s="660"/>
      <c r="C132" s="344">
        <v>5</v>
      </c>
      <c r="D132" s="227"/>
      <c r="E132" s="182"/>
      <c r="F132" s="344"/>
      <c r="G132" s="347"/>
      <c r="H132" s="702"/>
      <c r="I132" s="199" t="e">
        <f t="shared" si="97"/>
        <v>#DIV/0!</v>
      </c>
      <c r="J132" s="199" t="e">
        <f t="shared" si="97"/>
        <v>#DIV/0!</v>
      </c>
      <c r="K132" s="199" t="e">
        <f t="shared" si="98"/>
        <v>#DIV/0!</v>
      </c>
      <c r="L132" s="714"/>
      <c r="M132" s="199" t="e">
        <f>RANK(K132, K$128:$K$142)</f>
        <v>#DIV/0!</v>
      </c>
    </row>
    <row r="133" spans="2:13">
      <c r="B133" s="660"/>
      <c r="C133" s="344">
        <v>6</v>
      </c>
      <c r="D133" s="353"/>
      <c r="E133" s="182"/>
      <c r="F133" s="344"/>
      <c r="G133" s="347"/>
      <c r="H133" s="702"/>
      <c r="I133" s="199" t="e">
        <f t="shared" si="97"/>
        <v>#DIV/0!</v>
      </c>
      <c r="J133" s="199" t="e">
        <f t="shared" si="97"/>
        <v>#DIV/0!</v>
      </c>
      <c r="K133" s="199" t="e">
        <f t="shared" si="98"/>
        <v>#DIV/0!</v>
      </c>
      <c r="L133" s="714"/>
      <c r="M133" s="199" t="e">
        <f>RANK(K133, K$128:$K$142)</f>
        <v>#DIV/0!</v>
      </c>
    </row>
    <row r="134" spans="2:13">
      <c r="B134" s="660"/>
      <c r="C134" s="344">
        <v>7</v>
      </c>
      <c r="D134" s="227"/>
      <c r="E134" s="182"/>
      <c r="F134" s="344"/>
      <c r="G134" s="347"/>
      <c r="H134" s="702"/>
      <c r="I134" s="199" t="e">
        <f t="shared" si="97"/>
        <v>#DIV/0!</v>
      </c>
      <c r="J134" s="199" t="e">
        <f t="shared" si="97"/>
        <v>#DIV/0!</v>
      </c>
      <c r="K134" s="199" t="e">
        <f t="shared" si="98"/>
        <v>#DIV/0!</v>
      </c>
      <c r="L134" s="714"/>
      <c r="M134" s="199" t="e">
        <f>RANK(K134, K$128:$K$142)</f>
        <v>#DIV/0!</v>
      </c>
    </row>
    <row r="135" spans="2:13">
      <c r="B135" s="660"/>
      <c r="C135" s="344">
        <v>8</v>
      </c>
      <c r="D135" s="227"/>
      <c r="E135" s="182"/>
      <c r="F135" s="344"/>
      <c r="G135" s="347"/>
      <c r="H135" s="702"/>
      <c r="I135" s="199" t="e">
        <f t="shared" si="97"/>
        <v>#DIV/0!</v>
      </c>
      <c r="J135" s="199" t="e">
        <f t="shared" si="97"/>
        <v>#DIV/0!</v>
      </c>
      <c r="K135" s="199" t="e">
        <f t="shared" si="98"/>
        <v>#DIV/0!</v>
      </c>
      <c r="L135" s="714"/>
      <c r="M135" s="199" t="e">
        <f>RANK(K135, K$128:$K$142)</f>
        <v>#DIV/0!</v>
      </c>
    </row>
    <row r="136" spans="2:13">
      <c r="B136" s="660"/>
      <c r="C136" s="344">
        <v>9</v>
      </c>
      <c r="D136" s="227"/>
      <c r="E136" s="344"/>
      <c r="F136" s="344"/>
      <c r="G136" s="344"/>
      <c r="H136" s="702"/>
      <c r="I136" s="199" t="e">
        <f t="shared" si="97"/>
        <v>#DIV/0!</v>
      </c>
      <c r="J136" s="199" t="e">
        <f t="shared" si="97"/>
        <v>#DIV/0!</v>
      </c>
      <c r="K136" s="199" t="e">
        <f t="shared" si="98"/>
        <v>#DIV/0!</v>
      </c>
      <c r="L136" s="714"/>
      <c r="M136" s="199" t="e">
        <f>RANK(K136, K$128:$K$142)</f>
        <v>#DIV/0!</v>
      </c>
    </row>
    <row r="137" spans="2:13">
      <c r="B137" s="660"/>
      <c r="C137" s="344">
        <v>10</v>
      </c>
      <c r="D137" s="227"/>
      <c r="E137" s="344"/>
      <c r="F137" s="344"/>
      <c r="G137" s="344"/>
      <c r="H137" s="702"/>
      <c r="I137" s="199" t="e">
        <f t="shared" si="97"/>
        <v>#DIV/0!</v>
      </c>
      <c r="J137" s="199" t="e">
        <f t="shared" si="97"/>
        <v>#DIV/0!</v>
      </c>
      <c r="K137" s="199" t="e">
        <f t="shared" si="98"/>
        <v>#DIV/0!</v>
      </c>
      <c r="L137" s="714"/>
      <c r="M137" s="199" t="e">
        <f>RANK(K137, K$128:$K$142)</f>
        <v>#DIV/0!</v>
      </c>
    </row>
    <row r="138" spans="2:13">
      <c r="B138" s="660"/>
      <c r="C138" s="344">
        <v>11</v>
      </c>
      <c r="D138" s="227"/>
      <c r="E138" s="344"/>
      <c r="F138" s="344"/>
      <c r="G138" s="344"/>
      <c r="H138" s="702"/>
      <c r="I138" s="199" t="e">
        <f t="shared" si="97"/>
        <v>#DIV/0!</v>
      </c>
      <c r="J138" s="199" t="e">
        <f t="shared" si="97"/>
        <v>#DIV/0!</v>
      </c>
      <c r="K138" s="199" t="e">
        <f t="shared" si="98"/>
        <v>#DIV/0!</v>
      </c>
      <c r="L138" s="714"/>
      <c r="M138" s="199" t="e">
        <f>RANK(K138, K$128:$K$142)</f>
        <v>#DIV/0!</v>
      </c>
    </row>
    <row r="139" spans="2:13">
      <c r="B139" s="660"/>
      <c r="C139" s="344">
        <v>12</v>
      </c>
      <c r="D139" s="227"/>
      <c r="E139" s="344"/>
      <c r="F139" s="344"/>
      <c r="G139" s="344"/>
      <c r="H139" s="702"/>
      <c r="I139" s="199"/>
      <c r="J139" s="199"/>
      <c r="K139" s="199"/>
      <c r="L139" s="714"/>
      <c r="M139" s="199" t="e">
        <f>RANK(K139, K$128:$K$142)</f>
        <v>#DIV/0!</v>
      </c>
    </row>
    <row r="140" spans="2:13">
      <c r="B140" s="660"/>
      <c r="C140" s="344">
        <v>13</v>
      </c>
      <c r="D140" s="227"/>
      <c r="E140" s="344"/>
      <c r="F140" s="344"/>
      <c r="G140" s="344"/>
      <c r="H140" s="702"/>
      <c r="I140" s="199"/>
      <c r="J140" s="199"/>
      <c r="K140" s="199"/>
      <c r="L140" s="714"/>
      <c r="M140" s="199" t="e">
        <f>RANK(K140, K$128:$K$142)</f>
        <v>#DIV/0!</v>
      </c>
    </row>
    <row r="141" spans="2:13">
      <c r="B141" s="660"/>
      <c r="C141" s="344">
        <v>14</v>
      </c>
      <c r="D141" s="227"/>
      <c r="E141" s="344"/>
      <c r="F141" s="344"/>
      <c r="G141" s="344"/>
      <c r="H141" s="702"/>
      <c r="I141" s="199"/>
      <c r="J141" s="199"/>
      <c r="K141" s="199"/>
      <c r="L141" s="714"/>
      <c r="M141" s="199" t="e">
        <f>RANK(K141, K$128:$K$142)</f>
        <v>#DIV/0!</v>
      </c>
    </row>
    <row r="142" spans="2:13">
      <c r="B142" s="660"/>
      <c r="C142" s="344">
        <v>15</v>
      </c>
      <c r="D142" s="227"/>
      <c r="E142" s="344"/>
      <c r="F142" s="344"/>
      <c r="G142" s="344"/>
      <c r="H142" s="703"/>
      <c r="I142" s="199"/>
      <c r="J142" s="199"/>
      <c r="K142" s="199"/>
      <c r="L142" s="715"/>
      <c r="M142" s="19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37" zoomScale="55" zoomScaleNormal="55" workbookViewId="0">
      <pane xSplit="15" topLeftCell="P1" activePane="topRight" state="frozen"/>
      <selection activeCell="P2" sqref="P2:AN2"/>
      <selection pane="topRight" activeCell="D52" sqref="D52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22" t="s">
        <v>332</v>
      </c>
      <c r="C1" s="221">
        <f>AVERAGE(L7,L27,L47,L67,L87,L107)</f>
        <v>121.10114129115043</v>
      </c>
    </row>
    <row r="2" spans="1:54" ht="15.75">
      <c r="A2" s="81"/>
      <c r="B2" s="664" t="s">
        <v>163</v>
      </c>
      <c r="C2" s="664"/>
      <c r="D2" s="664"/>
      <c r="E2" s="664"/>
      <c r="F2" s="664"/>
      <c r="G2" s="664"/>
      <c r="H2" s="664"/>
      <c r="I2" s="310"/>
      <c r="J2" s="310"/>
      <c r="K2" s="310"/>
      <c r="L2" s="310"/>
      <c r="M2" s="197"/>
      <c r="N2" s="653" t="s">
        <v>156</v>
      </c>
      <c r="O2" s="653" t="s">
        <v>155</v>
      </c>
      <c r="P2" s="710"/>
      <c r="Q2" s="711"/>
      <c r="R2" s="711"/>
      <c r="S2" s="711"/>
      <c r="T2" s="712"/>
      <c r="U2" s="659"/>
      <c r="V2" s="660"/>
      <c r="W2" s="660"/>
      <c r="X2" s="660"/>
      <c r="Y2" s="660"/>
      <c r="Z2" s="659"/>
      <c r="AA2" s="660"/>
      <c r="AB2" s="660"/>
      <c r="AC2" s="660"/>
      <c r="AD2" s="660"/>
      <c r="AE2" s="659"/>
      <c r="AF2" s="660"/>
      <c r="AG2" s="660"/>
      <c r="AH2" s="660"/>
      <c r="AI2" s="660"/>
      <c r="AJ2" s="659"/>
      <c r="AK2" s="660"/>
      <c r="AL2" s="660"/>
      <c r="AM2" s="660"/>
      <c r="AN2" s="660"/>
      <c r="AO2" s="659">
        <v>46054</v>
      </c>
      <c r="AP2" s="660"/>
      <c r="AQ2" s="660"/>
      <c r="AR2" s="660"/>
      <c r="AS2" s="660"/>
      <c r="AT2" s="659">
        <f>AO2+1</f>
        <v>46055</v>
      </c>
      <c r="AU2" s="660"/>
      <c r="AV2" s="660"/>
      <c r="AW2" s="660"/>
      <c r="AX2" s="660"/>
    </row>
    <row r="3" spans="1:54" ht="15.75">
      <c r="A3" s="81"/>
      <c r="B3" s="683"/>
      <c r="C3" s="683"/>
      <c r="D3" s="683"/>
      <c r="E3" s="683"/>
      <c r="F3" s="683"/>
      <c r="G3" s="683"/>
      <c r="H3" s="683"/>
      <c r="I3" s="311"/>
      <c r="J3" s="311"/>
      <c r="K3" s="311"/>
      <c r="L3" s="311"/>
      <c r="M3" s="198"/>
      <c r="N3" s="655"/>
      <c r="O3" s="655"/>
      <c r="P3" s="656" t="s">
        <v>158</v>
      </c>
      <c r="Q3" s="657"/>
      <c r="R3" s="657"/>
      <c r="S3" s="657"/>
      <c r="T3" s="658"/>
      <c r="U3" s="656" t="s">
        <v>114</v>
      </c>
      <c r="V3" s="657"/>
      <c r="W3" s="657"/>
      <c r="X3" s="657"/>
      <c r="Y3" s="658"/>
      <c r="Z3" s="656" t="s">
        <v>159</v>
      </c>
      <c r="AA3" s="657"/>
      <c r="AB3" s="657"/>
      <c r="AC3" s="657"/>
      <c r="AD3" s="658"/>
      <c r="AE3" s="656" t="s">
        <v>157</v>
      </c>
      <c r="AF3" s="657"/>
      <c r="AG3" s="657"/>
      <c r="AH3" s="657"/>
      <c r="AI3" s="658"/>
      <c r="AJ3" s="656" t="s">
        <v>160</v>
      </c>
      <c r="AK3" s="657"/>
      <c r="AL3" s="657"/>
      <c r="AM3" s="657"/>
      <c r="AN3" s="658"/>
      <c r="AO3" s="656" t="s">
        <v>161</v>
      </c>
      <c r="AP3" s="657"/>
      <c r="AQ3" s="657"/>
      <c r="AR3" s="657"/>
      <c r="AS3" s="658"/>
      <c r="AT3" s="656" t="s">
        <v>162</v>
      </c>
      <c r="AU3" s="657"/>
      <c r="AV3" s="657"/>
      <c r="AW3" s="657"/>
      <c r="AX3" s="658"/>
    </row>
    <row r="4" spans="1:54">
      <c r="A4" s="81"/>
      <c r="B4" s="652" t="s">
        <v>472</v>
      </c>
      <c r="C4" s="652" t="s">
        <v>473</v>
      </c>
      <c r="D4" s="652"/>
      <c r="E4" s="652" t="s">
        <v>474</v>
      </c>
      <c r="F4" s="652"/>
      <c r="G4" s="652"/>
      <c r="H4" s="668" t="s">
        <v>475</v>
      </c>
      <c r="I4" s="636" t="s">
        <v>476</v>
      </c>
      <c r="J4" s="636"/>
      <c r="K4" s="636"/>
      <c r="L4" s="637" t="s">
        <v>475</v>
      </c>
      <c r="M4" s="643" t="s">
        <v>477</v>
      </c>
      <c r="N4" s="652"/>
      <c r="O4" s="652" t="s">
        <v>478</v>
      </c>
      <c r="P4" s="649" t="s">
        <v>479</v>
      </c>
      <c r="Q4" s="650"/>
      <c r="R4" s="650"/>
      <c r="S4" s="651"/>
      <c r="T4" s="652" t="s">
        <v>475</v>
      </c>
      <c r="U4" s="649" t="s">
        <v>479</v>
      </c>
      <c r="V4" s="650"/>
      <c r="W4" s="650"/>
      <c r="X4" s="651"/>
      <c r="Y4" s="652" t="s">
        <v>475</v>
      </c>
      <c r="Z4" s="649" t="s">
        <v>479</v>
      </c>
      <c r="AA4" s="650"/>
      <c r="AB4" s="650"/>
      <c r="AC4" s="651"/>
      <c r="AD4" s="652" t="s">
        <v>475</v>
      </c>
      <c r="AE4" s="649" t="s">
        <v>479</v>
      </c>
      <c r="AF4" s="650"/>
      <c r="AG4" s="650"/>
      <c r="AH4" s="651"/>
      <c r="AI4" s="652" t="s">
        <v>475</v>
      </c>
      <c r="AJ4" s="649" t="s">
        <v>479</v>
      </c>
      <c r="AK4" s="650"/>
      <c r="AL4" s="650"/>
      <c r="AM4" s="651"/>
      <c r="AN4" s="652" t="s">
        <v>475</v>
      </c>
      <c r="AO4" s="649" t="s">
        <v>479</v>
      </c>
      <c r="AP4" s="650"/>
      <c r="AQ4" s="650"/>
      <c r="AR4" s="651"/>
      <c r="AS4" s="652" t="s">
        <v>475</v>
      </c>
      <c r="AT4" s="649" t="s">
        <v>479</v>
      </c>
      <c r="AU4" s="650"/>
      <c r="AV4" s="650"/>
      <c r="AW4" s="651"/>
      <c r="AX4" s="652" t="s">
        <v>475</v>
      </c>
    </row>
    <row r="5" spans="1:54">
      <c r="A5" s="81"/>
      <c r="B5" s="652"/>
      <c r="C5" s="652"/>
      <c r="D5" s="652"/>
      <c r="E5" s="652" t="s">
        <v>480</v>
      </c>
      <c r="F5" s="652"/>
      <c r="G5" s="652"/>
      <c r="H5" s="669"/>
      <c r="I5" s="636" t="s">
        <v>480</v>
      </c>
      <c r="J5" s="636"/>
      <c r="K5" s="636"/>
      <c r="L5" s="638"/>
      <c r="M5" s="644"/>
      <c r="N5" s="652"/>
      <c r="O5" s="652"/>
      <c r="P5" s="649" t="s">
        <v>481</v>
      </c>
      <c r="Q5" s="650"/>
      <c r="R5" s="650"/>
      <c r="S5" s="651"/>
      <c r="T5" s="652"/>
      <c r="U5" s="649" t="s">
        <v>481</v>
      </c>
      <c r="V5" s="650"/>
      <c r="W5" s="650"/>
      <c r="X5" s="651"/>
      <c r="Y5" s="652"/>
      <c r="Z5" s="649" t="s">
        <v>481</v>
      </c>
      <c r="AA5" s="650"/>
      <c r="AB5" s="650"/>
      <c r="AC5" s="651"/>
      <c r="AD5" s="652"/>
      <c r="AE5" s="649" t="s">
        <v>481</v>
      </c>
      <c r="AF5" s="650"/>
      <c r="AG5" s="650"/>
      <c r="AH5" s="651"/>
      <c r="AI5" s="652"/>
      <c r="AJ5" s="649" t="s">
        <v>481</v>
      </c>
      <c r="AK5" s="650"/>
      <c r="AL5" s="650"/>
      <c r="AM5" s="651"/>
      <c r="AN5" s="652"/>
      <c r="AO5" s="649" t="s">
        <v>481</v>
      </c>
      <c r="AP5" s="650"/>
      <c r="AQ5" s="650"/>
      <c r="AR5" s="651"/>
      <c r="AS5" s="652"/>
      <c r="AT5" s="649" t="s">
        <v>481</v>
      </c>
      <c r="AU5" s="650"/>
      <c r="AV5" s="650"/>
      <c r="AW5" s="651"/>
      <c r="AX5" s="652"/>
    </row>
    <row r="6" spans="1:54">
      <c r="A6" s="79"/>
      <c r="B6" s="652"/>
      <c r="C6" s="652"/>
      <c r="D6" s="652"/>
      <c r="E6" s="451" t="s">
        <v>482</v>
      </c>
      <c r="F6" s="451" t="s">
        <v>483</v>
      </c>
      <c r="G6" s="451" t="s">
        <v>484</v>
      </c>
      <c r="H6" s="670"/>
      <c r="I6" s="452" t="s">
        <v>482</v>
      </c>
      <c r="J6" s="452" t="s">
        <v>483</v>
      </c>
      <c r="K6" s="452" t="s">
        <v>484</v>
      </c>
      <c r="L6" s="639"/>
      <c r="M6" s="645"/>
      <c r="N6" s="652"/>
      <c r="O6" s="652"/>
      <c r="P6" s="451" t="s">
        <v>482</v>
      </c>
      <c r="Q6" s="451" t="s">
        <v>483</v>
      </c>
      <c r="R6" s="451" t="s">
        <v>484</v>
      </c>
      <c r="S6" s="451" t="s">
        <v>477</v>
      </c>
      <c r="T6" s="652"/>
      <c r="U6" s="451" t="s">
        <v>482</v>
      </c>
      <c r="V6" s="451" t="s">
        <v>483</v>
      </c>
      <c r="W6" s="451" t="s">
        <v>484</v>
      </c>
      <c r="X6" s="451" t="s">
        <v>477</v>
      </c>
      <c r="Y6" s="652"/>
      <c r="Z6" s="451" t="s">
        <v>482</v>
      </c>
      <c r="AA6" s="451" t="s">
        <v>483</v>
      </c>
      <c r="AB6" s="451" t="s">
        <v>484</v>
      </c>
      <c r="AC6" s="451" t="s">
        <v>477</v>
      </c>
      <c r="AD6" s="652"/>
      <c r="AE6" s="451" t="s">
        <v>482</v>
      </c>
      <c r="AF6" s="451" t="s">
        <v>483</v>
      </c>
      <c r="AG6" s="451" t="s">
        <v>484</v>
      </c>
      <c r="AH6" s="451" t="s">
        <v>477</v>
      </c>
      <c r="AI6" s="652"/>
      <c r="AJ6" s="451" t="s">
        <v>482</v>
      </c>
      <c r="AK6" s="451" t="s">
        <v>483</v>
      </c>
      <c r="AL6" s="451" t="s">
        <v>484</v>
      </c>
      <c r="AM6" s="451" t="s">
        <v>477</v>
      </c>
      <c r="AN6" s="652"/>
      <c r="AO6" s="451" t="s">
        <v>482</v>
      </c>
      <c r="AP6" s="451" t="s">
        <v>483</v>
      </c>
      <c r="AQ6" s="451" t="s">
        <v>484</v>
      </c>
      <c r="AR6" s="451" t="s">
        <v>477</v>
      </c>
      <c r="AS6" s="652"/>
      <c r="AT6" s="451" t="s">
        <v>482</v>
      </c>
      <c r="AU6" s="451" t="s">
        <v>483</v>
      </c>
      <c r="AV6" s="451" t="s">
        <v>484</v>
      </c>
      <c r="AW6" s="451" t="s">
        <v>477</v>
      </c>
      <c r="AX6" s="652"/>
    </row>
    <row r="7" spans="1:54">
      <c r="A7" s="81"/>
      <c r="B7" s="652" t="s">
        <v>487</v>
      </c>
      <c r="C7" s="448">
        <v>1</v>
      </c>
      <c r="D7" s="227" t="s">
        <v>909</v>
      </c>
      <c r="E7" s="182">
        <v>13</v>
      </c>
      <c r="F7" s="551">
        <v>1500</v>
      </c>
      <c r="G7" s="552">
        <v>115.38461538461539</v>
      </c>
      <c r="H7" s="701">
        <f>AVERAGE(G7:G21)</f>
        <v>107.69230769230769</v>
      </c>
      <c r="I7" s="553">
        <f t="shared" ref="I7" si="0">AVERAGE(P7,U7,Z7,AE7,AJ7,AO7,AT7)</f>
        <v>13</v>
      </c>
      <c r="J7" s="553">
        <f t="shared" ref="J7" si="1">AVERAGE(Q7,V7,AA7,AF7,AK7,AP7,AU7)</f>
        <v>1417.7142857142844</v>
      </c>
      <c r="K7" s="200">
        <f t="shared" ref="K7" si="2">AVERAGE(R7,W7,AB7,AG7,AL7,AQ7,AV7)</f>
        <v>109.05494505494494</v>
      </c>
      <c r="L7" s="633">
        <f>IFERROR(AVERAGE(K7:K21),"-")</f>
        <v>112.12808200203153</v>
      </c>
      <c r="M7" s="453">
        <f>RANK(K7, $K$7:K$21)</f>
        <v>2</v>
      </c>
      <c r="N7" s="652"/>
      <c r="O7" s="652"/>
      <c r="P7" s="182"/>
      <c r="Q7" s="182"/>
      <c r="R7" s="449"/>
      <c r="S7" s="448" t="e">
        <f>RANK(R7, R$7:R$21)</f>
        <v>#N/A</v>
      </c>
      <c r="T7" s="674" t="e">
        <f>AVERAGE(R7:R21)</f>
        <v>#DIV/0!</v>
      </c>
      <c r="U7" s="182"/>
      <c r="V7" s="182"/>
      <c r="W7" s="478"/>
      <c r="X7" s="477" t="e">
        <f t="shared" ref="X7:X21" si="3">RANK(W7, W$7:W$21)</f>
        <v>#N/A</v>
      </c>
      <c r="Y7" s="674" t="e">
        <f t="shared" ref="Y7" si="4">AVERAGE(W7:W21)</f>
        <v>#DIV/0!</v>
      </c>
      <c r="Z7" s="182"/>
      <c r="AA7" s="182"/>
      <c r="AB7" s="478"/>
      <c r="AC7" s="477" t="e">
        <f t="shared" ref="AC7:AC21" si="5">RANK(AB7, AB$7:AB$21)</f>
        <v>#N/A</v>
      </c>
      <c r="AD7" s="674" t="e">
        <f t="shared" ref="AD7" si="6">AVERAGE(AB7:AB21)</f>
        <v>#DIV/0!</v>
      </c>
      <c r="AE7" s="182"/>
      <c r="AF7" s="182"/>
      <c r="AG7" s="478"/>
      <c r="AH7" s="477" t="e">
        <f t="shared" ref="AH7:AH21" si="7">RANK(AG7, AG$7:AG$21)</f>
        <v>#N/A</v>
      </c>
      <c r="AI7" s="674" t="e">
        <f t="shared" ref="AI7" si="8">AVERAGE(AG7:AG21)</f>
        <v>#DIV/0!</v>
      </c>
      <c r="AJ7" s="182"/>
      <c r="AK7" s="182"/>
      <c r="AL7" s="478"/>
      <c r="AM7" s="477" t="e">
        <f t="shared" ref="AM7:AM21" si="9">RANK(AL7, AL$7:AL$21)</f>
        <v>#N/A</v>
      </c>
      <c r="AN7" s="674" t="e">
        <f t="shared" ref="AN7" si="10">AVERAGE(AL7:AL21)</f>
        <v>#DIV/0!</v>
      </c>
      <c r="AO7" s="182">
        <v>13</v>
      </c>
      <c r="AP7" s="182">
        <v>1419.42857142857</v>
      </c>
      <c r="AQ7" s="478">
        <v>109.18681318681307</v>
      </c>
      <c r="AR7" s="477">
        <f t="shared" ref="AR7:AR21" si="11">RANK(AQ7, AQ$7:AQ$21)</f>
        <v>2</v>
      </c>
      <c r="AS7" s="674">
        <f t="shared" ref="AS7" si="12">AVERAGE(AQ7:AQ21)</f>
        <v>112.45525902668754</v>
      </c>
      <c r="AT7" s="182">
        <v>13</v>
      </c>
      <c r="AU7" s="182">
        <v>1415.9999999999986</v>
      </c>
      <c r="AV7" s="478">
        <v>108.92307692307682</v>
      </c>
      <c r="AW7" s="448">
        <f>RANK(AV7, AV$7:AV$21)</f>
        <v>2</v>
      </c>
      <c r="AX7" s="674">
        <f>AVERAGE(AV7:AV21)</f>
        <v>111.80090497737555</v>
      </c>
      <c r="AZ7" s="363" t="e">
        <f>RANK(AX7, $K$7:AX$21)</f>
        <v>#N/A</v>
      </c>
      <c r="BB7" s="360" t="e">
        <f>RANK(BA7, BA$7:BA$21)</f>
        <v>#N/A</v>
      </c>
    </row>
    <row r="8" spans="1:54" ht="15" customHeight="1">
      <c r="A8" s="81"/>
      <c r="B8" s="660"/>
      <c r="C8" s="448">
        <v>2</v>
      </c>
      <c r="D8" s="227" t="s">
        <v>953</v>
      </c>
      <c r="E8" s="182">
        <v>15</v>
      </c>
      <c r="F8" s="551">
        <v>1500</v>
      </c>
      <c r="G8" s="552">
        <v>100</v>
      </c>
      <c r="H8" s="702"/>
      <c r="I8" s="450">
        <f t="shared" ref="I8" si="13">AVERAGE(P8,U8,Z8,AE8,AJ8,AO8,AT8)</f>
        <v>13</v>
      </c>
      <c r="J8" s="450">
        <f t="shared" ref="J8" si="14">AVERAGE(Q8,V8,AA8,AF8,AK8,AP8,AU8)</f>
        <v>1497.6158463385359</v>
      </c>
      <c r="K8" s="200">
        <f t="shared" ref="K8" si="15">AVERAGE(R8,W8,AB8,AG8,AL8,AQ8,AV8)</f>
        <v>115.20121894911814</v>
      </c>
      <c r="L8" s="634"/>
      <c r="M8" s="453">
        <f>RANK(K8, $K$7:K$21)</f>
        <v>1</v>
      </c>
      <c r="N8" s="652"/>
      <c r="O8" s="652"/>
      <c r="P8" s="448"/>
      <c r="Q8" s="182"/>
      <c r="R8" s="449"/>
      <c r="S8" s="448" t="e">
        <f t="shared" ref="S8:S21" si="16">RANK(R8, R$7:R$21)</f>
        <v>#N/A</v>
      </c>
      <c r="T8" s="674"/>
      <c r="U8" s="477"/>
      <c r="V8" s="182"/>
      <c r="W8" s="478"/>
      <c r="X8" s="477" t="e">
        <f t="shared" si="3"/>
        <v>#N/A</v>
      </c>
      <c r="Y8" s="674"/>
      <c r="Z8" s="477"/>
      <c r="AA8" s="182"/>
      <c r="AB8" s="478"/>
      <c r="AC8" s="477" t="e">
        <f t="shared" si="5"/>
        <v>#N/A</v>
      </c>
      <c r="AD8" s="674"/>
      <c r="AE8" s="477"/>
      <c r="AF8" s="182"/>
      <c r="AG8" s="478"/>
      <c r="AH8" s="477" t="e">
        <f t="shared" si="7"/>
        <v>#N/A</v>
      </c>
      <c r="AI8" s="674"/>
      <c r="AJ8" s="477"/>
      <c r="AK8" s="182"/>
      <c r="AL8" s="478"/>
      <c r="AM8" s="477" t="e">
        <f t="shared" si="9"/>
        <v>#N/A</v>
      </c>
      <c r="AN8" s="674"/>
      <c r="AO8" s="477">
        <v>13</v>
      </c>
      <c r="AP8" s="182">
        <v>1504.408163265306</v>
      </c>
      <c r="AQ8" s="478">
        <v>115.723704866562</v>
      </c>
      <c r="AR8" s="477">
        <f t="shared" si="11"/>
        <v>1</v>
      </c>
      <c r="AS8" s="674"/>
      <c r="AT8" s="477">
        <v>13</v>
      </c>
      <c r="AU8" s="182">
        <v>1490.8235294117658</v>
      </c>
      <c r="AV8" s="478">
        <v>114.67873303167428</v>
      </c>
      <c r="AW8" s="448">
        <f t="shared" ref="AW8:AW21" si="17">RANK(AV8, AV$7:AV$21)</f>
        <v>1</v>
      </c>
      <c r="AX8" s="674"/>
      <c r="AZ8" s="363" t="e">
        <f>RANK(AX8, $K$7:AX$21)</f>
        <v>#N/A</v>
      </c>
      <c r="BB8" s="360" t="e">
        <f t="shared" ref="BB8:BB21" si="18">RANK(BA8, BA$7:BA$21)</f>
        <v>#N/A</v>
      </c>
    </row>
    <row r="9" spans="1:54">
      <c r="A9" s="81"/>
      <c r="B9" s="660"/>
      <c r="C9" s="448">
        <v>3</v>
      </c>
      <c r="D9" s="227"/>
      <c r="E9" s="182"/>
      <c r="F9" s="477"/>
      <c r="G9" s="478"/>
      <c r="H9" s="702"/>
      <c r="I9" s="450"/>
      <c r="J9" s="450"/>
      <c r="K9" s="200"/>
      <c r="L9" s="634"/>
      <c r="M9" s="453" t="e">
        <f>RANK(K9, $K$7:K$21)</f>
        <v>#N/A</v>
      </c>
      <c r="N9" s="652"/>
      <c r="O9" s="652"/>
      <c r="P9" s="448"/>
      <c r="Q9" s="448"/>
      <c r="R9" s="448"/>
      <c r="S9" s="448" t="e">
        <f t="shared" si="16"/>
        <v>#N/A</v>
      </c>
      <c r="T9" s="674"/>
      <c r="U9" s="477"/>
      <c r="V9" s="477"/>
      <c r="W9" s="477"/>
      <c r="X9" s="477" t="e">
        <f t="shared" si="3"/>
        <v>#N/A</v>
      </c>
      <c r="Y9" s="674"/>
      <c r="Z9" s="477"/>
      <c r="AA9" s="477"/>
      <c r="AB9" s="477"/>
      <c r="AC9" s="477" t="e">
        <f t="shared" si="5"/>
        <v>#N/A</v>
      </c>
      <c r="AD9" s="674"/>
      <c r="AE9" s="477"/>
      <c r="AF9" s="477"/>
      <c r="AG9" s="477"/>
      <c r="AH9" s="477" t="e">
        <f t="shared" si="7"/>
        <v>#N/A</v>
      </c>
      <c r="AI9" s="674"/>
      <c r="AJ9" s="477"/>
      <c r="AK9" s="477"/>
      <c r="AL9" s="477"/>
      <c r="AM9" s="477" t="e">
        <f t="shared" si="9"/>
        <v>#N/A</v>
      </c>
      <c r="AN9" s="674"/>
      <c r="AO9" s="477"/>
      <c r="AP9" s="477"/>
      <c r="AQ9" s="477"/>
      <c r="AR9" s="477" t="e">
        <f t="shared" si="11"/>
        <v>#N/A</v>
      </c>
      <c r="AS9" s="674"/>
      <c r="AT9" s="477"/>
      <c r="AU9" s="477"/>
      <c r="AV9" s="477"/>
      <c r="AW9" s="448" t="e">
        <f t="shared" si="17"/>
        <v>#N/A</v>
      </c>
      <c r="AX9" s="674"/>
      <c r="AZ9" s="363" t="e">
        <f>RANK(AX9, $K$7:AX$21)</f>
        <v>#N/A</v>
      </c>
      <c r="BB9" s="360" t="e">
        <f t="shared" si="18"/>
        <v>#N/A</v>
      </c>
    </row>
    <row r="10" spans="1:54">
      <c r="A10" s="81"/>
      <c r="B10" s="660"/>
      <c r="C10" s="448">
        <v>4</v>
      </c>
      <c r="D10" s="227"/>
      <c r="E10" s="182"/>
      <c r="F10" s="477"/>
      <c r="G10" s="478"/>
      <c r="H10" s="702"/>
      <c r="I10" s="450"/>
      <c r="J10" s="450"/>
      <c r="K10" s="200"/>
      <c r="L10" s="634"/>
      <c r="M10" s="453" t="e">
        <f>RANK(K10, $K$7:K$21)</f>
        <v>#N/A</v>
      </c>
      <c r="N10" s="652"/>
      <c r="O10" s="652"/>
      <c r="P10" s="448"/>
      <c r="Q10" s="448"/>
      <c r="R10" s="448"/>
      <c r="S10" s="448" t="e">
        <f t="shared" si="16"/>
        <v>#N/A</v>
      </c>
      <c r="T10" s="674"/>
      <c r="U10" s="477"/>
      <c r="V10" s="477"/>
      <c r="W10" s="477"/>
      <c r="X10" s="477" t="e">
        <f t="shared" si="3"/>
        <v>#N/A</v>
      </c>
      <c r="Y10" s="674"/>
      <c r="Z10" s="477"/>
      <c r="AA10" s="477"/>
      <c r="AB10" s="477"/>
      <c r="AC10" s="477" t="e">
        <f t="shared" si="5"/>
        <v>#N/A</v>
      </c>
      <c r="AD10" s="674"/>
      <c r="AE10" s="477"/>
      <c r="AF10" s="477"/>
      <c r="AG10" s="477"/>
      <c r="AH10" s="477" t="e">
        <f t="shared" si="7"/>
        <v>#N/A</v>
      </c>
      <c r="AI10" s="674"/>
      <c r="AJ10" s="477"/>
      <c r="AK10" s="477"/>
      <c r="AL10" s="477"/>
      <c r="AM10" s="477" t="e">
        <f t="shared" si="9"/>
        <v>#N/A</v>
      </c>
      <c r="AN10" s="674"/>
      <c r="AO10" s="477"/>
      <c r="AP10" s="477"/>
      <c r="AQ10" s="477"/>
      <c r="AR10" s="477" t="e">
        <f t="shared" si="11"/>
        <v>#N/A</v>
      </c>
      <c r="AS10" s="674"/>
      <c r="AT10" s="477"/>
      <c r="AU10" s="477"/>
      <c r="AV10" s="477"/>
      <c r="AW10" s="448" t="e">
        <f t="shared" si="17"/>
        <v>#N/A</v>
      </c>
      <c r="AX10" s="674"/>
      <c r="AZ10" s="363" t="e">
        <f>RANK(AX10, $K$7:AX$21)</f>
        <v>#N/A</v>
      </c>
      <c r="BB10" s="360" t="e">
        <f t="shared" si="18"/>
        <v>#N/A</v>
      </c>
    </row>
    <row r="11" spans="1:54">
      <c r="A11" s="81"/>
      <c r="B11" s="660"/>
      <c r="C11" s="448">
        <v>5</v>
      </c>
      <c r="D11" s="227"/>
      <c r="E11" s="182"/>
      <c r="F11" s="477"/>
      <c r="G11" s="478"/>
      <c r="H11" s="702"/>
      <c r="I11" s="450"/>
      <c r="J11" s="450"/>
      <c r="K11" s="200"/>
      <c r="L11" s="634"/>
      <c r="M11" s="453" t="e">
        <f>RANK(K11, $K$7:K$21)</f>
        <v>#N/A</v>
      </c>
      <c r="N11" s="652"/>
      <c r="O11" s="652"/>
      <c r="P11" s="448"/>
      <c r="Q11" s="448"/>
      <c r="R11" s="448"/>
      <c r="S11" s="448" t="e">
        <f t="shared" si="16"/>
        <v>#N/A</v>
      </c>
      <c r="T11" s="674"/>
      <c r="U11" s="477"/>
      <c r="V11" s="477"/>
      <c r="W11" s="477"/>
      <c r="X11" s="477" t="e">
        <f t="shared" si="3"/>
        <v>#N/A</v>
      </c>
      <c r="Y11" s="674"/>
      <c r="Z11" s="477"/>
      <c r="AA11" s="477"/>
      <c r="AB11" s="477"/>
      <c r="AC11" s="477" t="e">
        <f t="shared" si="5"/>
        <v>#N/A</v>
      </c>
      <c r="AD11" s="674"/>
      <c r="AE11" s="477"/>
      <c r="AF11" s="477"/>
      <c r="AG11" s="477"/>
      <c r="AH11" s="477" t="e">
        <f t="shared" si="7"/>
        <v>#N/A</v>
      </c>
      <c r="AI11" s="674"/>
      <c r="AJ11" s="477"/>
      <c r="AK11" s="477"/>
      <c r="AL11" s="477"/>
      <c r="AM11" s="477" t="e">
        <f t="shared" si="9"/>
        <v>#N/A</v>
      </c>
      <c r="AN11" s="674"/>
      <c r="AO11" s="477"/>
      <c r="AP11" s="477"/>
      <c r="AQ11" s="477"/>
      <c r="AR11" s="477" t="e">
        <f t="shared" si="11"/>
        <v>#N/A</v>
      </c>
      <c r="AS11" s="674"/>
      <c r="AT11" s="477"/>
      <c r="AU11" s="477"/>
      <c r="AV11" s="477"/>
      <c r="AW11" s="448" t="e">
        <f t="shared" si="17"/>
        <v>#N/A</v>
      </c>
      <c r="AX11" s="674"/>
      <c r="AZ11" s="363" t="e">
        <f>RANK(AX11, $K$7:AX$21)</f>
        <v>#N/A</v>
      </c>
      <c r="BB11" s="360" t="e">
        <f t="shared" si="18"/>
        <v>#N/A</v>
      </c>
    </row>
    <row r="12" spans="1:54">
      <c r="A12" s="81"/>
      <c r="B12" s="660"/>
      <c r="C12" s="448">
        <v>6</v>
      </c>
      <c r="D12" s="227"/>
      <c r="E12" s="182"/>
      <c r="F12" s="477"/>
      <c r="G12" s="478"/>
      <c r="H12" s="702"/>
      <c r="I12" s="450"/>
      <c r="J12" s="450"/>
      <c r="K12" s="200"/>
      <c r="L12" s="634"/>
      <c r="M12" s="453" t="e">
        <f>RANK(K12, $K$7:K$21)</f>
        <v>#N/A</v>
      </c>
      <c r="N12" s="652"/>
      <c r="O12" s="652"/>
      <c r="P12" s="448"/>
      <c r="Q12" s="448"/>
      <c r="R12" s="448"/>
      <c r="S12" s="448" t="e">
        <f t="shared" si="16"/>
        <v>#N/A</v>
      </c>
      <c r="T12" s="674"/>
      <c r="U12" s="477"/>
      <c r="V12" s="477"/>
      <c r="W12" s="477"/>
      <c r="X12" s="477" t="e">
        <f t="shared" si="3"/>
        <v>#N/A</v>
      </c>
      <c r="Y12" s="674"/>
      <c r="Z12" s="477"/>
      <c r="AA12" s="477"/>
      <c r="AB12" s="477"/>
      <c r="AC12" s="477" t="e">
        <f t="shared" si="5"/>
        <v>#N/A</v>
      </c>
      <c r="AD12" s="674"/>
      <c r="AE12" s="477"/>
      <c r="AF12" s="477"/>
      <c r="AG12" s="477"/>
      <c r="AH12" s="477" t="e">
        <f t="shared" si="7"/>
        <v>#N/A</v>
      </c>
      <c r="AI12" s="674"/>
      <c r="AJ12" s="477"/>
      <c r="AK12" s="477"/>
      <c r="AL12" s="477"/>
      <c r="AM12" s="477" t="e">
        <f t="shared" si="9"/>
        <v>#N/A</v>
      </c>
      <c r="AN12" s="674"/>
      <c r="AO12" s="477"/>
      <c r="AP12" s="477"/>
      <c r="AQ12" s="477"/>
      <c r="AR12" s="477" t="e">
        <f t="shared" si="11"/>
        <v>#N/A</v>
      </c>
      <c r="AS12" s="674"/>
      <c r="AT12" s="477"/>
      <c r="AU12" s="477"/>
      <c r="AV12" s="477"/>
      <c r="AW12" s="448" t="e">
        <f t="shared" si="17"/>
        <v>#N/A</v>
      </c>
      <c r="AX12" s="674"/>
      <c r="AZ12" s="363" t="e">
        <f>RANK(AX12, $K$7:AX$21)</f>
        <v>#N/A</v>
      </c>
      <c r="BB12" s="360" t="e">
        <f t="shared" si="18"/>
        <v>#N/A</v>
      </c>
    </row>
    <row r="13" spans="1:54">
      <c r="A13" s="81"/>
      <c r="B13" s="660"/>
      <c r="C13" s="448">
        <v>7</v>
      </c>
      <c r="D13" s="227"/>
      <c r="E13" s="182"/>
      <c r="F13" s="477"/>
      <c r="G13" s="478"/>
      <c r="H13" s="702"/>
      <c r="I13" s="450"/>
      <c r="J13" s="450"/>
      <c r="K13" s="200"/>
      <c r="L13" s="634"/>
      <c r="M13" s="453" t="e">
        <f>RANK(K13, $K$7:K$21)</f>
        <v>#N/A</v>
      </c>
      <c r="N13" s="652"/>
      <c r="O13" s="652"/>
      <c r="P13" s="448"/>
      <c r="Q13" s="448"/>
      <c r="R13" s="448"/>
      <c r="S13" s="448" t="e">
        <f t="shared" si="16"/>
        <v>#N/A</v>
      </c>
      <c r="T13" s="674"/>
      <c r="U13" s="477"/>
      <c r="V13" s="477"/>
      <c r="W13" s="477"/>
      <c r="X13" s="477" t="e">
        <f t="shared" si="3"/>
        <v>#N/A</v>
      </c>
      <c r="Y13" s="674"/>
      <c r="Z13" s="477"/>
      <c r="AA13" s="477"/>
      <c r="AB13" s="477"/>
      <c r="AC13" s="477" t="e">
        <f t="shared" si="5"/>
        <v>#N/A</v>
      </c>
      <c r="AD13" s="674"/>
      <c r="AE13" s="477"/>
      <c r="AF13" s="477"/>
      <c r="AG13" s="477"/>
      <c r="AH13" s="477" t="e">
        <f t="shared" si="7"/>
        <v>#N/A</v>
      </c>
      <c r="AI13" s="674"/>
      <c r="AJ13" s="477"/>
      <c r="AK13" s="477"/>
      <c r="AL13" s="477"/>
      <c r="AM13" s="477" t="e">
        <f t="shared" si="9"/>
        <v>#N/A</v>
      </c>
      <c r="AN13" s="674"/>
      <c r="AO13" s="477"/>
      <c r="AP13" s="477"/>
      <c r="AQ13" s="477"/>
      <c r="AR13" s="477" t="e">
        <f t="shared" si="11"/>
        <v>#N/A</v>
      </c>
      <c r="AS13" s="674"/>
      <c r="AT13" s="477"/>
      <c r="AU13" s="477"/>
      <c r="AV13" s="477"/>
      <c r="AW13" s="448" t="e">
        <f t="shared" si="17"/>
        <v>#N/A</v>
      </c>
      <c r="AX13" s="674"/>
      <c r="AZ13" s="363" t="e">
        <f>RANK(AX13, $K$7:AX$21)</f>
        <v>#N/A</v>
      </c>
      <c r="BB13" s="360" t="e">
        <f t="shared" si="18"/>
        <v>#N/A</v>
      </c>
    </row>
    <row r="14" spans="1:54">
      <c r="A14" s="81"/>
      <c r="B14" s="660"/>
      <c r="C14" s="448">
        <v>8</v>
      </c>
      <c r="D14" s="227"/>
      <c r="E14" s="182"/>
      <c r="F14" s="477"/>
      <c r="G14" s="478"/>
      <c r="H14" s="702"/>
      <c r="I14" s="450"/>
      <c r="J14" s="450"/>
      <c r="K14" s="200"/>
      <c r="L14" s="634"/>
      <c r="M14" s="453" t="e">
        <f>RANK(K14, $K$7:K$21)</f>
        <v>#N/A</v>
      </c>
      <c r="N14" s="652"/>
      <c r="O14" s="652"/>
      <c r="P14" s="448"/>
      <c r="Q14" s="448"/>
      <c r="R14" s="448"/>
      <c r="S14" s="448" t="e">
        <f t="shared" si="16"/>
        <v>#N/A</v>
      </c>
      <c r="T14" s="674"/>
      <c r="U14" s="477"/>
      <c r="V14" s="477"/>
      <c r="W14" s="477"/>
      <c r="X14" s="477" t="e">
        <f t="shared" si="3"/>
        <v>#N/A</v>
      </c>
      <c r="Y14" s="674"/>
      <c r="Z14" s="477"/>
      <c r="AA14" s="477"/>
      <c r="AB14" s="477"/>
      <c r="AC14" s="477" t="e">
        <f t="shared" si="5"/>
        <v>#N/A</v>
      </c>
      <c r="AD14" s="674"/>
      <c r="AE14" s="477"/>
      <c r="AF14" s="477"/>
      <c r="AG14" s="477"/>
      <c r="AH14" s="477" t="e">
        <f t="shared" si="7"/>
        <v>#N/A</v>
      </c>
      <c r="AI14" s="674"/>
      <c r="AJ14" s="477"/>
      <c r="AK14" s="477"/>
      <c r="AL14" s="477"/>
      <c r="AM14" s="477" t="e">
        <f t="shared" si="9"/>
        <v>#N/A</v>
      </c>
      <c r="AN14" s="674"/>
      <c r="AO14" s="477"/>
      <c r="AP14" s="477"/>
      <c r="AQ14" s="477"/>
      <c r="AR14" s="477" t="e">
        <f t="shared" si="11"/>
        <v>#N/A</v>
      </c>
      <c r="AS14" s="674"/>
      <c r="AT14" s="477"/>
      <c r="AU14" s="477"/>
      <c r="AV14" s="477"/>
      <c r="AW14" s="448" t="e">
        <f t="shared" si="17"/>
        <v>#N/A</v>
      </c>
      <c r="AX14" s="674"/>
      <c r="AZ14" s="363" t="e">
        <f>RANK(AX14, $K$7:AX$21)</f>
        <v>#N/A</v>
      </c>
      <c r="BB14" s="360" t="e">
        <f t="shared" si="18"/>
        <v>#N/A</v>
      </c>
    </row>
    <row r="15" spans="1:54">
      <c r="A15" s="81"/>
      <c r="B15" s="660"/>
      <c r="C15" s="448">
        <v>9</v>
      </c>
      <c r="D15" s="227"/>
      <c r="E15" s="182"/>
      <c r="F15" s="448"/>
      <c r="G15" s="449"/>
      <c r="H15" s="702"/>
      <c r="I15" s="450"/>
      <c r="J15" s="450"/>
      <c r="K15" s="200"/>
      <c r="L15" s="634"/>
      <c r="M15" s="453" t="e">
        <f>RANK(K15, $K$7:K$21)</f>
        <v>#N/A</v>
      </c>
      <c r="N15" s="652"/>
      <c r="O15" s="652"/>
      <c r="P15" s="448"/>
      <c r="Q15" s="448"/>
      <c r="R15" s="448"/>
      <c r="S15" s="448" t="e">
        <f t="shared" si="16"/>
        <v>#N/A</v>
      </c>
      <c r="T15" s="674"/>
      <c r="U15" s="477"/>
      <c r="V15" s="477"/>
      <c r="W15" s="477"/>
      <c r="X15" s="477" t="e">
        <f t="shared" si="3"/>
        <v>#N/A</v>
      </c>
      <c r="Y15" s="674"/>
      <c r="Z15" s="477"/>
      <c r="AA15" s="477"/>
      <c r="AB15" s="477"/>
      <c r="AC15" s="477" t="e">
        <f t="shared" si="5"/>
        <v>#N/A</v>
      </c>
      <c r="AD15" s="674"/>
      <c r="AE15" s="477"/>
      <c r="AF15" s="477"/>
      <c r="AG15" s="477"/>
      <c r="AH15" s="477" t="e">
        <f t="shared" si="7"/>
        <v>#N/A</v>
      </c>
      <c r="AI15" s="674"/>
      <c r="AJ15" s="477"/>
      <c r="AK15" s="477"/>
      <c r="AL15" s="477"/>
      <c r="AM15" s="477" t="e">
        <f t="shared" si="9"/>
        <v>#N/A</v>
      </c>
      <c r="AN15" s="674"/>
      <c r="AO15" s="477"/>
      <c r="AP15" s="477"/>
      <c r="AQ15" s="477"/>
      <c r="AR15" s="477" t="e">
        <f t="shared" si="11"/>
        <v>#N/A</v>
      </c>
      <c r="AS15" s="674"/>
      <c r="AT15" s="448"/>
      <c r="AU15" s="448"/>
      <c r="AV15" s="448"/>
      <c r="AW15" s="448" t="e">
        <f t="shared" si="17"/>
        <v>#N/A</v>
      </c>
      <c r="AX15" s="674"/>
      <c r="AZ15" s="363" t="e">
        <f>RANK(AX15, $K$7:AX$21)</f>
        <v>#N/A</v>
      </c>
      <c r="BB15" s="360" t="e">
        <f t="shared" si="18"/>
        <v>#N/A</v>
      </c>
    </row>
    <row r="16" spans="1:54">
      <c r="A16" s="81"/>
      <c r="B16" s="660"/>
      <c r="C16" s="448">
        <v>10</v>
      </c>
      <c r="D16" s="227"/>
      <c r="E16" s="182"/>
      <c r="F16" s="448"/>
      <c r="G16" s="449"/>
      <c r="H16" s="702"/>
      <c r="I16" s="450"/>
      <c r="J16" s="450"/>
      <c r="K16" s="200"/>
      <c r="L16" s="634"/>
      <c r="M16" s="453" t="e">
        <f>RANK(K16, $K$7:K$21)</f>
        <v>#N/A</v>
      </c>
      <c r="N16" s="652"/>
      <c r="O16" s="652"/>
      <c r="P16" s="448"/>
      <c r="Q16" s="448"/>
      <c r="R16" s="448"/>
      <c r="S16" s="448" t="e">
        <f t="shared" si="16"/>
        <v>#N/A</v>
      </c>
      <c r="T16" s="674"/>
      <c r="U16" s="477"/>
      <c r="V16" s="477"/>
      <c r="W16" s="477"/>
      <c r="X16" s="477" t="e">
        <f t="shared" si="3"/>
        <v>#N/A</v>
      </c>
      <c r="Y16" s="674"/>
      <c r="Z16" s="477"/>
      <c r="AA16" s="477"/>
      <c r="AB16" s="477"/>
      <c r="AC16" s="477" t="e">
        <f t="shared" si="5"/>
        <v>#N/A</v>
      </c>
      <c r="AD16" s="674"/>
      <c r="AE16" s="477"/>
      <c r="AF16" s="477"/>
      <c r="AG16" s="477"/>
      <c r="AH16" s="477" t="e">
        <f t="shared" si="7"/>
        <v>#N/A</v>
      </c>
      <c r="AI16" s="674"/>
      <c r="AJ16" s="477"/>
      <c r="AK16" s="477"/>
      <c r="AL16" s="477"/>
      <c r="AM16" s="477" t="e">
        <f t="shared" si="9"/>
        <v>#N/A</v>
      </c>
      <c r="AN16" s="674"/>
      <c r="AO16" s="477"/>
      <c r="AP16" s="477"/>
      <c r="AQ16" s="477"/>
      <c r="AR16" s="477" t="e">
        <f t="shared" si="11"/>
        <v>#N/A</v>
      </c>
      <c r="AS16" s="674"/>
      <c r="AT16" s="448"/>
      <c r="AU16" s="448"/>
      <c r="AV16" s="448"/>
      <c r="AW16" s="448" t="e">
        <f t="shared" si="17"/>
        <v>#N/A</v>
      </c>
      <c r="AX16" s="674"/>
      <c r="AZ16" s="363" t="e">
        <f>RANK(AX16, $K$7:AX$21)</f>
        <v>#N/A</v>
      </c>
      <c r="BB16" s="360" t="e">
        <f t="shared" si="18"/>
        <v>#N/A</v>
      </c>
    </row>
    <row r="17" spans="2:54">
      <c r="B17" s="660"/>
      <c r="C17" s="448">
        <v>11</v>
      </c>
      <c r="D17" s="227"/>
      <c r="E17" s="182"/>
      <c r="F17" s="448"/>
      <c r="G17" s="449"/>
      <c r="H17" s="702"/>
      <c r="I17" s="202"/>
      <c r="J17" s="202"/>
      <c r="K17" s="202"/>
      <c r="L17" s="634"/>
      <c r="M17" s="453" t="e">
        <f>RANK(K17, $K$7:K$21)</f>
        <v>#N/A</v>
      </c>
      <c r="N17" s="652"/>
      <c r="O17" s="652"/>
      <c r="P17" s="448"/>
      <c r="Q17" s="448"/>
      <c r="R17" s="448"/>
      <c r="S17" s="448" t="e">
        <f t="shared" si="16"/>
        <v>#N/A</v>
      </c>
      <c r="T17" s="674"/>
      <c r="U17" s="477"/>
      <c r="V17" s="477"/>
      <c r="W17" s="477"/>
      <c r="X17" s="477" t="e">
        <f t="shared" si="3"/>
        <v>#N/A</v>
      </c>
      <c r="Y17" s="674"/>
      <c r="Z17" s="477"/>
      <c r="AA17" s="477"/>
      <c r="AB17" s="477"/>
      <c r="AC17" s="477" t="e">
        <f t="shared" si="5"/>
        <v>#N/A</v>
      </c>
      <c r="AD17" s="674"/>
      <c r="AE17" s="477"/>
      <c r="AF17" s="477"/>
      <c r="AG17" s="477"/>
      <c r="AH17" s="477" t="e">
        <f t="shared" si="7"/>
        <v>#N/A</v>
      </c>
      <c r="AI17" s="674"/>
      <c r="AJ17" s="477"/>
      <c r="AK17" s="477"/>
      <c r="AL17" s="477"/>
      <c r="AM17" s="477" t="e">
        <f t="shared" si="9"/>
        <v>#N/A</v>
      </c>
      <c r="AN17" s="674"/>
      <c r="AO17" s="477"/>
      <c r="AP17" s="477"/>
      <c r="AQ17" s="477"/>
      <c r="AR17" s="477" t="e">
        <f t="shared" si="11"/>
        <v>#N/A</v>
      </c>
      <c r="AS17" s="674"/>
      <c r="AT17" s="448"/>
      <c r="AU17" s="448"/>
      <c r="AV17" s="448"/>
      <c r="AW17" s="448" t="e">
        <f t="shared" si="17"/>
        <v>#N/A</v>
      </c>
      <c r="AX17" s="674"/>
      <c r="AZ17" s="363" t="e">
        <f>RANK(AX17, $K$7:AX$21)</f>
        <v>#N/A</v>
      </c>
      <c r="BB17" s="360" t="e">
        <f t="shared" si="18"/>
        <v>#N/A</v>
      </c>
    </row>
    <row r="18" spans="2:54">
      <c r="B18" s="660"/>
      <c r="C18" s="448">
        <v>12</v>
      </c>
      <c r="D18" s="227"/>
      <c r="E18" s="182"/>
      <c r="F18" s="448"/>
      <c r="G18" s="449"/>
      <c r="H18" s="702"/>
      <c r="I18" s="202"/>
      <c r="J18" s="202"/>
      <c r="K18" s="202"/>
      <c r="L18" s="634"/>
      <c r="M18" s="453" t="e">
        <f>RANK(K18, $K$7:K$21)</f>
        <v>#N/A</v>
      </c>
      <c r="N18" s="652"/>
      <c r="O18" s="652"/>
      <c r="P18" s="448"/>
      <c r="Q18" s="448"/>
      <c r="R18" s="448"/>
      <c r="S18" s="448" t="e">
        <f t="shared" si="16"/>
        <v>#N/A</v>
      </c>
      <c r="T18" s="674"/>
      <c r="U18" s="477"/>
      <c r="V18" s="477"/>
      <c r="W18" s="477"/>
      <c r="X18" s="477" t="e">
        <f t="shared" si="3"/>
        <v>#N/A</v>
      </c>
      <c r="Y18" s="674"/>
      <c r="Z18" s="477"/>
      <c r="AA18" s="477"/>
      <c r="AB18" s="477"/>
      <c r="AC18" s="477" t="e">
        <f t="shared" si="5"/>
        <v>#N/A</v>
      </c>
      <c r="AD18" s="674"/>
      <c r="AE18" s="477"/>
      <c r="AF18" s="477"/>
      <c r="AG18" s="477"/>
      <c r="AH18" s="477" t="e">
        <f t="shared" si="7"/>
        <v>#N/A</v>
      </c>
      <c r="AI18" s="674"/>
      <c r="AJ18" s="477"/>
      <c r="AK18" s="477"/>
      <c r="AL18" s="477"/>
      <c r="AM18" s="477" t="e">
        <f t="shared" si="9"/>
        <v>#N/A</v>
      </c>
      <c r="AN18" s="674"/>
      <c r="AO18" s="477"/>
      <c r="AP18" s="477"/>
      <c r="AQ18" s="477"/>
      <c r="AR18" s="477" t="e">
        <f t="shared" si="11"/>
        <v>#N/A</v>
      </c>
      <c r="AS18" s="674"/>
      <c r="AT18" s="448"/>
      <c r="AU18" s="448"/>
      <c r="AV18" s="448"/>
      <c r="AW18" s="448" t="e">
        <f t="shared" si="17"/>
        <v>#N/A</v>
      </c>
      <c r="AX18" s="674"/>
      <c r="AZ18" s="363" t="e">
        <f>RANK(AX18, $K$7:AX$21)</f>
        <v>#N/A</v>
      </c>
      <c r="BB18" s="360" t="e">
        <f t="shared" si="18"/>
        <v>#N/A</v>
      </c>
    </row>
    <row r="19" spans="2:54">
      <c r="B19" s="660"/>
      <c r="C19" s="448">
        <v>13</v>
      </c>
      <c r="D19" s="227"/>
      <c r="E19" s="182"/>
      <c r="F19" s="448"/>
      <c r="G19" s="449"/>
      <c r="H19" s="702"/>
      <c r="I19" s="202"/>
      <c r="J19" s="202"/>
      <c r="K19" s="202"/>
      <c r="L19" s="634"/>
      <c r="M19" s="453" t="e">
        <f>RANK(K19, $K$7:K$21)</f>
        <v>#N/A</v>
      </c>
      <c r="N19" s="652"/>
      <c r="O19" s="652"/>
      <c r="P19" s="448"/>
      <c r="Q19" s="448"/>
      <c r="R19" s="448"/>
      <c r="S19" s="448" t="e">
        <f t="shared" si="16"/>
        <v>#N/A</v>
      </c>
      <c r="T19" s="674"/>
      <c r="U19" s="477"/>
      <c r="V19" s="477"/>
      <c r="W19" s="477"/>
      <c r="X19" s="477" t="e">
        <f t="shared" si="3"/>
        <v>#N/A</v>
      </c>
      <c r="Y19" s="674"/>
      <c r="Z19" s="477"/>
      <c r="AA19" s="477"/>
      <c r="AB19" s="477"/>
      <c r="AC19" s="477" t="e">
        <f t="shared" si="5"/>
        <v>#N/A</v>
      </c>
      <c r="AD19" s="674"/>
      <c r="AE19" s="477"/>
      <c r="AF19" s="477"/>
      <c r="AG19" s="477"/>
      <c r="AH19" s="477" t="e">
        <f t="shared" si="7"/>
        <v>#N/A</v>
      </c>
      <c r="AI19" s="674"/>
      <c r="AJ19" s="477"/>
      <c r="AK19" s="477"/>
      <c r="AL19" s="477"/>
      <c r="AM19" s="477" t="e">
        <f t="shared" si="9"/>
        <v>#N/A</v>
      </c>
      <c r="AN19" s="674"/>
      <c r="AO19" s="477"/>
      <c r="AP19" s="477"/>
      <c r="AQ19" s="477"/>
      <c r="AR19" s="477" t="e">
        <f t="shared" si="11"/>
        <v>#N/A</v>
      </c>
      <c r="AS19" s="674"/>
      <c r="AT19" s="448"/>
      <c r="AU19" s="448"/>
      <c r="AV19" s="448"/>
      <c r="AW19" s="448" t="e">
        <f t="shared" si="17"/>
        <v>#N/A</v>
      </c>
      <c r="AX19" s="674"/>
      <c r="AZ19" s="363" t="e">
        <f>RANK(AX19, $K$7:AX$21)</f>
        <v>#N/A</v>
      </c>
      <c r="BB19" s="360" t="e">
        <f t="shared" si="18"/>
        <v>#N/A</v>
      </c>
    </row>
    <row r="20" spans="2:54">
      <c r="B20" s="660"/>
      <c r="C20" s="448">
        <v>14</v>
      </c>
      <c r="D20" s="227"/>
      <c r="E20" s="182"/>
      <c r="F20" s="448"/>
      <c r="G20" s="449"/>
      <c r="H20" s="702"/>
      <c r="I20" s="202"/>
      <c r="J20" s="202"/>
      <c r="K20" s="202"/>
      <c r="L20" s="634"/>
      <c r="M20" s="453" t="e">
        <f>RANK(K20, $K$7:K$21)</f>
        <v>#N/A</v>
      </c>
      <c r="N20" s="652"/>
      <c r="O20" s="652"/>
      <c r="P20" s="448"/>
      <c r="Q20" s="448"/>
      <c r="R20" s="448"/>
      <c r="S20" s="448" t="e">
        <f t="shared" si="16"/>
        <v>#N/A</v>
      </c>
      <c r="T20" s="674"/>
      <c r="U20" s="477"/>
      <c r="V20" s="477"/>
      <c r="W20" s="477"/>
      <c r="X20" s="477" t="e">
        <f t="shared" si="3"/>
        <v>#N/A</v>
      </c>
      <c r="Y20" s="674"/>
      <c r="Z20" s="477"/>
      <c r="AA20" s="477"/>
      <c r="AB20" s="477"/>
      <c r="AC20" s="477" t="e">
        <f t="shared" si="5"/>
        <v>#N/A</v>
      </c>
      <c r="AD20" s="674"/>
      <c r="AE20" s="477"/>
      <c r="AF20" s="477"/>
      <c r="AG20" s="477"/>
      <c r="AH20" s="477" t="e">
        <f t="shared" si="7"/>
        <v>#N/A</v>
      </c>
      <c r="AI20" s="674"/>
      <c r="AJ20" s="477"/>
      <c r="AK20" s="477"/>
      <c r="AL20" s="477"/>
      <c r="AM20" s="477" t="e">
        <f t="shared" si="9"/>
        <v>#N/A</v>
      </c>
      <c r="AN20" s="674"/>
      <c r="AO20" s="477"/>
      <c r="AP20" s="477"/>
      <c r="AQ20" s="477"/>
      <c r="AR20" s="477" t="e">
        <f t="shared" si="11"/>
        <v>#N/A</v>
      </c>
      <c r="AS20" s="674"/>
      <c r="AT20" s="448"/>
      <c r="AU20" s="448"/>
      <c r="AV20" s="448"/>
      <c r="AW20" s="448" t="e">
        <f t="shared" si="17"/>
        <v>#N/A</v>
      </c>
      <c r="AX20" s="674"/>
      <c r="AZ20" s="363" t="e">
        <f>RANK(AX20, $K$7:AX$21)</f>
        <v>#N/A</v>
      </c>
      <c r="BB20" s="360" t="e">
        <f t="shared" si="18"/>
        <v>#N/A</v>
      </c>
    </row>
    <row r="21" spans="2:54">
      <c r="B21" s="660"/>
      <c r="C21" s="448">
        <v>15</v>
      </c>
      <c r="D21" s="227"/>
      <c r="E21" s="182"/>
      <c r="F21" s="448"/>
      <c r="G21" s="449"/>
      <c r="H21" s="703"/>
      <c r="I21" s="202"/>
      <c r="J21" s="202"/>
      <c r="K21" s="202"/>
      <c r="L21" s="635"/>
      <c r="M21" s="450" t="e">
        <f>RANK(K21, $K$7:K$21)</f>
        <v>#N/A</v>
      </c>
      <c r="N21" s="652"/>
      <c r="O21" s="652"/>
      <c r="P21" s="448"/>
      <c r="Q21" s="448"/>
      <c r="R21" s="448"/>
      <c r="S21" s="448" t="e">
        <f t="shared" si="16"/>
        <v>#N/A</v>
      </c>
      <c r="T21" s="674"/>
      <c r="U21" s="477"/>
      <c r="V21" s="477"/>
      <c r="W21" s="477"/>
      <c r="X21" s="477" t="e">
        <f t="shared" si="3"/>
        <v>#N/A</v>
      </c>
      <c r="Y21" s="674"/>
      <c r="Z21" s="477"/>
      <c r="AA21" s="477"/>
      <c r="AB21" s="477"/>
      <c r="AC21" s="477" t="e">
        <f t="shared" si="5"/>
        <v>#N/A</v>
      </c>
      <c r="AD21" s="674"/>
      <c r="AE21" s="477"/>
      <c r="AF21" s="477"/>
      <c r="AG21" s="477"/>
      <c r="AH21" s="477" t="e">
        <f t="shared" si="7"/>
        <v>#N/A</v>
      </c>
      <c r="AI21" s="674"/>
      <c r="AJ21" s="477"/>
      <c r="AK21" s="477"/>
      <c r="AL21" s="477"/>
      <c r="AM21" s="477" t="e">
        <f t="shared" si="9"/>
        <v>#N/A</v>
      </c>
      <c r="AN21" s="674"/>
      <c r="AO21" s="477"/>
      <c r="AP21" s="477"/>
      <c r="AQ21" s="477"/>
      <c r="AR21" s="477" t="e">
        <f t="shared" si="11"/>
        <v>#N/A</v>
      </c>
      <c r="AS21" s="674"/>
      <c r="AT21" s="448"/>
      <c r="AU21" s="448"/>
      <c r="AV21" s="448"/>
      <c r="AW21" s="448" t="e">
        <f t="shared" si="17"/>
        <v>#N/A</v>
      </c>
      <c r="AX21" s="674"/>
      <c r="AZ21" s="362" t="e">
        <f>RANK(AX21, $K$7:AX$21)</f>
        <v>#N/A</v>
      </c>
      <c r="BB21" s="360" t="e">
        <f t="shared" si="18"/>
        <v>#N/A</v>
      </c>
    </row>
    <row r="22" spans="2:54" ht="15.75">
      <c r="B22" s="678" t="s">
        <v>163</v>
      </c>
      <c r="C22" s="679"/>
      <c r="D22" s="679"/>
      <c r="E22" s="679"/>
      <c r="F22" s="679"/>
      <c r="G22" s="679"/>
      <c r="H22" s="679"/>
      <c r="I22" s="203"/>
      <c r="J22" s="203"/>
      <c r="K22" s="203"/>
      <c r="L22" s="203"/>
      <c r="M22" s="204"/>
      <c r="N22" s="653" t="s">
        <v>156</v>
      </c>
      <c r="O22" s="653" t="s">
        <v>105</v>
      </c>
      <c r="P22" s="659">
        <v>46056</v>
      </c>
      <c r="Q22" s="660"/>
      <c r="R22" s="660"/>
      <c r="S22" s="660"/>
      <c r="T22" s="660"/>
      <c r="U22" s="659">
        <f>P22+1</f>
        <v>46057</v>
      </c>
      <c r="V22" s="660"/>
      <c r="W22" s="660"/>
      <c r="X22" s="660"/>
      <c r="Y22" s="660"/>
      <c r="Z22" s="659">
        <f>U22+1</f>
        <v>46058</v>
      </c>
      <c r="AA22" s="660"/>
      <c r="AB22" s="660"/>
      <c r="AC22" s="660"/>
      <c r="AD22" s="660"/>
      <c r="AE22" s="659">
        <f>Z22+1</f>
        <v>46059</v>
      </c>
      <c r="AF22" s="660"/>
      <c r="AG22" s="660"/>
      <c r="AH22" s="660"/>
      <c r="AI22" s="660"/>
      <c r="AJ22" s="659">
        <f>AE22+1</f>
        <v>46060</v>
      </c>
      <c r="AK22" s="660"/>
      <c r="AL22" s="660"/>
      <c r="AM22" s="660"/>
      <c r="AN22" s="660"/>
      <c r="AO22" s="659">
        <f>AJ22+1</f>
        <v>46061</v>
      </c>
      <c r="AP22" s="660"/>
      <c r="AQ22" s="660"/>
      <c r="AR22" s="660"/>
      <c r="AS22" s="660"/>
      <c r="AT22" s="659">
        <f>AO22+1</f>
        <v>46062</v>
      </c>
      <c r="AU22" s="660"/>
      <c r="AV22" s="660"/>
      <c r="AW22" s="660"/>
      <c r="AX22" s="660"/>
    </row>
    <row r="23" spans="2:54" ht="15.75">
      <c r="B23" s="667"/>
      <c r="C23" s="667"/>
      <c r="D23" s="667"/>
      <c r="E23" s="667"/>
      <c r="F23" s="667"/>
      <c r="G23" s="667"/>
      <c r="H23" s="667"/>
      <c r="I23" s="205"/>
      <c r="J23" s="205"/>
      <c r="K23" s="205"/>
      <c r="L23" s="205"/>
      <c r="M23" s="206"/>
      <c r="N23" s="655"/>
      <c r="O23" s="655"/>
      <c r="P23" s="659" t="s">
        <v>336</v>
      </c>
      <c r="Q23" s="660"/>
      <c r="R23" s="660"/>
      <c r="S23" s="660"/>
      <c r="T23" s="660"/>
      <c r="U23" s="659" t="s">
        <v>337</v>
      </c>
      <c r="V23" s="660"/>
      <c r="W23" s="660"/>
      <c r="X23" s="660"/>
      <c r="Y23" s="660"/>
      <c r="Z23" s="659" t="s">
        <v>338</v>
      </c>
      <c r="AA23" s="660"/>
      <c r="AB23" s="660"/>
      <c r="AC23" s="660"/>
      <c r="AD23" s="660"/>
      <c r="AE23" s="659" t="s">
        <v>339</v>
      </c>
      <c r="AF23" s="660"/>
      <c r="AG23" s="660"/>
      <c r="AH23" s="660"/>
      <c r="AI23" s="660"/>
      <c r="AJ23" s="659" t="s">
        <v>340</v>
      </c>
      <c r="AK23" s="660"/>
      <c r="AL23" s="660"/>
      <c r="AM23" s="660"/>
      <c r="AN23" s="660"/>
      <c r="AO23" s="659" t="s">
        <v>341</v>
      </c>
      <c r="AP23" s="660"/>
      <c r="AQ23" s="660"/>
      <c r="AR23" s="660"/>
      <c r="AS23" s="660"/>
      <c r="AT23" s="659" t="s">
        <v>342</v>
      </c>
      <c r="AU23" s="660"/>
      <c r="AV23" s="660"/>
      <c r="AW23" s="660"/>
      <c r="AX23" s="660"/>
    </row>
    <row r="24" spans="2:54">
      <c r="B24" s="652" t="s">
        <v>154</v>
      </c>
      <c r="C24" s="652" t="s">
        <v>441</v>
      </c>
      <c r="D24" s="652"/>
      <c r="E24" s="652" t="s">
        <v>432</v>
      </c>
      <c r="F24" s="652"/>
      <c r="G24" s="652"/>
      <c r="H24" s="668" t="s">
        <v>428</v>
      </c>
      <c r="I24" s="636" t="s">
        <v>433</v>
      </c>
      <c r="J24" s="636"/>
      <c r="K24" s="636"/>
      <c r="L24" s="637" t="s">
        <v>428</v>
      </c>
      <c r="M24" s="643" t="s">
        <v>429</v>
      </c>
      <c r="N24" s="652"/>
      <c r="O24" s="652" t="s">
        <v>434</v>
      </c>
      <c r="P24" s="649" t="s">
        <v>430</v>
      </c>
      <c r="Q24" s="650"/>
      <c r="R24" s="650"/>
      <c r="S24" s="651"/>
      <c r="T24" s="652" t="s">
        <v>428</v>
      </c>
      <c r="U24" s="649" t="s">
        <v>430</v>
      </c>
      <c r="V24" s="650"/>
      <c r="W24" s="650"/>
      <c r="X24" s="651"/>
      <c r="Y24" s="652" t="s">
        <v>428</v>
      </c>
      <c r="Z24" s="649" t="s">
        <v>430</v>
      </c>
      <c r="AA24" s="650"/>
      <c r="AB24" s="650"/>
      <c r="AC24" s="651"/>
      <c r="AD24" s="652" t="s">
        <v>428</v>
      </c>
      <c r="AE24" s="649" t="s">
        <v>430</v>
      </c>
      <c r="AF24" s="650"/>
      <c r="AG24" s="650"/>
      <c r="AH24" s="651"/>
      <c r="AI24" s="652" t="s">
        <v>428</v>
      </c>
      <c r="AJ24" s="649" t="s">
        <v>430</v>
      </c>
      <c r="AK24" s="650"/>
      <c r="AL24" s="650"/>
      <c r="AM24" s="651"/>
      <c r="AN24" s="652" t="s">
        <v>428</v>
      </c>
      <c r="AO24" s="649" t="s">
        <v>430</v>
      </c>
      <c r="AP24" s="650"/>
      <c r="AQ24" s="650"/>
      <c r="AR24" s="651"/>
      <c r="AS24" s="652" t="s">
        <v>428</v>
      </c>
      <c r="AT24" s="649" t="s">
        <v>430</v>
      </c>
      <c r="AU24" s="650"/>
      <c r="AV24" s="650"/>
      <c r="AW24" s="651"/>
      <c r="AX24" s="652" t="s">
        <v>428</v>
      </c>
    </row>
    <row r="25" spans="2:54">
      <c r="B25" s="652"/>
      <c r="C25" s="652"/>
      <c r="D25" s="652"/>
      <c r="E25" s="652" t="s">
        <v>435</v>
      </c>
      <c r="F25" s="652"/>
      <c r="G25" s="652"/>
      <c r="H25" s="669"/>
      <c r="I25" s="636" t="s">
        <v>435</v>
      </c>
      <c r="J25" s="636"/>
      <c r="K25" s="636"/>
      <c r="L25" s="638"/>
      <c r="M25" s="644"/>
      <c r="N25" s="652"/>
      <c r="O25" s="652"/>
      <c r="P25" s="649" t="s">
        <v>436</v>
      </c>
      <c r="Q25" s="650"/>
      <c r="R25" s="650"/>
      <c r="S25" s="651"/>
      <c r="T25" s="652"/>
      <c r="U25" s="649" t="s">
        <v>436</v>
      </c>
      <c r="V25" s="650"/>
      <c r="W25" s="650"/>
      <c r="X25" s="651"/>
      <c r="Y25" s="652"/>
      <c r="Z25" s="649" t="s">
        <v>436</v>
      </c>
      <c r="AA25" s="650"/>
      <c r="AB25" s="650"/>
      <c r="AC25" s="651"/>
      <c r="AD25" s="652"/>
      <c r="AE25" s="649" t="s">
        <v>436</v>
      </c>
      <c r="AF25" s="650"/>
      <c r="AG25" s="650"/>
      <c r="AH25" s="651"/>
      <c r="AI25" s="652"/>
      <c r="AJ25" s="649" t="s">
        <v>436</v>
      </c>
      <c r="AK25" s="650"/>
      <c r="AL25" s="650"/>
      <c r="AM25" s="651"/>
      <c r="AN25" s="652"/>
      <c r="AO25" s="649" t="s">
        <v>436</v>
      </c>
      <c r="AP25" s="650"/>
      <c r="AQ25" s="650"/>
      <c r="AR25" s="651"/>
      <c r="AS25" s="652"/>
      <c r="AT25" s="649" t="s">
        <v>525</v>
      </c>
      <c r="AU25" s="650"/>
      <c r="AV25" s="650"/>
      <c r="AW25" s="651"/>
      <c r="AX25" s="652"/>
    </row>
    <row r="26" spans="2:54">
      <c r="B26" s="652"/>
      <c r="C26" s="652"/>
      <c r="D26" s="652"/>
      <c r="E26" s="321" t="s">
        <v>437</v>
      </c>
      <c r="F26" s="321" t="s">
        <v>438</v>
      </c>
      <c r="G26" s="321" t="s">
        <v>439</v>
      </c>
      <c r="H26" s="670"/>
      <c r="I26" s="320" t="s">
        <v>437</v>
      </c>
      <c r="J26" s="320" t="s">
        <v>438</v>
      </c>
      <c r="K26" s="320" t="s">
        <v>439</v>
      </c>
      <c r="L26" s="639"/>
      <c r="M26" s="645"/>
      <c r="N26" s="652"/>
      <c r="O26" s="652"/>
      <c r="P26" s="321" t="s">
        <v>437</v>
      </c>
      <c r="Q26" s="321" t="s">
        <v>438</v>
      </c>
      <c r="R26" s="321" t="s">
        <v>439</v>
      </c>
      <c r="S26" s="321" t="s">
        <v>429</v>
      </c>
      <c r="T26" s="652"/>
      <c r="U26" s="321" t="s">
        <v>437</v>
      </c>
      <c r="V26" s="321" t="s">
        <v>438</v>
      </c>
      <c r="W26" s="321" t="s">
        <v>439</v>
      </c>
      <c r="X26" s="321" t="s">
        <v>526</v>
      </c>
      <c r="Y26" s="652"/>
      <c r="Z26" s="321" t="s">
        <v>527</v>
      </c>
      <c r="AA26" s="321" t="s">
        <v>438</v>
      </c>
      <c r="AB26" s="321" t="s">
        <v>439</v>
      </c>
      <c r="AC26" s="321" t="s">
        <v>429</v>
      </c>
      <c r="AD26" s="652"/>
      <c r="AE26" s="321" t="s">
        <v>528</v>
      </c>
      <c r="AF26" s="321" t="s">
        <v>529</v>
      </c>
      <c r="AG26" s="321" t="s">
        <v>439</v>
      </c>
      <c r="AH26" s="321" t="s">
        <v>429</v>
      </c>
      <c r="AI26" s="652"/>
      <c r="AJ26" s="321" t="s">
        <v>527</v>
      </c>
      <c r="AK26" s="321" t="s">
        <v>529</v>
      </c>
      <c r="AL26" s="321" t="s">
        <v>439</v>
      </c>
      <c r="AM26" s="321" t="s">
        <v>429</v>
      </c>
      <c r="AN26" s="652"/>
      <c r="AO26" s="321" t="s">
        <v>437</v>
      </c>
      <c r="AP26" s="321" t="s">
        <v>529</v>
      </c>
      <c r="AQ26" s="321" t="s">
        <v>439</v>
      </c>
      <c r="AR26" s="321" t="s">
        <v>429</v>
      </c>
      <c r="AS26" s="652"/>
      <c r="AT26" s="321" t="s">
        <v>527</v>
      </c>
      <c r="AU26" s="321" t="s">
        <v>529</v>
      </c>
      <c r="AV26" s="321" t="s">
        <v>439</v>
      </c>
      <c r="AW26" s="321" t="s">
        <v>429</v>
      </c>
      <c r="AX26" s="652"/>
    </row>
    <row r="27" spans="2:54">
      <c r="B27" s="652" t="s">
        <v>442</v>
      </c>
      <c r="C27" s="322">
        <v>1</v>
      </c>
      <c r="D27" s="227" t="s">
        <v>909</v>
      </c>
      <c r="E27" s="182">
        <v>13</v>
      </c>
      <c r="F27" s="322">
        <v>1500</v>
      </c>
      <c r="G27" s="323">
        <v>115.38461538461539</v>
      </c>
      <c r="H27" s="701">
        <f>AVERAGE(G27:G41)</f>
        <v>107.69230769230769</v>
      </c>
      <c r="I27" s="199">
        <f t="shared" ref="I27:K27" si="19">AVERAGE(P27,U27,Z27,AE27,AJ27,AO27,AT27)</f>
        <v>13</v>
      </c>
      <c r="J27" s="199">
        <f t="shared" si="19"/>
        <v>1460.8979591836739</v>
      </c>
      <c r="K27" s="200">
        <f t="shared" si="19"/>
        <v>112.37676609105185</v>
      </c>
      <c r="L27" s="633">
        <f>IFERROR(AVERAGE(K27:K41),"-")</f>
        <v>120.59560849088804</v>
      </c>
      <c r="M27" s="201">
        <f>RANK(K27, K$27:$K$41)</f>
        <v>2</v>
      </c>
      <c r="N27" s="652"/>
      <c r="O27" s="652"/>
      <c r="P27" s="182">
        <v>13</v>
      </c>
      <c r="Q27" s="182">
        <v>1491.4285714285732</v>
      </c>
      <c r="R27" s="515">
        <v>114.72527472527486</v>
      </c>
      <c r="S27" s="322">
        <f t="shared" ref="S27:S41" si="20">RANK(R27, R$27:R$41)</f>
        <v>2</v>
      </c>
      <c r="T27" s="674">
        <f>AVERAGE(R27:R41)</f>
        <v>130.96263736263742</v>
      </c>
      <c r="U27" s="182">
        <v>13</v>
      </c>
      <c r="V27" s="182">
        <v>1525.7142857142876</v>
      </c>
      <c r="W27" s="515">
        <v>117.36263736263751</v>
      </c>
      <c r="X27" s="477">
        <f t="shared" ref="X27:X41" si="21">RANK(W27, W$27:W$41)</f>
        <v>1</v>
      </c>
      <c r="Y27" s="674">
        <f t="shared" ref="Y27" si="22">AVERAGE(W27:W41)</f>
        <v>115.4945054945056</v>
      </c>
      <c r="Z27" s="426">
        <v>13</v>
      </c>
      <c r="AA27" s="182">
        <v>1445.1428571428555</v>
      </c>
      <c r="AB27" s="552">
        <v>111.16483516483504</v>
      </c>
      <c r="AC27" s="477">
        <f t="shared" ref="AC27:AC41" si="23">RANK(AB27, AB$27:AB$41)</f>
        <v>2</v>
      </c>
      <c r="AD27" s="674">
        <f t="shared" ref="AD27" si="24">AVERAGE(AB27:AB41)</f>
        <v>112.19780219780215</v>
      </c>
      <c r="AE27" s="426">
        <v>13</v>
      </c>
      <c r="AF27" s="182">
        <v>1540.8000000000004</v>
      </c>
      <c r="AG27" s="552">
        <v>118.52307692307696</v>
      </c>
      <c r="AH27" s="477">
        <f t="shared" ref="AH27:AH41" si="25">RANK(AG27, AG$27:AG$41)</f>
        <v>1</v>
      </c>
      <c r="AI27" s="674">
        <f t="shared" ref="AI27" si="26">AVERAGE(AG27:AG41)</f>
        <v>117.09431438127096</v>
      </c>
      <c r="AJ27" s="426">
        <v>13</v>
      </c>
      <c r="AK27" s="182">
        <v>1408.8000000000004</v>
      </c>
      <c r="AL27" s="552">
        <v>108.3692307692308</v>
      </c>
      <c r="AM27" s="477">
        <f t="shared" ref="AM27:AM41" si="27">RANK(AL27, AL$27:AL$41)</f>
        <v>2</v>
      </c>
      <c r="AN27" s="674">
        <f t="shared" ref="AN27" si="28">AVERAGE(AL27:AL41)</f>
        <v>112.45384615384619</v>
      </c>
      <c r="AO27" s="426">
        <v>13</v>
      </c>
      <c r="AP27" s="182">
        <v>1430.399999999996</v>
      </c>
      <c r="AQ27" s="552">
        <v>110.03076923076893</v>
      </c>
      <c r="AR27" s="477">
        <f t="shared" ref="AR27:AR41" si="29">RANK(AQ27, AQ$27:AQ$41)</f>
        <v>2</v>
      </c>
      <c r="AS27" s="674">
        <f t="shared" ref="AS27" si="30">AVERAGE(AQ27:AQ41)</f>
        <v>127.73538461538449</v>
      </c>
      <c r="AT27" s="426">
        <v>13</v>
      </c>
      <c r="AU27" s="182">
        <v>1384.000000000005</v>
      </c>
      <c r="AV27" s="480">
        <v>106.46153846153885</v>
      </c>
      <c r="AW27" s="477">
        <f t="shared" ref="AW27:AW41" si="31">RANK(AV27, AV$27:AV$41)</f>
        <v>2</v>
      </c>
      <c r="AX27" s="674">
        <f t="shared" ref="AX27" si="32">AVERAGE(AV27:AV41)</f>
        <v>128.23076923076945</v>
      </c>
    </row>
    <row r="28" spans="2:54">
      <c r="B28" s="660"/>
      <c r="C28" s="322">
        <v>2</v>
      </c>
      <c r="D28" s="227" t="s">
        <v>953</v>
      </c>
      <c r="E28" s="182">
        <v>15</v>
      </c>
      <c r="F28" s="322">
        <v>1500</v>
      </c>
      <c r="G28" s="323">
        <v>100</v>
      </c>
      <c r="H28" s="702"/>
      <c r="I28" s="566">
        <f t="shared" ref="I28" si="33">AVERAGE(P28,U28,Z28,AE28,AJ28,AO28,AT28)</f>
        <v>11.714285714285714</v>
      </c>
      <c r="J28" s="566">
        <f t="shared" ref="J28" si="34">AVERAGE(Q28,V28,AA28,AF28,AK28,AP28,AU28)</f>
        <v>1484.8850044365577</v>
      </c>
      <c r="K28" s="200">
        <f t="shared" ref="K28" si="35">AVERAGE(R28,W28,AB28,AG28,AL28,AQ28,AV28)</f>
        <v>128.81445089072423</v>
      </c>
      <c r="L28" s="634"/>
      <c r="M28" s="201">
        <f>RANK(K28, K$27:$K$41)</f>
        <v>1</v>
      </c>
      <c r="N28" s="652"/>
      <c r="O28" s="652"/>
      <c r="P28" s="360">
        <v>10</v>
      </c>
      <c r="Q28" s="182">
        <v>1471.9999999999998</v>
      </c>
      <c r="R28" s="361">
        <v>147.19999999999999</v>
      </c>
      <c r="S28" s="322">
        <f t="shared" si="20"/>
        <v>1</v>
      </c>
      <c r="T28" s="674"/>
      <c r="U28" s="477">
        <v>13</v>
      </c>
      <c r="V28" s="182">
        <v>1477.1428571428578</v>
      </c>
      <c r="W28" s="478">
        <v>113.62637362637368</v>
      </c>
      <c r="X28" s="477">
        <f t="shared" si="21"/>
        <v>2</v>
      </c>
      <c r="Y28" s="674"/>
      <c r="Z28" s="477">
        <v>13</v>
      </c>
      <c r="AA28" s="182">
        <v>1472.0000000000002</v>
      </c>
      <c r="AB28" s="478">
        <v>113.23076923076925</v>
      </c>
      <c r="AC28" s="477">
        <f t="shared" si="23"/>
        <v>1</v>
      </c>
      <c r="AD28" s="674"/>
      <c r="AE28" s="477">
        <v>13</v>
      </c>
      <c r="AF28" s="182">
        <v>1503.6521739130446</v>
      </c>
      <c r="AG28" s="478">
        <v>115.66555183946497</v>
      </c>
      <c r="AH28" s="477">
        <f t="shared" si="25"/>
        <v>2</v>
      </c>
      <c r="AI28" s="674"/>
      <c r="AJ28" s="477">
        <v>13</v>
      </c>
      <c r="AK28" s="182">
        <v>1515.0000000000005</v>
      </c>
      <c r="AL28" s="478">
        <v>116.53846153846158</v>
      </c>
      <c r="AM28" s="477">
        <f t="shared" si="27"/>
        <v>1</v>
      </c>
      <c r="AN28" s="674"/>
      <c r="AO28" s="477">
        <v>10</v>
      </c>
      <c r="AP28" s="182">
        <v>1454.4000000000005</v>
      </c>
      <c r="AQ28" s="478">
        <v>145.44000000000005</v>
      </c>
      <c r="AR28" s="477">
        <f t="shared" si="29"/>
        <v>1</v>
      </c>
      <c r="AS28" s="674"/>
      <c r="AT28" s="477">
        <v>10</v>
      </c>
      <c r="AU28" s="182">
        <v>1500.0000000000005</v>
      </c>
      <c r="AV28" s="478">
        <v>150.00000000000006</v>
      </c>
      <c r="AW28" s="477">
        <f t="shared" si="31"/>
        <v>1</v>
      </c>
      <c r="AX28" s="674"/>
    </row>
    <row r="29" spans="2:54">
      <c r="B29" s="660"/>
      <c r="C29" s="322">
        <v>3</v>
      </c>
      <c r="D29" s="227"/>
      <c r="E29" s="182"/>
      <c r="F29" s="322"/>
      <c r="G29" s="323"/>
      <c r="H29" s="702"/>
      <c r="I29" s="199"/>
      <c r="J29" s="199"/>
      <c r="K29" s="200"/>
      <c r="L29" s="634"/>
      <c r="M29" s="201" t="e">
        <f>RANK(K29, K$27:$K$41)</f>
        <v>#N/A</v>
      </c>
      <c r="N29" s="652"/>
      <c r="O29" s="652"/>
      <c r="P29" s="360"/>
      <c r="Q29" s="360"/>
      <c r="R29" s="360"/>
      <c r="S29" s="322" t="e">
        <f t="shared" si="20"/>
        <v>#N/A</v>
      </c>
      <c r="T29" s="674"/>
      <c r="U29" s="477"/>
      <c r="V29" s="477"/>
      <c r="W29" s="477"/>
      <c r="X29" s="477" t="e">
        <f t="shared" si="21"/>
        <v>#N/A</v>
      </c>
      <c r="Y29" s="674"/>
      <c r="Z29" s="477"/>
      <c r="AA29" s="477"/>
      <c r="AB29" s="477"/>
      <c r="AC29" s="477" t="e">
        <f t="shared" si="23"/>
        <v>#N/A</v>
      </c>
      <c r="AD29" s="674"/>
      <c r="AE29" s="477"/>
      <c r="AF29" s="477"/>
      <c r="AG29" s="477"/>
      <c r="AH29" s="477" t="e">
        <f t="shared" si="25"/>
        <v>#N/A</v>
      </c>
      <c r="AI29" s="674"/>
      <c r="AJ29" s="477"/>
      <c r="AK29" s="477"/>
      <c r="AL29" s="477"/>
      <c r="AM29" s="477" t="e">
        <f t="shared" si="27"/>
        <v>#N/A</v>
      </c>
      <c r="AN29" s="674"/>
      <c r="AO29" s="477"/>
      <c r="AP29" s="477"/>
      <c r="AQ29" s="477"/>
      <c r="AR29" s="477" t="e">
        <f t="shared" si="29"/>
        <v>#N/A</v>
      </c>
      <c r="AS29" s="674"/>
      <c r="AT29" s="477"/>
      <c r="AU29" s="477"/>
      <c r="AV29" s="477"/>
      <c r="AW29" s="477" t="e">
        <f t="shared" si="31"/>
        <v>#N/A</v>
      </c>
      <c r="AX29" s="674"/>
    </row>
    <row r="30" spans="2:54">
      <c r="B30" s="660"/>
      <c r="C30" s="322">
        <v>4</v>
      </c>
      <c r="D30" s="227"/>
      <c r="E30" s="182"/>
      <c r="F30" s="322"/>
      <c r="G30" s="323"/>
      <c r="H30" s="702"/>
      <c r="I30" s="199"/>
      <c r="J30" s="199"/>
      <c r="K30" s="200"/>
      <c r="L30" s="634"/>
      <c r="M30" s="201" t="e">
        <f>RANK(K30, K$27:$K$41)</f>
        <v>#N/A</v>
      </c>
      <c r="N30" s="652"/>
      <c r="O30" s="652"/>
      <c r="P30" s="360"/>
      <c r="Q30" s="360"/>
      <c r="R30" s="360"/>
      <c r="S30" s="322" t="e">
        <f t="shared" si="20"/>
        <v>#N/A</v>
      </c>
      <c r="T30" s="674"/>
      <c r="U30" s="477"/>
      <c r="V30" s="477"/>
      <c r="W30" s="477"/>
      <c r="X30" s="477" t="e">
        <f t="shared" si="21"/>
        <v>#N/A</v>
      </c>
      <c r="Y30" s="674"/>
      <c r="Z30" s="477"/>
      <c r="AA30" s="477"/>
      <c r="AB30" s="477"/>
      <c r="AC30" s="477" t="e">
        <f t="shared" si="23"/>
        <v>#N/A</v>
      </c>
      <c r="AD30" s="674"/>
      <c r="AE30" s="477"/>
      <c r="AF30" s="477"/>
      <c r="AG30" s="477"/>
      <c r="AH30" s="477" t="e">
        <f t="shared" si="25"/>
        <v>#N/A</v>
      </c>
      <c r="AI30" s="674"/>
      <c r="AJ30" s="477"/>
      <c r="AK30" s="477"/>
      <c r="AL30" s="477"/>
      <c r="AM30" s="477" t="e">
        <f t="shared" si="27"/>
        <v>#N/A</v>
      </c>
      <c r="AN30" s="674"/>
      <c r="AO30" s="477"/>
      <c r="AP30" s="477"/>
      <c r="AQ30" s="477"/>
      <c r="AR30" s="477" t="e">
        <f t="shared" si="29"/>
        <v>#N/A</v>
      </c>
      <c r="AS30" s="674"/>
      <c r="AT30" s="477"/>
      <c r="AU30" s="477"/>
      <c r="AV30" s="477"/>
      <c r="AW30" s="477" t="e">
        <f t="shared" si="31"/>
        <v>#N/A</v>
      </c>
      <c r="AX30" s="674"/>
    </row>
    <row r="31" spans="2:54">
      <c r="B31" s="660"/>
      <c r="C31" s="322">
        <v>5</v>
      </c>
      <c r="D31" s="227"/>
      <c r="E31" s="182"/>
      <c r="F31" s="322"/>
      <c r="G31" s="323"/>
      <c r="H31" s="702"/>
      <c r="I31" s="199"/>
      <c r="J31" s="199"/>
      <c r="K31" s="200"/>
      <c r="L31" s="634"/>
      <c r="M31" s="201" t="e">
        <f>RANK(K31, K$27:$K$41)</f>
        <v>#N/A</v>
      </c>
      <c r="N31" s="652"/>
      <c r="O31" s="652"/>
      <c r="P31" s="360"/>
      <c r="Q31" s="360"/>
      <c r="R31" s="360"/>
      <c r="S31" s="322" t="e">
        <f t="shared" si="20"/>
        <v>#N/A</v>
      </c>
      <c r="T31" s="674"/>
      <c r="U31" s="477"/>
      <c r="V31" s="477"/>
      <c r="W31" s="477"/>
      <c r="X31" s="477" t="e">
        <f t="shared" si="21"/>
        <v>#N/A</v>
      </c>
      <c r="Y31" s="674"/>
      <c r="Z31" s="477"/>
      <c r="AA31" s="477"/>
      <c r="AB31" s="477"/>
      <c r="AC31" s="477" t="e">
        <f t="shared" si="23"/>
        <v>#N/A</v>
      </c>
      <c r="AD31" s="674"/>
      <c r="AE31" s="477"/>
      <c r="AF31" s="477"/>
      <c r="AG31" s="477"/>
      <c r="AH31" s="477" t="e">
        <f t="shared" si="25"/>
        <v>#N/A</v>
      </c>
      <c r="AI31" s="674"/>
      <c r="AJ31" s="477"/>
      <c r="AK31" s="477"/>
      <c r="AL31" s="477"/>
      <c r="AM31" s="477" t="e">
        <f t="shared" si="27"/>
        <v>#N/A</v>
      </c>
      <c r="AN31" s="674"/>
      <c r="AO31" s="477"/>
      <c r="AP31" s="477"/>
      <c r="AQ31" s="477"/>
      <c r="AR31" s="477" t="e">
        <f t="shared" si="29"/>
        <v>#N/A</v>
      </c>
      <c r="AS31" s="674"/>
      <c r="AT31" s="477"/>
      <c r="AU31" s="477"/>
      <c r="AV31" s="477"/>
      <c r="AW31" s="477" t="e">
        <f t="shared" si="31"/>
        <v>#N/A</v>
      </c>
      <c r="AX31" s="674"/>
    </row>
    <row r="32" spans="2:54">
      <c r="B32" s="660"/>
      <c r="C32" s="322">
        <v>6</v>
      </c>
      <c r="D32" s="227"/>
      <c r="E32" s="182"/>
      <c r="F32" s="322"/>
      <c r="G32" s="323"/>
      <c r="H32" s="702"/>
      <c r="I32" s="199"/>
      <c r="J32" s="199"/>
      <c r="K32" s="200"/>
      <c r="L32" s="634"/>
      <c r="M32" s="201" t="e">
        <f>RANK(K32, K$27:$K$41)</f>
        <v>#N/A</v>
      </c>
      <c r="N32" s="652"/>
      <c r="O32" s="652"/>
      <c r="P32" s="360"/>
      <c r="Q32" s="360"/>
      <c r="R32" s="360"/>
      <c r="S32" s="322" t="e">
        <f t="shared" si="20"/>
        <v>#N/A</v>
      </c>
      <c r="T32" s="674"/>
      <c r="U32" s="477"/>
      <c r="V32" s="477"/>
      <c r="W32" s="477"/>
      <c r="X32" s="477" t="e">
        <f t="shared" si="21"/>
        <v>#N/A</v>
      </c>
      <c r="Y32" s="674"/>
      <c r="Z32" s="477"/>
      <c r="AA32" s="477"/>
      <c r="AB32" s="477"/>
      <c r="AC32" s="477" t="e">
        <f t="shared" si="23"/>
        <v>#N/A</v>
      </c>
      <c r="AD32" s="674"/>
      <c r="AE32" s="477"/>
      <c r="AF32" s="477"/>
      <c r="AG32" s="477"/>
      <c r="AH32" s="477" t="e">
        <f t="shared" si="25"/>
        <v>#N/A</v>
      </c>
      <c r="AI32" s="674"/>
      <c r="AJ32" s="477"/>
      <c r="AK32" s="477"/>
      <c r="AL32" s="477"/>
      <c r="AM32" s="477" t="e">
        <f t="shared" si="27"/>
        <v>#N/A</v>
      </c>
      <c r="AN32" s="674"/>
      <c r="AO32" s="477"/>
      <c r="AP32" s="477"/>
      <c r="AQ32" s="477"/>
      <c r="AR32" s="477" t="e">
        <f t="shared" si="29"/>
        <v>#N/A</v>
      </c>
      <c r="AS32" s="674"/>
      <c r="AT32" s="477"/>
      <c r="AU32" s="477"/>
      <c r="AV32" s="477"/>
      <c r="AW32" s="477" t="e">
        <f t="shared" si="31"/>
        <v>#N/A</v>
      </c>
      <c r="AX32" s="674"/>
    </row>
    <row r="33" spans="2:50">
      <c r="B33" s="660"/>
      <c r="C33" s="322">
        <v>7</v>
      </c>
      <c r="D33" s="227"/>
      <c r="E33" s="182"/>
      <c r="F33" s="322"/>
      <c r="G33" s="323"/>
      <c r="H33" s="702"/>
      <c r="I33" s="199"/>
      <c r="J33" s="199"/>
      <c r="K33" s="200"/>
      <c r="L33" s="634"/>
      <c r="M33" s="201" t="e">
        <f>RANK(K33, K$27:$K$41)</f>
        <v>#N/A</v>
      </c>
      <c r="N33" s="652"/>
      <c r="O33" s="652"/>
      <c r="P33" s="360"/>
      <c r="Q33" s="360"/>
      <c r="R33" s="360"/>
      <c r="S33" s="322" t="e">
        <f t="shared" si="20"/>
        <v>#N/A</v>
      </c>
      <c r="T33" s="674"/>
      <c r="U33" s="477"/>
      <c r="V33" s="477"/>
      <c r="W33" s="477"/>
      <c r="X33" s="477" t="e">
        <f t="shared" si="21"/>
        <v>#N/A</v>
      </c>
      <c r="Y33" s="674"/>
      <c r="Z33" s="477"/>
      <c r="AA33" s="477"/>
      <c r="AB33" s="477"/>
      <c r="AC33" s="477" t="e">
        <f t="shared" si="23"/>
        <v>#N/A</v>
      </c>
      <c r="AD33" s="674"/>
      <c r="AE33" s="477"/>
      <c r="AF33" s="477"/>
      <c r="AG33" s="477"/>
      <c r="AH33" s="477" t="e">
        <f t="shared" si="25"/>
        <v>#N/A</v>
      </c>
      <c r="AI33" s="674"/>
      <c r="AJ33" s="477"/>
      <c r="AK33" s="477"/>
      <c r="AL33" s="477"/>
      <c r="AM33" s="477" t="e">
        <f t="shared" si="27"/>
        <v>#N/A</v>
      </c>
      <c r="AN33" s="674"/>
      <c r="AO33" s="477"/>
      <c r="AP33" s="477"/>
      <c r="AQ33" s="477"/>
      <c r="AR33" s="477" t="e">
        <f t="shared" si="29"/>
        <v>#N/A</v>
      </c>
      <c r="AS33" s="674"/>
      <c r="AT33" s="477"/>
      <c r="AU33" s="477"/>
      <c r="AV33" s="477"/>
      <c r="AW33" s="477" t="e">
        <f t="shared" si="31"/>
        <v>#N/A</v>
      </c>
      <c r="AX33" s="674"/>
    </row>
    <row r="34" spans="2:50">
      <c r="B34" s="660"/>
      <c r="C34" s="322">
        <v>8</v>
      </c>
      <c r="D34" s="227"/>
      <c r="E34" s="182"/>
      <c r="F34" s="322"/>
      <c r="G34" s="323"/>
      <c r="H34" s="702"/>
      <c r="I34" s="199"/>
      <c r="J34" s="199"/>
      <c r="K34" s="200"/>
      <c r="L34" s="634"/>
      <c r="M34" s="201" t="e">
        <f>RANK(K34, K$27:$K$41)</f>
        <v>#N/A</v>
      </c>
      <c r="N34" s="652"/>
      <c r="O34" s="652"/>
      <c r="P34" s="360"/>
      <c r="Q34" s="360"/>
      <c r="R34" s="360"/>
      <c r="S34" s="322" t="e">
        <f t="shared" si="20"/>
        <v>#N/A</v>
      </c>
      <c r="T34" s="674"/>
      <c r="U34" s="477"/>
      <c r="V34" s="477"/>
      <c r="W34" s="477"/>
      <c r="X34" s="477" t="e">
        <f t="shared" si="21"/>
        <v>#N/A</v>
      </c>
      <c r="Y34" s="674"/>
      <c r="Z34" s="477"/>
      <c r="AA34" s="477"/>
      <c r="AB34" s="477"/>
      <c r="AC34" s="477" t="e">
        <f t="shared" si="23"/>
        <v>#N/A</v>
      </c>
      <c r="AD34" s="674"/>
      <c r="AE34" s="477"/>
      <c r="AF34" s="477"/>
      <c r="AG34" s="477"/>
      <c r="AH34" s="477" t="e">
        <f t="shared" si="25"/>
        <v>#N/A</v>
      </c>
      <c r="AI34" s="674"/>
      <c r="AJ34" s="477"/>
      <c r="AK34" s="477"/>
      <c r="AL34" s="477"/>
      <c r="AM34" s="477" t="e">
        <f t="shared" si="27"/>
        <v>#N/A</v>
      </c>
      <c r="AN34" s="674"/>
      <c r="AO34" s="477"/>
      <c r="AP34" s="477"/>
      <c r="AQ34" s="477"/>
      <c r="AR34" s="477" t="e">
        <f t="shared" si="29"/>
        <v>#N/A</v>
      </c>
      <c r="AS34" s="674"/>
      <c r="AT34" s="477"/>
      <c r="AU34" s="477"/>
      <c r="AV34" s="477"/>
      <c r="AW34" s="477" t="e">
        <f t="shared" si="31"/>
        <v>#N/A</v>
      </c>
      <c r="AX34" s="674"/>
    </row>
    <row r="35" spans="2:50">
      <c r="B35" s="660"/>
      <c r="C35" s="322">
        <v>9</v>
      </c>
      <c r="D35" s="227"/>
      <c r="E35" s="182"/>
      <c r="F35" s="322"/>
      <c r="G35" s="323"/>
      <c r="H35" s="702"/>
      <c r="I35" s="199"/>
      <c r="J35" s="199"/>
      <c r="K35" s="200"/>
      <c r="L35" s="634"/>
      <c r="M35" s="201" t="e">
        <f>RANK(K35, K$27:$K$41)</f>
        <v>#N/A</v>
      </c>
      <c r="N35" s="652"/>
      <c r="O35" s="652"/>
      <c r="P35" s="360"/>
      <c r="Q35" s="360"/>
      <c r="R35" s="360"/>
      <c r="S35" s="322" t="e">
        <f t="shared" si="20"/>
        <v>#N/A</v>
      </c>
      <c r="T35" s="674"/>
      <c r="U35" s="477"/>
      <c r="V35" s="477"/>
      <c r="W35" s="477"/>
      <c r="X35" s="477" t="e">
        <f t="shared" si="21"/>
        <v>#N/A</v>
      </c>
      <c r="Y35" s="674"/>
      <c r="Z35" s="477"/>
      <c r="AA35" s="477"/>
      <c r="AB35" s="477"/>
      <c r="AC35" s="477" t="e">
        <f t="shared" si="23"/>
        <v>#N/A</v>
      </c>
      <c r="AD35" s="674"/>
      <c r="AE35" s="477"/>
      <c r="AF35" s="477"/>
      <c r="AG35" s="477"/>
      <c r="AH35" s="477" t="e">
        <f t="shared" si="25"/>
        <v>#N/A</v>
      </c>
      <c r="AI35" s="674"/>
      <c r="AJ35" s="477"/>
      <c r="AK35" s="477"/>
      <c r="AL35" s="477"/>
      <c r="AM35" s="477" t="e">
        <f t="shared" si="27"/>
        <v>#N/A</v>
      </c>
      <c r="AN35" s="674"/>
      <c r="AO35" s="477"/>
      <c r="AP35" s="477"/>
      <c r="AQ35" s="477"/>
      <c r="AR35" s="477" t="e">
        <f t="shared" si="29"/>
        <v>#N/A</v>
      </c>
      <c r="AS35" s="674"/>
      <c r="AT35" s="477"/>
      <c r="AU35" s="477"/>
      <c r="AV35" s="477"/>
      <c r="AW35" s="477" t="e">
        <f t="shared" si="31"/>
        <v>#N/A</v>
      </c>
      <c r="AX35" s="674"/>
    </row>
    <row r="36" spans="2:50">
      <c r="B36" s="660"/>
      <c r="C36" s="322">
        <v>10</v>
      </c>
      <c r="D36" s="227"/>
      <c r="E36" s="182"/>
      <c r="F36" s="322"/>
      <c r="G36" s="323"/>
      <c r="H36" s="702"/>
      <c r="I36" s="199"/>
      <c r="J36" s="199"/>
      <c r="K36" s="200"/>
      <c r="L36" s="634"/>
      <c r="M36" s="201" t="e">
        <f>RANK(K36, K$27:$K$41)</f>
        <v>#N/A</v>
      </c>
      <c r="N36" s="652"/>
      <c r="O36" s="652"/>
      <c r="P36" s="360"/>
      <c r="Q36" s="360"/>
      <c r="R36" s="360"/>
      <c r="S36" s="322" t="e">
        <f t="shared" si="20"/>
        <v>#N/A</v>
      </c>
      <c r="T36" s="674"/>
      <c r="U36" s="477"/>
      <c r="V36" s="477"/>
      <c r="W36" s="477"/>
      <c r="X36" s="477" t="e">
        <f t="shared" si="21"/>
        <v>#N/A</v>
      </c>
      <c r="Y36" s="674"/>
      <c r="Z36" s="477"/>
      <c r="AA36" s="477"/>
      <c r="AB36" s="477"/>
      <c r="AC36" s="477" t="e">
        <f t="shared" si="23"/>
        <v>#N/A</v>
      </c>
      <c r="AD36" s="674"/>
      <c r="AE36" s="477"/>
      <c r="AF36" s="477"/>
      <c r="AG36" s="477"/>
      <c r="AH36" s="477" t="e">
        <f t="shared" si="25"/>
        <v>#N/A</v>
      </c>
      <c r="AI36" s="674"/>
      <c r="AJ36" s="477"/>
      <c r="AK36" s="477"/>
      <c r="AL36" s="477"/>
      <c r="AM36" s="477" t="e">
        <f t="shared" si="27"/>
        <v>#N/A</v>
      </c>
      <c r="AN36" s="674"/>
      <c r="AO36" s="477"/>
      <c r="AP36" s="477"/>
      <c r="AQ36" s="477"/>
      <c r="AR36" s="477" t="e">
        <f t="shared" si="29"/>
        <v>#N/A</v>
      </c>
      <c r="AS36" s="674"/>
      <c r="AT36" s="477"/>
      <c r="AU36" s="477"/>
      <c r="AV36" s="477"/>
      <c r="AW36" s="477" t="e">
        <f t="shared" si="31"/>
        <v>#N/A</v>
      </c>
      <c r="AX36" s="674"/>
    </row>
    <row r="37" spans="2:50">
      <c r="B37" s="660"/>
      <c r="C37" s="322">
        <v>11</v>
      </c>
      <c r="D37" s="227"/>
      <c r="E37" s="182"/>
      <c r="F37" s="322"/>
      <c r="G37" s="323"/>
      <c r="H37" s="702"/>
      <c r="I37" s="202"/>
      <c r="J37" s="202"/>
      <c r="K37" s="202"/>
      <c r="L37" s="634"/>
      <c r="M37" s="201" t="e">
        <f>RANK(K37, K$27:$K$41)</f>
        <v>#N/A</v>
      </c>
      <c r="N37" s="652"/>
      <c r="O37" s="652"/>
      <c r="P37" s="360"/>
      <c r="Q37" s="360"/>
      <c r="R37" s="360"/>
      <c r="S37" s="322" t="e">
        <f t="shared" si="20"/>
        <v>#N/A</v>
      </c>
      <c r="T37" s="674"/>
      <c r="U37" s="477"/>
      <c r="V37" s="477"/>
      <c r="W37" s="477"/>
      <c r="X37" s="477" t="e">
        <f t="shared" si="21"/>
        <v>#N/A</v>
      </c>
      <c r="Y37" s="674"/>
      <c r="Z37" s="477"/>
      <c r="AA37" s="477"/>
      <c r="AB37" s="477"/>
      <c r="AC37" s="477" t="e">
        <f t="shared" si="23"/>
        <v>#N/A</v>
      </c>
      <c r="AD37" s="674"/>
      <c r="AE37" s="477"/>
      <c r="AF37" s="477"/>
      <c r="AG37" s="477"/>
      <c r="AH37" s="477" t="e">
        <f t="shared" si="25"/>
        <v>#N/A</v>
      </c>
      <c r="AI37" s="674"/>
      <c r="AJ37" s="477"/>
      <c r="AK37" s="477"/>
      <c r="AL37" s="477"/>
      <c r="AM37" s="477" t="e">
        <f t="shared" si="27"/>
        <v>#N/A</v>
      </c>
      <c r="AN37" s="674"/>
      <c r="AO37" s="477"/>
      <c r="AP37" s="477"/>
      <c r="AQ37" s="477"/>
      <c r="AR37" s="477" t="e">
        <f t="shared" si="29"/>
        <v>#N/A</v>
      </c>
      <c r="AS37" s="674"/>
      <c r="AT37" s="477"/>
      <c r="AU37" s="477"/>
      <c r="AV37" s="477"/>
      <c r="AW37" s="477" t="e">
        <f t="shared" si="31"/>
        <v>#N/A</v>
      </c>
      <c r="AX37" s="674"/>
    </row>
    <row r="38" spans="2:50">
      <c r="B38" s="660"/>
      <c r="C38" s="322">
        <v>12</v>
      </c>
      <c r="D38" s="227"/>
      <c r="E38" s="182"/>
      <c r="F38" s="322"/>
      <c r="G38" s="323"/>
      <c r="H38" s="702"/>
      <c r="I38" s="202"/>
      <c r="J38" s="202"/>
      <c r="K38" s="202"/>
      <c r="L38" s="634"/>
      <c r="M38" s="201" t="e">
        <f>RANK(K38, K$27:$K$41)</f>
        <v>#N/A</v>
      </c>
      <c r="N38" s="652"/>
      <c r="O38" s="652"/>
      <c r="P38" s="360"/>
      <c r="Q38" s="360"/>
      <c r="R38" s="360"/>
      <c r="S38" s="322" t="e">
        <f t="shared" si="20"/>
        <v>#N/A</v>
      </c>
      <c r="T38" s="674"/>
      <c r="U38" s="477"/>
      <c r="V38" s="477"/>
      <c r="W38" s="477"/>
      <c r="X38" s="477" t="e">
        <f t="shared" si="21"/>
        <v>#N/A</v>
      </c>
      <c r="Y38" s="674"/>
      <c r="Z38" s="477"/>
      <c r="AA38" s="477"/>
      <c r="AB38" s="477"/>
      <c r="AC38" s="477" t="e">
        <f t="shared" si="23"/>
        <v>#N/A</v>
      </c>
      <c r="AD38" s="674"/>
      <c r="AE38" s="477"/>
      <c r="AF38" s="477"/>
      <c r="AG38" s="477"/>
      <c r="AH38" s="477" t="e">
        <f t="shared" si="25"/>
        <v>#N/A</v>
      </c>
      <c r="AI38" s="674"/>
      <c r="AJ38" s="477"/>
      <c r="AK38" s="477"/>
      <c r="AL38" s="477"/>
      <c r="AM38" s="477" t="e">
        <f t="shared" si="27"/>
        <v>#N/A</v>
      </c>
      <c r="AN38" s="674"/>
      <c r="AO38" s="477"/>
      <c r="AP38" s="477"/>
      <c r="AQ38" s="477"/>
      <c r="AR38" s="477" t="e">
        <f t="shared" si="29"/>
        <v>#N/A</v>
      </c>
      <c r="AS38" s="674"/>
      <c r="AT38" s="477"/>
      <c r="AU38" s="477"/>
      <c r="AV38" s="477"/>
      <c r="AW38" s="477" t="e">
        <f t="shared" si="31"/>
        <v>#N/A</v>
      </c>
      <c r="AX38" s="674"/>
    </row>
    <row r="39" spans="2:50">
      <c r="B39" s="660"/>
      <c r="C39" s="322">
        <v>13</v>
      </c>
      <c r="D39" s="227"/>
      <c r="E39" s="182"/>
      <c r="F39" s="322"/>
      <c r="G39" s="323"/>
      <c r="H39" s="702"/>
      <c r="I39" s="202"/>
      <c r="J39" s="202"/>
      <c r="K39" s="202"/>
      <c r="L39" s="634"/>
      <c r="M39" s="201" t="e">
        <f>RANK(K39, K$27:$K$41)</f>
        <v>#N/A</v>
      </c>
      <c r="N39" s="652"/>
      <c r="O39" s="652"/>
      <c r="P39" s="360"/>
      <c r="Q39" s="360"/>
      <c r="R39" s="360"/>
      <c r="S39" s="322" t="e">
        <f t="shared" si="20"/>
        <v>#N/A</v>
      </c>
      <c r="T39" s="674"/>
      <c r="U39" s="477"/>
      <c r="V39" s="477"/>
      <c r="W39" s="477"/>
      <c r="X39" s="477" t="e">
        <f t="shared" si="21"/>
        <v>#N/A</v>
      </c>
      <c r="Y39" s="674"/>
      <c r="Z39" s="477"/>
      <c r="AA39" s="477"/>
      <c r="AB39" s="477"/>
      <c r="AC39" s="477" t="e">
        <f t="shared" si="23"/>
        <v>#N/A</v>
      </c>
      <c r="AD39" s="674"/>
      <c r="AE39" s="477"/>
      <c r="AF39" s="477"/>
      <c r="AG39" s="477"/>
      <c r="AH39" s="477" t="e">
        <f t="shared" si="25"/>
        <v>#N/A</v>
      </c>
      <c r="AI39" s="674"/>
      <c r="AJ39" s="477"/>
      <c r="AK39" s="477"/>
      <c r="AL39" s="477"/>
      <c r="AM39" s="477" t="e">
        <f t="shared" si="27"/>
        <v>#N/A</v>
      </c>
      <c r="AN39" s="674"/>
      <c r="AO39" s="477"/>
      <c r="AP39" s="477"/>
      <c r="AQ39" s="477"/>
      <c r="AR39" s="477" t="e">
        <f t="shared" si="29"/>
        <v>#N/A</v>
      </c>
      <c r="AS39" s="674"/>
      <c r="AT39" s="477"/>
      <c r="AU39" s="477"/>
      <c r="AV39" s="477"/>
      <c r="AW39" s="477" t="e">
        <f t="shared" si="31"/>
        <v>#N/A</v>
      </c>
      <c r="AX39" s="674"/>
    </row>
    <row r="40" spans="2:50">
      <c r="B40" s="660"/>
      <c r="C40" s="322">
        <v>14</v>
      </c>
      <c r="D40" s="227"/>
      <c r="E40" s="182"/>
      <c r="F40" s="322"/>
      <c r="G40" s="323"/>
      <c r="H40" s="702"/>
      <c r="I40" s="202"/>
      <c r="J40" s="202"/>
      <c r="K40" s="202"/>
      <c r="L40" s="634"/>
      <c r="M40" s="201" t="e">
        <f>RANK(K40, K$27:$K$41)</f>
        <v>#N/A</v>
      </c>
      <c r="N40" s="652"/>
      <c r="O40" s="652"/>
      <c r="P40" s="360"/>
      <c r="Q40" s="360"/>
      <c r="R40" s="360"/>
      <c r="S40" s="322" t="e">
        <f t="shared" si="20"/>
        <v>#N/A</v>
      </c>
      <c r="T40" s="674"/>
      <c r="U40" s="477"/>
      <c r="V40" s="477"/>
      <c r="W40" s="477"/>
      <c r="X40" s="477" t="e">
        <f t="shared" si="21"/>
        <v>#N/A</v>
      </c>
      <c r="Y40" s="674"/>
      <c r="Z40" s="477"/>
      <c r="AA40" s="477"/>
      <c r="AB40" s="477"/>
      <c r="AC40" s="477" t="e">
        <f t="shared" si="23"/>
        <v>#N/A</v>
      </c>
      <c r="AD40" s="674"/>
      <c r="AE40" s="477"/>
      <c r="AF40" s="477"/>
      <c r="AG40" s="477"/>
      <c r="AH40" s="477" t="e">
        <f t="shared" si="25"/>
        <v>#N/A</v>
      </c>
      <c r="AI40" s="674"/>
      <c r="AJ40" s="477"/>
      <c r="AK40" s="477"/>
      <c r="AL40" s="477"/>
      <c r="AM40" s="477" t="e">
        <f t="shared" si="27"/>
        <v>#N/A</v>
      </c>
      <c r="AN40" s="674"/>
      <c r="AO40" s="477"/>
      <c r="AP40" s="477"/>
      <c r="AQ40" s="477"/>
      <c r="AR40" s="477" t="e">
        <f t="shared" si="29"/>
        <v>#N/A</v>
      </c>
      <c r="AS40" s="674"/>
      <c r="AT40" s="477"/>
      <c r="AU40" s="477"/>
      <c r="AV40" s="477"/>
      <c r="AW40" s="477" t="e">
        <f t="shared" si="31"/>
        <v>#N/A</v>
      </c>
      <c r="AX40" s="674"/>
    </row>
    <row r="41" spans="2:50">
      <c r="B41" s="660"/>
      <c r="C41" s="322">
        <v>15</v>
      </c>
      <c r="D41" s="227"/>
      <c r="E41" s="182"/>
      <c r="F41" s="322"/>
      <c r="G41" s="323"/>
      <c r="H41" s="703"/>
      <c r="I41" s="202"/>
      <c r="J41" s="202"/>
      <c r="K41" s="202"/>
      <c r="L41" s="635"/>
      <c r="M41" s="199" t="e">
        <f>RANK(K41, K$27:$K$41)</f>
        <v>#N/A</v>
      </c>
      <c r="N41" s="652"/>
      <c r="O41" s="652"/>
      <c r="P41" s="360"/>
      <c r="Q41" s="360"/>
      <c r="R41" s="360"/>
      <c r="S41" s="322" t="e">
        <f t="shared" si="20"/>
        <v>#N/A</v>
      </c>
      <c r="T41" s="674"/>
      <c r="U41" s="477"/>
      <c r="V41" s="477"/>
      <c r="W41" s="477"/>
      <c r="X41" s="477" t="e">
        <f t="shared" si="21"/>
        <v>#N/A</v>
      </c>
      <c r="Y41" s="674"/>
      <c r="Z41" s="477"/>
      <c r="AA41" s="477"/>
      <c r="AB41" s="477"/>
      <c r="AC41" s="477" t="e">
        <f t="shared" si="23"/>
        <v>#N/A</v>
      </c>
      <c r="AD41" s="674"/>
      <c r="AE41" s="477"/>
      <c r="AF41" s="477"/>
      <c r="AG41" s="477"/>
      <c r="AH41" s="477" t="e">
        <f t="shared" si="25"/>
        <v>#N/A</v>
      </c>
      <c r="AI41" s="674"/>
      <c r="AJ41" s="477"/>
      <c r="AK41" s="477"/>
      <c r="AL41" s="477"/>
      <c r="AM41" s="477" t="e">
        <f t="shared" si="27"/>
        <v>#N/A</v>
      </c>
      <c r="AN41" s="674"/>
      <c r="AO41" s="477"/>
      <c r="AP41" s="477"/>
      <c r="AQ41" s="477"/>
      <c r="AR41" s="477" t="e">
        <f t="shared" si="29"/>
        <v>#N/A</v>
      </c>
      <c r="AS41" s="674"/>
      <c r="AT41" s="477"/>
      <c r="AU41" s="477"/>
      <c r="AV41" s="477"/>
      <c r="AW41" s="477" t="e">
        <f t="shared" si="31"/>
        <v>#N/A</v>
      </c>
      <c r="AX41" s="674"/>
    </row>
    <row r="42" spans="2:50" ht="15.75">
      <c r="B42" s="678" t="s">
        <v>163</v>
      </c>
      <c r="C42" s="679"/>
      <c r="D42" s="679"/>
      <c r="E42" s="679"/>
      <c r="F42" s="679"/>
      <c r="G42" s="679"/>
      <c r="H42" s="679"/>
      <c r="I42" s="208"/>
      <c r="J42" s="203"/>
      <c r="K42" s="208"/>
      <c r="L42" s="208"/>
      <c r="M42" s="204"/>
      <c r="N42" s="653" t="s">
        <v>156</v>
      </c>
      <c r="O42" s="653" t="s">
        <v>105</v>
      </c>
      <c r="P42" s="659">
        <f>P22+7</f>
        <v>46063</v>
      </c>
      <c r="Q42" s="660"/>
      <c r="R42" s="660"/>
      <c r="S42" s="660"/>
      <c r="T42" s="660"/>
      <c r="U42" s="656">
        <f>P42+1</f>
        <v>46064</v>
      </c>
      <c r="V42" s="657"/>
      <c r="W42" s="657"/>
      <c r="X42" s="657"/>
      <c r="Y42" s="658"/>
      <c r="Z42" s="656">
        <f>U42+1</f>
        <v>46065</v>
      </c>
      <c r="AA42" s="657"/>
      <c r="AB42" s="657"/>
      <c r="AC42" s="657"/>
      <c r="AD42" s="658"/>
      <c r="AE42" s="656">
        <f>Z42+1</f>
        <v>46066</v>
      </c>
      <c r="AF42" s="657"/>
      <c r="AG42" s="657"/>
      <c r="AH42" s="657"/>
      <c r="AI42" s="658"/>
      <c r="AJ42" s="656">
        <f>AE42+1</f>
        <v>46067</v>
      </c>
      <c r="AK42" s="657"/>
      <c r="AL42" s="657"/>
      <c r="AM42" s="657"/>
      <c r="AN42" s="658"/>
      <c r="AO42" s="656">
        <f>AJ42+1</f>
        <v>46068</v>
      </c>
      <c r="AP42" s="657"/>
      <c r="AQ42" s="657"/>
      <c r="AR42" s="657"/>
      <c r="AS42" s="658"/>
      <c r="AT42" s="656">
        <f>AO42+1</f>
        <v>46069</v>
      </c>
      <c r="AU42" s="657"/>
      <c r="AV42" s="657"/>
      <c r="AW42" s="657"/>
      <c r="AX42" s="658"/>
    </row>
    <row r="43" spans="2:50" ht="15.75">
      <c r="B43" s="667"/>
      <c r="C43" s="667"/>
      <c r="D43" s="667"/>
      <c r="E43" s="667"/>
      <c r="F43" s="667"/>
      <c r="G43" s="667"/>
      <c r="H43" s="667"/>
      <c r="I43" s="205"/>
      <c r="J43" s="205"/>
      <c r="K43" s="205"/>
      <c r="L43" s="205"/>
      <c r="M43" s="206"/>
      <c r="N43" s="655"/>
      <c r="O43" s="655"/>
      <c r="P43" s="659" t="s">
        <v>336</v>
      </c>
      <c r="Q43" s="660"/>
      <c r="R43" s="660"/>
      <c r="S43" s="660"/>
      <c r="T43" s="660"/>
      <c r="U43" s="659" t="s">
        <v>337</v>
      </c>
      <c r="V43" s="660"/>
      <c r="W43" s="660"/>
      <c r="X43" s="660"/>
      <c r="Y43" s="660"/>
      <c r="Z43" s="659" t="s">
        <v>338</v>
      </c>
      <c r="AA43" s="660"/>
      <c r="AB43" s="660"/>
      <c r="AC43" s="660"/>
      <c r="AD43" s="660"/>
      <c r="AE43" s="659" t="s">
        <v>339</v>
      </c>
      <c r="AF43" s="660"/>
      <c r="AG43" s="660"/>
      <c r="AH43" s="660"/>
      <c r="AI43" s="660"/>
      <c r="AJ43" s="659" t="s">
        <v>340</v>
      </c>
      <c r="AK43" s="660"/>
      <c r="AL43" s="660"/>
      <c r="AM43" s="660"/>
      <c r="AN43" s="660"/>
      <c r="AO43" s="659" t="s">
        <v>341</v>
      </c>
      <c r="AP43" s="660"/>
      <c r="AQ43" s="660"/>
      <c r="AR43" s="660"/>
      <c r="AS43" s="660"/>
      <c r="AT43" s="659" t="s">
        <v>342</v>
      </c>
      <c r="AU43" s="660"/>
      <c r="AV43" s="660"/>
      <c r="AW43" s="660"/>
      <c r="AX43" s="660"/>
    </row>
    <row r="44" spans="2:50">
      <c r="B44" s="652" t="s">
        <v>618</v>
      </c>
      <c r="C44" s="652" t="s">
        <v>619</v>
      </c>
      <c r="D44" s="652"/>
      <c r="E44" s="652" t="s">
        <v>620</v>
      </c>
      <c r="F44" s="652"/>
      <c r="G44" s="652"/>
      <c r="H44" s="668" t="s">
        <v>621</v>
      </c>
      <c r="I44" s="636" t="s">
        <v>622</v>
      </c>
      <c r="J44" s="636"/>
      <c r="K44" s="636"/>
      <c r="L44" s="637" t="s">
        <v>621</v>
      </c>
      <c r="M44" s="643" t="s">
        <v>623</v>
      </c>
      <c r="N44" s="652"/>
      <c r="O44" s="652" t="s">
        <v>624</v>
      </c>
      <c r="P44" s="649" t="s">
        <v>625</v>
      </c>
      <c r="Q44" s="650"/>
      <c r="R44" s="650"/>
      <c r="S44" s="651"/>
      <c r="T44" s="652" t="s">
        <v>621</v>
      </c>
      <c r="U44" s="649" t="s">
        <v>625</v>
      </c>
      <c r="V44" s="650"/>
      <c r="W44" s="650"/>
      <c r="X44" s="651"/>
      <c r="Y44" s="652" t="s">
        <v>621</v>
      </c>
      <c r="Z44" s="649" t="s">
        <v>625</v>
      </c>
      <c r="AA44" s="650"/>
      <c r="AB44" s="650"/>
      <c r="AC44" s="651"/>
      <c r="AD44" s="652" t="s">
        <v>621</v>
      </c>
      <c r="AE44" s="649" t="s">
        <v>625</v>
      </c>
      <c r="AF44" s="650"/>
      <c r="AG44" s="650"/>
      <c r="AH44" s="651"/>
      <c r="AI44" s="652" t="s">
        <v>621</v>
      </c>
      <c r="AJ44" s="649" t="s">
        <v>625</v>
      </c>
      <c r="AK44" s="650"/>
      <c r="AL44" s="650"/>
      <c r="AM44" s="651"/>
      <c r="AN44" s="652" t="s">
        <v>621</v>
      </c>
      <c r="AO44" s="649" t="s">
        <v>625</v>
      </c>
      <c r="AP44" s="650"/>
      <c r="AQ44" s="650"/>
      <c r="AR44" s="651"/>
      <c r="AS44" s="652" t="s">
        <v>621</v>
      </c>
      <c r="AT44" s="649" t="s">
        <v>625</v>
      </c>
      <c r="AU44" s="650"/>
      <c r="AV44" s="650"/>
      <c r="AW44" s="651"/>
      <c r="AX44" s="652" t="s">
        <v>621</v>
      </c>
    </row>
    <row r="45" spans="2:50">
      <c r="B45" s="652"/>
      <c r="C45" s="652"/>
      <c r="D45" s="652"/>
      <c r="E45" s="652" t="s">
        <v>626</v>
      </c>
      <c r="F45" s="652"/>
      <c r="G45" s="652"/>
      <c r="H45" s="669"/>
      <c r="I45" s="636" t="s">
        <v>626</v>
      </c>
      <c r="J45" s="636"/>
      <c r="K45" s="636"/>
      <c r="L45" s="638"/>
      <c r="M45" s="644"/>
      <c r="N45" s="652"/>
      <c r="O45" s="652"/>
      <c r="P45" s="649" t="s">
        <v>627</v>
      </c>
      <c r="Q45" s="650"/>
      <c r="R45" s="650"/>
      <c r="S45" s="651"/>
      <c r="T45" s="652"/>
      <c r="U45" s="649" t="s">
        <v>627</v>
      </c>
      <c r="V45" s="650"/>
      <c r="W45" s="650"/>
      <c r="X45" s="651"/>
      <c r="Y45" s="652"/>
      <c r="Z45" s="649" t="s">
        <v>627</v>
      </c>
      <c r="AA45" s="650"/>
      <c r="AB45" s="650"/>
      <c r="AC45" s="651"/>
      <c r="AD45" s="652"/>
      <c r="AE45" s="649" t="s">
        <v>627</v>
      </c>
      <c r="AF45" s="650"/>
      <c r="AG45" s="650"/>
      <c r="AH45" s="651"/>
      <c r="AI45" s="652"/>
      <c r="AJ45" s="649" t="s">
        <v>627</v>
      </c>
      <c r="AK45" s="650"/>
      <c r="AL45" s="650"/>
      <c r="AM45" s="651"/>
      <c r="AN45" s="652"/>
      <c r="AO45" s="649" t="s">
        <v>627</v>
      </c>
      <c r="AP45" s="650"/>
      <c r="AQ45" s="650"/>
      <c r="AR45" s="651"/>
      <c r="AS45" s="652"/>
      <c r="AT45" s="649" t="s">
        <v>627</v>
      </c>
      <c r="AU45" s="650"/>
      <c r="AV45" s="650"/>
      <c r="AW45" s="651"/>
      <c r="AX45" s="652"/>
    </row>
    <row r="46" spans="2:50">
      <c r="B46" s="652"/>
      <c r="C46" s="652"/>
      <c r="D46" s="652"/>
      <c r="E46" s="327" t="s">
        <v>628</v>
      </c>
      <c r="F46" s="327" t="s">
        <v>629</v>
      </c>
      <c r="G46" s="327" t="s">
        <v>630</v>
      </c>
      <c r="H46" s="670"/>
      <c r="I46" s="326" t="s">
        <v>628</v>
      </c>
      <c r="J46" s="326" t="s">
        <v>629</v>
      </c>
      <c r="K46" s="326" t="s">
        <v>630</v>
      </c>
      <c r="L46" s="639"/>
      <c r="M46" s="645"/>
      <c r="N46" s="652"/>
      <c r="O46" s="652"/>
      <c r="P46" s="327" t="s">
        <v>628</v>
      </c>
      <c r="Q46" s="327" t="s">
        <v>629</v>
      </c>
      <c r="R46" s="327" t="s">
        <v>630</v>
      </c>
      <c r="S46" s="327" t="s">
        <v>623</v>
      </c>
      <c r="T46" s="652"/>
      <c r="U46" s="327" t="s">
        <v>628</v>
      </c>
      <c r="V46" s="327" t="s">
        <v>629</v>
      </c>
      <c r="W46" s="327" t="s">
        <v>630</v>
      </c>
      <c r="X46" s="327" t="s">
        <v>623</v>
      </c>
      <c r="Y46" s="652"/>
      <c r="Z46" s="327" t="s">
        <v>628</v>
      </c>
      <c r="AA46" s="327" t="s">
        <v>629</v>
      </c>
      <c r="AB46" s="327" t="s">
        <v>630</v>
      </c>
      <c r="AC46" s="327" t="s">
        <v>623</v>
      </c>
      <c r="AD46" s="652"/>
      <c r="AE46" s="327" t="s">
        <v>628</v>
      </c>
      <c r="AF46" s="327" t="s">
        <v>629</v>
      </c>
      <c r="AG46" s="327" t="s">
        <v>630</v>
      </c>
      <c r="AH46" s="327" t="s">
        <v>623</v>
      </c>
      <c r="AI46" s="652"/>
      <c r="AJ46" s="327" t="s">
        <v>628</v>
      </c>
      <c r="AK46" s="327" t="s">
        <v>629</v>
      </c>
      <c r="AL46" s="327" t="s">
        <v>630</v>
      </c>
      <c r="AM46" s="327" t="s">
        <v>623</v>
      </c>
      <c r="AN46" s="652"/>
      <c r="AO46" s="327" t="s">
        <v>628</v>
      </c>
      <c r="AP46" s="327" t="s">
        <v>629</v>
      </c>
      <c r="AQ46" s="327" t="s">
        <v>630</v>
      </c>
      <c r="AR46" s="327" t="s">
        <v>623</v>
      </c>
      <c r="AS46" s="652"/>
      <c r="AT46" s="327" t="s">
        <v>628</v>
      </c>
      <c r="AU46" s="327" t="s">
        <v>629</v>
      </c>
      <c r="AV46" s="327" t="s">
        <v>630</v>
      </c>
      <c r="AW46" s="327" t="s">
        <v>623</v>
      </c>
      <c r="AX46" s="652"/>
    </row>
    <row r="47" spans="2:50">
      <c r="B47" s="652" t="s">
        <v>631</v>
      </c>
      <c r="C47" s="328">
        <v>1</v>
      </c>
      <c r="D47" s="227" t="s">
        <v>909</v>
      </c>
      <c r="E47" s="182">
        <v>13</v>
      </c>
      <c r="F47" s="448">
        <v>1500</v>
      </c>
      <c r="G47" s="449">
        <v>115.38461538461539</v>
      </c>
      <c r="H47" s="701">
        <f>AVERAGE(G47:G61)</f>
        <v>107.69230769230769</v>
      </c>
      <c r="I47" s="199">
        <f t="shared" ref="I47:K48" si="36">AVERAGE(P47,U47,Z47,AE47,AJ47,AO47,AT47)</f>
        <v>12.714285714285714</v>
      </c>
      <c r="J47" s="199">
        <f t="shared" si="36"/>
        <v>1510.7999999999995</v>
      </c>
      <c r="K47" s="200">
        <f t="shared" si="36"/>
        <v>118.88479853479849</v>
      </c>
      <c r="L47" s="633">
        <f>IFERROR(AVERAGE(K47:K61),"-")</f>
        <v>130.57973338053168</v>
      </c>
      <c r="M47" s="201">
        <f>RANK(K47, K$47:$K$61)</f>
        <v>2</v>
      </c>
      <c r="N47" s="652"/>
      <c r="O47" s="652"/>
      <c r="P47" s="182">
        <v>13</v>
      </c>
      <c r="Q47" s="182">
        <v>1608.0000000000005</v>
      </c>
      <c r="R47" s="449">
        <v>123.69230769230772</v>
      </c>
      <c r="S47" s="328">
        <f>RANK(R47, R$47:R$61)</f>
        <v>1</v>
      </c>
      <c r="T47" s="674">
        <f>AVERAGE(R47:R61)</f>
        <v>119.87076923076924</v>
      </c>
      <c r="U47" s="182">
        <v>13</v>
      </c>
      <c r="V47" s="182">
        <v>1372.0000000000014</v>
      </c>
      <c r="W47" s="552">
        <v>105.53846153846165</v>
      </c>
      <c r="X47" s="477">
        <f t="shared" ref="X47:X61" si="37">RANK(W47, W$47:W$61)</f>
        <v>2</v>
      </c>
      <c r="Y47" s="674">
        <f t="shared" ref="Y47" si="38">AVERAGE(W47:W61)</f>
        <v>110.06593406593413</v>
      </c>
      <c r="Z47" s="426">
        <v>12</v>
      </c>
      <c r="AA47" s="182">
        <v>1381.9999999999975</v>
      </c>
      <c r="AB47" s="552">
        <v>115.16666666666646</v>
      </c>
      <c r="AC47" s="477">
        <f t="shared" ref="AC47:AC61" si="39">RANK(AB47, AB$47:AB$61)</f>
        <v>2</v>
      </c>
      <c r="AD47" s="674">
        <f t="shared" ref="AD47" si="40">AVERAGE(AB47:AB61)</f>
        <v>139.30882352941165</v>
      </c>
      <c r="AE47" s="426">
        <v>12</v>
      </c>
      <c r="AF47" s="182">
        <v>1532.9999999999993</v>
      </c>
      <c r="AG47" s="552">
        <v>127.74999999999994</v>
      </c>
      <c r="AH47" s="477">
        <f t="shared" ref="AH47:AH61" si="41">RANK(AG47, AG$47:AG$61)</f>
        <v>2</v>
      </c>
      <c r="AI47" s="674">
        <f t="shared" ref="AI47" si="42">AVERAGE(AG47:AG61)</f>
        <v>144.31944444444434</v>
      </c>
      <c r="AJ47" s="426">
        <v>13</v>
      </c>
      <c r="AK47" s="182">
        <v>1485.6000000000006</v>
      </c>
      <c r="AL47" s="552">
        <v>114.27692307692313</v>
      </c>
      <c r="AM47" s="477">
        <f t="shared" ref="AM47:AM61" si="43">RANK(AL47, AL$47:AL$61)</f>
        <v>2</v>
      </c>
      <c r="AN47" s="674">
        <f t="shared" ref="AN47" si="44">AVERAGE(AL47:AL61)</f>
        <v>114.83076923076928</v>
      </c>
      <c r="AO47" s="426">
        <v>13</v>
      </c>
      <c r="AP47" s="182">
        <v>1530.0000000000055</v>
      </c>
      <c r="AQ47" s="552">
        <v>117.69230769230811</v>
      </c>
      <c r="AR47" s="477">
        <f t="shared" ref="AR47:AR61" si="45">RANK(AQ47, AQ$47:AQ$61)</f>
        <v>2</v>
      </c>
      <c r="AS47" s="674">
        <f t="shared" ref="AS47" si="46">AVERAGE(AQ47:AQ61)</f>
        <v>140.84615384615404</v>
      </c>
      <c r="AT47" s="426">
        <v>13</v>
      </c>
      <c r="AU47" s="182">
        <v>1664.9999999999925</v>
      </c>
      <c r="AV47" s="552">
        <v>128.0769230769225</v>
      </c>
      <c r="AW47" s="477">
        <f t="shared" ref="AW47:AW61" si="47">RANK(AV47, AV$47:AV$61)</f>
        <v>2</v>
      </c>
      <c r="AX47" s="674">
        <f t="shared" ref="AX47" si="48">AVERAGE(AV47:AV61)</f>
        <v>144.81623931623903</v>
      </c>
    </row>
    <row r="48" spans="2:50">
      <c r="B48" s="660"/>
      <c r="C48" s="328">
        <v>2</v>
      </c>
      <c r="D48" s="227" t="s">
        <v>953</v>
      </c>
      <c r="E48" s="182">
        <v>15</v>
      </c>
      <c r="F48" s="448">
        <v>1500</v>
      </c>
      <c r="G48" s="449">
        <v>100</v>
      </c>
      <c r="H48" s="702"/>
      <c r="I48" s="572">
        <f t="shared" si="36"/>
        <v>11.857142857142858</v>
      </c>
      <c r="J48" s="572">
        <f t="shared" si="36"/>
        <v>1478.2018727490995</v>
      </c>
      <c r="K48" s="200">
        <f t="shared" si="36"/>
        <v>142.27466822626485</v>
      </c>
      <c r="L48" s="634"/>
      <c r="M48" s="201">
        <f>RANK(K48, K$47:$K$61)</f>
        <v>1</v>
      </c>
      <c r="N48" s="652"/>
      <c r="O48" s="652"/>
      <c r="P48" s="448">
        <v>13</v>
      </c>
      <c r="Q48" s="182">
        <v>1508.6399999999996</v>
      </c>
      <c r="R48" s="464">
        <v>116.04923076923075</v>
      </c>
      <c r="S48" s="335">
        <f t="shared" ref="S48:S61" si="49">RANK(R48, R$47:R$61)</f>
        <v>2</v>
      </c>
      <c r="T48" s="674"/>
      <c r="U48" s="551">
        <v>13</v>
      </c>
      <c r="V48" s="182">
        <v>1489.714285714286</v>
      </c>
      <c r="W48" s="552">
        <v>114.59340659340661</v>
      </c>
      <c r="X48" s="477">
        <f t="shared" si="37"/>
        <v>1</v>
      </c>
      <c r="Y48" s="674"/>
      <c r="Z48" s="477">
        <v>11</v>
      </c>
      <c r="AA48" s="182">
        <v>1471.0588235294115</v>
      </c>
      <c r="AB48" s="478">
        <v>163.45098039215682</v>
      </c>
      <c r="AC48" s="477">
        <f t="shared" si="39"/>
        <v>1</v>
      </c>
      <c r="AD48" s="674"/>
      <c r="AE48" s="477">
        <v>11</v>
      </c>
      <c r="AF48" s="182">
        <v>1447.9999999999989</v>
      </c>
      <c r="AG48" s="478">
        <v>160.88888888888877</v>
      </c>
      <c r="AH48" s="477">
        <f t="shared" si="41"/>
        <v>1</v>
      </c>
      <c r="AI48" s="674"/>
      <c r="AJ48" s="477">
        <v>13</v>
      </c>
      <c r="AK48" s="182">
        <v>1500.0000000000007</v>
      </c>
      <c r="AL48" s="478">
        <v>115.38461538461544</v>
      </c>
      <c r="AM48" s="477">
        <f t="shared" si="43"/>
        <v>1</v>
      </c>
      <c r="AN48" s="674"/>
      <c r="AO48" s="477">
        <v>11</v>
      </c>
      <c r="AP48" s="182">
        <v>1475.9999999999995</v>
      </c>
      <c r="AQ48" s="478">
        <v>163.99999999999994</v>
      </c>
      <c r="AR48" s="477">
        <f t="shared" si="45"/>
        <v>1</v>
      </c>
      <c r="AS48" s="674"/>
      <c r="AT48" s="477">
        <v>11</v>
      </c>
      <c r="AU48" s="182">
        <v>1454</v>
      </c>
      <c r="AV48" s="478">
        <v>161.55555555555554</v>
      </c>
      <c r="AW48" s="477">
        <f t="shared" si="47"/>
        <v>1</v>
      </c>
      <c r="AX48" s="674"/>
    </row>
    <row r="49" spans="2:50">
      <c r="B49" s="660"/>
      <c r="C49" s="328">
        <v>3</v>
      </c>
      <c r="D49" s="227"/>
      <c r="E49" s="182"/>
      <c r="F49" s="448"/>
      <c r="G49" s="449"/>
      <c r="H49" s="702"/>
      <c r="I49" s="465"/>
      <c r="J49" s="465"/>
      <c r="K49" s="200"/>
      <c r="L49" s="634"/>
      <c r="M49" s="201" t="e">
        <f>RANK(K49, K$47:$K$61)</f>
        <v>#N/A</v>
      </c>
      <c r="N49" s="652"/>
      <c r="O49" s="652"/>
      <c r="P49" s="448"/>
      <c r="Q49" s="182"/>
      <c r="R49" s="464"/>
      <c r="S49" s="335" t="e">
        <f t="shared" si="49"/>
        <v>#N/A</v>
      </c>
      <c r="T49" s="674"/>
      <c r="U49" s="551"/>
      <c r="V49" s="182"/>
      <c r="W49" s="552"/>
      <c r="X49" s="477" t="e">
        <f t="shared" si="37"/>
        <v>#N/A</v>
      </c>
      <c r="Y49" s="674"/>
      <c r="Z49" s="477"/>
      <c r="AA49" s="182"/>
      <c r="AB49" s="478"/>
      <c r="AC49" s="477" t="e">
        <f t="shared" si="39"/>
        <v>#N/A</v>
      </c>
      <c r="AD49" s="674"/>
      <c r="AE49" s="477"/>
      <c r="AF49" s="182"/>
      <c r="AG49" s="478"/>
      <c r="AH49" s="477" t="e">
        <f t="shared" si="41"/>
        <v>#N/A</v>
      </c>
      <c r="AI49" s="674"/>
      <c r="AJ49" s="477"/>
      <c r="AK49" s="182"/>
      <c r="AL49" s="478"/>
      <c r="AM49" s="477" t="e">
        <f t="shared" si="43"/>
        <v>#N/A</v>
      </c>
      <c r="AN49" s="674"/>
      <c r="AO49" s="477"/>
      <c r="AP49" s="182"/>
      <c r="AQ49" s="478"/>
      <c r="AR49" s="477" t="e">
        <f t="shared" si="45"/>
        <v>#N/A</v>
      </c>
      <c r="AS49" s="674"/>
      <c r="AT49" s="477"/>
      <c r="AU49" s="182"/>
      <c r="AV49" s="478"/>
      <c r="AW49" s="477" t="e">
        <f t="shared" si="47"/>
        <v>#N/A</v>
      </c>
      <c r="AX49" s="674"/>
    </row>
    <row r="50" spans="2:50">
      <c r="B50" s="660"/>
      <c r="C50" s="328">
        <v>4</v>
      </c>
      <c r="D50" s="227"/>
      <c r="E50" s="182"/>
      <c r="F50" s="448"/>
      <c r="G50" s="449"/>
      <c r="H50" s="702"/>
      <c r="I50" s="199"/>
      <c r="J50" s="199"/>
      <c r="K50" s="200"/>
      <c r="L50" s="634"/>
      <c r="M50" s="201" t="e">
        <f>RANK(K50, K$47:$K$61)</f>
        <v>#N/A</v>
      </c>
      <c r="N50" s="652"/>
      <c r="O50" s="652"/>
      <c r="P50" s="448"/>
      <c r="Q50" s="448"/>
      <c r="R50" s="448"/>
      <c r="S50" s="335" t="e">
        <f t="shared" si="49"/>
        <v>#N/A</v>
      </c>
      <c r="T50" s="674"/>
      <c r="U50" s="551"/>
      <c r="V50" s="551"/>
      <c r="W50" s="551"/>
      <c r="X50" s="477" t="e">
        <f t="shared" si="37"/>
        <v>#N/A</v>
      </c>
      <c r="Y50" s="674"/>
      <c r="Z50" s="477"/>
      <c r="AA50" s="477"/>
      <c r="AB50" s="477"/>
      <c r="AC50" s="477" t="e">
        <f t="shared" si="39"/>
        <v>#N/A</v>
      </c>
      <c r="AD50" s="674"/>
      <c r="AE50" s="477"/>
      <c r="AF50" s="477"/>
      <c r="AG50" s="477"/>
      <c r="AH50" s="477" t="e">
        <f t="shared" si="41"/>
        <v>#N/A</v>
      </c>
      <c r="AI50" s="674"/>
      <c r="AJ50" s="477"/>
      <c r="AK50" s="477"/>
      <c r="AL50" s="477"/>
      <c r="AM50" s="477" t="e">
        <f t="shared" si="43"/>
        <v>#N/A</v>
      </c>
      <c r="AN50" s="674"/>
      <c r="AO50" s="477"/>
      <c r="AP50" s="477"/>
      <c r="AQ50" s="477"/>
      <c r="AR50" s="477" t="e">
        <f t="shared" si="45"/>
        <v>#N/A</v>
      </c>
      <c r="AS50" s="674"/>
      <c r="AT50" s="477"/>
      <c r="AU50" s="477"/>
      <c r="AV50" s="477"/>
      <c r="AW50" s="477" t="e">
        <f t="shared" si="47"/>
        <v>#N/A</v>
      </c>
      <c r="AX50" s="674"/>
    </row>
    <row r="51" spans="2:50">
      <c r="B51" s="660"/>
      <c r="C51" s="328">
        <v>5</v>
      </c>
      <c r="D51" s="227"/>
      <c r="E51" s="182"/>
      <c r="F51" s="448"/>
      <c r="G51" s="449"/>
      <c r="H51" s="702"/>
      <c r="I51" s="199"/>
      <c r="J51" s="199"/>
      <c r="K51" s="200"/>
      <c r="L51" s="634"/>
      <c r="M51" s="201" t="e">
        <f>RANK(K51, K$47:$K$61)</f>
        <v>#N/A</v>
      </c>
      <c r="N51" s="652"/>
      <c r="O51" s="652"/>
      <c r="P51" s="448"/>
      <c r="Q51" s="448"/>
      <c r="R51" s="448"/>
      <c r="S51" s="335" t="e">
        <f t="shared" si="49"/>
        <v>#N/A</v>
      </c>
      <c r="T51" s="674"/>
      <c r="U51" s="551"/>
      <c r="V51" s="551"/>
      <c r="W51" s="551"/>
      <c r="X51" s="477" t="e">
        <f t="shared" si="37"/>
        <v>#N/A</v>
      </c>
      <c r="Y51" s="674"/>
      <c r="Z51" s="477"/>
      <c r="AA51" s="477"/>
      <c r="AB51" s="477"/>
      <c r="AC51" s="477" t="e">
        <f t="shared" si="39"/>
        <v>#N/A</v>
      </c>
      <c r="AD51" s="674"/>
      <c r="AE51" s="477"/>
      <c r="AF51" s="477"/>
      <c r="AG51" s="477"/>
      <c r="AH51" s="477" t="e">
        <f t="shared" si="41"/>
        <v>#N/A</v>
      </c>
      <c r="AI51" s="674"/>
      <c r="AJ51" s="477"/>
      <c r="AK51" s="477"/>
      <c r="AL51" s="477"/>
      <c r="AM51" s="477" t="e">
        <f t="shared" si="43"/>
        <v>#N/A</v>
      </c>
      <c r="AN51" s="674"/>
      <c r="AO51" s="477"/>
      <c r="AP51" s="477"/>
      <c r="AQ51" s="477"/>
      <c r="AR51" s="477" t="e">
        <f t="shared" si="45"/>
        <v>#N/A</v>
      </c>
      <c r="AS51" s="674"/>
      <c r="AT51" s="477"/>
      <c r="AU51" s="477"/>
      <c r="AV51" s="477"/>
      <c r="AW51" s="477" t="e">
        <f t="shared" si="47"/>
        <v>#N/A</v>
      </c>
      <c r="AX51" s="674"/>
    </row>
    <row r="52" spans="2:50">
      <c r="B52" s="660"/>
      <c r="C52" s="328">
        <v>6</v>
      </c>
      <c r="D52" s="227"/>
      <c r="E52" s="182"/>
      <c r="F52" s="448"/>
      <c r="G52" s="449"/>
      <c r="H52" s="702"/>
      <c r="I52" s="199"/>
      <c r="J52" s="199"/>
      <c r="K52" s="200"/>
      <c r="L52" s="634"/>
      <c r="M52" s="201" t="e">
        <f>RANK(K52, K$47:$K$61)</f>
        <v>#N/A</v>
      </c>
      <c r="N52" s="652"/>
      <c r="O52" s="652"/>
      <c r="P52" s="448"/>
      <c r="Q52" s="448"/>
      <c r="R52" s="448"/>
      <c r="S52" s="335" t="e">
        <f t="shared" si="49"/>
        <v>#N/A</v>
      </c>
      <c r="T52" s="674"/>
      <c r="U52" s="551"/>
      <c r="V52" s="551"/>
      <c r="W52" s="551"/>
      <c r="X52" s="477" t="e">
        <f t="shared" si="37"/>
        <v>#N/A</v>
      </c>
      <c r="Y52" s="674"/>
      <c r="Z52" s="477"/>
      <c r="AA52" s="477"/>
      <c r="AB52" s="477"/>
      <c r="AC52" s="477" t="e">
        <f t="shared" si="39"/>
        <v>#N/A</v>
      </c>
      <c r="AD52" s="674"/>
      <c r="AE52" s="477"/>
      <c r="AF52" s="477"/>
      <c r="AG52" s="477"/>
      <c r="AH52" s="477" t="e">
        <f t="shared" si="41"/>
        <v>#N/A</v>
      </c>
      <c r="AI52" s="674"/>
      <c r="AJ52" s="477"/>
      <c r="AK52" s="477"/>
      <c r="AL52" s="477"/>
      <c r="AM52" s="477" t="e">
        <f t="shared" si="43"/>
        <v>#N/A</v>
      </c>
      <c r="AN52" s="674"/>
      <c r="AO52" s="477"/>
      <c r="AP52" s="477"/>
      <c r="AQ52" s="477"/>
      <c r="AR52" s="477" t="e">
        <f t="shared" si="45"/>
        <v>#N/A</v>
      </c>
      <c r="AS52" s="674"/>
      <c r="AT52" s="477"/>
      <c r="AU52" s="477"/>
      <c r="AV52" s="477"/>
      <c r="AW52" s="477" t="e">
        <f t="shared" si="47"/>
        <v>#N/A</v>
      </c>
      <c r="AX52" s="674"/>
    </row>
    <row r="53" spans="2:50">
      <c r="B53" s="660"/>
      <c r="C53" s="328">
        <v>7</v>
      </c>
      <c r="D53" s="227"/>
      <c r="E53" s="182"/>
      <c r="F53" s="448"/>
      <c r="G53" s="449"/>
      <c r="H53" s="702"/>
      <c r="I53" s="199"/>
      <c r="J53" s="199"/>
      <c r="K53" s="200"/>
      <c r="L53" s="634"/>
      <c r="M53" s="201" t="e">
        <f>RANK(K53, K$47:$K$61)</f>
        <v>#N/A</v>
      </c>
      <c r="N53" s="652"/>
      <c r="O53" s="652"/>
      <c r="P53" s="448"/>
      <c r="Q53" s="448"/>
      <c r="R53" s="448"/>
      <c r="S53" s="335" t="e">
        <f t="shared" si="49"/>
        <v>#N/A</v>
      </c>
      <c r="T53" s="674"/>
      <c r="U53" s="551"/>
      <c r="V53" s="551"/>
      <c r="W53" s="551"/>
      <c r="X53" s="477" t="e">
        <f t="shared" si="37"/>
        <v>#N/A</v>
      </c>
      <c r="Y53" s="674"/>
      <c r="Z53" s="477"/>
      <c r="AA53" s="477"/>
      <c r="AB53" s="477"/>
      <c r="AC53" s="477" t="e">
        <f t="shared" si="39"/>
        <v>#N/A</v>
      </c>
      <c r="AD53" s="674"/>
      <c r="AE53" s="477"/>
      <c r="AF53" s="477"/>
      <c r="AG53" s="477"/>
      <c r="AH53" s="477" t="e">
        <f t="shared" si="41"/>
        <v>#N/A</v>
      </c>
      <c r="AI53" s="674"/>
      <c r="AJ53" s="477"/>
      <c r="AK53" s="477"/>
      <c r="AL53" s="477"/>
      <c r="AM53" s="477" t="e">
        <f t="shared" si="43"/>
        <v>#N/A</v>
      </c>
      <c r="AN53" s="674"/>
      <c r="AO53" s="477"/>
      <c r="AP53" s="477"/>
      <c r="AQ53" s="477"/>
      <c r="AR53" s="477" t="e">
        <f t="shared" si="45"/>
        <v>#N/A</v>
      </c>
      <c r="AS53" s="674"/>
      <c r="AT53" s="477"/>
      <c r="AU53" s="477"/>
      <c r="AV53" s="477"/>
      <c r="AW53" s="477" t="e">
        <f t="shared" si="47"/>
        <v>#N/A</v>
      </c>
      <c r="AX53" s="674"/>
    </row>
    <row r="54" spans="2:50">
      <c r="B54" s="660"/>
      <c r="C54" s="328">
        <v>8</v>
      </c>
      <c r="D54" s="227"/>
      <c r="E54" s="182"/>
      <c r="F54" s="448"/>
      <c r="G54" s="449"/>
      <c r="H54" s="702"/>
      <c r="I54" s="199"/>
      <c r="J54" s="199"/>
      <c r="K54" s="200"/>
      <c r="L54" s="634"/>
      <c r="M54" s="201" t="e">
        <f>RANK(K54, K$47:$K$61)</f>
        <v>#N/A</v>
      </c>
      <c r="N54" s="652"/>
      <c r="O54" s="652"/>
      <c r="P54" s="448"/>
      <c r="Q54" s="448"/>
      <c r="R54" s="448"/>
      <c r="S54" s="335" t="e">
        <f t="shared" si="49"/>
        <v>#N/A</v>
      </c>
      <c r="T54" s="674"/>
      <c r="U54" s="551"/>
      <c r="V54" s="551"/>
      <c r="W54" s="551"/>
      <c r="X54" s="477" t="e">
        <f t="shared" si="37"/>
        <v>#N/A</v>
      </c>
      <c r="Y54" s="674"/>
      <c r="Z54" s="477"/>
      <c r="AA54" s="477"/>
      <c r="AB54" s="477"/>
      <c r="AC54" s="477" t="e">
        <f t="shared" si="39"/>
        <v>#N/A</v>
      </c>
      <c r="AD54" s="674"/>
      <c r="AE54" s="477"/>
      <c r="AF54" s="477"/>
      <c r="AG54" s="477"/>
      <c r="AH54" s="477" t="e">
        <f t="shared" si="41"/>
        <v>#N/A</v>
      </c>
      <c r="AI54" s="674"/>
      <c r="AJ54" s="477"/>
      <c r="AK54" s="477"/>
      <c r="AL54" s="477"/>
      <c r="AM54" s="477" t="e">
        <f t="shared" si="43"/>
        <v>#N/A</v>
      </c>
      <c r="AN54" s="674"/>
      <c r="AO54" s="477"/>
      <c r="AP54" s="477"/>
      <c r="AQ54" s="477"/>
      <c r="AR54" s="477" t="e">
        <f t="shared" si="45"/>
        <v>#N/A</v>
      </c>
      <c r="AS54" s="674"/>
      <c r="AT54" s="477"/>
      <c r="AU54" s="477"/>
      <c r="AV54" s="477"/>
      <c r="AW54" s="477" t="e">
        <f t="shared" si="47"/>
        <v>#N/A</v>
      </c>
      <c r="AX54" s="674"/>
    </row>
    <row r="55" spans="2:50">
      <c r="B55" s="660"/>
      <c r="C55" s="328">
        <v>9</v>
      </c>
      <c r="D55" s="227"/>
      <c r="E55" s="182"/>
      <c r="F55" s="448"/>
      <c r="G55" s="449"/>
      <c r="H55" s="702"/>
      <c r="I55" s="199"/>
      <c r="J55" s="199"/>
      <c r="K55" s="200"/>
      <c r="L55" s="634"/>
      <c r="M55" s="201" t="e">
        <f>RANK(K55, K$47:$K$61)</f>
        <v>#N/A</v>
      </c>
      <c r="N55" s="652"/>
      <c r="O55" s="652"/>
      <c r="P55" s="448"/>
      <c r="Q55" s="448"/>
      <c r="R55" s="448"/>
      <c r="S55" s="335" t="e">
        <f t="shared" si="49"/>
        <v>#N/A</v>
      </c>
      <c r="T55" s="674"/>
      <c r="U55" s="551"/>
      <c r="V55" s="551"/>
      <c r="W55" s="551"/>
      <c r="X55" s="477" t="e">
        <f t="shared" si="37"/>
        <v>#N/A</v>
      </c>
      <c r="Y55" s="674"/>
      <c r="Z55" s="477"/>
      <c r="AA55" s="477"/>
      <c r="AB55" s="477"/>
      <c r="AC55" s="477" t="e">
        <f t="shared" si="39"/>
        <v>#N/A</v>
      </c>
      <c r="AD55" s="674"/>
      <c r="AE55" s="477"/>
      <c r="AF55" s="477"/>
      <c r="AG55" s="477"/>
      <c r="AH55" s="477" t="e">
        <f t="shared" si="41"/>
        <v>#N/A</v>
      </c>
      <c r="AI55" s="674"/>
      <c r="AJ55" s="477"/>
      <c r="AK55" s="477"/>
      <c r="AL55" s="477"/>
      <c r="AM55" s="477" t="e">
        <f t="shared" si="43"/>
        <v>#N/A</v>
      </c>
      <c r="AN55" s="674"/>
      <c r="AO55" s="477"/>
      <c r="AP55" s="477"/>
      <c r="AQ55" s="477"/>
      <c r="AR55" s="477" t="e">
        <f t="shared" si="45"/>
        <v>#N/A</v>
      </c>
      <c r="AS55" s="674"/>
      <c r="AT55" s="477"/>
      <c r="AU55" s="477"/>
      <c r="AV55" s="477"/>
      <c r="AW55" s="477" t="e">
        <f t="shared" si="47"/>
        <v>#N/A</v>
      </c>
      <c r="AX55" s="674"/>
    </row>
    <row r="56" spans="2:50">
      <c r="B56" s="660"/>
      <c r="C56" s="328">
        <v>10</v>
      </c>
      <c r="D56" s="227"/>
      <c r="E56" s="182"/>
      <c r="F56" s="448"/>
      <c r="G56" s="449"/>
      <c r="H56" s="702"/>
      <c r="I56" s="199"/>
      <c r="J56" s="199"/>
      <c r="K56" s="200"/>
      <c r="L56" s="634"/>
      <c r="M56" s="201" t="e">
        <f>RANK(K56, K$47:$K$61)</f>
        <v>#N/A</v>
      </c>
      <c r="N56" s="652"/>
      <c r="O56" s="652"/>
      <c r="P56" s="448"/>
      <c r="Q56" s="448"/>
      <c r="R56" s="448"/>
      <c r="S56" s="335" t="e">
        <f t="shared" si="49"/>
        <v>#N/A</v>
      </c>
      <c r="T56" s="674"/>
      <c r="U56" s="551"/>
      <c r="V56" s="551"/>
      <c r="W56" s="551"/>
      <c r="X56" s="477" t="e">
        <f t="shared" si="37"/>
        <v>#N/A</v>
      </c>
      <c r="Y56" s="674"/>
      <c r="Z56" s="477"/>
      <c r="AA56" s="477"/>
      <c r="AB56" s="477"/>
      <c r="AC56" s="477" t="e">
        <f t="shared" si="39"/>
        <v>#N/A</v>
      </c>
      <c r="AD56" s="674"/>
      <c r="AE56" s="477"/>
      <c r="AF56" s="477"/>
      <c r="AG56" s="477"/>
      <c r="AH56" s="477" t="e">
        <f t="shared" si="41"/>
        <v>#N/A</v>
      </c>
      <c r="AI56" s="674"/>
      <c r="AJ56" s="477"/>
      <c r="AK56" s="477"/>
      <c r="AL56" s="477"/>
      <c r="AM56" s="477" t="e">
        <f t="shared" si="43"/>
        <v>#N/A</v>
      </c>
      <c r="AN56" s="674"/>
      <c r="AO56" s="477"/>
      <c r="AP56" s="477"/>
      <c r="AQ56" s="477"/>
      <c r="AR56" s="477" t="e">
        <f t="shared" si="45"/>
        <v>#N/A</v>
      </c>
      <c r="AS56" s="674"/>
      <c r="AT56" s="477"/>
      <c r="AU56" s="477"/>
      <c r="AV56" s="477"/>
      <c r="AW56" s="477" t="e">
        <f t="shared" si="47"/>
        <v>#N/A</v>
      </c>
      <c r="AX56" s="674"/>
    </row>
    <row r="57" spans="2:50">
      <c r="B57" s="660"/>
      <c r="C57" s="328">
        <v>11</v>
      </c>
      <c r="D57" s="227"/>
      <c r="E57" s="182"/>
      <c r="F57" s="448"/>
      <c r="G57" s="449"/>
      <c r="H57" s="702"/>
      <c r="I57" s="202"/>
      <c r="J57" s="202"/>
      <c r="K57" s="202"/>
      <c r="L57" s="634"/>
      <c r="M57" s="201" t="e">
        <f>RANK(K57, K$47:$K$61)</f>
        <v>#N/A</v>
      </c>
      <c r="N57" s="652"/>
      <c r="O57" s="652"/>
      <c r="P57" s="448"/>
      <c r="Q57" s="448"/>
      <c r="R57" s="448"/>
      <c r="S57" s="335" t="e">
        <f t="shared" si="49"/>
        <v>#N/A</v>
      </c>
      <c r="T57" s="674"/>
      <c r="U57" s="551"/>
      <c r="V57" s="551"/>
      <c r="W57" s="551"/>
      <c r="X57" s="477" t="e">
        <f t="shared" si="37"/>
        <v>#N/A</v>
      </c>
      <c r="Y57" s="674"/>
      <c r="Z57" s="477"/>
      <c r="AA57" s="477"/>
      <c r="AB57" s="477"/>
      <c r="AC57" s="477" t="e">
        <f t="shared" si="39"/>
        <v>#N/A</v>
      </c>
      <c r="AD57" s="674"/>
      <c r="AE57" s="477"/>
      <c r="AF57" s="477"/>
      <c r="AG57" s="477"/>
      <c r="AH57" s="477" t="e">
        <f t="shared" si="41"/>
        <v>#N/A</v>
      </c>
      <c r="AI57" s="674"/>
      <c r="AJ57" s="477"/>
      <c r="AK57" s="477"/>
      <c r="AL57" s="477"/>
      <c r="AM57" s="477" t="e">
        <f t="shared" si="43"/>
        <v>#N/A</v>
      </c>
      <c r="AN57" s="674"/>
      <c r="AO57" s="477"/>
      <c r="AP57" s="477"/>
      <c r="AQ57" s="477"/>
      <c r="AR57" s="477" t="e">
        <f t="shared" si="45"/>
        <v>#N/A</v>
      </c>
      <c r="AS57" s="674"/>
      <c r="AT57" s="477"/>
      <c r="AU57" s="477"/>
      <c r="AV57" s="477"/>
      <c r="AW57" s="477" t="e">
        <f t="shared" si="47"/>
        <v>#N/A</v>
      </c>
      <c r="AX57" s="674"/>
    </row>
    <row r="58" spans="2:50">
      <c r="B58" s="660"/>
      <c r="C58" s="328">
        <v>12</v>
      </c>
      <c r="D58" s="227"/>
      <c r="E58" s="182"/>
      <c r="F58" s="448"/>
      <c r="G58" s="449"/>
      <c r="H58" s="702"/>
      <c r="I58" s="202"/>
      <c r="J58" s="202"/>
      <c r="K58" s="202"/>
      <c r="L58" s="634"/>
      <c r="M58" s="201" t="e">
        <f>RANK(K58, K$47:$K$61)</f>
        <v>#N/A</v>
      </c>
      <c r="N58" s="652"/>
      <c r="O58" s="652"/>
      <c r="P58" s="448"/>
      <c r="Q58" s="448"/>
      <c r="R58" s="448"/>
      <c r="S58" s="335" t="e">
        <f t="shared" si="49"/>
        <v>#N/A</v>
      </c>
      <c r="T58" s="674"/>
      <c r="U58" s="551"/>
      <c r="V58" s="551"/>
      <c r="W58" s="551"/>
      <c r="X58" s="477" t="e">
        <f t="shared" si="37"/>
        <v>#N/A</v>
      </c>
      <c r="Y58" s="674"/>
      <c r="Z58" s="477"/>
      <c r="AA58" s="477"/>
      <c r="AB58" s="477"/>
      <c r="AC58" s="477" t="e">
        <f t="shared" si="39"/>
        <v>#N/A</v>
      </c>
      <c r="AD58" s="674"/>
      <c r="AE58" s="477"/>
      <c r="AF58" s="477"/>
      <c r="AG58" s="477"/>
      <c r="AH58" s="477" t="e">
        <f t="shared" si="41"/>
        <v>#N/A</v>
      </c>
      <c r="AI58" s="674"/>
      <c r="AJ58" s="477"/>
      <c r="AK58" s="477"/>
      <c r="AL58" s="477"/>
      <c r="AM58" s="477" t="e">
        <f t="shared" si="43"/>
        <v>#N/A</v>
      </c>
      <c r="AN58" s="674"/>
      <c r="AO58" s="477"/>
      <c r="AP58" s="477"/>
      <c r="AQ58" s="477"/>
      <c r="AR58" s="477" t="e">
        <f t="shared" si="45"/>
        <v>#N/A</v>
      </c>
      <c r="AS58" s="674"/>
      <c r="AT58" s="477"/>
      <c r="AU58" s="477"/>
      <c r="AV58" s="477"/>
      <c r="AW58" s="477" t="e">
        <f t="shared" si="47"/>
        <v>#N/A</v>
      </c>
      <c r="AX58" s="674"/>
    </row>
    <row r="59" spans="2:50">
      <c r="B59" s="660"/>
      <c r="C59" s="328">
        <v>13</v>
      </c>
      <c r="D59" s="227"/>
      <c r="E59" s="182"/>
      <c r="F59" s="448"/>
      <c r="G59" s="449"/>
      <c r="H59" s="702"/>
      <c r="I59" s="202"/>
      <c r="J59" s="202"/>
      <c r="K59" s="202"/>
      <c r="L59" s="634"/>
      <c r="M59" s="201" t="e">
        <f>RANK(K59, K$47:$K$61)</f>
        <v>#N/A</v>
      </c>
      <c r="N59" s="652"/>
      <c r="O59" s="652"/>
      <c r="P59" s="448"/>
      <c r="Q59" s="448"/>
      <c r="R59" s="448"/>
      <c r="S59" s="335" t="e">
        <f t="shared" si="49"/>
        <v>#N/A</v>
      </c>
      <c r="T59" s="674"/>
      <c r="U59" s="551"/>
      <c r="V59" s="551"/>
      <c r="W59" s="551"/>
      <c r="X59" s="477" t="e">
        <f t="shared" si="37"/>
        <v>#N/A</v>
      </c>
      <c r="Y59" s="674"/>
      <c r="Z59" s="477"/>
      <c r="AA59" s="477"/>
      <c r="AB59" s="477"/>
      <c r="AC59" s="477" t="e">
        <f t="shared" si="39"/>
        <v>#N/A</v>
      </c>
      <c r="AD59" s="674"/>
      <c r="AE59" s="477"/>
      <c r="AF59" s="477"/>
      <c r="AG59" s="477"/>
      <c r="AH59" s="477" t="e">
        <f t="shared" si="41"/>
        <v>#N/A</v>
      </c>
      <c r="AI59" s="674"/>
      <c r="AJ59" s="477"/>
      <c r="AK59" s="477"/>
      <c r="AL59" s="477"/>
      <c r="AM59" s="477" t="e">
        <f t="shared" si="43"/>
        <v>#N/A</v>
      </c>
      <c r="AN59" s="674"/>
      <c r="AO59" s="477"/>
      <c r="AP59" s="477"/>
      <c r="AQ59" s="477"/>
      <c r="AR59" s="477" t="e">
        <f t="shared" si="45"/>
        <v>#N/A</v>
      </c>
      <c r="AS59" s="674"/>
      <c r="AT59" s="477"/>
      <c r="AU59" s="477"/>
      <c r="AV59" s="477"/>
      <c r="AW59" s="477" t="e">
        <f t="shared" si="47"/>
        <v>#N/A</v>
      </c>
      <c r="AX59" s="674"/>
    </row>
    <row r="60" spans="2:50">
      <c r="B60" s="660"/>
      <c r="C60" s="328">
        <v>14</v>
      </c>
      <c r="D60" s="227"/>
      <c r="E60" s="182"/>
      <c r="F60" s="448"/>
      <c r="G60" s="449"/>
      <c r="H60" s="702"/>
      <c r="I60" s="202"/>
      <c r="J60" s="202"/>
      <c r="K60" s="202"/>
      <c r="L60" s="634"/>
      <c r="M60" s="201" t="e">
        <f>RANK(K60, K$47:$K$61)</f>
        <v>#N/A</v>
      </c>
      <c r="N60" s="652"/>
      <c r="O60" s="652"/>
      <c r="P60" s="448"/>
      <c r="Q60" s="448"/>
      <c r="R60" s="448"/>
      <c r="S60" s="335" t="e">
        <f t="shared" si="49"/>
        <v>#N/A</v>
      </c>
      <c r="T60" s="674"/>
      <c r="U60" s="551"/>
      <c r="V60" s="551"/>
      <c r="W60" s="551"/>
      <c r="X60" s="477" t="e">
        <f t="shared" si="37"/>
        <v>#N/A</v>
      </c>
      <c r="Y60" s="674"/>
      <c r="Z60" s="477"/>
      <c r="AA60" s="477"/>
      <c r="AB60" s="477"/>
      <c r="AC60" s="477" t="e">
        <f t="shared" si="39"/>
        <v>#N/A</v>
      </c>
      <c r="AD60" s="674"/>
      <c r="AE60" s="477"/>
      <c r="AF60" s="477"/>
      <c r="AG60" s="477"/>
      <c r="AH60" s="477" t="e">
        <f t="shared" si="41"/>
        <v>#N/A</v>
      </c>
      <c r="AI60" s="674"/>
      <c r="AJ60" s="477"/>
      <c r="AK60" s="477"/>
      <c r="AL60" s="477"/>
      <c r="AM60" s="477" t="e">
        <f t="shared" si="43"/>
        <v>#N/A</v>
      </c>
      <c r="AN60" s="674"/>
      <c r="AO60" s="477"/>
      <c r="AP60" s="477"/>
      <c r="AQ60" s="477"/>
      <c r="AR60" s="477" t="e">
        <f t="shared" si="45"/>
        <v>#N/A</v>
      </c>
      <c r="AS60" s="674"/>
      <c r="AT60" s="477"/>
      <c r="AU60" s="477"/>
      <c r="AV60" s="477"/>
      <c r="AW60" s="477" t="e">
        <f t="shared" si="47"/>
        <v>#N/A</v>
      </c>
      <c r="AX60" s="674"/>
    </row>
    <row r="61" spans="2:50">
      <c r="B61" s="660"/>
      <c r="C61" s="328">
        <v>15</v>
      </c>
      <c r="D61" s="227"/>
      <c r="E61" s="182"/>
      <c r="F61" s="448"/>
      <c r="G61" s="449"/>
      <c r="H61" s="703"/>
      <c r="I61" s="202"/>
      <c r="J61" s="202"/>
      <c r="K61" s="202"/>
      <c r="L61" s="635"/>
      <c r="M61" s="201" t="e">
        <f>RANK(K61, K$47:$K$61)</f>
        <v>#N/A</v>
      </c>
      <c r="N61" s="652"/>
      <c r="O61" s="652"/>
      <c r="P61" s="448"/>
      <c r="Q61" s="448"/>
      <c r="R61" s="448"/>
      <c r="S61" s="335" t="e">
        <f t="shared" si="49"/>
        <v>#N/A</v>
      </c>
      <c r="T61" s="674"/>
      <c r="U61" s="551"/>
      <c r="V61" s="551"/>
      <c r="W61" s="551"/>
      <c r="X61" s="477" t="e">
        <f t="shared" si="37"/>
        <v>#N/A</v>
      </c>
      <c r="Y61" s="674"/>
      <c r="Z61" s="477"/>
      <c r="AA61" s="477"/>
      <c r="AB61" s="477"/>
      <c r="AC61" s="477" t="e">
        <f t="shared" si="39"/>
        <v>#N/A</v>
      </c>
      <c r="AD61" s="674"/>
      <c r="AE61" s="477"/>
      <c r="AF61" s="477"/>
      <c r="AG61" s="477"/>
      <c r="AH61" s="477" t="e">
        <f t="shared" si="41"/>
        <v>#N/A</v>
      </c>
      <c r="AI61" s="674"/>
      <c r="AJ61" s="477"/>
      <c r="AK61" s="477"/>
      <c r="AL61" s="477"/>
      <c r="AM61" s="477" t="e">
        <f t="shared" si="43"/>
        <v>#N/A</v>
      </c>
      <c r="AN61" s="674"/>
      <c r="AO61" s="477"/>
      <c r="AP61" s="477"/>
      <c r="AQ61" s="477"/>
      <c r="AR61" s="477" t="e">
        <f t="shared" si="45"/>
        <v>#N/A</v>
      </c>
      <c r="AS61" s="674"/>
      <c r="AT61" s="477"/>
      <c r="AU61" s="477"/>
      <c r="AV61" s="477"/>
      <c r="AW61" s="477" t="e">
        <f t="shared" si="47"/>
        <v>#N/A</v>
      </c>
      <c r="AX61" s="674"/>
    </row>
    <row r="62" spans="2:50" ht="15.75">
      <c r="B62" s="664" t="s">
        <v>163</v>
      </c>
      <c r="C62" s="665"/>
      <c r="D62" s="665"/>
      <c r="E62" s="665"/>
      <c r="F62" s="665"/>
      <c r="G62" s="665"/>
      <c r="H62" s="666"/>
      <c r="I62" s="208"/>
      <c r="J62" s="208"/>
      <c r="K62" s="208"/>
      <c r="L62" s="208"/>
      <c r="M62" s="207"/>
      <c r="N62" s="653" t="s">
        <v>156</v>
      </c>
      <c r="O62" s="653" t="s">
        <v>105</v>
      </c>
      <c r="P62" s="659">
        <f>P42+7</f>
        <v>46070</v>
      </c>
      <c r="Q62" s="660"/>
      <c r="R62" s="660"/>
      <c r="S62" s="660"/>
      <c r="T62" s="660"/>
      <c r="U62" s="656">
        <f>P62+1</f>
        <v>46071</v>
      </c>
      <c r="V62" s="657"/>
      <c r="W62" s="657"/>
      <c r="X62" s="657"/>
      <c r="Y62" s="658"/>
      <c r="Z62" s="656">
        <f>U62+1</f>
        <v>46072</v>
      </c>
      <c r="AA62" s="657"/>
      <c r="AB62" s="657"/>
      <c r="AC62" s="657"/>
      <c r="AD62" s="658"/>
      <c r="AE62" s="656">
        <f>Z62+1</f>
        <v>46073</v>
      </c>
      <c r="AF62" s="657"/>
      <c r="AG62" s="657"/>
      <c r="AH62" s="657"/>
      <c r="AI62" s="658"/>
      <c r="AJ62" s="656">
        <f>AE62+1</f>
        <v>46074</v>
      </c>
      <c r="AK62" s="657"/>
      <c r="AL62" s="657"/>
      <c r="AM62" s="657"/>
      <c r="AN62" s="658"/>
      <c r="AO62" s="656">
        <f>AJ62+1</f>
        <v>46075</v>
      </c>
      <c r="AP62" s="657"/>
      <c r="AQ62" s="657"/>
      <c r="AR62" s="657"/>
      <c r="AS62" s="658"/>
      <c r="AT62" s="656">
        <f>AO62+1</f>
        <v>46076</v>
      </c>
      <c r="AU62" s="657"/>
      <c r="AV62" s="657"/>
      <c r="AW62" s="657"/>
      <c r="AX62" s="658"/>
    </row>
    <row r="63" spans="2:50" ht="15.75">
      <c r="B63" s="667"/>
      <c r="C63" s="667"/>
      <c r="D63" s="667"/>
      <c r="E63" s="667"/>
      <c r="F63" s="667"/>
      <c r="G63" s="667"/>
      <c r="H63" s="667"/>
      <c r="I63" s="205"/>
      <c r="J63" s="205"/>
      <c r="K63" s="205"/>
      <c r="L63" s="205"/>
      <c r="M63" s="206"/>
      <c r="N63" s="655"/>
      <c r="O63" s="655"/>
      <c r="P63" s="659" t="s">
        <v>336</v>
      </c>
      <c r="Q63" s="660"/>
      <c r="R63" s="660"/>
      <c r="S63" s="660"/>
      <c r="T63" s="660"/>
      <c r="U63" s="659" t="s">
        <v>337</v>
      </c>
      <c r="V63" s="660"/>
      <c r="W63" s="660"/>
      <c r="X63" s="660"/>
      <c r="Y63" s="660"/>
      <c r="Z63" s="659" t="s">
        <v>338</v>
      </c>
      <c r="AA63" s="660"/>
      <c r="AB63" s="660"/>
      <c r="AC63" s="660"/>
      <c r="AD63" s="660"/>
      <c r="AE63" s="659" t="s">
        <v>339</v>
      </c>
      <c r="AF63" s="660"/>
      <c r="AG63" s="660"/>
      <c r="AH63" s="660"/>
      <c r="AI63" s="660"/>
      <c r="AJ63" s="659" t="s">
        <v>340</v>
      </c>
      <c r="AK63" s="660"/>
      <c r="AL63" s="660"/>
      <c r="AM63" s="660"/>
      <c r="AN63" s="660"/>
      <c r="AO63" s="659" t="s">
        <v>341</v>
      </c>
      <c r="AP63" s="660"/>
      <c r="AQ63" s="660"/>
      <c r="AR63" s="660"/>
      <c r="AS63" s="660"/>
      <c r="AT63" s="659" t="s">
        <v>342</v>
      </c>
      <c r="AU63" s="660"/>
      <c r="AV63" s="660"/>
      <c r="AW63" s="660"/>
      <c r="AX63" s="660"/>
    </row>
    <row r="64" spans="2:50">
      <c r="B64" s="652" t="s">
        <v>431</v>
      </c>
      <c r="C64" s="652" t="s">
        <v>441</v>
      </c>
      <c r="D64" s="652"/>
      <c r="E64" s="652" t="s">
        <v>432</v>
      </c>
      <c r="F64" s="652"/>
      <c r="G64" s="652"/>
      <c r="H64" s="668" t="s">
        <v>428</v>
      </c>
      <c r="I64" s="636" t="s">
        <v>433</v>
      </c>
      <c r="J64" s="636"/>
      <c r="K64" s="636"/>
      <c r="L64" s="637" t="s">
        <v>428</v>
      </c>
      <c r="M64" s="643" t="s">
        <v>429</v>
      </c>
      <c r="N64" s="652"/>
      <c r="O64" s="652" t="s">
        <v>434</v>
      </c>
      <c r="P64" s="649" t="s">
        <v>430</v>
      </c>
      <c r="Q64" s="650"/>
      <c r="R64" s="650"/>
      <c r="S64" s="651"/>
      <c r="T64" s="652" t="s">
        <v>428</v>
      </c>
      <c r="U64" s="649" t="s">
        <v>430</v>
      </c>
      <c r="V64" s="650"/>
      <c r="W64" s="650"/>
      <c r="X64" s="651"/>
      <c r="Y64" s="652" t="s">
        <v>428</v>
      </c>
      <c r="Z64" s="649" t="s">
        <v>430</v>
      </c>
      <c r="AA64" s="650"/>
      <c r="AB64" s="650"/>
      <c r="AC64" s="651"/>
      <c r="AD64" s="652" t="s">
        <v>428</v>
      </c>
      <c r="AE64" s="649" t="s">
        <v>430</v>
      </c>
      <c r="AF64" s="650"/>
      <c r="AG64" s="650"/>
      <c r="AH64" s="651"/>
      <c r="AI64" s="652" t="s">
        <v>428</v>
      </c>
      <c r="AJ64" s="649" t="s">
        <v>430</v>
      </c>
      <c r="AK64" s="650"/>
      <c r="AL64" s="650"/>
      <c r="AM64" s="651"/>
      <c r="AN64" s="652" t="s">
        <v>428</v>
      </c>
      <c r="AO64" s="649" t="s">
        <v>430</v>
      </c>
      <c r="AP64" s="650"/>
      <c r="AQ64" s="650"/>
      <c r="AR64" s="651"/>
      <c r="AS64" s="652" t="s">
        <v>428</v>
      </c>
      <c r="AT64" s="649" t="s">
        <v>430</v>
      </c>
      <c r="AU64" s="650"/>
      <c r="AV64" s="650"/>
      <c r="AW64" s="651"/>
      <c r="AX64" s="652" t="s">
        <v>428</v>
      </c>
    </row>
    <row r="65" spans="2:50">
      <c r="B65" s="652"/>
      <c r="C65" s="652"/>
      <c r="D65" s="652"/>
      <c r="E65" s="652" t="s">
        <v>435</v>
      </c>
      <c r="F65" s="652"/>
      <c r="G65" s="652"/>
      <c r="H65" s="669"/>
      <c r="I65" s="636" t="s">
        <v>435</v>
      </c>
      <c r="J65" s="636"/>
      <c r="K65" s="636"/>
      <c r="L65" s="638"/>
      <c r="M65" s="644"/>
      <c r="N65" s="652"/>
      <c r="O65" s="652"/>
      <c r="P65" s="649" t="s">
        <v>436</v>
      </c>
      <c r="Q65" s="650"/>
      <c r="R65" s="650"/>
      <c r="S65" s="651"/>
      <c r="T65" s="652"/>
      <c r="U65" s="649" t="s">
        <v>436</v>
      </c>
      <c r="V65" s="650"/>
      <c r="W65" s="650"/>
      <c r="X65" s="651"/>
      <c r="Y65" s="652"/>
      <c r="Z65" s="649" t="s">
        <v>436</v>
      </c>
      <c r="AA65" s="650"/>
      <c r="AB65" s="650"/>
      <c r="AC65" s="651"/>
      <c r="AD65" s="652"/>
      <c r="AE65" s="649" t="s">
        <v>436</v>
      </c>
      <c r="AF65" s="650"/>
      <c r="AG65" s="650"/>
      <c r="AH65" s="651"/>
      <c r="AI65" s="652"/>
      <c r="AJ65" s="649" t="s">
        <v>436</v>
      </c>
      <c r="AK65" s="650"/>
      <c r="AL65" s="650"/>
      <c r="AM65" s="651"/>
      <c r="AN65" s="652"/>
      <c r="AO65" s="649" t="s">
        <v>436</v>
      </c>
      <c r="AP65" s="650"/>
      <c r="AQ65" s="650"/>
      <c r="AR65" s="651"/>
      <c r="AS65" s="652"/>
      <c r="AT65" s="649" t="s">
        <v>436</v>
      </c>
      <c r="AU65" s="650"/>
      <c r="AV65" s="650"/>
      <c r="AW65" s="651"/>
      <c r="AX65" s="652"/>
    </row>
    <row r="66" spans="2:50">
      <c r="B66" s="652"/>
      <c r="C66" s="652"/>
      <c r="D66" s="652"/>
      <c r="E66" s="308" t="s">
        <v>437</v>
      </c>
      <c r="F66" s="308" t="s">
        <v>438</v>
      </c>
      <c r="G66" s="308" t="s">
        <v>439</v>
      </c>
      <c r="H66" s="670"/>
      <c r="I66" s="307" t="s">
        <v>437</v>
      </c>
      <c r="J66" s="307" t="s">
        <v>438</v>
      </c>
      <c r="K66" s="307" t="s">
        <v>439</v>
      </c>
      <c r="L66" s="639"/>
      <c r="M66" s="645"/>
      <c r="N66" s="652"/>
      <c r="O66" s="652"/>
      <c r="P66" s="308" t="s">
        <v>437</v>
      </c>
      <c r="Q66" s="308" t="s">
        <v>438</v>
      </c>
      <c r="R66" s="308" t="s">
        <v>439</v>
      </c>
      <c r="S66" s="308" t="s">
        <v>429</v>
      </c>
      <c r="T66" s="652"/>
      <c r="U66" s="308" t="s">
        <v>437</v>
      </c>
      <c r="V66" s="308" t="s">
        <v>438</v>
      </c>
      <c r="W66" s="308" t="s">
        <v>439</v>
      </c>
      <c r="X66" s="308" t="s">
        <v>429</v>
      </c>
      <c r="Y66" s="652"/>
      <c r="Z66" s="308" t="s">
        <v>437</v>
      </c>
      <c r="AA66" s="308" t="s">
        <v>438</v>
      </c>
      <c r="AB66" s="308" t="s">
        <v>439</v>
      </c>
      <c r="AC66" s="308" t="s">
        <v>429</v>
      </c>
      <c r="AD66" s="652"/>
      <c r="AE66" s="308" t="s">
        <v>437</v>
      </c>
      <c r="AF66" s="308" t="s">
        <v>438</v>
      </c>
      <c r="AG66" s="308" t="s">
        <v>439</v>
      </c>
      <c r="AH66" s="308" t="s">
        <v>429</v>
      </c>
      <c r="AI66" s="652"/>
      <c r="AJ66" s="308" t="s">
        <v>437</v>
      </c>
      <c r="AK66" s="308" t="s">
        <v>438</v>
      </c>
      <c r="AL66" s="308" t="s">
        <v>439</v>
      </c>
      <c r="AM66" s="308" t="s">
        <v>429</v>
      </c>
      <c r="AN66" s="652"/>
      <c r="AO66" s="308" t="s">
        <v>437</v>
      </c>
      <c r="AP66" s="308" t="s">
        <v>438</v>
      </c>
      <c r="AQ66" s="308" t="s">
        <v>439</v>
      </c>
      <c r="AR66" s="308" t="s">
        <v>429</v>
      </c>
      <c r="AS66" s="652"/>
      <c r="AT66" s="308" t="s">
        <v>437</v>
      </c>
      <c r="AU66" s="308" t="s">
        <v>438</v>
      </c>
      <c r="AV66" s="308" t="s">
        <v>439</v>
      </c>
      <c r="AW66" s="308" t="s">
        <v>429</v>
      </c>
      <c r="AX66" s="652"/>
    </row>
    <row r="67" spans="2:50">
      <c r="B67" s="652" t="s">
        <v>442</v>
      </c>
      <c r="C67" s="309">
        <v>1</v>
      </c>
      <c r="D67" s="227"/>
      <c r="E67" s="182"/>
      <c r="F67" s="448"/>
      <c r="G67" s="449"/>
      <c r="H67" s="701" t="e">
        <f>AVERAGE(G67:G81)</f>
        <v>#DIV/0!</v>
      </c>
      <c r="I67" s="199" t="e">
        <f t="shared" ref="I67:K67" si="50">AVERAGE(P67,U67,Z67,AE67,AJ67,AO67,AT67)</f>
        <v>#DIV/0!</v>
      </c>
      <c r="J67" s="199" t="e">
        <f t="shared" si="50"/>
        <v>#DIV/0!</v>
      </c>
      <c r="K67" s="200" t="e">
        <f t="shared" si="50"/>
        <v>#DIV/0!</v>
      </c>
      <c r="L67" s="633" t="str">
        <f>IFERROR(AVERAGE(K67:K81),"-")</f>
        <v>-</v>
      </c>
      <c r="M67" s="201" t="e">
        <f>RANK(K67, K$67:$K$81)</f>
        <v>#DIV/0!</v>
      </c>
      <c r="N67" s="652"/>
      <c r="O67" s="652"/>
      <c r="P67" s="182"/>
      <c r="Q67" s="182"/>
      <c r="R67" s="552"/>
      <c r="S67" s="309" t="e">
        <f>RANK(R67, R$67:R$81)</f>
        <v>#N/A</v>
      </c>
      <c r="T67" s="674" t="e">
        <f>AVERAGE(R67:R81)</f>
        <v>#DIV/0!</v>
      </c>
      <c r="U67" s="182"/>
      <c r="V67" s="182"/>
      <c r="W67" s="552"/>
      <c r="X67" s="477" t="e">
        <f t="shared" ref="X67:X81" si="51">RANK(W67, W$67:W$81)</f>
        <v>#N/A</v>
      </c>
      <c r="Y67" s="674" t="e">
        <f t="shared" ref="Y67" si="52">AVERAGE(W67:W81)</f>
        <v>#DIV/0!</v>
      </c>
      <c r="Z67" s="426"/>
      <c r="AA67" s="182"/>
      <c r="AB67" s="552"/>
      <c r="AC67" s="477" t="e">
        <f t="shared" ref="AC67:AC81" si="53">RANK(AB67, AB$67:AB$81)</f>
        <v>#N/A</v>
      </c>
      <c r="AD67" s="674" t="e">
        <f t="shared" ref="AD67" si="54">AVERAGE(AB67:AB81)</f>
        <v>#DIV/0!</v>
      </c>
      <c r="AE67" s="426"/>
      <c r="AF67" s="182"/>
      <c r="AG67" s="552"/>
      <c r="AH67" s="477" t="e">
        <f t="shared" ref="AH67:AH81" si="55">RANK(AG67, AG$67:AG$81)</f>
        <v>#N/A</v>
      </c>
      <c r="AI67" s="674" t="e">
        <f t="shared" ref="AI67" si="56">AVERAGE(AG67:AG81)</f>
        <v>#DIV/0!</v>
      </c>
      <c r="AJ67" s="426"/>
      <c r="AK67" s="182"/>
      <c r="AL67" s="552"/>
      <c r="AM67" s="477" t="e">
        <f t="shared" ref="AM67:AM81" si="57">RANK(AL67, AL$67:AL$81)</f>
        <v>#N/A</v>
      </c>
      <c r="AN67" s="674" t="e">
        <f t="shared" ref="AN67" si="58">AVERAGE(AL67:AL81)</f>
        <v>#DIV/0!</v>
      </c>
      <c r="AO67" s="426"/>
      <c r="AP67" s="182"/>
      <c r="AQ67" s="552"/>
      <c r="AR67" s="477" t="e">
        <f t="shared" ref="AR67:AR81" si="59">RANK(AQ67, AQ$67:AQ$81)</f>
        <v>#N/A</v>
      </c>
      <c r="AS67" s="674" t="e">
        <f t="shared" ref="AS67" si="60">AVERAGE(AQ67:AQ81)</f>
        <v>#DIV/0!</v>
      </c>
      <c r="AT67" s="426"/>
      <c r="AU67" s="182"/>
      <c r="AV67" s="552"/>
      <c r="AW67" s="477" t="e">
        <f t="shared" ref="AW67:AW81" si="61">RANK(AV67, AV$67:AV$81)</f>
        <v>#N/A</v>
      </c>
      <c r="AX67" s="674" t="e">
        <f t="shared" ref="AX67" si="62">AVERAGE(AV67:AV81)</f>
        <v>#DIV/0!</v>
      </c>
    </row>
    <row r="68" spans="2:50">
      <c r="B68" s="660"/>
      <c r="C68" s="309">
        <v>2</v>
      </c>
      <c r="D68" s="227"/>
      <c r="E68" s="182"/>
      <c r="F68" s="448"/>
      <c r="G68" s="449"/>
      <c r="H68" s="702"/>
      <c r="I68" s="447"/>
      <c r="J68" s="447"/>
      <c r="K68" s="200"/>
      <c r="L68" s="634"/>
      <c r="M68" s="201" t="e">
        <f>RANK(K68, K$67:$K$81)</f>
        <v>#DIV/0!</v>
      </c>
      <c r="N68" s="652"/>
      <c r="O68" s="652"/>
      <c r="P68" s="551"/>
      <c r="Q68" s="182"/>
      <c r="R68" s="552"/>
      <c r="S68" s="340" t="e">
        <f t="shared" ref="S68:S81" si="63">RANK(R68, R$67:R$81)</f>
        <v>#N/A</v>
      </c>
      <c r="T68" s="674"/>
      <c r="U68" s="551"/>
      <c r="V68" s="182"/>
      <c r="W68" s="552"/>
      <c r="X68" s="477" t="e">
        <f t="shared" si="51"/>
        <v>#N/A</v>
      </c>
      <c r="Y68" s="674"/>
      <c r="Z68" s="477"/>
      <c r="AA68" s="182"/>
      <c r="AB68" s="478"/>
      <c r="AC68" s="477" t="e">
        <f t="shared" si="53"/>
        <v>#N/A</v>
      </c>
      <c r="AD68" s="674"/>
      <c r="AE68" s="477"/>
      <c r="AF68" s="182"/>
      <c r="AG68" s="478"/>
      <c r="AH68" s="477" t="e">
        <f t="shared" si="55"/>
        <v>#N/A</v>
      </c>
      <c r="AI68" s="674"/>
      <c r="AJ68" s="477"/>
      <c r="AK68" s="182"/>
      <c r="AL68" s="478"/>
      <c r="AM68" s="477" t="e">
        <f t="shared" si="57"/>
        <v>#N/A</v>
      </c>
      <c r="AN68" s="674"/>
      <c r="AO68" s="477"/>
      <c r="AP68" s="182"/>
      <c r="AQ68" s="478"/>
      <c r="AR68" s="477" t="e">
        <f t="shared" si="59"/>
        <v>#N/A</v>
      </c>
      <c r="AS68" s="674"/>
      <c r="AT68" s="477"/>
      <c r="AU68" s="182"/>
      <c r="AV68" s="478"/>
      <c r="AW68" s="477" t="e">
        <f t="shared" si="61"/>
        <v>#N/A</v>
      </c>
      <c r="AX68" s="674"/>
    </row>
    <row r="69" spans="2:50">
      <c r="B69" s="660"/>
      <c r="C69" s="309">
        <v>3</v>
      </c>
      <c r="D69" s="227"/>
      <c r="E69" s="182"/>
      <c r="F69" s="448"/>
      <c r="G69" s="449"/>
      <c r="H69" s="702"/>
      <c r="I69" s="199"/>
      <c r="J69" s="199"/>
      <c r="K69" s="200"/>
      <c r="L69" s="634"/>
      <c r="M69" s="201" t="e">
        <f>RANK(K69, K$67:$K$81)</f>
        <v>#DIV/0!</v>
      </c>
      <c r="N69" s="652"/>
      <c r="O69" s="652"/>
      <c r="P69" s="551"/>
      <c r="Q69" s="182"/>
      <c r="R69" s="552"/>
      <c r="S69" s="340" t="e">
        <f t="shared" si="63"/>
        <v>#N/A</v>
      </c>
      <c r="T69" s="674"/>
      <c r="U69" s="551"/>
      <c r="V69" s="182"/>
      <c r="W69" s="552"/>
      <c r="X69" s="477" t="e">
        <f t="shared" si="51"/>
        <v>#N/A</v>
      </c>
      <c r="Y69" s="674"/>
      <c r="Z69" s="477"/>
      <c r="AA69" s="477"/>
      <c r="AB69" s="477"/>
      <c r="AC69" s="477" t="e">
        <f t="shared" si="53"/>
        <v>#N/A</v>
      </c>
      <c r="AD69" s="674"/>
      <c r="AE69" s="477"/>
      <c r="AF69" s="477"/>
      <c r="AG69" s="477"/>
      <c r="AH69" s="477" t="e">
        <f t="shared" si="55"/>
        <v>#N/A</v>
      </c>
      <c r="AI69" s="674"/>
      <c r="AJ69" s="477"/>
      <c r="AK69" s="477"/>
      <c r="AL69" s="477"/>
      <c r="AM69" s="477" t="e">
        <f t="shared" si="57"/>
        <v>#N/A</v>
      </c>
      <c r="AN69" s="674"/>
      <c r="AO69" s="477"/>
      <c r="AP69" s="477"/>
      <c r="AQ69" s="477"/>
      <c r="AR69" s="477" t="e">
        <f t="shared" si="59"/>
        <v>#N/A</v>
      </c>
      <c r="AS69" s="674"/>
      <c r="AT69" s="477"/>
      <c r="AU69" s="477"/>
      <c r="AV69" s="477"/>
      <c r="AW69" s="477" t="e">
        <f t="shared" si="61"/>
        <v>#N/A</v>
      </c>
      <c r="AX69" s="674"/>
    </row>
    <row r="70" spans="2:50">
      <c r="B70" s="660"/>
      <c r="C70" s="309">
        <v>4</v>
      </c>
      <c r="D70" s="227"/>
      <c r="E70" s="182"/>
      <c r="F70" s="448"/>
      <c r="G70" s="449"/>
      <c r="H70" s="702"/>
      <c r="I70" s="199"/>
      <c r="J70" s="199"/>
      <c r="K70" s="200"/>
      <c r="L70" s="634"/>
      <c r="M70" s="201" t="e">
        <f>RANK(K70, K$67:$K$81)</f>
        <v>#DIV/0!</v>
      </c>
      <c r="N70" s="652"/>
      <c r="O70" s="652"/>
      <c r="P70" s="551"/>
      <c r="Q70" s="551"/>
      <c r="R70" s="551"/>
      <c r="S70" s="340" t="e">
        <f t="shared" si="63"/>
        <v>#N/A</v>
      </c>
      <c r="T70" s="674"/>
      <c r="U70" s="551"/>
      <c r="V70" s="551"/>
      <c r="W70" s="551"/>
      <c r="X70" s="477" t="e">
        <f t="shared" si="51"/>
        <v>#N/A</v>
      </c>
      <c r="Y70" s="674"/>
      <c r="Z70" s="477"/>
      <c r="AA70" s="477"/>
      <c r="AB70" s="477"/>
      <c r="AC70" s="477" t="e">
        <f t="shared" si="53"/>
        <v>#N/A</v>
      </c>
      <c r="AD70" s="674"/>
      <c r="AE70" s="477"/>
      <c r="AF70" s="477"/>
      <c r="AG70" s="477"/>
      <c r="AH70" s="477" t="e">
        <f t="shared" si="55"/>
        <v>#N/A</v>
      </c>
      <c r="AI70" s="674"/>
      <c r="AJ70" s="477"/>
      <c r="AK70" s="477"/>
      <c r="AL70" s="477"/>
      <c r="AM70" s="477" t="e">
        <f t="shared" si="57"/>
        <v>#N/A</v>
      </c>
      <c r="AN70" s="674"/>
      <c r="AO70" s="477"/>
      <c r="AP70" s="477"/>
      <c r="AQ70" s="477"/>
      <c r="AR70" s="477" t="e">
        <f t="shared" si="59"/>
        <v>#N/A</v>
      </c>
      <c r="AS70" s="674"/>
      <c r="AT70" s="477"/>
      <c r="AU70" s="477"/>
      <c r="AV70" s="477"/>
      <c r="AW70" s="477" t="e">
        <f t="shared" si="61"/>
        <v>#N/A</v>
      </c>
      <c r="AX70" s="674"/>
    </row>
    <row r="71" spans="2:50">
      <c r="B71" s="660"/>
      <c r="C71" s="309">
        <v>5</v>
      </c>
      <c r="D71" s="227"/>
      <c r="E71" s="182"/>
      <c r="F71" s="448"/>
      <c r="G71" s="449"/>
      <c r="H71" s="702"/>
      <c r="I71" s="199"/>
      <c r="J71" s="199"/>
      <c r="K71" s="200"/>
      <c r="L71" s="634"/>
      <c r="M71" s="201" t="e">
        <f>RANK(K71, K$67:$K$81)</f>
        <v>#DIV/0!</v>
      </c>
      <c r="N71" s="652"/>
      <c r="O71" s="652"/>
      <c r="P71" s="551"/>
      <c r="Q71" s="551"/>
      <c r="R71" s="551"/>
      <c r="S71" s="340" t="e">
        <f t="shared" si="63"/>
        <v>#N/A</v>
      </c>
      <c r="T71" s="674"/>
      <c r="U71" s="551"/>
      <c r="V71" s="551"/>
      <c r="W71" s="551"/>
      <c r="X71" s="477" t="e">
        <f t="shared" si="51"/>
        <v>#N/A</v>
      </c>
      <c r="Y71" s="674"/>
      <c r="Z71" s="477"/>
      <c r="AA71" s="477"/>
      <c r="AB71" s="477"/>
      <c r="AC71" s="477" t="e">
        <f t="shared" si="53"/>
        <v>#N/A</v>
      </c>
      <c r="AD71" s="674"/>
      <c r="AE71" s="477"/>
      <c r="AF71" s="477"/>
      <c r="AG71" s="477"/>
      <c r="AH71" s="477" t="e">
        <f t="shared" si="55"/>
        <v>#N/A</v>
      </c>
      <c r="AI71" s="674"/>
      <c r="AJ71" s="477"/>
      <c r="AK71" s="477"/>
      <c r="AL71" s="477"/>
      <c r="AM71" s="477" t="e">
        <f t="shared" si="57"/>
        <v>#N/A</v>
      </c>
      <c r="AN71" s="674"/>
      <c r="AO71" s="477"/>
      <c r="AP71" s="477"/>
      <c r="AQ71" s="477"/>
      <c r="AR71" s="477" t="e">
        <f t="shared" si="59"/>
        <v>#N/A</v>
      </c>
      <c r="AS71" s="674"/>
      <c r="AT71" s="477"/>
      <c r="AU71" s="477"/>
      <c r="AV71" s="477"/>
      <c r="AW71" s="477" t="e">
        <f t="shared" si="61"/>
        <v>#N/A</v>
      </c>
      <c r="AX71" s="674"/>
    </row>
    <row r="72" spans="2:50">
      <c r="B72" s="660"/>
      <c r="C72" s="309">
        <v>6</v>
      </c>
      <c r="D72" s="227"/>
      <c r="E72" s="182"/>
      <c r="F72" s="448"/>
      <c r="G72" s="449"/>
      <c r="H72" s="702"/>
      <c r="I72" s="199"/>
      <c r="J72" s="199"/>
      <c r="K72" s="200"/>
      <c r="L72" s="634"/>
      <c r="M72" s="201" t="e">
        <f>RANK(K72, K$67:$K$81)</f>
        <v>#DIV/0!</v>
      </c>
      <c r="N72" s="652"/>
      <c r="O72" s="652"/>
      <c r="P72" s="551"/>
      <c r="Q72" s="551"/>
      <c r="R72" s="551"/>
      <c r="S72" s="340" t="e">
        <f t="shared" si="63"/>
        <v>#N/A</v>
      </c>
      <c r="T72" s="674"/>
      <c r="U72" s="551"/>
      <c r="V72" s="551"/>
      <c r="W72" s="551"/>
      <c r="X72" s="477" t="e">
        <f t="shared" si="51"/>
        <v>#N/A</v>
      </c>
      <c r="Y72" s="674"/>
      <c r="Z72" s="477"/>
      <c r="AA72" s="477"/>
      <c r="AB72" s="477"/>
      <c r="AC72" s="477" t="e">
        <f t="shared" si="53"/>
        <v>#N/A</v>
      </c>
      <c r="AD72" s="674"/>
      <c r="AE72" s="477"/>
      <c r="AF72" s="477"/>
      <c r="AG72" s="477"/>
      <c r="AH72" s="477" t="e">
        <f t="shared" si="55"/>
        <v>#N/A</v>
      </c>
      <c r="AI72" s="674"/>
      <c r="AJ72" s="477"/>
      <c r="AK72" s="477"/>
      <c r="AL72" s="477"/>
      <c r="AM72" s="477" t="e">
        <f t="shared" si="57"/>
        <v>#N/A</v>
      </c>
      <c r="AN72" s="674"/>
      <c r="AO72" s="477"/>
      <c r="AP72" s="477"/>
      <c r="AQ72" s="477"/>
      <c r="AR72" s="477" t="e">
        <f t="shared" si="59"/>
        <v>#N/A</v>
      </c>
      <c r="AS72" s="674"/>
      <c r="AT72" s="477"/>
      <c r="AU72" s="477"/>
      <c r="AV72" s="477"/>
      <c r="AW72" s="477" t="e">
        <f t="shared" si="61"/>
        <v>#N/A</v>
      </c>
      <c r="AX72" s="674"/>
    </row>
    <row r="73" spans="2:50">
      <c r="B73" s="660"/>
      <c r="C73" s="309">
        <v>7</v>
      </c>
      <c r="D73" s="227"/>
      <c r="E73" s="182"/>
      <c r="F73" s="448"/>
      <c r="G73" s="449"/>
      <c r="H73" s="702"/>
      <c r="I73" s="199"/>
      <c r="J73" s="199"/>
      <c r="K73" s="200"/>
      <c r="L73" s="634"/>
      <c r="M73" s="201" t="e">
        <f>RANK(K73, K$67:$K$81)</f>
        <v>#DIV/0!</v>
      </c>
      <c r="N73" s="652"/>
      <c r="O73" s="652"/>
      <c r="P73" s="551"/>
      <c r="Q73" s="551"/>
      <c r="R73" s="551"/>
      <c r="S73" s="340" t="e">
        <f t="shared" si="63"/>
        <v>#N/A</v>
      </c>
      <c r="T73" s="674"/>
      <c r="U73" s="551"/>
      <c r="V73" s="551"/>
      <c r="W73" s="551"/>
      <c r="X73" s="477" t="e">
        <f t="shared" si="51"/>
        <v>#N/A</v>
      </c>
      <c r="Y73" s="674"/>
      <c r="Z73" s="477"/>
      <c r="AA73" s="477"/>
      <c r="AB73" s="477"/>
      <c r="AC73" s="477" t="e">
        <f t="shared" si="53"/>
        <v>#N/A</v>
      </c>
      <c r="AD73" s="674"/>
      <c r="AE73" s="477"/>
      <c r="AF73" s="477"/>
      <c r="AG73" s="477"/>
      <c r="AH73" s="477" t="e">
        <f t="shared" si="55"/>
        <v>#N/A</v>
      </c>
      <c r="AI73" s="674"/>
      <c r="AJ73" s="477"/>
      <c r="AK73" s="477"/>
      <c r="AL73" s="477"/>
      <c r="AM73" s="477" t="e">
        <f t="shared" si="57"/>
        <v>#N/A</v>
      </c>
      <c r="AN73" s="674"/>
      <c r="AO73" s="477"/>
      <c r="AP73" s="477"/>
      <c r="AQ73" s="477"/>
      <c r="AR73" s="477" t="e">
        <f t="shared" si="59"/>
        <v>#N/A</v>
      </c>
      <c r="AS73" s="674"/>
      <c r="AT73" s="477"/>
      <c r="AU73" s="477"/>
      <c r="AV73" s="477"/>
      <c r="AW73" s="477" t="e">
        <f t="shared" si="61"/>
        <v>#N/A</v>
      </c>
      <c r="AX73" s="674"/>
    </row>
    <row r="74" spans="2:50">
      <c r="B74" s="660"/>
      <c r="C74" s="309">
        <v>8</v>
      </c>
      <c r="D74" s="227"/>
      <c r="E74" s="182"/>
      <c r="F74" s="448"/>
      <c r="G74" s="449"/>
      <c r="H74" s="702"/>
      <c r="I74" s="199"/>
      <c r="J74" s="199"/>
      <c r="K74" s="200"/>
      <c r="L74" s="634"/>
      <c r="M74" s="201" t="e">
        <f>RANK(K74, K$67:$K$81)</f>
        <v>#DIV/0!</v>
      </c>
      <c r="N74" s="652"/>
      <c r="O74" s="652"/>
      <c r="P74" s="551"/>
      <c r="Q74" s="551"/>
      <c r="R74" s="551"/>
      <c r="S74" s="340" t="e">
        <f t="shared" si="63"/>
        <v>#N/A</v>
      </c>
      <c r="T74" s="674"/>
      <c r="U74" s="551"/>
      <c r="V74" s="551"/>
      <c r="W74" s="551"/>
      <c r="X74" s="477" t="e">
        <f t="shared" si="51"/>
        <v>#N/A</v>
      </c>
      <c r="Y74" s="674"/>
      <c r="Z74" s="477"/>
      <c r="AA74" s="477"/>
      <c r="AB74" s="477"/>
      <c r="AC74" s="477" t="e">
        <f t="shared" si="53"/>
        <v>#N/A</v>
      </c>
      <c r="AD74" s="674"/>
      <c r="AE74" s="477"/>
      <c r="AF74" s="477"/>
      <c r="AG74" s="477"/>
      <c r="AH74" s="477" t="e">
        <f t="shared" si="55"/>
        <v>#N/A</v>
      </c>
      <c r="AI74" s="674"/>
      <c r="AJ74" s="477"/>
      <c r="AK74" s="477"/>
      <c r="AL74" s="477"/>
      <c r="AM74" s="477" t="e">
        <f t="shared" si="57"/>
        <v>#N/A</v>
      </c>
      <c r="AN74" s="674"/>
      <c r="AO74" s="477"/>
      <c r="AP74" s="477"/>
      <c r="AQ74" s="477"/>
      <c r="AR74" s="477" t="e">
        <f t="shared" si="59"/>
        <v>#N/A</v>
      </c>
      <c r="AS74" s="674"/>
      <c r="AT74" s="477"/>
      <c r="AU74" s="477"/>
      <c r="AV74" s="477"/>
      <c r="AW74" s="477" t="e">
        <f t="shared" si="61"/>
        <v>#N/A</v>
      </c>
      <c r="AX74" s="674"/>
    </row>
    <row r="75" spans="2:50">
      <c r="B75" s="660"/>
      <c r="C75" s="309">
        <v>9</v>
      </c>
      <c r="D75" s="227"/>
      <c r="E75" s="182"/>
      <c r="F75" s="448"/>
      <c r="G75" s="449"/>
      <c r="H75" s="702"/>
      <c r="I75" s="199"/>
      <c r="J75" s="199"/>
      <c r="K75" s="200"/>
      <c r="L75" s="634"/>
      <c r="M75" s="201" t="e">
        <f>RANK(K75, K$67:$K$81)</f>
        <v>#DIV/0!</v>
      </c>
      <c r="N75" s="652"/>
      <c r="O75" s="652"/>
      <c r="P75" s="551"/>
      <c r="Q75" s="551"/>
      <c r="R75" s="551"/>
      <c r="S75" s="340" t="e">
        <f t="shared" si="63"/>
        <v>#N/A</v>
      </c>
      <c r="T75" s="674"/>
      <c r="U75" s="551"/>
      <c r="V75" s="551"/>
      <c r="W75" s="551"/>
      <c r="X75" s="477" t="e">
        <f t="shared" si="51"/>
        <v>#N/A</v>
      </c>
      <c r="Y75" s="674"/>
      <c r="Z75" s="477"/>
      <c r="AA75" s="477"/>
      <c r="AB75" s="477"/>
      <c r="AC75" s="477" t="e">
        <f t="shared" si="53"/>
        <v>#N/A</v>
      </c>
      <c r="AD75" s="674"/>
      <c r="AE75" s="477"/>
      <c r="AF75" s="477"/>
      <c r="AG75" s="477"/>
      <c r="AH75" s="477" t="e">
        <f t="shared" si="55"/>
        <v>#N/A</v>
      </c>
      <c r="AI75" s="674"/>
      <c r="AJ75" s="477"/>
      <c r="AK75" s="477"/>
      <c r="AL75" s="477"/>
      <c r="AM75" s="477" t="e">
        <f t="shared" si="57"/>
        <v>#N/A</v>
      </c>
      <c r="AN75" s="674"/>
      <c r="AO75" s="477"/>
      <c r="AP75" s="477"/>
      <c r="AQ75" s="477"/>
      <c r="AR75" s="477" t="e">
        <f t="shared" si="59"/>
        <v>#N/A</v>
      </c>
      <c r="AS75" s="674"/>
      <c r="AT75" s="477"/>
      <c r="AU75" s="477"/>
      <c r="AV75" s="477"/>
      <c r="AW75" s="477" t="e">
        <f t="shared" si="61"/>
        <v>#N/A</v>
      </c>
      <c r="AX75" s="674"/>
    </row>
    <row r="76" spans="2:50">
      <c r="B76" s="660"/>
      <c r="C76" s="309">
        <v>10</v>
      </c>
      <c r="D76" s="227"/>
      <c r="E76" s="182"/>
      <c r="F76" s="448"/>
      <c r="G76" s="449"/>
      <c r="H76" s="702"/>
      <c r="I76" s="199"/>
      <c r="J76" s="199"/>
      <c r="K76" s="200"/>
      <c r="L76" s="634"/>
      <c r="M76" s="201" t="e">
        <f>RANK(K76, K$67:$K$81)</f>
        <v>#DIV/0!</v>
      </c>
      <c r="N76" s="652"/>
      <c r="O76" s="652"/>
      <c r="P76" s="551"/>
      <c r="Q76" s="551"/>
      <c r="R76" s="551"/>
      <c r="S76" s="340" t="e">
        <f t="shared" si="63"/>
        <v>#N/A</v>
      </c>
      <c r="T76" s="674"/>
      <c r="U76" s="551"/>
      <c r="V76" s="551"/>
      <c r="W76" s="551"/>
      <c r="X76" s="477" t="e">
        <f t="shared" si="51"/>
        <v>#N/A</v>
      </c>
      <c r="Y76" s="674"/>
      <c r="Z76" s="477"/>
      <c r="AA76" s="477"/>
      <c r="AB76" s="477"/>
      <c r="AC76" s="477" t="e">
        <f t="shared" si="53"/>
        <v>#N/A</v>
      </c>
      <c r="AD76" s="674"/>
      <c r="AE76" s="477"/>
      <c r="AF76" s="477"/>
      <c r="AG76" s="477"/>
      <c r="AH76" s="477" t="e">
        <f t="shared" si="55"/>
        <v>#N/A</v>
      </c>
      <c r="AI76" s="674"/>
      <c r="AJ76" s="477"/>
      <c r="AK76" s="477"/>
      <c r="AL76" s="477"/>
      <c r="AM76" s="477" t="e">
        <f t="shared" si="57"/>
        <v>#N/A</v>
      </c>
      <c r="AN76" s="674"/>
      <c r="AO76" s="477"/>
      <c r="AP76" s="477"/>
      <c r="AQ76" s="477"/>
      <c r="AR76" s="477" t="e">
        <f t="shared" si="59"/>
        <v>#N/A</v>
      </c>
      <c r="AS76" s="674"/>
      <c r="AT76" s="477"/>
      <c r="AU76" s="477"/>
      <c r="AV76" s="477"/>
      <c r="AW76" s="477" t="e">
        <f t="shared" si="61"/>
        <v>#N/A</v>
      </c>
      <c r="AX76" s="674"/>
    </row>
    <row r="77" spans="2:50">
      <c r="B77" s="660"/>
      <c r="C77" s="309">
        <v>11</v>
      </c>
      <c r="D77" s="227"/>
      <c r="E77" s="182"/>
      <c r="F77" s="448"/>
      <c r="G77" s="449"/>
      <c r="H77" s="702"/>
      <c r="I77" s="202"/>
      <c r="J77" s="202"/>
      <c r="K77" s="202"/>
      <c r="L77" s="634"/>
      <c r="M77" s="201" t="e">
        <f>RANK(K77, K$67:$K$81)</f>
        <v>#DIV/0!</v>
      </c>
      <c r="N77" s="652"/>
      <c r="O77" s="652"/>
      <c r="P77" s="551"/>
      <c r="Q77" s="551"/>
      <c r="R77" s="551"/>
      <c r="S77" s="340" t="e">
        <f t="shared" si="63"/>
        <v>#N/A</v>
      </c>
      <c r="T77" s="674"/>
      <c r="U77" s="551"/>
      <c r="V77" s="551"/>
      <c r="W77" s="551"/>
      <c r="X77" s="477" t="e">
        <f t="shared" si="51"/>
        <v>#N/A</v>
      </c>
      <c r="Y77" s="674"/>
      <c r="Z77" s="477"/>
      <c r="AA77" s="477"/>
      <c r="AB77" s="477"/>
      <c r="AC77" s="477" t="e">
        <f t="shared" si="53"/>
        <v>#N/A</v>
      </c>
      <c r="AD77" s="674"/>
      <c r="AE77" s="477"/>
      <c r="AF77" s="477"/>
      <c r="AG77" s="477"/>
      <c r="AH77" s="477" t="e">
        <f t="shared" si="55"/>
        <v>#N/A</v>
      </c>
      <c r="AI77" s="674"/>
      <c r="AJ77" s="477"/>
      <c r="AK77" s="477"/>
      <c r="AL77" s="477"/>
      <c r="AM77" s="477" t="e">
        <f t="shared" si="57"/>
        <v>#N/A</v>
      </c>
      <c r="AN77" s="674"/>
      <c r="AO77" s="477"/>
      <c r="AP77" s="477"/>
      <c r="AQ77" s="477"/>
      <c r="AR77" s="477" t="e">
        <f t="shared" si="59"/>
        <v>#N/A</v>
      </c>
      <c r="AS77" s="674"/>
      <c r="AT77" s="477"/>
      <c r="AU77" s="477"/>
      <c r="AV77" s="477"/>
      <c r="AW77" s="477" t="e">
        <f t="shared" si="61"/>
        <v>#N/A</v>
      </c>
      <c r="AX77" s="674"/>
    </row>
    <row r="78" spans="2:50">
      <c r="B78" s="660"/>
      <c r="C78" s="309">
        <v>12</v>
      </c>
      <c r="D78" s="227"/>
      <c r="E78" s="182"/>
      <c r="F78" s="448"/>
      <c r="G78" s="449"/>
      <c r="H78" s="702"/>
      <c r="I78" s="202"/>
      <c r="J78" s="202"/>
      <c r="K78" s="202"/>
      <c r="L78" s="634"/>
      <c r="M78" s="201" t="e">
        <f>RANK(K78, K$67:$K$81)</f>
        <v>#DIV/0!</v>
      </c>
      <c r="N78" s="652"/>
      <c r="O78" s="652"/>
      <c r="P78" s="551"/>
      <c r="Q78" s="551"/>
      <c r="R78" s="551"/>
      <c r="S78" s="340" t="e">
        <f t="shared" si="63"/>
        <v>#N/A</v>
      </c>
      <c r="T78" s="674"/>
      <c r="U78" s="551"/>
      <c r="V78" s="551"/>
      <c r="W78" s="551"/>
      <c r="X78" s="477" t="e">
        <f t="shared" si="51"/>
        <v>#N/A</v>
      </c>
      <c r="Y78" s="674"/>
      <c r="Z78" s="477"/>
      <c r="AA78" s="477"/>
      <c r="AB78" s="477"/>
      <c r="AC78" s="477" t="e">
        <f t="shared" si="53"/>
        <v>#N/A</v>
      </c>
      <c r="AD78" s="674"/>
      <c r="AE78" s="477"/>
      <c r="AF78" s="477"/>
      <c r="AG78" s="477"/>
      <c r="AH78" s="477" t="e">
        <f t="shared" si="55"/>
        <v>#N/A</v>
      </c>
      <c r="AI78" s="674"/>
      <c r="AJ78" s="477"/>
      <c r="AK78" s="477"/>
      <c r="AL78" s="477"/>
      <c r="AM78" s="477" t="e">
        <f t="shared" si="57"/>
        <v>#N/A</v>
      </c>
      <c r="AN78" s="674"/>
      <c r="AO78" s="477"/>
      <c r="AP78" s="477"/>
      <c r="AQ78" s="477"/>
      <c r="AR78" s="477" t="e">
        <f t="shared" si="59"/>
        <v>#N/A</v>
      </c>
      <c r="AS78" s="674"/>
      <c r="AT78" s="477"/>
      <c r="AU78" s="477"/>
      <c r="AV78" s="477"/>
      <c r="AW78" s="477" t="e">
        <f t="shared" si="61"/>
        <v>#N/A</v>
      </c>
      <c r="AX78" s="674"/>
    </row>
    <row r="79" spans="2:50">
      <c r="B79" s="660"/>
      <c r="C79" s="309">
        <v>13</v>
      </c>
      <c r="D79" s="227"/>
      <c r="E79" s="182"/>
      <c r="F79" s="448"/>
      <c r="G79" s="449"/>
      <c r="H79" s="702"/>
      <c r="I79" s="202"/>
      <c r="J79" s="202"/>
      <c r="K79" s="202"/>
      <c r="L79" s="634"/>
      <c r="M79" s="201" t="e">
        <f>RANK(K79, K$67:$K$81)</f>
        <v>#DIV/0!</v>
      </c>
      <c r="N79" s="652"/>
      <c r="O79" s="652"/>
      <c r="P79" s="551"/>
      <c r="Q79" s="551"/>
      <c r="R79" s="551"/>
      <c r="S79" s="340" t="e">
        <f t="shared" si="63"/>
        <v>#N/A</v>
      </c>
      <c r="T79" s="674"/>
      <c r="U79" s="551"/>
      <c r="V79" s="551"/>
      <c r="W79" s="551"/>
      <c r="X79" s="477" t="e">
        <f t="shared" si="51"/>
        <v>#N/A</v>
      </c>
      <c r="Y79" s="674"/>
      <c r="Z79" s="477"/>
      <c r="AA79" s="477"/>
      <c r="AB79" s="477"/>
      <c r="AC79" s="477" t="e">
        <f t="shared" si="53"/>
        <v>#N/A</v>
      </c>
      <c r="AD79" s="674"/>
      <c r="AE79" s="477"/>
      <c r="AF79" s="477"/>
      <c r="AG79" s="477"/>
      <c r="AH79" s="477" t="e">
        <f t="shared" si="55"/>
        <v>#N/A</v>
      </c>
      <c r="AI79" s="674"/>
      <c r="AJ79" s="477"/>
      <c r="AK79" s="477"/>
      <c r="AL79" s="477"/>
      <c r="AM79" s="477" t="e">
        <f t="shared" si="57"/>
        <v>#N/A</v>
      </c>
      <c r="AN79" s="674"/>
      <c r="AO79" s="477"/>
      <c r="AP79" s="477"/>
      <c r="AQ79" s="477"/>
      <c r="AR79" s="477" t="e">
        <f t="shared" si="59"/>
        <v>#N/A</v>
      </c>
      <c r="AS79" s="674"/>
      <c r="AT79" s="477"/>
      <c r="AU79" s="477"/>
      <c r="AV79" s="477"/>
      <c r="AW79" s="477" t="e">
        <f t="shared" si="61"/>
        <v>#N/A</v>
      </c>
      <c r="AX79" s="674"/>
    </row>
    <row r="80" spans="2:50">
      <c r="B80" s="660"/>
      <c r="C80" s="309">
        <v>14</v>
      </c>
      <c r="D80" s="227"/>
      <c r="E80" s="182"/>
      <c r="F80" s="448"/>
      <c r="G80" s="449"/>
      <c r="H80" s="702"/>
      <c r="I80" s="202"/>
      <c r="J80" s="202"/>
      <c r="K80" s="202"/>
      <c r="L80" s="634"/>
      <c r="M80" s="201" t="e">
        <f>RANK(K80, K$67:$K$81)</f>
        <v>#DIV/0!</v>
      </c>
      <c r="N80" s="652"/>
      <c r="O80" s="652"/>
      <c r="P80" s="551"/>
      <c r="Q80" s="551"/>
      <c r="R80" s="551"/>
      <c r="S80" s="340" t="e">
        <f t="shared" si="63"/>
        <v>#N/A</v>
      </c>
      <c r="T80" s="674"/>
      <c r="U80" s="551"/>
      <c r="V80" s="551"/>
      <c r="W80" s="551"/>
      <c r="X80" s="477" t="e">
        <f t="shared" si="51"/>
        <v>#N/A</v>
      </c>
      <c r="Y80" s="674"/>
      <c r="Z80" s="477"/>
      <c r="AA80" s="477"/>
      <c r="AB80" s="477"/>
      <c r="AC80" s="477" t="e">
        <f t="shared" si="53"/>
        <v>#N/A</v>
      </c>
      <c r="AD80" s="674"/>
      <c r="AE80" s="477"/>
      <c r="AF80" s="477"/>
      <c r="AG80" s="477"/>
      <c r="AH80" s="477" t="e">
        <f t="shared" si="55"/>
        <v>#N/A</v>
      </c>
      <c r="AI80" s="674"/>
      <c r="AJ80" s="477"/>
      <c r="AK80" s="477"/>
      <c r="AL80" s="477"/>
      <c r="AM80" s="477" t="e">
        <f t="shared" si="57"/>
        <v>#N/A</v>
      </c>
      <c r="AN80" s="674"/>
      <c r="AO80" s="477"/>
      <c r="AP80" s="477"/>
      <c r="AQ80" s="477"/>
      <c r="AR80" s="477" t="e">
        <f t="shared" si="59"/>
        <v>#N/A</v>
      </c>
      <c r="AS80" s="674"/>
      <c r="AT80" s="477"/>
      <c r="AU80" s="477"/>
      <c r="AV80" s="477"/>
      <c r="AW80" s="477" t="e">
        <f t="shared" si="61"/>
        <v>#N/A</v>
      </c>
      <c r="AX80" s="674"/>
    </row>
    <row r="81" spans="2:50">
      <c r="B81" s="660"/>
      <c r="C81" s="309">
        <v>15</v>
      </c>
      <c r="D81" s="227"/>
      <c r="E81" s="182"/>
      <c r="F81" s="448"/>
      <c r="G81" s="449"/>
      <c r="H81" s="703"/>
      <c r="I81" s="202"/>
      <c r="J81" s="202"/>
      <c r="K81" s="202"/>
      <c r="L81" s="635"/>
      <c r="M81" s="201" t="e">
        <f>RANK(K81, K$67:$K$81)</f>
        <v>#DIV/0!</v>
      </c>
      <c r="N81" s="652"/>
      <c r="O81" s="652"/>
      <c r="P81" s="551"/>
      <c r="Q81" s="551"/>
      <c r="R81" s="551"/>
      <c r="S81" s="340" t="e">
        <f t="shared" si="63"/>
        <v>#N/A</v>
      </c>
      <c r="T81" s="674"/>
      <c r="U81" s="551"/>
      <c r="V81" s="551"/>
      <c r="W81" s="551"/>
      <c r="X81" s="477" t="e">
        <f t="shared" si="51"/>
        <v>#N/A</v>
      </c>
      <c r="Y81" s="674"/>
      <c r="Z81" s="477"/>
      <c r="AA81" s="477"/>
      <c r="AB81" s="477"/>
      <c r="AC81" s="477" t="e">
        <f t="shared" si="53"/>
        <v>#N/A</v>
      </c>
      <c r="AD81" s="674"/>
      <c r="AE81" s="477"/>
      <c r="AF81" s="477"/>
      <c r="AG81" s="477"/>
      <c r="AH81" s="477" t="e">
        <f t="shared" si="55"/>
        <v>#N/A</v>
      </c>
      <c r="AI81" s="674"/>
      <c r="AJ81" s="477"/>
      <c r="AK81" s="477"/>
      <c r="AL81" s="477"/>
      <c r="AM81" s="477" t="e">
        <f t="shared" si="57"/>
        <v>#N/A</v>
      </c>
      <c r="AN81" s="674"/>
      <c r="AO81" s="477"/>
      <c r="AP81" s="477"/>
      <c r="AQ81" s="477"/>
      <c r="AR81" s="477" t="e">
        <f t="shared" si="59"/>
        <v>#N/A</v>
      </c>
      <c r="AS81" s="674"/>
      <c r="AT81" s="477"/>
      <c r="AU81" s="477"/>
      <c r="AV81" s="477"/>
      <c r="AW81" s="477" t="e">
        <f t="shared" si="61"/>
        <v>#N/A</v>
      </c>
      <c r="AX81" s="674"/>
    </row>
    <row r="82" spans="2:50" ht="15.75">
      <c r="B82" s="664" t="s">
        <v>163</v>
      </c>
      <c r="C82" s="665"/>
      <c r="D82" s="665"/>
      <c r="E82" s="665"/>
      <c r="F82" s="665"/>
      <c r="G82" s="665"/>
      <c r="H82" s="666"/>
      <c r="I82" s="208"/>
      <c r="J82" s="208"/>
      <c r="K82" s="208"/>
      <c r="L82" s="208"/>
      <c r="M82" s="207"/>
      <c r="N82" s="653" t="s">
        <v>156</v>
      </c>
      <c r="O82" s="653" t="s">
        <v>105</v>
      </c>
      <c r="P82" s="659">
        <f>P62+7</f>
        <v>46077</v>
      </c>
      <c r="Q82" s="660"/>
      <c r="R82" s="660"/>
      <c r="S82" s="660"/>
      <c r="T82" s="660"/>
      <c r="U82" s="656">
        <f>P82+1</f>
        <v>46078</v>
      </c>
      <c r="V82" s="657"/>
      <c r="W82" s="657"/>
      <c r="X82" s="657"/>
      <c r="Y82" s="658"/>
      <c r="Z82" s="656">
        <f>U82+1</f>
        <v>46079</v>
      </c>
      <c r="AA82" s="657"/>
      <c r="AB82" s="657"/>
      <c r="AC82" s="657"/>
      <c r="AD82" s="658"/>
      <c r="AE82" s="656">
        <f>Z82+1</f>
        <v>46080</v>
      </c>
      <c r="AF82" s="657"/>
      <c r="AG82" s="657"/>
      <c r="AH82" s="657"/>
      <c r="AI82" s="658"/>
      <c r="AJ82" s="656">
        <f>AE82+1</f>
        <v>46081</v>
      </c>
      <c r="AK82" s="657"/>
      <c r="AL82" s="657"/>
      <c r="AM82" s="657"/>
      <c r="AN82" s="658"/>
      <c r="AO82" s="656">
        <f>AJ82+1</f>
        <v>46082</v>
      </c>
      <c r="AP82" s="657"/>
      <c r="AQ82" s="657"/>
      <c r="AR82" s="657"/>
      <c r="AS82" s="658"/>
      <c r="AT82" s="656">
        <f>AO82+1</f>
        <v>46083</v>
      </c>
      <c r="AU82" s="657"/>
      <c r="AV82" s="657"/>
      <c r="AW82" s="657"/>
      <c r="AX82" s="658"/>
    </row>
    <row r="83" spans="2:50" ht="15.75">
      <c r="B83" s="667"/>
      <c r="C83" s="667"/>
      <c r="D83" s="667"/>
      <c r="E83" s="667"/>
      <c r="F83" s="667"/>
      <c r="G83" s="667"/>
      <c r="H83" s="667"/>
      <c r="I83" s="205"/>
      <c r="J83" s="205"/>
      <c r="K83" s="205"/>
      <c r="L83" s="205"/>
      <c r="M83" s="206"/>
      <c r="N83" s="655"/>
      <c r="O83" s="655"/>
      <c r="P83" s="659" t="s">
        <v>336</v>
      </c>
      <c r="Q83" s="660"/>
      <c r="R83" s="660"/>
      <c r="S83" s="660"/>
      <c r="T83" s="660"/>
      <c r="U83" s="659" t="s">
        <v>337</v>
      </c>
      <c r="V83" s="660"/>
      <c r="W83" s="660"/>
      <c r="X83" s="660"/>
      <c r="Y83" s="660"/>
      <c r="Z83" s="659" t="s">
        <v>338</v>
      </c>
      <c r="AA83" s="660"/>
      <c r="AB83" s="660"/>
      <c r="AC83" s="660"/>
      <c r="AD83" s="660"/>
      <c r="AE83" s="659" t="s">
        <v>339</v>
      </c>
      <c r="AF83" s="660"/>
      <c r="AG83" s="660"/>
      <c r="AH83" s="660"/>
      <c r="AI83" s="660"/>
      <c r="AJ83" s="659" t="s">
        <v>340</v>
      </c>
      <c r="AK83" s="660"/>
      <c r="AL83" s="660"/>
      <c r="AM83" s="660"/>
      <c r="AN83" s="660"/>
      <c r="AO83" s="659" t="s">
        <v>341</v>
      </c>
      <c r="AP83" s="660"/>
      <c r="AQ83" s="660"/>
      <c r="AR83" s="660"/>
      <c r="AS83" s="660"/>
      <c r="AT83" s="659" t="s">
        <v>342</v>
      </c>
      <c r="AU83" s="660"/>
      <c r="AV83" s="660"/>
      <c r="AW83" s="660"/>
      <c r="AX83" s="660"/>
    </row>
    <row r="84" spans="2:50">
      <c r="B84" s="652" t="s">
        <v>472</v>
      </c>
      <c r="C84" s="652" t="s">
        <v>473</v>
      </c>
      <c r="D84" s="652"/>
      <c r="E84" s="652" t="s">
        <v>474</v>
      </c>
      <c r="F84" s="652"/>
      <c r="G84" s="652"/>
      <c r="H84" s="668" t="s">
        <v>475</v>
      </c>
      <c r="I84" s="636" t="s">
        <v>476</v>
      </c>
      <c r="J84" s="636"/>
      <c r="K84" s="636"/>
      <c r="L84" s="637" t="s">
        <v>475</v>
      </c>
      <c r="M84" s="643" t="s">
        <v>477</v>
      </c>
      <c r="N84" s="652"/>
      <c r="O84" s="652" t="s">
        <v>478</v>
      </c>
      <c r="P84" s="649" t="s">
        <v>479</v>
      </c>
      <c r="Q84" s="650"/>
      <c r="R84" s="650"/>
      <c r="S84" s="651"/>
      <c r="T84" s="652" t="s">
        <v>475</v>
      </c>
      <c r="U84" s="649" t="s">
        <v>479</v>
      </c>
      <c r="V84" s="650"/>
      <c r="W84" s="650"/>
      <c r="X84" s="651"/>
      <c r="Y84" s="652" t="s">
        <v>475</v>
      </c>
      <c r="Z84" s="649" t="s">
        <v>479</v>
      </c>
      <c r="AA84" s="650"/>
      <c r="AB84" s="650"/>
      <c r="AC84" s="651"/>
      <c r="AD84" s="652" t="s">
        <v>475</v>
      </c>
      <c r="AE84" s="649" t="s">
        <v>479</v>
      </c>
      <c r="AF84" s="650"/>
      <c r="AG84" s="650"/>
      <c r="AH84" s="651"/>
      <c r="AI84" s="652" t="s">
        <v>475</v>
      </c>
      <c r="AJ84" s="649" t="s">
        <v>479</v>
      </c>
      <c r="AK84" s="650"/>
      <c r="AL84" s="650"/>
      <c r="AM84" s="651"/>
      <c r="AN84" s="652" t="s">
        <v>475</v>
      </c>
      <c r="AO84" s="649" t="s">
        <v>479</v>
      </c>
      <c r="AP84" s="650"/>
      <c r="AQ84" s="650"/>
      <c r="AR84" s="651"/>
      <c r="AS84" s="652" t="s">
        <v>475</v>
      </c>
      <c r="AT84" s="649" t="s">
        <v>479</v>
      </c>
      <c r="AU84" s="650"/>
      <c r="AV84" s="650"/>
      <c r="AW84" s="651"/>
      <c r="AX84" s="652" t="s">
        <v>475</v>
      </c>
    </row>
    <row r="85" spans="2:50">
      <c r="B85" s="652"/>
      <c r="C85" s="652"/>
      <c r="D85" s="652"/>
      <c r="E85" s="652" t="s">
        <v>480</v>
      </c>
      <c r="F85" s="652"/>
      <c r="G85" s="652"/>
      <c r="H85" s="669"/>
      <c r="I85" s="636" t="s">
        <v>480</v>
      </c>
      <c r="J85" s="636"/>
      <c r="K85" s="636"/>
      <c r="L85" s="638"/>
      <c r="M85" s="644"/>
      <c r="N85" s="652"/>
      <c r="O85" s="652"/>
      <c r="P85" s="649" t="s">
        <v>481</v>
      </c>
      <c r="Q85" s="650"/>
      <c r="R85" s="650"/>
      <c r="S85" s="651"/>
      <c r="T85" s="652"/>
      <c r="U85" s="649" t="s">
        <v>481</v>
      </c>
      <c r="V85" s="650"/>
      <c r="W85" s="650"/>
      <c r="X85" s="651"/>
      <c r="Y85" s="652"/>
      <c r="Z85" s="649" t="s">
        <v>481</v>
      </c>
      <c r="AA85" s="650"/>
      <c r="AB85" s="650"/>
      <c r="AC85" s="651"/>
      <c r="AD85" s="652"/>
      <c r="AE85" s="649" t="s">
        <v>481</v>
      </c>
      <c r="AF85" s="650"/>
      <c r="AG85" s="650"/>
      <c r="AH85" s="651"/>
      <c r="AI85" s="652"/>
      <c r="AJ85" s="649" t="s">
        <v>481</v>
      </c>
      <c r="AK85" s="650"/>
      <c r="AL85" s="650"/>
      <c r="AM85" s="651"/>
      <c r="AN85" s="652"/>
      <c r="AO85" s="649" t="s">
        <v>481</v>
      </c>
      <c r="AP85" s="650"/>
      <c r="AQ85" s="650"/>
      <c r="AR85" s="651"/>
      <c r="AS85" s="652"/>
      <c r="AT85" s="649" t="s">
        <v>481</v>
      </c>
      <c r="AU85" s="650"/>
      <c r="AV85" s="650"/>
      <c r="AW85" s="651"/>
      <c r="AX85" s="652"/>
    </row>
    <row r="86" spans="2:50">
      <c r="B86" s="652"/>
      <c r="C86" s="652"/>
      <c r="D86" s="652"/>
      <c r="E86" s="302" t="s">
        <v>482</v>
      </c>
      <c r="F86" s="302" t="s">
        <v>483</v>
      </c>
      <c r="G86" s="302" t="s">
        <v>484</v>
      </c>
      <c r="H86" s="670"/>
      <c r="I86" s="303" t="s">
        <v>482</v>
      </c>
      <c r="J86" s="303" t="s">
        <v>483</v>
      </c>
      <c r="K86" s="303" t="s">
        <v>484</v>
      </c>
      <c r="L86" s="639"/>
      <c r="M86" s="645"/>
      <c r="N86" s="652"/>
      <c r="O86" s="652"/>
      <c r="P86" s="302" t="s">
        <v>482</v>
      </c>
      <c r="Q86" s="302" t="s">
        <v>483</v>
      </c>
      <c r="R86" s="302" t="s">
        <v>484</v>
      </c>
      <c r="S86" s="302" t="s">
        <v>477</v>
      </c>
      <c r="T86" s="652"/>
      <c r="U86" s="302" t="s">
        <v>482</v>
      </c>
      <c r="V86" s="302" t="s">
        <v>483</v>
      </c>
      <c r="W86" s="302" t="s">
        <v>484</v>
      </c>
      <c r="X86" s="302" t="s">
        <v>477</v>
      </c>
      <c r="Y86" s="652"/>
      <c r="Z86" s="302" t="s">
        <v>482</v>
      </c>
      <c r="AA86" s="302" t="s">
        <v>483</v>
      </c>
      <c r="AB86" s="302" t="s">
        <v>484</v>
      </c>
      <c r="AC86" s="302" t="s">
        <v>477</v>
      </c>
      <c r="AD86" s="652"/>
      <c r="AE86" s="302" t="s">
        <v>482</v>
      </c>
      <c r="AF86" s="302" t="s">
        <v>483</v>
      </c>
      <c r="AG86" s="302" t="s">
        <v>484</v>
      </c>
      <c r="AH86" s="302" t="s">
        <v>477</v>
      </c>
      <c r="AI86" s="652"/>
      <c r="AJ86" s="302" t="s">
        <v>482</v>
      </c>
      <c r="AK86" s="302" t="s">
        <v>483</v>
      </c>
      <c r="AL86" s="302" t="s">
        <v>484</v>
      </c>
      <c r="AM86" s="302" t="s">
        <v>477</v>
      </c>
      <c r="AN86" s="652"/>
      <c r="AO86" s="302" t="s">
        <v>482</v>
      </c>
      <c r="AP86" s="302" t="s">
        <v>483</v>
      </c>
      <c r="AQ86" s="302" t="s">
        <v>484</v>
      </c>
      <c r="AR86" s="302" t="s">
        <v>477</v>
      </c>
      <c r="AS86" s="652"/>
      <c r="AT86" s="302" t="s">
        <v>482</v>
      </c>
      <c r="AU86" s="302" t="s">
        <v>483</v>
      </c>
      <c r="AV86" s="302" t="s">
        <v>484</v>
      </c>
      <c r="AW86" s="302" t="s">
        <v>477</v>
      </c>
      <c r="AX86" s="652"/>
    </row>
    <row r="87" spans="2:50">
      <c r="B87" s="652" t="s">
        <v>487</v>
      </c>
      <c r="C87" s="301">
        <v>1</v>
      </c>
      <c r="D87" s="227"/>
      <c r="E87" s="182"/>
      <c r="F87" s="448"/>
      <c r="G87" s="449"/>
      <c r="H87" s="701" t="e">
        <f>AVERAGE(G87:G101)</f>
        <v>#DIV/0!</v>
      </c>
      <c r="I87" s="199" t="e">
        <f t="shared" ref="I87:K88" si="64">AVERAGE(P87,U87,Z87,AE87,AJ87,AO87,AT87)</f>
        <v>#DIV/0!</v>
      </c>
      <c r="J87" s="199" t="e">
        <f t="shared" si="64"/>
        <v>#DIV/0!</v>
      </c>
      <c r="K87" s="200" t="e">
        <f t="shared" si="64"/>
        <v>#DIV/0!</v>
      </c>
      <c r="L87" s="633" t="str">
        <f>IFERROR(AVERAGE(K87:K101),"-")</f>
        <v>-</v>
      </c>
      <c r="M87" s="201" t="e">
        <f>RANK(K87, K$87:$K$101)</f>
        <v>#DIV/0!</v>
      </c>
      <c r="N87" s="652"/>
      <c r="O87" s="652"/>
      <c r="P87" s="182"/>
      <c r="Q87" s="182"/>
      <c r="R87" s="552"/>
      <c r="S87" s="301" t="e">
        <f>RANK(R87, R$87:R$101)</f>
        <v>#N/A</v>
      </c>
      <c r="T87" s="674" t="e">
        <f>AVERAGE(R87:R101)</f>
        <v>#DIV/0!</v>
      </c>
      <c r="U87" s="182"/>
      <c r="V87" s="182"/>
      <c r="W87" s="552"/>
      <c r="X87" s="546">
        <v>1</v>
      </c>
      <c r="Y87" s="674" t="e">
        <f t="shared" ref="Y87" si="65">AVERAGE(W87:W101)</f>
        <v>#DIV/0!</v>
      </c>
      <c r="Z87" s="426"/>
      <c r="AA87" s="182"/>
      <c r="AB87" s="552"/>
      <c r="AC87" s="477" t="e">
        <f t="shared" ref="AC87:AC101" si="66">RANK(AB87, AB$87:AB$101)</f>
        <v>#N/A</v>
      </c>
      <c r="AD87" s="674" t="e">
        <f t="shared" ref="AD87" si="67">AVERAGE(AB87:AB101)</f>
        <v>#DIV/0!</v>
      </c>
      <c r="AE87" s="426"/>
      <c r="AF87" s="182"/>
      <c r="AG87" s="552"/>
      <c r="AH87" s="477" t="e">
        <f t="shared" ref="AH87:AH101" si="68">RANK(AG87, AG$87:AG$101)</f>
        <v>#N/A</v>
      </c>
      <c r="AI87" s="674" t="e">
        <f t="shared" ref="AI87" si="69">AVERAGE(AG87:AG101)</f>
        <v>#DIV/0!</v>
      </c>
      <c r="AJ87" s="426"/>
      <c r="AK87" s="182"/>
      <c r="AL87" s="552"/>
      <c r="AM87" s="477" t="e">
        <f t="shared" ref="AM87:AM101" si="70">RANK(AL87, AL$87:AL$101)</f>
        <v>#N/A</v>
      </c>
      <c r="AN87" s="674" t="e">
        <f t="shared" ref="AN87" si="71">AVERAGE(AL87:AL101)</f>
        <v>#DIV/0!</v>
      </c>
      <c r="AO87" s="426"/>
      <c r="AP87" s="182"/>
      <c r="AQ87" s="552"/>
      <c r="AR87" s="477" t="e">
        <f t="shared" ref="AR87:AR101" si="72">RANK(AQ87, AQ$87:AQ$101)</f>
        <v>#N/A</v>
      </c>
      <c r="AS87" s="674" t="e">
        <f t="shared" ref="AS87" si="73">AVERAGE(AQ87:AQ101)</f>
        <v>#DIV/0!</v>
      </c>
      <c r="AT87" s="426"/>
      <c r="AU87" s="182"/>
      <c r="AV87" s="552"/>
      <c r="AW87" s="477" t="e">
        <f t="shared" ref="AW87:AW101" si="74">RANK(AV87, AV$87:AV$101)</f>
        <v>#N/A</v>
      </c>
      <c r="AX87" s="674" t="e">
        <f t="shared" ref="AX87" si="75">AVERAGE(AV87:AV101)</f>
        <v>#DIV/0!</v>
      </c>
    </row>
    <row r="88" spans="2:50">
      <c r="B88" s="660"/>
      <c r="C88" s="301">
        <v>2</v>
      </c>
      <c r="D88" s="227"/>
      <c r="E88" s="182"/>
      <c r="F88" s="448"/>
      <c r="G88" s="449"/>
      <c r="H88" s="702"/>
      <c r="I88" s="447" t="e">
        <f t="shared" si="64"/>
        <v>#DIV/0!</v>
      </c>
      <c r="J88" s="447" t="e">
        <f t="shared" si="64"/>
        <v>#DIV/0!</v>
      </c>
      <c r="K88" s="200" t="e">
        <f t="shared" si="64"/>
        <v>#DIV/0!</v>
      </c>
      <c r="L88" s="634"/>
      <c r="M88" s="201" t="e">
        <f>RANK(K88, K$87:$K$101)</f>
        <v>#DIV/0!</v>
      </c>
      <c r="N88" s="652"/>
      <c r="O88" s="652"/>
      <c r="P88" s="551"/>
      <c r="Q88" s="182"/>
      <c r="R88" s="552"/>
      <c r="S88" s="301" t="e">
        <f t="shared" ref="S88:S101" si="76">RANK(R88, R$87:R$101)</f>
        <v>#N/A</v>
      </c>
      <c r="T88" s="674"/>
      <c r="U88" s="551"/>
      <c r="V88" s="182"/>
      <c r="W88" s="552"/>
      <c r="X88" s="546">
        <v>2</v>
      </c>
      <c r="Y88" s="674"/>
      <c r="Z88" s="426"/>
      <c r="AA88" s="182"/>
      <c r="AB88" s="552"/>
      <c r="AC88" s="477" t="e">
        <f t="shared" si="66"/>
        <v>#N/A</v>
      </c>
      <c r="AD88" s="674"/>
      <c r="AE88" s="426"/>
      <c r="AF88" s="182"/>
      <c r="AG88" s="552"/>
      <c r="AH88" s="477" t="e">
        <f t="shared" si="68"/>
        <v>#N/A</v>
      </c>
      <c r="AI88" s="674"/>
      <c r="AJ88" s="426"/>
      <c r="AK88" s="182"/>
      <c r="AL88" s="552"/>
      <c r="AM88" s="477" t="e">
        <f t="shared" si="70"/>
        <v>#N/A</v>
      </c>
      <c r="AN88" s="674"/>
      <c r="AO88" s="426"/>
      <c r="AP88" s="182"/>
      <c r="AQ88" s="552"/>
      <c r="AR88" s="477" t="e">
        <f t="shared" si="72"/>
        <v>#N/A</v>
      </c>
      <c r="AS88" s="674"/>
      <c r="AT88" s="426"/>
      <c r="AU88" s="182"/>
      <c r="AV88" s="552"/>
      <c r="AW88" s="477" t="e">
        <f t="shared" si="74"/>
        <v>#N/A</v>
      </c>
      <c r="AX88" s="674"/>
    </row>
    <row r="89" spans="2:50">
      <c r="B89" s="660"/>
      <c r="C89" s="301">
        <v>3</v>
      </c>
      <c r="D89" s="227"/>
      <c r="E89" s="182"/>
      <c r="F89" s="448"/>
      <c r="G89" s="449"/>
      <c r="H89" s="702"/>
      <c r="I89" s="199"/>
      <c r="J89" s="199"/>
      <c r="K89" s="200"/>
      <c r="L89" s="634"/>
      <c r="M89" s="201" t="e">
        <f>RANK(K89, K$87:$K$101)</f>
        <v>#DIV/0!</v>
      </c>
      <c r="N89" s="652"/>
      <c r="O89" s="652"/>
      <c r="P89" s="551"/>
      <c r="Q89" s="182"/>
      <c r="R89" s="552"/>
      <c r="S89" s="301" t="e">
        <f t="shared" si="76"/>
        <v>#N/A</v>
      </c>
      <c r="T89" s="674"/>
      <c r="U89" s="551"/>
      <c r="V89" s="182"/>
      <c r="W89" s="552"/>
      <c r="X89" s="477" t="e">
        <f t="shared" ref="X89:X101" si="77">RANK(W89, W$87:W$101)</f>
        <v>#N/A</v>
      </c>
      <c r="Y89" s="674"/>
      <c r="Z89" s="477"/>
      <c r="AA89" s="477"/>
      <c r="AB89" s="477"/>
      <c r="AC89" s="477" t="e">
        <f t="shared" si="66"/>
        <v>#N/A</v>
      </c>
      <c r="AD89" s="674"/>
      <c r="AE89" s="477"/>
      <c r="AF89" s="477"/>
      <c r="AG89" s="477"/>
      <c r="AH89" s="477" t="e">
        <f t="shared" si="68"/>
        <v>#N/A</v>
      </c>
      <c r="AI89" s="674"/>
      <c r="AJ89" s="477"/>
      <c r="AK89" s="477"/>
      <c r="AL89" s="477"/>
      <c r="AM89" s="477" t="e">
        <f t="shared" si="70"/>
        <v>#N/A</v>
      </c>
      <c r="AN89" s="674"/>
      <c r="AO89" s="477"/>
      <c r="AP89" s="477"/>
      <c r="AQ89" s="477"/>
      <c r="AR89" s="477" t="e">
        <f t="shared" si="72"/>
        <v>#N/A</v>
      </c>
      <c r="AS89" s="674"/>
      <c r="AT89" s="477"/>
      <c r="AU89" s="477"/>
      <c r="AV89" s="477"/>
      <c r="AW89" s="477" t="e">
        <f t="shared" si="74"/>
        <v>#N/A</v>
      </c>
      <c r="AX89" s="674"/>
    </row>
    <row r="90" spans="2:50">
      <c r="B90" s="660"/>
      <c r="C90" s="301">
        <v>4</v>
      </c>
      <c r="D90" s="227"/>
      <c r="E90" s="182"/>
      <c r="F90" s="448"/>
      <c r="G90" s="449"/>
      <c r="H90" s="702"/>
      <c r="I90" s="199"/>
      <c r="J90" s="199"/>
      <c r="K90" s="200"/>
      <c r="L90" s="634"/>
      <c r="M90" s="201" t="e">
        <f>RANK(K90, K$87:$K$101)</f>
        <v>#DIV/0!</v>
      </c>
      <c r="N90" s="652"/>
      <c r="O90" s="652"/>
      <c r="P90" s="551"/>
      <c r="Q90" s="551"/>
      <c r="R90" s="551"/>
      <c r="S90" s="301" t="e">
        <f t="shared" si="76"/>
        <v>#N/A</v>
      </c>
      <c r="T90" s="674"/>
      <c r="U90" s="551"/>
      <c r="V90" s="551"/>
      <c r="W90" s="551"/>
      <c r="X90" s="477" t="e">
        <f t="shared" si="77"/>
        <v>#N/A</v>
      </c>
      <c r="Y90" s="674"/>
      <c r="Z90" s="477"/>
      <c r="AA90" s="477"/>
      <c r="AB90" s="477"/>
      <c r="AC90" s="477" t="e">
        <f t="shared" si="66"/>
        <v>#N/A</v>
      </c>
      <c r="AD90" s="674"/>
      <c r="AE90" s="477"/>
      <c r="AF90" s="477"/>
      <c r="AG90" s="477"/>
      <c r="AH90" s="477" t="e">
        <f t="shared" si="68"/>
        <v>#N/A</v>
      </c>
      <c r="AI90" s="674"/>
      <c r="AJ90" s="477"/>
      <c r="AK90" s="477"/>
      <c r="AL90" s="477"/>
      <c r="AM90" s="477" t="e">
        <f t="shared" si="70"/>
        <v>#N/A</v>
      </c>
      <c r="AN90" s="674"/>
      <c r="AO90" s="477"/>
      <c r="AP90" s="477"/>
      <c r="AQ90" s="477"/>
      <c r="AR90" s="477" t="e">
        <f t="shared" si="72"/>
        <v>#N/A</v>
      </c>
      <c r="AS90" s="674"/>
      <c r="AT90" s="477"/>
      <c r="AU90" s="477"/>
      <c r="AV90" s="477"/>
      <c r="AW90" s="477" t="e">
        <f t="shared" si="74"/>
        <v>#N/A</v>
      </c>
      <c r="AX90" s="674"/>
    </row>
    <row r="91" spans="2:50">
      <c r="B91" s="660"/>
      <c r="C91" s="301">
        <v>5</v>
      </c>
      <c r="D91" s="227"/>
      <c r="E91" s="182"/>
      <c r="F91" s="448"/>
      <c r="G91" s="449"/>
      <c r="H91" s="702"/>
      <c r="I91" s="199"/>
      <c r="J91" s="199"/>
      <c r="K91" s="200"/>
      <c r="L91" s="634"/>
      <c r="M91" s="201" t="e">
        <f>RANK(K91, K$87:$K$101)</f>
        <v>#DIV/0!</v>
      </c>
      <c r="N91" s="652"/>
      <c r="O91" s="652"/>
      <c r="P91" s="551"/>
      <c r="Q91" s="551"/>
      <c r="R91" s="551"/>
      <c r="S91" s="301" t="e">
        <f t="shared" si="76"/>
        <v>#N/A</v>
      </c>
      <c r="T91" s="674"/>
      <c r="U91" s="551"/>
      <c r="V91" s="551"/>
      <c r="W91" s="551"/>
      <c r="X91" s="477" t="e">
        <f t="shared" si="77"/>
        <v>#N/A</v>
      </c>
      <c r="Y91" s="674"/>
      <c r="Z91" s="477"/>
      <c r="AA91" s="477"/>
      <c r="AB91" s="477"/>
      <c r="AC91" s="477" t="e">
        <f t="shared" si="66"/>
        <v>#N/A</v>
      </c>
      <c r="AD91" s="674"/>
      <c r="AE91" s="477"/>
      <c r="AF91" s="477"/>
      <c r="AG91" s="477"/>
      <c r="AH91" s="477" t="e">
        <f t="shared" si="68"/>
        <v>#N/A</v>
      </c>
      <c r="AI91" s="674"/>
      <c r="AJ91" s="477"/>
      <c r="AK91" s="477"/>
      <c r="AL91" s="477"/>
      <c r="AM91" s="477" t="e">
        <f t="shared" si="70"/>
        <v>#N/A</v>
      </c>
      <c r="AN91" s="674"/>
      <c r="AO91" s="477"/>
      <c r="AP91" s="477"/>
      <c r="AQ91" s="477"/>
      <c r="AR91" s="477" t="e">
        <f t="shared" si="72"/>
        <v>#N/A</v>
      </c>
      <c r="AS91" s="674"/>
      <c r="AT91" s="477"/>
      <c r="AU91" s="477"/>
      <c r="AV91" s="477"/>
      <c r="AW91" s="477" t="e">
        <f t="shared" si="74"/>
        <v>#N/A</v>
      </c>
      <c r="AX91" s="674"/>
    </row>
    <row r="92" spans="2:50">
      <c r="B92" s="660"/>
      <c r="C92" s="301">
        <v>6</v>
      </c>
      <c r="D92" s="227"/>
      <c r="E92" s="182"/>
      <c r="F92" s="448"/>
      <c r="G92" s="449"/>
      <c r="H92" s="702"/>
      <c r="I92" s="199"/>
      <c r="J92" s="199"/>
      <c r="K92" s="200"/>
      <c r="L92" s="634"/>
      <c r="M92" s="201" t="e">
        <f>RANK(K92, K$87:$K$101)</f>
        <v>#DIV/0!</v>
      </c>
      <c r="N92" s="652"/>
      <c r="O92" s="652"/>
      <c r="P92" s="551"/>
      <c r="Q92" s="551"/>
      <c r="R92" s="551"/>
      <c r="S92" s="301" t="e">
        <f t="shared" si="76"/>
        <v>#N/A</v>
      </c>
      <c r="T92" s="674"/>
      <c r="U92" s="551"/>
      <c r="V92" s="551"/>
      <c r="W92" s="551"/>
      <c r="X92" s="477" t="e">
        <f t="shared" si="77"/>
        <v>#N/A</v>
      </c>
      <c r="Y92" s="674"/>
      <c r="Z92" s="477"/>
      <c r="AA92" s="477"/>
      <c r="AB92" s="477"/>
      <c r="AC92" s="477" t="e">
        <f t="shared" si="66"/>
        <v>#N/A</v>
      </c>
      <c r="AD92" s="674"/>
      <c r="AE92" s="477"/>
      <c r="AF92" s="477"/>
      <c r="AG92" s="477"/>
      <c r="AH92" s="477" t="e">
        <f t="shared" si="68"/>
        <v>#N/A</v>
      </c>
      <c r="AI92" s="674"/>
      <c r="AJ92" s="477"/>
      <c r="AK92" s="477"/>
      <c r="AL92" s="477"/>
      <c r="AM92" s="477" t="e">
        <f t="shared" si="70"/>
        <v>#N/A</v>
      </c>
      <c r="AN92" s="674"/>
      <c r="AO92" s="477"/>
      <c r="AP92" s="477"/>
      <c r="AQ92" s="477"/>
      <c r="AR92" s="477" t="e">
        <f t="shared" si="72"/>
        <v>#N/A</v>
      </c>
      <c r="AS92" s="674"/>
      <c r="AT92" s="477"/>
      <c r="AU92" s="477"/>
      <c r="AV92" s="477"/>
      <c r="AW92" s="477" t="e">
        <f t="shared" si="74"/>
        <v>#N/A</v>
      </c>
      <c r="AX92" s="674"/>
    </row>
    <row r="93" spans="2:50">
      <c r="B93" s="660"/>
      <c r="C93" s="301">
        <v>7</v>
      </c>
      <c r="D93" s="227"/>
      <c r="E93" s="182"/>
      <c r="F93" s="448"/>
      <c r="G93" s="449"/>
      <c r="H93" s="702"/>
      <c r="I93" s="199"/>
      <c r="J93" s="199"/>
      <c r="K93" s="200"/>
      <c r="L93" s="634"/>
      <c r="M93" s="201" t="e">
        <f>RANK(K93, K$87:$K$101)</f>
        <v>#DIV/0!</v>
      </c>
      <c r="N93" s="652"/>
      <c r="O93" s="652"/>
      <c r="P93" s="551"/>
      <c r="Q93" s="551"/>
      <c r="R93" s="551"/>
      <c r="S93" s="301" t="e">
        <f t="shared" si="76"/>
        <v>#N/A</v>
      </c>
      <c r="T93" s="674"/>
      <c r="U93" s="551"/>
      <c r="V93" s="551"/>
      <c r="W93" s="551"/>
      <c r="X93" s="477" t="e">
        <f t="shared" si="77"/>
        <v>#N/A</v>
      </c>
      <c r="Y93" s="674"/>
      <c r="Z93" s="477"/>
      <c r="AA93" s="477"/>
      <c r="AB93" s="477"/>
      <c r="AC93" s="477" t="e">
        <f t="shared" si="66"/>
        <v>#N/A</v>
      </c>
      <c r="AD93" s="674"/>
      <c r="AE93" s="477"/>
      <c r="AF93" s="477"/>
      <c r="AG93" s="477"/>
      <c r="AH93" s="477" t="e">
        <f t="shared" si="68"/>
        <v>#N/A</v>
      </c>
      <c r="AI93" s="674"/>
      <c r="AJ93" s="477"/>
      <c r="AK93" s="477"/>
      <c r="AL93" s="477"/>
      <c r="AM93" s="477" t="e">
        <f t="shared" si="70"/>
        <v>#N/A</v>
      </c>
      <c r="AN93" s="674"/>
      <c r="AO93" s="477"/>
      <c r="AP93" s="477"/>
      <c r="AQ93" s="477"/>
      <c r="AR93" s="477" t="e">
        <f t="shared" si="72"/>
        <v>#N/A</v>
      </c>
      <c r="AS93" s="674"/>
      <c r="AT93" s="477"/>
      <c r="AU93" s="477"/>
      <c r="AV93" s="477"/>
      <c r="AW93" s="477" t="e">
        <f t="shared" si="74"/>
        <v>#N/A</v>
      </c>
      <c r="AX93" s="674"/>
    </row>
    <row r="94" spans="2:50">
      <c r="B94" s="660"/>
      <c r="C94" s="301">
        <v>8</v>
      </c>
      <c r="D94" s="227"/>
      <c r="E94" s="182"/>
      <c r="F94" s="448"/>
      <c r="G94" s="449"/>
      <c r="H94" s="702"/>
      <c r="I94" s="199"/>
      <c r="J94" s="199"/>
      <c r="K94" s="200"/>
      <c r="L94" s="634"/>
      <c r="M94" s="201" t="e">
        <f>RANK(K94, K$87:$K$101)</f>
        <v>#DIV/0!</v>
      </c>
      <c r="N94" s="652"/>
      <c r="O94" s="652"/>
      <c r="P94" s="551"/>
      <c r="Q94" s="551"/>
      <c r="R94" s="551"/>
      <c r="S94" s="301" t="e">
        <f t="shared" si="76"/>
        <v>#N/A</v>
      </c>
      <c r="T94" s="674"/>
      <c r="U94" s="551"/>
      <c r="V94" s="551"/>
      <c r="W94" s="551"/>
      <c r="X94" s="477" t="e">
        <f t="shared" si="77"/>
        <v>#N/A</v>
      </c>
      <c r="Y94" s="674"/>
      <c r="Z94" s="477"/>
      <c r="AA94" s="477"/>
      <c r="AB94" s="477"/>
      <c r="AC94" s="477" t="e">
        <f t="shared" si="66"/>
        <v>#N/A</v>
      </c>
      <c r="AD94" s="674"/>
      <c r="AE94" s="477"/>
      <c r="AF94" s="477"/>
      <c r="AG94" s="477"/>
      <c r="AH94" s="477" t="e">
        <f t="shared" si="68"/>
        <v>#N/A</v>
      </c>
      <c r="AI94" s="674"/>
      <c r="AJ94" s="477"/>
      <c r="AK94" s="477"/>
      <c r="AL94" s="477"/>
      <c r="AM94" s="477" t="e">
        <f t="shared" si="70"/>
        <v>#N/A</v>
      </c>
      <c r="AN94" s="674"/>
      <c r="AO94" s="477"/>
      <c r="AP94" s="477"/>
      <c r="AQ94" s="477"/>
      <c r="AR94" s="477" t="e">
        <f t="shared" si="72"/>
        <v>#N/A</v>
      </c>
      <c r="AS94" s="674"/>
      <c r="AT94" s="477"/>
      <c r="AU94" s="477"/>
      <c r="AV94" s="477"/>
      <c r="AW94" s="477" t="e">
        <f t="shared" si="74"/>
        <v>#N/A</v>
      </c>
      <c r="AX94" s="674"/>
    </row>
    <row r="95" spans="2:50">
      <c r="B95" s="660"/>
      <c r="C95" s="301">
        <v>9</v>
      </c>
      <c r="D95" s="227"/>
      <c r="E95" s="182"/>
      <c r="F95" s="448"/>
      <c r="G95" s="449"/>
      <c r="H95" s="702"/>
      <c r="I95" s="199"/>
      <c r="J95" s="199"/>
      <c r="K95" s="200"/>
      <c r="L95" s="634"/>
      <c r="M95" s="201" t="e">
        <f>RANK(K95, K$87:$K$101)</f>
        <v>#DIV/0!</v>
      </c>
      <c r="N95" s="652"/>
      <c r="O95" s="652"/>
      <c r="P95" s="551"/>
      <c r="Q95" s="551"/>
      <c r="R95" s="551"/>
      <c r="S95" s="301" t="e">
        <f t="shared" si="76"/>
        <v>#N/A</v>
      </c>
      <c r="T95" s="674"/>
      <c r="U95" s="551"/>
      <c r="V95" s="551"/>
      <c r="W95" s="551"/>
      <c r="X95" s="477" t="e">
        <f t="shared" si="77"/>
        <v>#N/A</v>
      </c>
      <c r="Y95" s="674"/>
      <c r="Z95" s="477"/>
      <c r="AA95" s="477"/>
      <c r="AB95" s="477"/>
      <c r="AC95" s="477" t="e">
        <f t="shared" si="66"/>
        <v>#N/A</v>
      </c>
      <c r="AD95" s="674"/>
      <c r="AE95" s="477"/>
      <c r="AF95" s="477"/>
      <c r="AG95" s="477"/>
      <c r="AH95" s="477" t="e">
        <f t="shared" si="68"/>
        <v>#N/A</v>
      </c>
      <c r="AI95" s="674"/>
      <c r="AJ95" s="477"/>
      <c r="AK95" s="477"/>
      <c r="AL95" s="477"/>
      <c r="AM95" s="477" t="e">
        <f t="shared" si="70"/>
        <v>#N/A</v>
      </c>
      <c r="AN95" s="674"/>
      <c r="AO95" s="477"/>
      <c r="AP95" s="477"/>
      <c r="AQ95" s="477"/>
      <c r="AR95" s="477" t="e">
        <f t="shared" si="72"/>
        <v>#N/A</v>
      </c>
      <c r="AS95" s="674"/>
      <c r="AT95" s="477"/>
      <c r="AU95" s="477"/>
      <c r="AV95" s="477"/>
      <c r="AW95" s="477" t="e">
        <f t="shared" si="74"/>
        <v>#N/A</v>
      </c>
      <c r="AX95" s="674"/>
    </row>
    <row r="96" spans="2:50">
      <c r="B96" s="660"/>
      <c r="C96" s="301">
        <v>10</v>
      </c>
      <c r="D96" s="227"/>
      <c r="E96" s="182"/>
      <c r="F96" s="448"/>
      <c r="G96" s="449"/>
      <c r="H96" s="702"/>
      <c r="I96" s="199"/>
      <c r="J96" s="199"/>
      <c r="K96" s="200"/>
      <c r="L96" s="634"/>
      <c r="M96" s="201" t="e">
        <f>RANK(K96, K$87:$K$101)</f>
        <v>#DIV/0!</v>
      </c>
      <c r="N96" s="652"/>
      <c r="O96" s="652"/>
      <c r="P96" s="551"/>
      <c r="Q96" s="551"/>
      <c r="R96" s="551"/>
      <c r="S96" s="301" t="e">
        <f t="shared" si="76"/>
        <v>#N/A</v>
      </c>
      <c r="T96" s="674"/>
      <c r="U96" s="551"/>
      <c r="V96" s="551"/>
      <c r="W96" s="551"/>
      <c r="X96" s="477" t="e">
        <f t="shared" si="77"/>
        <v>#N/A</v>
      </c>
      <c r="Y96" s="674"/>
      <c r="Z96" s="477"/>
      <c r="AA96" s="477"/>
      <c r="AB96" s="477"/>
      <c r="AC96" s="477" t="e">
        <f t="shared" si="66"/>
        <v>#N/A</v>
      </c>
      <c r="AD96" s="674"/>
      <c r="AE96" s="477"/>
      <c r="AF96" s="477"/>
      <c r="AG96" s="477"/>
      <c r="AH96" s="477" t="e">
        <f t="shared" si="68"/>
        <v>#N/A</v>
      </c>
      <c r="AI96" s="674"/>
      <c r="AJ96" s="477"/>
      <c r="AK96" s="477"/>
      <c r="AL96" s="477"/>
      <c r="AM96" s="477" t="e">
        <f t="shared" si="70"/>
        <v>#N/A</v>
      </c>
      <c r="AN96" s="674"/>
      <c r="AO96" s="477"/>
      <c r="AP96" s="477"/>
      <c r="AQ96" s="477"/>
      <c r="AR96" s="477" t="e">
        <f t="shared" si="72"/>
        <v>#N/A</v>
      </c>
      <c r="AS96" s="674"/>
      <c r="AT96" s="477"/>
      <c r="AU96" s="477"/>
      <c r="AV96" s="477"/>
      <c r="AW96" s="477" t="e">
        <f t="shared" si="74"/>
        <v>#N/A</v>
      </c>
      <c r="AX96" s="674"/>
    </row>
    <row r="97" spans="2:50">
      <c r="B97" s="660"/>
      <c r="C97" s="301">
        <v>11</v>
      </c>
      <c r="D97" s="227"/>
      <c r="E97" s="182"/>
      <c r="F97" s="448"/>
      <c r="G97" s="449"/>
      <c r="H97" s="702"/>
      <c r="I97" s="202"/>
      <c r="J97" s="202"/>
      <c r="K97" s="202"/>
      <c r="L97" s="634"/>
      <c r="M97" s="201" t="e">
        <f>RANK(K97, K$87:$K$101)</f>
        <v>#DIV/0!</v>
      </c>
      <c r="N97" s="652"/>
      <c r="O97" s="652"/>
      <c r="P97" s="551"/>
      <c r="Q97" s="551"/>
      <c r="R97" s="551"/>
      <c r="S97" s="301" t="e">
        <f t="shared" si="76"/>
        <v>#N/A</v>
      </c>
      <c r="T97" s="674"/>
      <c r="U97" s="551"/>
      <c r="V97" s="551"/>
      <c r="W97" s="551"/>
      <c r="X97" s="477" t="e">
        <f t="shared" si="77"/>
        <v>#N/A</v>
      </c>
      <c r="Y97" s="674"/>
      <c r="Z97" s="477"/>
      <c r="AA97" s="477"/>
      <c r="AB97" s="477"/>
      <c r="AC97" s="477" t="e">
        <f t="shared" si="66"/>
        <v>#N/A</v>
      </c>
      <c r="AD97" s="674"/>
      <c r="AE97" s="477"/>
      <c r="AF97" s="477"/>
      <c r="AG97" s="477"/>
      <c r="AH97" s="477" t="e">
        <f t="shared" si="68"/>
        <v>#N/A</v>
      </c>
      <c r="AI97" s="674"/>
      <c r="AJ97" s="477"/>
      <c r="AK97" s="477"/>
      <c r="AL97" s="477"/>
      <c r="AM97" s="477" t="e">
        <f t="shared" si="70"/>
        <v>#N/A</v>
      </c>
      <c r="AN97" s="674"/>
      <c r="AO97" s="477"/>
      <c r="AP97" s="477"/>
      <c r="AQ97" s="477"/>
      <c r="AR97" s="477" t="e">
        <f t="shared" si="72"/>
        <v>#N/A</v>
      </c>
      <c r="AS97" s="674"/>
      <c r="AT97" s="477"/>
      <c r="AU97" s="477"/>
      <c r="AV97" s="477"/>
      <c r="AW97" s="477" t="e">
        <f t="shared" si="74"/>
        <v>#N/A</v>
      </c>
      <c r="AX97" s="674"/>
    </row>
    <row r="98" spans="2:50">
      <c r="B98" s="660"/>
      <c r="C98" s="301">
        <v>12</v>
      </c>
      <c r="D98" s="227"/>
      <c r="E98" s="182"/>
      <c r="F98" s="448"/>
      <c r="G98" s="449"/>
      <c r="H98" s="702"/>
      <c r="I98" s="202"/>
      <c r="J98" s="202"/>
      <c r="K98" s="202"/>
      <c r="L98" s="634"/>
      <c r="M98" s="201" t="e">
        <f>RANK(K98, K$87:$K$101)</f>
        <v>#DIV/0!</v>
      </c>
      <c r="N98" s="652"/>
      <c r="O98" s="652"/>
      <c r="P98" s="551"/>
      <c r="Q98" s="551"/>
      <c r="R98" s="551"/>
      <c r="S98" s="301" t="e">
        <f t="shared" si="76"/>
        <v>#N/A</v>
      </c>
      <c r="T98" s="674"/>
      <c r="U98" s="551"/>
      <c r="V98" s="551"/>
      <c r="W98" s="551"/>
      <c r="X98" s="477" t="e">
        <f t="shared" si="77"/>
        <v>#N/A</v>
      </c>
      <c r="Y98" s="674"/>
      <c r="Z98" s="477"/>
      <c r="AA98" s="477"/>
      <c r="AB98" s="477"/>
      <c r="AC98" s="477" t="e">
        <f t="shared" si="66"/>
        <v>#N/A</v>
      </c>
      <c r="AD98" s="674"/>
      <c r="AE98" s="477"/>
      <c r="AF98" s="477"/>
      <c r="AG98" s="477"/>
      <c r="AH98" s="477" t="e">
        <f t="shared" si="68"/>
        <v>#N/A</v>
      </c>
      <c r="AI98" s="674"/>
      <c r="AJ98" s="477"/>
      <c r="AK98" s="477"/>
      <c r="AL98" s="477"/>
      <c r="AM98" s="477" t="e">
        <f t="shared" si="70"/>
        <v>#N/A</v>
      </c>
      <c r="AN98" s="674"/>
      <c r="AO98" s="477"/>
      <c r="AP98" s="477"/>
      <c r="AQ98" s="477"/>
      <c r="AR98" s="477" t="e">
        <f t="shared" si="72"/>
        <v>#N/A</v>
      </c>
      <c r="AS98" s="674"/>
      <c r="AT98" s="477"/>
      <c r="AU98" s="477"/>
      <c r="AV98" s="477"/>
      <c r="AW98" s="477" t="e">
        <f t="shared" si="74"/>
        <v>#N/A</v>
      </c>
      <c r="AX98" s="674"/>
    </row>
    <row r="99" spans="2:50">
      <c r="B99" s="660"/>
      <c r="C99" s="301">
        <v>13</v>
      </c>
      <c r="D99" s="227"/>
      <c r="E99" s="182"/>
      <c r="F99" s="448"/>
      <c r="G99" s="449"/>
      <c r="H99" s="702"/>
      <c r="I99" s="202"/>
      <c r="J99" s="202"/>
      <c r="K99" s="202"/>
      <c r="L99" s="634"/>
      <c r="M99" s="201" t="e">
        <f>RANK(K99, K$87:$K$101)</f>
        <v>#DIV/0!</v>
      </c>
      <c r="N99" s="652"/>
      <c r="O99" s="652"/>
      <c r="P99" s="551"/>
      <c r="Q99" s="551"/>
      <c r="R99" s="551"/>
      <c r="S99" s="301" t="e">
        <f t="shared" si="76"/>
        <v>#N/A</v>
      </c>
      <c r="T99" s="674"/>
      <c r="U99" s="551"/>
      <c r="V99" s="551"/>
      <c r="W99" s="551"/>
      <c r="X99" s="477" t="e">
        <f t="shared" si="77"/>
        <v>#N/A</v>
      </c>
      <c r="Y99" s="674"/>
      <c r="Z99" s="477"/>
      <c r="AA99" s="477"/>
      <c r="AB99" s="477"/>
      <c r="AC99" s="477" t="e">
        <f t="shared" si="66"/>
        <v>#N/A</v>
      </c>
      <c r="AD99" s="674"/>
      <c r="AE99" s="477"/>
      <c r="AF99" s="477"/>
      <c r="AG99" s="477"/>
      <c r="AH99" s="477" t="e">
        <f t="shared" si="68"/>
        <v>#N/A</v>
      </c>
      <c r="AI99" s="674"/>
      <c r="AJ99" s="477"/>
      <c r="AK99" s="477"/>
      <c r="AL99" s="477"/>
      <c r="AM99" s="477" t="e">
        <f t="shared" si="70"/>
        <v>#N/A</v>
      </c>
      <c r="AN99" s="674"/>
      <c r="AO99" s="477"/>
      <c r="AP99" s="477"/>
      <c r="AQ99" s="477"/>
      <c r="AR99" s="477" t="e">
        <f t="shared" si="72"/>
        <v>#N/A</v>
      </c>
      <c r="AS99" s="674"/>
      <c r="AT99" s="477"/>
      <c r="AU99" s="477"/>
      <c r="AV99" s="477"/>
      <c r="AW99" s="477" t="e">
        <f t="shared" si="74"/>
        <v>#N/A</v>
      </c>
      <c r="AX99" s="674"/>
    </row>
    <row r="100" spans="2:50">
      <c r="B100" s="660"/>
      <c r="C100" s="301">
        <v>14</v>
      </c>
      <c r="D100" s="227"/>
      <c r="E100" s="182"/>
      <c r="F100" s="448"/>
      <c r="G100" s="449"/>
      <c r="H100" s="702"/>
      <c r="I100" s="202"/>
      <c r="J100" s="202"/>
      <c r="K100" s="202"/>
      <c r="L100" s="634"/>
      <c r="M100" s="201" t="e">
        <f>RANK(K100, K$87:$K$101)</f>
        <v>#DIV/0!</v>
      </c>
      <c r="N100" s="652"/>
      <c r="O100" s="652"/>
      <c r="P100" s="551"/>
      <c r="Q100" s="551"/>
      <c r="R100" s="551"/>
      <c r="S100" s="301" t="e">
        <f t="shared" si="76"/>
        <v>#N/A</v>
      </c>
      <c r="T100" s="674"/>
      <c r="U100" s="551"/>
      <c r="V100" s="551"/>
      <c r="W100" s="551"/>
      <c r="X100" s="477" t="e">
        <f t="shared" si="77"/>
        <v>#N/A</v>
      </c>
      <c r="Y100" s="674"/>
      <c r="Z100" s="477"/>
      <c r="AA100" s="477"/>
      <c r="AB100" s="477"/>
      <c r="AC100" s="477" t="e">
        <f t="shared" si="66"/>
        <v>#N/A</v>
      </c>
      <c r="AD100" s="674"/>
      <c r="AE100" s="477"/>
      <c r="AF100" s="477"/>
      <c r="AG100" s="477"/>
      <c r="AH100" s="477" t="e">
        <f t="shared" si="68"/>
        <v>#N/A</v>
      </c>
      <c r="AI100" s="674"/>
      <c r="AJ100" s="477"/>
      <c r="AK100" s="477"/>
      <c r="AL100" s="477"/>
      <c r="AM100" s="477" t="e">
        <f t="shared" si="70"/>
        <v>#N/A</v>
      </c>
      <c r="AN100" s="674"/>
      <c r="AO100" s="477"/>
      <c r="AP100" s="477"/>
      <c r="AQ100" s="477"/>
      <c r="AR100" s="477" t="e">
        <f t="shared" si="72"/>
        <v>#N/A</v>
      </c>
      <c r="AS100" s="674"/>
      <c r="AT100" s="477"/>
      <c r="AU100" s="477"/>
      <c r="AV100" s="477"/>
      <c r="AW100" s="477" t="e">
        <f t="shared" si="74"/>
        <v>#N/A</v>
      </c>
      <c r="AX100" s="674"/>
    </row>
    <row r="101" spans="2:50">
      <c r="B101" s="660"/>
      <c r="C101" s="301">
        <v>15</v>
      </c>
      <c r="D101" s="227"/>
      <c r="E101" s="182"/>
      <c r="F101" s="448"/>
      <c r="G101" s="449"/>
      <c r="H101" s="703"/>
      <c r="I101" s="202"/>
      <c r="J101" s="202"/>
      <c r="K101" s="202"/>
      <c r="L101" s="635"/>
      <c r="M101" s="199" t="e">
        <f>RANK(K101, K$87:$K$101)</f>
        <v>#DIV/0!</v>
      </c>
      <c r="N101" s="652"/>
      <c r="O101" s="652"/>
      <c r="P101" s="551"/>
      <c r="Q101" s="551"/>
      <c r="R101" s="551"/>
      <c r="S101" s="301" t="e">
        <f t="shared" si="76"/>
        <v>#N/A</v>
      </c>
      <c r="T101" s="674"/>
      <c r="U101" s="551"/>
      <c r="V101" s="551"/>
      <c r="W101" s="551"/>
      <c r="X101" s="477" t="e">
        <f t="shared" si="77"/>
        <v>#N/A</v>
      </c>
      <c r="Y101" s="674"/>
      <c r="Z101" s="477"/>
      <c r="AA101" s="477"/>
      <c r="AB101" s="477"/>
      <c r="AC101" s="477" t="e">
        <f t="shared" si="66"/>
        <v>#N/A</v>
      </c>
      <c r="AD101" s="674"/>
      <c r="AE101" s="477"/>
      <c r="AF101" s="477"/>
      <c r="AG101" s="477"/>
      <c r="AH101" s="477" t="e">
        <f t="shared" si="68"/>
        <v>#N/A</v>
      </c>
      <c r="AI101" s="674"/>
      <c r="AJ101" s="477"/>
      <c r="AK101" s="477"/>
      <c r="AL101" s="477"/>
      <c r="AM101" s="477" t="e">
        <f t="shared" si="70"/>
        <v>#N/A</v>
      </c>
      <c r="AN101" s="674"/>
      <c r="AO101" s="477"/>
      <c r="AP101" s="477"/>
      <c r="AQ101" s="477"/>
      <c r="AR101" s="477" t="e">
        <f t="shared" si="72"/>
        <v>#N/A</v>
      </c>
      <c r="AS101" s="674"/>
      <c r="AT101" s="477"/>
      <c r="AU101" s="477"/>
      <c r="AV101" s="477"/>
      <c r="AW101" s="477" t="e">
        <f t="shared" si="74"/>
        <v>#N/A</v>
      </c>
      <c r="AX101" s="674"/>
    </row>
    <row r="102" spans="2:50" ht="15.75">
      <c r="B102" s="664" t="s">
        <v>163</v>
      </c>
      <c r="C102" s="665"/>
      <c r="D102" s="665"/>
      <c r="E102" s="665"/>
      <c r="F102" s="665"/>
      <c r="G102" s="665"/>
      <c r="H102" s="666"/>
      <c r="I102" s="208"/>
      <c r="J102" s="208"/>
      <c r="K102" s="208"/>
      <c r="L102" s="208"/>
      <c r="M102" s="207"/>
      <c r="N102" s="653" t="s">
        <v>156</v>
      </c>
      <c r="O102" s="653" t="s">
        <v>105</v>
      </c>
      <c r="P102" s="659">
        <f>P82+7</f>
        <v>46084</v>
      </c>
      <c r="Q102" s="660"/>
      <c r="R102" s="660"/>
      <c r="S102" s="660"/>
      <c r="T102" s="660"/>
      <c r="U102" s="656">
        <f>P102+1</f>
        <v>46085</v>
      </c>
      <c r="V102" s="657"/>
      <c r="W102" s="657"/>
      <c r="X102" s="657"/>
      <c r="Y102" s="658"/>
      <c r="Z102" s="656">
        <f>U102+1</f>
        <v>46086</v>
      </c>
      <c r="AA102" s="657"/>
      <c r="AB102" s="657"/>
      <c r="AC102" s="657"/>
      <c r="AD102" s="658"/>
      <c r="AE102" s="656">
        <f>Z102+1</f>
        <v>46087</v>
      </c>
      <c r="AF102" s="657"/>
      <c r="AG102" s="657"/>
      <c r="AH102" s="657"/>
      <c r="AI102" s="658"/>
      <c r="AJ102" s="656">
        <f>AE102+1</f>
        <v>46088</v>
      </c>
      <c r="AK102" s="657"/>
      <c r="AL102" s="657"/>
      <c r="AM102" s="657"/>
      <c r="AN102" s="658"/>
      <c r="AO102" s="656">
        <f>AJ102+1</f>
        <v>46089</v>
      </c>
      <c r="AP102" s="657"/>
      <c r="AQ102" s="657"/>
      <c r="AR102" s="657"/>
      <c r="AS102" s="658"/>
      <c r="AT102" s="656">
        <f>AO102+1</f>
        <v>46090</v>
      </c>
      <c r="AU102" s="657"/>
      <c r="AV102" s="657"/>
      <c r="AW102" s="657"/>
      <c r="AX102" s="658"/>
    </row>
    <row r="103" spans="2:50" ht="15.75">
      <c r="B103" s="667"/>
      <c r="C103" s="667"/>
      <c r="D103" s="667"/>
      <c r="E103" s="667"/>
      <c r="F103" s="667"/>
      <c r="G103" s="667"/>
      <c r="H103" s="667"/>
      <c r="I103" s="205"/>
      <c r="J103" s="205"/>
      <c r="K103" s="205"/>
      <c r="L103" s="205"/>
      <c r="M103" s="206"/>
      <c r="N103" s="655"/>
      <c r="O103" s="655"/>
      <c r="P103" s="659" t="s">
        <v>158</v>
      </c>
      <c r="Q103" s="660"/>
      <c r="R103" s="660"/>
      <c r="S103" s="660"/>
      <c r="T103" s="660"/>
      <c r="U103" s="659" t="s">
        <v>114</v>
      </c>
      <c r="V103" s="660"/>
      <c r="W103" s="660"/>
      <c r="X103" s="660"/>
      <c r="Y103" s="660"/>
      <c r="Z103" s="659" t="s">
        <v>159</v>
      </c>
      <c r="AA103" s="660"/>
      <c r="AB103" s="660"/>
      <c r="AC103" s="660"/>
      <c r="AD103" s="660"/>
      <c r="AE103" s="659" t="s">
        <v>157</v>
      </c>
      <c r="AF103" s="660"/>
      <c r="AG103" s="660"/>
      <c r="AH103" s="660"/>
      <c r="AI103" s="660"/>
      <c r="AJ103" s="659" t="s">
        <v>160</v>
      </c>
      <c r="AK103" s="660"/>
      <c r="AL103" s="660"/>
      <c r="AM103" s="660"/>
      <c r="AN103" s="660"/>
      <c r="AO103" s="659" t="s">
        <v>115</v>
      </c>
      <c r="AP103" s="660"/>
      <c r="AQ103" s="660"/>
      <c r="AR103" s="660"/>
      <c r="AS103" s="660"/>
      <c r="AT103" s="659" t="s">
        <v>162</v>
      </c>
      <c r="AU103" s="660"/>
      <c r="AV103" s="660"/>
      <c r="AW103" s="660"/>
      <c r="AX103" s="660"/>
    </row>
    <row r="104" spans="2:50">
      <c r="B104" s="652" t="s">
        <v>154</v>
      </c>
      <c r="C104" s="652" t="s">
        <v>441</v>
      </c>
      <c r="D104" s="652"/>
      <c r="E104" s="652" t="s">
        <v>432</v>
      </c>
      <c r="F104" s="652"/>
      <c r="G104" s="652"/>
      <c r="H104" s="668" t="s">
        <v>428</v>
      </c>
      <c r="I104" s="636" t="s">
        <v>433</v>
      </c>
      <c r="J104" s="636"/>
      <c r="K104" s="636"/>
      <c r="L104" s="637" t="s">
        <v>428</v>
      </c>
      <c r="M104" s="643" t="s">
        <v>429</v>
      </c>
      <c r="N104" s="652"/>
      <c r="O104" s="652" t="s">
        <v>434</v>
      </c>
      <c r="P104" s="649" t="s">
        <v>430</v>
      </c>
      <c r="Q104" s="650"/>
      <c r="R104" s="650"/>
      <c r="S104" s="651"/>
      <c r="T104" s="652" t="s">
        <v>428</v>
      </c>
      <c r="U104" s="649" t="s">
        <v>430</v>
      </c>
      <c r="V104" s="650"/>
      <c r="W104" s="650"/>
      <c r="X104" s="651"/>
      <c r="Y104" s="652" t="s">
        <v>428</v>
      </c>
      <c r="Z104" s="649" t="s">
        <v>430</v>
      </c>
      <c r="AA104" s="650"/>
      <c r="AB104" s="650"/>
      <c r="AC104" s="651"/>
      <c r="AD104" s="652" t="s">
        <v>428</v>
      </c>
      <c r="AE104" s="649" t="s">
        <v>430</v>
      </c>
      <c r="AF104" s="650"/>
      <c r="AG104" s="650"/>
      <c r="AH104" s="651"/>
      <c r="AI104" s="652" t="s">
        <v>428</v>
      </c>
      <c r="AJ104" s="649" t="s">
        <v>430</v>
      </c>
      <c r="AK104" s="650"/>
      <c r="AL104" s="650"/>
      <c r="AM104" s="651"/>
      <c r="AN104" s="652" t="s">
        <v>428</v>
      </c>
      <c r="AO104" s="649" t="s">
        <v>430</v>
      </c>
      <c r="AP104" s="650"/>
      <c r="AQ104" s="650"/>
      <c r="AR104" s="651"/>
      <c r="AS104" s="652" t="s">
        <v>428</v>
      </c>
      <c r="AT104" s="649" t="s">
        <v>430</v>
      </c>
      <c r="AU104" s="650"/>
      <c r="AV104" s="650"/>
      <c r="AW104" s="651"/>
      <c r="AX104" s="652" t="s">
        <v>428</v>
      </c>
    </row>
    <row r="105" spans="2:50">
      <c r="B105" s="652"/>
      <c r="C105" s="652"/>
      <c r="D105" s="652"/>
      <c r="E105" s="652" t="s">
        <v>435</v>
      </c>
      <c r="F105" s="652"/>
      <c r="G105" s="652"/>
      <c r="H105" s="669"/>
      <c r="I105" s="636" t="s">
        <v>435</v>
      </c>
      <c r="J105" s="636"/>
      <c r="K105" s="636"/>
      <c r="L105" s="638"/>
      <c r="M105" s="644"/>
      <c r="N105" s="652"/>
      <c r="O105" s="652"/>
      <c r="P105" s="649" t="s">
        <v>436</v>
      </c>
      <c r="Q105" s="650"/>
      <c r="R105" s="650"/>
      <c r="S105" s="651"/>
      <c r="T105" s="652"/>
      <c r="U105" s="649" t="s">
        <v>436</v>
      </c>
      <c r="V105" s="650"/>
      <c r="W105" s="650"/>
      <c r="X105" s="651"/>
      <c r="Y105" s="652"/>
      <c r="Z105" s="649" t="s">
        <v>436</v>
      </c>
      <c r="AA105" s="650"/>
      <c r="AB105" s="650"/>
      <c r="AC105" s="651"/>
      <c r="AD105" s="652"/>
      <c r="AE105" s="649" t="s">
        <v>436</v>
      </c>
      <c r="AF105" s="650"/>
      <c r="AG105" s="650"/>
      <c r="AH105" s="651"/>
      <c r="AI105" s="652"/>
      <c r="AJ105" s="649" t="s">
        <v>436</v>
      </c>
      <c r="AK105" s="650"/>
      <c r="AL105" s="650"/>
      <c r="AM105" s="651"/>
      <c r="AN105" s="652"/>
      <c r="AO105" s="649" t="s">
        <v>436</v>
      </c>
      <c r="AP105" s="650"/>
      <c r="AQ105" s="650"/>
      <c r="AR105" s="651"/>
      <c r="AS105" s="652"/>
      <c r="AT105" s="649" t="s">
        <v>436</v>
      </c>
      <c r="AU105" s="650"/>
      <c r="AV105" s="650"/>
      <c r="AW105" s="651"/>
      <c r="AX105" s="652"/>
    </row>
    <row r="106" spans="2:50">
      <c r="B106" s="652"/>
      <c r="C106" s="652"/>
      <c r="D106" s="652"/>
      <c r="E106" s="345" t="s">
        <v>437</v>
      </c>
      <c r="F106" s="345" t="s">
        <v>438</v>
      </c>
      <c r="G106" s="345" t="s">
        <v>439</v>
      </c>
      <c r="H106" s="670"/>
      <c r="I106" s="346" t="s">
        <v>437</v>
      </c>
      <c r="J106" s="346" t="s">
        <v>438</v>
      </c>
      <c r="K106" s="346" t="s">
        <v>439</v>
      </c>
      <c r="L106" s="639"/>
      <c r="M106" s="645"/>
      <c r="N106" s="652"/>
      <c r="O106" s="652"/>
      <c r="P106" s="345" t="s">
        <v>437</v>
      </c>
      <c r="Q106" s="345" t="s">
        <v>438</v>
      </c>
      <c r="R106" s="345" t="s">
        <v>439</v>
      </c>
      <c r="S106" s="345" t="s">
        <v>429</v>
      </c>
      <c r="T106" s="652"/>
      <c r="U106" s="345" t="s">
        <v>437</v>
      </c>
      <c r="V106" s="345" t="s">
        <v>438</v>
      </c>
      <c r="W106" s="345" t="s">
        <v>439</v>
      </c>
      <c r="X106" s="345" t="s">
        <v>429</v>
      </c>
      <c r="Y106" s="652"/>
      <c r="Z106" s="345" t="s">
        <v>437</v>
      </c>
      <c r="AA106" s="345" t="s">
        <v>438</v>
      </c>
      <c r="AB106" s="345" t="s">
        <v>439</v>
      </c>
      <c r="AC106" s="345" t="s">
        <v>429</v>
      </c>
      <c r="AD106" s="652"/>
      <c r="AE106" s="345" t="s">
        <v>437</v>
      </c>
      <c r="AF106" s="345" t="s">
        <v>438</v>
      </c>
      <c r="AG106" s="345" t="s">
        <v>439</v>
      </c>
      <c r="AH106" s="345" t="s">
        <v>429</v>
      </c>
      <c r="AI106" s="652"/>
      <c r="AJ106" s="345" t="s">
        <v>437</v>
      </c>
      <c r="AK106" s="345" t="s">
        <v>438</v>
      </c>
      <c r="AL106" s="345" t="s">
        <v>439</v>
      </c>
      <c r="AM106" s="345" t="s">
        <v>429</v>
      </c>
      <c r="AN106" s="652"/>
      <c r="AO106" s="345" t="s">
        <v>437</v>
      </c>
      <c r="AP106" s="345" t="s">
        <v>438</v>
      </c>
      <c r="AQ106" s="345" t="s">
        <v>439</v>
      </c>
      <c r="AR106" s="345" t="s">
        <v>429</v>
      </c>
      <c r="AS106" s="652"/>
      <c r="AT106" s="345" t="s">
        <v>437</v>
      </c>
      <c r="AU106" s="345" t="s">
        <v>438</v>
      </c>
      <c r="AV106" s="345" t="s">
        <v>439</v>
      </c>
      <c r="AW106" s="345" t="s">
        <v>429</v>
      </c>
      <c r="AX106" s="652"/>
    </row>
    <row r="107" spans="2:50">
      <c r="B107" s="652" t="s">
        <v>442</v>
      </c>
      <c r="C107" s="344">
        <v>1</v>
      </c>
      <c r="D107" s="227"/>
      <c r="E107" s="182"/>
      <c r="F107" s="344"/>
      <c r="G107" s="347"/>
      <c r="H107" s="701" t="e">
        <f>AVERAGE(G107:G121)</f>
        <v>#DIV/0!</v>
      </c>
      <c r="I107" s="199" t="e">
        <f t="shared" ref="I107:K108" si="78">AVERAGE(P107,U107,Z107,AE107,AJ107,AO107,AT107)</f>
        <v>#DIV/0!</v>
      </c>
      <c r="J107" s="199" t="e">
        <f t="shared" si="78"/>
        <v>#DIV/0!</v>
      </c>
      <c r="K107" s="200" t="e">
        <f t="shared" si="78"/>
        <v>#DIV/0!</v>
      </c>
      <c r="L107" s="633" t="str">
        <f>IFERROR(AVERAGE(K107:K121),"-")</f>
        <v>-</v>
      </c>
      <c r="M107" s="201" t="e">
        <f>RANK(K107, K$87:$K$101)</f>
        <v>#DIV/0!</v>
      </c>
      <c r="N107" s="652"/>
      <c r="O107" s="652"/>
      <c r="P107" s="182"/>
      <c r="Q107" s="182"/>
      <c r="R107" s="347"/>
      <c r="S107" s="344" t="e">
        <f>RANK(R107, R$107:R$121)</f>
        <v>#N/A</v>
      </c>
      <c r="T107" s="674" t="e">
        <f>AVERAGE(R107:R121)</f>
        <v>#DIV/0!</v>
      </c>
      <c r="U107" s="182"/>
      <c r="V107" s="182"/>
      <c r="W107" s="361"/>
      <c r="X107" s="356" t="e">
        <f>RANK(W107, W$107:W$121)</f>
        <v>#N/A</v>
      </c>
      <c r="Y107" s="674" t="e">
        <f>AVERAGE(W107:W121)</f>
        <v>#DIV/0!</v>
      </c>
      <c r="Z107" s="182"/>
      <c r="AA107" s="182"/>
      <c r="AB107" s="361"/>
      <c r="AC107" s="356" t="e">
        <f>RANK(AB107, AB$107:AB$121)</f>
        <v>#N/A</v>
      </c>
      <c r="AD107" s="674" t="e">
        <f>AVERAGE(AB107:AB121)</f>
        <v>#DIV/0!</v>
      </c>
      <c r="AE107" s="182"/>
      <c r="AF107" s="182"/>
      <c r="AG107" s="361"/>
      <c r="AH107" s="356" t="e">
        <f>RANK(AG107, AG$107:AG$121)</f>
        <v>#N/A</v>
      </c>
      <c r="AI107" s="674" t="e">
        <f>AVERAGE(AG107:AG121)</f>
        <v>#DIV/0!</v>
      </c>
      <c r="AJ107" s="182"/>
      <c r="AK107" s="182"/>
      <c r="AL107" s="361"/>
      <c r="AM107" s="356" t="e">
        <f>RANK(AL107, AL$107:AL$121)</f>
        <v>#N/A</v>
      </c>
      <c r="AN107" s="674" t="e">
        <f>AVERAGE(AL107:AL121)</f>
        <v>#DIV/0!</v>
      </c>
      <c r="AO107" s="182"/>
      <c r="AP107" s="182"/>
      <c r="AQ107" s="361"/>
      <c r="AR107" s="356" t="e">
        <f>RANK(AQ107, AQ$107:AQ$121)</f>
        <v>#N/A</v>
      </c>
      <c r="AS107" s="674" t="e">
        <f>AVERAGE(AQ107:AQ121)</f>
        <v>#DIV/0!</v>
      </c>
      <c r="AT107" s="182"/>
      <c r="AU107" s="182"/>
      <c r="AV107" s="361"/>
      <c r="AW107" s="356" t="e">
        <f>RANK(AV107, AV$107:AV$121)</f>
        <v>#N/A</v>
      </c>
      <c r="AX107" s="674" t="e">
        <f>AVERAGE(AV107:AV121)</f>
        <v>#DIV/0!</v>
      </c>
    </row>
    <row r="108" spans="2:50">
      <c r="B108" s="660"/>
      <c r="C108" s="344">
        <v>2</v>
      </c>
      <c r="D108" s="227"/>
      <c r="E108" s="182"/>
      <c r="F108" s="344"/>
      <c r="G108" s="347"/>
      <c r="H108" s="702"/>
      <c r="I108" s="358" t="e">
        <f t="shared" si="78"/>
        <v>#DIV/0!</v>
      </c>
      <c r="J108" s="358" t="e">
        <f t="shared" si="78"/>
        <v>#DIV/0!</v>
      </c>
      <c r="K108" s="200" t="e">
        <f t="shared" si="78"/>
        <v>#DIV/0!</v>
      </c>
      <c r="L108" s="634"/>
      <c r="M108" s="201" t="e">
        <f>RANK(K108, K$87:$K$101)</f>
        <v>#DIV/0!</v>
      </c>
      <c r="N108" s="652"/>
      <c r="O108" s="652"/>
      <c r="P108" s="344"/>
      <c r="Q108" s="182"/>
      <c r="R108" s="357"/>
      <c r="S108" s="356" t="e">
        <f t="shared" ref="S108:S121" si="79">RANK(R108, R$107:R$121)</f>
        <v>#N/A</v>
      </c>
      <c r="T108" s="674"/>
      <c r="U108" s="360"/>
      <c r="V108" s="182"/>
      <c r="W108" s="361"/>
      <c r="X108" s="356" t="e">
        <f t="shared" ref="X108:X121" si="80">RANK(W108, W$107:W$121)</f>
        <v>#N/A</v>
      </c>
      <c r="Y108" s="674"/>
      <c r="Z108" s="360"/>
      <c r="AA108" s="182"/>
      <c r="AB108" s="361"/>
      <c r="AC108" s="356" t="e">
        <f t="shared" ref="AC108:AC121" si="81">RANK(AB108, AB$107:AB$121)</f>
        <v>#N/A</v>
      </c>
      <c r="AD108" s="674"/>
      <c r="AE108" s="360"/>
      <c r="AF108" s="182"/>
      <c r="AG108" s="361"/>
      <c r="AH108" s="356" t="e">
        <f t="shared" ref="AH108:AH121" si="82">RANK(AG108, AG$107:AG$121)</f>
        <v>#N/A</v>
      </c>
      <c r="AI108" s="674"/>
      <c r="AJ108" s="360"/>
      <c r="AK108" s="182"/>
      <c r="AL108" s="361"/>
      <c r="AM108" s="356" t="e">
        <f t="shared" ref="AM108:AM121" si="83">RANK(AL108, AL$107:AL$121)</f>
        <v>#N/A</v>
      </c>
      <c r="AN108" s="674"/>
      <c r="AO108" s="360"/>
      <c r="AP108" s="182"/>
      <c r="AQ108" s="361"/>
      <c r="AR108" s="356" t="e">
        <f t="shared" ref="AR108:AR121" si="84">RANK(AQ108, AQ$107:AQ$121)</f>
        <v>#N/A</v>
      </c>
      <c r="AS108" s="674"/>
      <c r="AT108" s="360"/>
      <c r="AU108" s="182"/>
      <c r="AV108" s="361"/>
      <c r="AW108" s="356" t="e">
        <f t="shared" ref="AW108:AW121" si="85">RANK(AV108, AV$107:AV$121)</f>
        <v>#N/A</v>
      </c>
      <c r="AX108" s="674"/>
    </row>
    <row r="109" spans="2:50">
      <c r="B109" s="660"/>
      <c r="C109" s="344">
        <v>3</v>
      </c>
      <c r="D109" s="227"/>
      <c r="E109" s="182"/>
      <c r="F109" s="344"/>
      <c r="G109" s="347"/>
      <c r="H109" s="702"/>
      <c r="I109" s="199"/>
      <c r="J109" s="199"/>
      <c r="K109" s="200"/>
      <c r="L109" s="634"/>
      <c r="M109" s="201" t="e">
        <f>RANK(K109, K$87:$K$101)</f>
        <v>#DIV/0!</v>
      </c>
      <c r="N109" s="652"/>
      <c r="O109" s="652"/>
      <c r="P109" s="344"/>
      <c r="Q109" s="344"/>
      <c r="R109" s="344"/>
      <c r="S109" s="356" t="e">
        <f t="shared" si="79"/>
        <v>#N/A</v>
      </c>
      <c r="T109" s="674"/>
      <c r="U109" s="360"/>
      <c r="V109" s="360"/>
      <c r="W109" s="360"/>
      <c r="X109" s="356" t="e">
        <f t="shared" si="80"/>
        <v>#N/A</v>
      </c>
      <c r="Y109" s="674"/>
      <c r="Z109" s="360"/>
      <c r="AA109" s="360"/>
      <c r="AB109" s="360"/>
      <c r="AC109" s="356" t="e">
        <f t="shared" si="81"/>
        <v>#N/A</v>
      </c>
      <c r="AD109" s="674"/>
      <c r="AE109" s="360"/>
      <c r="AF109" s="360"/>
      <c r="AG109" s="360"/>
      <c r="AH109" s="356" t="e">
        <f t="shared" si="82"/>
        <v>#N/A</v>
      </c>
      <c r="AI109" s="674"/>
      <c r="AJ109" s="360"/>
      <c r="AK109" s="360"/>
      <c r="AL109" s="360"/>
      <c r="AM109" s="356" t="e">
        <f t="shared" si="83"/>
        <v>#N/A</v>
      </c>
      <c r="AN109" s="674"/>
      <c r="AO109" s="360"/>
      <c r="AP109" s="360"/>
      <c r="AQ109" s="360"/>
      <c r="AR109" s="356" t="e">
        <f t="shared" si="84"/>
        <v>#N/A</v>
      </c>
      <c r="AS109" s="674"/>
      <c r="AT109" s="360"/>
      <c r="AU109" s="360"/>
      <c r="AV109" s="360"/>
      <c r="AW109" s="356" t="e">
        <f t="shared" si="85"/>
        <v>#N/A</v>
      </c>
      <c r="AX109" s="674"/>
    </row>
    <row r="110" spans="2:50">
      <c r="B110" s="660"/>
      <c r="C110" s="344">
        <v>4</v>
      </c>
      <c r="D110" s="227"/>
      <c r="E110" s="182"/>
      <c r="F110" s="344"/>
      <c r="G110" s="347"/>
      <c r="H110" s="702"/>
      <c r="I110" s="199"/>
      <c r="J110" s="199"/>
      <c r="K110" s="200"/>
      <c r="L110" s="634"/>
      <c r="M110" s="201" t="e">
        <f>RANK(K110, K$87:$K$101)</f>
        <v>#DIV/0!</v>
      </c>
      <c r="N110" s="652"/>
      <c r="O110" s="652"/>
      <c r="P110" s="344"/>
      <c r="Q110" s="344"/>
      <c r="R110" s="344"/>
      <c r="S110" s="356" t="e">
        <f t="shared" si="79"/>
        <v>#N/A</v>
      </c>
      <c r="T110" s="674"/>
      <c r="U110" s="360"/>
      <c r="V110" s="360"/>
      <c r="W110" s="360"/>
      <c r="X110" s="356" t="e">
        <f t="shared" si="80"/>
        <v>#N/A</v>
      </c>
      <c r="Y110" s="674"/>
      <c r="Z110" s="360"/>
      <c r="AA110" s="360"/>
      <c r="AB110" s="360"/>
      <c r="AC110" s="356" t="e">
        <f t="shared" si="81"/>
        <v>#N/A</v>
      </c>
      <c r="AD110" s="674"/>
      <c r="AE110" s="360"/>
      <c r="AF110" s="360"/>
      <c r="AG110" s="360"/>
      <c r="AH110" s="356" t="e">
        <f t="shared" si="82"/>
        <v>#N/A</v>
      </c>
      <c r="AI110" s="674"/>
      <c r="AJ110" s="360"/>
      <c r="AK110" s="360"/>
      <c r="AL110" s="360"/>
      <c r="AM110" s="356" t="e">
        <f t="shared" si="83"/>
        <v>#N/A</v>
      </c>
      <c r="AN110" s="674"/>
      <c r="AO110" s="360"/>
      <c r="AP110" s="360"/>
      <c r="AQ110" s="360"/>
      <c r="AR110" s="356" t="e">
        <f t="shared" si="84"/>
        <v>#N/A</v>
      </c>
      <c r="AS110" s="674"/>
      <c r="AT110" s="360"/>
      <c r="AU110" s="360"/>
      <c r="AV110" s="360"/>
      <c r="AW110" s="356" t="e">
        <f t="shared" si="85"/>
        <v>#N/A</v>
      </c>
      <c r="AX110" s="674"/>
    </row>
    <row r="111" spans="2:50">
      <c r="B111" s="660"/>
      <c r="C111" s="344">
        <v>5</v>
      </c>
      <c r="D111" s="227"/>
      <c r="E111" s="182"/>
      <c r="F111" s="344"/>
      <c r="G111" s="347"/>
      <c r="H111" s="702"/>
      <c r="I111" s="199"/>
      <c r="J111" s="199"/>
      <c r="K111" s="200"/>
      <c r="L111" s="634"/>
      <c r="M111" s="201" t="e">
        <f>RANK(K111, K$87:$K$101)</f>
        <v>#DIV/0!</v>
      </c>
      <c r="N111" s="652"/>
      <c r="O111" s="652"/>
      <c r="P111" s="344"/>
      <c r="Q111" s="344"/>
      <c r="R111" s="344"/>
      <c r="S111" s="356" t="e">
        <f t="shared" si="79"/>
        <v>#N/A</v>
      </c>
      <c r="T111" s="674"/>
      <c r="U111" s="360"/>
      <c r="V111" s="360"/>
      <c r="W111" s="360"/>
      <c r="X111" s="356" t="e">
        <f t="shared" si="80"/>
        <v>#N/A</v>
      </c>
      <c r="Y111" s="674"/>
      <c r="Z111" s="360"/>
      <c r="AA111" s="360"/>
      <c r="AB111" s="360"/>
      <c r="AC111" s="356" t="e">
        <f t="shared" si="81"/>
        <v>#N/A</v>
      </c>
      <c r="AD111" s="674"/>
      <c r="AE111" s="360"/>
      <c r="AF111" s="360"/>
      <c r="AG111" s="360"/>
      <c r="AH111" s="356" t="e">
        <f t="shared" si="82"/>
        <v>#N/A</v>
      </c>
      <c r="AI111" s="674"/>
      <c r="AJ111" s="360"/>
      <c r="AK111" s="360"/>
      <c r="AL111" s="360"/>
      <c r="AM111" s="356" t="e">
        <f t="shared" si="83"/>
        <v>#N/A</v>
      </c>
      <c r="AN111" s="674"/>
      <c r="AO111" s="360"/>
      <c r="AP111" s="360"/>
      <c r="AQ111" s="360"/>
      <c r="AR111" s="356" t="e">
        <f t="shared" si="84"/>
        <v>#N/A</v>
      </c>
      <c r="AS111" s="674"/>
      <c r="AT111" s="360"/>
      <c r="AU111" s="360"/>
      <c r="AV111" s="360"/>
      <c r="AW111" s="356" t="e">
        <f t="shared" si="85"/>
        <v>#N/A</v>
      </c>
      <c r="AX111" s="674"/>
    </row>
    <row r="112" spans="2:50">
      <c r="B112" s="660"/>
      <c r="C112" s="344">
        <v>6</v>
      </c>
      <c r="D112" s="227"/>
      <c r="E112" s="182"/>
      <c r="F112" s="344"/>
      <c r="G112" s="347"/>
      <c r="H112" s="702"/>
      <c r="I112" s="199"/>
      <c r="J112" s="199"/>
      <c r="K112" s="200"/>
      <c r="L112" s="634"/>
      <c r="M112" s="201" t="e">
        <f>RANK(K112, K$87:$K$101)</f>
        <v>#DIV/0!</v>
      </c>
      <c r="N112" s="652"/>
      <c r="O112" s="652"/>
      <c r="P112" s="344"/>
      <c r="Q112" s="344"/>
      <c r="R112" s="344"/>
      <c r="S112" s="356" t="e">
        <f t="shared" si="79"/>
        <v>#N/A</v>
      </c>
      <c r="T112" s="674"/>
      <c r="U112" s="360"/>
      <c r="V112" s="360"/>
      <c r="W112" s="360"/>
      <c r="X112" s="356" t="e">
        <f t="shared" si="80"/>
        <v>#N/A</v>
      </c>
      <c r="Y112" s="674"/>
      <c r="Z112" s="360"/>
      <c r="AA112" s="360"/>
      <c r="AB112" s="360"/>
      <c r="AC112" s="356" t="e">
        <f t="shared" si="81"/>
        <v>#N/A</v>
      </c>
      <c r="AD112" s="674"/>
      <c r="AE112" s="360"/>
      <c r="AF112" s="360"/>
      <c r="AG112" s="360"/>
      <c r="AH112" s="356" t="e">
        <f t="shared" si="82"/>
        <v>#N/A</v>
      </c>
      <c r="AI112" s="674"/>
      <c r="AJ112" s="360"/>
      <c r="AK112" s="360"/>
      <c r="AL112" s="360"/>
      <c r="AM112" s="356" t="e">
        <f t="shared" si="83"/>
        <v>#N/A</v>
      </c>
      <c r="AN112" s="674"/>
      <c r="AO112" s="360"/>
      <c r="AP112" s="360"/>
      <c r="AQ112" s="360"/>
      <c r="AR112" s="356" t="e">
        <f t="shared" si="84"/>
        <v>#N/A</v>
      </c>
      <c r="AS112" s="674"/>
      <c r="AT112" s="360"/>
      <c r="AU112" s="360"/>
      <c r="AV112" s="360"/>
      <c r="AW112" s="356" t="e">
        <f t="shared" si="85"/>
        <v>#N/A</v>
      </c>
      <c r="AX112" s="674"/>
    </row>
    <row r="113" spans="2:50">
      <c r="B113" s="660"/>
      <c r="C113" s="344">
        <v>7</v>
      </c>
      <c r="D113" s="227"/>
      <c r="E113" s="182"/>
      <c r="F113" s="344"/>
      <c r="G113" s="347"/>
      <c r="H113" s="702"/>
      <c r="I113" s="199"/>
      <c r="J113" s="199"/>
      <c r="K113" s="200"/>
      <c r="L113" s="634"/>
      <c r="M113" s="201" t="e">
        <f>RANK(K113, K$87:$K$101)</f>
        <v>#DIV/0!</v>
      </c>
      <c r="N113" s="652"/>
      <c r="O113" s="652"/>
      <c r="P113" s="344"/>
      <c r="Q113" s="344"/>
      <c r="R113" s="344"/>
      <c r="S113" s="356" t="e">
        <f t="shared" si="79"/>
        <v>#N/A</v>
      </c>
      <c r="T113" s="674"/>
      <c r="U113" s="360"/>
      <c r="V113" s="360"/>
      <c r="W113" s="360"/>
      <c r="X113" s="356" t="e">
        <f t="shared" si="80"/>
        <v>#N/A</v>
      </c>
      <c r="Y113" s="674"/>
      <c r="Z113" s="360"/>
      <c r="AA113" s="360"/>
      <c r="AB113" s="360"/>
      <c r="AC113" s="356" t="e">
        <f t="shared" si="81"/>
        <v>#N/A</v>
      </c>
      <c r="AD113" s="674"/>
      <c r="AE113" s="360"/>
      <c r="AF113" s="360"/>
      <c r="AG113" s="360"/>
      <c r="AH113" s="356" t="e">
        <f t="shared" si="82"/>
        <v>#N/A</v>
      </c>
      <c r="AI113" s="674"/>
      <c r="AJ113" s="360"/>
      <c r="AK113" s="360"/>
      <c r="AL113" s="360"/>
      <c r="AM113" s="356" t="e">
        <f t="shared" si="83"/>
        <v>#N/A</v>
      </c>
      <c r="AN113" s="674"/>
      <c r="AO113" s="360"/>
      <c r="AP113" s="360"/>
      <c r="AQ113" s="360"/>
      <c r="AR113" s="356" t="e">
        <f t="shared" si="84"/>
        <v>#N/A</v>
      </c>
      <c r="AS113" s="674"/>
      <c r="AT113" s="360"/>
      <c r="AU113" s="360"/>
      <c r="AV113" s="360"/>
      <c r="AW113" s="356" t="e">
        <f t="shared" si="85"/>
        <v>#N/A</v>
      </c>
      <c r="AX113" s="674"/>
    </row>
    <row r="114" spans="2:50">
      <c r="B114" s="660"/>
      <c r="C114" s="344">
        <v>8</v>
      </c>
      <c r="D114" s="227"/>
      <c r="E114" s="182"/>
      <c r="F114" s="344"/>
      <c r="G114" s="347"/>
      <c r="H114" s="702"/>
      <c r="I114" s="199"/>
      <c r="J114" s="199"/>
      <c r="K114" s="200"/>
      <c r="L114" s="634"/>
      <c r="M114" s="201" t="e">
        <f>RANK(K114, K$87:$K$101)</f>
        <v>#DIV/0!</v>
      </c>
      <c r="N114" s="652"/>
      <c r="O114" s="652"/>
      <c r="P114" s="344"/>
      <c r="Q114" s="344"/>
      <c r="R114" s="344"/>
      <c r="S114" s="356" t="e">
        <f t="shared" si="79"/>
        <v>#N/A</v>
      </c>
      <c r="T114" s="674"/>
      <c r="U114" s="360"/>
      <c r="V114" s="360"/>
      <c r="W114" s="360"/>
      <c r="X114" s="356" t="e">
        <f t="shared" si="80"/>
        <v>#N/A</v>
      </c>
      <c r="Y114" s="674"/>
      <c r="Z114" s="360"/>
      <c r="AA114" s="360"/>
      <c r="AB114" s="360"/>
      <c r="AC114" s="356" t="e">
        <f t="shared" si="81"/>
        <v>#N/A</v>
      </c>
      <c r="AD114" s="674"/>
      <c r="AE114" s="360"/>
      <c r="AF114" s="360"/>
      <c r="AG114" s="360"/>
      <c r="AH114" s="356" t="e">
        <f t="shared" si="82"/>
        <v>#N/A</v>
      </c>
      <c r="AI114" s="674"/>
      <c r="AJ114" s="360"/>
      <c r="AK114" s="360"/>
      <c r="AL114" s="360"/>
      <c r="AM114" s="356" t="e">
        <f t="shared" si="83"/>
        <v>#N/A</v>
      </c>
      <c r="AN114" s="674"/>
      <c r="AO114" s="360"/>
      <c r="AP114" s="360"/>
      <c r="AQ114" s="360"/>
      <c r="AR114" s="356" t="e">
        <f t="shared" si="84"/>
        <v>#N/A</v>
      </c>
      <c r="AS114" s="674"/>
      <c r="AT114" s="360"/>
      <c r="AU114" s="360"/>
      <c r="AV114" s="360"/>
      <c r="AW114" s="356" t="e">
        <f t="shared" si="85"/>
        <v>#N/A</v>
      </c>
      <c r="AX114" s="674"/>
    </row>
    <row r="115" spans="2:50">
      <c r="B115" s="660"/>
      <c r="C115" s="344">
        <v>9</v>
      </c>
      <c r="D115" s="227"/>
      <c r="E115" s="182"/>
      <c r="F115" s="344"/>
      <c r="G115" s="347"/>
      <c r="H115" s="702"/>
      <c r="I115" s="199"/>
      <c r="J115" s="199"/>
      <c r="K115" s="200"/>
      <c r="L115" s="634"/>
      <c r="M115" s="201" t="e">
        <f>RANK(K115, K$87:$K$101)</f>
        <v>#DIV/0!</v>
      </c>
      <c r="N115" s="652"/>
      <c r="O115" s="652"/>
      <c r="P115" s="344"/>
      <c r="Q115" s="344"/>
      <c r="R115" s="344"/>
      <c r="S115" s="356" t="e">
        <f t="shared" si="79"/>
        <v>#N/A</v>
      </c>
      <c r="T115" s="674"/>
      <c r="U115" s="360"/>
      <c r="V115" s="360"/>
      <c r="W115" s="360"/>
      <c r="X115" s="356" t="e">
        <f t="shared" si="80"/>
        <v>#N/A</v>
      </c>
      <c r="Y115" s="674"/>
      <c r="Z115" s="360"/>
      <c r="AA115" s="360"/>
      <c r="AB115" s="360"/>
      <c r="AC115" s="356" t="e">
        <f t="shared" si="81"/>
        <v>#N/A</v>
      </c>
      <c r="AD115" s="674"/>
      <c r="AE115" s="360"/>
      <c r="AF115" s="360"/>
      <c r="AG115" s="360"/>
      <c r="AH115" s="356" t="e">
        <f t="shared" si="82"/>
        <v>#N/A</v>
      </c>
      <c r="AI115" s="674"/>
      <c r="AJ115" s="360"/>
      <c r="AK115" s="360"/>
      <c r="AL115" s="360"/>
      <c r="AM115" s="356" t="e">
        <f t="shared" si="83"/>
        <v>#N/A</v>
      </c>
      <c r="AN115" s="674"/>
      <c r="AO115" s="360"/>
      <c r="AP115" s="360"/>
      <c r="AQ115" s="360"/>
      <c r="AR115" s="356" t="e">
        <f t="shared" si="84"/>
        <v>#N/A</v>
      </c>
      <c r="AS115" s="674"/>
      <c r="AT115" s="360"/>
      <c r="AU115" s="360"/>
      <c r="AV115" s="360"/>
      <c r="AW115" s="356" t="e">
        <f t="shared" si="85"/>
        <v>#N/A</v>
      </c>
      <c r="AX115" s="674"/>
    </row>
    <row r="116" spans="2:50">
      <c r="B116" s="660"/>
      <c r="C116" s="344">
        <v>10</v>
      </c>
      <c r="D116" s="227"/>
      <c r="E116" s="182"/>
      <c r="F116" s="344"/>
      <c r="G116" s="347"/>
      <c r="H116" s="702"/>
      <c r="I116" s="199"/>
      <c r="J116" s="199"/>
      <c r="K116" s="200"/>
      <c r="L116" s="634"/>
      <c r="M116" s="201" t="e">
        <f>RANK(K116, K$87:$K$101)</f>
        <v>#DIV/0!</v>
      </c>
      <c r="N116" s="652"/>
      <c r="O116" s="652"/>
      <c r="P116" s="344"/>
      <c r="Q116" s="344"/>
      <c r="R116" s="344"/>
      <c r="S116" s="356" t="e">
        <f t="shared" si="79"/>
        <v>#N/A</v>
      </c>
      <c r="T116" s="674"/>
      <c r="U116" s="360"/>
      <c r="V116" s="360"/>
      <c r="W116" s="360"/>
      <c r="X116" s="356" t="e">
        <f t="shared" si="80"/>
        <v>#N/A</v>
      </c>
      <c r="Y116" s="674"/>
      <c r="Z116" s="360"/>
      <c r="AA116" s="360"/>
      <c r="AB116" s="360"/>
      <c r="AC116" s="356" t="e">
        <f t="shared" si="81"/>
        <v>#N/A</v>
      </c>
      <c r="AD116" s="674"/>
      <c r="AE116" s="360"/>
      <c r="AF116" s="360"/>
      <c r="AG116" s="360"/>
      <c r="AH116" s="356" t="e">
        <f t="shared" si="82"/>
        <v>#N/A</v>
      </c>
      <c r="AI116" s="674"/>
      <c r="AJ116" s="360"/>
      <c r="AK116" s="360"/>
      <c r="AL116" s="360"/>
      <c r="AM116" s="356" t="e">
        <f t="shared" si="83"/>
        <v>#N/A</v>
      </c>
      <c r="AN116" s="674"/>
      <c r="AO116" s="360"/>
      <c r="AP116" s="360"/>
      <c r="AQ116" s="360"/>
      <c r="AR116" s="356" t="e">
        <f t="shared" si="84"/>
        <v>#N/A</v>
      </c>
      <c r="AS116" s="674"/>
      <c r="AT116" s="360"/>
      <c r="AU116" s="360"/>
      <c r="AV116" s="360"/>
      <c r="AW116" s="356" t="e">
        <f t="shared" si="85"/>
        <v>#N/A</v>
      </c>
      <c r="AX116" s="674"/>
    </row>
    <row r="117" spans="2:50">
      <c r="B117" s="660"/>
      <c r="C117" s="344">
        <v>11</v>
      </c>
      <c r="D117" s="227"/>
      <c r="E117" s="182"/>
      <c r="F117" s="344"/>
      <c r="G117" s="347"/>
      <c r="H117" s="702"/>
      <c r="I117" s="202"/>
      <c r="J117" s="202"/>
      <c r="K117" s="202"/>
      <c r="L117" s="634"/>
      <c r="M117" s="201" t="e">
        <f>RANK(K117, K$87:$K$101)</f>
        <v>#DIV/0!</v>
      </c>
      <c r="N117" s="652"/>
      <c r="O117" s="652"/>
      <c r="P117" s="344"/>
      <c r="Q117" s="344"/>
      <c r="R117" s="344"/>
      <c r="S117" s="356" t="e">
        <f t="shared" si="79"/>
        <v>#N/A</v>
      </c>
      <c r="T117" s="674"/>
      <c r="U117" s="360"/>
      <c r="V117" s="360"/>
      <c r="W117" s="360"/>
      <c r="X117" s="356" t="e">
        <f t="shared" si="80"/>
        <v>#N/A</v>
      </c>
      <c r="Y117" s="674"/>
      <c r="Z117" s="360"/>
      <c r="AA117" s="360"/>
      <c r="AB117" s="360"/>
      <c r="AC117" s="356" t="e">
        <f t="shared" si="81"/>
        <v>#N/A</v>
      </c>
      <c r="AD117" s="674"/>
      <c r="AE117" s="360"/>
      <c r="AF117" s="360"/>
      <c r="AG117" s="360"/>
      <c r="AH117" s="356" t="e">
        <f t="shared" si="82"/>
        <v>#N/A</v>
      </c>
      <c r="AI117" s="674"/>
      <c r="AJ117" s="360"/>
      <c r="AK117" s="360"/>
      <c r="AL117" s="360"/>
      <c r="AM117" s="356" t="e">
        <f t="shared" si="83"/>
        <v>#N/A</v>
      </c>
      <c r="AN117" s="674"/>
      <c r="AO117" s="360"/>
      <c r="AP117" s="360"/>
      <c r="AQ117" s="360"/>
      <c r="AR117" s="356" t="e">
        <f t="shared" si="84"/>
        <v>#N/A</v>
      </c>
      <c r="AS117" s="674"/>
      <c r="AT117" s="360"/>
      <c r="AU117" s="360"/>
      <c r="AV117" s="360"/>
      <c r="AW117" s="356" t="e">
        <f t="shared" si="85"/>
        <v>#N/A</v>
      </c>
      <c r="AX117" s="674"/>
    </row>
    <row r="118" spans="2:50">
      <c r="B118" s="660"/>
      <c r="C118" s="344">
        <v>12</v>
      </c>
      <c r="D118" s="227"/>
      <c r="E118" s="182"/>
      <c r="F118" s="344"/>
      <c r="G118" s="347"/>
      <c r="H118" s="702"/>
      <c r="I118" s="202"/>
      <c r="J118" s="202"/>
      <c r="K118" s="202"/>
      <c r="L118" s="634"/>
      <c r="M118" s="201" t="e">
        <f>RANK(K118, K$87:$K$101)</f>
        <v>#DIV/0!</v>
      </c>
      <c r="N118" s="652"/>
      <c r="O118" s="652"/>
      <c r="P118" s="344"/>
      <c r="Q118" s="344"/>
      <c r="R118" s="344"/>
      <c r="S118" s="356" t="e">
        <f t="shared" si="79"/>
        <v>#N/A</v>
      </c>
      <c r="T118" s="674"/>
      <c r="U118" s="360"/>
      <c r="V118" s="360"/>
      <c r="W118" s="360"/>
      <c r="X118" s="356" t="e">
        <f t="shared" si="80"/>
        <v>#N/A</v>
      </c>
      <c r="Y118" s="674"/>
      <c r="Z118" s="360"/>
      <c r="AA118" s="360"/>
      <c r="AB118" s="360"/>
      <c r="AC118" s="356" t="e">
        <f t="shared" si="81"/>
        <v>#N/A</v>
      </c>
      <c r="AD118" s="674"/>
      <c r="AE118" s="360"/>
      <c r="AF118" s="360"/>
      <c r="AG118" s="360"/>
      <c r="AH118" s="356" t="e">
        <f t="shared" si="82"/>
        <v>#N/A</v>
      </c>
      <c r="AI118" s="674"/>
      <c r="AJ118" s="360"/>
      <c r="AK118" s="360"/>
      <c r="AL118" s="360"/>
      <c r="AM118" s="356" t="e">
        <f t="shared" si="83"/>
        <v>#N/A</v>
      </c>
      <c r="AN118" s="674"/>
      <c r="AO118" s="360"/>
      <c r="AP118" s="360"/>
      <c r="AQ118" s="360"/>
      <c r="AR118" s="356" t="e">
        <f t="shared" si="84"/>
        <v>#N/A</v>
      </c>
      <c r="AS118" s="674"/>
      <c r="AT118" s="360"/>
      <c r="AU118" s="360"/>
      <c r="AV118" s="360"/>
      <c r="AW118" s="356" t="e">
        <f t="shared" si="85"/>
        <v>#N/A</v>
      </c>
      <c r="AX118" s="674"/>
    </row>
    <row r="119" spans="2:50">
      <c r="B119" s="660"/>
      <c r="C119" s="344">
        <v>13</v>
      </c>
      <c r="D119" s="227"/>
      <c r="E119" s="182"/>
      <c r="F119" s="344"/>
      <c r="G119" s="347"/>
      <c r="H119" s="702"/>
      <c r="I119" s="202"/>
      <c r="J119" s="202"/>
      <c r="K119" s="202"/>
      <c r="L119" s="634"/>
      <c r="M119" s="201" t="e">
        <f>RANK(K119, K$87:$K$101)</f>
        <v>#DIV/0!</v>
      </c>
      <c r="N119" s="652"/>
      <c r="O119" s="652"/>
      <c r="P119" s="344"/>
      <c r="Q119" s="344"/>
      <c r="R119" s="344"/>
      <c r="S119" s="356" t="e">
        <f t="shared" si="79"/>
        <v>#N/A</v>
      </c>
      <c r="T119" s="674"/>
      <c r="U119" s="360"/>
      <c r="V119" s="360"/>
      <c r="W119" s="360"/>
      <c r="X119" s="356" t="e">
        <f t="shared" si="80"/>
        <v>#N/A</v>
      </c>
      <c r="Y119" s="674"/>
      <c r="Z119" s="360"/>
      <c r="AA119" s="360"/>
      <c r="AB119" s="360"/>
      <c r="AC119" s="356" t="e">
        <f t="shared" si="81"/>
        <v>#N/A</v>
      </c>
      <c r="AD119" s="674"/>
      <c r="AE119" s="360"/>
      <c r="AF119" s="360"/>
      <c r="AG119" s="360"/>
      <c r="AH119" s="356" t="e">
        <f t="shared" si="82"/>
        <v>#N/A</v>
      </c>
      <c r="AI119" s="674"/>
      <c r="AJ119" s="360"/>
      <c r="AK119" s="360"/>
      <c r="AL119" s="360"/>
      <c r="AM119" s="356" t="e">
        <f t="shared" si="83"/>
        <v>#N/A</v>
      </c>
      <c r="AN119" s="674"/>
      <c r="AO119" s="360"/>
      <c r="AP119" s="360"/>
      <c r="AQ119" s="360"/>
      <c r="AR119" s="356" t="e">
        <f t="shared" si="84"/>
        <v>#N/A</v>
      </c>
      <c r="AS119" s="674"/>
      <c r="AT119" s="360"/>
      <c r="AU119" s="360"/>
      <c r="AV119" s="360"/>
      <c r="AW119" s="356" t="e">
        <f t="shared" si="85"/>
        <v>#N/A</v>
      </c>
      <c r="AX119" s="674"/>
    </row>
    <row r="120" spans="2:50">
      <c r="B120" s="660"/>
      <c r="C120" s="344">
        <v>14</v>
      </c>
      <c r="D120" s="227"/>
      <c r="E120" s="182"/>
      <c r="F120" s="344"/>
      <c r="G120" s="347"/>
      <c r="H120" s="702"/>
      <c r="I120" s="202"/>
      <c r="J120" s="202"/>
      <c r="K120" s="202"/>
      <c r="L120" s="634"/>
      <c r="M120" s="201" t="e">
        <f>RANK(K120, K$87:$K$101)</f>
        <v>#DIV/0!</v>
      </c>
      <c r="N120" s="652"/>
      <c r="O120" s="652"/>
      <c r="P120" s="344"/>
      <c r="Q120" s="344"/>
      <c r="R120" s="344"/>
      <c r="S120" s="356" t="e">
        <f t="shared" si="79"/>
        <v>#N/A</v>
      </c>
      <c r="T120" s="674"/>
      <c r="U120" s="360"/>
      <c r="V120" s="360"/>
      <c r="W120" s="360"/>
      <c r="X120" s="356" t="e">
        <f t="shared" si="80"/>
        <v>#N/A</v>
      </c>
      <c r="Y120" s="674"/>
      <c r="Z120" s="360"/>
      <c r="AA120" s="360"/>
      <c r="AB120" s="360"/>
      <c r="AC120" s="356" t="e">
        <f t="shared" si="81"/>
        <v>#N/A</v>
      </c>
      <c r="AD120" s="674"/>
      <c r="AE120" s="360"/>
      <c r="AF120" s="360"/>
      <c r="AG120" s="360"/>
      <c r="AH120" s="356" t="e">
        <f t="shared" si="82"/>
        <v>#N/A</v>
      </c>
      <c r="AI120" s="674"/>
      <c r="AJ120" s="360"/>
      <c r="AK120" s="360"/>
      <c r="AL120" s="360"/>
      <c r="AM120" s="356" t="e">
        <f t="shared" si="83"/>
        <v>#N/A</v>
      </c>
      <c r="AN120" s="674"/>
      <c r="AO120" s="360"/>
      <c r="AP120" s="360"/>
      <c r="AQ120" s="360"/>
      <c r="AR120" s="356" t="e">
        <f t="shared" si="84"/>
        <v>#N/A</v>
      </c>
      <c r="AS120" s="674"/>
      <c r="AT120" s="360"/>
      <c r="AU120" s="360"/>
      <c r="AV120" s="360"/>
      <c r="AW120" s="356" t="e">
        <f t="shared" si="85"/>
        <v>#N/A</v>
      </c>
      <c r="AX120" s="674"/>
    </row>
    <row r="121" spans="2:50">
      <c r="B121" s="660"/>
      <c r="C121" s="344">
        <v>15</v>
      </c>
      <c r="D121" s="227"/>
      <c r="E121" s="182"/>
      <c r="F121" s="344"/>
      <c r="G121" s="347"/>
      <c r="H121" s="703"/>
      <c r="I121" s="202"/>
      <c r="J121" s="202"/>
      <c r="K121" s="202"/>
      <c r="L121" s="635"/>
      <c r="M121" s="199" t="e">
        <f>RANK(K121, K$87:$K$101)</f>
        <v>#DIV/0!</v>
      </c>
      <c r="N121" s="652"/>
      <c r="O121" s="652"/>
      <c r="P121" s="344"/>
      <c r="Q121" s="344"/>
      <c r="R121" s="344"/>
      <c r="S121" s="356" t="e">
        <f t="shared" si="79"/>
        <v>#N/A</v>
      </c>
      <c r="T121" s="674"/>
      <c r="U121" s="360"/>
      <c r="V121" s="360"/>
      <c r="W121" s="360"/>
      <c r="X121" s="356" t="e">
        <f t="shared" si="80"/>
        <v>#N/A</v>
      </c>
      <c r="Y121" s="674"/>
      <c r="Z121" s="360"/>
      <c r="AA121" s="360"/>
      <c r="AB121" s="360"/>
      <c r="AC121" s="356" t="e">
        <f t="shared" si="81"/>
        <v>#N/A</v>
      </c>
      <c r="AD121" s="674"/>
      <c r="AE121" s="360"/>
      <c r="AF121" s="360"/>
      <c r="AG121" s="360"/>
      <c r="AH121" s="356" t="e">
        <f t="shared" si="82"/>
        <v>#N/A</v>
      </c>
      <c r="AI121" s="674"/>
      <c r="AJ121" s="360"/>
      <c r="AK121" s="360"/>
      <c r="AL121" s="360"/>
      <c r="AM121" s="356" t="e">
        <f t="shared" si="83"/>
        <v>#N/A</v>
      </c>
      <c r="AN121" s="674"/>
      <c r="AO121" s="360"/>
      <c r="AP121" s="360"/>
      <c r="AQ121" s="360"/>
      <c r="AR121" s="356" t="e">
        <f t="shared" si="84"/>
        <v>#N/A</v>
      </c>
      <c r="AS121" s="674"/>
      <c r="AT121" s="360"/>
      <c r="AU121" s="360"/>
      <c r="AV121" s="360"/>
      <c r="AW121" s="356" t="e">
        <f t="shared" si="85"/>
        <v>#N/A</v>
      </c>
      <c r="AX121" s="674"/>
    </row>
    <row r="123" spans="2:50" ht="15.75">
      <c r="B123" s="691" t="s">
        <v>674</v>
      </c>
      <c r="C123" s="692"/>
      <c r="D123" s="692"/>
      <c r="E123" s="692"/>
      <c r="F123" s="692"/>
      <c r="G123" s="692"/>
      <c r="H123" s="693"/>
      <c r="I123" s="348"/>
      <c r="J123" s="348"/>
      <c r="K123" s="348"/>
      <c r="L123" s="348"/>
      <c r="M123" s="349"/>
    </row>
    <row r="124" spans="2:50" ht="15.75">
      <c r="B124" s="694"/>
      <c r="C124" s="694"/>
      <c r="D124" s="694"/>
      <c r="E124" s="694"/>
      <c r="F124" s="694"/>
      <c r="G124" s="694"/>
      <c r="H124" s="694"/>
      <c r="I124" s="350"/>
      <c r="J124" s="350"/>
      <c r="K124" s="350"/>
      <c r="L124" s="350"/>
      <c r="M124" s="351"/>
    </row>
    <row r="125" spans="2:50">
      <c r="B125" s="652" t="s">
        <v>675</v>
      </c>
      <c r="C125" s="652" t="s">
        <v>676</v>
      </c>
      <c r="D125" s="652"/>
      <c r="E125" s="652" t="s">
        <v>677</v>
      </c>
      <c r="F125" s="652"/>
      <c r="G125" s="652"/>
      <c r="H125" s="668" t="s">
        <v>678</v>
      </c>
      <c r="I125" s="695" t="s">
        <v>679</v>
      </c>
      <c r="J125" s="695"/>
      <c r="K125" s="695"/>
      <c r="L125" s="716" t="s">
        <v>678</v>
      </c>
      <c r="M125" s="719" t="s">
        <v>680</v>
      </c>
    </row>
    <row r="126" spans="2:50">
      <c r="B126" s="652"/>
      <c r="C126" s="652"/>
      <c r="D126" s="652"/>
      <c r="E126" s="652" t="s">
        <v>681</v>
      </c>
      <c r="F126" s="652"/>
      <c r="G126" s="652"/>
      <c r="H126" s="669"/>
      <c r="I126" s="695" t="s">
        <v>681</v>
      </c>
      <c r="J126" s="695"/>
      <c r="K126" s="695"/>
      <c r="L126" s="717"/>
      <c r="M126" s="720"/>
    </row>
    <row r="127" spans="2:50">
      <c r="B127" s="652"/>
      <c r="C127" s="652"/>
      <c r="D127" s="652"/>
      <c r="E127" s="345" t="s">
        <v>682</v>
      </c>
      <c r="F127" s="345" t="s">
        <v>683</v>
      </c>
      <c r="G127" s="345" t="s">
        <v>684</v>
      </c>
      <c r="H127" s="670"/>
      <c r="I127" s="352" t="s">
        <v>682</v>
      </c>
      <c r="J127" s="352" t="s">
        <v>683</v>
      </c>
      <c r="K127" s="352" t="s">
        <v>684</v>
      </c>
      <c r="L127" s="718"/>
      <c r="M127" s="721"/>
    </row>
    <row r="128" spans="2:50">
      <c r="B128" s="652" t="s">
        <v>688</v>
      </c>
      <c r="C128" s="344">
        <v>1</v>
      </c>
      <c r="D128" s="227"/>
      <c r="E128" s="182"/>
      <c r="F128" s="344"/>
      <c r="G128" s="347"/>
      <c r="H128" s="701" t="e">
        <f>AVERAGE(G128:G142)</f>
        <v>#DIV/0!</v>
      </c>
      <c r="I128" s="199" t="e">
        <f t="shared" ref="I128:J128" si="86">AVERAGEIF($D$7:$D$121,$D128,I$7:I$121)</f>
        <v>#DIV/0!</v>
      </c>
      <c r="J128" s="199" t="e">
        <f t="shared" si="86"/>
        <v>#DIV/0!</v>
      </c>
      <c r="K128" s="199" t="e">
        <f>AVERAGEIF($D$7:$D$121,$D128,K$7:K$121)</f>
        <v>#DIV/0!</v>
      </c>
      <c r="L128" s="713" t="e">
        <f>AVERAGE(K128:K142)</f>
        <v>#DIV/0!</v>
      </c>
      <c r="M128" s="199" t="e">
        <f>RANK(K128, K$128:$K$142)</f>
        <v>#DIV/0!</v>
      </c>
    </row>
    <row r="129" spans="2:13">
      <c r="B129" s="660"/>
      <c r="C129" s="344">
        <v>2</v>
      </c>
      <c r="D129" s="227"/>
      <c r="E129" s="182"/>
      <c r="F129" s="344"/>
      <c r="G129" s="347"/>
      <c r="H129" s="702"/>
      <c r="I129" s="199"/>
      <c r="J129" s="199"/>
      <c r="K129" s="199"/>
      <c r="L129" s="714"/>
      <c r="M129" s="199" t="e">
        <f>RANK(K129, K$128:$K$142)</f>
        <v>#DIV/0!</v>
      </c>
    </row>
    <row r="130" spans="2:13">
      <c r="B130" s="660"/>
      <c r="C130" s="344">
        <v>3</v>
      </c>
      <c r="D130" s="227"/>
      <c r="E130" s="182"/>
      <c r="F130" s="344"/>
      <c r="G130" s="347"/>
      <c r="H130" s="702"/>
      <c r="I130" s="199"/>
      <c r="J130" s="199"/>
      <c r="K130" s="199"/>
      <c r="L130" s="714"/>
      <c r="M130" s="199" t="e">
        <f>RANK(K130, K$128:$K$142)</f>
        <v>#DIV/0!</v>
      </c>
    </row>
    <row r="131" spans="2:13">
      <c r="B131" s="660"/>
      <c r="C131" s="344">
        <v>4</v>
      </c>
      <c r="D131" s="227"/>
      <c r="E131" s="182"/>
      <c r="F131" s="344"/>
      <c r="G131" s="347"/>
      <c r="H131" s="702"/>
      <c r="I131" s="199"/>
      <c r="J131" s="199"/>
      <c r="K131" s="199"/>
      <c r="L131" s="714"/>
      <c r="M131" s="199" t="e">
        <f>RANK(K131, K$128:$K$142)</f>
        <v>#DIV/0!</v>
      </c>
    </row>
    <row r="132" spans="2:13">
      <c r="B132" s="660"/>
      <c r="C132" s="344">
        <v>5</v>
      </c>
      <c r="D132" s="227"/>
      <c r="E132" s="182"/>
      <c r="F132" s="344"/>
      <c r="G132" s="347"/>
      <c r="H132" s="702"/>
      <c r="I132" s="199"/>
      <c r="J132" s="199"/>
      <c r="K132" s="199"/>
      <c r="L132" s="714"/>
      <c r="M132" s="199" t="e">
        <f>RANK(K132, K$128:$K$142)</f>
        <v>#DIV/0!</v>
      </c>
    </row>
    <row r="133" spans="2:13">
      <c r="B133" s="660"/>
      <c r="C133" s="344">
        <v>6</v>
      </c>
      <c r="D133" s="353"/>
      <c r="E133" s="182"/>
      <c r="F133" s="344"/>
      <c r="G133" s="347"/>
      <c r="H133" s="702"/>
      <c r="I133" s="199"/>
      <c r="J133" s="199"/>
      <c r="K133" s="199"/>
      <c r="L133" s="714"/>
      <c r="M133" s="199" t="e">
        <f>RANK(K133, K$128:$K$142)</f>
        <v>#DIV/0!</v>
      </c>
    </row>
    <row r="134" spans="2:13">
      <c r="B134" s="660"/>
      <c r="C134" s="344">
        <v>7</v>
      </c>
      <c r="D134" s="227"/>
      <c r="E134" s="182"/>
      <c r="F134" s="344"/>
      <c r="G134" s="347"/>
      <c r="H134" s="702"/>
      <c r="I134" s="199"/>
      <c r="J134" s="199"/>
      <c r="K134" s="199"/>
      <c r="L134" s="714"/>
      <c r="M134" s="199" t="e">
        <f>RANK(K134, K$128:$K$142)</f>
        <v>#DIV/0!</v>
      </c>
    </row>
    <row r="135" spans="2:13">
      <c r="B135" s="660"/>
      <c r="C135" s="344">
        <v>8</v>
      </c>
      <c r="D135" s="227"/>
      <c r="E135" s="182"/>
      <c r="F135" s="344"/>
      <c r="G135" s="347"/>
      <c r="H135" s="702"/>
      <c r="I135" s="199"/>
      <c r="J135" s="199"/>
      <c r="K135" s="199"/>
      <c r="L135" s="714"/>
      <c r="M135" s="199" t="e">
        <f>RANK(K135, K$128:$K$142)</f>
        <v>#DIV/0!</v>
      </c>
    </row>
    <row r="136" spans="2:13">
      <c r="B136" s="660"/>
      <c r="C136" s="344">
        <v>9</v>
      </c>
      <c r="D136" s="227"/>
      <c r="E136" s="344"/>
      <c r="F136" s="344"/>
      <c r="G136" s="344"/>
      <c r="H136" s="702"/>
      <c r="I136" s="199"/>
      <c r="J136" s="199"/>
      <c r="K136" s="199"/>
      <c r="L136" s="714"/>
      <c r="M136" s="199" t="e">
        <f>RANK(K136, K$128:$K$142)</f>
        <v>#DIV/0!</v>
      </c>
    </row>
    <row r="137" spans="2:13">
      <c r="B137" s="660"/>
      <c r="C137" s="344">
        <v>10</v>
      </c>
      <c r="D137" s="227"/>
      <c r="E137" s="344"/>
      <c r="F137" s="344"/>
      <c r="G137" s="344"/>
      <c r="H137" s="702"/>
      <c r="I137" s="199"/>
      <c r="J137" s="199"/>
      <c r="K137" s="199"/>
      <c r="L137" s="714"/>
      <c r="M137" s="199" t="e">
        <f>RANK(K137, K$128:$K$142)</f>
        <v>#DIV/0!</v>
      </c>
    </row>
    <row r="138" spans="2:13">
      <c r="B138" s="660"/>
      <c r="C138" s="344">
        <v>11</v>
      </c>
      <c r="D138" s="227"/>
      <c r="E138" s="344"/>
      <c r="F138" s="344"/>
      <c r="G138" s="344"/>
      <c r="H138" s="702"/>
      <c r="I138" s="199"/>
      <c r="J138" s="199"/>
      <c r="K138" s="199"/>
      <c r="L138" s="714"/>
      <c r="M138" s="199" t="e">
        <f>RANK(K138, K$128:$K$142)</f>
        <v>#DIV/0!</v>
      </c>
    </row>
    <row r="139" spans="2:13">
      <c r="B139" s="660"/>
      <c r="C139" s="344">
        <v>12</v>
      </c>
      <c r="D139" s="227"/>
      <c r="E139" s="344"/>
      <c r="F139" s="344"/>
      <c r="G139" s="344"/>
      <c r="H139" s="702"/>
      <c r="I139" s="199"/>
      <c r="J139" s="199"/>
      <c r="K139" s="199"/>
      <c r="L139" s="714"/>
      <c r="M139" s="199" t="e">
        <f>RANK(K139, K$128:$K$142)</f>
        <v>#DIV/0!</v>
      </c>
    </row>
    <row r="140" spans="2:13">
      <c r="B140" s="660"/>
      <c r="C140" s="344">
        <v>13</v>
      </c>
      <c r="D140" s="227"/>
      <c r="E140" s="344"/>
      <c r="F140" s="344"/>
      <c r="G140" s="344"/>
      <c r="H140" s="702"/>
      <c r="I140" s="199"/>
      <c r="J140" s="199"/>
      <c r="K140" s="199"/>
      <c r="L140" s="714"/>
      <c r="M140" s="199" t="e">
        <f>RANK(K140, K$128:$K$142)</f>
        <v>#DIV/0!</v>
      </c>
    </row>
    <row r="141" spans="2:13">
      <c r="B141" s="660"/>
      <c r="C141" s="344">
        <v>14</v>
      </c>
      <c r="D141" s="227"/>
      <c r="E141" s="344"/>
      <c r="F141" s="344"/>
      <c r="G141" s="344"/>
      <c r="H141" s="702"/>
      <c r="I141" s="199"/>
      <c r="J141" s="199"/>
      <c r="K141" s="199"/>
      <c r="L141" s="714"/>
      <c r="M141" s="199" t="e">
        <f>RANK(K141, K$128:$K$142)</f>
        <v>#DIV/0!</v>
      </c>
    </row>
    <row r="142" spans="2:13">
      <c r="B142" s="660"/>
      <c r="C142" s="344">
        <v>15</v>
      </c>
      <c r="D142" s="227"/>
      <c r="E142" s="344"/>
      <c r="F142" s="344"/>
      <c r="G142" s="344"/>
      <c r="H142" s="703"/>
      <c r="I142" s="199"/>
      <c r="J142" s="199"/>
      <c r="K142" s="199"/>
      <c r="L142" s="715"/>
      <c r="M142" s="19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47"/>
  <sheetViews>
    <sheetView topLeftCell="A55" zoomScale="55" zoomScaleNormal="55" workbookViewId="0">
      <pane xSplit="15" topLeftCell="Z1" activePane="topRight" state="frozen"/>
      <selection activeCell="P2" sqref="P2:AN2"/>
      <selection pane="topRight" activeCell="AU95" sqref="AU95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22" t="s">
        <v>332</v>
      </c>
      <c r="C1" s="221">
        <f>AVERAGE(L7,L42,L77,L112,L147,L182)</f>
        <v>82.125877442164509</v>
      </c>
    </row>
    <row r="2" spans="1:54" ht="15.75">
      <c r="A2" s="81"/>
      <c r="B2" s="664" t="s">
        <v>163</v>
      </c>
      <c r="C2" s="664"/>
      <c r="D2" s="664"/>
      <c r="E2" s="664"/>
      <c r="F2" s="664"/>
      <c r="G2" s="664"/>
      <c r="H2" s="664"/>
      <c r="I2" s="310"/>
      <c r="J2" s="310"/>
      <c r="K2" s="310"/>
      <c r="L2" s="310"/>
      <c r="M2" s="197"/>
      <c r="N2" s="653" t="s">
        <v>156</v>
      </c>
      <c r="O2" s="653" t="s">
        <v>155</v>
      </c>
      <c r="P2" s="656"/>
      <c r="Q2" s="657"/>
      <c r="R2" s="657"/>
      <c r="S2" s="657"/>
      <c r="T2" s="658"/>
      <c r="U2" s="659"/>
      <c r="V2" s="660"/>
      <c r="W2" s="660"/>
      <c r="X2" s="660"/>
      <c r="Y2" s="660"/>
      <c r="Z2" s="659"/>
      <c r="AA2" s="660"/>
      <c r="AB2" s="660"/>
      <c r="AC2" s="660"/>
      <c r="AD2" s="660"/>
      <c r="AE2" s="659"/>
      <c r="AF2" s="660"/>
      <c r="AG2" s="660"/>
      <c r="AH2" s="660"/>
      <c r="AI2" s="660"/>
      <c r="AJ2" s="659"/>
      <c r="AK2" s="660"/>
      <c r="AL2" s="660"/>
      <c r="AM2" s="660"/>
      <c r="AN2" s="660"/>
      <c r="AO2" s="659">
        <v>46054</v>
      </c>
      <c r="AP2" s="660"/>
      <c r="AQ2" s="660"/>
      <c r="AR2" s="660"/>
      <c r="AS2" s="660"/>
      <c r="AT2" s="659">
        <f>AO2+1</f>
        <v>46055</v>
      </c>
      <c r="AU2" s="660"/>
      <c r="AV2" s="660"/>
      <c r="AW2" s="660"/>
      <c r="AX2" s="660"/>
    </row>
    <row r="3" spans="1:54" ht="15.75">
      <c r="A3" s="81"/>
      <c r="B3" s="683"/>
      <c r="C3" s="683"/>
      <c r="D3" s="683"/>
      <c r="E3" s="683"/>
      <c r="F3" s="683"/>
      <c r="G3" s="683"/>
      <c r="H3" s="683"/>
      <c r="I3" s="311"/>
      <c r="J3" s="311"/>
      <c r="K3" s="311"/>
      <c r="L3" s="311"/>
      <c r="M3" s="198"/>
      <c r="N3" s="655"/>
      <c r="O3" s="655"/>
      <c r="P3" s="656" t="s">
        <v>158</v>
      </c>
      <c r="Q3" s="657"/>
      <c r="R3" s="657"/>
      <c r="S3" s="657"/>
      <c r="T3" s="658"/>
      <c r="U3" s="656" t="s">
        <v>114</v>
      </c>
      <c r="V3" s="657"/>
      <c r="W3" s="657"/>
      <c r="X3" s="657"/>
      <c r="Y3" s="658"/>
      <c r="Z3" s="656" t="s">
        <v>159</v>
      </c>
      <c r="AA3" s="657"/>
      <c r="AB3" s="657"/>
      <c r="AC3" s="657"/>
      <c r="AD3" s="658"/>
      <c r="AE3" s="656" t="s">
        <v>157</v>
      </c>
      <c r="AF3" s="657"/>
      <c r="AG3" s="657"/>
      <c r="AH3" s="657"/>
      <c r="AI3" s="658"/>
      <c r="AJ3" s="656" t="s">
        <v>160</v>
      </c>
      <c r="AK3" s="657"/>
      <c r="AL3" s="657"/>
      <c r="AM3" s="657"/>
      <c r="AN3" s="658"/>
      <c r="AO3" s="656" t="s">
        <v>161</v>
      </c>
      <c r="AP3" s="657"/>
      <c r="AQ3" s="657"/>
      <c r="AR3" s="657"/>
      <c r="AS3" s="658"/>
      <c r="AT3" s="656" t="s">
        <v>162</v>
      </c>
      <c r="AU3" s="657"/>
      <c r="AV3" s="657"/>
      <c r="AW3" s="657"/>
      <c r="AX3" s="658"/>
    </row>
    <row r="4" spans="1:54">
      <c r="A4" s="81"/>
      <c r="B4" s="652" t="s">
        <v>154</v>
      </c>
      <c r="C4" s="652" t="s">
        <v>441</v>
      </c>
      <c r="D4" s="652"/>
      <c r="E4" s="652" t="s">
        <v>432</v>
      </c>
      <c r="F4" s="652"/>
      <c r="G4" s="652"/>
      <c r="H4" s="668" t="s">
        <v>428</v>
      </c>
      <c r="I4" s="636" t="s">
        <v>433</v>
      </c>
      <c r="J4" s="636"/>
      <c r="K4" s="636"/>
      <c r="L4" s="637" t="s">
        <v>428</v>
      </c>
      <c r="M4" s="643" t="s">
        <v>429</v>
      </c>
      <c r="N4" s="652"/>
      <c r="O4" s="652" t="s">
        <v>434</v>
      </c>
      <c r="P4" s="649" t="s">
        <v>430</v>
      </c>
      <c r="Q4" s="650"/>
      <c r="R4" s="650"/>
      <c r="S4" s="651"/>
      <c r="T4" s="652" t="s">
        <v>428</v>
      </c>
      <c r="U4" s="649" t="s">
        <v>430</v>
      </c>
      <c r="V4" s="650"/>
      <c r="W4" s="650"/>
      <c r="X4" s="651"/>
      <c r="Y4" s="652" t="s">
        <v>428</v>
      </c>
      <c r="Z4" s="649" t="s">
        <v>430</v>
      </c>
      <c r="AA4" s="650"/>
      <c r="AB4" s="650"/>
      <c r="AC4" s="651"/>
      <c r="AD4" s="652" t="s">
        <v>428</v>
      </c>
      <c r="AE4" s="649" t="s">
        <v>430</v>
      </c>
      <c r="AF4" s="650"/>
      <c r="AG4" s="650"/>
      <c r="AH4" s="651"/>
      <c r="AI4" s="652" t="s">
        <v>428</v>
      </c>
      <c r="AJ4" s="649" t="s">
        <v>430</v>
      </c>
      <c r="AK4" s="650"/>
      <c r="AL4" s="650"/>
      <c r="AM4" s="651"/>
      <c r="AN4" s="652" t="s">
        <v>428</v>
      </c>
      <c r="AO4" s="649" t="s">
        <v>430</v>
      </c>
      <c r="AP4" s="650"/>
      <c r="AQ4" s="650"/>
      <c r="AR4" s="651"/>
      <c r="AS4" s="652" t="s">
        <v>428</v>
      </c>
      <c r="AT4" s="649" t="s">
        <v>430</v>
      </c>
      <c r="AU4" s="650"/>
      <c r="AV4" s="650"/>
      <c r="AW4" s="651"/>
      <c r="AX4" s="652" t="s">
        <v>428</v>
      </c>
    </row>
    <row r="5" spans="1:54">
      <c r="A5" s="81"/>
      <c r="B5" s="652"/>
      <c r="C5" s="652"/>
      <c r="D5" s="652"/>
      <c r="E5" s="652" t="s">
        <v>435</v>
      </c>
      <c r="F5" s="652"/>
      <c r="G5" s="652"/>
      <c r="H5" s="669"/>
      <c r="I5" s="636" t="s">
        <v>435</v>
      </c>
      <c r="J5" s="636"/>
      <c r="K5" s="636"/>
      <c r="L5" s="638"/>
      <c r="M5" s="644"/>
      <c r="N5" s="652"/>
      <c r="O5" s="652"/>
      <c r="P5" s="649" t="s">
        <v>436</v>
      </c>
      <c r="Q5" s="650"/>
      <c r="R5" s="650"/>
      <c r="S5" s="651"/>
      <c r="T5" s="652"/>
      <c r="U5" s="649" t="s">
        <v>436</v>
      </c>
      <c r="V5" s="650"/>
      <c r="W5" s="650"/>
      <c r="X5" s="651"/>
      <c r="Y5" s="652"/>
      <c r="Z5" s="649" t="s">
        <v>436</v>
      </c>
      <c r="AA5" s="650"/>
      <c r="AB5" s="650"/>
      <c r="AC5" s="651"/>
      <c r="AD5" s="652"/>
      <c r="AE5" s="649" t="s">
        <v>436</v>
      </c>
      <c r="AF5" s="650"/>
      <c r="AG5" s="650"/>
      <c r="AH5" s="651"/>
      <c r="AI5" s="652"/>
      <c r="AJ5" s="649" t="s">
        <v>436</v>
      </c>
      <c r="AK5" s="650"/>
      <c r="AL5" s="650"/>
      <c r="AM5" s="651"/>
      <c r="AN5" s="652"/>
      <c r="AO5" s="649" t="s">
        <v>436</v>
      </c>
      <c r="AP5" s="650"/>
      <c r="AQ5" s="650"/>
      <c r="AR5" s="651"/>
      <c r="AS5" s="652"/>
      <c r="AT5" s="649" t="s">
        <v>436</v>
      </c>
      <c r="AU5" s="650"/>
      <c r="AV5" s="650"/>
      <c r="AW5" s="651"/>
      <c r="AX5" s="652"/>
    </row>
    <row r="6" spans="1:54">
      <c r="A6" s="79"/>
      <c r="B6" s="652"/>
      <c r="C6" s="652"/>
      <c r="D6" s="652"/>
      <c r="E6" s="518" t="s">
        <v>437</v>
      </c>
      <c r="F6" s="518" t="s">
        <v>438</v>
      </c>
      <c r="G6" s="518" t="s">
        <v>439</v>
      </c>
      <c r="H6" s="670"/>
      <c r="I6" s="520" t="s">
        <v>437</v>
      </c>
      <c r="J6" s="520" t="s">
        <v>438</v>
      </c>
      <c r="K6" s="520" t="s">
        <v>439</v>
      </c>
      <c r="L6" s="639"/>
      <c r="M6" s="645"/>
      <c r="N6" s="652"/>
      <c r="O6" s="652"/>
      <c r="P6" s="518" t="s">
        <v>437</v>
      </c>
      <c r="Q6" s="518" t="s">
        <v>438</v>
      </c>
      <c r="R6" s="518" t="s">
        <v>439</v>
      </c>
      <c r="S6" s="518" t="s">
        <v>429</v>
      </c>
      <c r="T6" s="652"/>
      <c r="U6" s="518" t="s">
        <v>437</v>
      </c>
      <c r="V6" s="518" t="s">
        <v>438</v>
      </c>
      <c r="W6" s="518" t="s">
        <v>439</v>
      </c>
      <c r="X6" s="518" t="s">
        <v>429</v>
      </c>
      <c r="Y6" s="652"/>
      <c r="Z6" s="518" t="s">
        <v>437</v>
      </c>
      <c r="AA6" s="518" t="s">
        <v>438</v>
      </c>
      <c r="AB6" s="518" t="s">
        <v>439</v>
      </c>
      <c r="AC6" s="518" t="s">
        <v>429</v>
      </c>
      <c r="AD6" s="652"/>
      <c r="AE6" s="518" t="s">
        <v>437</v>
      </c>
      <c r="AF6" s="518" t="s">
        <v>438</v>
      </c>
      <c r="AG6" s="518" t="s">
        <v>439</v>
      </c>
      <c r="AH6" s="518" t="s">
        <v>429</v>
      </c>
      <c r="AI6" s="652"/>
      <c r="AJ6" s="518" t="s">
        <v>437</v>
      </c>
      <c r="AK6" s="518" t="s">
        <v>438</v>
      </c>
      <c r="AL6" s="518" t="s">
        <v>439</v>
      </c>
      <c r="AM6" s="518" t="s">
        <v>429</v>
      </c>
      <c r="AN6" s="652"/>
      <c r="AO6" s="518" t="s">
        <v>437</v>
      </c>
      <c r="AP6" s="518" t="s">
        <v>438</v>
      </c>
      <c r="AQ6" s="518" t="s">
        <v>439</v>
      </c>
      <c r="AR6" s="518" t="s">
        <v>429</v>
      </c>
      <c r="AS6" s="652"/>
      <c r="AT6" s="518" t="s">
        <v>437</v>
      </c>
      <c r="AU6" s="518" t="s">
        <v>438</v>
      </c>
      <c r="AV6" s="518" t="s">
        <v>439</v>
      </c>
      <c r="AW6" s="518" t="s">
        <v>429</v>
      </c>
      <c r="AX6" s="652"/>
    </row>
    <row r="7" spans="1:54">
      <c r="A7" s="81"/>
      <c r="B7" s="652" t="s">
        <v>134</v>
      </c>
      <c r="C7" s="514">
        <v>1</v>
      </c>
      <c r="D7" s="227" t="s">
        <v>373</v>
      </c>
      <c r="E7" s="182">
        <v>6</v>
      </c>
      <c r="F7" s="514">
        <v>1500</v>
      </c>
      <c r="G7" s="515">
        <v>250</v>
      </c>
      <c r="H7" s="701">
        <f>AVERAGE(G7:G36)</f>
        <v>96.221666666666707</v>
      </c>
      <c r="I7" s="516">
        <f>AVERAGE(P7,U7,Z7,AE7,AJ7,AO7,AT7)</f>
        <v>6</v>
      </c>
      <c r="J7" s="516">
        <f>AVERAGE(Q7,V7,AA7,AF7,AK7,AP7,AU7)</f>
        <v>1465.1180073431246</v>
      </c>
      <c r="K7" s="200">
        <f>AVERAGE(R7,W7,AB7,AG7,AL7,AQ7,AV7)</f>
        <v>244.18633455718742</v>
      </c>
      <c r="L7" s="633">
        <f>IFERROR(AVERAGE(K7:K36),"-")</f>
        <v>81.498266958679906</v>
      </c>
      <c r="M7" s="521">
        <f>RANK(K7, K$7:$K$36)</f>
        <v>1</v>
      </c>
      <c r="N7" s="652"/>
      <c r="O7" s="652"/>
      <c r="P7" s="182"/>
      <c r="Q7" s="182"/>
      <c r="R7" s="182"/>
      <c r="S7" s="514" t="e">
        <f>RANK(R7, R$7:R$36)</f>
        <v>#N/A</v>
      </c>
      <c r="T7" s="674" t="e">
        <f>AVERAGE(R7:R36)</f>
        <v>#DIV/0!</v>
      </c>
      <c r="U7" s="182"/>
      <c r="V7" s="182"/>
      <c r="W7" s="182"/>
      <c r="X7" s="514" t="e">
        <f>RANK(W7, W$7:W$36)</f>
        <v>#N/A</v>
      </c>
      <c r="Y7" s="674" t="e">
        <f>AVERAGE(W7:W36)</f>
        <v>#DIV/0!</v>
      </c>
      <c r="Z7" s="182"/>
      <c r="AA7" s="182"/>
      <c r="AB7" s="182"/>
      <c r="AC7" s="514" t="e">
        <f>RANK(AB7, AB$7:AB$36)</f>
        <v>#N/A</v>
      </c>
      <c r="AD7" s="674" t="e">
        <f>AVERAGE(AB7:AB36)</f>
        <v>#DIV/0!</v>
      </c>
      <c r="AE7" s="182"/>
      <c r="AF7" s="182"/>
      <c r="AG7" s="182"/>
      <c r="AH7" s="514" t="e">
        <f>RANK(AG7, AG$7:AG$36)</f>
        <v>#N/A</v>
      </c>
      <c r="AI7" s="674" t="e">
        <f>AVERAGE(AG7:AG36)</f>
        <v>#DIV/0!</v>
      </c>
      <c r="AJ7" s="182"/>
      <c r="AK7" s="182"/>
      <c r="AL7" s="182"/>
      <c r="AM7" s="514" t="e">
        <f>RANK(AL7, AL$7:AL$36)</f>
        <v>#N/A</v>
      </c>
      <c r="AN7" s="674" t="e">
        <f>AVERAGE(AL7:AL36)</f>
        <v>#DIV/0!</v>
      </c>
      <c r="AO7" s="182">
        <v>6</v>
      </c>
      <c r="AP7" s="182">
        <v>1457.8467289719626</v>
      </c>
      <c r="AQ7" s="182">
        <v>242.97445482866044</v>
      </c>
      <c r="AR7" s="514">
        <f>RANK(AQ7, AQ$7:AQ$36)</f>
        <v>1</v>
      </c>
      <c r="AS7" s="674">
        <f>AVERAGE(AQ7:AQ36)</f>
        <v>81.67952929267706</v>
      </c>
      <c r="AT7" s="182">
        <v>6</v>
      </c>
      <c r="AU7" s="182">
        <v>1472.3892857142864</v>
      </c>
      <c r="AV7" s="182">
        <v>245.3982142857144</v>
      </c>
      <c r="AW7" s="514">
        <f>RANK(AV7, AV$7:AV$36)</f>
        <v>1</v>
      </c>
      <c r="AX7" s="674">
        <f>AVERAGE(AV7:AV36)</f>
        <v>81.317004624682767</v>
      </c>
      <c r="AZ7" s="363" t="e">
        <f>RANK(AX7, $K$7:AX$36)</f>
        <v>#N/A</v>
      </c>
      <c r="BB7" s="360" t="e">
        <f t="shared" ref="BB7:BB36" si="0">RANK(BA7, BA$7:BA$36)</f>
        <v>#N/A</v>
      </c>
    </row>
    <row r="8" spans="1:54" ht="15" customHeight="1">
      <c r="A8" s="81"/>
      <c r="B8" s="660"/>
      <c r="C8" s="514">
        <v>2</v>
      </c>
      <c r="D8" s="227" t="s">
        <v>393</v>
      </c>
      <c r="E8" s="182">
        <v>6</v>
      </c>
      <c r="F8" s="514">
        <v>1636</v>
      </c>
      <c r="G8" s="515">
        <v>272.7</v>
      </c>
      <c r="H8" s="702"/>
      <c r="I8" s="553">
        <f t="shared" ref="I8:I36" si="1">AVERAGE(P8,U8,Z8,AE8,AJ8,AO8,AT8)</f>
        <v>7</v>
      </c>
      <c r="J8" s="553">
        <f t="shared" ref="J8:J36" si="2">AVERAGE(Q8,V8,AA8,AF8,AK8,AP8,AU8)</f>
        <v>1476.2500000000002</v>
      </c>
      <c r="K8" s="200">
        <f t="shared" ref="K8:K36" si="3">AVERAGE(R8,W8,AB8,AG8,AL8,AQ8,AV8)</f>
        <v>210.89285714285717</v>
      </c>
      <c r="L8" s="634"/>
      <c r="M8" s="521">
        <f>RANK(K8, K$7:$K$36)</f>
        <v>2</v>
      </c>
      <c r="N8" s="652"/>
      <c r="O8" s="652"/>
      <c r="P8" s="182"/>
      <c r="Q8" s="182"/>
      <c r="R8" s="182"/>
      <c r="S8" s="514" t="e">
        <f t="shared" ref="S8:S36" si="4">RANK(R8, R$7:R$36)</f>
        <v>#N/A</v>
      </c>
      <c r="T8" s="674"/>
      <c r="U8" s="182"/>
      <c r="V8" s="182"/>
      <c r="W8" s="182"/>
      <c r="X8" s="514" t="e">
        <f t="shared" ref="X8:X36" si="5">RANK(W8, W$7:W$36)</f>
        <v>#N/A</v>
      </c>
      <c r="Y8" s="674"/>
      <c r="Z8" s="182"/>
      <c r="AA8" s="182"/>
      <c r="AB8" s="182"/>
      <c r="AC8" s="514" t="e">
        <f t="shared" ref="AC8:AC36" si="6">RANK(AB8, AB$7:AB$36)</f>
        <v>#N/A</v>
      </c>
      <c r="AD8" s="674"/>
      <c r="AE8" s="182"/>
      <c r="AF8" s="182"/>
      <c r="AG8" s="182"/>
      <c r="AH8" s="514" t="e">
        <f t="shared" ref="AH8:AH36" si="7">RANK(AG8, AG$7:AG$36)</f>
        <v>#N/A</v>
      </c>
      <c r="AI8" s="674"/>
      <c r="AJ8" s="182"/>
      <c r="AK8" s="182"/>
      <c r="AL8" s="182"/>
      <c r="AM8" s="514" t="e">
        <f t="shared" ref="AM8:AM36" si="8">RANK(AL8, AL$7:AL$36)</f>
        <v>#N/A</v>
      </c>
      <c r="AN8" s="674"/>
      <c r="AO8" s="182">
        <v>7</v>
      </c>
      <c r="AP8" s="182">
        <v>1485</v>
      </c>
      <c r="AQ8" s="182">
        <v>212.14285714285714</v>
      </c>
      <c r="AR8" s="514">
        <f t="shared" ref="AR8:AR36" si="9">RANK(AQ8, AQ$7:AQ$36)</f>
        <v>2</v>
      </c>
      <c r="AS8" s="674"/>
      <c r="AT8" s="182">
        <v>7</v>
      </c>
      <c r="AU8" s="182">
        <v>1467.5000000000005</v>
      </c>
      <c r="AV8" s="182">
        <v>209.6428571428572</v>
      </c>
      <c r="AW8" s="514">
        <f t="shared" ref="AW8:AW36" si="10">RANK(AV8, AV$7:AV$36)</f>
        <v>2</v>
      </c>
      <c r="AX8" s="674"/>
      <c r="AZ8" s="363" t="e">
        <f>RANK(AX8, $K$7:AX$36)</f>
        <v>#N/A</v>
      </c>
      <c r="BB8" s="360" t="e">
        <f t="shared" si="0"/>
        <v>#N/A</v>
      </c>
    </row>
    <row r="9" spans="1:54">
      <c r="A9" s="81"/>
      <c r="B9" s="660"/>
      <c r="C9" s="514">
        <v>3</v>
      </c>
      <c r="D9" s="227" t="s">
        <v>374</v>
      </c>
      <c r="E9" s="182">
        <v>18</v>
      </c>
      <c r="F9" s="514">
        <v>1500</v>
      </c>
      <c r="G9" s="515">
        <v>75</v>
      </c>
      <c r="H9" s="702"/>
      <c r="I9" s="553">
        <f t="shared" si="1"/>
        <v>18</v>
      </c>
      <c r="J9" s="553">
        <f t="shared" si="2"/>
        <v>1180.6962868117794</v>
      </c>
      <c r="K9" s="200">
        <f t="shared" si="3"/>
        <v>65.594238156209968</v>
      </c>
      <c r="L9" s="634"/>
      <c r="M9" s="521">
        <f>RANK(K9, K$7:$K$36)</f>
        <v>25</v>
      </c>
      <c r="N9" s="652"/>
      <c r="O9" s="652"/>
      <c r="P9" s="182"/>
      <c r="Q9" s="182"/>
      <c r="R9" s="182"/>
      <c r="S9" s="514" t="e">
        <f t="shared" si="4"/>
        <v>#N/A</v>
      </c>
      <c r="T9" s="674"/>
      <c r="U9" s="182"/>
      <c r="V9" s="182"/>
      <c r="W9" s="182"/>
      <c r="X9" s="514" t="e">
        <f t="shared" si="5"/>
        <v>#N/A</v>
      </c>
      <c r="Y9" s="674"/>
      <c r="Z9" s="182"/>
      <c r="AA9" s="182"/>
      <c r="AB9" s="182"/>
      <c r="AC9" s="514" t="e">
        <f t="shared" si="6"/>
        <v>#N/A</v>
      </c>
      <c r="AD9" s="674"/>
      <c r="AE9" s="182"/>
      <c r="AF9" s="182"/>
      <c r="AG9" s="182"/>
      <c r="AH9" s="514" t="e">
        <f t="shared" si="7"/>
        <v>#N/A</v>
      </c>
      <c r="AI9" s="674"/>
      <c r="AJ9" s="182"/>
      <c r="AK9" s="182"/>
      <c r="AL9" s="182"/>
      <c r="AM9" s="514" t="e">
        <f t="shared" si="8"/>
        <v>#N/A</v>
      </c>
      <c r="AN9" s="674"/>
      <c r="AO9" s="182">
        <v>18</v>
      </c>
      <c r="AP9" s="182">
        <v>1185.0545454545445</v>
      </c>
      <c r="AQ9" s="182">
        <v>65.836363636363586</v>
      </c>
      <c r="AR9" s="514">
        <f t="shared" si="9"/>
        <v>24</v>
      </c>
      <c r="AS9" s="674"/>
      <c r="AT9" s="182">
        <v>18</v>
      </c>
      <c r="AU9" s="182">
        <v>1176.3380281690143</v>
      </c>
      <c r="AV9" s="182">
        <v>65.35211267605635</v>
      </c>
      <c r="AW9" s="514">
        <f t="shared" si="10"/>
        <v>25</v>
      </c>
      <c r="AX9" s="674"/>
      <c r="AZ9" s="363" t="e">
        <f>RANK(AX9, $K$7:AX$36)</f>
        <v>#N/A</v>
      </c>
      <c r="BB9" s="360" t="e">
        <f t="shared" si="0"/>
        <v>#N/A</v>
      </c>
    </row>
    <row r="10" spans="1:54">
      <c r="A10" s="81"/>
      <c r="B10" s="660"/>
      <c r="C10" s="514">
        <v>4</v>
      </c>
      <c r="D10" s="227" t="s">
        <v>910</v>
      </c>
      <c r="E10" s="182">
        <v>18</v>
      </c>
      <c r="F10" s="514">
        <v>1500</v>
      </c>
      <c r="G10" s="515">
        <v>83.3</v>
      </c>
      <c r="H10" s="702"/>
      <c r="I10" s="553">
        <f t="shared" si="1"/>
        <v>18</v>
      </c>
      <c r="J10" s="553">
        <f t="shared" si="2"/>
        <v>1340.7882011605418</v>
      </c>
      <c r="K10" s="200">
        <f t="shared" si="3"/>
        <v>74.488233397807875</v>
      </c>
      <c r="L10" s="634"/>
      <c r="M10" s="521">
        <f>RANK(K10, K$7:$K$36)</f>
        <v>14</v>
      </c>
      <c r="N10" s="652"/>
      <c r="O10" s="652"/>
      <c r="P10" s="182"/>
      <c r="Q10" s="182"/>
      <c r="R10" s="182"/>
      <c r="S10" s="514" t="e">
        <f t="shared" si="4"/>
        <v>#N/A</v>
      </c>
      <c r="T10" s="674"/>
      <c r="U10" s="182"/>
      <c r="V10" s="182"/>
      <c r="W10" s="182"/>
      <c r="X10" s="514" t="e">
        <f t="shared" si="5"/>
        <v>#N/A</v>
      </c>
      <c r="Y10" s="674"/>
      <c r="Z10" s="182"/>
      <c r="AA10" s="182"/>
      <c r="AB10" s="182"/>
      <c r="AC10" s="514" t="e">
        <f t="shared" si="6"/>
        <v>#N/A</v>
      </c>
      <c r="AD10" s="674"/>
      <c r="AE10" s="182"/>
      <c r="AF10" s="182"/>
      <c r="AG10" s="182"/>
      <c r="AH10" s="514" t="e">
        <f t="shared" si="7"/>
        <v>#N/A</v>
      </c>
      <c r="AI10" s="674"/>
      <c r="AJ10" s="182"/>
      <c r="AK10" s="182"/>
      <c r="AL10" s="182"/>
      <c r="AM10" s="514" t="e">
        <f t="shared" si="8"/>
        <v>#N/A</v>
      </c>
      <c r="AN10" s="674"/>
      <c r="AO10" s="182">
        <v>18</v>
      </c>
      <c r="AP10" s="182">
        <v>1351.3636363636365</v>
      </c>
      <c r="AQ10" s="182">
        <v>75.075757575757578</v>
      </c>
      <c r="AR10" s="514">
        <f t="shared" si="9"/>
        <v>13</v>
      </c>
      <c r="AS10" s="674"/>
      <c r="AT10" s="182">
        <v>18</v>
      </c>
      <c r="AU10" s="182">
        <v>1330.2127659574471</v>
      </c>
      <c r="AV10" s="182">
        <v>73.900709219858172</v>
      </c>
      <c r="AW10" s="514">
        <f t="shared" si="10"/>
        <v>13</v>
      </c>
      <c r="AX10" s="674"/>
      <c r="AZ10" s="363" t="e">
        <f>RANK(AX10, $K$7:AX$36)</f>
        <v>#N/A</v>
      </c>
      <c r="BB10" s="360" t="e">
        <f t="shared" si="0"/>
        <v>#N/A</v>
      </c>
    </row>
    <row r="11" spans="1:54">
      <c r="A11" s="81"/>
      <c r="B11" s="660"/>
      <c r="C11" s="514">
        <v>5</v>
      </c>
      <c r="D11" s="227" t="s">
        <v>353</v>
      </c>
      <c r="E11" s="182">
        <v>16</v>
      </c>
      <c r="F11" s="514">
        <v>1500</v>
      </c>
      <c r="G11" s="515">
        <v>93.8</v>
      </c>
      <c r="H11" s="702"/>
      <c r="I11" s="553">
        <f t="shared" si="1"/>
        <v>16</v>
      </c>
      <c r="J11" s="553">
        <f t="shared" si="2"/>
        <v>1198.2782608695654</v>
      </c>
      <c r="K11" s="200">
        <f t="shared" si="3"/>
        <v>74.892391304347839</v>
      </c>
      <c r="L11" s="634"/>
      <c r="M11" s="521">
        <f>RANK(K11, K$7:$K$36)</f>
        <v>12</v>
      </c>
      <c r="N11" s="652"/>
      <c r="O11" s="652"/>
      <c r="P11" s="182"/>
      <c r="Q11" s="182"/>
      <c r="R11" s="182"/>
      <c r="S11" s="514" t="e">
        <f t="shared" si="4"/>
        <v>#N/A</v>
      </c>
      <c r="T11" s="674"/>
      <c r="U11" s="182"/>
      <c r="V11" s="182"/>
      <c r="W11" s="182"/>
      <c r="X11" s="514" t="e">
        <f t="shared" si="5"/>
        <v>#N/A</v>
      </c>
      <c r="Y11" s="674"/>
      <c r="Z11" s="182"/>
      <c r="AA11" s="182"/>
      <c r="AB11" s="182"/>
      <c r="AC11" s="514" t="e">
        <f t="shared" si="6"/>
        <v>#N/A</v>
      </c>
      <c r="AD11" s="674"/>
      <c r="AE11" s="182"/>
      <c r="AF11" s="182"/>
      <c r="AG11" s="182"/>
      <c r="AH11" s="514" t="e">
        <f t="shared" si="7"/>
        <v>#N/A</v>
      </c>
      <c r="AI11" s="674"/>
      <c r="AJ11" s="182"/>
      <c r="AK11" s="182"/>
      <c r="AL11" s="182"/>
      <c r="AM11" s="514" t="e">
        <f t="shared" si="8"/>
        <v>#N/A</v>
      </c>
      <c r="AN11" s="674"/>
      <c r="AO11" s="182">
        <v>16</v>
      </c>
      <c r="AP11" s="182">
        <v>1216.9565217391305</v>
      </c>
      <c r="AQ11" s="182">
        <v>76.059782608695656</v>
      </c>
      <c r="AR11" s="514">
        <f t="shared" si="9"/>
        <v>9</v>
      </c>
      <c r="AS11" s="674"/>
      <c r="AT11" s="182">
        <v>16</v>
      </c>
      <c r="AU11" s="182">
        <v>1179.6000000000004</v>
      </c>
      <c r="AV11" s="182">
        <v>73.725000000000023</v>
      </c>
      <c r="AW11" s="514">
        <f t="shared" si="10"/>
        <v>14</v>
      </c>
      <c r="AX11" s="674"/>
      <c r="AZ11" s="363" t="e">
        <f>RANK(AX11, $K$7:AX$36)</f>
        <v>#N/A</v>
      </c>
      <c r="BB11" s="360" t="e">
        <f t="shared" si="0"/>
        <v>#N/A</v>
      </c>
    </row>
    <row r="12" spans="1:54">
      <c r="A12" s="81"/>
      <c r="B12" s="660"/>
      <c r="C12" s="514">
        <v>6</v>
      </c>
      <c r="D12" s="227" t="s">
        <v>380</v>
      </c>
      <c r="E12" s="182">
        <v>16</v>
      </c>
      <c r="F12" s="514">
        <v>1565</v>
      </c>
      <c r="G12" s="515">
        <v>97.8</v>
      </c>
      <c r="H12" s="702"/>
      <c r="I12" s="553">
        <f t="shared" si="1"/>
        <v>16</v>
      </c>
      <c r="J12" s="553">
        <f t="shared" si="2"/>
        <v>1230.3333333333326</v>
      </c>
      <c r="K12" s="200">
        <f t="shared" si="3"/>
        <v>76.895833333333286</v>
      </c>
      <c r="L12" s="634"/>
      <c r="M12" s="521">
        <f>RANK(K12, K$7:$K$36)</f>
        <v>7</v>
      </c>
      <c r="N12" s="652"/>
      <c r="O12" s="652"/>
      <c r="P12" s="182"/>
      <c r="Q12" s="182"/>
      <c r="R12" s="182"/>
      <c r="S12" s="514" t="e">
        <f t="shared" si="4"/>
        <v>#N/A</v>
      </c>
      <c r="T12" s="674"/>
      <c r="U12" s="182"/>
      <c r="V12" s="182"/>
      <c r="W12" s="182"/>
      <c r="X12" s="514" t="e">
        <f t="shared" si="5"/>
        <v>#N/A</v>
      </c>
      <c r="Y12" s="674"/>
      <c r="Z12" s="182"/>
      <c r="AA12" s="182"/>
      <c r="AB12" s="182"/>
      <c r="AC12" s="514" t="e">
        <f t="shared" si="6"/>
        <v>#N/A</v>
      </c>
      <c r="AD12" s="674"/>
      <c r="AE12" s="182"/>
      <c r="AF12" s="182"/>
      <c r="AG12" s="182"/>
      <c r="AH12" s="514" t="e">
        <f t="shared" si="7"/>
        <v>#N/A</v>
      </c>
      <c r="AI12" s="674"/>
      <c r="AJ12" s="182"/>
      <c r="AK12" s="182"/>
      <c r="AL12" s="182"/>
      <c r="AM12" s="514" t="e">
        <f t="shared" si="8"/>
        <v>#N/A</v>
      </c>
      <c r="AN12" s="674"/>
      <c r="AO12" s="182">
        <v>16</v>
      </c>
      <c r="AP12" s="182">
        <v>1223.9999999999993</v>
      </c>
      <c r="AQ12" s="182">
        <v>76.499999999999957</v>
      </c>
      <c r="AR12" s="514">
        <f t="shared" si="9"/>
        <v>8</v>
      </c>
      <c r="AS12" s="674"/>
      <c r="AT12" s="182">
        <v>16</v>
      </c>
      <c r="AU12" s="182">
        <v>1236.6666666666658</v>
      </c>
      <c r="AV12" s="182">
        <v>77.291666666666615</v>
      </c>
      <c r="AW12" s="514">
        <f t="shared" si="10"/>
        <v>7</v>
      </c>
      <c r="AX12" s="674"/>
      <c r="AZ12" s="363" t="e">
        <f>RANK(AX12, $K$7:AX$36)</f>
        <v>#N/A</v>
      </c>
      <c r="BB12" s="360" t="e">
        <f t="shared" si="0"/>
        <v>#N/A</v>
      </c>
    </row>
    <row r="13" spans="1:54">
      <c r="A13" s="81"/>
      <c r="B13" s="660"/>
      <c r="C13" s="514">
        <v>7</v>
      </c>
      <c r="D13" s="227" t="s">
        <v>345</v>
      </c>
      <c r="E13" s="182">
        <v>15</v>
      </c>
      <c r="F13" s="514">
        <v>1440</v>
      </c>
      <c r="G13" s="515">
        <v>102.9</v>
      </c>
      <c r="H13" s="702"/>
      <c r="I13" s="553">
        <f t="shared" si="1"/>
        <v>15</v>
      </c>
      <c r="J13" s="553">
        <f t="shared" si="2"/>
        <v>1127.5862068965489</v>
      </c>
      <c r="K13" s="200">
        <f t="shared" si="3"/>
        <v>75.17241379310326</v>
      </c>
      <c r="L13" s="634"/>
      <c r="M13" s="521">
        <f>RANK(K13, K$7:$K$36)</f>
        <v>11</v>
      </c>
      <c r="N13" s="652"/>
      <c r="O13" s="652"/>
      <c r="P13" s="182"/>
      <c r="Q13" s="182"/>
      <c r="R13" s="182"/>
      <c r="S13" s="514" t="e">
        <f t="shared" si="4"/>
        <v>#N/A</v>
      </c>
      <c r="T13" s="674"/>
      <c r="U13" s="182"/>
      <c r="V13" s="182"/>
      <c r="W13" s="182"/>
      <c r="X13" s="514" t="e">
        <f t="shared" si="5"/>
        <v>#N/A</v>
      </c>
      <c r="Y13" s="674"/>
      <c r="Z13" s="182"/>
      <c r="AA13" s="182"/>
      <c r="AB13" s="182"/>
      <c r="AC13" s="514" t="e">
        <f t="shared" si="6"/>
        <v>#N/A</v>
      </c>
      <c r="AD13" s="674"/>
      <c r="AE13" s="182"/>
      <c r="AF13" s="182"/>
      <c r="AG13" s="182"/>
      <c r="AH13" s="514" t="e">
        <f t="shared" si="7"/>
        <v>#N/A</v>
      </c>
      <c r="AI13" s="674"/>
      <c r="AJ13" s="182"/>
      <c r="AK13" s="182"/>
      <c r="AL13" s="182"/>
      <c r="AM13" s="514" t="e">
        <f t="shared" si="8"/>
        <v>#N/A</v>
      </c>
      <c r="AN13" s="674"/>
      <c r="AO13" s="182">
        <v>15</v>
      </c>
      <c r="AP13" s="182">
        <v>1115.1724137931012</v>
      </c>
      <c r="AQ13" s="182">
        <v>74.344827586206748</v>
      </c>
      <c r="AR13" s="514">
        <f t="shared" si="9"/>
        <v>17</v>
      </c>
      <c r="AS13" s="674"/>
      <c r="AT13" s="182">
        <v>15</v>
      </c>
      <c r="AU13" s="182">
        <v>1139.9999999999964</v>
      </c>
      <c r="AV13" s="182">
        <v>75.999999999999758</v>
      </c>
      <c r="AW13" s="514">
        <f t="shared" si="10"/>
        <v>9</v>
      </c>
      <c r="AX13" s="674"/>
      <c r="AZ13" s="363" t="e">
        <f>RANK(AX13, $K$7:AX$36)</f>
        <v>#N/A</v>
      </c>
      <c r="BB13" s="360" t="e">
        <f t="shared" si="0"/>
        <v>#N/A</v>
      </c>
    </row>
    <row r="14" spans="1:54">
      <c r="A14" s="81"/>
      <c r="B14" s="660"/>
      <c r="C14" s="514">
        <v>8</v>
      </c>
      <c r="D14" s="227" t="s">
        <v>379</v>
      </c>
      <c r="E14" s="182">
        <v>16</v>
      </c>
      <c r="F14" s="514">
        <v>1440</v>
      </c>
      <c r="G14" s="515">
        <v>90</v>
      </c>
      <c r="H14" s="702"/>
      <c r="I14" s="553">
        <f t="shared" si="1"/>
        <v>16</v>
      </c>
      <c r="J14" s="553">
        <f t="shared" si="2"/>
        <v>1286.1666666666654</v>
      </c>
      <c r="K14" s="200">
        <f t="shared" si="3"/>
        <v>80.385416666666586</v>
      </c>
      <c r="L14" s="634"/>
      <c r="M14" s="521">
        <f>RANK(K14, K$7:$K$36)</f>
        <v>3</v>
      </c>
      <c r="N14" s="652"/>
      <c r="O14" s="652"/>
      <c r="P14" s="182"/>
      <c r="Q14" s="182"/>
      <c r="R14" s="182"/>
      <c r="S14" s="514" t="e">
        <f t="shared" si="4"/>
        <v>#N/A</v>
      </c>
      <c r="T14" s="674"/>
      <c r="U14" s="182"/>
      <c r="V14" s="182"/>
      <c r="W14" s="182"/>
      <c r="X14" s="514" t="e">
        <f t="shared" si="5"/>
        <v>#N/A</v>
      </c>
      <c r="Y14" s="674"/>
      <c r="Z14" s="182"/>
      <c r="AA14" s="182"/>
      <c r="AB14" s="182"/>
      <c r="AC14" s="514" t="e">
        <f t="shared" si="6"/>
        <v>#N/A</v>
      </c>
      <c r="AD14" s="674"/>
      <c r="AE14" s="182"/>
      <c r="AF14" s="182"/>
      <c r="AG14" s="182"/>
      <c r="AH14" s="514" t="e">
        <f t="shared" si="7"/>
        <v>#N/A</v>
      </c>
      <c r="AI14" s="674"/>
      <c r="AJ14" s="182"/>
      <c r="AK14" s="182"/>
      <c r="AL14" s="182"/>
      <c r="AM14" s="514" t="e">
        <f t="shared" si="8"/>
        <v>#N/A</v>
      </c>
      <c r="AN14" s="674"/>
      <c r="AO14" s="182">
        <v>16</v>
      </c>
      <c r="AP14" s="182">
        <v>1288.3333333333321</v>
      </c>
      <c r="AQ14" s="182">
        <v>80.520833333333258</v>
      </c>
      <c r="AR14" s="514">
        <f t="shared" si="9"/>
        <v>4</v>
      </c>
      <c r="AS14" s="674"/>
      <c r="AT14" s="182">
        <v>16</v>
      </c>
      <c r="AU14" s="182">
        <v>1283.9999999999986</v>
      </c>
      <c r="AV14" s="182">
        <v>80.249999999999915</v>
      </c>
      <c r="AW14" s="514">
        <f t="shared" si="10"/>
        <v>3</v>
      </c>
      <c r="AX14" s="674"/>
      <c r="AZ14" s="363" t="e">
        <f>RANK(AX14, $K$7:AX$36)</f>
        <v>#N/A</v>
      </c>
      <c r="BB14" s="360" t="e">
        <f t="shared" si="0"/>
        <v>#N/A</v>
      </c>
    </row>
    <row r="15" spans="1:54">
      <c r="A15" s="81"/>
      <c r="B15" s="660"/>
      <c r="C15" s="514">
        <v>9</v>
      </c>
      <c r="D15" s="227" t="s">
        <v>375</v>
      </c>
      <c r="E15" s="182">
        <v>16</v>
      </c>
      <c r="F15" s="514">
        <v>1380</v>
      </c>
      <c r="G15" s="515">
        <v>86.25</v>
      </c>
      <c r="H15" s="702"/>
      <c r="I15" s="553">
        <f t="shared" si="1"/>
        <v>17</v>
      </c>
      <c r="J15" s="553">
        <f t="shared" si="2"/>
        <v>1245.1346153846148</v>
      </c>
      <c r="K15" s="200">
        <f t="shared" si="3"/>
        <v>73.243212669683231</v>
      </c>
      <c r="L15" s="634"/>
      <c r="M15" s="521">
        <f>RANK(K15, K$7:$K$36)</f>
        <v>16</v>
      </c>
      <c r="N15" s="652"/>
      <c r="O15" s="652"/>
      <c r="P15" s="182"/>
      <c r="Q15" s="182"/>
      <c r="R15" s="182"/>
      <c r="S15" s="514" t="e">
        <f t="shared" si="4"/>
        <v>#N/A</v>
      </c>
      <c r="T15" s="674"/>
      <c r="U15" s="182"/>
      <c r="V15" s="182"/>
      <c r="W15" s="182"/>
      <c r="X15" s="514" t="e">
        <f t="shared" si="5"/>
        <v>#N/A</v>
      </c>
      <c r="Y15" s="674"/>
      <c r="Z15" s="182"/>
      <c r="AA15" s="182"/>
      <c r="AB15" s="182"/>
      <c r="AC15" s="514" t="e">
        <f t="shared" si="6"/>
        <v>#N/A</v>
      </c>
      <c r="AD15" s="674"/>
      <c r="AE15" s="182"/>
      <c r="AF15" s="182"/>
      <c r="AG15" s="182"/>
      <c r="AH15" s="514" t="e">
        <f t="shared" si="7"/>
        <v>#N/A</v>
      </c>
      <c r="AI15" s="674"/>
      <c r="AJ15" s="182"/>
      <c r="AK15" s="182"/>
      <c r="AL15" s="182"/>
      <c r="AM15" s="514" t="e">
        <f t="shared" si="8"/>
        <v>#N/A</v>
      </c>
      <c r="AN15" s="674"/>
      <c r="AO15" s="182">
        <v>17</v>
      </c>
      <c r="AP15" s="182">
        <v>1279.4999999999995</v>
      </c>
      <c r="AQ15" s="182">
        <v>75.264705882352914</v>
      </c>
      <c r="AR15" s="514">
        <f t="shared" si="9"/>
        <v>12</v>
      </c>
      <c r="AS15" s="674"/>
      <c r="AT15" s="182">
        <v>17</v>
      </c>
      <c r="AU15" s="182">
        <v>1210.76923076923</v>
      </c>
      <c r="AV15" s="182">
        <v>71.221719457013535</v>
      </c>
      <c r="AW15" s="514">
        <f t="shared" si="10"/>
        <v>19</v>
      </c>
      <c r="AX15" s="674"/>
      <c r="AZ15" s="363" t="e">
        <f>RANK(AX15, $K$7:AX$36)</f>
        <v>#N/A</v>
      </c>
      <c r="BB15" s="360" t="e">
        <f t="shared" si="0"/>
        <v>#N/A</v>
      </c>
    </row>
    <row r="16" spans="1:54">
      <c r="A16" s="81"/>
      <c r="B16" s="660"/>
      <c r="C16" s="514">
        <v>10</v>
      </c>
      <c r="D16" s="227" t="s">
        <v>378</v>
      </c>
      <c r="E16" s="182">
        <v>18</v>
      </c>
      <c r="F16" s="514">
        <v>1636</v>
      </c>
      <c r="G16" s="515">
        <v>90.9</v>
      </c>
      <c r="H16" s="702"/>
      <c r="I16" s="553">
        <f t="shared" si="1"/>
        <v>18</v>
      </c>
      <c r="J16" s="553">
        <f t="shared" si="2"/>
        <v>1341.2941176470595</v>
      </c>
      <c r="K16" s="200">
        <f t="shared" si="3"/>
        <v>74.516339869281069</v>
      </c>
      <c r="L16" s="634"/>
      <c r="M16" s="521">
        <f>RANK(K16, K$7:$K$36)</f>
        <v>13</v>
      </c>
      <c r="N16" s="652"/>
      <c r="O16" s="652"/>
      <c r="P16" s="182"/>
      <c r="Q16" s="182"/>
      <c r="R16" s="182"/>
      <c r="S16" s="514" t="e">
        <f t="shared" si="4"/>
        <v>#N/A</v>
      </c>
      <c r="T16" s="674"/>
      <c r="U16" s="182"/>
      <c r="V16" s="182"/>
      <c r="W16" s="182"/>
      <c r="X16" s="514" t="e">
        <f t="shared" si="5"/>
        <v>#N/A</v>
      </c>
      <c r="Y16" s="674"/>
      <c r="Z16" s="182"/>
      <c r="AA16" s="182"/>
      <c r="AB16" s="182"/>
      <c r="AC16" s="514" t="e">
        <f t="shared" si="6"/>
        <v>#N/A</v>
      </c>
      <c r="AD16" s="674"/>
      <c r="AE16" s="182"/>
      <c r="AF16" s="182"/>
      <c r="AG16" s="182"/>
      <c r="AH16" s="514" t="e">
        <f t="shared" si="7"/>
        <v>#N/A</v>
      </c>
      <c r="AI16" s="674"/>
      <c r="AJ16" s="182"/>
      <c r="AK16" s="182"/>
      <c r="AL16" s="182"/>
      <c r="AM16" s="514" t="e">
        <f t="shared" si="8"/>
        <v>#N/A</v>
      </c>
      <c r="AN16" s="674"/>
      <c r="AO16" s="182">
        <v>18</v>
      </c>
      <c r="AP16" s="182">
        <v>1350.5882352941182</v>
      </c>
      <c r="AQ16" s="182">
        <v>75.032679738562123</v>
      </c>
      <c r="AR16" s="514">
        <f t="shared" si="9"/>
        <v>14</v>
      </c>
      <c r="AS16" s="674"/>
      <c r="AT16" s="182">
        <v>18</v>
      </c>
      <c r="AU16" s="182">
        <v>1332.0000000000005</v>
      </c>
      <c r="AV16" s="182">
        <v>74.000000000000028</v>
      </c>
      <c r="AW16" s="514">
        <f t="shared" si="10"/>
        <v>12</v>
      </c>
      <c r="AX16" s="674"/>
      <c r="AZ16" s="363" t="e">
        <f>RANK(AX16, $K$7:AX$36)</f>
        <v>#N/A</v>
      </c>
      <c r="BB16" s="360" t="e">
        <f t="shared" si="0"/>
        <v>#N/A</v>
      </c>
    </row>
    <row r="17" spans="2:54">
      <c r="B17" s="660"/>
      <c r="C17" s="514">
        <v>11</v>
      </c>
      <c r="D17" s="227" t="s">
        <v>377</v>
      </c>
      <c r="E17" s="182">
        <v>18</v>
      </c>
      <c r="F17" s="514">
        <v>1636</v>
      </c>
      <c r="G17" s="515">
        <v>90.9</v>
      </c>
      <c r="H17" s="702"/>
      <c r="I17" s="553">
        <f t="shared" si="1"/>
        <v>18.5</v>
      </c>
      <c r="J17" s="553">
        <f t="shared" si="2"/>
        <v>1349.8195488721794</v>
      </c>
      <c r="K17" s="200">
        <f t="shared" si="3"/>
        <v>73.037593984962342</v>
      </c>
      <c r="L17" s="634"/>
      <c r="M17" s="521">
        <f>RANK(K17, K$7:$K$36)</f>
        <v>17</v>
      </c>
      <c r="N17" s="652"/>
      <c r="O17" s="652"/>
      <c r="P17" s="182"/>
      <c r="Q17" s="182"/>
      <c r="R17" s="182"/>
      <c r="S17" s="514" t="e">
        <f t="shared" si="4"/>
        <v>#N/A</v>
      </c>
      <c r="T17" s="674"/>
      <c r="U17" s="182"/>
      <c r="V17" s="182"/>
      <c r="W17" s="182"/>
      <c r="X17" s="514" t="e">
        <f t="shared" si="5"/>
        <v>#N/A</v>
      </c>
      <c r="Y17" s="674"/>
      <c r="Z17" s="182"/>
      <c r="AA17" s="182"/>
      <c r="AB17" s="182"/>
      <c r="AC17" s="514" t="e">
        <f t="shared" si="6"/>
        <v>#N/A</v>
      </c>
      <c r="AD17" s="674"/>
      <c r="AE17" s="182"/>
      <c r="AF17" s="182"/>
      <c r="AG17" s="182"/>
      <c r="AH17" s="514" t="e">
        <f t="shared" si="7"/>
        <v>#N/A</v>
      </c>
      <c r="AI17" s="674"/>
      <c r="AJ17" s="182"/>
      <c r="AK17" s="182"/>
      <c r="AL17" s="182"/>
      <c r="AM17" s="514" t="e">
        <f t="shared" si="8"/>
        <v>#N/A</v>
      </c>
      <c r="AN17" s="674"/>
      <c r="AO17" s="182">
        <v>18</v>
      </c>
      <c r="AP17" s="182">
        <v>1364.2105263157885</v>
      </c>
      <c r="AQ17" s="182">
        <v>75.789473684210463</v>
      </c>
      <c r="AR17" s="514">
        <f t="shared" si="9"/>
        <v>11</v>
      </c>
      <c r="AS17" s="674"/>
      <c r="AT17" s="182">
        <v>19</v>
      </c>
      <c r="AU17" s="182">
        <v>1335.4285714285702</v>
      </c>
      <c r="AV17" s="182">
        <v>70.285714285714221</v>
      </c>
      <c r="AW17" s="514">
        <f t="shared" si="10"/>
        <v>21</v>
      </c>
      <c r="AX17" s="674"/>
      <c r="AZ17" s="363" t="e">
        <f>RANK(AX17, $K$7:AX$36)</f>
        <v>#N/A</v>
      </c>
      <c r="BB17" s="360" t="e">
        <f t="shared" si="0"/>
        <v>#N/A</v>
      </c>
    </row>
    <row r="18" spans="2:54">
      <c r="B18" s="660"/>
      <c r="C18" s="514">
        <v>12</v>
      </c>
      <c r="D18" s="227" t="s">
        <v>355</v>
      </c>
      <c r="E18" s="182">
        <v>17</v>
      </c>
      <c r="F18" s="514">
        <v>1500</v>
      </c>
      <c r="G18" s="515">
        <v>88.2</v>
      </c>
      <c r="H18" s="702"/>
      <c r="I18" s="553">
        <f t="shared" si="1"/>
        <v>17</v>
      </c>
      <c r="J18" s="553">
        <f t="shared" si="2"/>
        <v>1289.6212121212109</v>
      </c>
      <c r="K18" s="200">
        <f t="shared" si="3"/>
        <v>75.8600713012477</v>
      </c>
      <c r="L18" s="634"/>
      <c r="M18" s="521">
        <f>RANK(K18, K$7:$K$36)</f>
        <v>9</v>
      </c>
      <c r="N18" s="652"/>
      <c r="O18" s="652"/>
      <c r="P18" s="182"/>
      <c r="Q18" s="182"/>
      <c r="R18" s="182"/>
      <c r="S18" s="514" t="e">
        <f t="shared" si="4"/>
        <v>#N/A</v>
      </c>
      <c r="T18" s="674"/>
      <c r="U18" s="182"/>
      <c r="V18" s="182"/>
      <c r="W18" s="182"/>
      <c r="X18" s="514" t="e">
        <f t="shared" si="5"/>
        <v>#N/A</v>
      </c>
      <c r="Y18" s="674"/>
      <c r="Z18" s="182"/>
      <c r="AA18" s="182"/>
      <c r="AB18" s="182"/>
      <c r="AC18" s="514" t="e">
        <f t="shared" si="6"/>
        <v>#N/A</v>
      </c>
      <c r="AD18" s="674"/>
      <c r="AE18" s="182"/>
      <c r="AF18" s="182"/>
      <c r="AG18" s="182"/>
      <c r="AH18" s="514" t="e">
        <f t="shared" si="7"/>
        <v>#N/A</v>
      </c>
      <c r="AI18" s="674"/>
      <c r="AJ18" s="182"/>
      <c r="AK18" s="182"/>
      <c r="AL18" s="182"/>
      <c r="AM18" s="514" t="e">
        <f t="shared" si="8"/>
        <v>#N/A</v>
      </c>
      <c r="AN18" s="674"/>
      <c r="AO18" s="182">
        <v>17</v>
      </c>
      <c r="AP18" s="182">
        <v>1308.3333333333323</v>
      </c>
      <c r="AQ18" s="182">
        <v>76.960784313725426</v>
      </c>
      <c r="AR18" s="514">
        <f t="shared" si="9"/>
        <v>7</v>
      </c>
      <c r="AS18" s="674"/>
      <c r="AT18" s="182">
        <v>17</v>
      </c>
      <c r="AU18" s="182">
        <v>1270.9090909090894</v>
      </c>
      <c r="AV18" s="182">
        <v>74.75935828876996</v>
      </c>
      <c r="AW18" s="514">
        <f t="shared" si="10"/>
        <v>11</v>
      </c>
      <c r="AX18" s="674"/>
      <c r="AZ18" s="363" t="e">
        <f>RANK(AX18, $K$7:AX$36)</f>
        <v>#N/A</v>
      </c>
      <c r="BB18" s="360" t="e">
        <f t="shared" si="0"/>
        <v>#N/A</v>
      </c>
    </row>
    <row r="19" spans="2:54">
      <c r="B19" s="660"/>
      <c r="C19" s="514">
        <v>13</v>
      </c>
      <c r="D19" s="227" t="s">
        <v>805</v>
      </c>
      <c r="E19" s="182">
        <v>18</v>
      </c>
      <c r="F19" s="514">
        <v>1440</v>
      </c>
      <c r="G19" s="515">
        <v>80</v>
      </c>
      <c r="H19" s="702"/>
      <c r="I19" s="553">
        <f t="shared" si="1"/>
        <v>18</v>
      </c>
      <c r="J19" s="553">
        <f t="shared" si="2"/>
        <v>1331.5590062111787</v>
      </c>
      <c r="K19" s="200">
        <f t="shared" si="3"/>
        <v>73.975500345065484</v>
      </c>
      <c r="L19" s="634"/>
      <c r="M19" s="521">
        <f>RANK(K19, K$7:$K$36)</f>
        <v>15</v>
      </c>
      <c r="N19" s="652"/>
      <c r="O19" s="652"/>
      <c r="P19" s="182"/>
      <c r="Q19" s="182"/>
      <c r="R19" s="182"/>
      <c r="S19" s="514" t="e">
        <f t="shared" si="4"/>
        <v>#N/A</v>
      </c>
      <c r="T19" s="674"/>
      <c r="U19" s="182"/>
      <c r="V19" s="182"/>
      <c r="W19" s="182"/>
      <c r="X19" s="514" t="e">
        <f t="shared" si="5"/>
        <v>#N/A</v>
      </c>
      <c r="Y19" s="674"/>
      <c r="Z19" s="182"/>
      <c r="AA19" s="182"/>
      <c r="AB19" s="182"/>
      <c r="AC19" s="514" t="e">
        <f t="shared" si="6"/>
        <v>#N/A</v>
      </c>
      <c r="AD19" s="674"/>
      <c r="AE19" s="182"/>
      <c r="AF19" s="182"/>
      <c r="AG19" s="182"/>
      <c r="AH19" s="514" t="e">
        <f t="shared" si="7"/>
        <v>#N/A</v>
      </c>
      <c r="AI19" s="674"/>
      <c r="AJ19" s="182"/>
      <c r="AK19" s="182"/>
      <c r="AL19" s="182"/>
      <c r="AM19" s="514" t="e">
        <f t="shared" si="8"/>
        <v>#N/A</v>
      </c>
      <c r="AN19" s="674"/>
      <c r="AO19" s="182">
        <v>18</v>
      </c>
      <c r="AP19" s="182">
        <v>1344.8571428571415</v>
      </c>
      <c r="AQ19" s="182">
        <v>74.714285714285637</v>
      </c>
      <c r="AR19" s="514">
        <f t="shared" si="9"/>
        <v>16</v>
      </c>
      <c r="AS19" s="674"/>
      <c r="AT19" s="182">
        <v>18</v>
      </c>
      <c r="AU19" s="182">
        <v>1318.2608695652159</v>
      </c>
      <c r="AV19" s="182">
        <v>73.236714975845331</v>
      </c>
      <c r="AW19" s="514">
        <f t="shared" si="10"/>
        <v>15</v>
      </c>
      <c r="AX19" s="674"/>
      <c r="AZ19" s="363" t="e">
        <f>RANK(AX19, $K$7:AX$36)</f>
        <v>#N/A</v>
      </c>
      <c r="BB19" s="360" t="e">
        <f t="shared" si="0"/>
        <v>#N/A</v>
      </c>
    </row>
    <row r="20" spans="2:54">
      <c r="B20" s="660"/>
      <c r="C20" s="514">
        <v>14</v>
      </c>
      <c r="D20" s="227" t="s">
        <v>381</v>
      </c>
      <c r="E20" s="182">
        <v>15</v>
      </c>
      <c r="F20" s="514">
        <v>1440</v>
      </c>
      <c r="G20" s="515">
        <v>96</v>
      </c>
      <c r="H20" s="702"/>
      <c r="I20" s="553">
        <f t="shared" si="1"/>
        <v>16</v>
      </c>
      <c r="J20" s="553">
        <f t="shared" si="2"/>
        <v>1252.372881355933</v>
      </c>
      <c r="K20" s="200">
        <f t="shared" si="3"/>
        <v>78.273305084745814</v>
      </c>
      <c r="L20" s="634"/>
      <c r="M20" s="521">
        <f>RANK(K20, K$7:$K$36)</f>
        <v>6</v>
      </c>
      <c r="N20" s="652"/>
      <c r="O20" s="652"/>
      <c r="P20" s="182"/>
      <c r="Q20" s="182"/>
      <c r="R20" s="182"/>
      <c r="S20" s="514" t="e">
        <f t="shared" si="4"/>
        <v>#N/A</v>
      </c>
      <c r="T20" s="674"/>
      <c r="U20" s="182"/>
      <c r="V20" s="182"/>
      <c r="W20" s="182"/>
      <c r="X20" s="514" t="e">
        <f t="shared" si="5"/>
        <v>#N/A</v>
      </c>
      <c r="Y20" s="674"/>
      <c r="Z20" s="182"/>
      <c r="AA20" s="182"/>
      <c r="AB20" s="182"/>
      <c r="AC20" s="514" t="e">
        <f t="shared" si="6"/>
        <v>#N/A</v>
      </c>
      <c r="AD20" s="674"/>
      <c r="AE20" s="182"/>
      <c r="AF20" s="182"/>
      <c r="AG20" s="182"/>
      <c r="AH20" s="514" t="e">
        <f t="shared" si="7"/>
        <v>#N/A</v>
      </c>
      <c r="AI20" s="674"/>
      <c r="AJ20" s="182"/>
      <c r="AK20" s="182"/>
      <c r="AL20" s="182"/>
      <c r="AM20" s="514" t="e">
        <f t="shared" si="8"/>
        <v>#N/A</v>
      </c>
      <c r="AN20" s="674"/>
      <c r="AO20" s="182">
        <v>16</v>
      </c>
      <c r="AP20" s="182">
        <v>1244.7457627118654</v>
      </c>
      <c r="AQ20" s="182">
        <v>77.796610169491586</v>
      </c>
      <c r="AR20" s="514">
        <f t="shared" si="9"/>
        <v>5</v>
      </c>
      <c r="AS20" s="674"/>
      <c r="AT20" s="182">
        <v>16</v>
      </c>
      <c r="AU20" s="182">
        <v>1260.0000000000007</v>
      </c>
      <c r="AV20" s="182">
        <v>78.750000000000043</v>
      </c>
      <c r="AW20" s="514">
        <f t="shared" si="10"/>
        <v>5</v>
      </c>
      <c r="AX20" s="674"/>
      <c r="AZ20" s="363" t="e">
        <f>RANK(AX20, $K$7:AX$36)</f>
        <v>#N/A</v>
      </c>
      <c r="BB20" s="360" t="e">
        <f t="shared" si="0"/>
        <v>#N/A</v>
      </c>
    </row>
    <row r="21" spans="2:54">
      <c r="B21" s="660"/>
      <c r="C21" s="514">
        <v>15</v>
      </c>
      <c r="D21" s="227" t="s">
        <v>347</v>
      </c>
      <c r="E21" s="182">
        <v>17</v>
      </c>
      <c r="F21" s="514">
        <v>1440</v>
      </c>
      <c r="G21" s="515">
        <v>84.7</v>
      </c>
      <c r="H21" s="702"/>
      <c r="I21" s="553">
        <f t="shared" si="1"/>
        <v>17</v>
      </c>
      <c r="J21" s="553">
        <f t="shared" si="2"/>
        <v>1335.1596424010213</v>
      </c>
      <c r="K21" s="200">
        <f t="shared" si="3"/>
        <v>78.53880249417773</v>
      </c>
      <c r="L21" s="634"/>
      <c r="M21" s="521">
        <f>RANK(K21, K$7:$K$36)</f>
        <v>5</v>
      </c>
      <c r="N21" s="652"/>
      <c r="O21" s="652"/>
      <c r="P21" s="182"/>
      <c r="Q21" s="182"/>
      <c r="R21" s="182"/>
      <c r="S21" s="514" t="e">
        <f t="shared" si="4"/>
        <v>#N/A</v>
      </c>
      <c r="T21" s="674"/>
      <c r="U21" s="182"/>
      <c r="V21" s="182"/>
      <c r="W21" s="182"/>
      <c r="X21" s="514" t="e">
        <f t="shared" si="5"/>
        <v>#N/A</v>
      </c>
      <c r="Y21" s="674"/>
      <c r="Z21" s="182"/>
      <c r="AA21" s="182"/>
      <c r="AB21" s="182"/>
      <c r="AC21" s="514" t="e">
        <f t="shared" si="6"/>
        <v>#N/A</v>
      </c>
      <c r="AD21" s="674"/>
      <c r="AE21" s="182"/>
      <c r="AF21" s="182"/>
      <c r="AG21" s="182"/>
      <c r="AH21" s="514" t="e">
        <f t="shared" si="7"/>
        <v>#N/A</v>
      </c>
      <c r="AI21" s="674"/>
      <c r="AJ21" s="182"/>
      <c r="AK21" s="182"/>
      <c r="AL21" s="182"/>
      <c r="AM21" s="514" t="e">
        <f t="shared" si="8"/>
        <v>#N/A</v>
      </c>
      <c r="AN21" s="674"/>
      <c r="AO21" s="182">
        <v>17</v>
      </c>
      <c r="AP21" s="182">
        <v>1320.6896551724137</v>
      </c>
      <c r="AQ21" s="182">
        <v>77.687626774847871</v>
      </c>
      <c r="AR21" s="514">
        <f t="shared" si="9"/>
        <v>6</v>
      </c>
      <c r="AS21" s="674"/>
      <c r="AT21" s="182">
        <v>17</v>
      </c>
      <c r="AU21" s="182">
        <v>1349.6296296296291</v>
      </c>
      <c r="AV21" s="182">
        <v>79.38997821350759</v>
      </c>
      <c r="AW21" s="514">
        <f t="shared" si="10"/>
        <v>4</v>
      </c>
      <c r="AX21" s="674"/>
      <c r="AZ21" s="362" t="e">
        <f>RANK(AX21, $K$7:AX$36)</f>
        <v>#N/A</v>
      </c>
      <c r="BB21" s="360" t="e">
        <f t="shared" si="0"/>
        <v>#N/A</v>
      </c>
    </row>
    <row r="22" spans="2:54">
      <c r="B22" s="660"/>
      <c r="C22" s="514">
        <v>16</v>
      </c>
      <c r="D22" s="227" t="s">
        <v>376</v>
      </c>
      <c r="E22" s="182">
        <v>19</v>
      </c>
      <c r="F22" s="514">
        <v>1440</v>
      </c>
      <c r="G22" s="515">
        <v>75.8</v>
      </c>
      <c r="H22" s="702"/>
      <c r="I22" s="553">
        <f t="shared" si="1"/>
        <v>18</v>
      </c>
      <c r="J22" s="553">
        <f t="shared" si="2"/>
        <v>1291.0714285714275</v>
      </c>
      <c r="K22" s="200">
        <f t="shared" si="3"/>
        <v>71.726190476190425</v>
      </c>
      <c r="L22" s="634"/>
      <c r="M22" s="521">
        <f>RANK(K22, K$7:$K$36)</f>
        <v>18</v>
      </c>
      <c r="N22" s="652"/>
      <c r="O22" s="652"/>
      <c r="P22" s="182"/>
      <c r="Q22" s="182"/>
      <c r="R22" s="182"/>
      <c r="S22" s="514" t="e">
        <f t="shared" si="4"/>
        <v>#N/A</v>
      </c>
      <c r="T22" s="674"/>
      <c r="U22" s="182"/>
      <c r="V22" s="182"/>
      <c r="W22" s="182"/>
      <c r="X22" s="514" t="e">
        <f t="shared" si="5"/>
        <v>#N/A</v>
      </c>
      <c r="Y22" s="674"/>
      <c r="Z22" s="182"/>
      <c r="AA22" s="182"/>
      <c r="AB22" s="182"/>
      <c r="AC22" s="514" t="e">
        <f t="shared" si="6"/>
        <v>#N/A</v>
      </c>
      <c r="AD22" s="674"/>
      <c r="AE22" s="182"/>
      <c r="AF22" s="182"/>
      <c r="AG22" s="182"/>
      <c r="AH22" s="514" t="e">
        <f t="shared" si="7"/>
        <v>#N/A</v>
      </c>
      <c r="AI22" s="674"/>
      <c r="AJ22" s="182"/>
      <c r="AK22" s="182"/>
      <c r="AL22" s="182"/>
      <c r="AM22" s="514" t="e">
        <f t="shared" si="8"/>
        <v>#N/A</v>
      </c>
      <c r="AN22" s="674"/>
      <c r="AO22" s="182">
        <v>18</v>
      </c>
      <c r="AP22" s="182">
        <v>1277.1428571428544</v>
      </c>
      <c r="AQ22" s="182">
        <v>70.952380952380793</v>
      </c>
      <c r="AR22" s="514">
        <f t="shared" si="9"/>
        <v>19</v>
      </c>
      <c r="AS22" s="674"/>
      <c r="AT22" s="182">
        <v>18</v>
      </c>
      <c r="AU22" s="182">
        <v>1305.0000000000007</v>
      </c>
      <c r="AV22" s="182">
        <v>72.500000000000043</v>
      </c>
      <c r="AW22" s="514">
        <f t="shared" si="10"/>
        <v>16</v>
      </c>
      <c r="AX22" s="674"/>
      <c r="AZ22" s="362" t="e">
        <f>RANK(AX22, $K$7:AX$36)</f>
        <v>#N/A</v>
      </c>
      <c r="BB22" s="360" t="e">
        <f t="shared" si="0"/>
        <v>#N/A</v>
      </c>
    </row>
    <row r="23" spans="2:54">
      <c r="B23" s="660"/>
      <c r="C23" s="514">
        <v>17</v>
      </c>
      <c r="D23" s="227" t="s">
        <v>382</v>
      </c>
      <c r="E23" s="182">
        <v>19</v>
      </c>
      <c r="F23" s="514">
        <v>1500</v>
      </c>
      <c r="G23" s="515">
        <v>78.900000000000006</v>
      </c>
      <c r="H23" s="702"/>
      <c r="I23" s="553">
        <f t="shared" si="1"/>
        <v>18</v>
      </c>
      <c r="J23" s="553">
        <f t="shared" si="2"/>
        <v>1283.842105263157</v>
      </c>
      <c r="K23" s="200">
        <f t="shared" si="3"/>
        <v>71.324561403508724</v>
      </c>
      <c r="L23" s="634"/>
      <c r="M23" s="521">
        <f>RANK(K23, K$7:$K$36)</f>
        <v>19</v>
      </c>
      <c r="N23" s="652"/>
      <c r="O23" s="652"/>
      <c r="P23" s="182"/>
      <c r="Q23" s="182"/>
      <c r="R23" s="182"/>
      <c r="S23" s="514" t="e">
        <f t="shared" si="4"/>
        <v>#N/A</v>
      </c>
      <c r="T23" s="674"/>
      <c r="U23" s="182"/>
      <c r="V23" s="182"/>
      <c r="W23" s="182"/>
      <c r="X23" s="514" t="e">
        <f t="shared" si="5"/>
        <v>#N/A</v>
      </c>
      <c r="Y23" s="674"/>
      <c r="Z23" s="182"/>
      <c r="AA23" s="182"/>
      <c r="AB23" s="182"/>
      <c r="AC23" s="514" t="e">
        <f t="shared" si="6"/>
        <v>#N/A</v>
      </c>
      <c r="AD23" s="674"/>
      <c r="AE23" s="182"/>
      <c r="AF23" s="182"/>
      <c r="AG23" s="182"/>
      <c r="AH23" s="514" t="e">
        <f t="shared" si="7"/>
        <v>#N/A</v>
      </c>
      <c r="AI23" s="674"/>
      <c r="AJ23" s="182"/>
      <c r="AK23" s="182"/>
      <c r="AL23" s="182"/>
      <c r="AM23" s="514" t="e">
        <f t="shared" si="8"/>
        <v>#N/A</v>
      </c>
      <c r="AN23" s="674"/>
      <c r="AO23" s="182">
        <v>18</v>
      </c>
      <c r="AP23" s="182">
        <v>1313.9999999999995</v>
      </c>
      <c r="AQ23" s="182">
        <v>72.999999999999972</v>
      </c>
      <c r="AR23" s="514">
        <f t="shared" si="9"/>
        <v>18</v>
      </c>
      <c r="AS23" s="674"/>
      <c r="AT23" s="182">
        <v>18</v>
      </c>
      <c r="AU23" s="182">
        <v>1253.6842105263147</v>
      </c>
      <c r="AV23" s="182">
        <v>69.649122807017477</v>
      </c>
      <c r="AW23" s="514">
        <f t="shared" si="10"/>
        <v>22</v>
      </c>
      <c r="AX23" s="674"/>
      <c r="AZ23" s="362" t="e">
        <f>RANK(AX23, $K$7:AX$36)</f>
        <v>#N/A</v>
      </c>
      <c r="BB23" s="360" t="e">
        <f t="shared" si="0"/>
        <v>#N/A</v>
      </c>
    </row>
    <row r="24" spans="2:54">
      <c r="B24" s="660"/>
      <c r="C24" s="514">
        <v>18</v>
      </c>
      <c r="D24" s="227" t="s">
        <v>530</v>
      </c>
      <c r="E24" s="182">
        <v>18</v>
      </c>
      <c r="F24" s="514">
        <v>1440</v>
      </c>
      <c r="G24" s="515">
        <v>80</v>
      </c>
      <c r="H24" s="702"/>
      <c r="I24" s="553">
        <f t="shared" si="1"/>
        <v>18</v>
      </c>
      <c r="J24" s="553">
        <f t="shared" si="2"/>
        <v>1091.2499999999964</v>
      </c>
      <c r="K24" s="200">
        <f t="shared" si="3"/>
        <v>60.624999999999801</v>
      </c>
      <c r="L24" s="634"/>
      <c r="M24" s="521">
        <f>RANK(K24, K$7:$K$36)</f>
        <v>26</v>
      </c>
      <c r="N24" s="652"/>
      <c r="O24" s="652"/>
      <c r="P24" s="182"/>
      <c r="Q24" s="182"/>
      <c r="R24" s="182"/>
      <c r="S24" s="514" t="e">
        <f t="shared" si="4"/>
        <v>#N/A</v>
      </c>
      <c r="T24" s="674"/>
      <c r="U24" s="182"/>
      <c r="V24" s="182"/>
      <c r="W24" s="182"/>
      <c r="X24" s="514" t="e">
        <f t="shared" si="5"/>
        <v>#N/A</v>
      </c>
      <c r="Y24" s="674"/>
      <c r="Z24" s="182"/>
      <c r="AA24" s="182"/>
      <c r="AB24" s="182"/>
      <c r="AC24" s="514" t="e">
        <f t="shared" si="6"/>
        <v>#N/A</v>
      </c>
      <c r="AD24" s="674"/>
      <c r="AE24" s="182"/>
      <c r="AF24" s="182"/>
      <c r="AG24" s="182"/>
      <c r="AH24" s="514" t="e">
        <f t="shared" si="7"/>
        <v>#N/A</v>
      </c>
      <c r="AI24" s="674"/>
      <c r="AJ24" s="182"/>
      <c r="AK24" s="182"/>
      <c r="AL24" s="182"/>
      <c r="AM24" s="514" t="e">
        <f t="shared" si="8"/>
        <v>#N/A</v>
      </c>
      <c r="AN24" s="674"/>
      <c r="AO24" s="182">
        <v>18</v>
      </c>
      <c r="AP24" s="182">
        <v>1102.4999999999966</v>
      </c>
      <c r="AQ24" s="182">
        <v>61.249999999999808</v>
      </c>
      <c r="AR24" s="514">
        <f t="shared" si="9"/>
        <v>26</v>
      </c>
      <c r="AS24" s="674"/>
      <c r="AT24" s="182">
        <v>18</v>
      </c>
      <c r="AU24" s="182">
        <v>1079.9999999999964</v>
      </c>
      <c r="AV24" s="182">
        <v>59.999999999999801</v>
      </c>
      <c r="AW24" s="514">
        <f t="shared" si="10"/>
        <v>27</v>
      </c>
      <c r="AX24" s="674"/>
      <c r="AZ24" s="362" t="e">
        <f>RANK(AX24, $K$7:AX$36)</f>
        <v>#N/A</v>
      </c>
      <c r="BB24" s="360" t="e">
        <f t="shared" si="0"/>
        <v>#N/A</v>
      </c>
    </row>
    <row r="25" spans="2:54">
      <c r="B25" s="660"/>
      <c r="C25" s="514">
        <v>19</v>
      </c>
      <c r="D25" s="227" t="s">
        <v>716</v>
      </c>
      <c r="E25" s="182">
        <v>17</v>
      </c>
      <c r="F25" s="514">
        <v>1385</v>
      </c>
      <c r="G25" s="515">
        <v>81.400000000000006</v>
      </c>
      <c r="H25" s="702"/>
      <c r="I25" s="553">
        <f t="shared" si="1"/>
        <v>17</v>
      </c>
      <c r="J25" s="553">
        <f t="shared" si="2"/>
        <v>1176.3087843833187</v>
      </c>
      <c r="K25" s="200">
        <f t="shared" si="3"/>
        <v>69.194634375489329</v>
      </c>
      <c r="L25" s="634"/>
      <c r="M25" s="521">
        <f>RANK(K25, K$7:$K$36)</f>
        <v>23</v>
      </c>
      <c r="N25" s="652"/>
      <c r="O25" s="652"/>
      <c r="P25" s="182"/>
      <c r="Q25" s="182"/>
      <c r="R25" s="182"/>
      <c r="S25" s="514" t="e">
        <f t="shared" si="4"/>
        <v>#N/A</v>
      </c>
      <c r="T25" s="674"/>
      <c r="U25" s="182"/>
      <c r="V25" s="182"/>
      <c r="W25" s="182"/>
      <c r="X25" s="514" t="e">
        <f t="shared" si="5"/>
        <v>#N/A</v>
      </c>
      <c r="Y25" s="674"/>
      <c r="Z25" s="182"/>
      <c r="AA25" s="182"/>
      <c r="AB25" s="182"/>
      <c r="AC25" s="514" t="e">
        <f t="shared" si="6"/>
        <v>#N/A</v>
      </c>
      <c r="AD25" s="674"/>
      <c r="AE25" s="182"/>
      <c r="AF25" s="182"/>
      <c r="AG25" s="182"/>
      <c r="AH25" s="514" t="e">
        <f t="shared" si="7"/>
        <v>#N/A</v>
      </c>
      <c r="AI25" s="674"/>
      <c r="AJ25" s="182"/>
      <c r="AK25" s="182"/>
      <c r="AL25" s="182"/>
      <c r="AM25" s="514" t="e">
        <f t="shared" si="8"/>
        <v>#N/A</v>
      </c>
      <c r="AN25" s="674"/>
      <c r="AO25" s="182">
        <v>17</v>
      </c>
      <c r="AP25" s="182">
        <v>1186.5306122448983</v>
      </c>
      <c r="AQ25" s="182">
        <v>69.795918367346957</v>
      </c>
      <c r="AR25" s="514">
        <f t="shared" si="9"/>
        <v>21</v>
      </c>
      <c r="AS25" s="674"/>
      <c r="AT25" s="182">
        <v>17</v>
      </c>
      <c r="AU25" s="182">
        <v>1166.0869565217392</v>
      </c>
      <c r="AV25" s="182">
        <v>68.593350383631716</v>
      </c>
      <c r="AW25" s="514">
        <f t="shared" si="10"/>
        <v>23</v>
      </c>
      <c r="AX25" s="674"/>
      <c r="AZ25" s="362" t="e">
        <f>RANK(AX25, $K$7:AX$36)</f>
        <v>#N/A</v>
      </c>
      <c r="BB25" s="360" t="e">
        <f t="shared" si="0"/>
        <v>#N/A</v>
      </c>
    </row>
    <row r="26" spans="2:54">
      <c r="B26" s="660"/>
      <c r="C26" s="514">
        <v>20</v>
      </c>
      <c r="D26" s="227" t="s">
        <v>780</v>
      </c>
      <c r="E26" s="182">
        <v>17</v>
      </c>
      <c r="F26" s="514">
        <v>1440</v>
      </c>
      <c r="G26" s="515">
        <v>84.7</v>
      </c>
      <c r="H26" s="702"/>
      <c r="I26" s="553">
        <f t="shared" si="1"/>
        <v>17</v>
      </c>
      <c r="J26" s="553">
        <f t="shared" si="2"/>
        <v>1291.1038961038957</v>
      </c>
      <c r="K26" s="200">
        <f t="shared" si="3"/>
        <v>75.947288006111521</v>
      </c>
      <c r="L26" s="634"/>
      <c r="M26" s="521">
        <f>RANK(K26, K$7:$K$36)</f>
        <v>8</v>
      </c>
      <c r="N26" s="652"/>
      <c r="O26" s="652"/>
      <c r="P26" s="182"/>
      <c r="Q26" s="182"/>
      <c r="R26" s="182"/>
      <c r="S26" s="514" t="e">
        <f t="shared" si="4"/>
        <v>#N/A</v>
      </c>
      <c r="T26" s="674"/>
      <c r="U26" s="182"/>
      <c r="V26" s="182"/>
      <c r="W26" s="182"/>
      <c r="X26" s="514" t="e">
        <f t="shared" si="5"/>
        <v>#N/A</v>
      </c>
      <c r="Y26" s="674"/>
      <c r="Z26" s="182"/>
      <c r="AA26" s="182"/>
      <c r="AB26" s="182"/>
      <c r="AC26" s="514" t="e">
        <f t="shared" si="6"/>
        <v>#N/A</v>
      </c>
      <c r="AD26" s="674"/>
      <c r="AE26" s="182"/>
      <c r="AF26" s="182"/>
      <c r="AG26" s="182"/>
      <c r="AH26" s="514" t="e">
        <f t="shared" si="7"/>
        <v>#N/A</v>
      </c>
      <c r="AI26" s="674"/>
      <c r="AJ26" s="182"/>
      <c r="AK26" s="182"/>
      <c r="AL26" s="182"/>
      <c r="AM26" s="514" t="e">
        <f t="shared" si="8"/>
        <v>#N/A</v>
      </c>
      <c r="AN26" s="674"/>
      <c r="AO26" s="182">
        <v>17</v>
      </c>
      <c r="AP26" s="182">
        <v>1273.6363636363635</v>
      </c>
      <c r="AQ26" s="182">
        <v>74.919786096256672</v>
      </c>
      <c r="AR26" s="514">
        <f t="shared" si="9"/>
        <v>15</v>
      </c>
      <c r="AS26" s="674"/>
      <c r="AT26" s="182">
        <v>17</v>
      </c>
      <c r="AU26" s="182">
        <v>1308.5714285714282</v>
      </c>
      <c r="AV26" s="182">
        <v>76.974789915966369</v>
      </c>
      <c r="AW26" s="514">
        <f t="shared" si="10"/>
        <v>8</v>
      </c>
      <c r="AX26" s="674"/>
      <c r="AZ26" s="362" t="e">
        <f>RANK(AX26, $K$7:AX$36)</f>
        <v>#N/A</v>
      </c>
      <c r="BB26" s="360" t="e">
        <f t="shared" si="0"/>
        <v>#N/A</v>
      </c>
    </row>
    <row r="27" spans="2:54">
      <c r="B27" s="660"/>
      <c r="C27" s="514">
        <v>21</v>
      </c>
      <c r="D27" s="227" t="s">
        <v>806</v>
      </c>
      <c r="E27" s="182">
        <v>17</v>
      </c>
      <c r="F27" s="514">
        <v>1500</v>
      </c>
      <c r="G27" s="515">
        <v>88.2</v>
      </c>
      <c r="H27" s="702"/>
      <c r="I27" s="553">
        <f t="shared" si="1"/>
        <v>18</v>
      </c>
      <c r="J27" s="553">
        <f t="shared" si="2"/>
        <v>1272.8571428571418</v>
      </c>
      <c r="K27" s="200">
        <f t="shared" si="3"/>
        <v>70.714285714285651</v>
      </c>
      <c r="L27" s="634"/>
      <c r="M27" s="521">
        <f>RANK(K27, K$7:$K$36)</f>
        <v>21</v>
      </c>
      <c r="N27" s="652"/>
      <c r="O27" s="652"/>
      <c r="P27" s="182"/>
      <c r="Q27" s="182"/>
      <c r="R27" s="182"/>
      <c r="S27" s="514" t="e">
        <f t="shared" si="4"/>
        <v>#N/A</v>
      </c>
      <c r="T27" s="674"/>
      <c r="U27" s="182"/>
      <c r="V27" s="182"/>
      <c r="W27" s="182"/>
      <c r="X27" s="514" t="e">
        <f t="shared" si="5"/>
        <v>#N/A</v>
      </c>
      <c r="Y27" s="674"/>
      <c r="Z27" s="182"/>
      <c r="AA27" s="182"/>
      <c r="AB27" s="182"/>
      <c r="AC27" s="514" t="e">
        <f t="shared" si="6"/>
        <v>#N/A</v>
      </c>
      <c r="AD27" s="674"/>
      <c r="AE27" s="182"/>
      <c r="AF27" s="182"/>
      <c r="AG27" s="182"/>
      <c r="AH27" s="514" t="e">
        <f t="shared" si="7"/>
        <v>#N/A</v>
      </c>
      <c r="AI27" s="674"/>
      <c r="AJ27" s="182"/>
      <c r="AK27" s="182"/>
      <c r="AL27" s="182"/>
      <c r="AM27" s="514" t="e">
        <f t="shared" si="8"/>
        <v>#N/A</v>
      </c>
      <c r="AN27" s="674"/>
      <c r="AO27" s="182">
        <v>18</v>
      </c>
      <c r="AP27" s="182">
        <v>1259.9999999999989</v>
      </c>
      <c r="AQ27" s="182">
        <v>69.999999999999943</v>
      </c>
      <c r="AR27" s="514">
        <f t="shared" si="9"/>
        <v>20</v>
      </c>
      <c r="AS27" s="674"/>
      <c r="AT27" s="182">
        <v>18</v>
      </c>
      <c r="AU27" s="182">
        <v>1285.7142857142844</v>
      </c>
      <c r="AV27" s="182">
        <v>71.42857142857136</v>
      </c>
      <c r="AW27" s="514">
        <f t="shared" si="10"/>
        <v>18</v>
      </c>
      <c r="AX27" s="674"/>
      <c r="AZ27" s="362" t="e">
        <f>RANK(AX27, $K$7:AX$36)</f>
        <v>#N/A</v>
      </c>
      <c r="BB27" s="360" t="e">
        <f t="shared" si="0"/>
        <v>#N/A</v>
      </c>
    </row>
    <row r="28" spans="2:54">
      <c r="B28" s="660"/>
      <c r="C28" s="514">
        <v>22</v>
      </c>
      <c r="D28" s="227" t="s">
        <v>811</v>
      </c>
      <c r="E28" s="182">
        <v>18</v>
      </c>
      <c r="F28" s="514">
        <v>1500</v>
      </c>
      <c r="G28" s="515">
        <v>83.3</v>
      </c>
      <c r="H28" s="702"/>
      <c r="I28" s="553">
        <f t="shared" si="1"/>
        <v>18</v>
      </c>
      <c r="J28" s="553">
        <f t="shared" si="2"/>
        <v>1192.1411483253582</v>
      </c>
      <c r="K28" s="200">
        <f t="shared" si="3"/>
        <v>66.230063795853241</v>
      </c>
      <c r="L28" s="634"/>
      <c r="M28" s="521">
        <f>RANK(K28, K$7:$K$36)</f>
        <v>24</v>
      </c>
      <c r="N28" s="652"/>
      <c r="O28" s="652"/>
      <c r="P28" s="182"/>
      <c r="Q28" s="182"/>
      <c r="R28" s="182"/>
      <c r="S28" s="514" t="e">
        <f t="shared" si="4"/>
        <v>#N/A</v>
      </c>
      <c r="T28" s="674"/>
      <c r="U28" s="182"/>
      <c r="V28" s="182"/>
      <c r="W28" s="182"/>
      <c r="X28" s="514" t="e">
        <f t="shared" si="5"/>
        <v>#N/A</v>
      </c>
      <c r="Y28" s="674"/>
      <c r="Z28" s="182"/>
      <c r="AA28" s="182"/>
      <c r="AB28" s="182"/>
      <c r="AC28" s="514" t="e">
        <f t="shared" si="6"/>
        <v>#N/A</v>
      </c>
      <c r="AD28" s="674"/>
      <c r="AE28" s="182"/>
      <c r="AF28" s="182"/>
      <c r="AG28" s="182"/>
      <c r="AH28" s="514" t="e">
        <f t="shared" si="7"/>
        <v>#N/A</v>
      </c>
      <c r="AI28" s="674"/>
      <c r="AJ28" s="182"/>
      <c r="AK28" s="182"/>
      <c r="AL28" s="182"/>
      <c r="AM28" s="514" t="e">
        <f t="shared" si="8"/>
        <v>#N/A</v>
      </c>
      <c r="AN28" s="674"/>
      <c r="AO28" s="182">
        <v>18</v>
      </c>
      <c r="AP28" s="182">
        <v>1174.7368421052622</v>
      </c>
      <c r="AQ28" s="182">
        <v>65.263157894736793</v>
      </c>
      <c r="AR28" s="514">
        <f t="shared" si="9"/>
        <v>25</v>
      </c>
      <c r="AS28" s="674"/>
      <c r="AT28" s="182">
        <v>18</v>
      </c>
      <c r="AU28" s="182">
        <v>1209.5454545454545</v>
      </c>
      <c r="AV28" s="182">
        <v>67.196969696969688</v>
      </c>
      <c r="AW28" s="514">
        <f t="shared" si="10"/>
        <v>24</v>
      </c>
      <c r="AX28" s="674"/>
      <c r="AZ28" s="362" t="e">
        <f>RANK(AX28, $K$7:AX$36)</f>
        <v>#N/A</v>
      </c>
      <c r="BB28" s="360" t="e">
        <f t="shared" si="0"/>
        <v>#N/A</v>
      </c>
    </row>
    <row r="29" spans="2:54">
      <c r="B29" s="660"/>
      <c r="C29" s="514">
        <v>23</v>
      </c>
      <c r="D29" s="227" t="s">
        <v>812</v>
      </c>
      <c r="E29" s="182">
        <v>20</v>
      </c>
      <c r="F29" s="514">
        <v>1380</v>
      </c>
      <c r="G29" s="515">
        <v>69</v>
      </c>
      <c r="H29" s="702"/>
      <c r="I29" s="553">
        <f t="shared" si="1"/>
        <v>20</v>
      </c>
      <c r="J29" s="553">
        <f t="shared" si="2"/>
        <v>1137.0567465321574</v>
      </c>
      <c r="K29" s="200">
        <f t="shared" si="3"/>
        <v>56.852837326607876</v>
      </c>
      <c r="L29" s="634"/>
      <c r="M29" s="521">
        <f>RANK(K29, K$7:$K$36)</f>
        <v>30</v>
      </c>
      <c r="N29" s="652"/>
      <c r="O29" s="652"/>
      <c r="P29" s="182"/>
      <c r="Q29" s="182"/>
      <c r="R29" s="182"/>
      <c r="S29" s="514" t="e">
        <f t="shared" si="4"/>
        <v>#N/A</v>
      </c>
      <c r="T29" s="674"/>
      <c r="U29" s="182"/>
      <c r="V29" s="182"/>
      <c r="W29" s="182"/>
      <c r="X29" s="514" t="e">
        <f t="shared" si="5"/>
        <v>#N/A</v>
      </c>
      <c r="Y29" s="674"/>
      <c r="Z29" s="182"/>
      <c r="AA29" s="182"/>
      <c r="AB29" s="182"/>
      <c r="AC29" s="514" t="e">
        <f t="shared" si="6"/>
        <v>#N/A</v>
      </c>
      <c r="AD29" s="674"/>
      <c r="AE29" s="182"/>
      <c r="AF29" s="182"/>
      <c r="AG29" s="182"/>
      <c r="AH29" s="514" t="e">
        <f t="shared" si="7"/>
        <v>#N/A</v>
      </c>
      <c r="AI29" s="674"/>
      <c r="AJ29" s="182"/>
      <c r="AK29" s="182"/>
      <c r="AL29" s="182"/>
      <c r="AM29" s="514" t="e">
        <f t="shared" si="8"/>
        <v>#N/A</v>
      </c>
      <c r="AN29" s="674"/>
      <c r="AO29" s="182">
        <v>20</v>
      </c>
      <c r="AP29" s="182">
        <v>1154.7692307692321</v>
      </c>
      <c r="AQ29" s="182">
        <v>57.738461538461607</v>
      </c>
      <c r="AR29" s="514">
        <f t="shared" si="9"/>
        <v>29</v>
      </c>
      <c r="AS29" s="674"/>
      <c r="AT29" s="182">
        <v>20</v>
      </c>
      <c r="AU29" s="182">
        <v>1119.3442622950829</v>
      </c>
      <c r="AV29" s="182">
        <v>55.967213114754145</v>
      </c>
      <c r="AW29" s="514">
        <f t="shared" si="10"/>
        <v>30</v>
      </c>
      <c r="AX29" s="674"/>
      <c r="AZ29" s="362" t="e">
        <f>RANK(AX29, $K$7:AX$36)</f>
        <v>#N/A</v>
      </c>
      <c r="BB29" s="360" t="e">
        <f t="shared" si="0"/>
        <v>#N/A</v>
      </c>
    </row>
    <row r="30" spans="2:54">
      <c r="B30" s="660"/>
      <c r="C30" s="514">
        <v>24</v>
      </c>
      <c r="D30" s="227" t="s">
        <v>822</v>
      </c>
      <c r="E30" s="182">
        <v>16</v>
      </c>
      <c r="F30" s="514">
        <v>1565</v>
      </c>
      <c r="G30" s="515">
        <v>97.8</v>
      </c>
      <c r="H30" s="702"/>
      <c r="I30" s="553">
        <f t="shared" si="1"/>
        <v>17</v>
      </c>
      <c r="J30" s="553">
        <f t="shared" si="2"/>
        <v>1282.6206471494615</v>
      </c>
      <c r="K30" s="200">
        <f t="shared" si="3"/>
        <v>75.448273361733044</v>
      </c>
      <c r="L30" s="634"/>
      <c r="M30" s="521">
        <f>RANK(K30, K$7:$K$36)</f>
        <v>10</v>
      </c>
      <c r="N30" s="652"/>
      <c r="O30" s="652"/>
      <c r="P30" s="514"/>
      <c r="Q30" s="515"/>
      <c r="R30" s="515"/>
      <c r="S30" s="514" t="e">
        <f t="shared" si="4"/>
        <v>#N/A</v>
      </c>
      <c r="T30" s="674"/>
      <c r="U30" s="514"/>
      <c r="V30" s="515"/>
      <c r="W30" s="515"/>
      <c r="X30" s="514" t="e">
        <f t="shared" si="5"/>
        <v>#N/A</v>
      </c>
      <c r="Y30" s="674"/>
      <c r="Z30" s="514"/>
      <c r="AA30" s="515"/>
      <c r="AB30" s="515"/>
      <c r="AC30" s="514" t="e">
        <f t="shared" si="6"/>
        <v>#N/A</v>
      </c>
      <c r="AD30" s="674"/>
      <c r="AE30" s="514"/>
      <c r="AF30" s="515"/>
      <c r="AG30" s="515"/>
      <c r="AH30" s="514" t="e">
        <f t="shared" si="7"/>
        <v>#N/A</v>
      </c>
      <c r="AI30" s="674"/>
      <c r="AJ30" s="514"/>
      <c r="AK30" s="515"/>
      <c r="AL30" s="515"/>
      <c r="AM30" s="514" t="e">
        <f t="shared" si="8"/>
        <v>#N/A</v>
      </c>
      <c r="AN30" s="674"/>
      <c r="AO30" s="182">
        <v>17</v>
      </c>
      <c r="AP30" s="182">
        <v>1291.9322033898316</v>
      </c>
      <c r="AQ30" s="182">
        <v>75.996011964107737</v>
      </c>
      <c r="AR30" s="514">
        <f t="shared" si="9"/>
        <v>10</v>
      </c>
      <c r="AS30" s="674"/>
      <c r="AT30" s="182">
        <v>17</v>
      </c>
      <c r="AU30" s="182">
        <v>1273.3090909090918</v>
      </c>
      <c r="AV30" s="182">
        <v>74.900534759358337</v>
      </c>
      <c r="AW30" s="514">
        <f t="shared" si="10"/>
        <v>10</v>
      </c>
      <c r="AX30" s="674"/>
      <c r="AZ30" s="362" t="e">
        <f>RANK(AX30, $K$7:AX$36)</f>
        <v>#N/A</v>
      </c>
      <c r="BB30" s="360" t="e">
        <f t="shared" si="0"/>
        <v>#N/A</v>
      </c>
    </row>
    <row r="31" spans="2:54">
      <c r="B31" s="660"/>
      <c r="C31" s="514">
        <v>25</v>
      </c>
      <c r="D31" s="227" t="s">
        <v>834</v>
      </c>
      <c r="E31" s="182">
        <v>19</v>
      </c>
      <c r="F31" s="514">
        <v>1385</v>
      </c>
      <c r="G31" s="515">
        <v>72.900000000000006</v>
      </c>
      <c r="H31" s="702"/>
      <c r="I31" s="553">
        <f t="shared" si="1"/>
        <v>19</v>
      </c>
      <c r="J31" s="553">
        <f t="shared" si="2"/>
        <v>1116.1059268600263</v>
      </c>
      <c r="K31" s="200">
        <f t="shared" si="3"/>
        <v>58.742417203159278</v>
      </c>
      <c r="L31" s="634"/>
      <c r="M31" s="521">
        <f>RANK(K31, K$7:$K$36)</f>
        <v>28</v>
      </c>
      <c r="N31" s="652"/>
      <c r="O31" s="652"/>
      <c r="P31" s="514"/>
      <c r="Q31" s="515"/>
      <c r="R31" s="515"/>
      <c r="S31" s="514" t="e">
        <f t="shared" si="4"/>
        <v>#N/A</v>
      </c>
      <c r="T31" s="674"/>
      <c r="U31" s="514"/>
      <c r="V31" s="515"/>
      <c r="W31" s="515"/>
      <c r="X31" s="514" t="e">
        <f t="shared" si="5"/>
        <v>#N/A</v>
      </c>
      <c r="Y31" s="674"/>
      <c r="Z31" s="514"/>
      <c r="AA31" s="515"/>
      <c r="AB31" s="515"/>
      <c r="AC31" s="514" t="e">
        <f t="shared" si="6"/>
        <v>#N/A</v>
      </c>
      <c r="AD31" s="674"/>
      <c r="AE31" s="514"/>
      <c r="AF31" s="515"/>
      <c r="AG31" s="515"/>
      <c r="AH31" s="514" t="e">
        <f t="shared" si="7"/>
        <v>#N/A</v>
      </c>
      <c r="AI31" s="674"/>
      <c r="AJ31" s="514"/>
      <c r="AK31" s="515"/>
      <c r="AL31" s="515"/>
      <c r="AM31" s="514" t="e">
        <f t="shared" si="8"/>
        <v>#N/A</v>
      </c>
      <c r="AN31" s="674"/>
      <c r="AO31" s="182">
        <v>19</v>
      </c>
      <c r="AP31" s="182">
        <v>1118.7692307692319</v>
      </c>
      <c r="AQ31" s="182">
        <v>58.882591093117469</v>
      </c>
      <c r="AR31" s="514">
        <f t="shared" si="9"/>
        <v>28</v>
      </c>
      <c r="AS31" s="674"/>
      <c r="AT31" s="182">
        <v>19</v>
      </c>
      <c r="AU31" s="182">
        <v>1113.4426229508208</v>
      </c>
      <c r="AV31" s="182">
        <v>58.602243313201093</v>
      </c>
      <c r="AW31" s="514">
        <f t="shared" si="10"/>
        <v>28</v>
      </c>
      <c r="AX31" s="674"/>
      <c r="AZ31" s="362" t="e">
        <f>RANK(AX31, $K$7:AX$36)</f>
        <v>#N/A</v>
      </c>
      <c r="BB31" s="360" t="e">
        <f t="shared" si="0"/>
        <v>#N/A</v>
      </c>
    </row>
    <row r="32" spans="2:54">
      <c r="B32" s="660"/>
      <c r="C32" s="514">
        <v>26</v>
      </c>
      <c r="D32" s="227" t="s">
        <v>835</v>
      </c>
      <c r="E32" s="182">
        <v>18</v>
      </c>
      <c r="F32" s="514">
        <v>1440</v>
      </c>
      <c r="G32" s="515">
        <v>80</v>
      </c>
      <c r="H32" s="702"/>
      <c r="I32" s="553">
        <f t="shared" si="1"/>
        <v>18</v>
      </c>
      <c r="J32" s="553">
        <f t="shared" si="2"/>
        <v>1262.9308755760353</v>
      </c>
      <c r="K32" s="200">
        <f t="shared" si="3"/>
        <v>70.162826420890838</v>
      </c>
      <c r="L32" s="634"/>
      <c r="M32" s="521">
        <f>RANK(K32, K$7:$K$36)</f>
        <v>22</v>
      </c>
      <c r="N32" s="652"/>
      <c r="O32" s="652"/>
      <c r="P32" s="514"/>
      <c r="Q32" s="515"/>
      <c r="R32" s="515"/>
      <c r="S32" s="514" t="e">
        <f t="shared" si="4"/>
        <v>#N/A</v>
      </c>
      <c r="T32" s="674"/>
      <c r="U32" s="514"/>
      <c r="V32" s="515"/>
      <c r="W32" s="515"/>
      <c r="X32" s="514" t="e">
        <f t="shared" si="5"/>
        <v>#N/A</v>
      </c>
      <c r="Y32" s="674"/>
      <c r="Z32" s="514"/>
      <c r="AA32" s="515"/>
      <c r="AB32" s="515"/>
      <c r="AC32" s="514" t="e">
        <f t="shared" si="6"/>
        <v>#N/A</v>
      </c>
      <c r="AD32" s="674"/>
      <c r="AE32" s="514"/>
      <c r="AF32" s="515"/>
      <c r="AG32" s="515"/>
      <c r="AH32" s="514" t="e">
        <f t="shared" si="7"/>
        <v>#N/A</v>
      </c>
      <c r="AI32" s="674"/>
      <c r="AJ32" s="514"/>
      <c r="AK32" s="515"/>
      <c r="AL32" s="515"/>
      <c r="AM32" s="514" t="e">
        <f t="shared" si="8"/>
        <v>#N/A</v>
      </c>
      <c r="AN32" s="674"/>
      <c r="AO32" s="182">
        <v>18</v>
      </c>
      <c r="AP32" s="182">
        <v>1244.5714285714273</v>
      </c>
      <c r="AQ32" s="182">
        <v>69.142857142857068</v>
      </c>
      <c r="AR32" s="514">
        <f t="shared" si="9"/>
        <v>23</v>
      </c>
      <c r="AS32" s="674"/>
      <c r="AT32" s="182">
        <v>18</v>
      </c>
      <c r="AU32" s="182">
        <v>1281.2903225806431</v>
      </c>
      <c r="AV32" s="182">
        <v>71.182795698924622</v>
      </c>
      <c r="AW32" s="514">
        <f t="shared" si="10"/>
        <v>20</v>
      </c>
      <c r="AX32" s="674"/>
      <c r="AZ32" s="362" t="e">
        <f>RANK(AX32, $K$7:AX$36)</f>
        <v>#N/A</v>
      </c>
      <c r="BB32" s="360" t="e">
        <f t="shared" si="0"/>
        <v>#N/A</v>
      </c>
    </row>
    <row r="33" spans="2:54">
      <c r="B33" s="660"/>
      <c r="C33" s="514">
        <v>27</v>
      </c>
      <c r="D33" s="227" t="s">
        <v>840</v>
      </c>
      <c r="E33" s="182">
        <v>16</v>
      </c>
      <c r="F33" s="514">
        <v>1440</v>
      </c>
      <c r="G33" s="515">
        <v>90</v>
      </c>
      <c r="H33" s="702"/>
      <c r="I33" s="553">
        <f t="shared" si="1"/>
        <v>16</v>
      </c>
      <c r="J33" s="553">
        <f t="shared" si="2"/>
        <v>1269.9462973431328</v>
      </c>
      <c r="K33" s="200">
        <f t="shared" si="3"/>
        <v>79.371643583945797</v>
      </c>
      <c r="L33" s="634"/>
      <c r="M33" s="521">
        <f>RANK(K33, K$7:$K$36)</f>
        <v>4</v>
      </c>
      <c r="N33" s="652"/>
      <c r="O33" s="652"/>
      <c r="P33" s="514"/>
      <c r="Q33" s="515"/>
      <c r="R33" s="515"/>
      <c r="S33" s="514" t="e">
        <f t="shared" si="4"/>
        <v>#N/A</v>
      </c>
      <c r="T33" s="674"/>
      <c r="U33" s="514"/>
      <c r="V33" s="515"/>
      <c r="W33" s="515"/>
      <c r="X33" s="514" t="e">
        <f t="shared" si="5"/>
        <v>#N/A</v>
      </c>
      <c r="Y33" s="674"/>
      <c r="Z33" s="514"/>
      <c r="AA33" s="515"/>
      <c r="AB33" s="515"/>
      <c r="AC33" s="514" t="e">
        <f t="shared" si="6"/>
        <v>#N/A</v>
      </c>
      <c r="AD33" s="674"/>
      <c r="AE33" s="514"/>
      <c r="AF33" s="515"/>
      <c r="AG33" s="515"/>
      <c r="AH33" s="514" t="e">
        <f t="shared" si="7"/>
        <v>#N/A</v>
      </c>
      <c r="AI33" s="674"/>
      <c r="AJ33" s="514"/>
      <c r="AK33" s="515"/>
      <c r="AL33" s="515"/>
      <c r="AM33" s="514" t="e">
        <f t="shared" si="8"/>
        <v>#N/A</v>
      </c>
      <c r="AN33" s="674"/>
      <c r="AO33" s="182">
        <v>16</v>
      </c>
      <c r="AP33" s="182">
        <v>1295.4098360655751</v>
      </c>
      <c r="AQ33" s="182">
        <v>80.963114754098441</v>
      </c>
      <c r="AR33" s="514">
        <f t="shared" si="9"/>
        <v>3</v>
      </c>
      <c r="AS33" s="674"/>
      <c r="AT33" s="182">
        <v>16</v>
      </c>
      <c r="AU33" s="182">
        <v>1244.4827586206907</v>
      </c>
      <c r="AV33" s="182">
        <v>77.780172413793167</v>
      </c>
      <c r="AW33" s="514">
        <f t="shared" si="10"/>
        <v>6</v>
      </c>
      <c r="AX33" s="674"/>
      <c r="AZ33" s="362" t="e">
        <f>RANK(AX33, $K$7:AX$36)</f>
        <v>#N/A</v>
      </c>
      <c r="BB33" s="360" t="e">
        <f t="shared" si="0"/>
        <v>#N/A</v>
      </c>
    </row>
    <row r="34" spans="2:54">
      <c r="B34" s="660"/>
      <c r="C34" s="514">
        <v>28</v>
      </c>
      <c r="D34" s="227" t="s">
        <v>911</v>
      </c>
      <c r="E34" s="182">
        <v>21</v>
      </c>
      <c r="F34" s="514">
        <v>1500</v>
      </c>
      <c r="G34" s="515">
        <v>71.400000000000006</v>
      </c>
      <c r="H34" s="702"/>
      <c r="I34" s="553">
        <f t="shared" si="1"/>
        <v>20</v>
      </c>
      <c r="J34" s="553">
        <f t="shared" si="2"/>
        <v>1146.3472485768498</v>
      </c>
      <c r="K34" s="200">
        <f t="shared" si="3"/>
        <v>57.3173624288425</v>
      </c>
      <c r="L34" s="634"/>
      <c r="M34" s="521">
        <f>RANK(K34, K$7:$K$36)</f>
        <v>29</v>
      </c>
      <c r="N34" s="652"/>
      <c r="O34" s="652"/>
      <c r="P34" s="514"/>
      <c r="Q34" s="515"/>
      <c r="R34" s="515"/>
      <c r="S34" s="514" t="e">
        <f t="shared" si="4"/>
        <v>#N/A</v>
      </c>
      <c r="T34" s="674"/>
      <c r="U34" s="514"/>
      <c r="V34" s="515"/>
      <c r="W34" s="515"/>
      <c r="X34" s="514" t="e">
        <f t="shared" si="5"/>
        <v>#N/A</v>
      </c>
      <c r="Y34" s="674"/>
      <c r="Z34" s="514"/>
      <c r="AA34" s="515"/>
      <c r="AB34" s="515"/>
      <c r="AC34" s="514" t="e">
        <f t="shared" si="6"/>
        <v>#N/A</v>
      </c>
      <c r="AD34" s="674"/>
      <c r="AE34" s="514"/>
      <c r="AF34" s="515"/>
      <c r="AG34" s="515"/>
      <c r="AH34" s="514" t="e">
        <f t="shared" si="7"/>
        <v>#N/A</v>
      </c>
      <c r="AI34" s="674"/>
      <c r="AJ34" s="514"/>
      <c r="AK34" s="515"/>
      <c r="AL34" s="515"/>
      <c r="AM34" s="514" t="e">
        <f t="shared" si="8"/>
        <v>#N/A</v>
      </c>
      <c r="AN34" s="674"/>
      <c r="AO34" s="182">
        <v>20</v>
      </c>
      <c r="AP34" s="182">
        <v>1130.8235294117646</v>
      </c>
      <c r="AQ34" s="182">
        <v>56.541176470588233</v>
      </c>
      <c r="AR34" s="514">
        <f t="shared" si="9"/>
        <v>30</v>
      </c>
      <c r="AS34" s="674"/>
      <c r="AT34" s="182">
        <v>20</v>
      </c>
      <c r="AU34" s="182">
        <v>1161.8709677419351</v>
      </c>
      <c r="AV34" s="182">
        <v>58.09354838709676</v>
      </c>
      <c r="AW34" s="514">
        <f t="shared" si="10"/>
        <v>29</v>
      </c>
      <c r="AX34" s="674"/>
      <c r="AZ34" s="362" t="e">
        <f>RANK(AX34, $K$7:AX$36)</f>
        <v>#N/A</v>
      </c>
      <c r="BB34" s="360" t="e">
        <f t="shared" si="0"/>
        <v>#N/A</v>
      </c>
    </row>
    <row r="35" spans="2:54">
      <c r="B35" s="660"/>
      <c r="C35" s="514">
        <v>29</v>
      </c>
      <c r="D35" s="227" t="s">
        <v>925</v>
      </c>
      <c r="E35" s="182">
        <v>19</v>
      </c>
      <c r="F35" s="514">
        <v>1440</v>
      </c>
      <c r="G35" s="515">
        <v>75.8</v>
      </c>
      <c r="H35" s="702"/>
      <c r="I35" s="553">
        <f t="shared" si="1"/>
        <v>18</v>
      </c>
      <c r="J35" s="553">
        <f t="shared" si="2"/>
        <v>1274.0806451612916</v>
      </c>
      <c r="K35" s="200">
        <f t="shared" si="3"/>
        <v>70.782258064516213</v>
      </c>
      <c r="L35" s="634"/>
      <c r="M35" s="521">
        <f>RANK(K35, K$7:$K$36)</f>
        <v>20</v>
      </c>
      <c r="N35" s="652"/>
      <c r="O35" s="652"/>
      <c r="P35" s="514" t="s">
        <v>779</v>
      </c>
      <c r="Q35" s="514" t="s">
        <v>779</v>
      </c>
      <c r="R35" s="514" t="s">
        <v>779</v>
      </c>
      <c r="S35" s="514" t="e">
        <f t="shared" si="4"/>
        <v>#VALUE!</v>
      </c>
      <c r="T35" s="674"/>
      <c r="U35" s="514"/>
      <c r="V35" s="514"/>
      <c r="W35" s="514"/>
      <c r="X35" s="514" t="e">
        <f t="shared" si="5"/>
        <v>#N/A</v>
      </c>
      <c r="Y35" s="674"/>
      <c r="Z35" s="514"/>
      <c r="AA35" s="514"/>
      <c r="AB35" s="514"/>
      <c r="AC35" s="514" t="e">
        <f t="shared" si="6"/>
        <v>#N/A</v>
      </c>
      <c r="AD35" s="674"/>
      <c r="AE35" s="514"/>
      <c r="AF35" s="514"/>
      <c r="AG35" s="514"/>
      <c r="AH35" s="514" t="e">
        <f t="shared" si="7"/>
        <v>#N/A</v>
      </c>
      <c r="AI35" s="674"/>
      <c r="AJ35" s="514"/>
      <c r="AK35" s="514"/>
      <c r="AL35" s="514"/>
      <c r="AM35" s="514" t="e">
        <f t="shared" si="8"/>
        <v>#N/A</v>
      </c>
      <c r="AN35" s="674"/>
      <c r="AO35" s="182">
        <v>18</v>
      </c>
      <c r="AP35" s="182">
        <v>1255.1612903225819</v>
      </c>
      <c r="AQ35" s="182">
        <v>69.731182795698999</v>
      </c>
      <c r="AR35" s="514">
        <f t="shared" si="9"/>
        <v>22</v>
      </c>
      <c r="AS35" s="674"/>
      <c r="AT35" s="182">
        <v>18</v>
      </c>
      <c r="AU35" s="182">
        <v>1293.0000000000014</v>
      </c>
      <c r="AV35" s="182">
        <v>71.833333333333414</v>
      </c>
      <c r="AW35" s="514">
        <f t="shared" si="10"/>
        <v>17</v>
      </c>
      <c r="AX35" s="674"/>
      <c r="AZ35" s="362" t="e">
        <f>RANK(AX35, $K$7:AX$36)</f>
        <v>#N/A</v>
      </c>
      <c r="BB35" s="360" t="e">
        <f t="shared" si="0"/>
        <v>#N/A</v>
      </c>
    </row>
    <row r="36" spans="2:54">
      <c r="B36" s="660"/>
      <c r="C36" s="514">
        <v>30</v>
      </c>
      <c r="D36" s="227" t="s">
        <v>943</v>
      </c>
      <c r="E36" s="182">
        <v>20</v>
      </c>
      <c r="F36" s="514">
        <v>1500</v>
      </c>
      <c r="G36" s="515">
        <v>75</v>
      </c>
      <c r="H36" s="703"/>
      <c r="I36" s="553">
        <f t="shared" si="1"/>
        <v>20</v>
      </c>
      <c r="J36" s="553">
        <f t="shared" si="2"/>
        <v>1211.1164499717347</v>
      </c>
      <c r="K36" s="200">
        <f t="shared" si="3"/>
        <v>60.555822498586735</v>
      </c>
      <c r="L36" s="635"/>
      <c r="M36" s="521">
        <f>RANK(K36, K$7:$K$36)</f>
        <v>27</v>
      </c>
      <c r="N36" s="652"/>
      <c r="O36" s="652"/>
      <c r="P36" s="514" t="s">
        <v>779</v>
      </c>
      <c r="Q36" s="514" t="s">
        <v>779</v>
      </c>
      <c r="R36" s="514" t="s">
        <v>779</v>
      </c>
      <c r="S36" s="514" t="e">
        <f t="shared" si="4"/>
        <v>#VALUE!</v>
      </c>
      <c r="T36" s="674"/>
      <c r="U36" s="514"/>
      <c r="V36" s="514"/>
      <c r="W36" s="514"/>
      <c r="X36" s="514" t="e">
        <f t="shared" si="5"/>
        <v>#N/A</v>
      </c>
      <c r="Y36" s="674"/>
      <c r="Z36" s="514"/>
      <c r="AA36" s="514"/>
      <c r="AB36" s="514"/>
      <c r="AC36" s="514" t="e">
        <f t="shared" si="6"/>
        <v>#N/A</v>
      </c>
      <c r="AD36" s="674"/>
      <c r="AE36" s="514"/>
      <c r="AF36" s="514"/>
      <c r="AG36" s="514"/>
      <c r="AH36" s="514" t="e">
        <f t="shared" si="7"/>
        <v>#N/A</v>
      </c>
      <c r="AI36" s="674"/>
      <c r="AJ36" s="514"/>
      <c r="AK36" s="514"/>
      <c r="AL36" s="514"/>
      <c r="AM36" s="514" t="e">
        <f t="shared" si="8"/>
        <v>#N/A</v>
      </c>
      <c r="AN36" s="674"/>
      <c r="AO36" s="182">
        <v>20</v>
      </c>
      <c r="AP36" s="182">
        <v>1190.1639344262289</v>
      </c>
      <c r="AQ36" s="182">
        <v>59.50819672131145</v>
      </c>
      <c r="AR36" s="514">
        <f t="shared" si="9"/>
        <v>27</v>
      </c>
      <c r="AS36" s="674"/>
      <c r="AT36" s="182">
        <v>20</v>
      </c>
      <c r="AU36" s="182">
        <v>1232.0689655172405</v>
      </c>
      <c r="AV36" s="182">
        <v>61.603448275862021</v>
      </c>
      <c r="AW36" s="514">
        <f t="shared" si="10"/>
        <v>26</v>
      </c>
      <c r="AX36" s="674"/>
      <c r="AZ36" s="450" t="e">
        <f>RANK(AX36, $K$7:AX$36)</f>
        <v>#N/A</v>
      </c>
      <c r="BB36" s="360" t="e">
        <f t="shared" si="0"/>
        <v>#N/A</v>
      </c>
    </row>
    <row r="37" spans="2:54" ht="15.75">
      <c r="B37" s="678" t="s">
        <v>163</v>
      </c>
      <c r="C37" s="679"/>
      <c r="D37" s="679"/>
      <c r="E37" s="679"/>
      <c r="F37" s="679"/>
      <c r="G37" s="679"/>
      <c r="H37" s="679"/>
      <c r="I37" s="203"/>
      <c r="J37" s="203"/>
      <c r="K37" s="203"/>
      <c r="L37" s="203"/>
      <c r="M37" s="204"/>
      <c r="N37" s="653" t="s">
        <v>156</v>
      </c>
      <c r="O37" s="653" t="s">
        <v>105</v>
      </c>
      <c r="P37" s="659">
        <f>AT2+1</f>
        <v>46056</v>
      </c>
      <c r="Q37" s="660"/>
      <c r="R37" s="660"/>
      <c r="S37" s="660"/>
      <c r="T37" s="660"/>
      <c r="U37" s="659">
        <f>P37+1</f>
        <v>46057</v>
      </c>
      <c r="V37" s="660"/>
      <c r="W37" s="660"/>
      <c r="X37" s="660"/>
      <c r="Y37" s="660"/>
      <c r="Z37" s="659">
        <f>U37+1</f>
        <v>46058</v>
      </c>
      <c r="AA37" s="660"/>
      <c r="AB37" s="660"/>
      <c r="AC37" s="660"/>
      <c r="AD37" s="660"/>
      <c r="AE37" s="659">
        <f>Z37+1</f>
        <v>46059</v>
      </c>
      <c r="AF37" s="660"/>
      <c r="AG37" s="660"/>
      <c r="AH37" s="660"/>
      <c r="AI37" s="660"/>
      <c r="AJ37" s="659">
        <f>AE37+1</f>
        <v>46060</v>
      </c>
      <c r="AK37" s="660"/>
      <c r="AL37" s="660"/>
      <c r="AM37" s="660"/>
      <c r="AN37" s="660"/>
      <c r="AO37" s="659">
        <f>AJ37+1</f>
        <v>46061</v>
      </c>
      <c r="AP37" s="660"/>
      <c r="AQ37" s="660"/>
      <c r="AR37" s="660"/>
      <c r="AS37" s="660"/>
      <c r="AT37" s="659">
        <f>AO37+1</f>
        <v>46062</v>
      </c>
      <c r="AU37" s="660"/>
      <c r="AV37" s="660"/>
      <c r="AW37" s="660"/>
      <c r="AX37" s="660"/>
    </row>
    <row r="38" spans="2:54" ht="15.75">
      <c r="B38" s="667"/>
      <c r="C38" s="667"/>
      <c r="D38" s="667"/>
      <c r="E38" s="667"/>
      <c r="F38" s="667"/>
      <c r="G38" s="667"/>
      <c r="H38" s="667"/>
      <c r="I38" s="205"/>
      <c r="J38" s="205"/>
      <c r="K38" s="205"/>
      <c r="L38" s="205"/>
      <c r="M38" s="206"/>
      <c r="N38" s="655"/>
      <c r="O38" s="655"/>
      <c r="P38" s="659" t="s">
        <v>336</v>
      </c>
      <c r="Q38" s="660"/>
      <c r="R38" s="660"/>
      <c r="S38" s="660"/>
      <c r="T38" s="660"/>
      <c r="U38" s="659" t="s">
        <v>337</v>
      </c>
      <c r="V38" s="660"/>
      <c r="W38" s="660"/>
      <c r="X38" s="660"/>
      <c r="Y38" s="660"/>
      <c r="Z38" s="659" t="s">
        <v>338</v>
      </c>
      <c r="AA38" s="660"/>
      <c r="AB38" s="660"/>
      <c r="AC38" s="660"/>
      <c r="AD38" s="660"/>
      <c r="AE38" s="659" t="s">
        <v>339</v>
      </c>
      <c r="AF38" s="660"/>
      <c r="AG38" s="660"/>
      <c r="AH38" s="660"/>
      <c r="AI38" s="660"/>
      <c r="AJ38" s="659" t="s">
        <v>340</v>
      </c>
      <c r="AK38" s="660"/>
      <c r="AL38" s="660"/>
      <c r="AM38" s="660"/>
      <c r="AN38" s="660"/>
      <c r="AO38" s="659" t="s">
        <v>341</v>
      </c>
      <c r="AP38" s="660"/>
      <c r="AQ38" s="660"/>
      <c r="AR38" s="660"/>
      <c r="AS38" s="660"/>
      <c r="AT38" s="659" t="s">
        <v>342</v>
      </c>
      <c r="AU38" s="660"/>
      <c r="AV38" s="660"/>
      <c r="AW38" s="660"/>
      <c r="AX38" s="660"/>
    </row>
    <row r="39" spans="2:54">
      <c r="B39" s="652" t="s">
        <v>490</v>
      </c>
      <c r="C39" s="652" t="s">
        <v>491</v>
      </c>
      <c r="D39" s="652"/>
      <c r="E39" s="652" t="s">
        <v>492</v>
      </c>
      <c r="F39" s="652"/>
      <c r="G39" s="652"/>
      <c r="H39" s="668" t="s">
        <v>493</v>
      </c>
      <c r="I39" s="636" t="s">
        <v>494</v>
      </c>
      <c r="J39" s="636"/>
      <c r="K39" s="636"/>
      <c r="L39" s="637" t="s">
        <v>493</v>
      </c>
      <c r="M39" s="643" t="s">
        <v>495</v>
      </c>
      <c r="N39" s="652"/>
      <c r="O39" s="652" t="s">
        <v>496</v>
      </c>
      <c r="P39" s="649" t="s">
        <v>497</v>
      </c>
      <c r="Q39" s="650"/>
      <c r="R39" s="650"/>
      <c r="S39" s="651"/>
      <c r="T39" s="652" t="s">
        <v>493</v>
      </c>
      <c r="U39" s="649" t="s">
        <v>497</v>
      </c>
      <c r="V39" s="650"/>
      <c r="W39" s="650"/>
      <c r="X39" s="651"/>
      <c r="Y39" s="652" t="s">
        <v>493</v>
      </c>
      <c r="Z39" s="649" t="s">
        <v>497</v>
      </c>
      <c r="AA39" s="650"/>
      <c r="AB39" s="650"/>
      <c r="AC39" s="651"/>
      <c r="AD39" s="652" t="s">
        <v>493</v>
      </c>
      <c r="AE39" s="649" t="s">
        <v>497</v>
      </c>
      <c r="AF39" s="650"/>
      <c r="AG39" s="650"/>
      <c r="AH39" s="651"/>
      <c r="AI39" s="652" t="s">
        <v>493</v>
      </c>
      <c r="AJ39" s="649" t="s">
        <v>497</v>
      </c>
      <c r="AK39" s="650"/>
      <c r="AL39" s="650"/>
      <c r="AM39" s="651"/>
      <c r="AN39" s="652" t="s">
        <v>493</v>
      </c>
      <c r="AO39" s="649" t="s">
        <v>497</v>
      </c>
      <c r="AP39" s="650"/>
      <c r="AQ39" s="650"/>
      <c r="AR39" s="651"/>
      <c r="AS39" s="652" t="s">
        <v>493</v>
      </c>
      <c r="AT39" s="649" t="s">
        <v>497</v>
      </c>
      <c r="AU39" s="650"/>
      <c r="AV39" s="650"/>
      <c r="AW39" s="651"/>
      <c r="AX39" s="652" t="s">
        <v>493</v>
      </c>
    </row>
    <row r="40" spans="2:54">
      <c r="B40" s="652"/>
      <c r="C40" s="652"/>
      <c r="D40" s="652"/>
      <c r="E40" s="652" t="s">
        <v>498</v>
      </c>
      <c r="F40" s="652"/>
      <c r="G40" s="652"/>
      <c r="H40" s="669"/>
      <c r="I40" s="636" t="s">
        <v>498</v>
      </c>
      <c r="J40" s="636"/>
      <c r="K40" s="636"/>
      <c r="L40" s="638"/>
      <c r="M40" s="644"/>
      <c r="N40" s="652"/>
      <c r="O40" s="652"/>
      <c r="P40" s="649" t="s">
        <v>499</v>
      </c>
      <c r="Q40" s="650"/>
      <c r="R40" s="650"/>
      <c r="S40" s="651"/>
      <c r="T40" s="652"/>
      <c r="U40" s="649" t="s">
        <v>499</v>
      </c>
      <c r="V40" s="650"/>
      <c r="W40" s="650"/>
      <c r="X40" s="651"/>
      <c r="Y40" s="652"/>
      <c r="Z40" s="649" t="s">
        <v>499</v>
      </c>
      <c r="AA40" s="650"/>
      <c r="AB40" s="650"/>
      <c r="AC40" s="651"/>
      <c r="AD40" s="652"/>
      <c r="AE40" s="649" t="s">
        <v>499</v>
      </c>
      <c r="AF40" s="650"/>
      <c r="AG40" s="650"/>
      <c r="AH40" s="651"/>
      <c r="AI40" s="652"/>
      <c r="AJ40" s="649" t="s">
        <v>499</v>
      </c>
      <c r="AK40" s="650"/>
      <c r="AL40" s="650"/>
      <c r="AM40" s="651"/>
      <c r="AN40" s="652"/>
      <c r="AO40" s="649" t="s">
        <v>499</v>
      </c>
      <c r="AP40" s="650"/>
      <c r="AQ40" s="650"/>
      <c r="AR40" s="651"/>
      <c r="AS40" s="652"/>
      <c r="AT40" s="649" t="s">
        <v>499</v>
      </c>
      <c r="AU40" s="650"/>
      <c r="AV40" s="650"/>
      <c r="AW40" s="651"/>
      <c r="AX40" s="652"/>
    </row>
    <row r="41" spans="2:54">
      <c r="B41" s="652"/>
      <c r="C41" s="652"/>
      <c r="D41" s="652"/>
      <c r="E41" s="308" t="s">
        <v>500</v>
      </c>
      <c r="F41" s="308" t="s">
        <v>501</v>
      </c>
      <c r="G41" s="308" t="s">
        <v>502</v>
      </c>
      <c r="H41" s="670"/>
      <c r="I41" s="307" t="s">
        <v>500</v>
      </c>
      <c r="J41" s="307" t="s">
        <v>501</v>
      </c>
      <c r="K41" s="307" t="s">
        <v>502</v>
      </c>
      <c r="L41" s="639"/>
      <c r="M41" s="645"/>
      <c r="N41" s="652"/>
      <c r="O41" s="652"/>
      <c r="P41" s="308" t="s">
        <v>500</v>
      </c>
      <c r="Q41" s="308" t="s">
        <v>501</v>
      </c>
      <c r="R41" s="308" t="s">
        <v>502</v>
      </c>
      <c r="S41" s="308" t="s">
        <v>495</v>
      </c>
      <c r="T41" s="652"/>
      <c r="U41" s="308" t="s">
        <v>500</v>
      </c>
      <c r="V41" s="308" t="s">
        <v>501</v>
      </c>
      <c r="W41" s="308" t="s">
        <v>502</v>
      </c>
      <c r="X41" s="308" t="s">
        <v>495</v>
      </c>
      <c r="Y41" s="652"/>
      <c r="Z41" s="308" t="s">
        <v>500</v>
      </c>
      <c r="AA41" s="308" t="s">
        <v>501</v>
      </c>
      <c r="AB41" s="308" t="s">
        <v>502</v>
      </c>
      <c r="AC41" s="308" t="s">
        <v>495</v>
      </c>
      <c r="AD41" s="652"/>
      <c r="AE41" s="308" t="s">
        <v>500</v>
      </c>
      <c r="AF41" s="308" t="s">
        <v>501</v>
      </c>
      <c r="AG41" s="308" t="s">
        <v>502</v>
      </c>
      <c r="AH41" s="308" t="s">
        <v>495</v>
      </c>
      <c r="AI41" s="652"/>
      <c r="AJ41" s="308" t="s">
        <v>500</v>
      </c>
      <c r="AK41" s="308" t="s">
        <v>501</v>
      </c>
      <c r="AL41" s="308" t="s">
        <v>502</v>
      </c>
      <c r="AM41" s="308" t="s">
        <v>495</v>
      </c>
      <c r="AN41" s="652"/>
      <c r="AO41" s="308" t="s">
        <v>500</v>
      </c>
      <c r="AP41" s="308" t="s">
        <v>501</v>
      </c>
      <c r="AQ41" s="308" t="s">
        <v>502</v>
      </c>
      <c r="AR41" s="308" t="s">
        <v>495</v>
      </c>
      <c r="AS41" s="652"/>
      <c r="AT41" s="308" t="s">
        <v>500</v>
      </c>
      <c r="AU41" s="308" t="s">
        <v>501</v>
      </c>
      <c r="AV41" s="308" t="s">
        <v>502</v>
      </c>
      <c r="AW41" s="308" t="s">
        <v>495</v>
      </c>
      <c r="AX41" s="652"/>
    </row>
    <row r="42" spans="2:54">
      <c r="B42" s="652" t="s">
        <v>503</v>
      </c>
      <c r="C42" s="309">
        <v>1</v>
      </c>
      <c r="D42" s="227" t="s">
        <v>373</v>
      </c>
      <c r="E42" s="182">
        <v>6</v>
      </c>
      <c r="F42" s="309">
        <v>1500</v>
      </c>
      <c r="G42" s="312">
        <v>250</v>
      </c>
      <c r="H42" s="701">
        <f>AVERAGE(G42:G71)</f>
        <v>96.221666666666707</v>
      </c>
      <c r="I42" s="199">
        <f>AVERAGE(P42,U42,Z42,AE42,AJ42,AO42,AT42)</f>
        <v>6</v>
      </c>
      <c r="J42" s="199">
        <f>AVERAGE(Q42,V42,AA42,AF42,AK42,AP42,AU42)</f>
        <v>1402.6751781256037</v>
      </c>
      <c r="K42" s="200">
        <f>AVERAGE(R42,W42,AB42,AG42,AL42,AQ42,AV42)</f>
        <v>233.77919635426727</v>
      </c>
      <c r="L42" s="633">
        <f>IFERROR(AVERAGE(K42:K71),"-")</f>
        <v>82.578411810548161</v>
      </c>
      <c r="M42" s="201">
        <f>RANK(K42, K$42:$K$71)</f>
        <v>1</v>
      </c>
      <c r="N42" s="652"/>
      <c r="O42" s="652"/>
      <c r="P42" s="182">
        <v>6</v>
      </c>
      <c r="Q42" s="182">
        <v>1411.2222222222217</v>
      </c>
      <c r="R42" s="182">
        <v>235.20370370370361</v>
      </c>
      <c r="S42" s="309">
        <f t="shared" ref="S42:S71" si="11">RANK(R42, R$42:R$71)</f>
        <v>2</v>
      </c>
      <c r="T42" s="674">
        <f>AVERAGE(R42:R71)</f>
        <v>82.99230450961754</v>
      </c>
      <c r="U42" s="182">
        <v>6</v>
      </c>
      <c r="V42" s="182">
        <v>1409.4896907216491</v>
      </c>
      <c r="W42" s="182">
        <v>234.91494845360819</v>
      </c>
      <c r="X42" s="309">
        <f t="shared" ref="X42:X71" si="12">RANK(W42, W$42:W$71)</f>
        <v>1</v>
      </c>
      <c r="Y42" s="674">
        <f>AVERAGE(W42:W71)</f>
        <v>81.694259336587876</v>
      </c>
      <c r="Z42" s="182">
        <v>6</v>
      </c>
      <c r="AA42" s="182">
        <v>1388.5714285714284</v>
      </c>
      <c r="AB42" s="182">
        <v>231.42857142857142</v>
      </c>
      <c r="AC42" s="309">
        <f t="shared" ref="AC42:AC71" si="13">RANK(AB42, AB$42:AB$71)</f>
        <v>1</v>
      </c>
      <c r="AD42" s="674">
        <f>AVERAGE(AB42:AB71)</f>
        <v>81.421789810583888</v>
      </c>
      <c r="AE42" s="182">
        <v>6</v>
      </c>
      <c r="AF42" s="182">
        <v>1377.2011173184358</v>
      </c>
      <c r="AG42" s="182">
        <v>229.53351955307264</v>
      </c>
      <c r="AH42" s="309">
        <f t="shared" ref="AH42:AH71" si="14">RANK(AG42, AG$42:AG$71)</f>
        <v>1</v>
      </c>
      <c r="AI42" s="674">
        <f>AVERAGE(AG42:AG71)</f>
        <v>81.08945738701108</v>
      </c>
      <c r="AJ42" s="182">
        <v>6</v>
      </c>
      <c r="AK42" s="182">
        <v>1395.1040462427743</v>
      </c>
      <c r="AL42" s="182">
        <v>232.51734104046238</v>
      </c>
      <c r="AM42" s="309">
        <f t="shared" ref="AM42:AM71" si="15">RANK(AL42, AL$42:AL$71)</f>
        <v>1</v>
      </c>
      <c r="AN42" s="674">
        <f>AVERAGE(AL42:AL71)</f>
        <v>82.27799287724477</v>
      </c>
      <c r="AO42" s="182">
        <v>6</v>
      </c>
      <c r="AP42" s="182">
        <v>1433.5431472081207</v>
      </c>
      <c r="AQ42" s="182">
        <v>238.92385786802012</v>
      </c>
      <c r="AR42" s="309">
        <f t="shared" ref="AR42:AR71" si="16">RANK(AQ42, AQ$42:AQ$71)</f>
        <v>1</v>
      </c>
      <c r="AS42" s="674">
        <f>AVERAGE(AQ42:AQ71)</f>
        <v>82.190691130469517</v>
      </c>
      <c r="AT42" s="182">
        <v>6</v>
      </c>
      <c r="AU42" s="182">
        <v>1403.5945945945948</v>
      </c>
      <c r="AV42" s="182">
        <v>233.93243243243248</v>
      </c>
      <c r="AW42" s="309">
        <f t="shared" ref="AW42:AW71" si="17">RANK(AV42, AV$42:AV$71)</f>
        <v>1</v>
      </c>
      <c r="AX42" s="674">
        <f>AVERAGE(AV42:AV71)</f>
        <v>81.953167169312991</v>
      </c>
    </row>
    <row r="43" spans="2:54">
      <c r="B43" s="660"/>
      <c r="C43" s="309">
        <v>2</v>
      </c>
      <c r="D43" s="227" t="s">
        <v>393</v>
      </c>
      <c r="E43" s="182">
        <v>6</v>
      </c>
      <c r="F43" s="309">
        <v>1636</v>
      </c>
      <c r="G43" s="312">
        <v>272.7</v>
      </c>
      <c r="H43" s="702"/>
      <c r="I43" s="199">
        <f t="shared" ref="I43:I65" si="18">AVERAGE(P43,U43,Z43,AE43,AJ43,AO43,AT43)</f>
        <v>6.8571428571428568</v>
      </c>
      <c r="J43" s="199">
        <f t="shared" ref="J43:J65" si="19">AVERAGE(Q43,V43,AA43,AF43,AK43,AP43,AU43)</f>
        <v>1457.0544963754214</v>
      </c>
      <c r="K43" s="200">
        <f t="shared" ref="K43:K65" si="20">AVERAGE(R43,W43,AB43,AG43,AL43,AQ43,AV43)</f>
        <v>213.13750837288805</v>
      </c>
      <c r="L43" s="634"/>
      <c r="M43" s="201">
        <f>RANK(K43, K$42:$K$71)</f>
        <v>2</v>
      </c>
      <c r="N43" s="652"/>
      <c r="O43" s="652"/>
      <c r="P43" s="182">
        <v>6</v>
      </c>
      <c r="Q43" s="182">
        <v>1466.1386138613855</v>
      </c>
      <c r="R43" s="182">
        <v>244.35643564356425</v>
      </c>
      <c r="S43" s="309">
        <f t="shared" si="11"/>
        <v>1</v>
      </c>
      <c r="T43" s="674"/>
      <c r="U43" s="182">
        <v>7</v>
      </c>
      <c r="V43" s="182">
        <v>1434.8076923076931</v>
      </c>
      <c r="W43" s="182">
        <v>204.97252747252759</v>
      </c>
      <c r="X43" s="309">
        <f t="shared" si="12"/>
        <v>2</v>
      </c>
      <c r="Y43" s="674"/>
      <c r="Z43" s="182">
        <v>7</v>
      </c>
      <c r="AA43" s="182">
        <v>1460.1980198019796</v>
      </c>
      <c r="AB43" s="182">
        <v>208.59971711456851</v>
      </c>
      <c r="AC43" s="309">
        <f t="shared" si="13"/>
        <v>2</v>
      </c>
      <c r="AD43" s="674"/>
      <c r="AE43" s="182">
        <v>7</v>
      </c>
      <c r="AF43" s="182">
        <v>1432.3255813953488</v>
      </c>
      <c r="AG43" s="182">
        <v>204.61794019933555</v>
      </c>
      <c r="AH43" s="309">
        <f t="shared" si="14"/>
        <v>2</v>
      </c>
      <c r="AI43" s="674"/>
      <c r="AJ43" s="182">
        <v>7</v>
      </c>
      <c r="AK43" s="182">
        <v>1482.7586206896549</v>
      </c>
      <c r="AL43" s="182">
        <v>211.82266009852214</v>
      </c>
      <c r="AM43" s="309">
        <f t="shared" si="15"/>
        <v>2</v>
      </c>
      <c r="AN43" s="674"/>
      <c r="AO43" s="182">
        <v>7</v>
      </c>
      <c r="AP43" s="182">
        <v>1489.8876404494381</v>
      </c>
      <c r="AQ43" s="182">
        <v>212.84109149277688</v>
      </c>
      <c r="AR43" s="309">
        <f t="shared" si="16"/>
        <v>2</v>
      </c>
      <c r="AS43" s="674"/>
      <c r="AT43" s="182">
        <v>7</v>
      </c>
      <c r="AU43" s="182">
        <v>1433.2653061224494</v>
      </c>
      <c r="AV43" s="182">
        <v>204.75218658892135</v>
      </c>
      <c r="AW43" s="309">
        <f t="shared" si="17"/>
        <v>2</v>
      </c>
      <c r="AX43" s="674"/>
    </row>
    <row r="44" spans="2:54">
      <c r="B44" s="660"/>
      <c r="C44" s="309">
        <v>3</v>
      </c>
      <c r="D44" s="227" t="s">
        <v>374</v>
      </c>
      <c r="E44" s="182">
        <v>18</v>
      </c>
      <c r="F44" s="309">
        <v>1500</v>
      </c>
      <c r="G44" s="312">
        <v>75</v>
      </c>
      <c r="H44" s="702"/>
      <c r="I44" s="199">
        <f t="shared" si="18"/>
        <v>18</v>
      </c>
      <c r="J44" s="199">
        <f t="shared" si="19"/>
        <v>1319.7840329227954</v>
      </c>
      <c r="K44" s="200">
        <f t="shared" si="20"/>
        <v>73.321335162377537</v>
      </c>
      <c r="L44" s="634"/>
      <c r="M44" s="201">
        <f>RANK(K44, K$42:$K$71)</f>
        <v>13</v>
      </c>
      <c r="N44" s="652"/>
      <c r="O44" s="652"/>
      <c r="P44" s="182">
        <v>18</v>
      </c>
      <c r="Q44" s="182">
        <v>1295.8208955223881</v>
      </c>
      <c r="R44" s="182">
        <v>71.990049751243788</v>
      </c>
      <c r="S44" s="309">
        <f t="shared" si="11"/>
        <v>16</v>
      </c>
      <c r="T44" s="674"/>
      <c r="U44" s="182">
        <v>18</v>
      </c>
      <c r="V44" s="182">
        <v>1339.9999999999993</v>
      </c>
      <c r="W44" s="182">
        <v>74.4444444444444</v>
      </c>
      <c r="X44" s="309">
        <f t="shared" si="12"/>
        <v>11</v>
      </c>
      <c r="Y44" s="674"/>
      <c r="Z44" s="182">
        <v>18</v>
      </c>
      <c r="AA44" s="182">
        <v>1325.9999999999995</v>
      </c>
      <c r="AB44" s="182">
        <v>73.666666666666643</v>
      </c>
      <c r="AC44" s="309">
        <f t="shared" si="13"/>
        <v>13</v>
      </c>
      <c r="AD44" s="674"/>
      <c r="AE44" s="182">
        <v>18</v>
      </c>
      <c r="AF44" s="182">
        <v>1332.5581395348834</v>
      </c>
      <c r="AG44" s="182">
        <v>74.031007751937963</v>
      </c>
      <c r="AH44" s="309">
        <f t="shared" si="14"/>
        <v>12</v>
      </c>
      <c r="AI44" s="674"/>
      <c r="AJ44" s="182">
        <v>18</v>
      </c>
      <c r="AK44" s="182">
        <v>1298.2758620689647</v>
      </c>
      <c r="AL44" s="182">
        <v>72.126436781609144</v>
      </c>
      <c r="AM44" s="309">
        <f t="shared" si="15"/>
        <v>20</v>
      </c>
      <c r="AN44" s="674"/>
      <c r="AO44" s="182">
        <v>18</v>
      </c>
      <c r="AP44" s="182">
        <v>1338.2142857142867</v>
      </c>
      <c r="AQ44" s="182">
        <v>74.345238095238145</v>
      </c>
      <c r="AR44" s="309">
        <f t="shared" si="16"/>
        <v>12</v>
      </c>
      <c r="AS44" s="674"/>
      <c r="AT44" s="182">
        <v>18</v>
      </c>
      <c r="AU44" s="182">
        <v>1307.6190476190473</v>
      </c>
      <c r="AV44" s="182">
        <v>72.645502645502631</v>
      </c>
      <c r="AW44" s="309">
        <f t="shared" si="17"/>
        <v>16</v>
      </c>
      <c r="AX44" s="674"/>
    </row>
    <row r="45" spans="2:54">
      <c r="B45" s="660"/>
      <c r="C45" s="309">
        <v>4</v>
      </c>
      <c r="D45" s="227" t="s">
        <v>910</v>
      </c>
      <c r="E45" s="182">
        <v>18</v>
      </c>
      <c r="F45" s="309">
        <v>1500</v>
      </c>
      <c r="G45" s="312">
        <v>83.3</v>
      </c>
      <c r="H45" s="702"/>
      <c r="I45" s="199">
        <f t="shared" si="18"/>
        <v>18</v>
      </c>
      <c r="J45" s="199">
        <f t="shared" si="19"/>
        <v>1405.6752675700297</v>
      </c>
      <c r="K45" s="200">
        <f t="shared" si="20"/>
        <v>78.093070420557211</v>
      </c>
      <c r="L45" s="634"/>
      <c r="M45" s="201">
        <f>RANK(K45, K$42:$K$71)</f>
        <v>9</v>
      </c>
      <c r="N45" s="652"/>
      <c r="O45" s="652"/>
      <c r="P45" s="182">
        <v>18</v>
      </c>
      <c r="Q45" s="182">
        <v>1400.9302325581393</v>
      </c>
      <c r="R45" s="182">
        <v>77.829457364341067</v>
      </c>
      <c r="S45" s="309">
        <f t="shared" si="11"/>
        <v>9</v>
      </c>
      <c r="T45" s="674"/>
      <c r="U45" s="182">
        <v>18</v>
      </c>
      <c r="V45" s="182">
        <v>1416.2790697674418</v>
      </c>
      <c r="W45" s="182">
        <v>78.68217054263566</v>
      </c>
      <c r="X45" s="309">
        <f t="shared" si="12"/>
        <v>9</v>
      </c>
      <c r="Y45" s="674"/>
      <c r="Z45" s="182">
        <v>18</v>
      </c>
      <c r="AA45" s="182">
        <v>1389.9999999999995</v>
      </c>
      <c r="AB45" s="182">
        <v>77.2222222222222</v>
      </c>
      <c r="AC45" s="309">
        <f t="shared" si="13"/>
        <v>9</v>
      </c>
      <c r="AD45" s="674"/>
      <c r="AE45" s="182">
        <v>18</v>
      </c>
      <c r="AF45" s="182">
        <v>1404.7058823529394</v>
      </c>
      <c r="AG45" s="182">
        <v>78.039215686274417</v>
      </c>
      <c r="AH45" s="309">
        <f t="shared" si="14"/>
        <v>9</v>
      </c>
      <c r="AI45" s="674"/>
      <c r="AJ45" s="182">
        <v>18</v>
      </c>
      <c r="AK45" s="182">
        <v>1429.4999999999995</v>
      </c>
      <c r="AL45" s="182">
        <v>79.416666666666643</v>
      </c>
      <c r="AM45" s="309">
        <f t="shared" si="15"/>
        <v>9</v>
      </c>
      <c r="AN45" s="674"/>
      <c r="AO45" s="182">
        <v>18</v>
      </c>
      <c r="AP45" s="182">
        <v>1412.8571428571424</v>
      </c>
      <c r="AQ45" s="182">
        <v>78.492063492063465</v>
      </c>
      <c r="AR45" s="309">
        <f t="shared" si="16"/>
        <v>9</v>
      </c>
      <c r="AS45" s="674"/>
      <c r="AT45" s="182">
        <v>18</v>
      </c>
      <c r="AU45" s="182">
        <v>1385.4545454545455</v>
      </c>
      <c r="AV45" s="182">
        <v>76.969696969696969</v>
      </c>
      <c r="AW45" s="309">
        <f t="shared" si="17"/>
        <v>8</v>
      </c>
      <c r="AX45" s="674"/>
    </row>
    <row r="46" spans="2:54">
      <c r="B46" s="660"/>
      <c r="C46" s="309">
        <v>5</v>
      </c>
      <c r="D46" s="227" t="s">
        <v>353</v>
      </c>
      <c r="E46" s="182">
        <v>16</v>
      </c>
      <c r="F46" s="309">
        <v>1500</v>
      </c>
      <c r="G46" s="312">
        <v>93.8</v>
      </c>
      <c r="H46" s="702"/>
      <c r="I46" s="199">
        <f t="shared" si="18"/>
        <v>16</v>
      </c>
      <c r="J46" s="199">
        <f t="shared" si="19"/>
        <v>1293.3211752786221</v>
      </c>
      <c r="K46" s="200">
        <f t="shared" si="20"/>
        <v>80.832573454913884</v>
      </c>
      <c r="L46" s="634"/>
      <c r="M46" s="201">
        <f>RANK(K46, K$42:$K$71)</f>
        <v>7</v>
      </c>
      <c r="N46" s="652"/>
      <c r="O46" s="652"/>
      <c r="P46" s="182">
        <v>16</v>
      </c>
      <c r="Q46" s="182">
        <v>1306.6666666666688</v>
      </c>
      <c r="R46" s="182">
        <v>81.666666666666799</v>
      </c>
      <c r="S46" s="309">
        <f t="shared" si="11"/>
        <v>8</v>
      </c>
      <c r="T46" s="674"/>
      <c r="U46" s="182">
        <v>16</v>
      </c>
      <c r="V46" s="182">
        <v>1313.3333333333333</v>
      </c>
      <c r="W46" s="182">
        <v>82.083333333333329</v>
      </c>
      <c r="X46" s="309">
        <f t="shared" si="12"/>
        <v>6</v>
      </c>
      <c r="Y46" s="674"/>
      <c r="Z46" s="182">
        <v>16</v>
      </c>
      <c r="AA46" s="182">
        <v>1264.1860465116276</v>
      </c>
      <c r="AB46" s="182">
        <v>79.011627906976727</v>
      </c>
      <c r="AC46" s="309">
        <f t="shared" si="13"/>
        <v>8</v>
      </c>
      <c r="AD46" s="674"/>
      <c r="AE46" s="182">
        <v>16</v>
      </c>
      <c r="AF46" s="182">
        <v>1271.9999999999995</v>
      </c>
      <c r="AG46" s="182">
        <v>79.499999999999972</v>
      </c>
      <c r="AH46" s="309">
        <f t="shared" si="14"/>
        <v>8</v>
      </c>
      <c r="AI46" s="674"/>
      <c r="AJ46" s="182">
        <v>16</v>
      </c>
      <c r="AK46" s="182">
        <v>1289.3333333333312</v>
      </c>
      <c r="AL46" s="182">
        <v>80.583333333333201</v>
      </c>
      <c r="AM46" s="309">
        <f t="shared" si="15"/>
        <v>7</v>
      </c>
      <c r="AN46" s="674"/>
      <c r="AO46" s="182">
        <v>16</v>
      </c>
      <c r="AP46" s="182">
        <v>1315.8139534883719</v>
      </c>
      <c r="AQ46" s="182">
        <v>82.238372093023244</v>
      </c>
      <c r="AR46" s="309">
        <f t="shared" si="16"/>
        <v>6</v>
      </c>
      <c r="AS46" s="674"/>
      <c r="AT46" s="182">
        <v>16</v>
      </c>
      <c r="AU46" s="182">
        <v>1291.9148936170216</v>
      </c>
      <c r="AV46" s="182">
        <v>80.744680851063848</v>
      </c>
      <c r="AW46" s="309">
        <f t="shared" si="17"/>
        <v>6</v>
      </c>
      <c r="AX46" s="674"/>
    </row>
    <row r="47" spans="2:54">
      <c r="B47" s="660"/>
      <c r="C47" s="309">
        <v>6</v>
      </c>
      <c r="D47" s="227" t="s">
        <v>380</v>
      </c>
      <c r="E47" s="182">
        <v>16</v>
      </c>
      <c r="F47" s="309">
        <v>1565</v>
      </c>
      <c r="G47" s="312">
        <v>97.8</v>
      </c>
      <c r="H47" s="702"/>
      <c r="I47" s="199">
        <f t="shared" si="18"/>
        <v>16</v>
      </c>
      <c r="J47" s="199">
        <f t="shared" si="19"/>
        <v>1358.341113140172</v>
      </c>
      <c r="K47" s="200">
        <f t="shared" si="20"/>
        <v>84.896319571260747</v>
      </c>
      <c r="L47" s="634"/>
      <c r="M47" s="201">
        <f>RANK(K47, K$42:$K$71)</f>
        <v>4</v>
      </c>
      <c r="N47" s="652"/>
      <c r="O47" s="652"/>
      <c r="P47" s="182">
        <v>16</v>
      </c>
      <c r="Q47" s="182">
        <v>1386.5625000000016</v>
      </c>
      <c r="R47" s="182">
        <v>86.660156250000099</v>
      </c>
      <c r="S47" s="309">
        <f t="shared" si="11"/>
        <v>4</v>
      </c>
      <c r="T47" s="674"/>
      <c r="U47" s="182">
        <v>16</v>
      </c>
      <c r="V47" s="182">
        <v>1362.4285714285729</v>
      </c>
      <c r="W47" s="182">
        <v>85.151785714285808</v>
      </c>
      <c r="X47" s="309">
        <f t="shared" si="12"/>
        <v>4</v>
      </c>
      <c r="Y47" s="674"/>
      <c r="Z47" s="182">
        <v>16</v>
      </c>
      <c r="AA47" s="182">
        <v>1355.2941176470606</v>
      </c>
      <c r="AB47" s="182">
        <v>84.705882352941288</v>
      </c>
      <c r="AC47" s="309">
        <f t="shared" si="13"/>
        <v>3</v>
      </c>
      <c r="AD47" s="674"/>
      <c r="AE47" s="182">
        <v>16</v>
      </c>
      <c r="AF47" s="182">
        <v>1339.9999999999989</v>
      </c>
      <c r="AG47" s="182">
        <v>83.749999999999929</v>
      </c>
      <c r="AH47" s="309">
        <f t="shared" si="14"/>
        <v>3</v>
      </c>
      <c r="AI47" s="674"/>
      <c r="AJ47" s="182">
        <v>16</v>
      </c>
      <c r="AK47" s="182">
        <v>1334.7321428571438</v>
      </c>
      <c r="AL47" s="182">
        <v>83.420758928571487</v>
      </c>
      <c r="AM47" s="309">
        <f t="shared" si="15"/>
        <v>4</v>
      </c>
      <c r="AN47" s="674"/>
      <c r="AO47" s="182">
        <v>16</v>
      </c>
      <c r="AP47" s="182">
        <v>1344.2857142857138</v>
      </c>
      <c r="AQ47" s="182">
        <v>84.01785714285711</v>
      </c>
      <c r="AR47" s="309">
        <f t="shared" si="16"/>
        <v>5</v>
      </c>
      <c r="AS47" s="674"/>
      <c r="AT47" s="182">
        <v>16</v>
      </c>
      <c r="AU47" s="182">
        <v>1385.0847457627131</v>
      </c>
      <c r="AV47" s="182">
        <v>86.567796610169566</v>
      </c>
      <c r="AW47" s="309">
        <f t="shared" si="17"/>
        <v>3</v>
      </c>
      <c r="AX47" s="674"/>
    </row>
    <row r="48" spans="2:54">
      <c r="B48" s="660"/>
      <c r="C48" s="309">
        <v>7</v>
      </c>
      <c r="D48" s="227" t="s">
        <v>345</v>
      </c>
      <c r="E48" s="182">
        <v>15</v>
      </c>
      <c r="F48" s="309">
        <v>1440</v>
      </c>
      <c r="G48" s="312">
        <v>102.9</v>
      </c>
      <c r="H48" s="702"/>
      <c r="I48" s="199">
        <f t="shared" si="18"/>
        <v>15</v>
      </c>
      <c r="J48" s="199">
        <f t="shared" si="19"/>
        <v>1088.2163755784429</v>
      </c>
      <c r="K48" s="200">
        <f t="shared" si="20"/>
        <v>72.547758371896194</v>
      </c>
      <c r="L48" s="634"/>
      <c r="M48" s="201">
        <f>RANK(K48, K$42:$K$71)</f>
        <v>14</v>
      </c>
      <c r="N48" s="652"/>
      <c r="O48" s="652"/>
      <c r="P48" s="182">
        <v>15</v>
      </c>
      <c r="Q48" s="182">
        <v>1088.2758620689633</v>
      </c>
      <c r="R48" s="182">
        <v>72.55172413793089</v>
      </c>
      <c r="S48" s="309">
        <f t="shared" si="11"/>
        <v>12</v>
      </c>
      <c r="T48" s="674"/>
      <c r="U48" s="182">
        <v>15</v>
      </c>
      <c r="V48" s="182">
        <v>1081.9999999999982</v>
      </c>
      <c r="W48" s="182">
        <v>72.133333333333212</v>
      </c>
      <c r="X48" s="309">
        <f t="shared" si="12"/>
        <v>15</v>
      </c>
      <c r="Y48" s="674"/>
      <c r="Z48" s="182">
        <v>15</v>
      </c>
      <c r="AA48" s="182">
        <v>1084.9999999999968</v>
      </c>
      <c r="AB48" s="182">
        <v>72.333333333333115</v>
      </c>
      <c r="AC48" s="309">
        <f t="shared" si="13"/>
        <v>17</v>
      </c>
      <c r="AD48" s="674"/>
      <c r="AE48" s="182">
        <v>15</v>
      </c>
      <c r="AF48" s="182">
        <v>1102.4999999999966</v>
      </c>
      <c r="AG48" s="182">
        <v>73.499999999999773</v>
      </c>
      <c r="AH48" s="309">
        <f t="shared" si="14"/>
        <v>13</v>
      </c>
      <c r="AI48" s="674"/>
      <c r="AJ48" s="182">
        <v>15</v>
      </c>
      <c r="AK48" s="182">
        <v>1082.7272727272766</v>
      </c>
      <c r="AL48" s="182">
        <v>72.181818181818443</v>
      </c>
      <c r="AM48" s="309">
        <f t="shared" si="15"/>
        <v>19</v>
      </c>
      <c r="AN48" s="674"/>
      <c r="AO48" s="182">
        <v>15</v>
      </c>
      <c r="AP48" s="182">
        <v>1090.3448275862047</v>
      </c>
      <c r="AQ48" s="182">
        <v>72.689655172413651</v>
      </c>
      <c r="AR48" s="309">
        <f t="shared" si="16"/>
        <v>16</v>
      </c>
      <c r="AS48" s="674"/>
      <c r="AT48" s="182">
        <v>15</v>
      </c>
      <c r="AU48" s="182">
        <v>1086.666666666664</v>
      </c>
      <c r="AV48" s="182">
        <v>72.444444444444272</v>
      </c>
      <c r="AW48" s="309">
        <f t="shared" si="17"/>
        <v>17</v>
      </c>
      <c r="AX48" s="674"/>
    </row>
    <row r="49" spans="2:50">
      <c r="B49" s="660"/>
      <c r="C49" s="309">
        <v>8</v>
      </c>
      <c r="D49" s="227" t="s">
        <v>379</v>
      </c>
      <c r="E49" s="182">
        <v>16</v>
      </c>
      <c r="F49" s="309">
        <v>1440</v>
      </c>
      <c r="G49" s="312">
        <v>90</v>
      </c>
      <c r="H49" s="702"/>
      <c r="I49" s="199">
        <f t="shared" si="18"/>
        <v>16.142857142857142</v>
      </c>
      <c r="J49" s="199">
        <f t="shared" si="19"/>
        <v>1294.9941815899058</v>
      </c>
      <c r="K49" s="200">
        <f t="shared" si="20"/>
        <v>80.255907975666688</v>
      </c>
      <c r="L49" s="634"/>
      <c r="M49" s="201">
        <f>RANK(K49, K$42:$K$71)</f>
        <v>8</v>
      </c>
      <c r="N49" s="652"/>
      <c r="O49" s="652"/>
      <c r="P49" s="182">
        <v>16</v>
      </c>
      <c r="Q49" s="182">
        <v>1307.9999999999989</v>
      </c>
      <c r="R49" s="182">
        <v>81.749999999999929</v>
      </c>
      <c r="S49" s="309">
        <f t="shared" si="11"/>
        <v>7</v>
      </c>
      <c r="T49" s="674"/>
      <c r="U49" s="182">
        <v>16</v>
      </c>
      <c r="V49" s="182">
        <v>1284.9999999999991</v>
      </c>
      <c r="W49" s="182">
        <v>80.312499999999943</v>
      </c>
      <c r="X49" s="309">
        <f t="shared" si="12"/>
        <v>8</v>
      </c>
      <c r="Y49" s="674"/>
      <c r="Z49" s="182">
        <v>16</v>
      </c>
      <c r="AA49" s="182">
        <v>1283.2258064516107</v>
      </c>
      <c r="AB49" s="182">
        <v>80.201612903225666</v>
      </c>
      <c r="AC49" s="309">
        <f t="shared" si="13"/>
        <v>7</v>
      </c>
      <c r="AD49" s="674"/>
      <c r="AE49" s="182">
        <v>16</v>
      </c>
      <c r="AF49" s="182">
        <v>1299.9999999999984</v>
      </c>
      <c r="AG49" s="182">
        <v>81.249999999999901</v>
      </c>
      <c r="AH49" s="309">
        <f t="shared" si="14"/>
        <v>5</v>
      </c>
      <c r="AI49" s="674"/>
      <c r="AJ49" s="182">
        <v>16</v>
      </c>
      <c r="AK49" s="182">
        <v>1312.7272727272709</v>
      </c>
      <c r="AL49" s="182">
        <v>82.045454545454433</v>
      </c>
      <c r="AM49" s="309">
        <f t="shared" si="15"/>
        <v>5</v>
      </c>
      <c r="AN49" s="674"/>
      <c r="AO49" s="182">
        <v>16</v>
      </c>
      <c r="AP49" s="182">
        <v>1278.9473684210516</v>
      </c>
      <c r="AQ49" s="182">
        <v>79.934210526315724</v>
      </c>
      <c r="AR49" s="309">
        <f t="shared" si="16"/>
        <v>7</v>
      </c>
      <c r="AS49" s="674"/>
      <c r="AT49" s="182">
        <v>17</v>
      </c>
      <c r="AU49" s="182">
        <v>1297.0588235294101</v>
      </c>
      <c r="AV49" s="182">
        <v>76.297577854671189</v>
      </c>
      <c r="AW49" s="309">
        <f t="shared" si="17"/>
        <v>10</v>
      </c>
      <c r="AX49" s="674"/>
    </row>
    <row r="50" spans="2:50">
      <c r="B50" s="660"/>
      <c r="C50" s="309">
        <v>9</v>
      </c>
      <c r="D50" s="227" t="s">
        <v>375</v>
      </c>
      <c r="E50" s="182">
        <v>16</v>
      </c>
      <c r="F50" s="309">
        <v>1380</v>
      </c>
      <c r="G50" s="312">
        <v>86.25</v>
      </c>
      <c r="H50" s="702"/>
      <c r="I50" s="199">
        <f t="shared" si="18"/>
        <v>16.571428571428573</v>
      </c>
      <c r="J50" s="199">
        <f t="shared" si="19"/>
        <v>1192.1194698124866</v>
      </c>
      <c r="K50" s="200">
        <f t="shared" si="20"/>
        <v>72.005365032604715</v>
      </c>
      <c r="L50" s="634"/>
      <c r="M50" s="201">
        <f>RANK(K50, K$42:$K$71)</f>
        <v>18</v>
      </c>
      <c r="N50" s="652"/>
      <c r="O50" s="652"/>
      <c r="P50" s="182">
        <v>17</v>
      </c>
      <c r="Q50" s="182">
        <v>1204.1860465116279</v>
      </c>
      <c r="R50" s="182">
        <v>70.834473324213405</v>
      </c>
      <c r="S50" s="309">
        <f t="shared" si="11"/>
        <v>20</v>
      </c>
      <c r="T50" s="674"/>
      <c r="U50" s="182">
        <v>17</v>
      </c>
      <c r="V50" s="182">
        <v>1169.3023255813951</v>
      </c>
      <c r="W50" s="182">
        <v>68.782489740082056</v>
      </c>
      <c r="X50" s="309">
        <f t="shared" si="12"/>
        <v>22</v>
      </c>
      <c r="Y50" s="674"/>
      <c r="Z50" s="182">
        <v>17</v>
      </c>
      <c r="AA50" s="182">
        <v>1193.5135135135126</v>
      </c>
      <c r="AB50" s="182">
        <v>70.206677265500744</v>
      </c>
      <c r="AC50" s="309">
        <f t="shared" si="13"/>
        <v>21</v>
      </c>
      <c r="AD50" s="674"/>
      <c r="AE50" s="182">
        <v>17</v>
      </c>
      <c r="AF50" s="182">
        <v>1196.9999999999995</v>
      </c>
      <c r="AG50" s="182">
        <v>70.41176470588232</v>
      </c>
      <c r="AH50" s="309">
        <f t="shared" si="14"/>
        <v>19</v>
      </c>
      <c r="AI50" s="674"/>
      <c r="AJ50" s="182">
        <v>16</v>
      </c>
      <c r="AK50" s="182">
        <v>1174.7368421052622</v>
      </c>
      <c r="AL50" s="182">
        <v>73.421052631578888</v>
      </c>
      <c r="AM50" s="309">
        <f t="shared" si="15"/>
        <v>14</v>
      </c>
      <c r="AN50" s="674"/>
      <c r="AO50" s="182">
        <v>16</v>
      </c>
      <c r="AP50" s="182">
        <v>1216.0975609756094</v>
      </c>
      <c r="AQ50" s="182">
        <v>76.00609756097559</v>
      </c>
      <c r="AR50" s="309">
        <f t="shared" si="16"/>
        <v>10</v>
      </c>
      <c r="AS50" s="674"/>
      <c r="AT50" s="182">
        <v>16</v>
      </c>
      <c r="AU50" s="182">
        <v>1189.9999999999995</v>
      </c>
      <c r="AV50" s="182">
        <v>74.374999999999972</v>
      </c>
      <c r="AW50" s="309">
        <f t="shared" si="17"/>
        <v>12</v>
      </c>
      <c r="AX50" s="674"/>
    </row>
    <row r="51" spans="2:50">
      <c r="B51" s="660"/>
      <c r="C51" s="309">
        <v>10</v>
      </c>
      <c r="D51" s="227" t="s">
        <v>378</v>
      </c>
      <c r="E51" s="182">
        <v>18</v>
      </c>
      <c r="F51" s="309">
        <v>1636</v>
      </c>
      <c r="G51" s="312">
        <v>90.9</v>
      </c>
      <c r="H51" s="702"/>
      <c r="I51" s="199">
        <f t="shared" si="18"/>
        <v>18</v>
      </c>
      <c r="J51" s="199">
        <f t="shared" si="19"/>
        <v>1303.4622523882513</v>
      </c>
      <c r="K51" s="200">
        <f t="shared" si="20"/>
        <v>72.41456957712505</v>
      </c>
      <c r="L51" s="634"/>
      <c r="M51" s="201">
        <f>RANK(K51, K$42:$K$71)</f>
        <v>15</v>
      </c>
      <c r="N51" s="652"/>
      <c r="O51" s="652"/>
      <c r="P51" s="182">
        <v>18</v>
      </c>
      <c r="Q51" s="182">
        <v>1287.6923076923085</v>
      </c>
      <c r="R51" s="182">
        <v>71.53846153846159</v>
      </c>
      <c r="S51" s="309">
        <f t="shared" si="11"/>
        <v>19</v>
      </c>
      <c r="T51" s="674"/>
      <c r="U51" s="182">
        <v>18</v>
      </c>
      <c r="V51" s="182">
        <v>1304.4000000000003</v>
      </c>
      <c r="W51" s="182">
        <v>72.466666666666683</v>
      </c>
      <c r="X51" s="309">
        <f t="shared" si="12"/>
        <v>14</v>
      </c>
      <c r="Y51" s="674"/>
      <c r="Z51" s="182">
        <v>18</v>
      </c>
      <c r="AA51" s="182">
        <v>1304.3478260869565</v>
      </c>
      <c r="AB51" s="182">
        <v>72.463768115942031</v>
      </c>
      <c r="AC51" s="309">
        <f t="shared" si="13"/>
        <v>14</v>
      </c>
      <c r="AD51" s="674"/>
      <c r="AE51" s="182">
        <v>18</v>
      </c>
      <c r="AF51" s="182">
        <v>1287.6923076923085</v>
      </c>
      <c r="AG51" s="182">
        <v>71.53846153846159</v>
      </c>
      <c r="AH51" s="309">
        <f t="shared" si="14"/>
        <v>16</v>
      </c>
      <c r="AI51" s="674"/>
      <c r="AJ51" s="182">
        <v>18</v>
      </c>
      <c r="AK51" s="182">
        <v>1305.30612244898</v>
      </c>
      <c r="AL51" s="182">
        <v>72.517006802721113</v>
      </c>
      <c r="AM51" s="309">
        <f t="shared" si="15"/>
        <v>18</v>
      </c>
      <c r="AN51" s="674"/>
      <c r="AO51" s="182">
        <v>18</v>
      </c>
      <c r="AP51" s="182">
        <v>1310.1818181818189</v>
      </c>
      <c r="AQ51" s="182">
        <v>72.787878787878824</v>
      </c>
      <c r="AR51" s="309">
        <f t="shared" si="16"/>
        <v>15</v>
      </c>
      <c r="AS51" s="674"/>
      <c r="AT51" s="182">
        <v>18</v>
      </c>
      <c r="AU51" s="182">
        <v>1324.6153846153852</v>
      </c>
      <c r="AV51" s="182">
        <v>73.58974358974362</v>
      </c>
      <c r="AW51" s="309">
        <f t="shared" si="17"/>
        <v>15</v>
      </c>
      <c r="AX51" s="674"/>
    </row>
    <row r="52" spans="2:50">
      <c r="B52" s="660"/>
      <c r="C52" s="309">
        <v>11</v>
      </c>
      <c r="D52" s="227" t="s">
        <v>377</v>
      </c>
      <c r="E52" s="182">
        <v>18</v>
      </c>
      <c r="F52" s="309">
        <v>1636</v>
      </c>
      <c r="G52" s="312">
        <v>90.9</v>
      </c>
      <c r="H52" s="702"/>
      <c r="I52" s="199">
        <f t="shared" si="18"/>
        <v>18</v>
      </c>
      <c r="J52" s="199">
        <f t="shared" si="19"/>
        <v>1274.0674730948588</v>
      </c>
      <c r="K52" s="200">
        <f t="shared" si="20"/>
        <v>70.781526283047711</v>
      </c>
      <c r="L52" s="634"/>
      <c r="M52" s="201">
        <f>RANK(K52, K$42:$K$71)</f>
        <v>21</v>
      </c>
      <c r="N52" s="652"/>
      <c r="O52" s="652"/>
      <c r="P52" s="182">
        <v>18</v>
      </c>
      <c r="Q52" s="182">
        <v>1245.3658536585363</v>
      </c>
      <c r="R52" s="182">
        <v>69.186991869918685</v>
      </c>
      <c r="S52" s="309">
        <f t="shared" si="11"/>
        <v>21</v>
      </c>
      <c r="T52" s="674"/>
      <c r="U52" s="182">
        <v>18</v>
      </c>
      <c r="V52" s="182">
        <v>1267.4999999999995</v>
      </c>
      <c r="W52" s="182">
        <v>70.416666666666643</v>
      </c>
      <c r="X52" s="309">
        <f t="shared" si="12"/>
        <v>19</v>
      </c>
      <c r="Y52" s="674"/>
      <c r="Z52" s="182">
        <v>18</v>
      </c>
      <c r="AA52" s="182">
        <v>1293.3333333333323</v>
      </c>
      <c r="AB52" s="182">
        <v>71.851851851851791</v>
      </c>
      <c r="AC52" s="309">
        <f t="shared" si="13"/>
        <v>18</v>
      </c>
      <c r="AD52" s="674"/>
      <c r="AE52" s="182">
        <v>18</v>
      </c>
      <c r="AF52" s="182">
        <v>1285.2631578947357</v>
      </c>
      <c r="AG52" s="182">
        <v>71.403508771929765</v>
      </c>
      <c r="AH52" s="309">
        <f t="shared" si="14"/>
        <v>17</v>
      </c>
      <c r="AI52" s="674"/>
      <c r="AJ52" s="182">
        <v>18</v>
      </c>
      <c r="AK52" s="182">
        <v>1309.9999999999989</v>
      </c>
      <c r="AL52" s="182">
        <v>72.777777777777715</v>
      </c>
      <c r="AM52" s="309">
        <f t="shared" si="15"/>
        <v>16</v>
      </c>
      <c r="AN52" s="674"/>
      <c r="AO52" s="182">
        <v>18</v>
      </c>
      <c r="AP52" s="182">
        <v>1265.5813953488371</v>
      </c>
      <c r="AQ52" s="182">
        <v>70.310077519379831</v>
      </c>
      <c r="AR52" s="309">
        <f t="shared" si="16"/>
        <v>20</v>
      </c>
      <c r="AS52" s="674"/>
      <c r="AT52" s="182">
        <v>18</v>
      </c>
      <c r="AU52" s="182">
        <v>1251.4285714285711</v>
      </c>
      <c r="AV52" s="182">
        <v>69.523809523809504</v>
      </c>
      <c r="AW52" s="309">
        <f t="shared" si="17"/>
        <v>22</v>
      </c>
      <c r="AX52" s="674"/>
    </row>
    <row r="53" spans="2:50">
      <c r="B53" s="660"/>
      <c r="C53" s="309">
        <v>12</v>
      </c>
      <c r="D53" s="227" t="s">
        <v>355</v>
      </c>
      <c r="E53" s="182">
        <v>17</v>
      </c>
      <c r="F53" s="309">
        <v>1500</v>
      </c>
      <c r="G53" s="312">
        <v>88.2</v>
      </c>
      <c r="H53" s="702"/>
      <c r="I53" s="199">
        <f t="shared" si="18"/>
        <v>17</v>
      </c>
      <c r="J53" s="199">
        <f t="shared" si="19"/>
        <v>1266.1195315367454</v>
      </c>
      <c r="K53" s="200">
        <f t="shared" si="20"/>
        <v>74.477619502161474</v>
      </c>
      <c r="L53" s="634"/>
      <c r="M53" s="201">
        <f>RANK(K53, K$42:$K$71)</f>
        <v>11</v>
      </c>
      <c r="N53" s="652"/>
      <c r="O53" s="652"/>
      <c r="P53" s="182">
        <v>17</v>
      </c>
      <c r="Q53" s="182">
        <v>1258.3783783783774</v>
      </c>
      <c r="R53" s="182">
        <v>74.022257551669256</v>
      </c>
      <c r="S53" s="309">
        <f t="shared" si="11"/>
        <v>11</v>
      </c>
      <c r="T53" s="674"/>
      <c r="U53" s="182">
        <v>17</v>
      </c>
      <c r="V53" s="182">
        <v>1264.7368421052622</v>
      </c>
      <c r="W53" s="182">
        <v>74.39628482972131</v>
      </c>
      <c r="X53" s="309">
        <f t="shared" si="12"/>
        <v>12</v>
      </c>
      <c r="Y53" s="674"/>
      <c r="Z53" s="182">
        <v>17</v>
      </c>
      <c r="AA53" s="182">
        <v>1263.8709677419336</v>
      </c>
      <c r="AB53" s="182">
        <v>74.345351043643149</v>
      </c>
      <c r="AC53" s="309">
        <f t="shared" si="13"/>
        <v>12</v>
      </c>
      <c r="AD53" s="674"/>
      <c r="AE53" s="182">
        <v>17</v>
      </c>
      <c r="AF53" s="182">
        <v>1267.0588235294103</v>
      </c>
      <c r="AG53" s="182">
        <v>74.532871972318262</v>
      </c>
      <c r="AH53" s="309">
        <f t="shared" si="14"/>
        <v>11</v>
      </c>
      <c r="AI53" s="674"/>
      <c r="AJ53" s="182">
        <v>17</v>
      </c>
      <c r="AK53" s="182">
        <v>1266.8571428571415</v>
      </c>
      <c r="AL53" s="182">
        <v>74.521008403361265</v>
      </c>
      <c r="AM53" s="309">
        <f t="shared" si="15"/>
        <v>12</v>
      </c>
      <c r="AN53" s="674"/>
      <c r="AO53" s="182">
        <v>17</v>
      </c>
      <c r="AP53" s="182">
        <v>1288.421052631578</v>
      </c>
      <c r="AQ53" s="182">
        <v>75.789473684210478</v>
      </c>
      <c r="AR53" s="309">
        <f t="shared" si="16"/>
        <v>11</v>
      </c>
      <c r="AS53" s="674"/>
      <c r="AT53" s="182">
        <v>17</v>
      </c>
      <c r="AU53" s="182">
        <v>1253.5135135135126</v>
      </c>
      <c r="AV53" s="182">
        <v>73.736089030206628</v>
      </c>
      <c r="AW53" s="309">
        <f t="shared" si="17"/>
        <v>14</v>
      </c>
      <c r="AX53" s="674"/>
    </row>
    <row r="54" spans="2:50">
      <c r="B54" s="660"/>
      <c r="C54" s="309">
        <v>13</v>
      </c>
      <c r="D54" s="227" t="s">
        <v>805</v>
      </c>
      <c r="E54" s="182">
        <v>18</v>
      </c>
      <c r="F54" s="309">
        <v>1440</v>
      </c>
      <c r="G54" s="312">
        <v>80</v>
      </c>
      <c r="H54" s="702"/>
      <c r="I54" s="199">
        <f t="shared" si="18"/>
        <v>19</v>
      </c>
      <c r="J54" s="199">
        <f t="shared" si="19"/>
        <v>1333.0936648906845</v>
      </c>
      <c r="K54" s="200">
        <f t="shared" si="20"/>
        <v>70.162824467930776</v>
      </c>
      <c r="L54" s="634"/>
      <c r="M54" s="201">
        <f>RANK(K54, K$42:$K$71)</f>
        <v>22</v>
      </c>
      <c r="N54" s="652"/>
      <c r="O54" s="652"/>
      <c r="P54" s="182">
        <v>19</v>
      </c>
      <c r="Q54" s="182">
        <v>1297.4999999999989</v>
      </c>
      <c r="R54" s="182">
        <v>68.289473684210463</v>
      </c>
      <c r="S54" s="309">
        <f t="shared" si="11"/>
        <v>22</v>
      </c>
      <c r="T54" s="674"/>
      <c r="U54" s="182">
        <v>19</v>
      </c>
      <c r="V54" s="182">
        <v>1335.2238805970167</v>
      </c>
      <c r="W54" s="182">
        <v>70.274941084053509</v>
      </c>
      <c r="X54" s="309">
        <f t="shared" si="12"/>
        <v>20</v>
      </c>
      <c r="Y54" s="674"/>
      <c r="Z54" s="182">
        <v>19</v>
      </c>
      <c r="AA54" s="182">
        <v>1355.7894736842115</v>
      </c>
      <c r="AB54" s="182">
        <v>71.357340720221657</v>
      </c>
      <c r="AC54" s="309">
        <f t="shared" si="13"/>
        <v>20</v>
      </c>
      <c r="AD54" s="674"/>
      <c r="AE54" s="182">
        <v>19</v>
      </c>
      <c r="AF54" s="182">
        <v>1316.3076923076937</v>
      </c>
      <c r="AG54" s="182">
        <v>69.279352226720718</v>
      </c>
      <c r="AH54" s="309">
        <f t="shared" si="14"/>
        <v>21</v>
      </c>
      <c r="AI54" s="674"/>
      <c r="AJ54" s="182">
        <v>19</v>
      </c>
      <c r="AK54" s="182">
        <v>1349.577464788731</v>
      </c>
      <c r="AL54" s="182">
        <v>71.030392883617424</v>
      </c>
      <c r="AM54" s="309">
        <f t="shared" si="15"/>
        <v>21</v>
      </c>
      <c r="AN54" s="674"/>
      <c r="AO54" s="182">
        <v>19</v>
      </c>
      <c r="AP54" s="182">
        <v>1326.3999999999992</v>
      </c>
      <c r="AQ54" s="182">
        <v>69.810526315789431</v>
      </c>
      <c r="AR54" s="309">
        <f t="shared" si="16"/>
        <v>21</v>
      </c>
      <c r="AS54" s="674"/>
      <c r="AT54" s="182">
        <v>19</v>
      </c>
      <c r="AU54" s="182">
        <v>1350.8571428571415</v>
      </c>
      <c r="AV54" s="182">
        <v>71.097744360902183</v>
      </c>
      <c r="AW54" s="309">
        <f t="shared" si="17"/>
        <v>21</v>
      </c>
      <c r="AX54" s="674"/>
    </row>
    <row r="55" spans="2:50">
      <c r="B55" s="660"/>
      <c r="C55" s="309">
        <v>14</v>
      </c>
      <c r="D55" s="227" t="s">
        <v>381</v>
      </c>
      <c r="E55" s="182">
        <v>15</v>
      </c>
      <c r="F55" s="309">
        <v>1440</v>
      </c>
      <c r="G55" s="312">
        <v>96</v>
      </c>
      <c r="H55" s="702"/>
      <c r="I55" s="199">
        <f t="shared" si="18"/>
        <v>15</v>
      </c>
      <c r="J55" s="199">
        <f t="shared" si="19"/>
        <v>1278.4660791427627</v>
      </c>
      <c r="K55" s="200">
        <f t="shared" si="20"/>
        <v>85.231071942850832</v>
      </c>
      <c r="L55" s="634"/>
      <c r="M55" s="201">
        <f>RANK(K55, K$42:$K$71)</f>
        <v>3</v>
      </c>
      <c r="N55" s="652"/>
      <c r="O55" s="652"/>
      <c r="P55" s="182">
        <v>15</v>
      </c>
      <c r="Q55" s="182">
        <v>1287.2727272727243</v>
      </c>
      <c r="R55" s="182">
        <v>85.818181818181614</v>
      </c>
      <c r="S55" s="309">
        <f t="shared" si="11"/>
        <v>5</v>
      </c>
      <c r="T55" s="674"/>
      <c r="U55" s="182">
        <v>15</v>
      </c>
      <c r="V55" s="182">
        <v>1308.2142857142867</v>
      </c>
      <c r="W55" s="182">
        <v>87.214285714285779</v>
      </c>
      <c r="X55" s="309">
        <f t="shared" si="12"/>
        <v>3</v>
      </c>
      <c r="Y55" s="674"/>
      <c r="Z55" s="182">
        <v>15</v>
      </c>
      <c r="AA55" s="182">
        <v>1250.588235294118</v>
      </c>
      <c r="AB55" s="182">
        <v>83.372549019607874</v>
      </c>
      <c r="AC55" s="309">
        <f t="shared" si="13"/>
        <v>5</v>
      </c>
      <c r="AD55" s="674"/>
      <c r="AE55" s="182">
        <v>15</v>
      </c>
      <c r="AF55" s="182">
        <v>1253.207547169812</v>
      </c>
      <c r="AG55" s="182">
        <v>83.547169811320799</v>
      </c>
      <c r="AH55" s="309">
        <f t="shared" si="14"/>
        <v>4</v>
      </c>
      <c r="AI55" s="674"/>
      <c r="AJ55" s="182">
        <v>15</v>
      </c>
      <c r="AK55" s="182">
        <v>1271.3207547169818</v>
      </c>
      <c r="AL55" s="182">
        <v>84.75471698113212</v>
      </c>
      <c r="AM55" s="309">
        <f t="shared" si="15"/>
        <v>3</v>
      </c>
      <c r="AN55" s="674"/>
      <c r="AO55" s="182">
        <v>15</v>
      </c>
      <c r="AP55" s="182">
        <v>1293.1034482758596</v>
      </c>
      <c r="AQ55" s="182">
        <v>86.206896551723972</v>
      </c>
      <c r="AR55" s="309">
        <f t="shared" si="16"/>
        <v>3</v>
      </c>
      <c r="AS55" s="674"/>
      <c r="AT55" s="182">
        <v>15</v>
      </c>
      <c r="AU55" s="182">
        <v>1285.5555555555563</v>
      </c>
      <c r="AV55" s="182">
        <v>85.703703703703752</v>
      </c>
      <c r="AW55" s="309">
        <f t="shared" si="17"/>
        <v>4</v>
      </c>
      <c r="AX55" s="674"/>
    </row>
    <row r="56" spans="2:50">
      <c r="B56" s="660"/>
      <c r="C56" s="309">
        <v>15</v>
      </c>
      <c r="D56" s="227" t="s">
        <v>347</v>
      </c>
      <c r="E56" s="182">
        <v>17</v>
      </c>
      <c r="F56" s="309">
        <v>1440</v>
      </c>
      <c r="G56" s="312">
        <v>84.7</v>
      </c>
      <c r="H56" s="702"/>
      <c r="I56" s="199">
        <f t="shared" si="18"/>
        <v>16.428571428571427</v>
      </c>
      <c r="J56" s="199">
        <f t="shared" si="19"/>
        <v>1346.0455917649776</v>
      </c>
      <c r="K56" s="200">
        <f t="shared" si="20"/>
        <v>81.990355503608612</v>
      </c>
      <c r="L56" s="634"/>
      <c r="M56" s="199">
        <f>RANK(K56, K$42:$K$71)</f>
        <v>6</v>
      </c>
      <c r="N56" s="652"/>
      <c r="O56" s="652"/>
      <c r="P56" s="182">
        <v>16</v>
      </c>
      <c r="Q56" s="182">
        <v>1310.1176470588234</v>
      </c>
      <c r="R56" s="182">
        <v>81.882352941176464</v>
      </c>
      <c r="S56" s="309">
        <f t="shared" si="11"/>
        <v>6</v>
      </c>
      <c r="T56" s="674"/>
      <c r="U56" s="182">
        <v>16</v>
      </c>
      <c r="V56" s="182">
        <v>1348.1012658227839</v>
      </c>
      <c r="W56" s="182">
        <v>84.256329113923996</v>
      </c>
      <c r="X56" s="309">
        <f t="shared" si="12"/>
        <v>5</v>
      </c>
      <c r="Y56" s="674"/>
      <c r="Z56" s="182">
        <v>16</v>
      </c>
      <c r="AA56" s="182">
        <v>1338.8571428571415</v>
      </c>
      <c r="AB56" s="182">
        <v>83.678571428571345</v>
      </c>
      <c r="AC56" s="309">
        <f t="shared" si="13"/>
        <v>4</v>
      </c>
      <c r="AD56" s="674"/>
      <c r="AE56" s="182">
        <v>17</v>
      </c>
      <c r="AF56" s="182">
        <v>1355.5263157894728</v>
      </c>
      <c r="AG56" s="182">
        <v>79.736842105263108</v>
      </c>
      <c r="AH56" s="309">
        <f t="shared" si="14"/>
        <v>7</v>
      </c>
      <c r="AI56" s="674"/>
      <c r="AJ56" s="182">
        <v>17</v>
      </c>
      <c r="AK56" s="182">
        <v>1358.1176470588234</v>
      </c>
      <c r="AL56" s="182">
        <v>79.889273356401375</v>
      </c>
      <c r="AM56" s="309">
        <f t="shared" si="15"/>
        <v>8</v>
      </c>
      <c r="AN56" s="674"/>
      <c r="AO56" s="182">
        <v>16</v>
      </c>
      <c r="AP56" s="182">
        <v>1355.4545454545455</v>
      </c>
      <c r="AQ56" s="182">
        <v>84.715909090909093</v>
      </c>
      <c r="AR56" s="309">
        <f t="shared" si="16"/>
        <v>4</v>
      </c>
      <c r="AS56" s="674"/>
      <c r="AT56" s="182">
        <v>17</v>
      </c>
      <c r="AU56" s="182">
        <v>1356.1445783132526</v>
      </c>
      <c r="AV56" s="182">
        <v>79.773210489014858</v>
      </c>
      <c r="AW56" s="309">
        <f t="shared" si="17"/>
        <v>7</v>
      </c>
      <c r="AX56" s="674"/>
    </row>
    <row r="57" spans="2:50">
      <c r="B57" s="660"/>
      <c r="C57" s="309">
        <v>16</v>
      </c>
      <c r="D57" s="227" t="s">
        <v>376</v>
      </c>
      <c r="E57" s="182">
        <v>19</v>
      </c>
      <c r="F57" s="309">
        <v>1440</v>
      </c>
      <c r="G57" s="312">
        <v>75.8</v>
      </c>
      <c r="H57" s="702"/>
      <c r="I57" s="199">
        <f t="shared" si="18"/>
        <v>18</v>
      </c>
      <c r="J57" s="199">
        <f t="shared" si="19"/>
        <v>1297.307676763214</v>
      </c>
      <c r="K57" s="200">
        <f t="shared" si="20"/>
        <v>72.072648709067451</v>
      </c>
      <c r="L57" s="634"/>
      <c r="M57" s="199">
        <f>RANK(K57, K$42:$K$71)</f>
        <v>16</v>
      </c>
      <c r="N57" s="652"/>
      <c r="O57" s="652"/>
      <c r="P57" s="182">
        <v>18</v>
      </c>
      <c r="Q57" s="182">
        <v>1299.2727272727282</v>
      </c>
      <c r="R57" s="182">
        <v>72.18181818181823</v>
      </c>
      <c r="S57" s="309">
        <f t="shared" si="11"/>
        <v>14</v>
      </c>
      <c r="T57" s="674"/>
      <c r="U57" s="182">
        <v>18</v>
      </c>
      <c r="V57" s="182">
        <v>1280.0000000000009</v>
      </c>
      <c r="W57" s="182">
        <v>71.111111111111157</v>
      </c>
      <c r="X57" s="309">
        <f t="shared" si="12"/>
        <v>18</v>
      </c>
      <c r="Y57" s="674"/>
      <c r="Z57" s="182">
        <v>18</v>
      </c>
      <c r="AA57" s="182">
        <v>1303.7500000000002</v>
      </c>
      <c r="AB57" s="182">
        <v>72.430555555555571</v>
      </c>
      <c r="AC57" s="309">
        <f t="shared" si="13"/>
        <v>16</v>
      </c>
      <c r="AD57" s="674"/>
      <c r="AE57" s="182">
        <v>18</v>
      </c>
      <c r="AF57" s="182">
        <v>1310.9433962264159</v>
      </c>
      <c r="AG57" s="182">
        <v>72.830188679245325</v>
      </c>
      <c r="AH57" s="309">
        <f t="shared" si="14"/>
        <v>15</v>
      </c>
      <c r="AI57" s="674"/>
      <c r="AJ57" s="182">
        <v>18</v>
      </c>
      <c r="AK57" s="182">
        <v>1307.7777777777785</v>
      </c>
      <c r="AL57" s="182">
        <v>72.654320987654359</v>
      </c>
      <c r="AM57" s="309">
        <f t="shared" si="15"/>
        <v>17</v>
      </c>
      <c r="AN57" s="674"/>
      <c r="AO57" s="182">
        <v>18</v>
      </c>
      <c r="AP57" s="182">
        <v>1295.4098360655751</v>
      </c>
      <c r="AQ57" s="182">
        <v>71.967213114754173</v>
      </c>
      <c r="AR57" s="309">
        <f t="shared" si="16"/>
        <v>18</v>
      </c>
      <c r="AS57" s="674"/>
      <c r="AT57" s="182">
        <v>18</v>
      </c>
      <c r="AU57" s="182">
        <v>1284.0000000000007</v>
      </c>
      <c r="AV57" s="182">
        <v>71.333333333333371</v>
      </c>
      <c r="AW57" s="309">
        <f t="shared" si="17"/>
        <v>20</v>
      </c>
      <c r="AX57" s="674"/>
    </row>
    <row r="58" spans="2:50">
      <c r="B58" s="660"/>
      <c r="C58" s="309">
        <v>17</v>
      </c>
      <c r="D58" s="227" t="s">
        <v>382</v>
      </c>
      <c r="E58" s="182">
        <v>19</v>
      </c>
      <c r="F58" s="309">
        <v>1500</v>
      </c>
      <c r="G58" s="312">
        <v>78.900000000000006</v>
      </c>
      <c r="H58" s="702"/>
      <c r="I58" s="199">
        <f t="shared" si="18"/>
        <v>18</v>
      </c>
      <c r="J58" s="199">
        <f t="shared" si="19"/>
        <v>1283.3587412179816</v>
      </c>
      <c r="K58" s="200">
        <f t="shared" si="20"/>
        <v>71.297707845443426</v>
      </c>
      <c r="L58" s="634"/>
      <c r="M58" s="199">
        <f>RANK(K58, K$42:$K$71)</f>
        <v>19</v>
      </c>
      <c r="N58" s="652"/>
      <c r="O58" s="652"/>
      <c r="P58" s="182">
        <v>18</v>
      </c>
      <c r="Q58" s="182">
        <v>1298.9999999999995</v>
      </c>
      <c r="R58" s="182">
        <v>72.166666666666643</v>
      </c>
      <c r="S58" s="309">
        <f t="shared" si="11"/>
        <v>15</v>
      </c>
      <c r="T58" s="674"/>
      <c r="U58" s="182">
        <v>18</v>
      </c>
      <c r="V58" s="182">
        <v>1281.5384615384608</v>
      </c>
      <c r="W58" s="182">
        <v>71.19658119658115</v>
      </c>
      <c r="X58" s="309">
        <f t="shared" si="12"/>
        <v>17</v>
      </c>
      <c r="Y58" s="674"/>
      <c r="Z58" s="182">
        <v>18</v>
      </c>
      <c r="AA58" s="182">
        <v>1239.9999999999991</v>
      </c>
      <c r="AB58" s="182">
        <v>68.888888888888843</v>
      </c>
      <c r="AC58" s="309">
        <f t="shared" si="13"/>
        <v>22</v>
      </c>
      <c r="AD58" s="674"/>
      <c r="AE58" s="182">
        <v>18</v>
      </c>
      <c r="AF58" s="182">
        <v>1252.3076923076917</v>
      </c>
      <c r="AG58" s="182">
        <v>69.572649572649539</v>
      </c>
      <c r="AH58" s="309">
        <f t="shared" si="14"/>
        <v>20</v>
      </c>
      <c r="AI58" s="674"/>
      <c r="AJ58" s="182">
        <v>18</v>
      </c>
      <c r="AK58" s="182">
        <v>1313.3333333333323</v>
      </c>
      <c r="AL58" s="182">
        <v>72.962962962962905</v>
      </c>
      <c r="AM58" s="309">
        <f t="shared" si="15"/>
        <v>15</v>
      </c>
      <c r="AN58" s="674"/>
      <c r="AO58" s="182">
        <v>18</v>
      </c>
      <c r="AP58" s="182">
        <v>1296.2790697674418</v>
      </c>
      <c r="AQ58" s="182">
        <v>72.015503875968989</v>
      </c>
      <c r="AR58" s="309">
        <f t="shared" si="16"/>
        <v>17</v>
      </c>
      <c r="AS58" s="674"/>
      <c r="AT58" s="182">
        <v>18</v>
      </c>
      <c r="AU58" s="182">
        <v>1301.0526315789464</v>
      </c>
      <c r="AV58" s="182">
        <v>72.280701754385916</v>
      </c>
      <c r="AW58" s="309">
        <f t="shared" si="17"/>
        <v>18</v>
      </c>
      <c r="AX58" s="674"/>
    </row>
    <row r="59" spans="2:50">
      <c r="B59" s="660"/>
      <c r="C59" s="309">
        <v>18</v>
      </c>
      <c r="D59" s="227" t="s">
        <v>530</v>
      </c>
      <c r="E59" s="182">
        <v>18</v>
      </c>
      <c r="F59" s="309">
        <v>1440</v>
      </c>
      <c r="G59" s="312">
        <v>80</v>
      </c>
      <c r="H59" s="702"/>
      <c r="I59" s="199">
        <f t="shared" si="18"/>
        <v>17.857142857142858</v>
      </c>
      <c r="J59" s="199">
        <f t="shared" si="19"/>
        <v>1090.3968542363455</v>
      </c>
      <c r="K59" s="200">
        <f t="shared" si="20"/>
        <v>61.078443349264759</v>
      </c>
      <c r="L59" s="634"/>
      <c r="M59" s="199">
        <f>RANK(K59, K$42:$K$71)</f>
        <v>26</v>
      </c>
      <c r="N59" s="652"/>
      <c r="O59" s="652"/>
      <c r="P59" s="182">
        <v>18</v>
      </c>
      <c r="Q59" s="182">
        <v>1098.4615384615356</v>
      </c>
      <c r="R59" s="182">
        <v>61.025641025640866</v>
      </c>
      <c r="S59" s="309">
        <f t="shared" si="11"/>
        <v>27</v>
      </c>
      <c r="T59" s="674"/>
      <c r="U59" s="182">
        <v>18</v>
      </c>
      <c r="V59" s="182">
        <v>1068.3870967741918</v>
      </c>
      <c r="W59" s="182">
        <v>59.354838709677324</v>
      </c>
      <c r="X59" s="309">
        <f t="shared" si="12"/>
        <v>27</v>
      </c>
      <c r="Y59" s="674"/>
      <c r="Z59" s="182">
        <v>18</v>
      </c>
      <c r="AA59" s="182">
        <v>1087.8260869565181</v>
      </c>
      <c r="AB59" s="182">
        <v>60.43478260869545</v>
      </c>
      <c r="AC59" s="309">
        <f t="shared" si="13"/>
        <v>26</v>
      </c>
      <c r="AD59" s="674"/>
      <c r="AE59" s="182">
        <v>17</v>
      </c>
      <c r="AF59" s="182">
        <v>1072.799999999997</v>
      </c>
      <c r="AG59" s="182">
        <v>63.105882352941002</v>
      </c>
      <c r="AH59" s="309">
        <f t="shared" si="14"/>
        <v>27</v>
      </c>
      <c r="AI59" s="674"/>
      <c r="AJ59" s="182">
        <v>18</v>
      </c>
      <c r="AK59" s="182">
        <v>1088.1818181818221</v>
      </c>
      <c r="AL59" s="182">
        <v>60.454545454545674</v>
      </c>
      <c r="AM59" s="309">
        <f t="shared" si="15"/>
        <v>27</v>
      </c>
      <c r="AN59" s="674"/>
      <c r="AO59" s="182">
        <v>18</v>
      </c>
      <c r="AP59" s="182">
        <v>1111.0344827586187</v>
      </c>
      <c r="AQ59" s="182">
        <v>61.72413793103437</v>
      </c>
      <c r="AR59" s="309">
        <f t="shared" si="16"/>
        <v>27</v>
      </c>
      <c r="AS59" s="674"/>
      <c r="AT59" s="182">
        <v>18</v>
      </c>
      <c r="AU59" s="182">
        <v>1106.0869565217354</v>
      </c>
      <c r="AV59" s="182">
        <v>61.44927536231863</v>
      </c>
      <c r="AW59" s="309">
        <f t="shared" si="17"/>
        <v>27</v>
      </c>
      <c r="AX59" s="674"/>
    </row>
    <row r="60" spans="2:50">
      <c r="B60" s="660"/>
      <c r="C60" s="309">
        <v>19</v>
      </c>
      <c r="D60" s="227" t="s">
        <v>716</v>
      </c>
      <c r="E60" s="182">
        <v>17</v>
      </c>
      <c r="F60" s="309">
        <v>1385</v>
      </c>
      <c r="G60" s="312">
        <v>81.400000000000006</v>
      </c>
      <c r="H60" s="702"/>
      <c r="I60" s="199">
        <f t="shared" si="18"/>
        <v>18</v>
      </c>
      <c r="J60" s="199">
        <f t="shared" si="19"/>
        <v>1176.4359220922859</v>
      </c>
      <c r="K60" s="200">
        <f t="shared" si="20"/>
        <v>65.357551227349219</v>
      </c>
      <c r="L60" s="634"/>
      <c r="M60" s="199">
        <f>RANK(K60, K$42:$K$71)</f>
        <v>25</v>
      </c>
      <c r="N60" s="652"/>
      <c r="O60" s="652"/>
      <c r="P60" s="182">
        <v>18</v>
      </c>
      <c r="Q60" s="182">
        <v>1169.3617021276598</v>
      </c>
      <c r="R60" s="182">
        <v>64.964539007092213</v>
      </c>
      <c r="S60" s="309">
        <f t="shared" si="11"/>
        <v>25</v>
      </c>
      <c r="T60" s="674"/>
      <c r="U60" s="182">
        <v>18</v>
      </c>
      <c r="V60" s="182">
        <v>1162.3255813953488</v>
      </c>
      <c r="W60" s="182">
        <v>64.573643410852711</v>
      </c>
      <c r="X60" s="309">
        <f t="shared" si="12"/>
        <v>25</v>
      </c>
      <c r="Y60" s="674"/>
      <c r="Z60" s="182">
        <v>18</v>
      </c>
      <c r="AA60" s="182">
        <v>1199.9999999999984</v>
      </c>
      <c r="AB60" s="182">
        <v>66.666666666666572</v>
      </c>
      <c r="AC60" s="309">
        <f t="shared" si="13"/>
        <v>23</v>
      </c>
      <c r="AD60" s="674"/>
      <c r="AE60" s="182">
        <v>18</v>
      </c>
      <c r="AF60" s="182">
        <v>1198.4999999999995</v>
      </c>
      <c r="AG60" s="182">
        <v>66.583333333333314</v>
      </c>
      <c r="AH60" s="309">
        <f t="shared" si="14"/>
        <v>24</v>
      </c>
      <c r="AI60" s="674"/>
      <c r="AJ60" s="182">
        <v>18</v>
      </c>
      <c r="AK60" s="182">
        <v>1178.1818181818182</v>
      </c>
      <c r="AL60" s="182">
        <v>65.454545454545453</v>
      </c>
      <c r="AM60" s="309">
        <f t="shared" si="15"/>
        <v>25</v>
      </c>
      <c r="AN60" s="674"/>
      <c r="AO60" s="182">
        <v>18</v>
      </c>
      <c r="AP60" s="182">
        <v>1145.8823529411768</v>
      </c>
      <c r="AQ60" s="182">
        <v>63.660130718954264</v>
      </c>
      <c r="AR60" s="309">
        <f t="shared" si="16"/>
        <v>26</v>
      </c>
      <c r="AS60" s="674"/>
      <c r="AT60" s="182">
        <v>18</v>
      </c>
      <c r="AU60" s="182">
        <v>1180.8000000000004</v>
      </c>
      <c r="AV60" s="182">
        <v>65.600000000000023</v>
      </c>
      <c r="AW60" s="309">
        <f t="shared" si="17"/>
        <v>25</v>
      </c>
      <c r="AX60" s="674"/>
    </row>
    <row r="61" spans="2:50">
      <c r="B61" s="660"/>
      <c r="C61" s="309">
        <v>20</v>
      </c>
      <c r="D61" s="227" t="s">
        <v>780</v>
      </c>
      <c r="E61" s="182">
        <v>17</v>
      </c>
      <c r="F61" s="309">
        <v>1440</v>
      </c>
      <c r="G61" s="312">
        <v>84.7</v>
      </c>
      <c r="H61" s="702"/>
      <c r="I61" s="199">
        <f t="shared" si="18"/>
        <v>19</v>
      </c>
      <c r="J61" s="199">
        <f t="shared" si="19"/>
        <v>1272.2317145150407</v>
      </c>
      <c r="K61" s="200">
        <f t="shared" si="20"/>
        <v>66.959563921844236</v>
      </c>
      <c r="L61" s="634"/>
      <c r="M61" s="199">
        <f>RANK(K61, K$42:$K$71)</f>
        <v>24</v>
      </c>
      <c r="N61" s="652"/>
      <c r="O61" s="652"/>
      <c r="P61" s="182">
        <v>19</v>
      </c>
      <c r="Q61" s="182">
        <v>1266.3829787234044</v>
      </c>
      <c r="R61" s="182">
        <v>66.651735722284442</v>
      </c>
      <c r="S61" s="309">
        <f t="shared" si="11"/>
        <v>24</v>
      </c>
      <c r="T61" s="674"/>
      <c r="U61" s="182">
        <v>19</v>
      </c>
      <c r="V61" s="182">
        <v>1238.6666666666667</v>
      </c>
      <c r="W61" s="182">
        <v>65.192982456140356</v>
      </c>
      <c r="X61" s="309">
        <f t="shared" si="12"/>
        <v>24</v>
      </c>
      <c r="Y61" s="674"/>
      <c r="Z61" s="182">
        <v>19</v>
      </c>
      <c r="AA61" s="182">
        <v>1250.9999999999995</v>
      </c>
      <c r="AB61" s="182">
        <v>65.842105263157876</v>
      </c>
      <c r="AC61" s="309">
        <f t="shared" si="13"/>
        <v>24</v>
      </c>
      <c r="AD61" s="674"/>
      <c r="AE61" s="182">
        <v>19</v>
      </c>
      <c r="AF61" s="182">
        <v>1302.8571428571424</v>
      </c>
      <c r="AG61" s="182">
        <v>68.571428571428555</v>
      </c>
      <c r="AH61" s="309">
        <f t="shared" si="14"/>
        <v>22</v>
      </c>
      <c r="AI61" s="674"/>
      <c r="AJ61" s="182">
        <v>19</v>
      </c>
      <c r="AK61" s="182">
        <v>1285.4999999999995</v>
      </c>
      <c r="AL61" s="182">
        <v>67.657894736842081</v>
      </c>
      <c r="AM61" s="309">
        <f t="shared" si="15"/>
        <v>24</v>
      </c>
      <c r="AN61" s="674"/>
      <c r="AO61" s="182">
        <v>19</v>
      </c>
      <c r="AP61" s="182">
        <v>1245.30612244898</v>
      </c>
      <c r="AQ61" s="182">
        <v>65.542427497314733</v>
      </c>
      <c r="AR61" s="309">
        <f t="shared" si="16"/>
        <v>24</v>
      </c>
      <c r="AS61" s="674"/>
      <c r="AT61" s="182">
        <v>19</v>
      </c>
      <c r="AU61" s="182">
        <v>1315.909090909091</v>
      </c>
      <c r="AV61" s="182">
        <v>69.258373205741634</v>
      </c>
      <c r="AW61" s="309">
        <f t="shared" si="17"/>
        <v>23</v>
      </c>
      <c r="AX61" s="674"/>
    </row>
    <row r="62" spans="2:50">
      <c r="B62" s="660"/>
      <c r="C62" s="309">
        <v>21</v>
      </c>
      <c r="D62" s="227" t="s">
        <v>806</v>
      </c>
      <c r="E62" s="182">
        <v>17</v>
      </c>
      <c r="F62" s="309">
        <v>1500</v>
      </c>
      <c r="G62" s="312">
        <v>88.2</v>
      </c>
      <c r="H62" s="702"/>
      <c r="I62" s="199">
        <f t="shared" si="18"/>
        <v>17.571428571428573</v>
      </c>
      <c r="J62" s="199">
        <f t="shared" si="19"/>
        <v>1288.5030378710217</v>
      </c>
      <c r="K62" s="200">
        <f t="shared" si="20"/>
        <v>73.405729443738451</v>
      </c>
      <c r="L62" s="634"/>
      <c r="M62" s="199">
        <f>RANK(K62, K$42:$K$71)</f>
        <v>12</v>
      </c>
      <c r="N62" s="652"/>
      <c r="O62" s="652"/>
      <c r="P62" s="182">
        <v>18</v>
      </c>
      <c r="Q62" s="182">
        <v>1303.0985915492945</v>
      </c>
      <c r="R62" s="182">
        <v>72.394366197183032</v>
      </c>
      <c r="S62" s="309">
        <f t="shared" si="11"/>
        <v>13</v>
      </c>
      <c r="T62" s="674"/>
      <c r="U62" s="182">
        <v>18</v>
      </c>
      <c r="V62" s="182">
        <v>1258.3783783783774</v>
      </c>
      <c r="W62" s="182">
        <v>69.909909909909857</v>
      </c>
      <c r="X62" s="309">
        <f t="shared" si="12"/>
        <v>21</v>
      </c>
      <c r="Y62" s="674"/>
      <c r="Z62" s="182">
        <v>18</v>
      </c>
      <c r="AA62" s="182">
        <v>1289.0000000000011</v>
      </c>
      <c r="AB62" s="182">
        <v>71.611111111111171</v>
      </c>
      <c r="AC62" s="309">
        <f t="shared" si="13"/>
        <v>19</v>
      </c>
      <c r="AD62" s="674"/>
      <c r="AE62" s="182">
        <v>17</v>
      </c>
      <c r="AF62" s="182">
        <v>1290.9090909090921</v>
      </c>
      <c r="AG62" s="182">
        <v>75.93582887700542</v>
      </c>
      <c r="AH62" s="309">
        <f t="shared" si="14"/>
        <v>10</v>
      </c>
      <c r="AI62" s="674"/>
      <c r="AJ62" s="182">
        <v>17</v>
      </c>
      <c r="AK62" s="182">
        <v>1308.3582089552256</v>
      </c>
      <c r="AL62" s="182">
        <v>76.962247585601503</v>
      </c>
      <c r="AM62" s="309">
        <f t="shared" si="15"/>
        <v>11</v>
      </c>
      <c r="AN62" s="674"/>
      <c r="AO62" s="182">
        <v>18</v>
      </c>
      <c r="AP62" s="182">
        <v>1265.8333333333323</v>
      </c>
      <c r="AQ62" s="182">
        <v>70.324074074074019</v>
      </c>
      <c r="AR62" s="309">
        <f t="shared" si="16"/>
        <v>19</v>
      </c>
      <c r="AS62" s="674"/>
      <c r="AT62" s="182">
        <v>17</v>
      </c>
      <c r="AU62" s="182">
        <v>1303.9436619718297</v>
      </c>
      <c r="AV62" s="182">
        <v>76.7025683512841</v>
      </c>
      <c r="AW62" s="309">
        <f t="shared" si="17"/>
        <v>9</v>
      </c>
      <c r="AX62" s="674"/>
    </row>
    <row r="63" spans="2:50">
      <c r="B63" s="660"/>
      <c r="C63" s="309">
        <v>22</v>
      </c>
      <c r="D63" s="227" t="s">
        <v>811</v>
      </c>
      <c r="E63" s="182">
        <v>18</v>
      </c>
      <c r="F63" s="309">
        <v>1500</v>
      </c>
      <c r="G63" s="312">
        <v>83.3</v>
      </c>
      <c r="H63" s="702"/>
      <c r="I63" s="199">
        <f t="shared" si="18"/>
        <v>18</v>
      </c>
      <c r="J63" s="199">
        <f t="shared" si="19"/>
        <v>1296.5903315393975</v>
      </c>
      <c r="K63" s="200">
        <f t="shared" si="20"/>
        <v>72.0327961966332</v>
      </c>
      <c r="L63" s="634"/>
      <c r="M63" s="199">
        <f>RANK(K63, K$42:$K$71)</f>
        <v>17</v>
      </c>
      <c r="N63" s="652"/>
      <c r="O63" s="652"/>
      <c r="P63" s="182">
        <v>18</v>
      </c>
      <c r="Q63" s="182">
        <v>1293.1578947368412</v>
      </c>
      <c r="R63" s="182">
        <v>71.842105263157848</v>
      </c>
      <c r="S63" s="309">
        <f t="shared" si="11"/>
        <v>18</v>
      </c>
      <c r="T63" s="674"/>
      <c r="U63" s="182">
        <v>18</v>
      </c>
      <c r="V63" s="182">
        <v>1323.2432432432422</v>
      </c>
      <c r="W63" s="182">
        <v>73.513513513513459</v>
      </c>
      <c r="X63" s="309">
        <f t="shared" si="12"/>
        <v>13</v>
      </c>
      <c r="Y63" s="674"/>
      <c r="Z63" s="182">
        <v>18</v>
      </c>
      <c r="AA63" s="182">
        <v>1346.6666666666656</v>
      </c>
      <c r="AB63" s="182">
        <v>74.814814814814753</v>
      </c>
      <c r="AC63" s="309">
        <f t="shared" si="13"/>
        <v>11</v>
      </c>
      <c r="AD63" s="674"/>
      <c r="AE63" s="182">
        <v>18</v>
      </c>
      <c r="AF63" s="182">
        <v>1140.0000000000005</v>
      </c>
      <c r="AG63" s="182">
        <v>63.333333333333357</v>
      </c>
      <c r="AH63" s="309">
        <f t="shared" si="14"/>
        <v>25</v>
      </c>
      <c r="AI63" s="674"/>
      <c r="AJ63" s="182">
        <v>18</v>
      </c>
      <c r="AK63" s="182">
        <v>1325.8064516129043</v>
      </c>
      <c r="AL63" s="182">
        <v>73.655913978494681</v>
      </c>
      <c r="AM63" s="309">
        <f t="shared" si="15"/>
        <v>13</v>
      </c>
      <c r="AN63" s="674"/>
      <c r="AO63" s="182">
        <v>18</v>
      </c>
      <c r="AP63" s="182">
        <v>1312.2580645161304</v>
      </c>
      <c r="AQ63" s="182">
        <v>72.903225806451687</v>
      </c>
      <c r="AR63" s="309">
        <f t="shared" si="16"/>
        <v>14</v>
      </c>
      <c r="AS63" s="674"/>
      <c r="AT63" s="182">
        <v>18</v>
      </c>
      <c r="AU63" s="182">
        <v>1334.9999999999989</v>
      </c>
      <c r="AV63" s="182">
        <v>74.1666666666666</v>
      </c>
      <c r="AW63" s="309">
        <f t="shared" si="17"/>
        <v>13</v>
      </c>
      <c r="AX63" s="674"/>
    </row>
    <row r="64" spans="2:50">
      <c r="B64" s="660"/>
      <c r="C64" s="309">
        <v>23</v>
      </c>
      <c r="D64" s="227" t="s">
        <v>812</v>
      </c>
      <c r="E64" s="182">
        <v>20</v>
      </c>
      <c r="F64" s="309">
        <v>1380</v>
      </c>
      <c r="G64" s="312">
        <v>69</v>
      </c>
      <c r="H64" s="702"/>
      <c r="I64" s="199">
        <f t="shared" si="18"/>
        <v>19</v>
      </c>
      <c r="J64" s="199">
        <f t="shared" si="19"/>
        <v>1071.8293882541846</v>
      </c>
      <c r="K64" s="200">
        <f t="shared" si="20"/>
        <v>56.412073066009711</v>
      </c>
      <c r="L64" s="634"/>
      <c r="M64" s="199">
        <f>RANK(K64, K$42:$K$71)</f>
        <v>29</v>
      </c>
      <c r="N64" s="652"/>
      <c r="O64" s="652"/>
      <c r="P64" s="182">
        <v>19</v>
      </c>
      <c r="Q64" s="182">
        <v>1050.0000000000014</v>
      </c>
      <c r="R64" s="182">
        <v>55.263157894736914</v>
      </c>
      <c r="S64" s="309">
        <f t="shared" si="11"/>
        <v>30</v>
      </c>
      <c r="T64" s="674"/>
      <c r="U64" s="182">
        <v>19</v>
      </c>
      <c r="V64" s="182">
        <v>1074.6268656716431</v>
      </c>
      <c r="W64" s="182">
        <v>56.559308719560164</v>
      </c>
      <c r="X64" s="309">
        <f t="shared" si="12"/>
        <v>30</v>
      </c>
      <c r="Y64" s="674"/>
      <c r="Z64" s="182">
        <v>19</v>
      </c>
      <c r="AA64" s="182">
        <v>1104.2105263157903</v>
      </c>
      <c r="AB64" s="182">
        <v>58.11634349030475</v>
      </c>
      <c r="AC64" s="309">
        <f t="shared" si="13"/>
        <v>29</v>
      </c>
      <c r="AD64" s="674"/>
      <c r="AE64" s="182">
        <v>19</v>
      </c>
      <c r="AF64" s="182">
        <v>1062.4615384615395</v>
      </c>
      <c r="AG64" s="182">
        <v>55.919028340081027</v>
      </c>
      <c r="AH64" s="309">
        <f t="shared" si="14"/>
        <v>30</v>
      </c>
      <c r="AI64" s="674"/>
      <c r="AJ64" s="182">
        <v>19</v>
      </c>
      <c r="AK64" s="182">
        <v>1047.692307692309</v>
      </c>
      <c r="AL64" s="182">
        <v>55.141700404858369</v>
      </c>
      <c r="AM64" s="309">
        <f t="shared" si="15"/>
        <v>30</v>
      </c>
      <c r="AN64" s="674"/>
      <c r="AO64" s="182">
        <v>19</v>
      </c>
      <c r="AP64" s="182">
        <v>1077.3529411764691</v>
      </c>
      <c r="AQ64" s="182">
        <v>56.702786377708904</v>
      </c>
      <c r="AR64" s="309">
        <f t="shared" si="16"/>
        <v>29</v>
      </c>
      <c r="AS64" s="674"/>
      <c r="AT64" s="182">
        <v>19</v>
      </c>
      <c r="AU64" s="182">
        <v>1086.4615384615397</v>
      </c>
      <c r="AV64" s="182">
        <v>57.182186234817877</v>
      </c>
      <c r="AW64" s="309">
        <f t="shared" si="17"/>
        <v>29</v>
      </c>
      <c r="AX64" s="674"/>
    </row>
    <row r="65" spans="2:50">
      <c r="B65" s="660"/>
      <c r="C65" s="309">
        <v>24</v>
      </c>
      <c r="D65" s="227" t="s">
        <v>822</v>
      </c>
      <c r="E65" s="182">
        <v>16</v>
      </c>
      <c r="F65" s="309">
        <v>1565</v>
      </c>
      <c r="G65" s="312">
        <v>97.8</v>
      </c>
      <c r="H65" s="702"/>
      <c r="I65" s="199">
        <f t="shared" si="18"/>
        <v>17</v>
      </c>
      <c r="J65" s="199">
        <f t="shared" si="19"/>
        <v>1286.7198370238789</v>
      </c>
      <c r="K65" s="200">
        <f t="shared" si="20"/>
        <v>75.689402177875237</v>
      </c>
      <c r="L65" s="634"/>
      <c r="M65" s="199">
        <f>RANK(K65, K$42:$K$71)</f>
        <v>10</v>
      </c>
      <c r="N65" s="652"/>
      <c r="O65" s="652"/>
      <c r="P65" s="182">
        <v>17</v>
      </c>
      <c r="Q65" s="182">
        <v>1277.1428571428557</v>
      </c>
      <c r="R65" s="182">
        <v>75.126050420167985</v>
      </c>
      <c r="S65" s="309">
        <f t="shared" si="11"/>
        <v>10</v>
      </c>
      <c r="T65" s="674"/>
      <c r="U65" s="182">
        <v>17</v>
      </c>
      <c r="V65" s="182">
        <v>1316.3076923076937</v>
      </c>
      <c r="W65" s="182">
        <v>77.429864253393745</v>
      </c>
      <c r="X65" s="309">
        <f t="shared" si="12"/>
        <v>10</v>
      </c>
      <c r="Y65" s="674"/>
      <c r="Z65" s="182">
        <v>17</v>
      </c>
      <c r="AA65" s="182">
        <v>1312.6315789473695</v>
      </c>
      <c r="AB65" s="182">
        <v>77.213622291021736</v>
      </c>
      <c r="AC65" s="309">
        <f t="shared" si="13"/>
        <v>10</v>
      </c>
      <c r="AD65" s="674"/>
      <c r="AE65" s="182">
        <v>17</v>
      </c>
      <c r="AF65" s="182">
        <v>1244.3076923076937</v>
      </c>
      <c r="AG65" s="182">
        <v>73.194570135746687</v>
      </c>
      <c r="AH65" s="309">
        <f t="shared" si="14"/>
        <v>14</v>
      </c>
      <c r="AI65" s="674"/>
      <c r="AJ65" s="182">
        <v>17</v>
      </c>
      <c r="AK65" s="182">
        <v>1314.4615384615399</v>
      </c>
      <c r="AL65" s="182">
        <v>77.321266968325872</v>
      </c>
      <c r="AM65" s="309">
        <f t="shared" si="15"/>
        <v>10</v>
      </c>
      <c r="AN65" s="674"/>
      <c r="AO65" s="182">
        <v>17</v>
      </c>
      <c r="AP65" s="182">
        <v>1254.9999999999991</v>
      </c>
      <c r="AQ65" s="182">
        <v>73.823529411764653</v>
      </c>
      <c r="AR65" s="309">
        <f t="shared" si="16"/>
        <v>13</v>
      </c>
      <c r="AS65" s="674"/>
      <c r="AT65" s="182">
        <v>17</v>
      </c>
      <c r="AU65" s="182">
        <v>1287.1875000000016</v>
      </c>
      <c r="AV65" s="182">
        <v>75.716911764705969</v>
      </c>
      <c r="AW65" s="309">
        <f t="shared" si="17"/>
        <v>11</v>
      </c>
      <c r="AX65" s="674"/>
    </row>
    <row r="66" spans="2:50">
      <c r="B66" s="660"/>
      <c r="C66" s="309">
        <v>25</v>
      </c>
      <c r="D66" s="227" t="s">
        <v>834</v>
      </c>
      <c r="E66" s="182">
        <v>19</v>
      </c>
      <c r="F66" s="309">
        <v>1385</v>
      </c>
      <c r="G66" s="312">
        <v>72.900000000000006</v>
      </c>
      <c r="H66" s="702"/>
      <c r="I66" s="481">
        <f t="shared" ref="I66:I68" si="21">AVERAGE(P66,U66,Z66,AE66,AJ66,AO66,AT66)</f>
        <v>19</v>
      </c>
      <c r="J66" s="481">
        <f t="shared" ref="J66:J68" si="22">AVERAGE(Q66,V66,AA66,AF66,AK66,AP66,AU66)</f>
        <v>1081.7790878897677</v>
      </c>
      <c r="K66" s="200">
        <f t="shared" ref="K66:K68" si="23">AVERAGE(R66,W66,AB66,AG66,AL66,AQ66,AV66)</f>
        <v>56.935741467882515</v>
      </c>
      <c r="L66" s="634"/>
      <c r="M66" s="199">
        <f>RANK(K66, K$42:$K$71)</f>
        <v>28</v>
      </c>
      <c r="N66" s="652"/>
      <c r="O66" s="652"/>
      <c r="P66" s="182">
        <v>19</v>
      </c>
      <c r="Q66" s="182">
        <v>1097.7049180327879</v>
      </c>
      <c r="R66" s="182">
        <v>57.773943054357254</v>
      </c>
      <c r="S66" s="309">
        <f t="shared" si="11"/>
        <v>28</v>
      </c>
      <c r="T66" s="674"/>
      <c r="U66" s="182">
        <v>19</v>
      </c>
      <c r="V66" s="182">
        <v>1075.0819672131158</v>
      </c>
      <c r="W66" s="182">
        <v>56.583261432269254</v>
      </c>
      <c r="X66" s="309">
        <f t="shared" si="12"/>
        <v>29</v>
      </c>
      <c r="Y66" s="674"/>
      <c r="Z66" s="182">
        <v>19</v>
      </c>
      <c r="AA66" s="182">
        <v>1076.4000000000003</v>
      </c>
      <c r="AB66" s="182">
        <v>56.652631578947386</v>
      </c>
      <c r="AC66" s="309">
        <f t="shared" si="13"/>
        <v>30</v>
      </c>
      <c r="AD66" s="674"/>
      <c r="AE66" s="182">
        <v>19</v>
      </c>
      <c r="AF66" s="182">
        <v>1066.7796610169501</v>
      </c>
      <c r="AG66" s="182">
        <v>56.146297948260532</v>
      </c>
      <c r="AH66" s="309">
        <f t="shared" si="14"/>
        <v>29</v>
      </c>
      <c r="AI66" s="674"/>
      <c r="AJ66" s="182">
        <v>19</v>
      </c>
      <c r="AK66" s="182">
        <v>1105.8620689655181</v>
      </c>
      <c r="AL66" s="182">
        <v>58.203266787658848</v>
      </c>
      <c r="AM66" s="309">
        <f t="shared" si="15"/>
        <v>29</v>
      </c>
      <c r="AN66" s="674"/>
      <c r="AO66" s="182">
        <v>19</v>
      </c>
      <c r="AP66" s="182">
        <v>1070.6250000000014</v>
      </c>
      <c r="AQ66" s="182">
        <v>56.348684210526386</v>
      </c>
      <c r="AR66" s="309">
        <f t="shared" si="16"/>
        <v>30</v>
      </c>
      <c r="AS66" s="674"/>
      <c r="AT66" s="182">
        <v>19</v>
      </c>
      <c r="AU66" s="182">
        <v>1080.0000000000011</v>
      </c>
      <c r="AV66" s="182">
        <v>56.842105263157954</v>
      </c>
      <c r="AW66" s="309">
        <f t="shared" si="17"/>
        <v>30</v>
      </c>
      <c r="AX66" s="674"/>
    </row>
    <row r="67" spans="2:50">
      <c r="B67" s="660"/>
      <c r="C67" s="309">
        <v>26</v>
      </c>
      <c r="D67" s="227" t="s">
        <v>835</v>
      </c>
      <c r="E67" s="182">
        <v>18</v>
      </c>
      <c r="F67" s="309">
        <v>1440</v>
      </c>
      <c r="G67" s="312">
        <v>80</v>
      </c>
      <c r="H67" s="702"/>
      <c r="I67" s="481">
        <f t="shared" si="21"/>
        <v>18</v>
      </c>
      <c r="J67" s="481">
        <f t="shared" si="22"/>
        <v>1216.1363166866486</v>
      </c>
      <c r="K67" s="200">
        <f t="shared" si="23"/>
        <v>67.563128704813806</v>
      </c>
      <c r="L67" s="634"/>
      <c r="M67" s="199">
        <f>RANK(K67, K$42:$K$71)</f>
        <v>23</v>
      </c>
      <c r="N67" s="652"/>
      <c r="O67" s="652"/>
      <c r="P67" s="182">
        <v>18</v>
      </c>
      <c r="Q67" s="182">
        <v>1229.0909090909076</v>
      </c>
      <c r="R67" s="182">
        <v>68.282828282828206</v>
      </c>
      <c r="S67" s="309">
        <f t="shared" si="11"/>
        <v>23</v>
      </c>
      <c r="T67" s="674"/>
      <c r="U67" s="182">
        <v>18</v>
      </c>
      <c r="V67" s="182">
        <v>1227.9999999999977</v>
      </c>
      <c r="W67" s="182">
        <v>68.222222222222101</v>
      </c>
      <c r="X67" s="309">
        <f t="shared" si="12"/>
        <v>23</v>
      </c>
      <c r="Y67" s="674"/>
      <c r="Z67" s="182">
        <v>18</v>
      </c>
      <c r="AA67" s="182">
        <v>1064.5161290322565</v>
      </c>
      <c r="AB67" s="182">
        <v>59.139784946236468</v>
      </c>
      <c r="AC67" s="309">
        <f t="shared" si="13"/>
        <v>28</v>
      </c>
      <c r="AD67" s="674"/>
      <c r="AE67" s="182">
        <v>18</v>
      </c>
      <c r="AF67" s="182">
        <v>1233.999999999998</v>
      </c>
      <c r="AG67" s="182">
        <v>68.555555555555443</v>
      </c>
      <c r="AH67" s="309">
        <f t="shared" si="14"/>
        <v>23</v>
      </c>
      <c r="AI67" s="674"/>
      <c r="AJ67" s="182">
        <v>18</v>
      </c>
      <c r="AK67" s="182">
        <v>1276.5517241379287</v>
      </c>
      <c r="AL67" s="182">
        <v>70.91954022988493</v>
      </c>
      <c r="AM67" s="309">
        <f t="shared" si="15"/>
        <v>22</v>
      </c>
      <c r="AN67" s="674"/>
      <c r="AO67" s="182">
        <v>18</v>
      </c>
      <c r="AP67" s="182">
        <v>1254.5454545454529</v>
      </c>
      <c r="AQ67" s="182">
        <v>69.696969696969603</v>
      </c>
      <c r="AR67" s="309">
        <f t="shared" si="16"/>
        <v>22</v>
      </c>
      <c r="AS67" s="674"/>
      <c r="AT67" s="182">
        <v>18</v>
      </c>
      <c r="AU67" s="182">
        <v>1226.2499999999982</v>
      </c>
      <c r="AV67" s="182">
        <v>68.124999999999901</v>
      </c>
      <c r="AW67" s="309">
        <f t="shared" si="17"/>
        <v>24</v>
      </c>
      <c r="AX67" s="674"/>
    </row>
    <row r="68" spans="2:50">
      <c r="B68" s="660"/>
      <c r="C68" s="309">
        <v>27</v>
      </c>
      <c r="D68" s="227" t="s">
        <v>840</v>
      </c>
      <c r="E68" s="182">
        <v>16</v>
      </c>
      <c r="F68" s="309">
        <v>1440</v>
      </c>
      <c r="G68" s="312">
        <v>90</v>
      </c>
      <c r="H68" s="702"/>
      <c r="I68" s="481">
        <f t="shared" si="21"/>
        <v>15.714285714285714</v>
      </c>
      <c r="J68" s="481">
        <f t="shared" si="22"/>
        <v>1292.4316200853129</v>
      </c>
      <c r="K68" s="200">
        <f t="shared" si="23"/>
        <v>82.307397720659182</v>
      </c>
      <c r="L68" s="634"/>
      <c r="M68" s="199">
        <f>RANK(K68, K$42:$K$71)</f>
        <v>5</v>
      </c>
      <c r="N68" s="652"/>
      <c r="O68" s="652"/>
      <c r="P68" s="182">
        <v>15</v>
      </c>
      <c r="Q68" s="182">
        <v>1315.6363636363644</v>
      </c>
      <c r="R68" s="182">
        <v>87.709090909090961</v>
      </c>
      <c r="S68" s="309">
        <f t="shared" si="11"/>
        <v>3</v>
      </c>
      <c r="T68" s="674"/>
      <c r="U68" s="182">
        <v>16</v>
      </c>
      <c r="V68" s="182">
        <v>1308.4615384615392</v>
      </c>
      <c r="W68" s="182">
        <v>81.778846153846203</v>
      </c>
      <c r="X68" s="309">
        <f t="shared" si="12"/>
        <v>7</v>
      </c>
      <c r="Y68" s="674"/>
      <c r="Z68" s="182">
        <v>16</v>
      </c>
      <c r="AA68" s="182">
        <v>1306.0465116279067</v>
      </c>
      <c r="AB68" s="182">
        <v>81.627906976744171</v>
      </c>
      <c r="AC68" s="309">
        <f t="shared" si="13"/>
        <v>6</v>
      </c>
      <c r="AD68" s="674"/>
      <c r="AE68" s="182">
        <v>16</v>
      </c>
      <c r="AF68" s="182">
        <v>1295.0000000000005</v>
      </c>
      <c r="AG68" s="182">
        <v>80.937500000000028</v>
      </c>
      <c r="AH68" s="309">
        <f t="shared" si="14"/>
        <v>6</v>
      </c>
      <c r="AI68" s="674"/>
      <c r="AJ68" s="182">
        <v>16</v>
      </c>
      <c r="AK68" s="182">
        <v>1295.2941176470592</v>
      </c>
      <c r="AL68" s="182">
        <v>80.955882352941202</v>
      </c>
      <c r="AM68" s="309">
        <f t="shared" si="15"/>
        <v>6</v>
      </c>
      <c r="AN68" s="674"/>
      <c r="AO68" s="182">
        <v>16</v>
      </c>
      <c r="AP68" s="182">
        <v>1271.1111111111118</v>
      </c>
      <c r="AQ68" s="182">
        <v>79.444444444444485</v>
      </c>
      <c r="AR68" s="309">
        <f t="shared" si="16"/>
        <v>8</v>
      </c>
      <c r="AS68" s="674"/>
      <c r="AT68" s="182">
        <v>15</v>
      </c>
      <c r="AU68" s="182">
        <v>1255.471698113208</v>
      </c>
      <c r="AV68" s="182">
        <v>83.698113207547209</v>
      </c>
      <c r="AW68" s="309">
        <f t="shared" si="17"/>
        <v>5</v>
      </c>
      <c r="AX68" s="674"/>
    </row>
    <row r="69" spans="2:50">
      <c r="B69" s="660"/>
      <c r="C69" s="309">
        <v>28</v>
      </c>
      <c r="D69" s="227" t="s">
        <v>911</v>
      </c>
      <c r="E69" s="182">
        <v>21</v>
      </c>
      <c r="F69" s="309">
        <v>1500</v>
      </c>
      <c r="G69" s="312">
        <v>71.400000000000006</v>
      </c>
      <c r="H69" s="702"/>
      <c r="I69" s="527">
        <f t="shared" ref="I69:I70" si="24">AVERAGE(P69,U69,Z69,AE69,AJ69,AO69,AT69)</f>
        <v>20.142857142857142</v>
      </c>
      <c r="J69" s="527">
        <f t="shared" ref="J69:J70" si="25">AVERAGE(Q69,V69,AA69,AF69,AK69,AP69,AU69)</f>
        <v>1177.0200722664442</v>
      </c>
      <c r="K69" s="200">
        <f t="shared" ref="K69:K70" si="26">AVERAGE(R69,W69,AB69,AG69,AL69,AQ69,AV69)</f>
        <v>58.45081228679161</v>
      </c>
      <c r="L69" s="634"/>
      <c r="M69" s="199">
        <f>RANK(K69, K$42:$K$71)</f>
        <v>27</v>
      </c>
      <c r="N69" s="652"/>
      <c r="O69" s="652"/>
      <c r="P69" s="182">
        <v>21</v>
      </c>
      <c r="Q69" s="182">
        <v>1176.5625000000014</v>
      </c>
      <c r="R69" s="182">
        <v>56.026785714285779</v>
      </c>
      <c r="S69" s="309">
        <f t="shared" si="11"/>
        <v>29</v>
      </c>
      <c r="T69" s="674"/>
      <c r="U69" s="182">
        <v>20</v>
      </c>
      <c r="V69" s="182">
        <v>1169.0909090909104</v>
      </c>
      <c r="W69" s="182">
        <v>58.454545454545517</v>
      </c>
      <c r="X69" s="309">
        <f t="shared" si="12"/>
        <v>28</v>
      </c>
      <c r="Y69" s="674"/>
      <c r="Z69" s="182">
        <v>20</v>
      </c>
      <c r="AA69" s="182">
        <v>1188.3870967741948</v>
      </c>
      <c r="AB69" s="182">
        <v>59.419354838709737</v>
      </c>
      <c r="AC69" s="309">
        <f t="shared" si="13"/>
        <v>27</v>
      </c>
      <c r="AD69" s="674"/>
      <c r="AE69" s="182">
        <v>20</v>
      </c>
      <c r="AF69" s="182">
        <v>1175.0000000000005</v>
      </c>
      <c r="AG69" s="182">
        <v>58.750000000000021</v>
      </c>
      <c r="AH69" s="309">
        <f t="shared" si="14"/>
        <v>28</v>
      </c>
      <c r="AI69" s="674"/>
      <c r="AJ69" s="182">
        <v>20</v>
      </c>
      <c r="AK69" s="182">
        <v>1185.0000000000011</v>
      </c>
      <c r="AL69" s="182">
        <v>59.250000000000057</v>
      </c>
      <c r="AM69" s="309">
        <f t="shared" si="15"/>
        <v>28</v>
      </c>
      <c r="AN69" s="674"/>
      <c r="AO69" s="182">
        <v>20</v>
      </c>
      <c r="AP69" s="182">
        <v>1169.1000000000004</v>
      </c>
      <c r="AQ69" s="182">
        <v>58.45500000000002</v>
      </c>
      <c r="AR69" s="309">
        <f t="shared" si="16"/>
        <v>28</v>
      </c>
      <c r="AS69" s="674"/>
      <c r="AT69" s="182">
        <v>20</v>
      </c>
      <c r="AU69" s="182">
        <v>1176.0000000000014</v>
      </c>
      <c r="AV69" s="182">
        <v>58.800000000000068</v>
      </c>
      <c r="AW69" s="309">
        <f t="shared" si="17"/>
        <v>28</v>
      </c>
      <c r="AX69" s="674"/>
    </row>
    <row r="70" spans="2:50">
      <c r="B70" s="660"/>
      <c r="C70" s="309">
        <v>29</v>
      </c>
      <c r="D70" s="227" t="s">
        <v>925</v>
      </c>
      <c r="E70" s="182">
        <v>19</v>
      </c>
      <c r="F70" s="309">
        <v>1440</v>
      </c>
      <c r="G70" s="312">
        <v>75.8</v>
      </c>
      <c r="H70" s="702"/>
      <c r="I70" s="527">
        <f t="shared" si="24"/>
        <v>18</v>
      </c>
      <c r="J70" s="527">
        <f t="shared" si="25"/>
        <v>1283.1109991166286</v>
      </c>
      <c r="K70" s="200">
        <f t="shared" si="26"/>
        <v>71.283944395368252</v>
      </c>
      <c r="L70" s="634"/>
      <c r="M70" s="199">
        <f>RANK(K70, K$42:$K$71)</f>
        <v>20</v>
      </c>
      <c r="N70" s="652"/>
      <c r="O70" s="652"/>
      <c r="P70" s="182">
        <v>18</v>
      </c>
      <c r="Q70" s="182">
        <v>1293.2142857142867</v>
      </c>
      <c r="R70" s="182">
        <v>71.845238095238145</v>
      </c>
      <c r="S70" s="309">
        <f t="shared" si="11"/>
        <v>17</v>
      </c>
      <c r="T70" s="674"/>
      <c r="U70" s="182">
        <v>18</v>
      </c>
      <c r="V70" s="182">
        <v>1294.0000000000014</v>
      </c>
      <c r="W70" s="182">
        <v>71.888888888888971</v>
      </c>
      <c r="X70" s="309">
        <f t="shared" si="12"/>
        <v>16</v>
      </c>
      <c r="Y70" s="674"/>
      <c r="Z70" s="182">
        <v>18</v>
      </c>
      <c r="AA70" s="182">
        <v>1304.1509433962271</v>
      </c>
      <c r="AB70" s="182">
        <v>72.452830188679286</v>
      </c>
      <c r="AC70" s="309">
        <f t="shared" si="13"/>
        <v>15</v>
      </c>
      <c r="AD70" s="674"/>
      <c r="AE70" s="182">
        <v>18</v>
      </c>
      <c r="AF70" s="182">
        <v>1285.2000000000003</v>
      </c>
      <c r="AG70" s="182">
        <v>71.40000000000002</v>
      </c>
      <c r="AH70" s="309">
        <f t="shared" si="14"/>
        <v>18</v>
      </c>
      <c r="AI70" s="674"/>
      <c r="AJ70" s="182">
        <v>18</v>
      </c>
      <c r="AK70" s="182">
        <v>1270.8000000000004</v>
      </c>
      <c r="AL70" s="182">
        <v>70.600000000000023</v>
      </c>
      <c r="AM70" s="309">
        <f t="shared" si="15"/>
        <v>23</v>
      </c>
      <c r="AN70" s="674"/>
      <c r="AO70" s="182">
        <v>18</v>
      </c>
      <c r="AP70" s="182">
        <v>1245.0000000000009</v>
      </c>
      <c r="AQ70" s="182">
        <v>69.166666666666714</v>
      </c>
      <c r="AR70" s="309">
        <f t="shared" si="16"/>
        <v>23</v>
      </c>
      <c r="AS70" s="674"/>
      <c r="AT70" s="182">
        <v>18</v>
      </c>
      <c r="AU70" s="182">
        <v>1289.4117647058829</v>
      </c>
      <c r="AV70" s="182">
        <v>71.633986928104605</v>
      </c>
      <c r="AW70" s="309">
        <f t="shared" si="17"/>
        <v>19</v>
      </c>
      <c r="AX70" s="674"/>
    </row>
    <row r="71" spans="2:50">
      <c r="B71" s="660"/>
      <c r="C71" s="309">
        <v>30</v>
      </c>
      <c r="D71" s="227" t="s">
        <v>943</v>
      </c>
      <c r="E71" s="182">
        <v>20</v>
      </c>
      <c r="F71" s="309">
        <v>1500</v>
      </c>
      <c r="G71" s="312">
        <v>75</v>
      </c>
      <c r="H71" s="703"/>
      <c r="I71" s="202"/>
      <c r="J71" s="202"/>
      <c r="K71" s="202"/>
      <c r="L71" s="635"/>
      <c r="M71" s="199" t="e">
        <f>RANK(K71, K$42:$K$71)</f>
        <v>#N/A</v>
      </c>
      <c r="N71" s="652"/>
      <c r="O71" s="652"/>
      <c r="P71" s="182">
        <v>20</v>
      </c>
      <c r="Q71" s="182">
        <v>1258.695652173913</v>
      </c>
      <c r="R71" s="182">
        <v>62.934782608695649</v>
      </c>
      <c r="S71" s="309">
        <f t="shared" si="11"/>
        <v>26</v>
      </c>
      <c r="T71" s="674"/>
      <c r="U71" s="182">
        <v>20</v>
      </c>
      <c r="V71" s="182">
        <v>1291.1111111111118</v>
      </c>
      <c r="W71" s="182">
        <v>64.555555555555586</v>
      </c>
      <c r="X71" s="309">
        <f t="shared" si="12"/>
        <v>26</v>
      </c>
      <c r="Y71" s="674"/>
      <c r="Z71" s="182">
        <v>20</v>
      </c>
      <c r="AA71" s="182">
        <v>1257.9310344827597</v>
      </c>
      <c r="AB71" s="182">
        <v>62.896551724137986</v>
      </c>
      <c r="AC71" s="309">
        <f t="shared" si="13"/>
        <v>25</v>
      </c>
      <c r="AD71" s="674"/>
      <c r="AE71" s="182">
        <v>20</v>
      </c>
      <c r="AF71" s="182">
        <v>1263.5294117647065</v>
      </c>
      <c r="AG71" s="182">
        <v>63.176470588235325</v>
      </c>
      <c r="AH71" s="309">
        <f t="shared" si="14"/>
        <v>26</v>
      </c>
      <c r="AI71" s="674"/>
      <c r="AJ71" s="182">
        <v>20</v>
      </c>
      <c r="AK71" s="182">
        <v>1262.4000000000003</v>
      </c>
      <c r="AL71" s="182">
        <v>63.120000000000019</v>
      </c>
      <c r="AM71" s="309">
        <f t="shared" si="15"/>
        <v>26</v>
      </c>
      <c r="AN71" s="674"/>
      <c r="AO71" s="182">
        <v>20</v>
      </c>
      <c r="AP71" s="182">
        <v>1296.7346938775513</v>
      </c>
      <c r="AQ71" s="182">
        <v>64.83673469387756</v>
      </c>
      <c r="AR71" s="309">
        <f t="shared" si="16"/>
        <v>25</v>
      </c>
      <c r="AS71" s="674"/>
      <c r="AT71" s="182">
        <v>20</v>
      </c>
      <c r="AU71" s="182">
        <v>1273.0434782608695</v>
      </c>
      <c r="AV71" s="182">
        <v>63.652173913043477</v>
      </c>
      <c r="AW71" s="309">
        <f t="shared" si="17"/>
        <v>26</v>
      </c>
      <c r="AX71" s="674"/>
    </row>
    <row r="72" spans="2:50" ht="15.75">
      <c r="B72" s="678" t="s">
        <v>163</v>
      </c>
      <c r="C72" s="679"/>
      <c r="D72" s="679"/>
      <c r="E72" s="679"/>
      <c r="F72" s="679"/>
      <c r="G72" s="679"/>
      <c r="H72" s="679"/>
      <c r="I72" s="208"/>
      <c r="J72" s="203"/>
      <c r="K72" s="208"/>
      <c r="L72" s="208"/>
      <c r="M72" s="204"/>
      <c r="N72" s="653" t="s">
        <v>156</v>
      </c>
      <c r="O72" s="653" t="s">
        <v>105</v>
      </c>
      <c r="P72" s="659">
        <f>P37+7</f>
        <v>46063</v>
      </c>
      <c r="Q72" s="660"/>
      <c r="R72" s="660"/>
      <c r="S72" s="660"/>
      <c r="T72" s="660"/>
      <c r="U72" s="656">
        <f>P72+1</f>
        <v>46064</v>
      </c>
      <c r="V72" s="657"/>
      <c r="W72" s="657"/>
      <c r="X72" s="657"/>
      <c r="Y72" s="658"/>
      <c r="Z72" s="656">
        <f>U72+1</f>
        <v>46065</v>
      </c>
      <c r="AA72" s="657"/>
      <c r="AB72" s="657"/>
      <c r="AC72" s="657"/>
      <c r="AD72" s="658"/>
      <c r="AE72" s="656">
        <f>Z72+1</f>
        <v>46066</v>
      </c>
      <c r="AF72" s="657"/>
      <c r="AG72" s="657"/>
      <c r="AH72" s="657"/>
      <c r="AI72" s="658"/>
      <c r="AJ72" s="656">
        <f>AE72+1</f>
        <v>46067</v>
      </c>
      <c r="AK72" s="657"/>
      <c r="AL72" s="657"/>
      <c r="AM72" s="657"/>
      <c r="AN72" s="658"/>
      <c r="AO72" s="656">
        <f>AJ72+1</f>
        <v>46068</v>
      </c>
      <c r="AP72" s="657"/>
      <c r="AQ72" s="657"/>
      <c r="AR72" s="657"/>
      <c r="AS72" s="658"/>
      <c r="AT72" s="656">
        <f>AO72+1</f>
        <v>46069</v>
      </c>
      <c r="AU72" s="657"/>
      <c r="AV72" s="657"/>
      <c r="AW72" s="657"/>
      <c r="AX72" s="658"/>
    </row>
    <row r="73" spans="2:50" ht="15.75">
      <c r="B73" s="667"/>
      <c r="C73" s="667"/>
      <c r="D73" s="667"/>
      <c r="E73" s="667"/>
      <c r="F73" s="667"/>
      <c r="G73" s="667"/>
      <c r="H73" s="667"/>
      <c r="I73" s="205"/>
      <c r="J73" s="205"/>
      <c r="K73" s="205"/>
      <c r="L73" s="205"/>
      <c r="M73" s="206"/>
      <c r="N73" s="655"/>
      <c r="O73" s="655"/>
      <c r="P73" s="659" t="s">
        <v>336</v>
      </c>
      <c r="Q73" s="660"/>
      <c r="R73" s="660"/>
      <c r="S73" s="660"/>
      <c r="T73" s="660"/>
      <c r="U73" s="659" t="s">
        <v>337</v>
      </c>
      <c r="V73" s="660"/>
      <c r="W73" s="660"/>
      <c r="X73" s="660"/>
      <c r="Y73" s="660"/>
      <c r="Z73" s="659" t="s">
        <v>338</v>
      </c>
      <c r="AA73" s="660"/>
      <c r="AB73" s="660"/>
      <c r="AC73" s="660"/>
      <c r="AD73" s="660"/>
      <c r="AE73" s="659" t="s">
        <v>339</v>
      </c>
      <c r="AF73" s="660"/>
      <c r="AG73" s="660"/>
      <c r="AH73" s="660"/>
      <c r="AI73" s="660"/>
      <c r="AJ73" s="659" t="s">
        <v>340</v>
      </c>
      <c r="AK73" s="660"/>
      <c r="AL73" s="660"/>
      <c r="AM73" s="660"/>
      <c r="AN73" s="660"/>
      <c r="AO73" s="659" t="s">
        <v>341</v>
      </c>
      <c r="AP73" s="660"/>
      <c r="AQ73" s="660"/>
      <c r="AR73" s="660"/>
      <c r="AS73" s="660"/>
      <c r="AT73" s="659" t="s">
        <v>342</v>
      </c>
      <c r="AU73" s="660"/>
      <c r="AV73" s="660"/>
      <c r="AW73" s="660"/>
      <c r="AX73" s="660"/>
    </row>
    <row r="74" spans="2:50">
      <c r="B74" s="652" t="s">
        <v>490</v>
      </c>
      <c r="C74" s="652" t="s">
        <v>491</v>
      </c>
      <c r="D74" s="652"/>
      <c r="E74" s="652" t="s">
        <v>492</v>
      </c>
      <c r="F74" s="652"/>
      <c r="G74" s="652"/>
      <c r="H74" s="668" t="s">
        <v>493</v>
      </c>
      <c r="I74" s="636" t="s">
        <v>494</v>
      </c>
      <c r="J74" s="636"/>
      <c r="K74" s="636"/>
      <c r="L74" s="637" t="s">
        <v>493</v>
      </c>
      <c r="M74" s="643" t="s">
        <v>495</v>
      </c>
      <c r="N74" s="652"/>
      <c r="O74" s="652" t="s">
        <v>496</v>
      </c>
      <c r="P74" s="649" t="s">
        <v>497</v>
      </c>
      <c r="Q74" s="650"/>
      <c r="R74" s="650"/>
      <c r="S74" s="651"/>
      <c r="T74" s="652" t="s">
        <v>493</v>
      </c>
      <c r="U74" s="649" t="s">
        <v>497</v>
      </c>
      <c r="V74" s="650"/>
      <c r="W74" s="650"/>
      <c r="X74" s="651"/>
      <c r="Y74" s="652" t="s">
        <v>493</v>
      </c>
      <c r="Z74" s="649" t="s">
        <v>497</v>
      </c>
      <c r="AA74" s="650"/>
      <c r="AB74" s="650"/>
      <c r="AC74" s="651"/>
      <c r="AD74" s="652" t="s">
        <v>493</v>
      </c>
      <c r="AE74" s="649" t="s">
        <v>497</v>
      </c>
      <c r="AF74" s="650"/>
      <c r="AG74" s="650"/>
      <c r="AH74" s="651"/>
      <c r="AI74" s="652" t="s">
        <v>493</v>
      </c>
      <c r="AJ74" s="649" t="s">
        <v>497</v>
      </c>
      <c r="AK74" s="650"/>
      <c r="AL74" s="650"/>
      <c r="AM74" s="651"/>
      <c r="AN74" s="652" t="s">
        <v>493</v>
      </c>
      <c r="AO74" s="649" t="s">
        <v>497</v>
      </c>
      <c r="AP74" s="650"/>
      <c r="AQ74" s="650"/>
      <c r="AR74" s="651"/>
      <c r="AS74" s="652" t="s">
        <v>493</v>
      </c>
      <c r="AT74" s="649" t="s">
        <v>497</v>
      </c>
      <c r="AU74" s="650"/>
      <c r="AV74" s="650"/>
      <c r="AW74" s="651"/>
      <c r="AX74" s="652" t="s">
        <v>493</v>
      </c>
    </row>
    <row r="75" spans="2:50">
      <c r="B75" s="652"/>
      <c r="C75" s="652"/>
      <c r="D75" s="652"/>
      <c r="E75" s="652" t="s">
        <v>498</v>
      </c>
      <c r="F75" s="652"/>
      <c r="G75" s="652"/>
      <c r="H75" s="669"/>
      <c r="I75" s="636" t="s">
        <v>498</v>
      </c>
      <c r="J75" s="636"/>
      <c r="K75" s="636"/>
      <c r="L75" s="638"/>
      <c r="M75" s="644"/>
      <c r="N75" s="652"/>
      <c r="O75" s="652"/>
      <c r="P75" s="649" t="s">
        <v>499</v>
      </c>
      <c r="Q75" s="650"/>
      <c r="R75" s="650"/>
      <c r="S75" s="651"/>
      <c r="T75" s="652"/>
      <c r="U75" s="649" t="s">
        <v>499</v>
      </c>
      <c r="V75" s="650"/>
      <c r="W75" s="650"/>
      <c r="X75" s="651"/>
      <c r="Y75" s="652"/>
      <c r="Z75" s="649" t="s">
        <v>499</v>
      </c>
      <c r="AA75" s="650"/>
      <c r="AB75" s="650"/>
      <c r="AC75" s="651"/>
      <c r="AD75" s="652"/>
      <c r="AE75" s="649" t="s">
        <v>499</v>
      </c>
      <c r="AF75" s="650"/>
      <c r="AG75" s="650"/>
      <c r="AH75" s="651"/>
      <c r="AI75" s="652"/>
      <c r="AJ75" s="649" t="s">
        <v>499</v>
      </c>
      <c r="AK75" s="650"/>
      <c r="AL75" s="650"/>
      <c r="AM75" s="651"/>
      <c r="AN75" s="652"/>
      <c r="AO75" s="649" t="s">
        <v>499</v>
      </c>
      <c r="AP75" s="650"/>
      <c r="AQ75" s="650"/>
      <c r="AR75" s="651"/>
      <c r="AS75" s="652"/>
      <c r="AT75" s="649" t="s">
        <v>499</v>
      </c>
      <c r="AU75" s="650"/>
      <c r="AV75" s="650"/>
      <c r="AW75" s="651"/>
      <c r="AX75" s="652"/>
    </row>
    <row r="76" spans="2:50">
      <c r="B76" s="652"/>
      <c r="C76" s="652"/>
      <c r="D76" s="652"/>
      <c r="E76" s="308" t="s">
        <v>500</v>
      </c>
      <c r="F76" s="308" t="s">
        <v>501</v>
      </c>
      <c r="G76" s="308" t="s">
        <v>502</v>
      </c>
      <c r="H76" s="670"/>
      <c r="I76" s="307" t="s">
        <v>500</v>
      </c>
      <c r="J76" s="307" t="s">
        <v>501</v>
      </c>
      <c r="K76" s="307" t="s">
        <v>502</v>
      </c>
      <c r="L76" s="639"/>
      <c r="M76" s="645"/>
      <c r="N76" s="652"/>
      <c r="O76" s="652"/>
      <c r="P76" s="308" t="s">
        <v>500</v>
      </c>
      <c r="Q76" s="308" t="s">
        <v>501</v>
      </c>
      <c r="R76" s="308" t="s">
        <v>502</v>
      </c>
      <c r="S76" s="308" t="s">
        <v>495</v>
      </c>
      <c r="T76" s="652"/>
      <c r="U76" s="308" t="s">
        <v>500</v>
      </c>
      <c r="V76" s="308" t="s">
        <v>501</v>
      </c>
      <c r="W76" s="308" t="s">
        <v>502</v>
      </c>
      <c r="X76" s="308" t="s">
        <v>495</v>
      </c>
      <c r="Y76" s="652"/>
      <c r="Z76" s="308" t="s">
        <v>500</v>
      </c>
      <c r="AA76" s="308" t="s">
        <v>501</v>
      </c>
      <c r="AB76" s="308" t="s">
        <v>502</v>
      </c>
      <c r="AC76" s="308" t="s">
        <v>495</v>
      </c>
      <c r="AD76" s="652"/>
      <c r="AE76" s="308" t="s">
        <v>500</v>
      </c>
      <c r="AF76" s="308" t="s">
        <v>501</v>
      </c>
      <c r="AG76" s="308" t="s">
        <v>502</v>
      </c>
      <c r="AH76" s="308" t="s">
        <v>495</v>
      </c>
      <c r="AI76" s="652"/>
      <c r="AJ76" s="308" t="s">
        <v>500</v>
      </c>
      <c r="AK76" s="308" t="s">
        <v>501</v>
      </c>
      <c r="AL76" s="308" t="s">
        <v>502</v>
      </c>
      <c r="AM76" s="308" t="s">
        <v>495</v>
      </c>
      <c r="AN76" s="652"/>
      <c r="AO76" s="308" t="s">
        <v>500</v>
      </c>
      <c r="AP76" s="308" t="s">
        <v>501</v>
      </c>
      <c r="AQ76" s="308" t="s">
        <v>502</v>
      </c>
      <c r="AR76" s="308" t="s">
        <v>495</v>
      </c>
      <c r="AS76" s="652"/>
      <c r="AT76" s="308" t="s">
        <v>500</v>
      </c>
      <c r="AU76" s="308" t="s">
        <v>501</v>
      </c>
      <c r="AV76" s="308" t="s">
        <v>502</v>
      </c>
      <c r="AW76" s="308" t="s">
        <v>495</v>
      </c>
      <c r="AX76" s="652"/>
    </row>
    <row r="77" spans="2:50">
      <c r="B77" s="652" t="s">
        <v>503</v>
      </c>
      <c r="C77" s="309">
        <v>1</v>
      </c>
      <c r="D77" s="227" t="s">
        <v>373</v>
      </c>
      <c r="E77" s="182">
        <v>6</v>
      </c>
      <c r="F77" s="551">
        <v>1500</v>
      </c>
      <c r="G77" s="552">
        <v>250</v>
      </c>
      <c r="H77" s="701">
        <f>AVERAGE(G77:G106)</f>
        <v>96.221666666666707</v>
      </c>
      <c r="I77" s="199">
        <f>AVERAGE(P77,U77,Z77,AE77,AJ77,AO77,AT77)</f>
        <v>6</v>
      </c>
      <c r="J77" s="199">
        <f>AVERAGE(Q77,V77,AA77,AF77,AK77,AP77,AU77)</f>
        <v>1398.6412944934832</v>
      </c>
      <c r="K77" s="200">
        <f>AVERAGE(R77,W77,AB77,AG77,AL77,AQ77,AV77)</f>
        <v>233.10688241558054</v>
      </c>
      <c r="L77" s="633">
        <f>IFERROR(AVERAGE(K77:K106),"-")</f>
        <v>82.300953557265444</v>
      </c>
      <c r="M77" s="201">
        <f>RANK(K77, K$77:$K$106)</f>
        <v>1</v>
      </c>
      <c r="N77" s="652"/>
      <c r="O77" s="652"/>
      <c r="P77" s="182">
        <v>6</v>
      </c>
      <c r="Q77" s="182">
        <v>1389.0825688073392</v>
      </c>
      <c r="R77" s="182">
        <v>231.51376146788985</v>
      </c>
      <c r="S77" s="309">
        <f>RANK(R77, R$77:R$106)</f>
        <v>1</v>
      </c>
      <c r="T77" s="674">
        <f>AVERAGE(R77:R106)</f>
        <v>82.42887761122175</v>
      </c>
      <c r="U77" s="182">
        <v>6</v>
      </c>
      <c r="V77" s="182">
        <v>1366.7914691943129</v>
      </c>
      <c r="W77" s="182">
        <v>227.79857819905214</v>
      </c>
      <c r="X77" s="335">
        <f>RANK(W77, W$77:W$106)</f>
        <v>1</v>
      </c>
      <c r="Y77" s="674">
        <f>AVERAGE(W77:W106)</f>
        <v>82.492109018971931</v>
      </c>
      <c r="Z77" s="182">
        <v>6</v>
      </c>
      <c r="AA77" s="182">
        <v>1405.1016949152543</v>
      </c>
      <c r="AB77" s="182">
        <v>234.18361581920905</v>
      </c>
      <c r="AC77" s="335">
        <f>RANK(AB77, AB$77:AB$106)</f>
        <v>1</v>
      </c>
      <c r="AD77" s="674">
        <f>AVERAGE(AB77:AB106)</f>
        <v>82.531116090102671</v>
      </c>
      <c r="AE77" s="182">
        <v>6</v>
      </c>
      <c r="AF77" s="182">
        <v>1415.7102272727273</v>
      </c>
      <c r="AG77" s="182">
        <v>235.95170454545453</v>
      </c>
      <c r="AH77" s="335">
        <f>RANK(AG77, AG$77:AG$106)</f>
        <v>1</v>
      </c>
      <c r="AI77" s="674">
        <f>AVERAGE(AG77:AG106)</f>
        <v>81.510487667855557</v>
      </c>
      <c r="AJ77" s="182">
        <v>6</v>
      </c>
      <c r="AK77" s="182">
        <v>1407.3281249999995</v>
      </c>
      <c r="AL77" s="182">
        <v>234.55468749999991</v>
      </c>
      <c r="AM77" s="335">
        <f>RANK(AL77, AL$77:AL$106)</f>
        <v>1</v>
      </c>
      <c r="AN77" s="674">
        <f>AVERAGE(AL77:AL106)</f>
        <v>82.163272536027918</v>
      </c>
      <c r="AO77" s="182">
        <v>6</v>
      </c>
      <c r="AP77" s="182">
        <v>1417.3561643835619</v>
      </c>
      <c r="AQ77" s="182">
        <v>236.22602739726031</v>
      </c>
      <c r="AR77" s="335">
        <f>RANK(AQ77, AQ$77:AQ$106)</f>
        <v>1</v>
      </c>
      <c r="AS77" s="674">
        <f>AVERAGE(AQ77:AQ106)</f>
        <v>82.062162695742785</v>
      </c>
      <c r="AT77" s="182">
        <v>6</v>
      </c>
      <c r="AU77" s="182">
        <v>1389.1188118811879</v>
      </c>
      <c r="AV77" s="182">
        <v>231.51980198019797</v>
      </c>
      <c r="AW77" s="335">
        <f>RANK(AV77, AV$77:AV$106)</f>
        <v>1</v>
      </c>
      <c r="AX77" s="674">
        <f>AVERAGE(AV77:AV106)</f>
        <v>82.918649280935412</v>
      </c>
    </row>
    <row r="78" spans="2:50">
      <c r="B78" s="660"/>
      <c r="C78" s="309">
        <v>2</v>
      </c>
      <c r="D78" s="227" t="s">
        <v>393</v>
      </c>
      <c r="E78" s="182">
        <v>6</v>
      </c>
      <c r="F78" s="551">
        <v>1636</v>
      </c>
      <c r="G78" s="552">
        <v>272.7</v>
      </c>
      <c r="H78" s="702"/>
      <c r="I78" s="199">
        <f t="shared" ref="I78:I99" si="27">AVERAGE(P78,U78,Z78,AE78,AJ78,AO78,AT78)</f>
        <v>7</v>
      </c>
      <c r="J78" s="199">
        <f t="shared" ref="J78:J99" si="28">AVERAGE(Q78,V78,AA78,AF78,AK78,AP78,AU78)</f>
        <v>1471.110704225064</v>
      </c>
      <c r="K78" s="200">
        <f t="shared" ref="K78:K99" si="29">AVERAGE(R78,W78,AB78,AG78,AL78,AQ78,AV78)</f>
        <v>210.158672032152</v>
      </c>
      <c r="L78" s="634"/>
      <c r="M78" s="201">
        <f>RANK(K78, K$77:$K$106)</f>
        <v>2</v>
      </c>
      <c r="N78" s="652"/>
      <c r="O78" s="652"/>
      <c r="P78" s="182">
        <v>7</v>
      </c>
      <c r="Q78" s="182">
        <v>1482.5806451612907</v>
      </c>
      <c r="R78" s="182">
        <v>211.79723502304154</v>
      </c>
      <c r="S78" s="335">
        <f t="shared" ref="S78:S106" si="30">RANK(R78, R$77:R$106)</f>
        <v>2</v>
      </c>
      <c r="T78" s="674"/>
      <c r="U78" s="182">
        <v>7</v>
      </c>
      <c r="V78" s="182">
        <v>1476.4044943820224</v>
      </c>
      <c r="W78" s="182">
        <v>210.91492776886034</v>
      </c>
      <c r="X78" s="335">
        <f t="shared" ref="X78:X106" si="31">RANK(W78, W$77:W$106)</f>
        <v>2</v>
      </c>
      <c r="Y78" s="674"/>
      <c r="Z78" s="182">
        <v>7</v>
      </c>
      <c r="AA78" s="182">
        <v>1464.1558441558448</v>
      </c>
      <c r="AB78" s="182">
        <v>209.16512059369211</v>
      </c>
      <c r="AC78" s="335">
        <f t="shared" ref="AC78:AC106" si="32">RANK(AB78, AB$77:AB$106)</f>
        <v>2</v>
      </c>
      <c r="AD78" s="674"/>
      <c r="AE78" s="182">
        <v>7</v>
      </c>
      <c r="AF78" s="182">
        <v>1441.4634146341459</v>
      </c>
      <c r="AG78" s="182">
        <v>205.92334494773513</v>
      </c>
      <c r="AH78" s="335">
        <f t="shared" ref="AH78:AH106" si="33">RANK(AG78, AG$77:AG$106)</f>
        <v>2</v>
      </c>
      <c r="AI78" s="674"/>
      <c r="AJ78" s="182">
        <v>7</v>
      </c>
      <c r="AK78" s="182">
        <v>1480.4819277108429</v>
      </c>
      <c r="AL78" s="182">
        <v>211.49741824440613</v>
      </c>
      <c r="AM78" s="335">
        <f t="shared" ref="AM78:AM106" si="34">RANK(AL78, AL$77:AL$106)</f>
        <v>2</v>
      </c>
      <c r="AN78" s="674"/>
      <c r="AO78" s="182">
        <v>7</v>
      </c>
      <c r="AP78" s="182">
        <v>1454.8314606741574</v>
      </c>
      <c r="AQ78" s="182">
        <v>207.83306581059392</v>
      </c>
      <c r="AR78" s="335">
        <f t="shared" ref="AR78:AR106" si="35">RANK(AQ78, AQ$77:AQ$106)</f>
        <v>2</v>
      </c>
      <c r="AS78" s="674"/>
      <c r="AT78" s="182">
        <v>7</v>
      </c>
      <c r="AU78" s="182">
        <v>1497.8571428571422</v>
      </c>
      <c r="AV78" s="182">
        <v>213.97959183673461</v>
      </c>
      <c r="AW78" s="335">
        <f t="shared" ref="AW78:AW106" si="36">RANK(AV78, AV$77:AV$106)</f>
        <v>2</v>
      </c>
      <c r="AX78" s="674"/>
    </row>
    <row r="79" spans="2:50">
      <c r="B79" s="660"/>
      <c r="C79" s="309">
        <v>3</v>
      </c>
      <c r="D79" s="227" t="s">
        <v>374</v>
      </c>
      <c r="E79" s="182">
        <v>18</v>
      </c>
      <c r="F79" s="551">
        <v>1500</v>
      </c>
      <c r="G79" s="552">
        <v>75</v>
      </c>
      <c r="H79" s="702"/>
      <c r="I79" s="199">
        <f t="shared" si="27"/>
        <v>18</v>
      </c>
      <c r="J79" s="199">
        <f t="shared" si="28"/>
        <v>1320.2156940687878</v>
      </c>
      <c r="K79" s="200">
        <f t="shared" si="29"/>
        <v>73.345316337154856</v>
      </c>
      <c r="L79" s="634"/>
      <c r="M79" s="201">
        <f>RANK(K79, K$77:$K$106)</f>
        <v>13</v>
      </c>
      <c r="N79" s="652"/>
      <c r="O79" s="652"/>
      <c r="P79" s="182">
        <v>18</v>
      </c>
      <c r="Q79" s="182">
        <v>1307.9999999999993</v>
      </c>
      <c r="R79" s="182">
        <v>72.666666666666629</v>
      </c>
      <c r="S79" s="335">
        <f t="shared" si="30"/>
        <v>14</v>
      </c>
      <c r="T79" s="674"/>
      <c r="U79" s="182">
        <v>18</v>
      </c>
      <c r="V79" s="182">
        <v>1302.5454545454536</v>
      </c>
      <c r="W79" s="182">
        <v>72.363636363636317</v>
      </c>
      <c r="X79" s="335">
        <f t="shared" si="31"/>
        <v>21</v>
      </c>
      <c r="Y79" s="674"/>
      <c r="Z79" s="182">
        <v>18</v>
      </c>
      <c r="AA79" s="182">
        <v>1314.9152542372874</v>
      </c>
      <c r="AB79" s="182">
        <v>73.050847457627071</v>
      </c>
      <c r="AC79" s="335">
        <f t="shared" si="32"/>
        <v>17</v>
      </c>
      <c r="AD79" s="674"/>
      <c r="AE79" s="182">
        <v>18</v>
      </c>
      <c r="AF79" s="182">
        <v>1336.5957446808513</v>
      </c>
      <c r="AG79" s="182">
        <v>74.255319148936181</v>
      </c>
      <c r="AH79" s="335">
        <f t="shared" si="33"/>
        <v>14</v>
      </c>
      <c r="AI79" s="674"/>
      <c r="AJ79" s="182">
        <v>18</v>
      </c>
      <c r="AK79" s="182">
        <v>1318.064516129032</v>
      </c>
      <c r="AL79" s="182">
        <v>73.225806451612883</v>
      </c>
      <c r="AM79" s="335">
        <f t="shared" si="34"/>
        <v>16</v>
      </c>
      <c r="AN79" s="674"/>
      <c r="AO79" s="182">
        <v>18</v>
      </c>
      <c r="AP79" s="182">
        <v>1318.8888888888896</v>
      </c>
      <c r="AQ79" s="182">
        <v>73.271604938271651</v>
      </c>
      <c r="AR79" s="335">
        <f t="shared" si="35"/>
        <v>15</v>
      </c>
      <c r="AS79" s="674"/>
      <c r="AT79" s="182">
        <v>18</v>
      </c>
      <c r="AU79" s="182">
        <v>1342.5000000000005</v>
      </c>
      <c r="AV79" s="182">
        <v>74.583333333333357</v>
      </c>
      <c r="AW79" s="335">
        <f t="shared" si="36"/>
        <v>14</v>
      </c>
      <c r="AX79" s="674"/>
    </row>
    <row r="80" spans="2:50">
      <c r="B80" s="660"/>
      <c r="C80" s="309">
        <v>4</v>
      </c>
      <c r="D80" s="227" t="s">
        <v>910</v>
      </c>
      <c r="E80" s="182">
        <v>18</v>
      </c>
      <c r="F80" s="551">
        <v>1500</v>
      </c>
      <c r="G80" s="552">
        <v>83.3</v>
      </c>
      <c r="H80" s="702"/>
      <c r="I80" s="199">
        <f t="shared" si="27"/>
        <v>18</v>
      </c>
      <c r="J80" s="199">
        <f t="shared" si="28"/>
        <v>1366.2444914031767</v>
      </c>
      <c r="K80" s="200">
        <f t="shared" si="29"/>
        <v>75.902471744620911</v>
      </c>
      <c r="L80" s="634"/>
      <c r="M80" s="201">
        <f>RANK(K80, K$77:$K$106)</f>
        <v>10</v>
      </c>
      <c r="N80" s="652"/>
      <c r="O80" s="652"/>
      <c r="P80" s="182">
        <v>18</v>
      </c>
      <c r="Q80" s="182">
        <v>1399.024390243902</v>
      </c>
      <c r="R80" s="182">
        <v>77.723577235772325</v>
      </c>
      <c r="S80" s="335">
        <f t="shared" si="30"/>
        <v>9</v>
      </c>
      <c r="T80" s="674"/>
      <c r="U80" s="182">
        <v>18</v>
      </c>
      <c r="V80" s="182">
        <v>1406.1538461538455</v>
      </c>
      <c r="W80" s="182">
        <v>78.119658119658084</v>
      </c>
      <c r="X80" s="335">
        <f t="shared" si="31"/>
        <v>8</v>
      </c>
      <c r="Y80" s="674"/>
      <c r="Z80" s="182">
        <v>18</v>
      </c>
      <c r="AA80" s="182">
        <v>1365.7142857142853</v>
      </c>
      <c r="AB80" s="182">
        <v>75.873015873015845</v>
      </c>
      <c r="AC80" s="335">
        <f t="shared" si="32"/>
        <v>12</v>
      </c>
      <c r="AD80" s="674"/>
      <c r="AE80" s="182">
        <v>18</v>
      </c>
      <c r="AF80" s="182">
        <v>1377.2093023255811</v>
      </c>
      <c r="AG80" s="182">
        <v>76.511627906976727</v>
      </c>
      <c r="AH80" s="335">
        <f t="shared" si="33"/>
        <v>10</v>
      </c>
      <c r="AI80" s="674"/>
      <c r="AJ80" s="182">
        <v>18</v>
      </c>
      <c r="AK80" s="182">
        <v>1319.6250000000045</v>
      </c>
      <c r="AL80" s="182">
        <v>73.312500000000256</v>
      </c>
      <c r="AM80" s="335">
        <f t="shared" si="34"/>
        <v>15</v>
      </c>
      <c r="AN80" s="674"/>
      <c r="AO80" s="182">
        <v>18</v>
      </c>
      <c r="AP80" s="182">
        <v>1365.6000000000004</v>
      </c>
      <c r="AQ80" s="182">
        <v>75.866666666666688</v>
      </c>
      <c r="AR80" s="335">
        <f t="shared" si="35"/>
        <v>10</v>
      </c>
      <c r="AS80" s="674"/>
      <c r="AT80" s="182">
        <v>18</v>
      </c>
      <c r="AU80" s="182">
        <v>1330.3846153846162</v>
      </c>
      <c r="AV80" s="182">
        <v>73.910256410256451</v>
      </c>
      <c r="AW80" s="335">
        <f t="shared" si="36"/>
        <v>16</v>
      </c>
      <c r="AX80" s="674"/>
    </row>
    <row r="81" spans="2:50">
      <c r="B81" s="660"/>
      <c r="C81" s="309">
        <v>5</v>
      </c>
      <c r="D81" s="227" t="s">
        <v>353</v>
      </c>
      <c r="E81" s="182">
        <v>16</v>
      </c>
      <c r="F81" s="551">
        <v>1500</v>
      </c>
      <c r="G81" s="552">
        <v>93.8</v>
      </c>
      <c r="H81" s="702"/>
      <c r="I81" s="199">
        <f t="shared" si="27"/>
        <v>16.142857142857142</v>
      </c>
      <c r="J81" s="199">
        <f t="shared" si="28"/>
        <v>1340.6504519224231</v>
      </c>
      <c r="K81" s="200">
        <f t="shared" si="29"/>
        <v>83.053794671934924</v>
      </c>
      <c r="L81" s="634"/>
      <c r="M81" s="201">
        <f>RANK(K81, K$77:$K$106)</f>
        <v>5</v>
      </c>
      <c r="N81" s="652"/>
      <c r="O81" s="652"/>
      <c r="P81" s="182">
        <v>16</v>
      </c>
      <c r="Q81" s="182">
        <v>1285.909090909093</v>
      </c>
      <c r="R81" s="182">
        <v>80.369318181818315</v>
      </c>
      <c r="S81" s="335">
        <f t="shared" si="30"/>
        <v>7</v>
      </c>
      <c r="T81" s="674"/>
      <c r="U81" s="182">
        <v>16</v>
      </c>
      <c r="V81" s="182">
        <v>1294.0909090909113</v>
      </c>
      <c r="W81" s="182">
        <v>80.880681818181955</v>
      </c>
      <c r="X81" s="335">
        <f t="shared" si="31"/>
        <v>6</v>
      </c>
      <c r="Y81" s="674"/>
      <c r="Z81" s="182">
        <v>16</v>
      </c>
      <c r="AA81" s="182">
        <v>1329.5454545454545</v>
      </c>
      <c r="AB81" s="182">
        <v>83.096590909090907</v>
      </c>
      <c r="AC81" s="335">
        <f t="shared" si="32"/>
        <v>5</v>
      </c>
      <c r="AD81" s="674"/>
      <c r="AE81" s="182">
        <v>16</v>
      </c>
      <c r="AF81" s="182">
        <v>1304</v>
      </c>
      <c r="AG81" s="182">
        <v>81.5</v>
      </c>
      <c r="AH81" s="335">
        <f t="shared" si="33"/>
        <v>4</v>
      </c>
      <c r="AI81" s="674"/>
      <c r="AJ81" s="182">
        <v>17</v>
      </c>
      <c r="AK81" s="182">
        <v>1402.9787234042556</v>
      </c>
      <c r="AL81" s="182">
        <v>82.528160200250326</v>
      </c>
      <c r="AM81" s="335">
        <f t="shared" si="34"/>
        <v>5</v>
      </c>
      <c r="AN81" s="674"/>
      <c r="AO81" s="182">
        <v>16</v>
      </c>
      <c r="AP81" s="182">
        <v>1378.695652173913</v>
      </c>
      <c r="AQ81" s="182">
        <v>86.168478260869563</v>
      </c>
      <c r="AR81" s="335">
        <f t="shared" si="35"/>
        <v>4</v>
      </c>
      <c r="AS81" s="674"/>
      <c r="AT81" s="182">
        <v>16</v>
      </c>
      <c r="AU81" s="182">
        <v>1389.3333333333333</v>
      </c>
      <c r="AV81" s="182">
        <v>86.833333333333329</v>
      </c>
      <c r="AW81" s="335">
        <f t="shared" si="36"/>
        <v>4</v>
      </c>
      <c r="AX81" s="674"/>
    </row>
    <row r="82" spans="2:50">
      <c r="B82" s="660"/>
      <c r="C82" s="309">
        <v>6</v>
      </c>
      <c r="D82" s="227" t="s">
        <v>380</v>
      </c>
      <c r="E82" s="182">
        <v>16</v>
      </c>
      <c r="F82" s="551">
        <v>1565</v>
      </c>
      <c r="G82" s="552">
        <v>97.8</v>
      </c>
      <c r="H82" s="702"/>
      <c r="I82" s="199">
        <f t="shared" si="27"/>
        <v>15.857142857142858</v>
      </c>
      <c r="J82" s="199">
        <f t="shared" si="28"/>
        <v>1398.8141499110259</v>
      </c>
      <c r="K82" s="200">
        <f t="shared" si="29"/>
        <v>88.388106031086892</v>
      </c>
      <c r="L82" s="634"/>
      <c r="M82" s="201">
        <f>RANK(K82, K$77:$K$106)</f>
        <v>3</v>
      </c>
      <c r="N82" s="652"/>
      <c r="O82" s="652"/>
      <c r="P82" s="182">
        <v>16</v>
      </c>
      <c r="Q82" s="182">
        <v>1383.3620689655181</v>
      </c>
      <c r="R82" s="182">
        <v>86.460129310344882</v>
      </c>
      <c r="S82" s="335">
        <f t="shared" si="30"/>
        <v>4</v>
      </c>
      <c r="T82" s="674"/>
      <c r="U82" s="182">
        <v>16</v>
      </c>
      <c r="V82" s="182">
        <v>1327.3584905660387</v>
      </c>
      <c r="W82" s="182">
        <v>82.959905660377416</v>
      </c>
      <c r="X82" s="335">
        <f t="shared" si="31"/>
        <v>5</v>
      </c>
      <c r="Y82" s="674"/>
      <c r="Z82" s="182">
        <v>16</v>
      </c>
      <c r="AA82" s="182">
        <v>1390.8333333333321</v>
      </c>
      <c r="AB82" s="182">
        <v>86.927083333333258</v>
      </c>
      <c r="AC82" s="335">
        <f t="shared" si="32"/>
        <v>3</v>
      </c>
      <c r="AD82" s="674"/>
      <c r="AE82" s="182">
        <v>16</v>
      </c>
      <c r="AF82" s="182">
        <v>1367.3684210526305</v>
      </c>
      <c r="AG82" s="182">
        <v>85.460526315789409</v>
      </c>
      <c r="AH82" s="335">
        <f t="shared" si="33"/>
        <v>3</v>
      </c>
      <c r="AI82" s="674"/>
      <c r="AJ82" s="182">
        <v>17</v>
      </c>
      <c r="AK82" s="182">
        <v>1437.6923076923069</v>
      </c>
      <c r="AL82" s="182">
        <v>84.570135746606297</v>
      </c>
      <c r="AM82" s="335">
        <f t="shared" si="34"/>
        <v>4</v>
      </c>
      <c r="AN82" s="674"/>
      <c r="AO82" s="182">
        <v>15</v>
      </c>
      <c r="AP82" s="182">
        <v>1439.2307692307686</v>
      </c>
      <c r="AQ82" s="182">
        <v>95.948717948717913</v>
      </c>
      <c r="AR82" s="335">
        <f t="shared" si="35"/>
        <v>3</v>
      </c>
      <c r="AS82" s="674"/>
      <c r="AT82" s="182">
        <v>15</v>
      </c>
      <c r="AU82" s="182">
        <v>1445.853658536585</v>
      </c>
      <c r="AV82" s="182">
        <v>96.390243902438996</v>
      </c>
      <c r="AW82" s="335">
        <f t="shared" si="36"/>
        <v>3</v>
      </c>
      <c r="AX82" s="674"/>
    </row>
    <row r="83" spans="2:50">
      <c r="B83" s="660"/>
      <c r="C83" s="309">
        <v>7</v>
      </c>
      <c r="D83" s="227" t="s">
        <v>345</v>
      </c>
      <c r="E83" s="182">
        <v>15</v>
      </c>
      <c r="F83" s="551">
        <v>1440</v>
      </c>
      <c r="G83" s="552">
        <v>102.9</v>
      </c>
      <c r="H83" s="702"/>
      <c r="I83" s="199">
        <f t="shared" si="27"/>
        <v>15.285714285714286</v>
      </c>
      <c r="J83" s="199">
        <f t="shared" si="28"/>
        <v>1104.6235953780822</v>
      </c>
      <c r="K83" s="200">
        <f t="shared" si="29"/>
        <v>72.314877830998768</v>
      </c>
      <c r="L83" s="634"/>
      <c r="M83" s="201">
        <f>RANK(K83, K$77:$K$106)</f>
        <v>18</v>
      </c>
      <c r="N83" s="652"/>
      <c r="O83" s="652"/>
      <c r="P83" s="182">
        <v>15</v>
      </c>
      <c r="Q83" s="182">
        <v>1057.2413793103428</v>
      </c>
      <c r="R83" s="182">
        <v>70.482758620689523</v>
      </c>
      <c r="S83" s="335">
        <f t="shared" si="30"/>
        <v>20</v>
      </c>
      <c r="T83" s="674"/>
      <c r="U83" s="182">
        <v>15</v>
      </c>
      <c r="V83" s="182">
        <v>1137.999999999998</v>
      </c>
      <c r="W83" s="182">
        <v>75.866666666666532</v>
      </c>
      <c r="X83" s="335">
        <f t="shared" si="31"/>
        <v>12</v>
      </c>
      <c r="Y83" s="674"/>
      <c r="Z83" s="182">
        <v>15</v>
      </c>
      <c r="AA83" s="182">
        <v>1079.9999999999977</v>
      </c>
      <c r="AB83" s="182">
        <v>71.999999999999844</v>
      </c>
      <c r="AC83" s="335">
        <f t="shared" si="32"/>
        <v>18</v>
      </c>
      <c r="AD83" s="674"/>
      <c r="AE83" s="182">
        <v>15</v>
      </c>
      <c r="AF83" s="182">
        <v>1102.7586206896531</v>
      </c>
      <c r="AG83" s="182">
        <v>73.517241379310207</v>
      </c>
      <c r="AH83" s="335">
        <f t="shared" si="33"/>
        <v>15</v>
      </c>
      <c r="AI83" s="674"/>
      <c r="AJ83" s="182">
        <v>15</v>
      </c>
      <c r="AK83" s="182">
        <v>1125.5172413793082</v>
      </c>
      <c r="AL83" s="182">
        <v>75.034482758620541</v>
      </c>
      <c r="AM83" s="335">
        <f t="shared" si="34"/>
        <v>11</v>
      </c>
      <c r="AN83" s="674"/>
      <c r="AO83" s="182">
        <v>16</v>
      </c>
      <c r="AP83" s="182">
        <v>1097.4193548387079</v>
      </c>
      <c r="AQ83" s="182">
        <v>68.588709677419246</v>
      </c>
      <c r="AR83" s="335">
        <f t="shared" si="35"/>
        <v>23</v>
      </c>
      <c r="AS83" s="674"/>
      <c r="AT83" s="182">
        <v>16</v>
      </c>
      <c r="AU83" s="182">
        <v>1131.4285714285688</v>
      </c>
      <c r="AV83" s="182">
        <v>70.714285714285552</v>
      </c>
      <c r="AW83" s="335">
        <f t="shared" si="36"/>
        <v>21</v>
      </c>
      <c r="AX83" s="674"/>
    </row>
    <row r="84" spans="2:50">
      <c r="B84" s="660"/>
      <c r="C84" s="309">
        <v>8</v>
      </c>
      <c r="D84" s="227" t="s">
        <v>379</v>
      </c>
      <c r="E84" s="182">
        <v>16</v>
      </c>
      <c r="F84" s="551">
        <v>1440</v>
      </c>
      <c r="G84" s="552">
        <v>90</v>
      </c>
      <c r="H84" s="702"/>
      <c r="I84" s="199">
        <f t="shared" si="27"/>
        <v>16.285714285714285</v>
      </c>
      <c r="J84" s="199">
        <f t="shared" si="28"/>
        <v>1269.4054792218776</v>
      </c>
      <c r="K84" s="200">
        <f t="shared" si="29"/>
        <v>77.981174784300521</v>
      </c>
      <c r="L84" s="634"/>
      <c r="M84" s="201">
        <f>RANK(K84, K$77:$K$106)</f>
        <v>8</v>
      </c>
      <c r="N84" s="652"/>
      <c r="O84" s="652"/>
      <c r="P84" s="182">
        <v>17</v>
      </c>
      <c r="Q84" s="182">
        <v>1311.6666666666656</v>
      </c>
      <c r="R84" s="182">
        <v>77.156862745097982</v>
      </c>
      <c r="S84" s="335">
        <f t="shared" si="30"/>
        <v>10</v>
      </c>
      <c r="T84" s="674"/>
      <c r="U84" s="182">
        <v>17</v>
      </c>
      <c r="V84" s="182">
        <v>1271.4285714285709</v>
      </c>
      <c r="W84" s="182">
        <v>74.789915966386516</v>
      </c>
      <c r="X84" s="335">
        <f t="shared" si="31"/>
        <v>15</v>
      </c>
      <c r="Y84" s="674"/>
      <c r="Z84" s="182">
        <v>16</v>
      </c>
      <c r="AA84" s="182">
        <v>1261.4999999999995</v>
      </c>
      <c r="AB84" s="182">
        <v>78.843749999999972</v>
      </c>
      <c r="AC84" s="335">
        <f t="shared" si="32"/>
        <v>8</v>
      </c>
      <c r="AD84" s="674"/>
      <c r="AE84" s="182">
        <v>16</v>
      </c>
      <c r="AF84" s="182">
        <v>1255.8139534883719</v>
      </c>
      <c r="AG84" s="182">
        <v>78.488372093023244</v>
      </c>
      <c r="AH84" s="335">
        <f t="shared" si="33"/>
        <v>7</v>
      </c>
      <c r="AI84" s="674"/>
      <c r="AJ84" s="182">
        <v>16</v>
      </c>
      <c r="AK84" s="182">
        <v>1246.5306122448983</v>
      </c>
      <c r="AL84" s="182">
        <v>77.908163265306143</v>
      </c>
      <c r="AM84" s="335">
        <f t="shared" si="34"/>
        <v>8</v>
      </c>
      <c r="AN84" s="674"/>
      <c r="AO84" s="182">
        <v>16</v>
      </c>
      <c r="AP84" s="182">
        <v>1249.5652173913043</v>
      </c>
      <c r="AQ84" s="182">
        <v>78.097826086956516</v>
      </c>
      <c r="AR84" s="335">
        <f t="shared" si="35"/>
        <v>8</v>
      </c>
      <c r="AS84" s="674"/>
      <c r="AT84" s="182">
        <v>16</v>
      </c>
      <c r="AU84" s="182">
        <v>1289.3333333333333</v>
      </c>
      <c r="AV84" s="182">
        <v>80.583333333333329</v>
      </c>
      <c r="AW84" s="335">
        <f t="shared" si="36"/>
        <v>7</v>
      </c>
      <c r="AX84" s="674"/>
    </row>
    <row r="85" spans="2:50">
      <c r="B85" s="660"/>
      <c r="C85" s="309">
        <v>9</v>
      </c>
      <c r="D85" s="227" t="s">
        <v>375</v>
      </c>
      <c r="E85" s="182">
        <v>16</v>
      </c>
      <c r="F85" s="551">
        <v>1380</v>
      </c>
      <c r="G85" s="552">
        <v>86.25</v>
      </c>
      <c r="H85" s="702"/>
      <c r="I85" s="199">
        <f t="shared" si="27"/>
        <v>16.571428571428573</v>
      </c>
      <c r="J85" s="199">
        <f t="shared" si="28"/>
        <v>1182.3301968532087</v>
      </c>
      <c r="K85" s="200">
        <f t="shared" si="29"/>
        <v>71.428593963894841</v>
      </c>
      <c r="L85" s="634"/>
      <c r="M85" s="201">
        <f>RANK(K85, K$77:$K$106)</f>
        <v>21</v>
      </c>
      <c r="N85" s="652"/>
      <c r="O85" s="652"/>
      <c r="P85" s="182">
        <v>16</v>
      </c>
      <c r="Q85" s="182">
        <v>1195.7142857142853</v>
      </c>
      <c r="R85" s="182">
        <v>74.732142857142833</v>
      </c>
      <c r="S85" s="335">
        <f t="shared" si="30"/>
        <v>12</v>
      </c>
      <c r="T85" s="674"/>
      <c r="U85" s="182">
        <v>16</v>
      </c>
      <c r="V85" s="182">
        <v>1173.1578947368412</v>
      </c>
      <c r="W85" s="182">
        <v>73.322368421052573</v>
      </c>
      <c r="X85" s="335">
        <f t="shared" si="31"/>
        <v>19</v>
      </c>
      <c r="Y85" s="674"/>
      <c r="Z85" s="182">
        <v>17</v>
      </c>
      <c r="AA85" s="182">
        <v>1183.3333333333323</v>
      </c>
      <c r="AB85" s="182">
        <v>69.607843137254847</v>
      </c>
      <c r="AC85" s="335">
        <f t="shared" si="32"/>
        <v>21</v>
      </c>
      <c r="AD85" s="674"/>
      <c r="AE85" s="182">
        <v>17</v>
      </c>
      <c r="AF85" s="182">
        <v>1162.9787234042553</v>
      </c>
      <c r="AG85" s="182">
        <v>68.41051314142679</v>
      </c>
      <c r="AH85" s="335">
        <f t="shared" si="33"/>
        <v>23</v>
      </c>
      <c r="AI85" s="674"/>
      <c r="AJ85" s="182">
        <v>17</v>
      </c>
      <c r="AK85" s="182">
        <v>1166.5384615384623</v>
      </c>
      <c r="AL85" s="182">
        <v>68.619909502262487</v>
      </c>
      <c r="AM85" s="335">
        <f t="shared" si="34"/>
        <v>24</v>
      </c>
      <c r="AN85" s="674"/>
      <c r="AO85" s="182">
        <v>17</v>
      </c>
      <c r="AP85" s="182">
        <v>1184.4000000000003</v>
      </c>
      <c r="AQ85" s="182">
        <v>69.670588235294133</v>
      </c>
      <c r="AR85" s="335">
        <f t="shared" si="35"/>
        <v>21</v>
      </c>
      <c r="AS85" s="674"/>
      <c r="AT85" s="182">
        <v>16</v>
      </c>
      <c r="AU85" s="182">
        <v>1210.1886792452838</v>
      </c>
      <c r="AV85" s="182">
        <v>75.636792452830235</v>
      </c>
      <c r="AW85" s="335">
        <f t="shared" si="36"/>
        <v>12</v>
      </c>
      <c r="AX85" s="674"/>
    </row>
    <row r="86" spans="2:50">
      <c r="B86" s="660"/>
      <c r="C86" s="309">
        <v>10</v>
      </c>
      <c r="D86" s="227" t="s">
        <v>378</v>
      </c>
      <c r="E86" s="182">
        <v>18</v>
      </c>
      <c r="F86" s="551">
        <v>1636</v>
      </c>
      <c r="G86" s="552">
        <v>90.9</v>
      </c>
      <c r="H86" s="702"/>
      <c r="I86" s="199">
        <f t="shared" si="27"/>
        <v>17.571428571428573</v>
      </c>
      <c r="J86" s="199">
        <f t="shared" si="28"/>
        <v>1282.038264013288</v>
      </c>
      <c r="K86" s="200">
        <f t="shared" si="29"/>
        <v>73.027801369286337</v>
      </c>
      <c r="L86" s="634"/>
      <c r="M86" s="201">
        <f>RANK(K86, K$77:$K$106)</f>
        <v>14</v>
      </c>
      <c r="N86" s="652"/>
      <c r="O86" s="652"/>
      <c r="P86" s="182">
        <v>18</v>
      </c>
      <c r="Q86" s="182">
        <v>1270.5263157894747</v>
      </c>
      <c r="R86" s="182">
        <v>70.584795321637486</v>
      </c>
      <c r="S86" s="335">
        <f t="shared" si="30"/>
        <v>19</v>
      </c>
      <c r="T86" s="674"/>
      <c r="U86" s="182">
        <v>17</v>
      </c>
      <c r="V86" s="182">
        <v>1290.5263157894747</v>
      </c>
      <c r="W86" s="182">
        <v>75.913312693498511</v>
      </c>
      <c r="X86" s="335">
        <f t="shared" si="31"/>
        <v>11</v>
      </c>
      <c r="Y86" s="674"/>
      <c r="Z86" s="182">
        <v>17</v>
      </c>
      <c r="AA86" s="182">
        <v>1290.5660377358497</v>
      </c>
      <c r="AB86" s="182">
        <v>75.915649278579394</v>
      </c>
      <c r="AC86" s="335">
        <f t="shared" si="32"/>
        <v>11</v>
      </c>
      <c r="AD86" s="674"/>
      <c r="AE86" s="182">
        <v>17</v>
      </c>
      <c r="AF86" s="182">
        <v>1281.9047619047631</v>
      </c>
      <c r="AG86" s="182">
        <v>75.406162464986068</v>
      </c>
      <c r="AH86" s="335">
        <f t="shared" si="33"/>
        <v>11</v>
      </c>
      <c r="AI86" s="674"/>
      <c r="AJ86" s="182">
        <v>18</v>
      </c>
      <c r="AK86" s="182">
        <v>1282.1538461538476</v>
      </c>
      <c r="AL86" s="182">
        <v>71.230769230769312</v>
      </c>
      <c r="AM86" s="335">
        <f t="shared" si="34"/>
        <v>20</v>
      </c>
      <c r="AN86" s="674"/>
      <c r="AO86" s="182">
        <v>18</v>
      </c>
      <c r="AP86" s="182">
        <v>1242.4615384615397</v>
      </c>
      <c r="AQ86" s="182">
        <v>69.025641025641093</v>
      </c>
      <c r="AR86" s="335">
        <f t="shared" si="35"/>
        <v>22</v>
      </c>
      <c r="AS86" s="674"/>
      <c r="AT86" s="182">
        <v>18</v>
      </c>
      <c r="AU86" s="182">
        <v>1316.1290322580658</v>
      </c>
      <c r="AV86" s="182">
        <v>73.118279569892536</v>
      </c>
      <c r="AW86" s="335">
        <f t="shared" si="36"/>
        <v>18</v>
      </c>
      <c r="AX86" s="674"/>
    </row>
    <row r="87" spans="2:50">
      <c r="B87" s="660"/>
      <c r="C87" s="309">
        <v>11</v>
      </c>
      <c r="D87" s="227" t="s">
        <v>377</v>
      </c>
      <c r="E87" s="182">
        <v>18</v>
      </c>
      <c r="F87" s="551">
        <v>1636</v>
      </c>
      <c r="G87" s="552">
        <v>90.9</v>
      </c>
      <c r="H87" s="702"/>
      <c r="I87" s="199">
        <f t="shared" si="27"/>
        <v>17.571428571428573</v>
      </c>
      <c r="J87" s="199">
        <f t="shared" si="28"/>
        <v>1279.0740957591393</v>
      </c>
      <c r="K87" s="200">
        <f t="shared" si="29"/>
        <v>72.844943407440141</v>
      </c>
      <c r="L87" s="634"/>
      <c r="M87" s="201">
        <f>RANK(K87, K$77:$K$106)</f>
        <v>15</v>
      </c>
      <c r="N87" s="652"/>
      <c r="O87" s="652"/>
      <c r="P87" s="182">
        <v>18</v>
      </c>
      <c r="Q87" s="182">
        <v>1305.7142857142853</v>
      </c>
      <c r="R87" s="182">
        <v>72.539682539682516</v>
      </c>
      <c r="S87" s="335">
        <f t="shared" si="30"/>
        <v>15</v>
      </c>
      <c r="T87" s="674"/>
      <c r="U87" s="182">
        <v>17</v>
      </c>
      <c r="V87" s="182">
        <v>1268.1818181818182</v>
      </c>
      <c r="W87" s="182">
        <v>74.598930481283432</v>
      </c>
      <c r="X87" s="335">
        <f t="shared" si="31"/>
        <v>17</v>
      </c>
      <c r="Y87" s="674"/>
      <c r="Z87" s="182">
        <v>17</v>
      </c>
      <c r="AA87" s="182">
        <v>1274.9999999999995</v>
      </c>
      <c r="AB87" s="182">
        <v>74.999999999999972</v>
      </c>
      <c r="AC87" s="335">
        <f t="shared" si="32"/>
        <v>15</v>
      </c>
      <c r="AD87" s="674"/>
      <c r="AE87" s="182">
        <v>17</v>
      </c>
      <c r="AF87" s="182">
        <v>1280.8695652173915</v>
      </c>
      <c r="AG87" s="182">
        <v>75.345268542199506</v>
      </c>
      <c r="AH87" s="335">
        <f t="shared" si="33"/>
        <v>12</v>
      </c>
      <c r="AI87" s="674"/>
      <c r="AJ87" s="182">
        <v>18</v>
      </c>
      <c r="AK87" s="182">
        <v>1306.2500000000005</v>
      </c>
      <c r="AL87" s="182">
        <v>72.569444444444471</v>
      </c>
      <c r="AM87" s="335">
        <f t="shared" si="34"/>
        <v>18</v>
      </c>
      <c r="AN87" s="674"/>
      <c r="AO87" s="182">
        <v>18</v>
      </c>
      <c r="AP87" s="182">
        <v>1256.3265306122453</v>
      </c>
      <c r="AQ87" s="182">
        <v>69.795918367346957</v>
      </c>
      <c r="AR87" s="335">
        <f t="shared" si="35"/>
        <v>19</v>
      </c>
      <c r="AS87" s="674"/>
      <c r="AT87" s="182">
        <v>18</v>
      </c>
      <c r="AU87" s="182">
        <v>1261.1764705882358</v>
      </c>
      <c r="AV87" s="182">
        <v>70.065359477124218</v>
      </c>
      <c r="AW87" s="335">
        <f t="shared" si="36"/>
        <v>23</v>
      </c>
      <c r="AX87" s="674"/>
    </row>
    <row r="88" spans="2:50">
      <c r="B88" s="660"/>
      <c r="C88" s="309">
        <v>12</v>
      </c>
      <c r="D88" s="227" t="s">
        <v>355</v>
      </c>
      <c r="E88" s="182">
        <v>17</v>
      </c>
      <c r="F88" s="551">
        <v>1500</v>
      </c>
      <c r="G88" s="552">
        <v>88.2</v>
      </c>
      <c r="H88" s="702"/>
      <c r="I88" s="199">
        <f t="shared" si="27"/>
        <v>17</v>
      </c>
      <c r="J88" s="199">
        <f t="shared" si="28"/>
        <v>1267.0374149659863</v>
      </c>
      <c r="K88" s="200">
        <f t="shared" si="29"/>
        <v>74.531612645058019</v>
      </c>
      <c r="L88" s="634"/>
      <c r="M88" s="201">
        <f>RANK(K88, K$77:$K$106)</f>
        <v>12</v>
      </c>
      <c r="N88" s="652"/>
      <c r="O88" s="652"/>
      <c r="P88" s="182">
        <v>17</v>
      </c>
      <c r="Q88" s="182">
        <v>1259.9999999999993</v>
      </c>
      <c r="R88" s="182">
        <v>74.117647058823493</v>
      </c>
      <c r="S88" s="335">
        <f t="shared" si="30"/>
        <v>13</v>
      </c>
      <c r="T88" s="674"/>
      <c r="U88" s="182">
        <v>17</v>
      </c>
      <c r="V88" s="182">
        <v>1301.9999999999995</v>
      </c>
      <c r="W88" s="182">
        <v>76.588235294117624</v>
      </c>
      <c r="X88" s="335">
        <f t="shared" si="31"/>
        <v>9</v>
      </c>
      <c r="Y88" s="674"/>
      <c r="Z88" s="182">
        <v>17</v>
      </c>
      <c r="AA88" s="182">
        <v>1291.4999999999995</v>
      </c>
      <c r="AB88" s="182">
        <v>75.970588235294088</v>
      </c>
      <c r="AC88" s="335">
        <f t="shared" si="32"/>
        <v>10</v>
      </c>
      <c r="AD88" s="674"/>
      <c r="AE88" s="182">
        <v>17</v>
      </c>
      <c r="AF88" s="182">
        <v>1249.3333333333335</v>
      </c>
      <c r="AG88" s="182">
        <v>73.490196078431381</v>
      </c>
      <c r="AH88" s="335">
        <f t="shared" si="33"/>
        <v>16</v>
      </c>
      <c r="AI88" s="674"/>
      <c r="AJ88" s="182">
        <v>17</v>
      </c>
      <c r="AK88" s="182">
        <v>1251.4285714285718</v>
      </c>
      <c r="AL88" s="182">
        <v>73.613445378151283</v>
      </c>
      <c r="AM88" s="335">
        <f t="shared" si="34"/>
        <v>14</v>
      </c>
      <c r="AN88" s="674"/>
      <c r="AO88" s="182">
        <v>17</v>
      </c>
      <c r="AP88" s="182">
        <v>1255.0000000000002</v>
      </c>
      <c r="AQ88" s="182">
        <v>73.823529411764724</v>
      </c>
      <c r="AR88" s="335">
        <f t="shared" si="35"/>
        <v>13</v>
      </c>
      <c r="AS88" s="674"/>
      <c r="AT88" s="182">
        <v>17</v>
      </c>
      <c r="AU88" s="182">
        <v>1260.0000000000002</v>
      </c>
      <c r="AV88" s="182">
        <v>74.117647058823536</v>
      </c>
      <c r="AW88" s="335">
        <f t="shared" si="36"/>
        <v>15</v>
      </c>
      <c r="AX88" s="674"/>
    </row>
    <row r="89" spans="2:50">
      <c r="B89" s="660"/>
      <c r="C89" s="309">
        <v>13</v>
      </c>
      <c r="D89" s="227" t="s">
        <v>805</v>
      </c>
      <c r="E89" s="182">
        <v>18</v>
      </c>
      <c r="F89" s="551">
        <v>1440</v>
      </c>
      <c r="G89" s="552">
        <v>80</v>
      </c>
      <c r="H89" s="702"/>
      <c r="I89" s="199">
        <f t="shared" si="27"/>
        <v>18.428571428571427</v>
      </c>
      <c r="J89" s="199">
        <f t="shared" si="28"/>
        <v>1325.4368838884186</v>
      </c>
      <c r="K89" s="200">
        <f t="shared" si="29"/>
        <v>71.981474353128078</v>
      </c>
      <c r="L89" s="634"/>
      <c r="M89" s="201">
        <f>RANK(K89, K$77:$K$106)</f>
        <v>19</v>
      </c>
      <c r="N89" s="652"/>
      <c r="O89" s="652"/>
      <c r="P89" s="182">
        <v>19</v>
      </c>
      <c r="Q89" s="182">
        <v>1335.6521739130421</v>
      </c>
      <c r="R89" s="182">
        <v>70.297482837528534</v>
      </c>
      <c r="S89" s="335">
        <f t="shared" si="30"/>
        <v>22</v>
      </c>
      <c r="T89" s="674"/>
      <c r="U89" s="182">
        <v>18</v>
      </c>
      <c r="V89" s="182">
        <v>1304.6341463414628</v>
      </c>
      <c r="W89" s="182">
        <v>72.479674796747929</v>
      </c>
      <c r="X89" s="335">
        <f t="shared" si="31"/>
        <v>20</v>
      </c>
      <c r="Y89" s="674"/>
      <c r="Z89" s="182">
        <v>19</v>
      </c>
      <c r="AA89" s="182">
        <v>1311.2195121951213</v>
      </c>
      <c r="AB89" s="182">
        <v>69.011553273427438</v>
      </c>
      <c r="AC89" s="335">
        <f t="shared" si="32"/>
        <v>23</v>
      </c>
      <c r="AD89" s="674"/>
      <c r="AE89" s="182">
        <v>19</v>
      </c>
      <c r="AF89" s="182">
        <v>1312.5842696629213</v>
      </c>
      <c r="AG89" s="182">
        <v>69.083382613837969</v>
      </c>
      <c r="AH89" s="335">
        <f t="shared" si="33"/>
        <v>21</v>
      </c>
      <c r="AI89" s="674"/>
      <c r="AJ89" s="182">
        <v>18</v>
      </c>
      <c r="AK89" s="182">
        <v>1332.0000000000002</v>
      </c>
      <c r="AL89" s="182">
        <v>74.000000000000014</v>
      </c>
      <c r="AM89" s="335">
        <f t="shared" si="34"/>
        <v>13</v>
      </c>
      <c r="AN89" s="674"/>
      <c r="AO89" s="182">
        <v>18</v>
      </c>
      <c r="AP89" s="182">
        <v>1324.4680851063831</v>
      </c>
      <c r="AQ89" s="182">
        <v>73.581560283687949</v>
      </c>
      <c r="AR89" s="335">
        <f t="shared" si="35"/>
        <v>14</v>
      </c>
      <c r="AS89" s="674"/>
      <c r="AT89" s="182">
        <v>18</v>
      </c>
      <c r="AU89" s="182">
        <v>1357.5</v>
      </c>
      <c r="AV89" s="182">
        <v>75.416666666666671</v>
      </c>
      <c r="AW89" s="335">
        <f t="shared" si="36"/>
        <v>13</v>
      </c>
      <c r="AX89" s="674"/>
    </row>
    <row r="90" spans="2:50">
      <c r="B90" s="660"/>
      <c r="C90" s="309">
        <v>14</v>
      </c>
      <c r="D90" s="227" t="s">
        <v>381</v>
      </c>
      <c r="E90" s="182">
        <v>15</v>
      </c>
      <c r="F90" s="551">
        <v>1440</v>
      </c>
      <c r="G90" s="552">
        <v>96</v>
      </c>
      <c r="H90" s="702"/>
      <c r="I90" s="199">
        <f t="shared" si="27"/>
        <v>15.571428571428571</v>
      </c>
      <c r="J90" s="199">
        <f t="shared" si="28"/>
        <v>1278.3944444294846</v>
      </c>
      <c r="K90" s="200">
        <f t="shared" si="29"/>
        <v>82.178900480197626</v>
      </c>
      <c r="L90" s="634"/>
      <c r="M90" s="201">
        <f>RANK(K90, K$77:$K$106)</f>
        <v>6</v>
      </c>
      <c r="N90" s="652"/>
      <c r="O90" s="652"/>
      <c r="P90" s="182">
        <v>15</v>
      </c>
      <c r="Q90" s="182">
        <v>1301.7857142857115</v>
      </c>
      <c r="R90" s="182">
        <v>86.785714285714093</v>
      </c>
      <c r="S90" s="335">
        <f t="shared" si="30"/>
        <v>3</v>
      </c>
      <c r="T90" s="674"/>
      <c r="U90" s="182">
        <v>15</v>
      </c>
      <c r="V90" s="182">
        <v>1248.8888888888896</v>
      </c>
      <c r="W90" s="182">
        <v>83.259259259259309</v>
      </c>
      <c r="X90" s="335">
        <f t="shared" si="31"/>
        <v>4</v>
      </c>
      <c r="Y90" s="674"/>
      <c r="Z90" s="182">
        <v>15</v>
      </c>
      <c r="AA90" s="182">
        <v>1278.4615384615392</v>
      </c>
      <c r="AB90" s="182">
        <v>85.230769230769283</v>
      </c>
      <c r="AC90" s="335">
        <f t="shared" si="32"/>
        <v>4</v>
      </c>
      <c r="AD90" s="674"/>
      <c r="AE90" s="182">
        <v>16</v>
      </c>
      <c r="AF90" s="182">
        <v>1288.9285714285686</v>
      </c>
      <c r="AG90" s="182">
        <v>80.558035714285538</v>
      </c>
      <c r="AH90" s="335">
        <f t="shared" si="33"/>
        <v>6</v>
      </c>
      <c r="AI90" s="674"/>
      <c r="AJ90" s="182">
        <v>16</v>
      </c>
      <c r="AK90" s="182">
        <v>1252.3636363636372</v>
      </c>
      <c r="AL90" s="182">
        <v>78.272727272727323</v>
      </c>
      <c r="AM90" s="335">
        <f t="shared" si="34"/>
        <v>7</v>
      </c>
      <c r="AN90" s="674"/>
      <c r="AO90" s="182">
        <v>16</v>
      </c>
      <c r="AP90" s="182">
        <v>1274.1818181818189</v>
      </c>
      <c r="AQ90" s="182">
        <v>79.636363636363683</v>
      </c>
      <c r="AR90" s="335">
        <f t="shared" si="35"/>
        <v>6</v>
      </c>
      <c r="AS90" s="674"/>
      <c r="AT90" s="182">
        <v>16</v>
      </c>
      <c r="AU90" s="182">
        <v>1304.1509433962271</v>
      </c>
      <c r="AV90" s="182">
        <v>81.509433962264197</v>
      </c>
      <c r="AW90" s="335">
        <f t="shared" si="36"/>
        <v>6</v>
      </c>
      <c r="AX90" s="674"/>
    </row>
    <row r="91" spans="2:50">
      <c r="B91" s="660"/>
      <c r="C91" s="309">
        <v>15</v>
      </c>
      <c r="D91" s="227" t="s">
        <v>347</v>
      </c>
      <c r="E91" s="182">
        <v>17</v>
      </c>
      <c r="F91" s="551">
        <v>1440</v>
      </c>
      <c r="G91" s="552">
        <v>84.7</v>
      </c>
      <c r="H91" s="702"/>
      <c r="I91" s="199">
        <f t="shared" si="27"/>
        <v>17</v>
      </c>
      <c r="J91" s="199">
        <f t="shared" si="28"/>
        <v>1345.8015643587548</v>
      </c>
      <c r="K91" s="200">
        <f t="shared" si="29"/>
        <v>79.164797903456147</v>
      </c>
      <c r="L91" s="634"/>
      <c r="M91" s="201">
        <f>RANK(K91, K$77:$K$106)</f>
        <v>7</v>
      </c>
      <c r="N91" s="652"/>
      <c r="O91" s="652"/>
      <c r="P91" s="182">
        <v>17</v>
      </c>
      <c r="Q91" s="182">
        <v>1339.5348837209301</v>
      </c>
      <c r="R91" s="182">
        <v>78.79616963064295</v>
      </c>
      <c r="S91" s="335">
        <f t="shared" si="30"/>
        <v>8</v>
      </c>
      <c r="T91" s="674"/>
      <c r="U91" s="182">
        <v>17</v>
      </c>
      <c r="V91" s="182">
        <v>1373.8775510204084</v>
      </c>
      <c r="W91" s="182">
        <v>80.816326530612258</v>
      </c>
      <c r="X91" s="335">
        <f t="shared" si="31"/>
        <v>7</v>
      </c>
      <c r="Y91" s="674"/>
      <c r="Z91" s="182">
        <v>17</v>
      </c>
      <c r="AA91" s="182">
        <v>1342.6530612244901</v>
      </c>
      <c r="AB91" s="182">
        <v>78.979591836734713</v>
      </c>
      <c r="AC91" s="335">
        <f t="shared" si="32"/>
        <v>7</v>
      </c>
      <c r="AD91" s="674"/>
      <c r="AE91" s="182">
        <v>17</v>
      </c>
      <c r="AF91" s="182">
        <v>1321.6363636363626</v>
      </c>
      <c r="AG91" s="182">
        <v>77.743315508021325</v>
      </c>
      <c r="AH91" s="335">
        <f t="shared" si="33"/>
        <v>8</v>
      </c>
      <c r="AI91" s="674"/>
      <c r="AJ91" s="182">
        <v>17</v>
      </c>
      <c r="AK91" s="182">
        <v>1349.9999999999989</v>
      </c>
      <c r="AL91" s="182">
        <v>79.411764705882291</v>
      </c>
      <c r="AM91" s="335">
        <f t="shared" si="34"/>
        <v>6</v>
      </c>
      <c r="AN91" s="674"/>
      <c r="AO91" s="182">
        <v>17</v>
      </c>
      <c r="AP91" s="182">
        <v>1351.6363636363644</v>
      </c>
      <c r="AQ91" s="182">
        <v>79.508021390374381</v>
      </c>
      <c r="AR91" s="335">
        <f t="shared" si="35"/>
        <v>7</v>
      </c>
      <c r="AS91" s="674"/>
      <c r="AT91" s="182">
        <v>17</v>
      </c>
      <c r="AU91" s="182">
        <v>1341.2727272727282</v>
      </c>
      <c r="AV91" s="182">
        <v>78.898395721925183</v>
      </c>
      <c r="AW91" s="335">
        <f t="shared" si="36"/>
        <v>8</v>
      </c>
      <c r="AX91" s="674"/>
    </row>
    <row r="92" spans="2:50">
      <c r="B92" s="660"/>
      <c r="C92" s="309">
        <v>16</v>
      </c>
      <c r="D92" s="227" t="s">
        <v>376</v>
      </c>
      <c r="E92" s="182">
        <v>19</v>
      </c>
      <c r="F92" s="551">
        <v>1440</v>
      </c>
      <c r="G92" s="552">
        <v>75.8</v>
      </c>
      <c r="H92" s="702"/>
      <c r="I92" s="199">
        <f t="shared" si="27"/>
        <v>18</v>
      </c>
      <c r="J92" s="199">
        <f t="shared" si="28"/>
        <v>1278.7140043278766</v>
      </c>
      <c r="K92" s="200">
        <f t="shared" si="29"/>
        <v>71.039666907104248</v>
      </c>
      <c r="L92" s="634"/>
      <c r="M92" s="201">
        <f>RANK(K92, K$77:$K$106)</f>
        <v>22</v>
      </c>
      <c r="N92" s="652"/>
      <c r="O92" s="652"/>
      <c r="P92" s="182">
        <v>18</v>
      </c>
      <c r="Q92" s="182">
        <v>1268.0000000000014</v>
      </c>
      <c r="R92" s="182">
        <v>70.444444444444514</v>
      </c>
      <c r="S92" s="335">
        <f t="shared" si="30"/>
        <v>21</v>
      </c>
      <c r="T92" s="674"/>
      <c r="U92" s="182">
        <v>18</v>
      </c>
      <c r="V92" s="182">
        <v>1258.0645161290333</v>
      </c>
      <c r="W92" s="182">
        <v>69.892473118279625</v>
      </c>
      <c r="X92" s="335">
        <f t="shared" si="31"/>
        <v>23</v>
      </c>
      <c r="Y92" s="674"/>
      <c r="Z92" s="182">
        <v>18</v>
      </c>
      <c r="AA92" s="182">
        <v>1278.5454545454554</v>
      </c>
      <c r="AB92" s="182">
        <v>71.030303030303074</v>
      </c>
      <c r="AC92" s="335">
        <f t="shared" si="32"/>
        <v>19</v>
      </c>
      <c r="AD92" s="674"/>
      <c r="AE92" s="182">
        <v>18</v>
      </c>
      <c r="AF92" s="182">
        <v>1267.7419354838721</v>
      </c>
      <c r="AG92" s="182">
        <v>70.430107526881784</v>
      </c>
      <c r="AH92" s="335">
        <f t="shared" si="33"/>
        <v>19</v>
      </c>
      <c r="AI92" s="674"/>
      <c r="AJ92" s="182">
        <v>18</v>
      </c>
      <c r="AK92" s="182">
        <v>1270.9859154929566</v>
      </c>
      <c r="AL92" s="182">
        <v>70.610328638497592</v>
      </c>
      <c r="AM92" s="335">
        <f t="shared" si="34"/>
        <v>21</v>
      </c>
      <c r="AN92" s="674"/>
      <c r="AO92" s="182">
        <v>18</v>
      </c>
      <c r="AP92" s="182">
        <v>1294.5454545454559</v>
      </c>
      <c r="AQ92" s="182">
        <v>71.919191919191988</v>
      </c>
      <c r="AR92" s="335">
        <f t="shared" si="35"/>
        <v>18</v>
      </c>
      <c r="AS92" s="674"/>
      <c r="AT92" s="182">
        <v>18</v>
      </c>
      <c r="AU92" s="182">
        <v>1313.114754098362</v>
      </c>
      <c r="AV92" s="182">
        <v>72.950819672131217</v>
      </c>
      <c r="AW92" s="335">
        <f t="shared" si="36"/>
        <v>19</v>
      </c>
      <c r="AX92" s="674"/>
    </row>
    <row r="93" spans="2:50">
      <c r="B93" s="660"/>
      <c r="C93" s="309">
        <v>17</v>
      </c>
      <c r="D93" s="227" t="s">
        <v>382</v>
      </c>
      <c r="E93" s="182">
        <v>19</v>
      </c>
      <c r="F93" s="551">
        <v>1500</v>
      </c>
      <c r="G93" s="552">
        <v>78.900000000000006</v>
      </c>
      <c r="H93" s="702"/>
      <c r="I93" s="199">
        <f t="shared" si="27"/>
        <v>18</v>
      </c>
      <c r="J93" s="199">
        <f t="shared" si="28"/>
        <v>1275.0398194738893</v>
      </c>
      <c r="K93" s="200">
        <f t="shared" si="29"/>
        <v>70.835545526327166</v>
      </c>
      <c r="L93" s="634"/>
      <c r="M93" s="201">
        <f>RANK(K93, K$77:$K$106)</f>
        <v>23</v>
      </c>
      <c r="N93" s="652"/>
      <c r="O93" s="652"/>
      <c r="P93" s="182">
        <v>18</v>
      </c>
      <c r="Q93" s="182">
        <v>1303.4999999999995</v>
      </c>
      <c r="R93" s="182">
        <v>72.416666666666643</v>
      </c>
      <c r="S93" s="335">
        <f t="shared" si="30"/>
        <v>16</v>
      </c>
      <c r="T93" s="674"/>
      <c r="U93" s="182">
        <v>18</v>
      </c>
      <c r="V93" s="182">
        <v>1243.7500000000002</v>
      </c>
      <c r="W93" s="182">
        <v>69.097222222222229</v>
      </c>
      <c r="X93" s="335">
        <f t="shared" si="31"/>
        <v>24</v>
      </c>
      <c r="Y93" s="674"/>
      <c r="Z93" s="182">
        <v>18</v>
      </c>
      <c r="AA93" s="182">
        <v>1277.872340425532</v>
      </c>
      <c r="AB93" s="182">
        <v>70.99290780141844</v>
      </c>
      <c r="AC93" s="335">
        <f t="shared" si="32"/>
        <v>20</v>
      </c>
      <c r="AD93" s="674"/>
      <c r="AE93" s="182">
        <v>18</v>
      </c>
      <c r="AF93" s="182">
        <v>1284.7058823529417</v>
      </c>
      <c r="AG93" s="182">
        <v>71.372549019607874</v>
      </c>
      <c r="AH93" s="335">
        <f t="shared" si="33"/>
        <v>18</v>
      </c>
      <c r="AI93" s="674"/>
      <c r="AJ93" s="182">
        <v>18</v>
      </c>
      <c r="AK93" s="182">
        <v>1261.0714285714296</v>
      </c>
      <c r="AL93" s="182">
        <v>70.059523809523867</v>
      </c>
      <c r="AM93" s="335">
        <f t="shared" si="34"/>
        <v>23</v>
      </c>
      <c r="AN93" s="674"/>
      <c r="AO93" s="182">
        <v>18</v>
      </c>
      <c r="AP93" s="182">
        <v>1255.5555555555563</v>
      </c>
      <c r="AQ93" s="182">
        <v>69.753086419753132</v>
      </c>
      <c r="AR93" s="335">
        <f t="shared" si="35"/>
        <v>20</v>
      </c>
      <c r="AS93" s="674"/>
      <c r="AT93" s="182">
        <v>18</v>
      </c>
      <c r="AU93" s="182">
        <v>1298.8235294117653</v>
      </c>
      <c r="AV93" s="182">
        <v>72.156862745098067</v>
      </c>
      <c r="AW93" s="335">
        <f t="shared" si="36"/>
        <v>20</v>
      </c>
      <c r="AX93" s="674"/>
    </row>
    <row r="94" spans="2:50">
      <c r="B94" s="660"/>
      <c r="C94" s="309">
        <v>18</v>
      </c>
      <c r="D94" s="227" t="s">
        <v>530</v>
      </c>
      <c r="E94" s="182">
        <v>18</v>
      </c>
      <c r="F94" s="551">
        <v>1440</v>
      </c>
      <c r="G94" s="552">
        <v>80</v>
      </c>
      <c r="H94" s="702"/>
      <c r="I94" s="199">
        <f t="shared" si="27"/>
        <v>17</v>
      </c>
      <c r="J94" s="199">
        <f t="shared" si="28"/>
        <v>1093.999757283166</v>
      </c>
      <c r="K94" s="200">
        <f t="shared" si="29"/>
        <v>64.352926899009759</v>
      </c>
      <c r="L94" s="634"/>
      <c r="M94" s="201">
        <f>RANK(K94, K$77:$K$106)</f>
        <v>26</v>
      </c>
      <c r="N94" s="652"/>
      <c r="O94" s="652"/>
      <c r="P94" s="182">
        <v>17</v>
      </c>
      <c r="Q94" s="182">
        <v>1112.4999999999964</v>
      </c>
      <c r="R94" s="182">
        <v>65.441176470588019</v>
      </c>
      <c r="S94" s="335">
        <f t="shared" si="30"/>
        <v>26</v>
      </c>
      <c r="T94" s="674"/>
      <c r="U94" s="182">
        <v>17</v>
      </c>
      <c r="V94" s="182">
        <v>1079.9999999999973</v>
      </c>
      <c r="W94" s="182">
        <v>63.529411764705721</v>
      </c>
      <c r="X94" s="335">
        <f t="shared" si="31"/>
        <v>26</v>
      </c>
      <c r="Y94" s="674"/>
      <c r="Z94" s="182">
        <v>17</v>
      </c>
      <c r="AA94" s="182">
        <v>1126.3636363636404</v>
      </c>
      <c r="AB94" s="182">
        <v>66.256684491978845</v>
      </c>
      <c r="AC94" s="335">
        <f t="shared" si="32"/>
        <v>25</v>
      </c>
      <c r="AD94" s="674"/>
      <c r="AE94" s="182">
        <v>17</v>
      </c>
      <c r="AF94" s="182">
        <v>1084.2857142857119</v>
      </c>
      <c r="AG94" s="182">
        <v>63.781512605041883</v>
      </c>
      <c r="AH94" s="335">
        <f t="shared" si="33"/>
        <v>27</v>
      </c>
      <c r="AI94" s="674"/>
      <c r="AJ94" s="182">
        <v>17</v>
      </c>
      <c r="AK94" s="182">
        <v>1095.4838709677401</v>
      </c>
      <c r="AL94" s="182">
        <v>64.440227703984718</v>
      </c>
      <c r="AM94" s="335">
        <f t="shared" si="34"/>
        <v>27</v>
      </c>
      <c r="AN94" s="674"/>
      <c r="AO94" s="182">
        <v>17</v>
      </c>
      <c r="AP94" s="182">
        <v>1097.1428571428548</v>
      </c>
      <c r="AQ94" s="182">
        <v>64.53781512605029</v>
      </c>
      <c r="AR94" s="335">
        <f t="shared" si="35"/>
        <v>25</v>
      </c>
      <c r="AS94" s="674"/>
      <c r="AT94" s="182">
        <v>17</v>
      </c>
      <c r="AU94" s="182">
        <v>1062.2222222222199</v>
      </c>
      <c r="AV94" s="182">
        <v>62.483660130718818</v>
      </c>
      <c r="AW94" s="335">
        <f t="shared" si="36"/>
        <v>26</v>
      </c>
      <c r="AX94" s="674"/>
    </row>
    <row r="95" spans="2:50">
      <c r="B95" s="660"/>
      <c r="C95" s="309">
        <v>19</v>
      </c>
      <c r="D95" s="227" t="s">
        <v>716</v>
      </c>
      <c r="E95" s="182">
        <v>17</v>
      </c>
      <c r="F95" s="551">
        <v>1385</v>
      </c>
      <c r="G95" s="552">
        <v>81.400000000000006</v>
      </c>
      <c r="H95" s="702"/>
      <c r="I95" s="199">
        <f t="shared" si="27"/>
        <v>17.714285714285715</v>
      </c>
      <c r="J95" s="199">
        <f t="shared" si="28"/>
        <v>1188.943810715776</v>
      </c>
      <c r="K95" s="200">
        <f t="shared" si="29"/>
        <v>67.157204442060518</v>
      </c>
      <c r="L95" s="634"/>
      <c r="M95" s="201">
        <f>RANK(K95, K$77:$K$106)</f>
        <v>25</v>
      </c>
      <c r="N95" s="652"/>
      <c r="O95" s="652"/>
      <c r="P95" s="182">
        <v>17</v>
      </c>
      <c r="Q95" s="182">
        <v>1168.0851063829789</v>
      </c>
      <c r="R95" s="182">
        <v>68.710888610763462</v>
      </c>
      <c r="S95" s="335">
        <f t="shared" si="30"/>
        <v>24</v>
      </c>
      <c r="T95" s="674"/>
      <c r="U95" s="182">
        <v>18</v>
      </c>
      <c r="V95" s="182">
        <v>1170.0000000000011</v>
      </c>
      <c r="W95" s="182">
        <v>65.000000000000057</v>
      </c>
      <c r="X95" s="335">
        <f t="shared" si="31"/>
        <v>25</v>
      </c>
      <c r="Y95" s="674"/>
      <c r="Z95" s="182">
        <v>18</v>
      </c>
      <c r="AA95" s="182">
        <v>1179.9999999999995</v>
      </c>
      <c r="AB95" s="182">
        <v>65.555555555555529</v>
      </c>
      <c r="AC95" s="335">
        <f t="shared" si="32"/>
        <v>26</v>
      </c>
      <c r="AD95" s="674"/>
      <c r="AE95" s="182">
        <v>18</v>
      </c>
      <c r="AF95" s="182">
        <v>1196.4000000000003</v>
      </c>
      <c r="AG95" s="182">
        <v>66.466666666666683</v>
      </c>
      <c r="AH95" s="335">
        <f t="shared" si="33"/>
        <v>24</v>
      </c>
      <c r="AI95" s="674"/>
      <c r="AJ95" s="182">
        <v>18</v>
      </c>
      <c r="AK95" s="182">
        <v>1210.5882352941192</v>
      </c>
      <c r="AL95" s="182">
        <v>67.254901960784395</v>
      </c>
      <c r="AM95" s="335">
        <f t="shared" si="34"/>
        <v>25</v>
      </c>
      <c r="AN95" s="674"/>
      <c r="AO95" s="182">
        <v>18</v>
      </c>
      <c r="AP95" s="182">
        <v>1199.1999999999989</v>
      </c>
      <c r="AQ95" s="182">
        <v>66.622222222222163</v>
      </c>
      <c r="AR95" s="335">
        <f t="shared" si="35"/>
        <v>24</v>
      </c>
      <c r="AS95" s="674"/>
      <c r="AT95" s="182">
        <v>17</v>
      </c>
      <c r="AU95" s="182">
        <v>1198.3333333333323</v>
      </c>
      <c r="AV95" s="182">
        <v>70.49019607843131</v>
      </c>
      <c r="AW95" s="335">
        <f t="shared" si="36"/>
        <v>22</v>
      </c>
      <c r="AX95" s="674"/>
    </row>
    <row r="96" spans="2:50">
      <c r="B96" s="660"/>
      <c r="C96" s="309">
        <v>20</v>
      </c>
      <c r="D96" s="227" t="s">
        <v>780</v>
      </c>
      <c r="E96" s="182">
        <v>17</v>
      </c>
      <c r="F96" s="551">
        <v>1440</v>
      </c>
      <c r="G96" s="552">
        <v>84.7</v>
      </c>
      <c r="H96" s="702"/>
      <c r="I96" s="199">
        <f t="shared" si="27"/>
        <v>17.714285714285715</v>
      </c>
      <c r="J96" s="199">
        <f t="shared" si="28"/>
        <v>1282.5238746883667</v>
      </c>
      <c r="K96" s="200">
        <f t="shared" si="29"/>
        <v>72.586417935103228</v>
      </c>
      <c r="L96" s="634"/>
      <c r="M96" s="201">
        <f>RANK(K96, K$77:$K$106)</f>
        <v>16</v>
      </c>
      <c r="N96" s="652"/>
      <c r="O96" s="652"/>
      <c r="P96" s="182">
        <v>19</v>
      </c>
      <c r="Q96" s="182">
        <v>1290.6666666666667</v>
      </c>
      <c r="R96" s="182">
        <v>67.929824561403507</v>
      </c>
      <c r="S96" s="335">
        <f t="shared" si="30"/>
        <v>25</v>
      </c>
      <c r="T96" s="674"/>
      <c r="U96" s="182">
        <v>17</v>
      </c>
      <c r="V96" s="182">
        <v>1292.1951219512191</v>
      </c>
      <c r="W96" s="182">
        <v>76.011477761836417</v>
      </c>
      <c r="X96" s="335">
        <f t="shared" si="31"/>
        <v>10</v>
      </c>
      <c r="Y96" s="674"/>
      <c r="Z96" s="182">
        <v>19</v>
      </c>
      <c r="AA96" s="182">
        <v>1275.3846153846148</v>
      </c>
      <c r="AB96" s="182">
        <v>67.125506072874458</v>
      </c>
      <c r="AC96" s="335">
        <f t="shared" si="32"/>
        <v>24</v>
      </c>
      <c r="AD96" s="674"/>
      <c r="AE96" s="182">
        <v>18</v>
      </c>
      <c r="AF96" s="182">
        <v>1255.909090909091</v>
      </c>
      <c r="AG96" s="182">
        <v>69.77272727272728</v>
      </c>
      <c r="AH96" s="335">
        <f t="shared" si="33"/>
        <v>20</v>
      </c>
      <c r="AI96" s="674"/>
      <c r="AJ96" s="182">
        <v>17</v>
      </c>
      <c r="AK96" s="182">
        <v>1290.6976744186045</v>
      </c>
      <c r="AL96" s="182">
        <v>75.923392612859089</v>
      </c>
      <c r="AM96" s="335">
        <f t="shared" si="34"/>
        <v>10</v>
      </c>
      <c r="AN96" s="674"/>
      <c r="AO96" s="182">
        <v>17</v>
      </c>
      <c r="AP96" s="182">
        <v>1316.9999999999995</v>
      </c>
      <c r="AQ96" s="182">
        <v>77.470588235294088</v>
      </c>
      <c r="AR96" s="335">
        <f t="shared" si="35"/>
        <v>9</v>
      </c>
      <c r="AS96" s="674"/>
      <c r="AT96" s="182">
        <v>17</v>
      </c>
      <c r="AU96" s="182">
        <v>1255.8139534883719</v>
      </c>
      <c r="AV96" s="182">
        <v>73.871409028727754</v>
      </c>
      <c r="AW96" s="335">
        <f t="shared" si="36"/>
        <v>17</v>
      </c>
      <c r="AX96" s="674"/>
    </row>
    <row r="97" spans="2:50">
      <c r="B97" s="660"/>
      <c r="C97" s="309">
        <v>21</v>
      </c>
      <c r="D97" s="227" t="s">
        <v>806</v>
      </c>
      <c r="E97" s="182">
        <v>17</v>
      </c>
      <c r="F97" s="551">
        <v>1500</v>
      </c>
      <c r="G97" s="552">
        <v>88.2</v>
      </c>
      <c r="H97" s="702"/>
      <c r="I97" s="199">
        <f t="shared" si="27"/>
        <v>16.857142857142858</v>
      </c>
      <c r="J97" s="199">
        <f t="shared" si="28"/>
        <v>1288.8497524729735</v>
      </c>
      <c r="K97" s="200">
        <f t="shared" si="29"/>
        <v>76.632833963611674</v>
      </c>
      <c r="L97" s="634"/>
      <c r="M97" s="201">
        <f>RANK(K97, K$77:$K$106)</f>
        <v>9</v>
      </c>
      <c r="N97" s="652"/>
      <c r="O97" s="652"/>
      <c r="P97" s="182">
        <v>15</v>
      </c>
      <c r="Q97" s="182">
        <v>1267.4999999999989</v>
      </c>
      <c r="R97" s="182">
        <v>84.499999999999929</v>
      </c>
      <c r="S97" s="335">
        <f t="shared" si="30"/>
        <v>5</v>
      </c>
      <c r="T97" s="674"/>
      <c r="U97" s="182">
        <v>17</v>
      </c>
      <c r="V97" s="182">
        <v>1286.3636363636379</v>
      </c>
      <c r="W97" s="182">
        <v>75.668449197861051</v>
      </c>
      <c r="X97" s="335">
        <f t="shared" si="31"/>
        <v>13</v>
      </c>
      <c r="Y97" s="674"/>
      <c r="Z97" s="182">
        <v>17</v>
      </c>
      <c r="AA97" s="182">
        <v>1317.0000000000011</v>
      </c>
      <c r="AB97" s="182">
        <v>77.470588235294187</v>
      </c>
      <c r="AC97" s="335">
        <f t="shared" si="32"/>
        <v>9</v>
      </c>
      <c r="AD97" s="674"/>
      <c r="AE97" s="182">
        <v>17</v>
      </c>
      <c r="AF97" s="182">
        <v>1312.0588235294135</v>
      </c>
      <c r="AG97" s="182">
        <v>77.179930795847852</v>
      </c>
      <c r="AH97" s="335">
        <f t="shared" si="33"/>
        <v>9</v>
      </c>
      <c r="AI97" s="674"/>
      <c r="AJ97" s="182">
        <v>18</v>
      </c>
      <c r="AK97" s="182">
        <v>1289.538461538463</v>
      </c>
      <c r="AL97" s="182">
        <v>71.64102564102572</v>
      </c>
      <c r="AM97" s="335">
        <f t="shared" si="34"/>
        <v>19</v>
      </c>
      <c r="AN97" s="674"/>
      <c r="AO97" s="182">
        <v>17</v>
      </c>
      <c r="AP97" s="182">
        <v>1257.3134328358226</v>
      </c>
      <c r="AQ97" s="182">
        <v>73.959613696224864</v>
      </c>
      <c r="AR97" s="335">
        <f t="shared" si="35"/>
        <v>12</v>
      </c>
      <c r="AS97" s="674"/>
      <c r="AT97" s="182">
        <v>17</v>
      </c>
      <c r="AU97" s="182">
        <v>1292.1739130434769</v>
      </c>
      <c r="AV97" s="182">
        <v>76.010230179028056</v>
      </c>
      <c r="AW97" s="335">
        <f t="shared" si="36"/>
        <v>11</v>
      </c>
      <c r="AX97" s="674"/>
    </row>
    <row r="98" spans="2:50">
      <c r="B98" s="660"/>
      <c r="C98" s="309">
        <v>22</v>
      </c>
      <c r="D98" s="227" t="s">
        <v>811</v>
      </c>
      <c r="E98" s="182">
        <v>18</v>
      </c>
      <c r="F98" s="551">
        <v>1500</v>
      </c>
      <c r="G98" s="552">
        <v>83.3</v>
      </c>
      <c r="H98" s="702"/>
      <c r="I98" s="199">
        <f t="shared" si="27"/>
        <v>18</v>
      </c>
      <c r="J98" s="199">
        <f t="shared" si="28"/>
        <v>1245.8434692393269</v>
      </c>
      <c r="K98" s="200">
        <f t="shared" si="29"/>
        <v>69.213526068851493</v>
      </c>
      <c r="L98" s="634"/>
      <c r="M98" s="201">
        <f>RANK(K98, K$77:$K$106)</f>
        <v>24</v>
      </c>
      <c r="N98" s="652"/>
      <c r="O98" s="652"/>
      <c r="P98" s="182">
        <v>18</v>
      </c>
      <c r="Q98" s="182">
        <v>1302.5806451612914</v>
      </c>
      <c r="R98" s="182">
        <v>72.365591397849528</v>
      </c>
      <c r="S98" s="335">
        <f t="shared" si="30"/>
        <v>17</v>
      </c>
      <c r="T98" s="674"/>
      <c r="U98" s="182">
        <v>18</v>
      </c>
      <c r="V98" s="182">
        <v>1334.4827586206907</v>
      </c>
      <c r="W98" s="182">
        <v>74.137931034482818</v>
      </c>
      <c r="X98" s="335">
        <f t="shared" si="31"/>
        <v>18</v>
      </c>
      <c r="Y98" s="674"/>
      <c r="Z98" s="182">
        <v>18</v>
      </c>
      <c r="AA98" s="182">
        <v>1316.0000000000014</v>
      </c>
      <c r="AB98" s="182">
        <v>73.111111111111185</v>
      </c>
      <c r="AC98" s="335">
        <f t="shared" si="32"/>
        <v>16</v>
      </c>
      <c r="AD98" s="674"/>
      <c r="AE98" s="182">
        <v>18</v>
      </c>
      <c r="AF98" s="182">
        <v>1151.5384615384623</v>
      </c>
      <c r="AG98" s="182">
        <v>63.974358974359021</v>
      </c>
      <c r="AH98" s="335">
        <f t="shared" si="33"/>
        <v>25</v>
      </c>
      <c r="AI98" s="674"/>
      <c r="AJ98" s="182">
        <v>18</v>
      </c>
      <c r="AK98" s="182">
        <v>1310.6250000000016</v>
      </c>
      <c r="AL98" s="182">
        <v>72.812500000000085</v>
      </c>
      <c r="AM98" s="335">
        <f t="shared" si="34"/>
        <v>17</v>
      </c>
      <c r="AN98" s="674"/>
      <c r="AO98" s="182">
        <v>18</v>
      </c>
      <c r="AP98" s="182">
        <v>1156.0000000000009</v>
      </c>
      <c r="AQ98" s="182">
        <v>64.222222222222271</v>
      </c>
      <c r="AR98" s="335">
        <f t="shared" si="35"/>
        <v>26</v>
      </c>
      <c r="AS98" s="674"/>
      <c r="AT98" s="182">
        <v>18</v>
      </c>
      <c r="AU98" s="182">
        <v>1149.6774193548397</v>
      </c>
      <c r="AV98" s="182">
        <v>63.870967741935537</v>
      </c>
      <c r="AW98" s="335">
        <f t="shared" si="36"/>
        <v>25</v>
      </c>
      <c r="AX98" s="674"/>
    </row>
    <row r="99" spans="2:50">
      <c r="B99" s="660"/>
      <c r="C99" s="309">
        <v>23</v>
      </c>
      <c r="D99" s="227" t="s">
        <v>812</v>
      </c>
      <c r="E99" s="182">
        <v>20</v>
      </c>
      <c r="F99" s="551">
        <v>1380</v>
      </c>
      <c r="G99" s="552">
        <v>69</v>
      </c>
      <c r="H99" s="702"/>
      <c r="I99" s="199">
        <f t="shared" si="27"/>
        <v>19.285714285714285</v>
      </c>
      <c r="J99" s="199">
        <f t="shared" si="28"/>
        <v>1085.5919861014343</v>
      </c>
      <c r="K99" s="200">
        <f t="shared" si="29"/>
        <v>56.31622641531095</v>
      </c>
      <c r="L99" s="634"/>
      <c r="M99" s="201">
        <f>RANK(K99, K$77:$K$106)</f>
        <v>30</v>
      </c>
      <c r="N99" s="652"/>
      <c r="O99" s="652"/>
      <c r="P99" s="182">
        <v>19</v>
      </c>
      <c r="Q99" s="182">
        <v>1073.7313432835836</v>
      </c>
      <c r="R99" s="182">
        <v>56.512175962293874</v>
      </c>
      <c r="S99" s="335">
        <f t="shared" si="30"/>
        <v>30</v>
      </c>
      <c r="T99" s="674"/>
      <c r="U99" s="182">
        <v>19</v>
      </c>
      <c r="V99" s="182">
        <v>1054.4117647058836</v>
      </c>
      <c r="W99" s="182">
        <v>55.495356037151765</v>
      </c>
      <c r="X99" s="335">
        <f t="shared" si="31"/>
        <v>29</v>
      </c>
      <c r="Y99" s="674"/>
      <c r="Z99" s="182">
        <v>19</v>
      </c>
      <c r="AA99" s="182">
        <v>1090.4761904761915</v>
      </c>
      <c r="AB99" s="182">
        <v>57.393483709273234</v>
      </c>
      <c r="AC99" s="335">
        <f t="shared" si="32"/>
        <v>30</v>
      </c>
      <c r="AD99" s="674"/>
      <c r="AE99" s="182">
        <v>19</v>
      </c>
      <c r="AF99" s="182">
        <v>1098.2608695652164</v>
      </c>
      <c r="AG99" s="182">
        <v>57.803203661327174</v>
      </c>
      <c r="AH99" s="335">
        <f t="shared" si="33"/>
        <v>28</v>
      </c>
      <c r="AI99" s="674"/>
      <c r="AJ99" s="182">
        <v>20</v>
      </c>
      <c r="AK99" s="182">
        <v>1071.3157894736833</v>
      </c>
      <c r="AL99" s="182">
        <v>53.565789473684163</v>
      </c>
      <c r="AM99" s="335">
        <f t="shared" si="34"/>
        <v>30</v>
      </c>
      <c r="AN99" s="674"/>
      <c r="AO99" s="182">
        <v>20</v>
      </c>
      <c r="AP99" s="182">
        <v>1110.4000000000017</v>
      </c>
      <c r="AQ99" s="182">
        <v>55.520000000000081</v>
      </c>
      <c r="AR99" s="335">
        <f t="shared" si="35"/>
        <v>30</v>
      </c>
      <c r="AS99" s="674"/>
      <c r="AT99" s="182">
        <v>19</v>
      </c>
      <c r="AU99" s="182">
        <v>1100.547945205481</v>
      </c>
      <c r="AV99" s="182">
        <v>57.923576063446369</v>
      </c>
      <c r="AW99" s="335">
        <f t="shared" si="36"/>
        <v>28</v>
      </c>
      <c r="AX99" s="674"/>
    </row>
    <row r="100" spans="2:50">
      <c r="B100" s="660"/>
      <c r="C100" s="309">
        <v>24</v>
      </c>
      <c r="D100" s="227" t="s">
        <v>822</v>
      </c>
      <c r="E100" s="182">
        <v>16</v>
      </c>
      <c r="F100" s="551">
        <v>1565</v>
      </c>
      <c r="G100" s="552">
        <v>97.8</v>
      </c>
      <c r="H100" s="702"/>
      <c r="I100" s="465">
        <f t="shared" ref="I100:I101" si="37">AVERAGE(P100,U100,Z100,AE100,AJ100,AO100,AT100)</f>
        <v>17</v>
      </c>
      <c r="J100" s="465">
        <f t="shared" ref="J100:J101" si="38">AVERAGE(Q100,V100,AA100,AF100,AK100,AP100,AU100)</f>
        <v>1285.9203272676552</v>
      </c>
      <c r="K100" s="200">
        <f t="shared" ref="K100:K101" si="39">AVERAGE(R100,W100,AB100,AG100,AL100,AQ100,AV100)</f>
        <v>75.642372192215007</v>
      </c>
      <c r="L100" s="634"/>
      <c r="M100" s="201">
        <f>RANK(K100, K$77:$K$106)</f>
        <v>11</v>
      </c>
      <c r="N100" s="652"/>
      <c r="O100" s="652"/>
      <c r="P100" s="182">
        <v>17</v>
      </c>
      <c r="Q100" s="182">
        <v>1280.5970149253717</v>
      </c>
      <c r="R100" s="182">
        <v>75.329236172080684</v>
      </c>
      <c r="S100" s="335">
        <f t="shared" si="30"/>
        <v>11</v>
      </c>
      <c r="T100" s="674"/>
      <c r="U100" s="182">
        <v>17</v>
      </c>
      <c r="V100" s="182">
        <v>1271.2500000000016</v>
      </c>
      <c r="W100" s="182">
        <v>74.779411764705969</v>
      </c>
      <c r="X100" s="335">
        <f t="shared" si="31"/>
        <v>16</v>
      </c>
      <c r="Y100" s="674"/>
      <c r="Z100" s="182">
        <v>17</v>
      </c>
      <c r="AA100" s="182">
        <v>1287.0000000000011</v>
      </c>
      <c r="AB100" s="182">
        <v>75.705882352941245</v>
      </c>
      <c r="AC100" s="335">
        <f t="shared" si="32"/>
        <v>14</v>
      </c>
      <c r="AD100" s="674"/>
      <c r="AE100" s="182">
        <v>17</v>
      </c>
      <c r="AF100" s="182">
        <v>1262.5714285714273</v>
      </c>
      <c r="AG100" s="182">
        <v>74.268907563025138</v>
      </c>
      <c r="AH100" s="335">
        <f t="shared" si="33"/>
        <v>13</v>
      </c>
      <c r="AI100" s="674"/>
      <c r="AJ100" s="182">
        <v>17</v>
      </c>
      <c r="AK100" s="182">
        <v>1319.9999999999986</v>
      </c>
      <c r="AL100" s="182">
        <v>77.647058823529335</v>
      </c>
      <c r="AM100" s="335">
        <f t="shared" si="34"/>
        <v>9</v>
      </c>
      <c r="AN100" s="674"/>
      <c r="AO100" s="182">
        <v>17</v>
      </c>
      <c r="AP100" s="182">
        <v>1269.7297297297289</v>
      </c>
      <c r="AQ100" s="182">
        <v>74.689984101748763</v>
      </c>
      <c r="AR100" s="335">
        <f t="shared" si="35"/>
        <v>11</v>
      </c>
      <c r="AS100" s="674"/>
      <c r="AT100" s="182">
        <v>17</v>
      </c>
      <c r="AU100" s="182">
        <v>1310.2941176470572</v>
      </c>
      <c r="AV100" s="182">
        <v>77.076124567473954</v>
      </c>
      <c r="AW100" s="335">
        <f t="shared" si="36"/>
        <v>9</v>
      </c>
      <c r="AX100" s="674"/>
    </row>
    <row r="101" spans="2:50">
      <c r="B101" s="660"/>
      <c r="C101" s="309">
        <v>25</v>
      </c>
      <c r="D101" s="227" t="s">
        <v>834</v>
      </c>
      <c r="E101" s="182">
        <v>19</v>
      </c>
      <c r="F101" s="551">
        <v>1385</v>
      </c>
      <c r="G101" s="552">
        <v>72.900000000000006</v>
      </c>
      <c r="H101" s="702"/>
      <c r="I101" s="465">
        <f t="shared" si="37"/>
        <v>19</v>
      </c>
      <c r="J101" s="465">
        <f t="shared" si="38"/>
        <v>1081.4892503389844</v>
      </c>
      <c r="K101" s="200">
        <f t="shared" si="39"/>
        <v>56.920486859946564</v>
      </c>
      <c r="L101" s="634"/>
      <c r="M101" s="201">
        <f>RANK(K101, K$77:$K$106)</f>
        <v>29</v>
      </c>
      <c r="N101" s="652"/>
      <c r="O101" s="652"/>
      <c r="P101" s="182">
        <v>19</v>
      </c>
      <c r="Q101" s="182">
        <v>1091.5789473684217</v>
      </c>
      <c r="R101" s="182">
        <v>57.451523545706408</v>
      </c>
      <c r="S101" s="335">
        <f t="shared" si="30"/>
        <v>29</v>
      </c>
      <c r="T101" s="674"/>
      <c r="U101" s="182">
        <v>19</v>
      </c>
      <c r="V101" s="182">
        <v>1053.3333333333326</v>
      </c>
      <c r="W101" s="182">
        <v>55.438596491228033</v>
      </c>
      <c r="X101" s="335">
        <f t="shared" si="31"/>
        <v>30</v>
      </c>
      <c r="Y101" s="674"/>
      <c r="Z101" s="182">
        <v>19</v>
      </c>
      <c r="AA101" s="182">
        <v>1099.1304347826076</v>
      </c>
      <c r="AB101" s="182">
        <v>57.848970251716189</v>
      </c>
      <c r="AC101" s="335">
        <f t="shared" si="32"/>
        <v>29</v>
      </c>
      <c r="AD101" s="674"/>
      <c r="AE101" s="182">
        <v>19</v>
      </c>
      <c r="AF101" s="182">
        <v>1067.1999999999994</v>
      </c>
      <c r="AG101" s="182">
        <v>56.168421052631544</v>
      </c>
      <c r="AH101" s="335">
        <f t="shared" si="33"/>
        <v>30</v>
      </c>
      <c r="AI101" s="674"/>
      <c r="AJ101" s="182">
        <v>19</v>
      </c>
      <c r="AK101" s="182">
        <v>1068.8372093023254</v>
      </c>
      <c r="AL101" s="182">
        <v>56.254589963280281</v>
      </c>
      <c r="AM101" s="335">
        <f t="shared" si="34"/>
        <v>28</v>
      </c>
      <c r="AN101" s="674"/>
      <c r="AO101" s="182">
        <v>19</v>
      </c>
      <c r="AP101" s="182">
        <v>1113.1034482758619</v>
      </c>
      <c r="AQ101" s="182">
        <v>58.584392014519047</v>
      </c>
      <c r="AR101" s="335">
        <f t="shared" si="35"/>
        <v>28</v>
      </c>
      <c r="AS101" s="674"/>
      <c r="AT101" s="182">
        <v>19</v>
      </c>
      <c r="AU101" s="182">
        <v>1077.2413793103447</v>
      </c>
      <c r="AV101" s="182">
        <v>56.696914700544454</v>
      </c>
      <c r="AW101" s="335">
        <f t="shared" si="36"/>
        <v>29</v>
      </c>
      <c r="AX101" s="674"/>
    </row>
    <row r="102" spans="2:50">
      <c r="B102" s="660"/>
      <c r="C102" s="309">
        <v>26</v>
      </c>
      <c r="D102" s="227" t="s">
        <v>835</v>
      </c>
      <c r="E102" s="182">
        <v>18</v>
      </c>
      <c r="F102" s="551">
        <v>1440</v>
      </c>
      <c r="G102" s="552">
        <v>80</v>
      </c>
      <c r="H102" s="702"/>
      <c r="I102" s="540">
        <f t="shared" ref="I102:I104" si="40">AVERAGE(P102,U102,Z102,AE102,AJ102,AO102,AT102)</f>
        <v>17.714285714285715</v>
      </c>
      <c r="J102" s="540">
        <f t="shared" ref="J102:J104" si="41">AVERAGE(Q102,V102,AA102,AF102,AK102,AP102,AU102)</f>
        <v>1268.4043726303596</v>
      </c>
      <c r="K102" s="200">
        <f t="shared" ref="K102:K104" si="42">AVERAGE(R102,W102,AB102,AG102,AL102,AQ102,AV102)</f>
        <v>71.666784277292308</v>
      </c>
      <c r="L102" s="634"/>
      <c r="M102" s="201">
        <f>RANK(K102, K$77:$K$106)</f>
        <v>20</v>
      </c>
      <c r="N102" s="652"/>
      <c r="O102" s="652"/>
      <c r="P102" s="182">
        <v>18</v>
      </c>
      <c r="Q102" s="182">
        <v>1244.5161290322562</v>
      </c>
      <c r="R102" s="182">
        <v>69.13978494623646</v>
      </c>
      <c r="S102" s="335">
        <f t="shared" si="30"/>
        <v>23</v>
      </c>
      <c r="T102" s="674"/>
      <c r="U102" s="182">
        <v>18</v>
      </c>
      <c r="V102" s="182">
        <v>1278.7499999999982</v>
      </c>
      <c r="W102" s="182">
        <v>71.041666666666572</v>
      </c>
      <c r="X102" s="335">
        <f t="shared" si="31"/>
        <v>22</v>
      </c>
      <c r="Y102" s="674"/>
      <c r="Z102" s="182">
        <v>18</v>
      </c>
      <c r="AA102" s="182">
        <v>1250.9090909090894</v>
      </c>
      <c r="AB102" s="182">
        <v>69.49494949494941</v>
      </c>
      <c r="AC102" s="335">
        <f t="shared" si="32"/>
        <v>22</v>
      </c>
      <c r="AD102" s="674"/>
      <c r="AE102" s="182">
        <v>18</v>
      </c>
      <c r="AF102" s="182">
        <v>1231.6666666666656</v>
      </c>
      <c r="AG102" s="182">
        <v>68.425925925925867</v>
      </c>
      <c r="AH102" s="335">
        <f t="shared" si="33"/>
        <v>22</v>
      </c>
      <c r="AI102" s="674"/>
      <c r="AJ102" s="182">
        <v>17</v>
      </c>
      <c r="AK102" s="182">
        <v>1272.6315789473674</v>
      </c>
      <c r="AL102" s="182">
        <v>74.860681114551028</v>
      </c>
      <c r="AM102" s="335">
        <f t="shared" si="34"/>
        <v>12</v>
      </c>
      <c r="AN102" s="674"/>
      <c r="AO102" s="182">
        <v>18</v>
      </c>
      <c r="AP102" s="182">
        <v>1302.8571428571418</v>
      </c>
      <c r="AQ102" s="182">
        <v>72.380952380952323</v>
      </c>
      <c r="AR102" s="335">
        <f t="shared" si="35"/>
        <v>17</v>
      </c>
      <c r="AS102" s="674"/>
      <c r="AT102" s="182">
        <v>17</v>
      </c>
      <c r="AU102" s="182">
        <v>1297.4999999999982</v>
      </c>
      <c r="AV102" s="182">
        <v>76.323529411764596</v>
      </c>
      <c r="AW102" s="335">
        <f t="shared" si="36"/>
        <v>10</v>
      </c>
      <c r="AX102" s="674"/>
    </row>
    <row r="103" spans="2:50">
      <c r="B103" s="660"/>
      <c r="C103" s="309">
        <v>27</v>
      </c>
      <c r="D103" s="227" t="s">
        <v>840</v>
      </c>
      <c r="E103" s="182">
        <v>16</v>
      </c>
      <c r="F103" s="551">
        <v>1440</v>
      </c>
      <c r="G103" s="552">
        <v>90</v>
      </c>
      <c r="H103" s="702"/>
      <c r="I103" s="540">
        <f t="shared" si="40"/>
        <v>15.571428571428571</v>
      </c>
      <c r="J103" s="540">
        <f t="shared" si="41"/>
        <v>1293.8662965461874</v>
      </c>
      <c r="K103" s="200">
        <f t="shared" si="42"/>
        <v>83.148627938067762</v>
      </c>
      <c r="L103" s="634"/>
      <c r="M103" s="201">
        <f>RANK(K103, K$77:$K$106)</f>
        <v>4</v>
      </c>
      <c r="N103" s="652"/>
      <c r="O103" s="652"/>
      <c r="P103" s="182">
        <v>15</v>
      </c>
      <c r="Q103" s="182">
        <v>1249.4117647058829</v>
      </c>
      <c r="R103" s="182">
        <v>83.294117647058854</v>
      </c>
      <c r="S103" s="335">
        <f t="shared" si="30"/>
        <v>6</v>
      </c>
      <c r="T103" s="674"/>
      <c r="U103" s="182">
        <v>15</v>
      </c>
      <c r="V103" s="182">
        <v>1279.3220338983062</v>
      </c>
      <c r="W103" s="182">
        <v>85.288135593220417</v>
      </c>
      <c r="X103" s="335">
        <f t="shared" si="31"/>
        <v>3</v>
      </c>
      <c r="Y103" s="674"/>
      <c r="Z103" s="182">
        <v>16</v>
      </c>
      <c r="AA103" s="182">
        <v>1313.4545454545464</v>
      </c>
      <c r="AB103" s="182">
        <v>82.09090909090915</v>
      </c>
      <c r="AC103" s="335">
        <f t="shared" si="32"/>
        <v>6</v>
      </c>
      <c r="AD103" s="674"/>
      <c r="AE103" s="182">
        <v>16</v>
      </c>
      <c r="AF103" s="182">
        <v>1292.4590163934438</v>
      </c>
      <c r="AG103" s="182">
        <v>80.778688524590237</v>
      </c>
      <c r="AH103" s="335">
        <f t="shared" si="33"/>
        <v>5</v>
      </c>
      <c r="AI103" s="674"/>
      <c r="AJ103" s="182">
        <v>15</v>
      </c>
      <c r="AK103" s="182">
        <v>1305.0000000000014</v>
      </c>
      <c r="AL103" s="182">
        <v>87.000000000000085</v>
      </c>
      <c r="AM103" s="335">
        <f t="shared" si="34"/>
        <v>3</v>
      </c>
      <c r="AN103" s="674"/>
      <c r="AO103" s="182">
        <v>16</v>
      </c>
      <c r="AP103" s="182">
        <v>1309.8305084745775</v>
      </c>
      <c r="AQ103" s="182">
        <v>81.864406779661095</v>
      </c>
      <c r="AR103" s="335">
        <f t="shared" si="35"/>
        <v>5</v>
      </c>
      <c r="AS103" s="674"/>
      <c r="AT103" s="182">
        <v>16</v>
      </c>
      <c r="AU103" s="182">
        <v>1307.5862068965528</v>
      </c>
      <c r="AV103" s="182">
        <v>81.724137931034548</v>
      </c>
      <c r="AW103" s="335">
        <f t="shared" si="36"/>
        <v>5</v>
      </c>
      <c r="AX103" s="674"/>
    </row>
    <row r="104" spans="2:50">
      <c r="B104" s="660"/>
      <c r="C104" s="309">
        <v>28</v>
      </c>
      <c r="D104" s="227" t="s">
        <v>911</v>
      </c>
      <c r="E104" s="182">
        <v>21</v>
      </c>
      <c r="F104" s="551">
        <v>1500</v>
      </c>
      <c r="G104" s="552">
        <v>71.400000000000006</v>
      </c>
      <c r="H104" s="702"/>
      <c r="I104" s="540">
        <f t="shared" si="40"/>
        <v>20</v>
      </c>
      <c r="J104" s="540">
        <f t="shared" si="41"/>
        <v>1155.7735960550715</v>
      </c>
      <c r="K104" s="200">
        <f t="shared" si="42"/>
        <v>57.788679802753585</v>
      </c>
      <c r="L104" s="634"/>
      <c r="M104" s="201">
        <f>RANK(K104, K$77:$K$106)</f>
        <v>28</v>
      </c>
      <c r="N104" s="652"/>
      <c r="O104" s="652"/>
      <c r="P104" s="182">
        <v>20</v>
      </c>
      <c r="Q104" s="182">
        <v>1175.6250000000014</v>
      </c>
      <c r="R104" s="182">
        <v>58.781250000000071</v>
      </c>
      <c r="S104" s="335">
        <f t="shared" si="30"/>
        <v>28</v>
      </c>
      <c r="T104" s="674"/>
      <c r="U104" s="182">
        <v>20</v>
      </c>
      <c r="V104" s="182">
        <v>1202.857142857144</v>
      </c>
      <c r="W104" s="182">
        <v>60.142857142857203</v>
      </c>
      <c r="X104" s="335">
        <f t="shared" si="31"/>
        <v>28</v>
      </c>
      <c r="Y104" s="674"/>
      <c r="Z104" s="182">
        <v>20</v>
      </c>
      <c r="AA104" s="182">
        <v>1176.5625000000005</v>
      </c>
      <c r="AB104" s="182">
        <v>58.828125000000021</v>
      </c>
      <c r="AC104" s="335">
        <f t="shared" si="32"/>
        <v>28</v>
      </c>
      <c r="AD104" s="674"/>
      <c r="AE104" s="182">
        <v>20</v>
      </c>
      <c r="AF104" s="182">
        <v>1152.7272727272739</v>
      </c>
      <c r="AG104" s="182">
        <v>57.636363636363697</v>
      </c>
      <c r="AH104" s="335">
        <f t="shared" si="33"/>
        <v>29</v>
      </c>
      <c r="AI104" s="674"/>
      <c r="AJ104" s="182">
        <v>20</v>
      </c>
      <c r="AK104" s="182">
        <v>1116.1643835616442</v>
      </c>
      <c r="AL104" s="182">
        <v>55.808219178082211</v>
      </c>
      <c r="AM104" s="335">
        <f t="shared" si="34"/>
        <v>29</v>
      </c>
      <c r="AN104" s="674"/>
      <c r="AO104" s="182">
        <v>20</v>
      </c>
      <c r="AP104" s="182">
        <v>1134.0845070422536</v>
      </c>
      <c r="AQ104" s="182">
        <v>56.70422535211268</v>
      </c>
      <c r="AR104" s="335">
        <f t="shared" si="35"/>
        <v>29</v>
      </c>
      <c r="AS104" s="674"/>
      <c r="AT104" s="182">
        <v>20</v>
      </c>
      <c r="AU104" s="182">
        <v>1132.3943661971834</v>
      </c>
      <c r="AV104" s="182">
        <v>56.619718309859174</v>
      </c>
      <c r="AW104" s="335">
        <f t="shared" si="36"/>
        <v>30</v>
      </c>
      <c r="AX104" s="674"/>
    </row>
    <row r="105" spans="2:50">
      <c r="B105" s="660"/>
      <c r="C105" s="309">
        <v>29</v>
      </c>
      <c r="D105" s="227" t="s">
        <v>925</v>
      </c>
      <c r="E105" s="182">
        <v>19</v>
      </c>
      <c r="F105" s="551">
        <v>1440</v>
      </c>
      <c r="G105" s="552">
        <v>75.8</v>
      </c>
      <c r="H105" s="702"/>
      <c r="I105" s="572">
        <f t="shared" ref="I105:I106" si="43">AVERAGE(P105,U105,Z105,AE105,AJ105,AO105,AT105)</f>
        <v>17.714285714285715</v>
      </c>
      <c r="J105" s="572">
        <f t="shared" ref="J105:J106" si="44">AVERAGE(Q105,V105,AA105,AF105,AK105,AP105,AU105)</f>
        <v>1281.3176211453203</v>
      </c>
      <c r="K105" s="200">
        <f t="shared" ref="K105:K106" si="45">AVERAGE(R105,W105,AB105,AG105,AL105,AQ105,AV105)</f>
        <v>72.381906077466141</v>
      </c>
      <c r="L105" s="634"/>
      <c r="M105" s="201">
        <f>RANK(K105, K$77:$K$106)</f>
        <v>17</v>
      </c>
      <c r="N105" s="652"/>
      <c r="O105" s="652"/>
      <c r="P105" s="182">
        <v>18</v>
      </c>
      <c r="Q105" s="182">
        <v>1279.2452830188686</v>
      </c>
      <c r="R105" s="182">
        <v>71.06918238993714</v>
      </c>
      <c r="S105" s="335">
        <f t="shared" si="30"/>
        <v>18</v>
      </c>
      <c r="T105" s="674"/>
      <c r="U105" s="182">
        <v>17</v>
      </c>
      <c r="V105" s="182">
        <v>1277.7049180327881</v>
      </c>
      <c r="W105" s="182">
        <v>75.159112825458124</v>
      </c>
      <c r="X105" s="335">
        <f t="shared" si="31"/>
        <v>14</v>
      </c>
      <c r="Y105" s="674"/>
      <c r="Z105" s="182">
        <v>17</v>
      </c>
      <c r="AA105" s="182">
        <v>1287.5409836065585</v>
      </c>
      <c r="AB105" s="182">
        <v>75.737704918032847</v>
      </c>
      <c r="AC105" s="335">
        <f t="shared" si="32"/>
        <v>13</v>
      </c>
      <c r="AD105" s="674"/>
      <c r="AE105" s="182">
        <v>18</v>
      </c>
      <c r="AF105" s="182">
        <v>1291.3846153846168</v>
      </c>
      <c r="AG105" s="182">
        <v>71.743589743589823</v>
      </c>
      <c r="AH105" s="335">
        <f t="shared" si="33"/>
        <v>17</v>
      </c>
      <c r="AI105" s="674"/>
      <c r="AJ105" s="182">
        <v>18</v>
      </c>
      <c r="AK105" s="182">
        <v>1268.5714285714273</v>
      </c>
      <c r="AL105" s="182">
        <v>70.476190476190411</v>
      </c>
      <c r="AM105" s="335">
        <f t="shared" si="34"/>
        <v>22</v>
      </c>
      <c r="AN105" s="674"/>
      <c r="AO105" s="182">
        <v>18</v>
      </c>
      <c r="AP105" s="182">
        <v>1309.253731343282</v>
      </c>
      <c r="AQ105" s="182">
        <v>72.736318407960113</v>
      </c>
      <c r="AR105" s="335">
        <f t="shared" si="35"/>
        <v>16</v>
      </c>
      <c r="AS105" s="674"/>
      <c r="AT105" s="182">
        <v>18</v>
      </c>
      <c r="AU105" s="182">
        <v>1255.5223880597</v>
      </c>
      <c r="AV105" s="182">
        <v>69.751243781094445</v>
      </c>
      <c r="AW105" s="335">
        <f t="shared" si="36"/>
        <v>24</v>
      </c>
      <c r="AX105" s="674"/>
    </row>
    <row r="106" spans="2:50">
      <c r="B106" s="660"/>
      <c r="C106" s="309">
        <v>30</v>
      </c>
      <c r="D106" s="227" t="s">
        <v>943</v>
      </c>
      <c r="E106" s="182">
        <v>20</v>
      </c>
      <c r="F106" s="514">
        <v>1500</v>
      </c>
      <c r="G106" s="515">
        <v>75</v>
      </c>
      <c r="H106" s="703"/>
      <c r="I106" s="572">
        <f t="shared" si="43"/>
        <v>19.857142857142858</v>
      </c>
      <c r="J106" s="572">
        <f t="shared" si="44"/>
        <v>1269.2632957105009</v>
      </c>
      <c r="K106" s="200">
        <f t="shared" si="45"/>
        <v>63.935981442552226</v>
      </c>
      <c r="L106" s="635"/>
      <c r="M106" s="201">
        <f>RANK(K106, K$77:$K$106)</f>
        <v>27</v>
      </c>
      <c r="N106" s="652"/>
      <c r="O106" s="652"/>
      <c r="P106" s="182">
        <v>20</v>
      </c>
      <c r="Q106" s="182">
        <v>1269.1304347826085</v>
      </c>
      <c r="R106" s="182">
        <v>63.456521739130423</v>
      </c>
      <c r="S106" s="335">
        <f t="shared" si="30"/>
        <v>27</v>
      </c>
      <c r="T106" s="674"/>
      <c r="U106" s="182">
        <v>20</v>
      </c>
      <c r="V106" s="182">
        <v>1268.1818181818182</v>
      </c>
      <c r="W106" s="182">
        <v>63.409090909090914</v>
      </c>
      <c r="X106" s="335">
        <f t="shared" si="31"/>
        <v>27</v>
      </c>
      <c r="Y106" s="674"/>
      <c r="Z106" s="182">
        <v>20</v>
      </c>
      <c r="AA106" s="182">
        <v>1288.695652173913</v>
      </c>
      <c r="AB106" s="182">
        <v>64.434782608695656</v>
      </c>
      <c r="AC106" s="335">
        <f t="shared" si="32"/>
        <v>27</v>
      </c>
      <c r="AD106" s="674"/>
      <c r="AE106" s="182">
        <v>20</v>
      </c>
      <c r="AF106" s="182">
        <v>1277.3333333333333</v>
      </c>
      <c r="AG106" s="182">
        <v>63.86666666666666</v>
      </c>
      <c r="AH106" s="335">
        <f t="shared" si="33"/>
        <v>26</v>
      </c>
      <c r="AI106" s="674"/>
      <c r="AJ106" s="182">
        <v>19</v>
      </c>
      <c r="AK106" s="182">
        <v>1257.6923076923085</v>
      </c>
      <c r="AL106" s="182">
        <v>66.194331983805711</v>
      </c>
      <c r="AM106" s="335">
        <f t="shared" si="34"/>
        <v>26</v>
      </c>
      <c r="AN106" s="674"/>
      <c r="AO106" s="182">
        <v>20</v>
      </c>
      <c r="AP106" s="182">
        <v>1277.1428571428576</v>
      </c>
      <c r="AQ106" s="182">
        <v>63.857142857142875</v>
      </c>
      <c r="AR106" s="335">
        <f t="shared" si="35"/>
        <v>27</v>
      </c>
      <c r="AS106" s="674"/>
      <c r="AT106" s="182">
        <v>20</v>
      </c>
      <c r="AU106" s="182">
        <v>1246.6666666666667</v>
      </c>
      <c r="AV106" s="182">
        <v>62.333333333333336</v>
      </c>
      <c r="AW106" s="335">
        <f t="shared" si="36"/>
        <v>27</v>
      </c>
      <c r="AX106" s="674"/>
    </row>
    <row r="107" spans="2:50" ht="15.75">
      <c r="B107" s="664" t="s">
        <v>163</v>
      </c>
      <c r="C107" s="665"/>
      <c r="D107" s="665"/>
      <c r="E107" s="665"/>
      <c r="F107" s="665"/>
      <c r="G107" s="665"/>
      <c r="H107" s="666"/>
      <c r="I107" s="208"/>
      <c r="J107" s="208"/>
      <c r="K107" s="208"/>
      <c r="L107" s="208"/>
      <c r="M107" s="207"/>
      <c r="N107" s="653" t="s">
        <v>156</v>
      </c>
      <c r="O107" s="653" t="s">
        <v>105</v>
      </c>
      <c r="P107" s="659">
        <f>P72+7</f>
        <v>46070</v>
      </c>
      <c r="Q107" s="660"/>
      <c r="R107" s="660"/>
      <c r="S107" s="660"/>
      <c r="T107" s="660"/>
      <c r="U107" s="656">
        <f>P107+1</f>
        <v>46071</v>
      </c>
      <c r="V107" s="657"/>
      <c r="W107" s="657"/>
      <c r="X107" s="657"/>
      <c r="Y107" s="658"/>
      <c r="Z107" s="656">
        <f>U107+1</f>
        <v>46072</v>
      </c>
      <c r="AA107" s="657"/>
      <c r="AB107" s="657"/>
      <c r="AC107" s="657"/>
      <c r="AD107" s="658"/>
      <c r="AE107" s="656">
        <f>Z107+1</f>
        <v>46073</v>
      </c>
      <c r="AF107" s="657"/>
      <c r="AG107" s="657"/>
      <c r="AH107" s="657"/>
      <c r="AI107" s="658"/>
      <c r="AJ107" s="656">
        <f>AE107+1</f>
        <v>46074</v>
      </c>
      <c r="AK107" s="657"/>
      <c r="AL107" s="657"/>
      <c r="AM107" s="657"/>
      <c r="AN107" s="658"/>
      <c r="AO107" s="656">
        <f>AJ107+1</f>
        <v>46075</v>
      </c>
      <c r="AP107" s="657"/>
      <c r="AQ107" s="657"/>
      <c r="AR107" s="657"/>
      <c r="AS107" s="658"/>
      <c r="AT107" s="656">
        <f>AO107+1</f>
        <v>46076</v>
      </c>
      <c r="AU107" s="657"/>
      <c r="AV107" s="657"/>
      <c r="AW107" s="657"/>
      <c r="AX107" s="658"/>
    </row>
    <row r="108" spans="2:50" ht="15.75">
      <c r="B108" s="667"/>
      <c r="C108" s="667"/>
      <c r="D108" s="667"/>
      <c r="E108" s="667"/>
      <c r="F108" s="667"/>
      <c r="G108" s="667"/>
      <c r="H108" s="667"/>
      <c r="I108" s="205"/>
      <c r="J108" s="205"/>
      <c r="K108" s="205"/>
      <c r="L108" s="205"/>
      <c r="M108" s="206"/>
      <c r="N108" s="655"/>
      <c r="O108" s="655"/>
      <c r="P108" s="659" t="s">
        <v>336</v>
      </c>
      <c r="Q108" s="660"/>
      <c r="R108" s="660"/>
      <c r="S108" s="660"/>
      <c r="T108" s="660"/>
      <c r="U108" s="659" t="s">
        <v>337</v>
      </c>
      <c r="V108" s="660"/>
      <c r="W108" s="660"/>
      <c r="X108" s="660"/>
      <c r="Y108" s="660"/>
      <c r="Z108" s="659" t="s">
        <v>338</v>
      </c>
      <c r="AA108" s="660"/>
      <c r="AB108" s="660"/>
      <c r="AC108" s="660"/>
      <c r="AD108" s="660"/>
      <c r="AE108" s="659" t="s">
        <v>339</v>
      </c>
      <c r="AF108" s="660"/>
      <c r="AG108" s="660"/>
      <c r="AH108" s="660"/>
      <c r="AI108" s="660"/>
      <c r="AJ108" s="659" t="s">
        <v>340</v>
      </c>
      <c r="AK108" s="660"/>
      <c r="AL108" s="660"/>
      <c r="AM108" s="660"/>
      <c r="AN108" s="660"/>
      <c r="AO108" s="659" t="s">
        <v>341</v>
      </c>
      <c r="AP108" s="660"/>
      <c r="AQ108" s="660"/>
      <c r="AR108" s="660"/>
      <c r="AS108" s="660"/>
      <c r="AT108" s="659" t="s">
        <v>342</v>
      </c>
      <c r="AU108" s="660"/>
      <c r="AV108" s="660"/>
      <c r="AW108" s="660"/>
      <c r="AX108" s="660"/>
    </row>
    <row r="109" spans="2:50">
      <c r="B109" s="652" t="s">
        <v>490</v>
      </c>
      <c r="C109" s="652" t="s">
        <v>491</v>
      </c>
      <c r="D109" s="652"/>
      <c r="E109" s="652" t="s">
        <v>492</v>
      </c>
      <c r="F109" s="652"/>
      <c r="G109" s="652"/>
      <c r="H109" s="668" t="s">
        <v>493</v>
      </c>
      <c r="I109" s="636" t="s">
        <v>494</v>
      </c>
      <c r="J109" s="636"/>
      <c r="K109" s="636"/>
      <c r="L109" s="637" t="s">
        <v>493</v>
      </c>
      <c r="M109" s="643" t="s">
        <v>495</v>
      </c>
      <c r="N109" s="652"/>
      <c r="O109" s="652" t="s">
        <v>496</v>
      </c>
      <c r="P109" s="649" t="s">
        <v>497</v>
      </c>
      <c r="Q109" s="650"/>
      <c r="R109" s="650"/>
      <c r="S109" s="651"/>
      <c r="T109" s="652" t="s">
        <v>493</v>
      </c>
      <c r="U109" s="649" t="s">
        <v>497</v>
      </c>
      <c r="V109" s="650"/>
      <c r="W109" s="650"/>
      <c r="X109" s="651"/>
      <c r="Y109" s="652" t="s">
        <v>493</v>
      </c>
      <c r="Z109" s="649" t="s">
        <v>497</v>
      </c>
      <c r="AA109" s="650"/>
      <c r="AB109" s="650"/>
      <c r="AC109" s="651"/>
      <c r="AD109" s="652" t="s">
        <v>493</v>
      </c>
      <c r="AE109" s="649" t="s">
        <v>497</v>
      </c>
      <c r="AF109" s="650"/>
      <c r="AG109" s="650"/>
      <c r="AH109" s="651"/>
      <c r="AI109" s="652" t="s">
        <v>493</v>
      </c>
      <c r="AJ109" s="649" t="s">
        <v>497</v>
      </c>
      <c r="AK109" s="650"/>
      <c r="AL109" s="650"/>
      <c r="AM109" s="651"/>
      <c r="AN109" s="652" t="s">
        <v>493</v>
      </c>
      <c r="AO109" s="649" t="s">
        <v>497</v>
      </c>
      <c r="AP109" s="650"/>
      <c r="AQ109" s="650"/>
      <c r="AR109" s="651"/>
      <c r="AS109" s="652" t="s">
        <v>493</v>
      </c>
      <c r="AT109" s="649" t="s">
        <v>497</v>
      </c>
      <c r="AU109" s="650"/>
      <c r="AV109" s="650"/>
      <c r="AW109" s="651"/>
      <c r="AX109" s="652" t="s">
        <v>493</v>
      </c>
    </row>
    <row r="110" spans="2:50">
      <c r="B110" s="652"/>
      <c r="C110" s="652"/>
      <c r="D110" s="652"/>
      <c r="E110" s="652" t="s">
        <v>498</v>
      </c>
      <c r="F110" s="652"/>
      <c r="G110" s="652"/>
      <c r="H110" s="669"/>
      <c r="I110" s="636" t="s">
        <v>498</v>
      </c>
      <c r="J110" s="636"/>
      <c r="K110" s="636"/>
      <c r="L110" s="638"/>
      <c r="M110" s="644"/>
      <c r="N110" s="652"/>
      <c r="O110" s="652"/>
      <c r="P110" s="649" t="s">
        <v>499</v>
      </c>
      <c r="Q110" s="650"/>
      <c r="R110" s="650"/>
      <c r="S110" s="651"/>
      <c r="T110" s="652"/>
      <c r="U110" s="649" t="s">
        <v>499</v>
      </c>
      <c r="V110" s="650"/>
      <c r="W110" s="650"/>
      <c r="X110" s="651"/>
      <c r="Y110" s="652"/>
      <c r="Z110" s="649" t="s">
        <v>499</v>
      </c>
      <c r="AA110" s="650"/>
      <c r="AB110" s="650"/>
      <c r="AC110" s="651"/>
      <c r="AD110" s="652"/>
      <c r="AE110" s="649" t="s">
        <v>499</v>
      </c>
      <c r="AF110" s="650"/>
      <c r="AG110" s="650"/>
      <c r="AH110" s="651"/>
      <c r="AI110" s="652"/>
      <c r="AJ110" s="649" t="s">
        <v>499</v>
      </c>
      <c r="AK110" s="650"/>
      <c r="AL110" s="650"/>
      <c r="AM110" s="651"/>
      <c r="AN110" s="652"/>
      <c r="AO110" s="649" t="s">
        <v>499</v>
      </c>
      <c r="AP110" s="650"/>
      <c r="AQ110" s="650"/>
      <c r="AR110" s="651"/>
      <c r="AS110" s="652"/>
      <c r="AT110" s="649" t="s">
        <v>499</v>
      </c>
      <c r="AU110" s="650"/>
      <c r="AV110" s="650"/>
      <c r="AW110" s="651"/>
      <c r="AX110" s="652"/>
    </row>
    <row r="111" spans="2:50">
      <c r="B111" s="652"/>
      <c r="C111" s="652"/>
      <c r="D111" s="652"/>
      <c r="E111" s="308" t="s">
        <v>500</v>
      </c>
      <c r="F111" s="308" t="s">
        <v>501</v>
      </c>
      <c r="G111" s="308" t="s">
        <v>502</v>
      </c>
      <c r="H111" s="670"/>
      <c r="I111" s="307" t="s">
        <v>500</v>
      </c>
      <c r="J111" s="307" t="s">
        <v>501</v>
      </c>
      <c r="K111" s="307" t="s">
        <v>502</v>
      </c>
      <c r="L111" s="639"/>
      <c r="M111" s="645"/>
      <c r="N111" s="652"/>
      <c r="O111" s="652"/>
      <c r="P111" s="308" t="s">
        <v>500</v>
      </c>
      <c r="Q111" s="308" t="s">
        <v>501</v>
      </c>
      <c r="R111" s="308" t="s">
        <v>502</v>
      </c>
      <c r="S111" s="308" t="s">
        <v>495</v>
      </c>
      <c r="T111" s="652"/>
      <c r="U111" s="308" t="s">
        <v>500</v>
      </c>
      <c r="V111" s="308" t="s">
        <v>501</v>
      </c>
      <c r="W111" s="308" t="s">
        <v>502</v>
      </c>
      <c r="X111" s="308" t="s">
        <v>495</v>
      </c>
      <c r="Y111" s="652"/>
      <c r="Z111" s="308" t="s">
        <v>500</v>
      </c>
      <c r="AA111" s="308" t="s">
        <v>501</v>
      </c>
      <c r="AB111" s="308" t="s">
        <v>502</v>
      </c>
      <c r="AC111" s="308" t="s">
        <v>495</v>
      </c>
      <c r="AD111" s="652"/>
      <c r="AE111" s="308" t="s">
        <v>500</v>
      </c>
      <c r="AF111" s="308" t="s">
        <v>501</v>
      </c>
      <c r="AG111" s="308" t="s">
        <v>502</v>
      </c>
      <c r="AH111" s="308" t="s">
        <v>495</v>
      </c>
      <c r="AI111" s="652"/>
      <c r="AJ111" s="308" t="s">
        <v>500</v>
      </c>
      <c r="AK111" s="308" t="s">
        <v>501</v>
      </c>
      <c r="AL111" s="308" t="s">
        <v>502</v>
      </c>
      <c r="AM111" s="308" t="s">
        <v>495</v>
      </c>
      <c r="AN111" s="652"/>
      <c r="AO111" s="308" t="s">
        <v>500</v>
      </c>
      <c r="AP111" s="308" t="s">
        <v>501</v>
      </c>
      <c r="AQ111" s="308" t="s">
        <v>502</v>
      </c>
      <c r="AR111" s="308" t="s">
        <v>495</v>
      </c>
      <c r="AS111" s="652"/>
      <c r="AT111" s="308" t="s">
        <v>500</v>
      </c>
      <c r="AU111" s="308" t="s">
        <v>501</v>
      </c>
      <c r="AV111" s="308" t="s">
        <v>502</v>
      </c>
      <c r="AW111" s="308" t="s">
        <v>495</v>
      </c>
      <c r="AX111" s="652"/>
    </row>
    <row r="112" spans="2:50">
      <c r="B112" s="652" t="s">
        <v>503</v>
      </c>
      <c r="C112" s="309">
        <v>1</v>
      </c>
      <c r="D112" s="227"/>
      <c r="E112" s="182"/>
      <c r="F112" s="551"/>
      <c r="G112" s="552"/>
      <c r="H112" s="701" t="e">
        <f>AVERAGE(G112:G141)</f>
        <v>#DIV/0!</v>
      </c>
      <c r="I112" s="199" t="e">
        <f>AVERAGE(P112,U112,Z112,AE112,AJ112,AO112,AT112)</f>
        <v>#DIV/0!</v>
      </c>
      <c r="J112" s="199" t="e">
        <f>AVERAGE(Q112,V112,AA112,AF112,AK112,AP112,AU112)</f>
        <v>#DIV/0!</v>
      </c>
      <c r="K112" s="200" t="e">
        <f>AVERAGE(R112,W112,AB112,AG112,AL112,AQ112,AV112)</f>
        <v>#DIV/0!</v>
      </c>
      <c r="L112" s="633" t="str">
        <f>IFERROR(AVERAGE(K112:K141),"-")</f>
        <v>-</v>
      </c>
      <c r="M112" s="201" t="e">
        <f>RANK(K112, K$112:$K$141)</f>
        <v>#DIV/0!</v>
      </c>
      <c r="N112" s="652"/>
      <c r="O112" s="652"/>
      <c r="P112" s="182"/>
      <c r="Q112" s="182"/>
      <c r="R112" s="182"/>
      <c r="S112" s="309" t="e">
        <f>RANK(R112, R$112:R$141)</f>
        <v>#N/A</v>
      </c>
      <c r="T112" s="674" t="e">
        <f>AVERAGE(R112:R141)</f>
        <v>#DIV/0!</v>
      </c>
      <c r="U112" s="182"/>
      <c r="V112" s="182"/>
      <c r="W112" s="182"/>
      <c r="X112" s="340" t="e">
        <f>RANK(W112, W$112:W$141)</f>
        <v>#N/A</v>
      </c>
      <c r="Y112" s="674" t="e">
        <f>AVERAGE(W112:W141)</f>
        <v>#DIV/0!</v>
      </c>
      <c r="Z112" s="182"/>
      <c r="AA112" s="182"/>
      <c r="AB112" s="182"/>
      <c r="AC112" s="340" t="e">
        <f>RANK(AB112, AB$112:AB$141)</f>
        <v>#N/A</v>
      </c>
      <c r="AD112" s="674" t="e">
        <f>AVERAGE(AB112:AB141)</f>
        <v>#DIV/0!</v>
      </c>
      <c r="AE112" s="182"/>
      <c r="AF112" s="182"/>
      <c r="AG112" s="182"/>
      <c r="AH112" s="340" t="e">
        <f>RANK(AG112, AG$112:AG$141)</f>
        <v>#N/A</v>
      </c>
      <c r="AI112" s="674" t="e">
        <f>AVERAGE(AG112:AG141)</f>
        <v>#DIV/0!</v>
      </c>
      <c r="AJ112" s="182"/>
      <c r="AK112" s="182"/>
      <c r="AL112" s="182"/>
      <c r="AM112" s="340" t="e">
        <f>RANK(AL112, AL$112:AL$141)</f>
        <v>#N/A</v>
      </c>
      <c r="AN112" s="674" t="e">
        <f>AVERAGE(AL112:AL141)</f>
        <v>#DIV/0!</v>
      </c>
      <c r="AO112" s="182"/>
      <c r="AP112" s="182"/>
      <c r="AQ112" s="182"/>
      <c r="AR112" s="340" t="e">
        <f>RANK(AQ112, AQ$112:AQ$141)</f>
        <v>#N/A</v>
      </c>
      <c r="AS112" s="674" t="e">
        <f>AVERAGE(AQ112:AQ141)</f>
        <v>#DIV/0!</v>
      </c>
      <c r="AT112" s="182"/>
      <c r="AU112" s="182"/>
      <c r="AV112" s="182"/>
      <c r="AW112" s="340" t="e">
        <f>RANK(AV112, AV$112:AV$141)</f>
        <v>#N/A</v>
      </c>
      <c r="AX112" s="674" t="e">
        <f>AVERAGE(AV112:AV141)</f>
        <v>#DIV/0!</v>
      </c>
    </row>
    <row r="113" spans="2:50">
      <c r="B113" s="660"/>
      <c r="C113" s="309">
        <v>2</v>
      </c>
      <c r="D113" s="227"/>
      <c r="E113" s="182"/>
      <c r="F113" s="551"/>
      <c r="G113" s="552"/>
      <c r="H113" s="702"/>
      <c r="I113" s="199" t="e">
        <f t="shared" ref="I113:I135" si="46">AVERAGE(P113,U113,Z113,AE113,AJ113,AO113,AT113)</f>
        <v>#DIV/0!</v>
      </c>
      <c r="J113" s="199" t="e">
        <f t="shared" ref="J113:J135" si="47">AVERAGE(Q113,V113,AA113,AF113,AK113,AP113,AU113)</f>
        <v>#DIV/0!</v>
      </c>
      <c r="K113" s="200" t="e">
        <f t="shared" ref="K113:K135" si="48">AVERAGE(R113,W113,AB113,AG113,AL113,AQ113,AV113)</f>
        <v>#DIV/0!</v>
      </c>
      <c r="L113" s="634"/>
      <c r="M113" s="201" t="e">
        <f>RANK(K113, K$112:$K$141)</f>
        <v>#DIV/0!</v>
      </c>
      <c r="N113" s="652"/>
      <c r="O113" s="652"/>
      <c r="P113" s="182"/>
      <c r="Q113" s="182"/>
      <c r="R113" s="182"/>
      <c r="S113" s="340" t="e">
        <f t="shared" ref="S113:S141" si="49">RANK(R113, R$112:R$141)</f>
        <v>#N/A</v>
      </c>
      <c r="T113" s="674"/>
      <c r="U113" s="182"/>
      <c r="V113" s="182"/>
      <c r="W113" s="182"/>
      <c r="X113" s="340" t="e">
        <f t="shared" ref="X113:X141" si="50">RANK(W113, W$112:W$141)</f>
        <v>#N/A</v>
      </c>
      <c r="Y113" s="674"/>
      <c r="Z113" s="182"/>
      <c r="AA113" s="182"/>
      <c r="AB113" s="182"/>
      <c r="AC113" s="340" t="e">
        <f t="shared" ref="AC113:AC141" si="51">RANK(AB113, AB$112:AB$141)</f>
        <v>#N/A</v>
      </c>
      <c r="AD113" s="674"/>
      <c r="AE113" s="182"/>
      <c r="AF113" s="182"/>
      <c r="AG113" s="182"/>
      <c r="AH113" s="340" t="e">
        <f t="shared" ref="AH113:AH141" si="52">RANK(AG113, AG$112:AG$141)</f>
        <v>#N/A</v>
      </c>
      <c r="AI113" s="674"/>
      <c r="AJ113" s="182"/>
      <c r="AK113" s="182"/>
      <c r="AL113" s="182"/>
      <c r="AM113" s="340" t="e">
        <f t="shared" ref="AM113:AM141" si="53">RANK(AL113, AL$112:AL$141)</f>
        <v>#N/A</v>
      </c>
      <c r="AN113" s="674"/>
      <c r="AO113" s="182"/>
      <c r="AP113" s="182"/>
      <c r="AQ113" s="182"/>
      <c r="AR113" s="340" t="e">
        <f t="shared" ref="AR113:AR141" si="54">RANK(AQ113, AQ$112:AQ$141)</f>
        <v>#N/A</v>
      </c>
      <c r="AS113" s="674"/>
      <c r="AT113" s="182"/>
      <c r="AU113" s="182"/>
      <c r="AV113" s="182"/>
      <c r="AW113" s="340" t="e">
        <f t="shared" ref="AW113:AW141" si="55">RANK(AV113, AV$112:AV$141)</f>
        <v>#N/A</v>
      </c>
      <c r="AX113" s="674"/>
    </row>
    <row r="114" spans="2:50">
      <c r="B114" s="660"/>
      <c r="C114" s="309">
        <v>3</v>
      </c>
      <c r="D114" s="227"/>
      <c r="E114" s="182"/>
      <c r="F114" s="551"/>
      <c r="G114" s="552"/>
      <c r="H114" s="702"/>
      <c r="I114" s="199" t="e">
        <f t="shared" si="46"/>
        <v>#DIV/0!</v>
      </c>
      <c r="J114" s="199" t="e">
        <f t="shared" si="47"/>
        <v>#DIV/0!</v>
      </c>
      <c r="K114" s="200" t="e">
        <f t="shared" si="48"/>
        <v>#DIV/0!</v>
      </c>
      <c r="L114" s="634"/>
      <c r="M114" s="201" t="e">
        <f>RANK(K114, K$112:$K$141)</f>
        <v>#DIV/0!</v>
      </c>
      <c r="N114" s="652"/>
      <c r="O114" s="652"/>
      <c r="P114" s="182"/>
      <c r="Q114" s="182"/>
      <c r="R114" s="182"/>
      <c r="S114" s="340" t="e">
        <f t="shared" si="49"/>
        <v>#N/A</v>
      </c>
      <c r="T114" s="674"/>
      <c r="U114" s="182"/>
      <c r="V114" s="182"/>
      <c r="W114" s="182"/>
      <c r="X114" s="340" t="e">
        <f t="shared" si="50"/>
        <v>#N/A</v>
      </c>
      <c r="Y114" s="674"/>
      <c r="Z114" s="182"/>
      <c r="AA114" s="182"/>
      <c r="AB114" s="182"/>
      <c r="AC114" s="340" t="e">
        <f t="shared" si="51"/>
        <v>#N/A</v>
      </c>
      <c r="AD114" s="674"/>
      <c r="AE114" s="182"/>
      <c r="AF114" s="182"/>
      <c r="AG114" s="182"/>
      <c r="AH114" s="340" t="e">
        <f t="shared" si="52"/>
        <v>#N/A</v>
      </c>
      <c r="AI114" s="674"/>
      <c r="AJ114" s="182"/>
      <c r="AK114" s="182"/>
      <c r="AL114" s="182"/>
      <c r="AM114" s="340" t="e">
        <f t="shared" si="53"/>
        <v>#N/A</v>
      </c>
      <c r="AN114" s="674"/>
      <c r="AO114" s="182"/>
      <c r="AP114" s="182"/>
      <c r="AQ114" s="182"/>
      <c r="AR114" s="340" t="e">
        <f t="shared" si="54"/>
        <v>#N/A</v>
      </c>
      <c r="AS114" s="674"/>
      <c r="AT114" s="182"/>
      <c r="AU114" s="182"/>
      <c r="AV114" s="182"/>
      <c r="AW114" s="340" t="e">
        <f t="shared" si="55"/>
        <v>#N/A</v>
      </c>
      <c r="AX114" s="674"/>
    </row>
    <row r="115" spans="2:50">
      <c r="B115" s="660"/>
      <c r="C115" s="309">
        <v>4</v>
      </c>
      <c r="D115" s="227"/>
      <c r="E115" s="182"/>
      <c r="F115" s="551"/>
      <c r="G115" s="552"/>
      <c r="H115" s="702"/>
      <c r="I115" s="199" t="e">
        <f t="shared" si="46"/>
        <v>#DIV/0!</v>
      </c>
      <c r="J115" s="199" t="e">
        <f t="shared" si="47"/>
        <v>#DIV/0!</v>
      </c>
      <c r="K115" s="200" t="e">
        <f t="shared" si="48"/>
        <v>#DIV/0!</v>
      </c>
      <c r="L115" s="634"/>
      <c r="M115" s="201" t="e">
        <f>RANK(K115, K$112:$K$141)</f>
        <v>#DIV/0!</v>
      </c>
      <c r="N115" s="652"/>
      <c r="O115" s="652"/>
      <c r="P115" s="182"/>
      <c r="Q115" s="182"/>
      <c r="R115" s="182"/>
      <c r="S115" s="340" t="e">
        <f t="shared" si="49"/>
        <v>#N/A</v>
      </c>
      <c r="T115" s="674"/>
      <c r="U115" s="182"/>
      <c r="V115" s="182"/>
      <c r="W115" s="182"/>
      <c r="X115" s="340" t="e">
        <f t="shared" si="50"/>
        <v>#N/A</v>
      </c>
      <c r="Y115" s="674"/>
      <c r="Z115" s="182"/>
      <c r="AA115" s="182"/>
      <c r="AB115" s="182"/>
      <c r="AC115" s="340" t="e">
        <f t="shared" si="51"/>
        <v>#N/A</v>
      </c>
      <c r="AD115" s="674"/>
      <c r="AE115" s="182"/>
      <c r="AF115" s="182"/>
      <c r="AG115" s="182"/>
      <c r="AH115" s="340" t="e">
        <f t="shared" si="52"/>
        <v>#N/A</v>
      </c>
      <c r="AI115" s="674"/>
      <c r="AJ115" s="182"/>
      <c r="AK115" s="182"/>
      <c r="AL115" s="182"/>
      <c r="AM115" s="340" t="e">
        <f t="shared" si="53"/>
        <v>#N/A</v>
      </c>
      <c r="AN115" s="674"/>
      <c r="AO115" s="182"/>
      <c r="AP115" s="182"/>
      <c r="AQ115" s="182"/>
      <c r="AR115" s="340" t="e">
        <f t="shared" si="54"/>
        <v>#N/A</v>
      </c>
      <c r="AS115" s="674"/>
      <c r="AT115" s="182"/>
      <c r="AU115" s="182"/>
      <c r="AV115" s="182"/>
      <c r="AW115" s="340" t="e">
        <f t="shared" si="55"/>
        <v>#N/A</v>
      </c>
      <c r="AX115" s="674"/>
    </row>
    <row r="116" spans="2:50">
      <c r="B116" s="660"/>
      <c r="C116" s="309">
        <v>5</v>
      </c>
      <c r="D116" s="227"/>
      <c r="E116" s="182"/>
      <c r="F116" s="551"/>
      <c r="G116" s="552"/>
      <c r="H116" s="702"/>
      <c r="I116" s="199" t="e">
        <f t="shared" si="46"/>
        <v>#DIV/0!</v>
      </c>
      <c r="J116" s="199" t="e">
        <f t="shared" si="47"/>
        <v>#DIV/0!</v>
      </c>
      <c r="K116" s="200" t="e">
        <f t="shared" si="48"/>
        <v>#DIV/0!</v>
      </c>
      <c r="L116" s="634"/>
      <c r="M116" s="201" t="e">
        <f>RANK(K116, K$112:$K$141)</f>
        <v>#DIV/0!</v>
      </c>
      <c r="N116" s="652"/>
      <c r="O116" s="652"/>
      <c r="P116" s="182"/>
      <c r="Q116" s="182"/>
      <c r="R116" s="182"/>
      <c r="S116" s="340" t="e">
        <f t="shared" si="49"/>
        <v>#N/A</v>
      </c>
      <c r="T116" s="674"/>
      <c r="U116" s="182"/>
      <c r="V116" s="182"/>
      <c r="W116" s="182"/>
      <c r="X116" s="340" t="e">
        <f t="shared" si="50"/>
        <v>#N/A</v>
      </c>
      <c r="Y116" s="674"/>
      <c r="Z116" s="182"/>
      <c r="AA116" s="182"/>
      <c r="AB116" s="182"/>
      <c r="AC116" s="340" t="e">
        <f t="shared" si="51"/>
        <v>#N/A</v>
      </c>
      <c r="AD116" s="674"/>
      <c r="AE116" s="182"/>
      <c r="AF116" s="182"/>
      <c r="AG116" s="182"/>
      <c r="AH116" s="340" t="e">
        <f t="shared" si="52"/>
        <v>#N/A</v>
      </c>
      <c r="AI116" s="674"/>
      <c r="AJ116" s="182"/>
      <c r="AK116" s="182"/>
      <c r="AL116" s="182"/>
      <c r="AM116" s="340" t="e">
        <f t="shared" si="53"/>
        <v>#N/A</v>
      </c>
      <c r="AN116" s="674"/>
      <c r="AO116" s="182"/>
      <c r="AP116" s="182"/>
      <c r="AQ116" s="182"/>
      <c r="AR116" s="340" t="e">
        <f t="shared" si="54"/>
        <v>#N/A</v>
      </c>
      <c r="AS116" s="674"/>
      <c r="AT116" s="182"/>
      <c r="AU116" s="182"/>
      <c r="AV116" s="182"/>
      <c r="AW116" s="340" t="e">
        <f t="shared" si="55"/>
        <v>#N/A</v>
      </c>
      <c r="AX116" s="674"/>
    </row>
    <row r="117" spans="2:50">
      <c r="B117" s="660"/>
      <c r="C117" s="309">
        <v>6</v>
      </c>
      <c r="D117" s="227"/>
      <c r="E117" s="182"/>
      <c r="F117" s="551"/>
      <c r="G117" s="552"/>
      <c r="H117" s="702"/>
      <c r="I117" s="199" t="e">
        <f t="shared" si="46"/>
        <v>#DIV/0!</v>
      </c>
      <c r="J117" s="199" t="e">
        <f t="shared" si="47"/>
        <v>#DIV/0!</v>
      </c>
      <c r="K117" s="200" t="e">
        <f t="shared" si="48"/>
        <v>#DIV/0!</v>
      </c>
      <c r="L117" s="634"/>
      <c r="M117" s="201" t="e">
        <f>RANK(K117, K$112:$K$141)</f>
        <v>#DIV/0!</v>
      </c>
      <c r="N117" s="652"/>
      <c r="O117" s="652"/>
      <c r="P117" s="182"/>
      <c r="Q117" s="182"/>
      <c r="R117" s="182"/>
      <c r="S117" s="340" t="e">
        <f t="shared" si="49"/>
        <v>#N/A</v>
      </c>
      <c r="T117" s="674"/>
      <c r="U117" s="182"/>
      <c r="V117" s="182"/>
      <c r="W117" s="182"/>
      <c r="X117" s="340" t="e">
        <f t="shared" si="50"/>
        <v>#N/A</v>
      </c>
      <c r="Y117" s="674"/>
      <c r="Z117" s="182"/>
      <c r="AA117" s="182"/>
      <c r="AB117" s="182"/>
      <c r="AC117" s="340" t="e">
        <f t="shared" si="51"/>
        <v>#N/A</v>
      </c>
      <c r="AD117" s="674"/>
      <c r="AE117" s="182"/>
      <c r="AF117" s="182"/>
      <c r="AG117" s="182"/>
      <c r="AH117" s="340" t="e">
        <f t="shared" si="52"/>
        <v>#N/A</v>
      </c>
      <c r="AI117" s="674"/>
      <c r="AJ117" s="182"/>
      <c r="AK117" s="182"/>
      <c r="AL117" s="182"/>
      <c r="AM117" s="340" t="e">
        <f t="shared" si="53"/>
        <v>#N/A</v>
      </c>
      <c r="AN117" s="674"/>
      <c r="AO117" s="182"/>
      <c r="AP117" s="182"/>
      <c r="AQ117" s="182"/>
      <c r="AR117" s="340" t="e">
        <f t="shared" si="54"/>
        <v>#N/A</v>
      </c>
      <c r="AS117" s="674"/>
      <c r="AT117" s="182"/>
      <c r="AU117" s="182"/>
      <c r="AV117" s="182"/>
      <c r="AW117" s="340" t="e">
        <f t="shared" si="55"/>
        <v>#N/A</v>
      </c>
      <c r="AX117" s="674"/>
    </row>
    <row r="118" spans="2:50">
      <c r="B118" s="660"/>
      <c r="C118" s="309">
        <v>7</v>
      </c>
      <c r="D118" s="227"/>
      <c r="E118" s="182"/>
      <c r="F118" s="551"/>
      <c r="G118" s="552"/>
      <c r="H118" s="702"/>
      <c r="I118" s="199" t="e">
        <f t="shared" si="46"/>
        <v>#DIV/0!</v>
      </c>
      <c r="J118" s="199" t="e">
        <f t="shared" si="47"/>
        <v>#DIV/0!</v>
      </c>
      <c r="K118" s="200" t="e">
        <f t="shared" si="48"/>
        <v>#DIV/0!</v>
      </c>
      <c r="L118" s="634"/>
      <c r="M118" s="201" t="e">
        <f>RANK(K118, K$112:$K$141)</f>
        <v>#DIV/0!</v>
      </c>
      <c r="N118" s="652"/>
      <c r="O118" s="652"/>
      <c r="P118" s="182"/>
      <c r="Q118" s="182"/>
      <c r="R118" s="182"/>
      <c r="S118" s="340" t="e">
        <f t="shared" si="49"/>
        <v>#N/A</v>
      </c>
      <c r="T118" s="674"/>
      <c r="U118" s="182"/>
      <c r="V118" s="182"/>
      <c r="W118" s="182"/>
      <c r="X118" s="340" t="e">
        <f t="shared" si="50"/>
        <v>#N/A</v>
      </c>
      <c r="Y118" s="674"/>
      <c r="Z118" s="182"/>
      <c r="AA118" s="182"/>
      <c r="AB118" s="182"/>
      <c r="AC118" s="340" t="e">
        <f t="shared" si="51"/>
        <v>#N/A</v>
      </c>
      <c r="AD118" s="674"/>
      <c r="AE118" s="182"/>
      <c r="AF118" s="182"/>
      <c r="AG118" s="182"/>
      <c r="AH118" s="340" t="e">
        <f t="shared" si="52"/>
        <v>#N/A</v>
      </c>
      <c r="AI118" s="674"/>
      <c r="AJ118" s="182"/>
      <c r="AK118" s="182"/>
      <c r="AL118" s="182"/>
      <c r="AM118" s="340" t="e">
        <f t="shared" si="53"/>
        <v>#N/A</v>
      </c>
      <c r="AN118" s="674"/>
      <c r="AO118" s="182"/>
      <c r="AP118" s="182"/>
      <c r="AQ118" s="182"/>
      <c r="AR118" s="340" t="e">
        <f t="shared" si="54"/>
        <v>#N/A</v>
      </c>
      <c r="AS118" s="674"/>
      <c r="AT118" s="182"/>
      <c r="AU118" s="182"/>
      <c r="AV118" s="182"/>
      <c r="AW118" s="340" t="e">
        <f t="shared" si="55"/>
        <v>#N/A</v>
      </c>
      <c r="AX118" s="674"/>
    </row>
    <row r="119" spans="2:50">
      <c r="B119" s="660"/>
      <c r="C119" s="309">
        <v>8</v>
      </c>
      <c r="D119" s="227"/>
      <c r="E119" s="182"/>
      <c r="F119" s="551"/>
      <c r="G119" s="552"/>
      <c r="H119" s="702"/>
      <c r="I119" s="199" t="e">
        <f t="shared" si="46"/>
        <v>#DIV/0!</v>
      </c>
      <c r="J119" s="199" t="e">
        <f t="shared" si="47"/>
        <v>#DIV/0!</v>
      </c>
      <c r="K119" s="200" t="e">
        <f t="shared" si="48"/>
        <v>#DIV/0!</v>
      </c>
      <c r="L119" s="634"/>
      <c r="M119" s="201" t="e">
        <f>RANK(K119, K$112:$K$141)</f>
        <v>#DIV/0!</v>
      </c>
      <c r="N119" s="652"/>
      <c r="O119" s="652"/>
      <c r="P119" s="182"/>
      <c r="Q119" s="182"/>
      <c r="R119" s="182"/>
      <c r="S119" s="340" t="e">
        <f t="shared" si="49"/>
        <v>#N/A</v>
      </c>
      <c r="T119" s="674"/>
      <c r="U119" s="182"/>
      <c r="V119" s="182"/>
      <c r="W119" s="182"/>
      <c r="X119" s="340" t="e">
        <f t="shared" si="50"/>
        <v>#N/A</v>
      </c>
      <c r="Y119" s="674"/>
      <c r="Z119" s="182"/>
      <c r="AA119" s="182"/>
      <c r="AB119" s="182"/>
      <c r="AC119" s="340" t="e">
        <f t="shared" si="51"/>
        <v>#N/A</v>
      </c>
      <c r="AD119" s="674"/>
      <c r="AE119" s="182"/>
      <c r="AF119" s="182"/>
      <c r="AG119" s="182"/>
      <c r="AH119" s="340" t="e">
        <f t="shared" si="52"/>
        <v>#N/A</v>
      </c>
      <c r="AI119" s="674"/>
      <c r="AJ119" s="182"/>
      <c r="AK119" s="182"/>
      <c r="AL119" s="182"/>
      <c r="AM119" s="340" t="e">
        <f t="shared" si="53"/>
        <v>#N/A</v>
      </c>
      <c r="AN119" s="674"/>
      <c r="AO119" s="182"/>
      <c r="AP119" s="182"/>
      <c r="AQ119" s="182"/>
      <c r="AR119" s="340" t="e">
        <f t="shared" si="54"/>
        <v>#N/A</v>
      </c>
      <c r="AS119" s="674"/>
      <c r="AT119" s="182"/>
      <c r="AU119" s="182"/>
      <c r="AV119" s="182"/>
      <c r="AW119" s="340" t="e">
        <f t="shared" si="55"/>
        <v>#N/A</v>
      </c>
      <c r="AX119" s="674"/>
    </row>
    <row r="120" spans="2:50">
      <c r="B120" s="660"/>
      <c r="C120" s="309">
        <v>9</v>
      </c>
      <c r="D120" s="227"/>
      <c r="E120" s="182"/>
      <c r="F120" s="551"/>
      <c r="G120" s="552"/>
      <c r="H120" s="702"/>
      <c r="I120" s="199" t="e">
        <f t="shared" si="46"/>
        <v>#DIV/0!</v>
      </c>
      <c r="J120" s="199" t="e">
        <f t="shared" si="47"/>
        <v>#DIV/0!</v>
      </c>
      <c r="K120" s="200" t="e">
        <f t="shared" si="48"/>
        <v>#DIV/0!</v>
      </c>
      <c r="L120" s="634"/>
      <c r="M120" s="201" t="e">
        <f>RANK(K120, K$112:$K$141)</f>
        <v>#DIV/0!</v>
      </c>
      <c r="N120" s="652"/>
      <c r="O120" s="652"/>
      <c r="P120" s="182"/>
      <c r="Q120" s="182"/>
      <c r="R120" s="182"/>
      <c r="S120" s="340" t="e">
        <f t="shared" si="49"/>
        <v>#N/A</v>
      </c>
      <c r="T120" s="674"/>
      <c r="U120" s="182"/>
      <c r="V120" s="182"/>
      <c r="W120" s="182"/>
      <c r="X120" s="340" t="e">
        <f t="shared" si="50"/>
        <v>#N/A</v>
      </c>
      <c r="Y120" s="674"/>
      <c r="Z120" s="182"/>
      <c r="AA120" s="182"/>
      <c r="AB120" s="182"/>
      <c r="AC120" s="340" t="e">
        <f t="shared" si="51"/>
        <v>#N/A</v>
      </c>
      <c r="AD120" s="674"/>
      <c r="AE120" s="182"/>
      <c r="AF120" s="182"/>
      <c r="AG120" s="182"/>
      <c r="AH120" s="340" t="e">
        <f t="shared" si="52"/>
        <v>#N/A</v>
      </c>
      <c r="AI120" s="674"/>
      <c r="AJ120" s="182"/>
      <c r="AK120" s="182"/>
      <c r="AL120" s="182"/>
      <c r="AM120" s="340" t="e">
        <f t="shared" si="53"/>
        <v>#N/A</v>
      </c>
      <c r="AN120" s="674"/>
      <c r="AO120" s="182"/>
      <c r="AP120" s="182"/>
      <c r="AQ120" s="182"/>
      <c r="AR120" s="340" t="e">
        <f t="shared" si="54"/>
        <v>#N/A</v>
      </c>
      <c r="AS120" s="674"/>
      <c r="AT120" s="182"/>
      <c r="AU120" s="182"/>
      <c r="AV120" s="182"/>
      <c r="AW120" s="340" t="e">
        <f t="shared" si="55"/>
        <v>#N/A</v>
      </c>
      <c r="AX120" s="674"/>
    </row>
    <row r="121" spans="2:50">
      <c r="B121" s="660"/>
      <c r="C121" s="309">
        <v>10</v>
      </c>
      <c r="D121" s="227"/>
      <c r="E121" s="182"/>
      <c r="F121" s="551"/>
      <c r="G121" s="552"/>
      <c r="H121" s="702"/>
      <c r="I121" s="199" t="e">
        <f t="shared" si="46"/>
        <v>#DIV/0!</v>
      </c>
      <c r="J121" s="199" t="e">
        <f t="shared" si="47"/>
        <v>#DIV/0!</v>
      </c>
      <c r="K121" s="200" t="e">
        <f t="shared" si="48"/>
        <v>#DIV/0!</v>
      </c>
      <c r="L121" s="634"/>
      <c r="M121" s="201" t="e">
        <f>RANK(K121, K$112:$K$141)</f>
        <v>#DIV/0!</v>
      </c>
      <c r="N121" s="652"/>
      <c r="O121" s="652"/>
      <c r="P121" s="182"/>
      <c r="Q121" s="182"/>
      <c r="R121" s="182"/>
      <c r="S121" s="340" t="e">
        <f t="shared" si="49"/>
        <v>#N/A</v>
      </c>
      <c r="T121" s="674"/>
      <c r="U121" s="182"/>
      <c r="V121" s="182"/>
      <c r="W121" s="182"/>
      <c r="X121" s="340" t="e">
        <f t="shared" si="50"/>
        <v>#N/A</v>
      </c>
      <c r="Y121" s="674"/>
      <c r="Z121" s="182"/>
      <c r="AA121" s="182"/>
      <c r="AB121" s="182"/>
      <c r="AC121" s="340" t="e">
        <f t="shared" si="51"/>
        <v>#N/A</v>
      </c>
      <c r="AD121" s="674"/>
      <c r="AE121" s="182"/>
      <c r="AF121" s="182"/>
      <c r="AG121" s="182"/>
      <c r="AH121" s="340" t="e">
        <f t="shared" si="52"/>
        <v>#N/A</v>
      </c>
      <c r="AI121" s="674"/>
      <c r="AJ121" s="182"/>
      <c r="AK121" s="182"/>
      <c r="AL121" s="182"/>
      <c r="AM121" s="340" t="e">
        <f t="shared" si="53"/>
        <v>#N/A</v>
      </c>
      <c r="AN121" s="674"/>
      <c r="AO121" s="182"/>
      <c r="AP121" s="182"/>
      <c r="AQ121" s="182"/>
      <c r="AR121" s="340" t="e">
        <f t="shared" si="54"/>
        <v>#N/A</v>
      </c>
      <c r="AS121" s="674"/>
      <c r="AT121" s="182"/>
      <c r="AU121" s="182"/>
      <c r="AV121" s="182"/>
      <c r="AW121" s="340" t="e">
        <f t="shared" si="55"/>
        <v>#N/A</v>
      </c>
      <c r="AX121" s="674"/>
    </row>
    <row r="122" spans="2:50">
      <c r="B122" s="660"/>
      <c r="C122" s="309">
        <v>11</v>
      </c>
      <c r="D122" s="227"/>
      <c r="E122" s="182"/>
      <c r="F122" s="551"/>
      <c r="G122" s="552"/>
      <c r="H122" s="702"/>
      <c r="I122" s="199" t="e">
        <f t="shared" si="46"/>
        <v>#DIV/0!</v>
      </c>
      <c r="J122" s="199" t="e">
        <f t="shared" si="47"/>
        <v>#DIV/0!</v>
      </c>
      <c r="K122" s="200" t="e">
        <f t="shared" si="48"/>
        <v>#DIV/0!</v>
      </c>
      <c r="L122" s="634"/>
      <c r="M122" s="201" t="e">
        <f>RANK(K122, K$112:$K$141)</f>
        <v>#DIV/0!</v>
      </c>
      <c r="N122" s="652"/>
      <c r="O122" s="652"/>
      <c r="P122" s="182"/>
      <c r="Q122" s="182"/>
      <c r="R122" s="182"/>
      <c r="S122" s="340" t="e">
        <f t="shared" si="49"/>
        <v>#N/A</v>
      </c>
      <c r="T122" s="674"/>
      <c r="U122" s="182"/>
      <c r="V122" s="182"/>
      <c r="W122" s="182"/>
      <c r="X122" s="340" t="e">
        <f t="shared" si="50"/>
        <v>#N/A</v>
      </c>
      <c r="Y122" s="674"/>
      <c r="Z122" s="182"/>
      <c r="AA122" s="182"/>
      <c r="AB122" s="182"/>
      <c r="AC122" s="340" t="e">
        <f t="shared" si="51"/>
        <v>#N/A</v>
      </c>
      <c r="AD122" s="674"/>
      <c r="AE122" s="182"/>
      <c r="AF122" s="182"/>
      <c r="AG122" s="182"/>
      <c r="AH122" s="340" t="e">
        <f t="shared" si="52"/>
        <v>#N/A</v>
      </c>
      <c r="AI122" s="674"/>
      <c r="AJ122" s="182"/>
      <c r="AK122" s="182"/>
      <c r="AL122" s="182"/>
      <c r="AM122" s="340" t="e">
        <f t="shared" si="53"/>
        <v>#N/A</v>
      </c>
      <c r="AN122" s="674"/>
      <c r="AO122" s="182"/>
      <c r="AP122" s="182"/>
      <c r="AQ122" s="182"/>
      <c r="AR122" s="340" t="e">
        <f t="shared" si="54"/>
        <v>#N/A</v>
      </c>
      <c r="AS122" s="674"/>
      <c r="AT122" s="182"/>
      <c r="AU122" s="182"/>
      <c r="AV122" s="182"/>
      <c r="AW122" s="340" t="e">
        <f t="shared" si="55"/>
        <v>#N/A</v>
      </c>
      <c r="AX122" s="674"/>
    </row>
    <row r="123" spans="2:50">
      <c r="B123" s="660"/>
      <c r="C123" s="309">
        <v>12</v>
      </c>
      <c r="D123" s="227"/>
      <c r="E123" s="182"/>
      <c r="F123" s="551"/>
      <c r="G123" s="552"/>
      <c r="H123" s="702"/>
      <c r="I123" s="199" t="e">
        <f t="shared" si="46"/>
        <v>#DIV/0!</v>
      </c>
      <c r="J123" s="199" t="e">
        <f t="shared" si="47"/>
        <v>#DIV/0!</v>
      </c>
      <c r="K123" s="200" t="e">
        <f t="shared" si="48"/>
        <v>#DIV/0!</v>
      </c>
      <c r="L123" s="634"/>
      <c r="M123" s="201" t="e">
        <f>RANK(K123, K$112:$K$141)</f>
        <v>#DIV/0!</v>
      </c>
      <c r="N123" s="652"/>
      <c r="O123" s="652"/>
      <c r="P123" s="182"/>
      <c r="Q123" s="182"/>
      <c r="R123" s="182"/>
      <c r="S123" s="340" t="e">
        <f t="shared" si="49"/>
        <v>#N/A</v>
      </c>
      <c r="T123" s="674"/>
      <c r="U123" s="182"/>
      <c r="V123" s="182"/>
      <c r="W123" s="182"/>
      <c r="X123" s="340" t="e">
        <f t="shared" si="50"/>
        <v>#N/A</v>
      </c>
      <c r="Y123" s="674"/>
      <c r="Z123" s="182"/>
      <c r="AA123" s="182"/>
      <c r="AB123" s="182"/>
      <c r="AC123" s="340" t="e">
        <f t="shared" si="51"/>
        <v>#N/A</v>
      </c>
      <c r="AD123" s="674"/>
      <c r="AE123" s="182"/>
      <c r="AF123" s="182"/>
      <c r="AG123" s="182"/>
      <c r="AH123" s="340" t="e">
        <f t="shared" si="52"/>
        <v>#N/A</v>
      </c>
      <c r="AI123" s="674"/>
      <c r="AJ123" s="182"/>
      <c r="AK123" s="182"/>
      <c r="AL123" s="182"/>
      <c r="AM123" s="340" t="e">
        <f t="shared" si="53"/>
        <v>#N/A</v>
      </c>
      <c r="AN123" s="674"/>
      <c r="AO123" s="182"/>
      <c r="AP123" s="182"/>
      <c r="AQ123" s="182"/>
      <c r="AR123" s="340" t="e">
        <f t="shared" si="54"/>
        <v>#N/A</v>
      </c>
      <c r="AS123" s="674"/>
      <c r="AT123" s="182"/>
      <c r="AU123" s="182"/>
      <c r="AV123" s="182"/>
      <c r="AW123" s="340" t="e">
        <f t="shared" si="55"/>
        <v>#N/A</v>
      </c>
      <c r="AX123" s="674"/>
    </row>
    <row r="124" spans="2:50">
      <c r="B124" s="660"/>
      <c r="C124" s="309">
        <v>13</v>
      </c>
      <c r="D124" s="227"/>
      <c r="E124" s="182"/>
      <c r="F124" s="551"/>
      <c r="G124" s="552"/>
      <c r="H124" s="702"/>
      <c r="I124" s="199" t="e">
        <f t="shared" si="46"/>
        <v>#DIV/0!</v>
      </c>
      <c r="J124" s="199" t="e">
        <f t="shared" si="47"/>
        <v>#DIV/0!</v>
      </c>
      <c r="K124" s="200" t="e">
        <f t="shared" si="48"/>
        <v>#DIV/0!</v>
      </c>
      <c r="L124" s="634"/>
      <c r="M124" s="201" t="e">
        <f>RANK(K124, K$112:$K$141)</f>
        <v>#DIV/0!</v>
      </c>
      <c r="N124" s="652"/>
      <c r="O124" s="652"/>
      <c r="P124" s="182"/>
      <c r="Q124" s="182"/>
      <c r="R124" s="182"/>
      <c r="S124" s="340" t="e">
        <f t="shared" si="49"/>
        <v>#N/A</v>
      </c>
      <c r="T124" s="674"/>
      <c r="U124" s="182"/>
      <c r="V124" s="182"/>
      <c r="W124" s="182"/>
      <c r="X124" s="340" t="e">
        <f t="shared" si="50"/>
        <v>#N/A</v>
      </c>
      <c r="Y124" s="674"/>
      <c r="Z124" s="182"/>
      <c r="AA124" s="182"/>
      <c r="AB124" s="182"/>
      <c r="AC124" s="340" t="e">
        <f t="shared" si="51"/>
        <v>#N/A</v>
      </c>
      <c r="AD124" s="674"/>
      <c r="AE124" s="182"/>
      <c r="AF124" s="182"/>
      <c r="AG124" s="182"/>
      <c r="AH124" s="340" t="e">
        <f t="shared" si="52"/>
        <v>#N/A</v>
      </c>
      <c r="AI124" s="674"/>
      <c r="AJ124" s="182"/>
      <c r="AK124" s="182"/>
      <c r="AL124" s="182"/>
      <c r="AM124" s="340" t="e">
        <f t="shared" si="53"/>
        <v>#N/A</v>
      </c>
      <c r="AN124" s="674"/>
      <c r="AO124" s="182"/>
      <c r="AP124" s="182"/>
      <c r="AQ124" s="182"/>
      <c r="AR124" s="340" t="e">
        <f t="shared" si="54"/>
        <v>#N/A</v>
      </c>
      <c r="AS124" s="674"/>
      <c r="AT124" s="182"/>
      <c r="AU124" s="182"/>
      <c r="AV124" s="182"/>
      <c r="AW124" s="340" t="e">
        <f t="shared" si="55"/>
        <v>#N/A</v>
      </c>
      <c r="AX124" s="674"/>
    </row>
    <row r="125" spans="2:50">
      <c r="B125" s="660"/>
      <c r="C125" s="309">
        <v>14</v>
      </c>
      <c r="D125" s="227"/>
      <c r="E125" s="182"/>
      <c r="F125" s="551"/>
      <c r="G125" s="552"/>
      <c r="H125" s="702"/>
      <c r="I125" s="199" t="e">
        <f t="shared" si="46"/>
        <v>#DIV/0!</v>
      </c>
      <c r="J125" s="199" t="e">
        <f t="shared" si="47"/>
        <v>#DIV/0!</v>
      </c>
      <c r="K125" s="200" t="e">
        <f t="shared" si="48"/>
        <v>#DIV/0!</v>
      </c>
      <c r="L125" s="634"/>
      <c r="M125" s="201" t="e">
        <f>RANK(K125, K$112:$K$141)</f>
        <v>#DIV/0!</v>
      </c>
      <c r="N125" s="652"/>
      <c r="O125" s="652"/>
      <c r="P125" s="182"/>
      <c r="Q125" s="182"/>
      <c r="R125" s="182"/>
      <c r="S125" s="340" t="e">
        <f t="shared" si="49"/>
        <v>#N/A</v>
      </c>
      <c r="T125" s="674"/>
      <c r="U125" s="182"/>
      <c r="V125" s="182"/>
      <c r="W125" s="182"/>
      <c r="X125" s="340" t="e">
        <f t="shared" si="50"/>
        <v>#N/A</v>
      </c>
      <c r="Y125" s="674"/>
      <c r="Z125" s="182"/>
      <c r="AA125" s="182"/>
      <c r="AB125" s="182"/>
      <c r="AC125" s="340" t="e">
        <f t="shared" si="51"/>
        <v>#N/A</v>
      </c>
      <c r="AD125" s="674"/>
      <c r="AE125" s="182"/>
      <c r="AF125" s="182"/>
      <c r="AG125" s="182"/>
      <c r="AH125" s="340" t="e">
        <f t="shared" si="52"/>
        <v>#N/A</v>
      </c>
      <c r="AI125" s="674"/>
      <c r="AJ125" s="182"/>
      <c r="AK125" s="182"/>
      <c r="AL125" s="182"/>
      <c r="AM125" s="340" t="e">
        <f t="shared" si="53"/>
        <v>#N/A</v>
      </c>
      <c r="AN125" s="674"/>
      <c r="AO125" s="182"/>
      <c r="AP125" s="182"/>
      <c r="AQ125" s="182"/>
      <c r="AR125" s="340" t="e">
        <f t="shared" si="54"/>
        <v>#N/A</v>
      </c>
      <c r="AS125" s="674"/>
      <c r="AT125" s="182"/>
      <c r="AU125" s="182"/>
      <c r="AV125" s="182"/>
      <c r="AW125" s="340" t="e">
        <f t="shared" si="55"/>
        <v>#N/A</v>
      </c>
      <c r="AX125" s="674"/>
    </row>
    <row r="126" spans="2:50">
      <c r="B126" s="660"/>
      <c r="C126" s="309">
        <v>15</v>
      </c>
      <c r="D126" s="227"/>
      <c r="E126" s="182"/>
      <c r="F126" s="551"/>
      <c r="G126" s="552"/>
      <c r="H126" s="702"/>
      <c r="I126" s="199" t="e">
        <f t="shared" si="46"/>
        <v>#DIV/0!</v>
      </c>
      <c r="J126" s="199" t="e">
        <f t="shared" si="47"/>
        <v>#DIV/0!</v>
      </c>
      <c r="K126" s="200" t="e">
        <f t="shared" si="48"/>
        <v>#DIV/0!</v>
      </c>
      <c r="L126" s="634"/>
      <c r="M126" s="201" t="e">
        <f>RANK(K126, K$112:$K$141)</f>
        <v>#DIV/0!</v>
      </c>
      <c r="N126" s="652"/>
      <c r="O126" s="652"/>
      <c r="P126" s="182"/>
      <c r="Q126" s="182"/>
      <c r="R126" s="182"/>
      <c r="S126" s="340" t="e">
        <f t="shared" si="49"/>
        <v>#N/A</v>
      </c>
      <c r="T126" s="674"/>
      <c r="U126" s="182"/>
      <c r="V126" s="182"/>
      <c r="W126" s="182"/>
      <c r="X126" s="340" t="e">
        <f t="shared" si="50"/>
        <v>#N/A</v>
      </c>
      <c r="Y126" s="674"/>
      <c r="Z126" s="182"/>
      <c r="AA126" s="182"/>
      <c r="AB126" s="182"/>
      <c r="AC126" s="340" t="e">
        <f t="shared" si="51"/>
        <v>#N/A</v>
      </c>
      <c r="AD126" s="674"/>
      <c r="AE126" s="182"/>
      <c r="AF126" s="182"/>
      <c r="AG126" s="182"/>
      <c r="AH126" s="340" t="e">
        <f t="shared" si="52"/>
        <v>#N/A</v>
      </c>
      <c r="AI126" s="674"/>
      <c r="AJ126" s="182"/>
      <c r="AK126" s="182"/>
      <c r="AL126" s="182"/>
      <c r="AM126" s="340" t="e">
        <f t="shared" si="53"/>
        <v>#N/A</v>
      </c>
      <c r="AN126" s="674"/>
      <c r="AO126" s="182"/>
      <c r="AP126" s="182"/>
      <c r="AQ126" s="182"/>
      <c r="AR126" s="340" t="e">
        <f t="shared" si="54"/>
        <v>#N/A</v>
      </c>
      <c r="AS126" s="674"/>
      <c r="AT126" s="182"/>
      <c r="AU126" s="182"/>
      <c r="AV126" s="182"/>
      <c r="AW126" s="340" t="e">
        <f t="shared" si="55"/>
        <v>#N/A</v>
      </c>
      <c r="AX126" s="674"/>
    </row>
    <row r="127" spans="2:50">
      <c r="B127" s="660"/>
      <c r="C127" s="309">
        <v>16</v>
      </c>
      <c r="D127" s="227"/>
      <c r="E127" s="182"/>
      <c r="F127" s="551"/>
      <c r="G127" s="552"/>
      <c r="H127" s="702"/>
      <c r="I127" s="199" t="e">
        <f t="shared" si="46"/>
        <v>#DIV/0!</v>
      </c>
      <c r="J127" s="199" t="e">
        <f t="shared" si="47"/>
        <v>#DIV/0!</v>
      </c>
      <c r="K127" s="200" t="e">
        <f t="shared" si="48"/>
        <v>#DIV/0!</v>
      </c>
      <c r="L127" s="634"/>
      <c r="M127" s="201" t="e">
        <f>RANK(K127, K$112:$K$141)</f>
        <v>#DIV/0!</v>
      </c>
      <c r="N127" s="652"/>
      <c r="O127" s="652"/>
      <c r="P127" s="182"/>
      <c r="Q127" s="182"/>
      <c r="R127" s="182"/>
      <c r="S127" s="340" t="e">
        <f t="shared" si="49"/>
        <v>#N/A</v>
      </c>
      <c r="T127" s="674"/>
      <c r="U127" s="182"/>
      <c r="V127" s="182"/>
      <c r="W127" s="182"/>
      <c r="X127" s="340" t="e">
        <f t="shared" si="50"/>
        <v>#N/A</v>
      </c>
      <c r="Y127" s="674"/>
      <c r="Z127" s="182"/>
      <c r="AA127" s="182"/>
      <c r="AB127" s="182"/>
      <c r="AC127" s="340" t="e">
        <f t="shared" si="51"/>
        <v>#N/A</v>
      </c>
      <c r="AD127" s="674"/>
      <c r="AE127" s="182"/>
      <c r="AF127" s="182"/>
      <c r="AG127" s="182"/>
      <c r="AH127" s="340" t="e">
        <f t="shared" si="52"/>
        <v>#N/A</v>
      </c>
      <c r="AI127" s="674"/>
      <c r="AJ127" s="182"/>
      <c r="AK127" s="182"/>
      <c r="AL127" s="182"/>
      <c r="AM127" s="340" t="e">
        <f t="shared" si="53"/>
        <v>#N/A</v>
      </c>
      <c r="AN127" s="674"/>
      <c r="AO127" s="182"/>
      <c r="AP127" s="182"/>
      <c r="AQ127" s="182"/>
      <c r="AR127" s="340" t="e">
        <f t="shared" si="54"/>
        <v>#N/A</v>
      </c>
      <c r="AS127" s="674"/>
      <c r="AT127" s="182"/>
      <c r="AU127" s="182"/>
      <c r="AV127" s="182"/>
      <c r="AW127" s="340" t="e">
        <f t="shared" si="55"/>
        <v>#N/A</v>
      </c>
      <c r="AX127" s="674"/>
    </row>
    <row r="128" spans="2:50">
      <c r="B128" s="660"/>
      <c r="C128" s="309">
        <v>17</v>
      </c>
      <c r="D128" s="227"/>
      <c r="E128" s="182"/>
      <c r="F128" s="551"/>
      <c r="G128" s="552"/>
      <c r="H128" s="702"/>
      <c r="I128" s="199" t="e">
        <f t="shared" si="46"/>
        <v>#DIV/0!</v>
      </c>
      <c r="J128" s="199" t="e">
        <f t="shared" si="47"/>
        <v>#DIV/0!</v>
      </c>
      <c r="K128" s="200" t="e">
        <f t="shared" si="48"/>
        <v>#DIV/0!</v>
      </c>
      <c r="L128" s="634"/>
      <c r="M128" s="201" t="e">
        <f>RANK(K128, K$112:$K$141)</f>
        <v>#DIV/0!</v>
      </c>
      <c r="N128" s="652"/>
      <c r="O128" s="652"/>
      <c r="P128" s="182"/>
      <c r="Q128" s="182"/>
      <c r="R128" s="182"/>
      <c r="S128" s="340" t="e">
        <f t="shared" si="49"/>
        <v>#N/A</v>
      </c>
      <c r="T128" s="674"/>
      <c r="U128" s="182"/>
      <c r="V128" s="182"/>
      <c r="W128" s="182"/>
      <c r="X128" s="340" t="e">
        <f t="shared" si="50"/>
        <v>#N/A</v>
      </c>
      <c r="Y128" s="674"/>
      <c r="Z128" s="182"/>
      <c r="AA128" s="182"/>
      <c r="AB128" s="182"/>
      <c r="AC128" s="340" t="e">
        <f t="shared" si="51"/>
        <v>#N/A</v>
      </c>
      <c r="AD128" s="674"/>
      <c r="AE128" s="182"/>
      <c r="AF128" s="182"/>
      <c r="AG128" s="182"/>
      <c r="AH128" s="340" t="e">
        <f t="shared" si="52"/>
        <v>#N/A</v>
      </c>
      <c r="AI128" s="674"/>
      <c r="AJ128" s="182"/>
      <c r="AK128" s="182"/>
      <c r="AL128" s="182"/>
      <c r="AM128" s="340" t="e">
        <f t="shared" si="53"/>
        <v>#N/A</v>
      </c>
      <c r="AN128" s="674"/>
      <c r="AO128" s="182"/>
      <c r="AP128" s="182"/>
      <c r="AQ128" s="182"/>
      <c r="AR128" s="340" t="e">
        <f t="shared" si="54"/>
        <v>#N/A</v>
      </c>
      <c r="AS128" s="674"/>
      <c r="AT128" s="182"/>
      <c r="AU128" s="182"/>
      <c r="AV128" s="182"/>
      <c r="AW128" s="340" t="e">
        <f t="shared" si="55"/>
        <v>#N/A</v>
      </c>
      <c r="AX128" s="674"/>
    </row>
    <row r="129" spans="2:50">
      <c r="B129" s="660"/>
      <c r="C129" s="309">
        <v>18</v>
      </c>
      <c r="D129" s="227"/>
      <c r="E129" s="182"/>
      <c r="F129" s="551"/>
      <c r="G129" s="552"/>
      <c r="H129" s="702"/>
      <c r="I129" s="199" t="e">
        <f t="shared" si="46"/>
        <v>#DIV/0!</v>
      </c>
      <c r="J129" s="199" t="e">
        <f t="shared" si="47"/>
        <v>#DIV/0!</v>
      </c>
      <c r="K129" s="200" t="e">
        <f t="shared" si="48"/>
        <v>#DIV/0!</v>
      </c>
      <c r="L129" s="634"/>
      <c r="M129" s="201" t="e">
        <f>RANK(K129, K$112:$K$141)</f>
        <v>#DIV/0!</v>
      </c>
      <c r="N129" s="652"/>
      <c r="O129" s="652"/>
      <c r="P129" s="182"/>
      <c r="Q129" s="182"/>
      <c r="R129" s="182"/>
      <c r="S129" s="340" t="e">
        <f t="shared" si="49"/>
        <v>#N/A</v>
      </c>
      <c r="T129" s="674"/>
      <c r="U129" s="182"/>
      <c r="V129" s="182"/>
      <c r="W129" s="182"/>
      <c r="X129" s="340" t="e">
        <f t="shared" si="50"/>
        <v>#N/A</v>
      </c>
      <c r="Y129" s="674"/>
      <c r="Z129" s="182"/>
      <c r="AA129" s="182"/>
      <c r="AB129" s="182"/>
      <c r="AC129" s="340" t="e">
        <f t="shared" si="51"/>
        <v>#N/A</v>
      </c>
      <c r="AD129" s="674"/>
      <c r="AE129" s="182"/>
      <c r="AF129" s="182"/>
      <c r="AG129" s="182"/>
      <c r="AH129" s="340" t="e">
        <f t="shared" si="52"/>
        <v>#N/A</v>
      </c>
      <c r="AI129" s="674"/>
      <c r="AJ129" s="182"/>
      <c r="AK129" s="182"/>
      <c r="AL129" s="182"/>
      <c r="AM129" s="340" t="e">
        <f t="shared" si="53"/>
        <v>#N/A</v>
      </c>
      <c r="AN129" s="674"/>
      <c r="AO129" s="182"/>
      <c r="AP129" s="182"/>
      <c r="AQ129" s="182"/>
      <c r="AR129" s="340" t="e">
        <f t="shared" si="54"/>
        <v>#N/A</v>
      </c>
      <c r="AS129" s="674"/>
      <c r="AT129" s="182"/>
      <c r="AU129" s="182"/>
      <c r="AV129" s="182"/>
      <c r="AW129" s="340" t="e">
        <f t="shared" si="55"/>
        <v>#N/A</v>
      </c>
      <c r="AX129" s="674"/>
    </row>
    <row r="130" spans="2:50">
      <c r="B130" s="660"/>
      <c r="C130" s="309">
        <v>19</v>
      </c>
      <c r="D130" s="227"/>
      <c r="E130" s="182"/>
      <c r="F130" s="551"/>
      <c r="G130" s="552"/>
      <c r="H130" s="702"/>
      <c r="I130" s="199" t="e">
        <f t="shared" si="46"/>
        <v>#DIV/0!</v>
      </c>
      <c r="J130" s="199" t="e">
        <f t="shared" si="47"/>
        <v>#DIV/0!</v>
      </c>
      <c r="K130" s="200" t="e">
        <f t="shared" si="48"/>
        <v>#DIV/0!</v>
      </c>
      <c r="L130" s="634"/>
      <c r="M130" s="201" t="e">
        <f>RANK(K130, K$112:$K$141)</f>
        <v>#DIV/0!</v>
      </c>
      <c r="N130" s="652"/>
      <c r="O130" s="652"/>
      <c r="P130" s="182"/>
      <c r="Q130" s="182"/>
      <c r="R130" s="182"/>
      <c r="S130" s="340" t="e">
        <f t="shared" si="49"/>
        <v>#N/A</v>
      </c>
      <c r="T130" s="674"/>
      <c r="U130" s="182"/>
      <c r="V130" s="182"/>
      <c r="W130" s="182"/>
      <c r="X130" s="340" t="e">
        <f t="shared" si="50"/>
        <v>#N/A</v>
      </c>
      <c r="Y130" s="674"/>
      <c r="Z130" s="182"/>
      <c r="AA130" s="182"/>
      <c r="AB130" s="182"/>
      <c r="AC130" s="340" t="e">
        <f t="shared" si="51"/>
        <v>#N/A</v>
      </c>
      <c r="AD130" s="674"/>
      <c r="AE130" s="182"/>
      <c r="AF130" s="182"/>
      <c r="AG130" s="182"/>
      <c r="AH130" s="340" t="e">
        <f t="shared" si="52"/>
        <v>#N/A</v>
      </c>
      <c r="AI130" s="674"/>
      <c r="AJ130" s="182"/>
      <c r="AK130" s="182"/>
      <c r="AL130" s="182"/>
      <c r="AM130" s="340" t="e">
        <f t="shared" si="53"/>
        <v>#N/A</v>
      </c>
      <c r="AN130" s="674"/>
      <c r="AO130" s="182"/>
      <c r="AP130" s="182"/>
      <c r="AQ130" s="182"/>
      <c r="AR130" s="340" t="e">
        <f t="shared" si="54"/>
        <v>#N/A</v>
      </c>
      <c r="AS130" s="674"/>
      <c r="AT130" s="182"/>
      <c r="AU130" s="182"/>
      <c r="AV130" s="182"/>
      <c r="AW130" s="340" t="e">
        <f t="shared" si="55"/>
        <v>#N/A</v>
      </c>
      <c r="AX130" s="674"/>
    </row>
    <row r="131" spans="2:50">
      <c r="B131" s="660"/>
      <c r="C131" s="309">
        <v>20</v>
      </c>
      <c r="D131" s="227"/>
      <c r="E131" s="182"/>
      <c r="F131" s="551"/>
      <c r="G131" s="552"/>
      <c r="H131" s="702"/>
      <c r="I131" s="199" t="e">
        <f t="shared" si="46"/>
        <v>#DIV/0!</v>
      </c>
      <c r="J131" s="199" t="e">
        <f t="shared" si="47"/>
        <v>#DIV/0!</v>
      </c>
      <c r="K131" s="200" t="e">
        <f t="shared" si="48"/>
        <v>#DIV/0!</v>
      </c>
      <c r="L131" s="634"/>
      <c r="M131" s="201" t="e">
        <f>RANK(K131, K$112:$K$141)</f>
        <v>#DIV/0!</v>
      </c>
      <c r="N131" s="652"/>
      <c r="O131" s="652"/>
      <c r="P131" s="182"/>
      <c r="Q131" s="182"/>
      <c r="R131" s="182"/>
      <c r="S131" s="340" t="e">
        <f t="shared" si="49"/>
        <v>#N/A</v>
      </c>
      <c r="T131" s="674"/>
      <c r="U131" s="182"/>
      <c r="V131" s="182"/>
      <c r="W131" s="182"/>
      <c r="X131" s="340" t="e">
        <f t="shared" si="50"/>
        <v>#N/A</v>
      </c>
      <c r="Y131" s="674"/>
      <c r="Z131" s="182"/>
      <c r="AA131" s="182"/>
      <c r="AB131" s="182"/>
      <c r="AC131" s="340" t="e">
        <f t="shared" si="51"/>
        <v>#N/A</v>
      </c>
      <c r="AD131" s="674"/>
      <c r="AE131" s="182"/>
      <c r="AF131" s="182"/>
      <c r="AG131" s="182"/>
      <c r="AH131" s="340" t="e">
        <f t="shared" si="52"/>
        <v>#N/A</v>
      </c>
      <c r="AI131" s="674"/>
      <c r="AJ131" s="182"/>
      <c r="AK131" s="182"/>
      <c r="AL131" s="182"/>
      <c r="AM131" s="340" t="e">
        <f t="shared" si="53"/>
        <v>#N/A</v>
      </c>
      <c r="AN131" s="674"/>
      <c r="AO131" s="182"/>
      <c r="AP131" s="182"/>
      <c r="AQ131" s="182"/>
      <c r="AR131" s="340" t="e">
        <f t="shared" si="54"/>
        <v>#N/A</v>
      </c>
      <c r="AS131" s="674"/>
      <c r="AT131" s="182"/>
      <c r="AU131" s="182"/>
      <c r="AV131" s="182"/>
      <c r="AW131" s="340" t="e">
        <f t="shared" si="55"/>
        <v>#N/A</v>
      </c>
      <c r="AX131" s="674"/>
    </row>
    <row r="132" spans="2:50">
      <c r="B132" s="660"/>
      <c r="C132" s="309">
        <v>21</v>
      </c>
      <c r="D132" s="227"/>
      <c r="E132" s="182"/>
      <c r="F132" s="551"/>
      <c r="G132" s="552"/>
      <c r="H132" s="702"/>
      <c r="I132" s="199" t="e">
        <f t="shared" si="46"/>
        <v>#DIV/0!</v>
      </c>
      <c r="J132" s="199" t="e">
        <f t="shared" si="47"/>
        <v>#DIV/0!</v>
      </c>
      <c r="K132" s="200" t="e">
        <f t="shared" si="48"/>
        <v>#DIV/0!</v>
      </c>
      <c r="L132" s="634"/>
      <c r="M132" s="201" t="e">
        <f>RANK(K132, K$112:$K$141)</f>
        <v>#DIV/0!</v>
      </c>
      <c r="N132" s="652"/>
      <c r="O132" s="652"/>
      <c r="P132" s="182"/>
      <c r="Q132" s="182"/>
      <c r="R132" s="182"/>
      <c r="S132" s="340" t="e">
        <f t="shared" si="49"/>
        <v>#N/A</v>
      </c>
      <c r="T132" s="674"/>
      <c r="U132" s="182"/>
      <c r="V132" s="182"/>
      <c r="W132" s="182"/>
      <c r="X132" s="340" t="e">
        <f t="shared" si="50"/>
        <v>#N/A</v>
      </c>
      <c r="Y132" s="674"/>
      <c r="Z132" s="182"/>
      <c r="AA132" s="182"/>
      <c r="AB132" s="182"/>
      <c r="AC132" s="340" t="e">
        <f t="shared" si="51"/>
        <v>#N/A</v>
      </c>
      <c r="AD132" s="674"/>
      <c r="AE132" s="182"/>
      <c r="AF132" s="182"/>
      <c r="AG132" s="182"/>
      <c r="AH132" s="340" t="e">
        <f t="shared" si="52"/>
        <v>#N/A</v>
      </c>
      <c r="AI132" s="674"/>
      <c r="AJ132" s="182"/>
      <c r="AK132" s="182"/>
      <c r="AL132" s="182"/>
      <c r="AM132" s="340" t="e">
        <f t="shared" si="53"/>
        <v>#N/A</v>
      </c>
      <c r="AN132" s="674"/>
      <c r="AO132" s="182"/>
      <c r="AP132" s="182"/>
      <c r="AQ132" s="182"/>
      <c r="AR132" s="340" t="e">
        <f t="shared" si="54"/>
        <v>#N/A</v>
      </c>
      <c r="AS132" s="674"/>
      <c r="AT132" s="182"/>
      <c r="AU132" s="182"/>
      <c r="AV132" s="182"/>
      <c r="AW132" s="340" t="e">
        <f t="shared" si="55"/>
        <v>#N/A</v>
      </c>
      <c r="AX132" s="674"/>
    </row>
    <row r="133" spans="2:50">
      <c r="B133" s="660"/>
      <c r="C133" s="309">
        <v>22</v>
      </c>
      <c r="D133" s="227"/>
      <c r="E133" s="182"/>
      <c r="F133" s="551"/>
      <c r="G133" s="552"/>
      <c r="H133" s="702"/>
      <c r="I133" s="199" t="e">
        <f t="shared" si="46"/>
        <v>#DIV/0!</v>
      </c>
      <c r="J133" s="199" t="e">
        <f t="shared" si="47"/>
        <v>#DIV/0!</v>
      </c>
      <c r="K133" s="200" t="e">
        <f t="shared" si="48"/>
        <v>#DIV/0!</v>
      </c>
      <c r="L133" s="634"/>
      <c r="M133" s="201" t="e">
        <f>RANK(K133, K$112:$K$141)</f>
        <v>#DIV/0!</v>
      </c>
      <c r="N133" s="652"/>
      <c r="O133" s="652"/>
      <c r="P133" s="182"/>
      <c r="Q133" s="182"/>
      <c r="R133" s="182"/>
      <c r="S133" s="340" t="e">
        <f t="shared" si="49"/>
        <v>#N/A</v>
      </c>
      <c r="T133" s="674"/>
      <c r="U133" s="182"/>
      <c r="V133" s="182"/>
      <c r="W133" s="182"/>
      <c r="X133" s="340" t="e">
        <f t="shared" si="50"/>
        <v>#N/A</v>
      </c>
      <c r="Y133" s="674"/>
      <c r="Z133" s="182"/>
      <c r="AA133" s="182"/>
      <c r="AB133" s="182"/>
      <c r="AC133" s="340" t="e">
        <f t="shared" si="51"/>
        <v>#N/A</v>
      </c>
      <c r="AD133" s="674"/>
      <c r="AE133" s="182"/>
      <c r="AF133" s="182"/>
      <c r="AG133" s="182"/>
      <c r="AH133" s="340" t="e">
        <f t="shared" si="52"/>
        <v>#N/A</v>
      </c>
      <c r="AI133" s="674"/>
      <c r="AJ133" s="182"/>
      <c r="AK133" s="182"/>
      <c r="AL133" s="182"/>
      <c r="AM133" s="340" t="e">
        <f t="shared" si="53"/>
        <v>#N/A</v>
      </c>
      <c r="AN133" s="674"/>
      <c r="AO133" s="182"/>
      <c r="AP133" s="182"/>
      <c r="AQ133" s="182"/>
      <c r="AR133" s="340" t="e">
        <f t="shared" si="54"/>
        <v>#N/A</v>
      </c>
      <c r="AS133" s="674"/>
      <c r="AT133" s="182"/>
      <c r="AU133" s="182"/>
      <c r="AV133" s="182"/>
      <c r="AW133" s="340" t="e">
        <f t="shared" si="55"/>
        <v>#N/A</v>
      </c>
      <c r="AX133" s="674"/>
    </row>
    <row r="134" spans="2:50">
      <c r="B134" s="660"/>
      <c r="C134" s="309">
        <v>23</v>
      </c>
      <c r="D134" s="227"/>
      <c r="E134" s="182"/>
      <c r="F134" s="551"/>
      <c r="G134" s="552"/>
      <c r="H134" s="702"/>
      <c r="I134" s="199" t="e">
        <f t="shared" si="46"/>
        <v>#DIV/0!</v>
      </c>
      <c r="J134" s="199" t="e">
        <f t="shared" si="47"/>
        <v>#DIV/0!</v>
      </c>
      <c r="K134" s="200" t="e">
        <f t="shared" si="48"/>
        <v>#DIV/0!</v>
      </c>
      <c r="L134" s="634"/>
      <c r="M134" s="201" t="e">
        <f>RANK(K134, K$112:$K$141)</f>
        <v>#DIV/0!</v>
      </c>
      <c r="N134" s="652"/>
      <c r="O134" s="652"/>
      <c r="P134" s="182"/>
      <c r="Q134" s="182"/>
      <c r="R134" s="182"/>
      <c r="S134" s="340" t="e">
        <f t="shared" si="49"/>
        <v>#N/A</v>
      </c>
      <c r="T134" s="674"/>
      <c r="U134" s="182"/>
      <c r="V134" s="182"/>
      <c r="W134" s="182"/>
      <c r="X134" s="340" t="e">
        <f t="shared" si="50"/>
        <v>#N/A</v>
      </c>
      <c r="Y134" s="674"/>
      <c r="Z134" s="182"/>
      <c r="AA134" s="182"/>
      <c r="AB134" s="182"/>
      <c r="AC134" s="340" t="e">
        <f t="shared" si="51"/>
        <v>#N/A</v>
      </c>
      <c r="AD134" s="674"/>
      <c r="AE134" s="182"/>
      <c r="AF134" s="182"/>
      <c r="AG134" s="182"/>
      <c r="AH134" s="340" t="e">
        <f t="shared" si="52"/>
        <v>#N/A</v>
      </c>
      <c r="AI134" s="674"/>
      <c r="AJ134" s="182"/>
      <c r="AK134" s="182"/>
      <c r="AL134" s="182"/>
      <c r="AM134" s="340" t="e">
        <f t="shared" si="53"/>
        <v>#N/A</v>
      </c>
      <c r="AN134" s="674"/>
      <c r="AO134" s="182"/>
      <c r="AP134" s="182"/>
      <c r="AQ134" s="182"/>
      <c r="AR134" s="340" t="e">
        <f t="shared" si="54"/>
        <v>#N/A</v>
      </c>
      <c r="AS134" s="674"/>
      <c r="AT134" s="182"/>
      <c r="AU134" s="182"/>
      <c r="AV134" s="182"/>
      <c r="AW134" s="340" t="e">
        <f t="shared" si="55"/>
        <v>#N/A</v>
      </c>
      <c r="AX134" s="674"/>
    </row>
    <row r="135" spans="2:50">
      <c r="B135" s="660"/>
      <c r="C135" s="309">
        <v>24</v>
      </c>
      <c r="D135" s="227"/>
      <c r="E135" s="182"/>
      <c r="F135" s="551"/>
      <c r="G135" s="552"/>
      <c r="H135" s="702"/>
      <c r="I135" s="199" t="e">
        <f t="shared" si="46"/>
        <v>#DIV/0!</v>
      </c>
      <c r="J135" s="199" t="e">
        <f t="shared" si="47"/>
        <v>#DIV/0!</v>
      </c>
      <c r="K135" s="200" t="e">
        <f t="shared" si="48"/>
        <v>#DIV/0!</v>
      </c>
      <c r="L135" s="634"/>
      <c r="M135" s="201" t="e">
        <f>RANK(K135, K$112:$K$141)</f>
        <v>#DIV/0!</v>
      </c>
      <c r="N135" s="652"/>
      <c r="O135" s="652"/>
      <c r="P135" s="182"/>
      <c r="Q135" s="182"/>
      <c r="R135" s="182"/>
      <c r="S135" s="340" t="e">
        <f t="shared" si="49"/>
        <v>#N/A</v>
      </c>
      <c r="T135" s="674"/>
      <c r="U135" s="182"/>
      <c r="V135" s="182"/>
      <c r="W135" s="182"/>
      <c r="X135" s="340" t="e">
        <f t="shared" si="50"/>
        <v>#N/A</v>
      </c>
      <c r="Y135" s="674"/>
      <c r="Z135" s="182"/>
      <c r="AA135" s="182"/>
      <c r="AB135" s="182"/>
      <c r="AC135" s="340" t="e">
        <f t="shared" si="51"/>
        <v>#N/A</v>
      </c>
      <c r="AD135" s="674"/>
      <c r="AE135" s="182"/>
      <c r="AF135" s="182"/>
      <c r="AG135" s="182"/>
      <c r="AH135" s="340" t="e">
        <f t="shared" si="52"/>
        <v>#N/A</v>
      </c>
      <c r="AI135" s="674"/>
      <c r="AJ135" s="182"/>
      <c r="AK135" s="182"/>
      <c r="AL135" s="182"/>
      <c r="AM135" s="340" t="e">
        <f t="shared" si="53"/>
        <v>#N/A</v>
      </c>
      <c r="AN135" s="674"/>
      <c r="AO135" s="182"/>
      <c r="AP135" s="182"/>
      <c r="AQ135" s="182"/>
      <c r="AR135" s="340" t="e">
        <f t="shared" si="54"/>
        <v>#N/A</v>
      </c>
      <c r="AS135" s="674"/>
      <c r="AT135" s="182"/>
      <c r="AU135" s="182"/>
      <c r="AV135" s="182"/>
      <c r="AW135" s="340" t="e">
        <f t="shared" si="55"/>
        <v>#N/A</v>
      </c>
      <c r="AX135" s="674"/>
    </row>
    <row r="136" spans="2:50">
      <c r="B136" s="660"/>
      <c r="C136" s="309">
        <v>25</v>
      </c>
      <c r="D136" s="227"/>
      <c r="E136" s="182"/>
      <c r="F136" s="551"/>
      <c r="G136" s="552"/>
      <c r="H136" s="702"/>
      <c r="I136" s="468" t="e">
        <f t="shared" ref="I136:I137" si="56">AVERAGE(P136,U136,Z136,AE136,AJ136,AO136,AT136)</f>
        <v>#DIV/0!</v>
      </c>
      <c r="J136" s="468" t="e">
        <f t="shared" ref="J136:J137" si="57">AVERAGE(Q136,V136,AA136,AF136,AK136,AP136,AU136)</f>
        <v>#DIV/0!</v>
      </c>
      <c r="K136" s="200" t="e">
        <f t="shared" ref="K136:K137" si="58">AVERAGE(R136,W136,AB136,AG136,AL136,AQ136,AV136)</f>
        <v>#DIV/0!</v>
      </c>
      <c r="L136" s="634"/>
      <c r="M136" s="201" t="e">
        <f>RANK(K136, K$112:$K$141)</f>
        <v>#DIV/0!</v>
      </c>
      <c r="N136" s="652"/>
      <c r="O136" s="652"/>
      <c r="P136" s="182"/>
      <c r="Q136" s="182"/>
      <c r="R136" s="182"/>
      <c r="S136" s="340" t="e">
        <f t="shared" si="49"/>
        <v>#N/A</v>
      </c>
      <c r="T136" s="674"/>
      <c r="U136" s="182"/>
      <c r="V136" s="182"/>
      <c r="W136" s="182"/>
      <c r="X136" s="340" t="e">
        <f t="shared" si="50"/>
        <v>#N/A</v>
      </c>
      <c r="Y136" s="674"/>
      <c r="Z136" s="182"/>
      <c r="AA136" s="182"/>
      <c r="AB136" s="182"/>
      <c r="AC136" s="340" t="e">
        <f t="shared" si="51"/>
        <v>#N/A</v>
      </c>
      <c r="AD136" s="674"/>
      <c r="AE136" s="182"/>
      <c r="AF136" s="182"/>
      <c r="AG136" s="182"/>
      <c r="AH136" s="340" t="e">
        <f t="shared" si="52"/>
        <v>#N/A</v>
      </c>
      <c r="AI136" s="674"/>
      <c r="AJ136" s="182"/>
      <c r="AK136" s="182"/>
      <c r="AL136" s="182"/>
      <c r="AM136" s="340" t="e">
        <f t="shared" si="53"/>
        <v>#N/A</v>
      </c>
      <c r="AN136" s="674"/>
      <c r="AO136" s="182"/>
      <c r="AP136" s="182"/>
      <c r="AQ136" s="182"/>
      <c r="AR136" s="340" t="e">
        <f t="shared" si="54"/>
        <v>#N/A</v>
      </c>
      <c r="AS136" s="674"/>
      <c r="AT136" s="182"/>
      <c r="AU136" s="182"/>
      <c r="AV136" s="182"/>
      <c r="AW136" s="340" t="e">
        <f t="shared" si="55"/>
        <v>#N/A</v>
      </c>
      <c r="AX136" s="674"/>
    </row>
    <row r="137" spans="2:50">
      <c r="B137" s="660"/>
      <c r="C137" s="309">
        <v>26</v>
      </c>
      <c r="D137" s="227"/>
      <c r="E137" s="182"/>
      <c r="F137" s="551"/>
      <c r="G137" s="552"/>
      <c r="H137" s="702"/>
      <c r="I137" s="468" t="e">
        <f t="shared" si="56"/>
        <v>#DIV/0!</v>
      </c>
      <c r="J137" s="468" t="e">
        <f t="shared" si="57"/>
        <v>#DIV/0!</v>
      </c>
      <c r="K137" s="200" t="e">
        <f t="shared" si="58"/>
        <v>#DIV/0!</v>
      </c>
      <c r="L137" s="634"/>
      <c r="M137" s="201" t="e">
        <f>RANK(K137, K$112:$K$141)</f>
        <v>#DIV/0!</v>
      </c>
      <c r="N137" s="652"/>
      <c r="O137" s="652"/>
      <c r="P137" s="182"/>
      <c r="Q137" s="182"/>
      <c r="R137" s="182"/>
      <c r="S137" s="340" t="e">
        <f t="shared" si="49"/>
        <v>#N/A</v>
      </c>
      <c r="T137" s="674"/>
      <c r="U137" s="182"/>
      <c r="V137" s="182"/>
      <c r="W137" s="182"/>
      <c r="X137" s="340" t="e">
        <f t="shared" si="50"/>
        <v>#N/A</v>
      </c>
      <c r="Y137" s="674"/>
      <c r="Z137" s="182"/>
      <c r="AA137" s="182"/>
      <c r="AB137" s="182"/>
      <c r="AC137" s="340" t="e">
        <f t="shared" si="51"/>
        <v>#N/A</v>
      </c>
      <c r="AD137" s="674"/>
      <c r="AE137" s="182"/>
      <c r="AF137" s="182"/>
      <c r="AG137" s="182"/>
      <c r="AH137" s="340" t="e">
        <f t="shared" si="52"/>
        <v>#N/A</v>
      </c>
      <c r="AI137" s="674"/>
      <c r="AJ137" s="182"/>
      <c r="AK137" s="182"/>
      <c r="AL137" s="182"/>
      <c r="AM137" s="340" t="e">
        <f t="shared" si="53"/>
        <v>#N/A</v>
      </c>
      <c r="AN137" s="674"/>
      <c r="AO137" s="182"/>
      <c r="AP137" s="182"/>
      <c r="AQ137" s="182"/>
      <c r="AR137" s="340" t="e">
        <f t="shared" si="54"/>
        <v>#N/A</v>
      </c>
      <c r="AS137" s="674"/>
      <c r="AT137" s="182"/>
      <c r="AU137" s="182"/>
      <c r="AV137" s="182"/>
      <c r="AW137" s="340" t="e">
        <f t="shared" si="55"/>
        <v>#N/A</v>
      </c>
      <c r="AX137" s="674"/>
    </row>
    <row r="138" spans="2:50">
      <c r="B138" s="660"/>
      <c r="C138" s="309">
        <v>27</v>
      </c>
      <c r="D138" s="227"/>
      <c r="E138" s="182"/>
      <c r="F138" s="551"/>
      <c r="G138" s="552"/>
      <c r="H138" s="702"/>
      <c r="I138" s="488" t="e">
        <f t="shared" ref="I138" si="59">AVERAGE(P138,U138,Z138,AE138,AJ138,AO138,AT138)</f>
        <v>#DIV/0!</v>
      </c>
      <c r="J138" s="488" t="e">
        <f t="shared" ref="J138" si="60">AVERAGE(Q138,V138,AA138,AF138,AK138,AP138,AU138)</f>
        <v>#DIV/0!</v>
      </c>
      <c r="K138" s="200" t="e">
        <f t="shared" ref="K138" si="61">AVERAGE(R138,W138,AB138,AG138,AL138,AQ138,AV138)</f>
        <v>#DIV/0!</v>
      </c>
      <c r="L138" s="634"/>
      <c r="M138" s="201" t="e">
        <f>RANK(K138, K$112:$K$141)</f>
        <v>#DIV/0!</v>
      </c>
      <c r="N138" s="652"/>
      <c r="O138" s="652"/>
      <c r="P138" s="182"/>
      <c r="Q138" s="182"/>
      <c r="R138" s="182"/>
      <c r="S138" s="340" t="e">
        <f t="shared" si="49"/>
        <v>#N/A</v>
      </c>
      <c r="T138" s="674"/>
      <c r="U138" s="182"/>
      <c r="V138" s="182"/>
      <c r="W138" s="182"/>
      <c r="X138" s="340" t="e">
        <f t="shared" si="50"/>
        <v>#N/A</v>
      </c>
      <c r="Y138" s="674"/>
      <c r="Z138" s="182"/>
      <c r="AA138" s="182"/>
      <c r="AB138" s="182"/>
      <c r="AC138" s="340" t="e">
        <f t="shared" si="51"/>
        <v>#N/A</v>
      </c>
      <c r="AD138" s="674"/>
      <c r="AE138" s="182"/>
      <c r="AF138" s="182"/>
      <c r="AG138" s="182"/>
      <c r="AH138" s="340" t="e">
        <f t="shared" si="52"/>
        <v>#N/A</v>
      </c>
      <c r="AI138" s="674"/>
      <c r="AJ138" s="182"/>
      <c r="AK138" s="182"/>
      <c r="AL138" s="182"/>
      <c r="AM138" s="340" t="e">
        <f t="shared" si="53"/>
        <v>#N/A</v>
      </c>
      <c r="AN138" s="674"/>
      <c r="AO138" s="182"/>
      <c r="AP138" s="182"/>
      <c r="AQ138" s="182"/>
      <c r="AR138" s="340" t="e">
        <f t="shared" si="54"/>
        <v>#N/A</v>
      </c>
      <c r="AS138" s="674"/>
      <c r="AT138" s="182"/>
      <c r="AU138" s="182"/>
      <c r="AV138" s="182"/>
      <c r="AW138" s="340" t="e">
        <f t="shared" si="55"/>
        <v>#N/A</v>
      </c>
      <c r="AX138" s="674"/>
    </row>
    <row r="139" spans="2:50">
      <c r="B139" s="660"/>
      <c r="C139" s="309">
        <v>28</v>
      </c>
      <c r="D139" s="227"/>
      <c r="E139" s="182"/>
      <c r="F139" s="551"/>
      <c r="G139" s="552"/>
      <c r="H139" s="702"/>
      <c r="I139" s="199"/>
      <c r="J139" s="199"/>
      <c r="K139" s="200"/>
      <c r="L139" s="634"/>
      <c r="M139" s="201" t="e">
        <f>RANK(K139, K$112:$K$141)</f>
        <v>#DIV/0!</v>
      </c>
      <c r="N139" s="652"/>
      <c r="O139" s="652"/>
      <c r="P139" s="182"/>
      <c r="Q139" s="182"/>
      <c r="R139" s="182"/>
      <c r="S139" s="340" t="e">
        <f t="shared" si="49"/>
        <v>#N/A</v>
      </c>
      <c r="T139" s="674"/>
      <c r="U139" s="182"/>
      <c r="V139" s="182"/>
      <c r="W139" s="182"/>
      <c r="X139" s="340" t="e">
        <f t="shared" si="50"/>
        <v>#N/A</v>
      </c>
      <c r="Y139" s="674"/>
      <c r="Z139" s="182"/>
      <c r="AA139" s="182"/>
      <c r="AB139" s="182"/>
      <c r="AC139" s="340" t="e">
        <f t="shared" si="51"/>
        <v>#N/A</v>
      </c>
      <c r="AD139" s="674"/>
      <c r="AE139" s="182"/>
      <c r="AF139" s="182"/>
      <c r="AG139" s="182"/>
      <c r="AH139" s="340" t="e">
        <f t="shared" si="52"/>
        <v>#N/A</v>
      </c>
      <c r="AI139" s="674"/>
      <c r="AJ139" s="182"/>
      <c r="AK139" s="182"/>
      <c r="AL139" s="182"/>
      <c r="AM139" s="340" t="e">
        <f t="shared" si="53"/>
        <v>#N/A</v>
      </c>
      <c r="AN139" s="674"/>
      <c r="AO139" s="182"/>
      <c r="AP139" s="182"/>
      <c r="AQ139" s="182"/>
      <c r="AR139" s="340" t="e">
        <f t="shared" si="54"/>
        <v>#N/A</v>
      </c>
      <c r="AS139" s="674"/>
      <c r="AT139" s="182"/>
      <c r="AU139" s="182"/>
      <c r="AV139" s="182"/>
      <c r="AW139" s="340" t="e">
        <f t="shared" si="55"/>
        <v>#N/A</v>
      </c>
      <c r="AX139" s="674"/>
    </row>
    <row r="140" spans="2:50">
      <c r="B140" s="660"/>
      <c r="C140" s="309">
        <v>29</v>
      </c>
      <c r="D140" s="227"/>
      <c r="E140" s="182"/>
      <c r="F140" s="551"/>
      <c r="G140" s="552"/>
      <c r="H140" s="702"/>
      <c r="I140" s="202"/>
      <c r="J140" s="202"/>
      <c r="K140" s="202"/>
      <c r="L140" s="634"/>
      <c r="M140" s="201" t="e">
        <f>RANK(K140, K$112:$K$141)</f>
        <v>#DIV/0!</v>
      </c>
      <c r="N140" s="652"/>
      <c r="O140" s="652"/>
      <c r="P140" s="182"/>
      <c r="Q140" s="182"/>
      <c r="R140" s="182"/>
      <c r="S140" s="340" t="e">
        <f t="shared" si="49"/>
        <v>#N/A</v>
      </c>
      <c r="T140" s="674"/>
      <c r="U140" s="182"/>
      <c r="V140" s="182"/>
      <c r="W140" s="182"/>
      <c r="X140" s="340" t="e">
        <f t="shared" si="50"/>
        <v>#N/A</v>
      </c>
      <c r="Y140" s="674"/>
      <c r="Z140" s="182"/>
      <c r="AA140" s="182"/>
      <c r="AB140" s="182"/>
      <c r="AC140" s="340" t="e">
        <f t="shared" si="51"/>
        <v>#N/A</v>
      </c>
      <c r="AD140" s="674"/>
      <c r="AE140" s="182"/>
      <c r="AF140" s="182"/>
      <c r="AG140" s="182"/>
      <c r="AH140" s="340" t="e">
        <f t="shared" si="52"/>
        <v>#N/A</v>
      </c>
      <c r="AI140" s="674"/>
      <c r="AJ140" s="182"/>
      <c r="AK140" s="182"/>
      <c r="AL140" s="182"/>
      <c r="AM140" s="340" t="e">
        <f t="shared" si="53"/>
        <v>#N/A</v>
      </c>
      <c r="AN140" s="674"/>
      <c r="AO140" s="182"/>
      <c r="AP140" s="182"/>
      <c r="AQ140" s="182"/>
      <c r="AR140" s="340" t="e">
        <f t="shared" si="54"/>
        <v>#N/A</v>
      </c>
      <c r="AS140" s="674"/>
      <c r="AT140" s="182"/>
      <c r="AU140" s="182"/>
      <c r="AV140" s="182"/>
      <c r="AW140" s="340" t="e">
        <f t="shared" si="55"/>
        <v>#N/A</v>
      </c>
      <c r="AX140" s="674"/>
    </row>
    <row r="141" spans="2:50">
      <c r="B141" s="660"/>
      <c r="C141" s="309">
        <v>30</v>
      </c>
      <c r="D141" s="227"/>
      <c r="E141" s="182"/>
      <c r="F141" s="514"/>
      <c r="G141" s="515"/>
      <c r="H141" s="703"/>
      <c r="I141" s="202"/>
      <c r="J141" s="202"/>
      <c r="K141" s="202"/>
      <c r="L141" s="635"/>
      <c r="M141" s="201" t="e">
        <f>RANK(K141, K$112:$K$141)</f>
        <v>#DIV/0!</v>
      </c>
      <c r="N141" s="652"/>
      <c r="O141" s="652"/>
      <c r="P141" s="182"/>
      <c r="Q141" s="182"/>
      <c r="R141" s="182"/>
      <c r="S141" s="340" t="e">
        <f t="shared" si="49"/>
        <v>#N/A</v>
      </c>
      <c r="T141" s="674"/>
      <c r="U141" s="182"/>
      <c r="V141" s="182"/>
      <c r="W141" s="182"/>
      <c r="X141" s="340" t="e">
        <f t="shared" si="50"/>
        <v>#N/A</v>
      </c>
      <c r="Y141" s="674"/>
      <c r="Z141" s="182"/>
      <c r="AA141" s="182"/>
      <c r="AB141" s="182"/>
      <c r="AC141" s="340" t="e">
        <f t="shared" si="51"/>
        <v>#N/A</v>
      </c>
      <c r="AD141" s="674"/>
      <c r="AE141" s="182"/>
      <c r="AF141" s="182"/>
      <c r="AG141" s="182"/>
      <c r="AH141" s="340" t="e">
        <f t="shared" si="52"/>
        <v>#N/A</v>
      </c>
      <c r="AI141" s="674"/>
      <c r="AJ141" s="182"/>
      <c r="AK141" s="182"/>
      <c r="AL141" s="182"/>
      <c r="AM141" s="340" t="e">
        <f t="shared" si="53"/>
        <v>#N/A</v>
      </c>
      <c r="AN141" s="674"/>
      <c r="AO141" s="182"/>
      <c r="AP141" s="182"/>
      <c r="AQ141" s="182"/>
      <c r="AR141" s="340" t="e">
        <f t="shared" si="54"/>
        <v>#N/A</v>
      </c>
      <c r="AS141" s="674"/>
      <c r="AT141" s="182"/>
      <c r="AU141" s="182"/>
      <c r="AV141" s="182"/>
      <c r="AW141" s="340" t="e">
        <f t="shared" si="55"/>
        <v>#N/A</v>
      </c>
      <c r="AX141" s="674"/>
    </row>
    <row r="142" spans="2:50" ht="15.75">
      <c r="B142" s="664" t="s">
        <v>163</v>
      </c>
      <c r="C142" s="665"/>
      <c r="D142" s="665"/>
      <c r="E142" s="665"/>
      <c r="F142" s="665"/>
      <c r="G142" s="665"/>
      <c r="H142" s="666"/>
      <c r="I142" s="208"/>
      <c r="J142" s="208"/>
      <c r="K142" s="208"/>
      <c r="L142" s="208"/>
      <c r="M142" s="207"/>
      <c r="N142" s="653" t="s">
        <v>156</v>
      </c>
      <c r="O142" s="653" t="s">
        <v>105</v>
      </c>
      <c r="P142" s="659">
        <f>P107+7</f>
        <v>46077</v>
      </c>
      <c r="Q142" s="660"/>
      <c r="R142" s="660"/>
      <c r="S142" s="660"/>
      <c r="T142" s="660"/>
      <c r="U142" s="656">
        <f>P142+1</f>
        <v>46078</v>
      </c>
      <c r="V142" s="657"/>
      <c r="W142" s="657"/>
      <c r="X142" s="657"/>
      <c r="Y142" s="658"/>
      <c r="Z142" s="656">
        <f>U142+1</f>
        <v>46079</v>
      </c>
      <c r="AA142" s="657"/>
      <c r="AB142" s="657"/>
      <c r="AC142" s="657"/>
      <c r="AD142" s="658"/>
      <c r="AE142" s="656">
        <f>Z142+1</f>
        <v>46080</v>
      </c>
      <c r="AF142" s="657"/>
      <c r="AG142" s="657"/>
      <c r="AH142" s="657"/>
      <c r="AI142" s="658"/>
      <c r="AJ142" s="656">
        <f>AE142+1</f>
        <v>46081</v>
      </c>
      <c r="AK142" s="657"/>
      <c r="AL142" s="657"/>
      <c r="AM142" s="657"/>
      <c r="AN142" s="658"/>
      <c r="AO142" s="656">
        <f>AJ142+1</f>
        <v>46082</v>
      </c>
      <c r="AP142" s="657"/>
      <c r="AQ142" s="657"/>
      <c r="AR142" s="657"/>
      <c r="AS142" s="658"/>
      <c r="AT142" s="656">
        <f>AO142+1</f>
        <v>46083</v>
      </c>
      <c r="AU142" s="657"/>
      <c r="AV142" s="657"/>
      <c r="AW142" s="657"/>
      <c r="AX142" s="658"/>
    </row>
    <row r="143" spans="2:50" ht="15.75">
      <c r="B143" s="667"/>
      <c r="C143" s="667"/>
      <c r="D143" s="667"/>
      <c r="E143" s="667"/>
      <c r="F143" s="667"/>
      <c r="G143" s="667"/>
      <c r="H143" s="667"/>
      <c r="I143" s="205"/>
      <c r="J143" s="205"/>
      <c r="K143" s="205"/>
      <c r="L143" s="205"/>
      <c r="M143" s="206"/>
      <c r="N143" s="655"/>
      <c r="O143" s="655"/>
      <c r="P143" s="659" t="s">
        <v>336</v>
      </c>
      <c r="Q143" s="660"/>
      <c r="R143" s="660"/>
      <c r="S143" s="660"/>
      <c r="T143" s="660"/>
      <c r="U143" s="659" t="s">
        <v>337</v>
      </c>
      <c r="V143" s="660"/>
      <c r="W143" s="660"/>
      <c r="X143" s="660"/>
      <c r="Y143" s="660"/>
      <c r="Z143" s="659" t="s">
        <v>338</v>
      </c>
      <c r="AA143" s="660"/>
      <c r="AB143" s="660"/>
      <c r="AC143" s="660"/>
      <c r="AD143" s="660"/>
      <c r="AE143" s="659" t="s">
        <v>339</v>
      </c>
      <c r="AF143" s="660"/>
      <c r="AG143" s="660"/>
      <c r="AH143" s="660"/>
      <c r="AI143" s="660"/>
      <c r="AJ143" s="659" t="s">
        <v>340</v>
      </c>
      <c r="AK143" s="660"/>
      <c r="AL143" s="660"/>
      <c r="AM143" s="660"/>
      <c r="AN143" s="660"/>
      <c r="AO143" s="659" t="s">
        <v>341</v>
      </c>
      <c r="AP143" s="660"/>
      <c r="AQ143" s="660"/>
      <c r="AR143" s="660"/>
      <c r="AS143" s="660"/>
      <c r="AT143" s="659" t="s">
        <v>342</v>
      </c>
      <c r="AU143" s="660"/>
      <c r="AV143" s="660"/>
      <c r="AW143" s="660"/>
      <c r="AX143" s="660"/>
    </row>
    <row r="144" spans="2:50">
      <c r="B144" s="652" t="s">
        <v>490</v>
      </c>
      <c r="C144" s="652" t="s">
        <v>491</v>
      </c>
      <c r="D144" s="652"/>
      <c r="E144" s="652" t="s">
        <v>492</v>
      </c>
      <c r="F144" s="652"/>
      <c r="G144" s="652"/>
      <c r="H144" s="668" t="s">
        <v>493</v>
      </c>
      <c r="I144" s="636" t="s">
        <v>494</v>
      </c>
      <c r="J144" s="636"/>
      <c r="K144" s="636"/>
      <c r="L144" s="637" t="s">
        <v>493</v>
      </c>
      <c r="M144" s="643" t="s">
        <v>495</v>
      </c>
      <c r="N144" s="652"/>
      <c r="O144" s="652" t="s">
        <v>496</v>
      </c>
      <c r="P144" s="649" t="s">
        <v>497</v>
      </c>
      <c r="Q144" s="650"/>
      <c r="R144" s="650"/>
      <c r="S144" s="651"/>
      <c r="T144" s="652" t="s">
        <v>493</v>
      </c>
      <c r="U144" s="649" t="s">
        <v>497</v>
      </c>
      <c r="V144" s="650"/>
      <c r="W144" s="650"/>
      <c r="X144" s="651"/>
      <c r="Y144" s="652" t="s">
        <v>493</v>
      </c>
      <c r="Z144" s="649" t="s">
        <v>497</v>
      </c>
      <c r="AA144" s="650"/>
      <c r="AB144" s="650"/>
      <c r="AC144" s="651"/>
      <c r="AD144" s="652" t="s">
        <v>493</v>
      </c>
      <c r="AE144" s="649" t="s">
        <v>497</v>
      </c>
      <c r="AF144" s="650"/>
      <c r="AG144" s="650"/>
      <c r="AH144" s="651"/>
      <c r="AI144" s="652" t="s">
        <v>493</v>
      </c>
      <c r="AJ144" s="649" t="s">
        <v>497</v>
      </c>
      <c r="AK144" s="650"/>
      <c r="AL144" s="650"/>
      <c r="AM144" s="651"/>
      <c r="AN144" s="652" t="s">
        <v>493</v>
      </c>
      <c r="AO144" s="649" t="s">
        <v>497</v>
      </c>
      <c r="AP144" s="650"/>
      <c r="AQ144" s="650"/>
      <c r="AR144" s="651"/>
      <c r="AS144" s="652" t="s">
        <v>493</v>
      </c>
      <c r="AT144" s="649" t="s">
        <v>497</v>
      </c>
      <c r="AU144" s="650"/>
      <c r="AV144" s="650"/>
      <c r="AW144" s="651"/>
      <c r="AX144" s="652" t="s">
        <v>493</v>
      </c>
    </row>
    <row r="145" spans="2:50">
      <c r="B145" s="652"/>
      <c r="C145" s="652"/>
      <c r="D145" s="652"/>
      <c r="E145" s="652" t="s">
        <v>498</v>
      </c>
      <c r="F145" s="652"/>
      <c r="G145" s="652"/>
      <c r="H145" s="669"/>
      <c r="I145" s="636" t="s">
        <v>498</v>
      </c>
      <c r="J145" s="636"/>
      <c r="K145" s="636"/>
      <c r="L145" s="638"/>
      <c r="M145" s="644"/>
      <c r="N145" s="652"/>
      <c r="O145" s="652"/>
      <c r="P145" s="649" t="s">
        <v>499</v>
      </c>
      <c r="Q145" s="650"/>
      <c r="R145" s="650"/>
      <c r="S145" s="651"/>
      <c r="T145" s="652"/>
      <c r="U145" s="649" t="s">
        <v>499</v>
      </c>
      <c r="V145" s="650"/>
      <c r="W145" s="650"/>
      <c r="X145" s="651"/>
      <c r="Y145" s="652"/>
      <c r="Z145" s="649" t="s">
        <v>499</v>
      </c>
      <c r="AA145" s="650"/>
      <c r="AB145" s="650"/>
      <c r="AC145" s="651"/>
      <c r="AD145" s="652"/>
      <c r="AE145" s="649" t="s">
        <v>499</v>
      </c>
      <c r="AF145" s="650"/>
      <c r="AG145" s="650"/>
      <c r="AH145" s="651"/>
      <c r="AI145" s="652"/>
      <c r="AJ145" s="649" t="s">
        <v>499</v>
      </c>
      <c r="AK145" s="650"/>
      <c r="AL145" s="650"/>
      <c r="AM145" s="651"/>
      <c r="AN145" s="652"/>
      <c r="AO145" s="649" t="s">
        <v>499</v>
      </c>
      <c r="AP145" s="650"/>
      <c r="AQ145" s="650"/>
      <c r="AR145" s="651"/>
      <c r="AS145" s="652"/>
      <c r="AT145" s="649" t="s">
        <v>499</v>
      </c>
      <c r="AU145" s="650"/>
      <c r="AV145" s="650"/>
      <c r="AW145" s="651"/>
      <c r="AX145" s="652"/>
    </row>
    <row r="146" spans="2:50">
      <c r="B146" s="652"/>
      <c r="C146" s="652"/>
      <c r="D146" s="652"/>
      <c r="E146" s="305" t="s">
        <v>500</v>
      </c>
      <c r="F146" s="305" t="s">
        <v>501</v>
      </c>
      <c r="G146" s="305" t="s">
        <v>502</v>
      </c>
      <c r="H146" s="670"/>
      <c r="I146" s="306" t="s">
        <v>500</v>
      </c>
      <c r="J146" s="306" t="s">
        <v>501</v>
      </c>
      <c r="K146" s="306" t="s">
        <v>502</v>
      </c>
      <c r="L146" s="639"/>
      <c r="M146" s="645"/>
      <c r="N146" s="652"/>
      <c r="O146" s="652"/>
      <c r="P146" s="305" t="s">
        <v>500</v>
      </c>
      <c r="Q146" s="305" t="s">
        <v>501</v>
      </c>
      <c r="R146" s="305" t="s">
        <v>502</v>
      </c>
      <c r="S146" s="305" t="s">
        <v>495</v>
      </c>
      <c r="T146" s="652"/>
      <c r="U146" s="305" t="s">
        <v>500</v>
      </c>
      <c r="V146" s="305" t="s">
        <v>501</v>
      </c>
      <c r="W146" s="305" t="s">
        <v>502</v>
      </c>
      <c r="X146" s="305" t="s">
        <v>495</v>
      </c>
      <c r="Y146" s="652"/>
      <c r="Z146" s="305" t="s">
        <v>500</v>
      </c>
      <c r="AA146" s="305" t="s">
        <v>501</v>
      </c>
      <c r="AB146" s="305" t="s">
        <v>502</v>
      </c>
      <c r="AC146" s="305" t="s">
        <v>495</v>
      </c>
      <c r="AD146" s="652"/>
      <c r="AE146" s="305" t="s">
        <v>500</v>
      </c>
      <c r="AF146" s="305" t="s">
        <v>501</v>
      </c>
      <c r="AG146" s="305" t="s">
        <v>502</v>
      </c>
      <c r="AH146" s="305" t="s">
        <v>495</v>
      </c>
      <c r="AI146" s="652"/>
      <c r="AJ146" s="305" t="s">
        <v>500</v>
      </c>
      <c r="AK146" s="305" t="s">
        <v>501</v>
      </c>
      <c r="AL146" s="305" t="s">
        <v>502</v>
      </c>
      <c r="AM146" s="305" t="s">
        <v>495</v>
      </c>
      <c r="AN146" s="652"/>
      <c r="AO146" s="305" t="s">
        <v>500</v>
      </c>
      <c r="AP146" s="305" t="s">
        <v>501</v>
      </c>
      <c r="AQ146" s="305" t="s">
        <v>502</v>
      </c>
      <c r="AR146" s="305" t="s">
        <v>495</v>
      </c>
      <c r="AS146" s="652"/>
      <c r="AT146" s="305" t="s">
        <v>500</v>
      </c>
      <c r="AU146" s="305" t="s">
        <v>501</v>
      </c>
      <c r="AV146" s="305" t="s">
        <v>502</v>
      </c>
      <c r="AW146" s="305" t="s">
        <v>495</v>
      </c>
      <c r="AX146" s="652"/>
    </row>
    <row r="147" spans="2:50">
      <c r="B147" s="652" t="s">
        <v>503</v>
      </c>
      <c r="C147" s="304">
        <v>1</v>
      </c>
      <c r="D147" s="227"/>
      <c r="E147" s="182"/>
      <c r="F147" s="514"/>
      <c r="G147" s="515"/>
      <c r="H147" s="701" t="e">
        <f>AVERAGE(G147:G176)</f>
        <v>#DIV/0!</v>
      </c>
      <c r="I147" s="199" t="e">
        <f>AVERAGE(P147,U147,Z147,AE147,AJ147,AO147,AT147)</f>
        <v>#DIV/0!</v>
      </c>
      <c r="J147" s="199" t="e">
        <f>AVERAGE(Q147,V147,AA147,AF147,AK147,AP147,AU147)</f>
        <v>#DIV/0!</v>
      </c>
      <c r="K147" s="200" t="e">
        <f>AVERAGE(R147,W147,AB147,AG147,AL147,AQ147,AV147)</f>
        <v>#DIV/0!</v>
      </c>
      <c r="L147" s="633" t="str">
        <f>IFERROR(AVERAGE(K147:K176),"-")</f>
        <v>-</v>
      </c>
      <c r="M147" s="201" t="e">
        <f>RANK(K147, K$147:$K$176)</f>
        <v>#DIV/0!</v>
      </c>
      <c r="N147" s="652"/>
      <c r="O147" s="652"/>
      <c r="P147" s="182"/>
      <c r="Q147" s="182"/>
      <c r="R147" s="182"/>
      <c r="S147" s="304" t="e">
        <f>RANK(R147, R$147:R$176)</f>
        <v>#N/A</v>
      </c>
      <c r="T147" s="674" t="e">
        <f>AVERAGE(R147:R176)</f>
        <v>#DIV/0!</v>
      </c>
      <c r="U147" s="182"/>
      <c r="V147" s="182"/>
      <c r="W147" s="182"/>
      <c r="X147" s="304" t="e">
        <f>RANK(W147, W$147:W$176)</f>
        <v>#N/A</v>
      </c>
      <c r="Y147" s="674" t="e">
        <f>AVERAGE(W147:W176)</f>
        <v>#DIV/0!</v>
      </c>
      <c r="Z147" s="182"/>
      <c r="AA147" s="182"/>
      <c r="AB147" s="182"/>
      <c r="AC147" s="304" t="e">
        <f>RANK(AB147, AB$147:AB$176)</f>
        <v>#N/A</v>
      </c>
      <c r="AD147" s="674" t="e">
        <f>AVERAGE(AB147:AB176)</f>
        <v>#DIV/0!</v>
      </c>
      <c r="AE147" s="182"/>
      <c r="AF147" s="182"/>
      <c r="AG147" s="182"/>
      <c r="AH147" s="304" t="e">
        <f>RANK(AG147, AG$147:AG$176)</f>
        <v>#N/A</v>
      </c>
      <c r="AI147" s="674" t="e">
        <f>AVERAGE(AG147:AG176)</f>
        <v>#DIV/0!</v>
      </c>
      <c r="AJ147" s="182"/>
      <c r="AK147" s="182"/>
      <c r="AL147" s="182"/>
      <c r="AM147" s="304" t="e">
        <f>RANK(AL147, AL$147:AL$176)</f>
        <v>#N/A</v>
      </c>
      <c r="AN147" s="674" t="e">
        <f>AVERAGE(AL147:AL176)</f>
        <v>#DIV/0!</v>
      </c>
      <c r="AO147" s="182"/>
      <c r="AP147" s="182"/>
      <c r="AQ147" s="182"/>
      <c r="AR147" s="304" t="e">
        <f>RANK(AQ147, AQ$147:AQ$176)</f>
        <v>#N/A</v>
      </c>
      <c r="AS147" s="674" t="e">
        <f>AVERAGE(AQ147:AQ176)</f>
        <v>#DIV/0!</v>
      </c>
      <c r="AT147" s="182"/>
      <c r="AU147" s="182"/>
      <c r="AV147" s="182"/>
      <c r="AW147" s="304" t="e">
        <f>RANK(AV147, AV$147:AV$176)</f>
        <v>#N/A</v>
      </c>
      <c r="AX147" s="674" t="e">
        <f>AVERAGE(AV147:AV176)</f>
        <v>#DIV/0!</v>
      </c>
    </row>
    <row r="148" spans="2:50">
      <c r="B148" s="660"/>
      <c r="C148" s="304">
        <v>2</v>
      </c>
      <c r="D148" s="227"/>
      <c r="E148" s="182"/>
      <c r="F148" s="514"/>
      <c r="G148" s="515"/>
      <c r="H148" s="702"/>
      <c r="I148" s="199" t="e">
        <f t="shared" ref="I148:I170" si="62">AVERAGE(P148,U148,Z148,AE148,AJ148,AO148,AT148)</f>
        <v>#DIV/0!</v>
      </c>
      <c r="J148" s="199" t="e">
        <f t="shared" ref="J148:J170" si="63">AVERAGE(Q148,V148,AA148,AF148,AK148,AP148,AU148)</f>
        <v>#DIV/0!</v>
      </c>
      <c r="K148" s="200" t="e">
        <f t="shared" ref="K148:K170" si="64">AVERAGE(R148,W148,AB148,AG148,AL148,AQ148,AV148)</f>
        <v>#DIV/0!</v>
      </c>
      <c r="L148" s="634"/>
      <c r="M148" s="201" t="e">
        <f>RANK(K148, K$147:$K$176)</f>
        <v>#DIV/0!</v>
      </c>
      <c r="N148" s="652"/>
      <c r="O148" s="652"/>
      <c r="P148" s="182"/>
      <c r="Q148" s="182"/>
      <c r="R148" s="182"/>
      <c r="S148" s="304" t="e">
        <f t="shared" ref="S148:S176" si="65">RANK(R148, R$147:R$176)</f>
        <v>#N/A</v>
      </c>
      <c r="T148" s="674"/>
      <c r="U148" s="182"/>
      <c r="V148" s="182"/>
      <c r="W148" s="182"/>
      <c r="X148" s="304" t="e">
        <f t="shared" ref="X148:X176" si="66">RANK(W148, W$147:W$176)</f>
        <v>#N/A</v>
      </c>
      <c r="Y148" s="674"/>
      <c r="Z148" s="182"/>
      <c r="AA148" s="182"/>
      <c r="AB148" s="182"/>
      <c r="AC148" s="304" t="e">
        <f t="shared" ref="AC148:AC176" si="67">RANK(AB148, AB$147:AB$176)</f>
        <v>#N/A</v>
      </c>
      <c r="AD148" s="674"/>
      <c r="AE148" s="182"/>
      <c r="AF148" s="182"/>
      <c r="AG148" s="182"/>
      <c r="AH148" s="304" t="e">
        <f t="shared" ref="AH148:AH176" si="68">RANK(AG148, AG$147:AG$176)</f>
        <v>#N/A</v>
      </c>
      <c r="AI148" s="674"/>
      <c r="AJ148" s="182"/>
      <c r="AK148" s="182"/>
      <c r="AL148" s="182"/>
      <c r="AM148" s="304" t="e">
        <f t="shared" ref="AM148:AM176" si="69">RANK(AL148, AL$147:AL$176)</f>
        <v>#N/A</v>
      </c>
      <c r="AN148" s="674"/>
      <c r="AO148" s="182"/>
      <c r="AP148" s="182"/>
      <c r="AQ148" s="182"/>
      <c r="AR148" s="304" t="e">
        <f t="shared" ref="AR148:AR176" si="70">RANK(AQ148, AQ$147:AQ$176)</f>
        <v>#N/A</v>
      </c>
      <c r="AS148" s="674"/>
      <c r="AT148" s="182"/>
      <c r="AU148" s="182"/>
      <c r="AV148" s="182"/>
      <c r="AW148" s="304" t="e">
        <f t="shared" ref="AW148:AW176" si="71">RANK(AV148, AV$147:AV$176)</f>
        <v>#N/A</v>
      </c>
      <c r="AX148" s="674"/>
    </row>
    <row r="149" spans="2:50">
      <c r="B149" s="660"/>
      <c r="C149" s="304">
        <v>3</v>
      </c>
      <c r="D149" s="227"/>
      <c r="E149" s="182"/>
      <c r="F149" s="514"/>
      <c r="G149" s="515"/>
      <c r="H149" s="702"/>
      <c r="I149" s="199" t="e">
        <f t="shared" si="62"/>
        <v>#DIV/0!</v>
      </c>
      <c r="J149" s="199" t="e">
        <f t="shared" si="63"/>
        <v>#DIV/0!</v>
      </c>
      <c r="K149" s="200" t="e">
        <f t="shared" si="64"/>
        <v>#DIV/0!</v>
      </c>
      <c r="L149" s="634"/>
      <c r="M149" s="201" t="e">
        <f>RANK(K149, K$147:$K$176)</f>
        <v>#DIV/0!</v>
      </c>
      <c r="N149" s="652"/>
      <c r="O149" s="652"/>
      <c r="P149" s="182"/>
      <c r="Q149" s="182"/>
      <c r="R149" s="182"/>
      <c r="S149" s="304" t="e">
        <f t="shared" si="65"/>
        <v>#N/A</v>
      </c>
      <c r="T149" s="674"/>
      <c r="U149" s="182"/>
      <c r="V149" s="182"/>
      <c r="W149" s="182"/>
      <c r="X149" s="304" t="e">
        <f t="shared" si="66"/>
        <v>#N/A</v>
      </c>
      <c r="Y149" s="674"/>
      <c r="Z149" s="182"/>
      <c r="AA149" s="182"/>
      <c r="AB149" s="182"/>
      <c r="AC149" s="304" t="e">
        <f t="shared" si="67"/>
        <v>#N/A</v>
      </c>
      <c r="AD149" s="674"/>
      <c r="AE149" s="182"/>
      <c r="AF149" s="182"/>
      <c r="AG149" s="182"/>
      <c r="AH149" s="304" t="e">
        <f t="shared" si="68"/>
        <v>#N/A</v>
      </c>
      <c r="AI149" s="674"/>
      <c r="AJ149" s="182"/>
      <c r="AK149" s="182"/>
      <c r="AL149" s="182"/>
      <c r="AM149" s="304" t="e">
        <f t="shared" si="69"/>
        <v>#N/A</v>
      </c>
      <c r="AN149" s="674"/>
      <c r="AO149" s="182"/>
      <c r="AP149" s="182"/>
      <c r="AQ149" s="182"/>
      <c r="AR149" s="304" t="e">
        <f t="shared" si="70"/>
        <v>#N/A</v>
      </c>
      <c r="AS149" s="674"/>
      <c r="AT149" s="182"/>
      <c r="AU149" s="182"/>
      <c r="AV149" s="182"/>
      <c r="AW149" s="304" t="e">
        <f t="shared" si="71"/>
        <v>#N/A</v>
      </c>
      <c r="AX149" s="674"/>
    </row>
    <row r="150" spans="2:50">
      <c r="B150" s="660"/>
      <c r="C150" s="304">
        <v>4</v>
      </c>
      <c r="D150" s="227"/>
      <c r="E150" s="182"/>
      <c r="F150" s="514"/>
      <c r="G150" s="515"/>
      <c r="H150" s="702"/>
      <c r="I150" s="199" t="e">
        <f t="shared" si="62"/>
        <v>#DIV/0!</v>
      </c>
      <c r="J150" s="199" t="e">
        <f t="shared" si="63"/>
        <v>#DIV/0!</v>
      </c>
      <c r="K150" s="200" t="e">
        <f t="shared" si="64"/>
        <v>#DIV/0!</v>
      </c>
      <c r="L150" s="634"/>
      <c r="M150" s="201" t="e">
        <f>RANK(K150, K$147:$K$176)</f>
        <v>#DIV/0!</v>
      </c>
      <c r="N150" s="652"/>
      <c r="O150" s="652"/>
      <c r="P150" s="182"/>
      <c r="Q150" s="182"/>
      <c r="R150" s="182"/>
      <c r="S150" s="304" t="e">
        <f t="shared" si="65"/>
        <v>#N/A</v>
      </c>
      <c r="T150" s="674"/>
      <c r="U150" s="182"/>
      <c r="V150" s="182"/>
      <c r="W150" s="182"/>
      <c r="X150" s="304" t="e">
        <f t="shared" si="66"/>
        <v>#N/A</v>
      </c>
      <c r="Y150" s="674"/>
      <c r="Z150" s="182"/>
      <c r="AA150" s="182"/>
      <c r="AB150" s="182"/>
      <c r="AC150" s="304" t="e">
        <f t="shared" si="67"/>
        <v>#N/A</v>
      </c>
      <c r="AD150" s="674"/>
      <c r="AE150" s="182"/>
      <c r="AF150" s="182"/>
      <c r="AG150" s="182"/>
      <c r="AH150" s="304" t="e">
        <f t="shared" si="68"/>
        <v>#N/A</v>
      </c>
      <c r="AI150" s="674"/>
      <c r="AJ150" s="182"/>
      <c r="AK150" s="182"/>
      <c r="AL150" s="182"/>
      <c r="AM150" s="304" t="e">
        <f t="shared" si="69"/>
        <v>#N/A</v>
      </c>
      <c r="AN150" s="674"/>
      <c r="AO150" s="182"/>
      <c r="AP150" s="182"/>
      <c r="AQ150" s="182"/>
      <c r="AR150" s="304" t="e">
        <f t="shared" si="70"/>
        <v>#N/A</v>
      </c>
      <c r="AS150" s="674"/>
      <c r="AT150" s="182"/>
      <c r="AU150" s="182"/>
      <c r="AV150" s="182"/>
      <c r="AW150" s="304" t="e">
        <f t="shared" si="71"/>
        <v>#N/A</v>
      </c>
      <c r="AX150" s="674"/>
    </row>
    <row r="151" spans="2:50">
      <c r="B151" s="660"/>
      <c r="C151" s="304">
        <v>5</v>
      </c>
      <c r="D151" s="227"/>
      <c r="E151" s="182"/>
      <c r="F151" s="514"/>
      <c r="G151" s="515"/>
      <c r="H151" s="702"/>
      <c r="I151" s="199" t="e">
        <f t="shared" si="62"/>
        <v>#DIV/0!</v>
      </c>
      <c r="J151" s="199" t="e">
        <f t="shared" si="63"/>
        <v>#DIV/0!</v>
      </c>
      <c r="K151" s="200" t="e">
        <f t="shared" si="64"/>
        <v>#DIV/0!</v>
      </c>
      <c r="L151" s="634"/>
      <c r="M151" s="201" t="e">
        <f>RANK(K151, K$147:$K$176)</f>
        <v>#DIV/0!</v>
      </c>
      <c r="N151" s="652"/>
      <c r="O151" s="652"/>
      <c r="P151" s="182"/>
      <c r="Q151" s="182"/>
      <c r="R151" s="182"/>
      <c r="S151" s="304" t="e">
        <f t="shared" si="65"/>
        <v>#N/A</v>
      </c>
      <c r="T151" s="674"/>
      <c r="U151" s="182"/>
      <c r="V151" s="182"/>
      <c r="W151" s="182"/>
      <c r="X151" s="304" t="e">
        <f t="shared" si="66"/>
        <v>#N/A</v>
      </c>
      <c r="Y151" s="674"/>
      <c r="Z151" s="182"/>
      <c r="AA151" s="182"/>
      <c r="AB151" s="182"/>
      <c r="AC151" s="304" t="e">
        <f t="shared" si="67"/>
        <v>#N/A</v>
      </c>
      <c r="AD151" s="674"/>
      <c r="AE151" s="182"/>
      <c r="AF151" s="182"/>
      <c r="AG151" s="182"/>
      <c r="AH151" s="304" t="e">
        <f t="shared" si="68"/>
        <v>#N/A</v>
      </c>
      <c r="AI151" s="674"/>
      <c r="AJ151" s="182"/>
      <c r="AK151" s="182"/>
      <c r="AL151" s="182"/>
      <c r="AM151" s="304" t="e">
        <f t="shared" si="69"/>
        <v>#N/A</v>
      </c>
      <c r="AN151" s="674"/>
      <c r="AO151" s="182"/>
      <c r="AP151" s="182"/>
      <c r="AQ151" s="182"/>
      <c r="AR151" s="304" t="e">
        <f t="shared" si="70"/>
        <v>#N/A</v>
      </c>
      <c r="AS151" s="674"/>
      <c r="AT151" s="182"/>
      <c r="AU151" s="182"/>
      <c r="AV151" s="182"/>
      <c r="AW151" s="304" t="e">
        <f t="shared" si="71"/>
        <v>#N/A</v>
      </c>
      <c r="AX151" s="674"/>
    </row>
    <row r="152" spans="2:50">
      <c r="B152" s="660"/>
      <c r="C152" s="304">
        <v>6</v>
      </c>
      <c r="D152" s="227"/>
      <c r="E152" s="182"/>
      <c r="F152" s="514"/>
      <c r="G152" s="515"/>
      <c r="H152" s="702"/>
      <c r="I152" s="199" t="e">
        <f t="shared" si="62"/>
        <v>#DIV/0!</v>
      </c>
      <c r="J152" s="199" t="e">
        <f t="shared" si="63"/>
        <v>#DIV/0!</v>
      </c>
      <c r="K152" s="200" t="e">
        <f t="shared" si="64"/>
        <v>#DIV/0!</v>
      </c>
      <c r="L152" s="634"/>
      <c r="M152" s="201" t="e">
        <f>RANK(K152, K$147:$K$176)</f>
        <v>#DIV/0!</v>
      </c>
      <c r="N152" s="652"/>
      <c r="O152" s="652"/>
      <c r="P152" s="182"/>
      <c r="Q152" s="182"/>
      <c r="R152" s="182"/>
      <c r="S152" s="304" t="e">
        <f t="shared" si="65"/>
        <v>#N/A</v>
      </c>
      <c r="T152" s="674"/>
      <c r="U152" s="182"/>
      <c r="V152" s="182"/>
      <c r="W152" s="182"/>
      <c r="X152" s="304" t="e">
        <f t="shared" si="66"/>
        <v>#N/A</v>
      </c>
      <c r="Y152" s="674"/>
      <c r="Z152" s="182"/>
      <c r="AA152" s="182"/>
      <c r="AB152" s="182"/>
      <c r="AC152" s="304" t="e">
        <f t="shared" si="67"/>
        <v>#N/A</v>
      </c>
      <c r="AD152" s="674"/>
      <c r="AE152" s="182"/>
      <c r="AF152" s="182"/>
      <c r="AG152" s="182"/>
      <c r="AH152" s="304" t="e">
        <f t="shared" si="68"/>
        <v>#N/A</v>
      </c>
      <c r="AI152" s="674"/>
      <c r="AJ152" s="182"/>
      <c r="AK152" s="182"/>
      <c r="AL152" s="182"/>
      <c r="AM152" s="304" t="e">
        <f t="shared" si="69"/>
        <v>#N/A</v>
      </c>
      <c r="AN152" s="674"/>
      <c r="AO152" s="182"/>
      <c r="AP152" s="182"/>
      <c r="AQ152" s="182"/>
      <c r="AR152" s="304" t="e">
        <f t="shared" si="70"/>
        <v>#N/A</v>
      </c>
      <c r="AS152" s="674"/>
      <c r="AT152" s="182"/>
      <c r="AU152" s="182"/>
      <c r="AV152" s="182"/>
      <c r="AW152" s="304" t="e">
        <f t="shared" si="71"/>
        <v>#N/A</v>
      </c>
      <c r="AX152" s="674"/>
    </row>
    <row r="153" spans="2:50">
      <c r="B153" s="660"/>
      <c r="C153" s="304">
        <v>7</v>
      </c>
      <c r="D153" s="227"/>
      <c r="E153" s="182"/>
      <c r="F153" s="514"/>
      <c r="G153" s="515"/>
      <c r="H153" s="702"/>
      <c r="I153" s="199" t="e">
        <f t="shared" si="62"/>
        <v>#DIV/0!</v>
      </c>
      <c r="J153" s="199" t="e">
        <f t="shared" si="63"/>
        <v>#DIV/0!</v>
      </c>
      <c r="K153" s="200" t="e">
        <f t="shared" si="64"/>
        <v>#DIV/0!</v>
      </c>
      <c r="L153" s="634"/>
      <c r="M153" s="201" t="e">
        <f>RANK(K153, K$147:$K$176)</f>
        <v>#DIV/0!</v>
      </c>
      <c r="N153" s="652"/>
      <c r="O153" s="652"/>
      <c r="P153" s="182"/>
      <c r="Q153" s="182"/>
      <c r="R153" s="182"/>
      <c r="S153" s="304" t="e">
        <f t="shared" si="65"/>
        <v>#N/A</v>
      </c>
      <c r="T153" s="674"/>
      <c r="U153" s="182"/>
      <c r="V153" s="182"/>
      <c r="W153" s="182"/>
      <c r="X153" s="304" t="e">
        <f t="shared" si="66"/>
        <v>#N/A</v>
      </c>
      <c r="Y153" s="674"/>
      <c r="Z153" s="182"/>
      <c r="AA153" s="182"/>
      <c r="AB153" s="182"/>
      <c r="AC153" s="304" t="e">
        <f t="shared" si="67"/>
        <v>#N/A</v>
      </c>
      <c r="AD153" s="674"/>
      <c r="AE153" s="182"/>
      <c r="AF153" s="182"/>
      <c r="AG153" s="182"/>
      <c r="AH153" s="304" t="e">
        <f t="shared" si="68"/>
        <v>#N/A</v>
      </c>
      <c r="AI153" s="674"/>
      <c r="AJ153" s="182"/>
      <c r="AK153" s="182"/>
      <c r="AL153" s="182"/>
      <c r="AM153" s="304" t="e">
        <f t="shared" si="69"/>
        <v>#N/A</v>
      </c>
      <c r="AN153" s="674"/>
      <c r="AO153" s="182"/>
      <c r="AP153" s="182"/>
      <c r="AQ153" s="182"/>
      <c r="AR153" s="304" t="e">
        <f t="shared" si="70"/>
        <v>#N/A</v>
      </c>
      <c r="AS153" s="674"/>
      <c r="AT153" s="182"/>
      <c r="AU153" s="182"/>
      <c r="AV153" s="182"/>
      <c r="AW153" s="304" t="e">
        <f t="shared" si="71"/>
        <v>#N/A</v>
      </c>
      <c r="AX153" s="674"/>
    </row>
    <row r="154" spans="2:50">
      <c r="B154" s="660"/>
      <c r="C154" s="304">
        <v>8</v>
      </c>
      <c r="D154" s="227"/>
      <c r="E154" s="182"/>
      <c r="F154" s="514"/>
      <c r="G154" s="515"/>
      <c r="H154" s="702"/>
      <c r="I154" s="199" t="e">
        <f t="shared" si="62"/>
        <v>#DIV/0!</v>
      </c>
      <c r="J154" s="199" t="e">
        <f t="shared" si="63"/>
        <v>#DIV/0!</v>
      </c>
      <c r="K154" s="200" t="e">
        <f t="shared" si="64"/>
        <v>#DIV/0!</v>
      </c>
      <c r="L154" s="634"/>
      <c r="M154" s="201" t="e">
        <f>RANK(K154, K$147:$K$176)</f>
        <v>#DIV/0!</v>
      </c>
      <c r="N154" s="652"/>
      <c r="O154" s="652"/>
      <c r="P154" s="182"/>
      <c r="Q154" s="182"/>
      <c r="R154" s="182"/>
      <c r="S154" s="304" t="e">
        <f t="shared" si="65"/>
        <v>#N/A</v>
      </c>
      <c r="T154" s="674"/>
      <c r="U154" s="182"/>
      <c r="V154" s="182"/>
      <c r="W154" s="182"/>
      <c r="X154" s="304" t="e">
        <f t="shared" si="66"/>
        <v>#N/A</v>
      </c>
      <c r="Y154" s="674"/>
      <c r="Z154" s="182"/>
      <c r="AA154" s="182"/>
      <c r="AB154" s="182"/>
      <c r="AC154" s="304" t="e">
        <f t="shared" si="67"/>
        <v>#N/A</v>
      </c>
      <c r="AD154" s="674"/>
      <c r="AE154" s="182"/>
      <c r="AF154" s="182"/>
      <c r="AG154" s="182"/>
      <c r="AH154" s="304" t="e">
        <f t="shared" si="68"/>
        <v>#N/A</v>
      </c>
      <c r="AI154" s="674"/>
      <c r="AJ154" s="182"/>
      <c r="AK154" s="182"/>
      <c r="AL154" s="182"/>
      <c r="AM154" s="304" t="e">
        <f t="shared" si="69"/>
        <v>#N/A</v>
      </c>
      <c r="AN154" s="674"/>
      <c r="AO154" s="182"/>
      <c r="AP154" s="182"/>
      <c r="AQ154" s="182"/>
      <c r="AR154" s="304" t="e">
        <f t="shared" si="70"/>
        <v>#N/A</v>
      </c>
      <c r="AS154" s="674"/>
      <c r="AT154" s="182"/>
      <c r="AU154" s="182"/>
      <c r="AV154" s="182"/>
      <c r="AW154" s="304" t="e">
        <f t="shared" si="71"/>
        <v>#N/A</v>
      </c>
      <c r="AX154" s="674"/>
    </row>
    <row r="155" spans="2:50">
      <c r="B155" s="660"/>
      <c r="C155" s="304">
        <v>9</v>
      </c>
      <c r="D155" s="227"/>
      <c r="E155" s="182"/>
      <c r="F155" s="514"/>
      <c r="G155" s="515"/>
      <c r="H155" s="702"/>
      <c r="I155" s="199" t="e">
        <f t="shared" si="62"/>
        <v>#DIV/0!</v>
      </c>
      <c r="J155" s="199" t="e">
        <f t="shared" si="63"/>
        <v>#DIV/0!</v>
      </c>
      <c r="K155" s="200" t="e">
        <f t="shared" si="64"/>
        <v>#DIV/0!</v>
      </c>
      <c r="L155" s="634"/>
      <c r="M155" s="201" t="e">
        <f>RANK(K155, K$147:$K$176)</f>
        <v>#DIV/0!</v>
      </c>
      <c r="N155" s="652"/>
      <c r="O155" s="652"/>
      <c r="P155" s="182"/>
      <c r="Q155" s="182"/>
      <c r="R155" s="182"/>
      <c r="S155" s="304" t="e">
        <f t="shared" si="65"/>
        <v>#N/A</v>
      </c>
      <c r="T155" s="674"/>
      <c r="U155" s="182"/>
      <c r="V155" s="182"/>
      <c r="W155" s="182"/>
      <c r="X155" s="304" t="e">
        <f t="shared" si="66"/>
        <v>#N/A</v>
      </c>
      <c r="Y155" s="674"/>
      <c r="Z155" s="182"/>
      <c r="AA155" s="182"/>
      <c r="AB155" s="182"/>
      <c r="AC155" s="304" t="e">
        <f t="shared" si="67"/>
        <v>#N/A</v>
      </c>
      <c r="AD155" s="674"/>
      <c r="AE155" s="182"/>
      <c r="AF155" s="182"/>
      <c r="AG155" s="182"/>
      <c r="AH155" s="304" t="e">
        <f t="shared" si="68"/>
        <v>#N/A</v>
      </c>
      <c r="AI155" s="674"/>
      <c r="AJ155" s="182"/>
      <c r="AK155" s="182"/>
      <c r="AL155" s="182"/>
      <c r="AM155" s="304" t="e">
        <f t="shared" si="69"/>
        <v>#N/A</v>
      </c>
      <c r="AN155" s="674"/>
      <c r="AO155" s="182"/>
      <c r="AP155" s="182"/>
      <c r="AQ155" s="182"/>
      <c r="AR155" s="304" t="e">
        <f t="shared" si="70"/>
        <v>#N/A</v>
      </c>
      <c r="AS155" s="674"/>
      <c r="AT155" s="182"/>
      <c r="AU155" s="182"/>
      <c r="AV155" s="182"/>
      <c r="AW155" s="304" t="e">
        <f t="shared" si="71"/>
        <v>#N/A</v>
      </c>
      <c r="AX155" s="674"/>
    </row>
    <row r="156" spans="2:50">
      <c r="B156" s="660"/>
      <c r="C156" s="304">
        <v>10</v>
      </c>
      <c r="D156" s="227"/>
      <c r="E156" s="182"/>
      <c r="F156" s="514"/>
      <c r="G156" s="515"/>
      <c r="H156" s="702"/>
      <c r="I156" s="199" t="e">
        <f t="shared" si="62"/>
        <v>#DIV/0!</v>
      </c>
      <c r="J156" s="199" t="e">
        <f t="shared" si="63"/>
        <v>#DIV/0!</v>
      </c>
      <c r="K156" s="200" t="e">
        <f t="shared" si="64"/>
        <v>#DIV/0!</v>
      </c>
      <c r="L156" s="634"/>
      <c r="M156" s="201" t="e">
        <f>RANK(K156, K$147:$K$176)</f>
        <v>#DIV/0!</v>
      </c>
      <c r="N156" s="652"/>
      <c r="O156" s="652"/>
      <c r="P156" s="182"/>
      <c r="Q156" s="182"/>
      <c r="R156" s="182"/>
      <c r="S156" s="304" t="e">
        <f t="shared" si="65"/>
        <v>#N/A</v>
      </c>
      <c r="T156" s="674"/>
      <c r="U156" s="182"/>
      <c r="V156" s="182"/>
      <c r="W156" s="182"/>
      <c r="X156" s="304" t="e">
        <f t="shared" si="66"/>
        <v>#N/A</v>
      </c>
      <c r="Y156" s="674"/>
      <c r="Z156" s="182"/>
      <c r="AA156" s="182"/>
      <c r="AB156" s="182"/>
      <c r="AC156" s="304" t="e">
        <f t="shared" si="67"/>
        <v>#N/A</v>
      </c>
      <c r="AD156" s="674"/>
      <c r="AE156" s="182"/>
      <c r="AF156" s="182"/>
      <c r="AG156" s="182"/>
      <c r="AH156" s="304" t="e">
        <f t="shared" si="68"/>
        <v>#N/A</v>
      </c>
      <c r="AI156" s="674"/>
      <c r="AJ156" s="182"/>
      <c r="AK156" s="182"/>
      <c r="AL156" s="182"/>
      <c r="AM156" s="304" t="e">
        <f t="shared" si="69"/>
        <v>#N/A</v>
      </c>
      <c r="AN156" s="674"/>
      <c r="AO156" s="182"/>
      <c r="AP156" s="182"/>
      <c r="AQ156" s="182"/>
      <c r="AR156" s="304" t="e">
        <f t="shared" si="70"/>
        <v>#N/A</v>
      </c>
      <c r="AS156" s="674"/>
      <c r="AT156" s="182"/>
      <c r="AU156" s="182"/>
      <c r="AV156" s="182"/>
      <c r="AW156" s="304" t="e">
        <f t="shared" si="71"/>
        <v>#N/A</v>
      </c>
      <c r="AX156" s="674"/>
    </row>
    <row r="157" spans="2:50">
      <c r="B157" s="660"/>
      <c r="C157" s="304">
        <v>11</v>
      </c>
      <c r="D157" s="227"/>
      <c r="E157" s="182"/>
      <c r="F157" s="514"/>
      <c r="G157" s="515"/>
      <c r="H157" s="702"/>
      <c r="I157" s="199" t="e">
        <f t="shared" si="62"/>
        <v>#DIV/0!</v>
      </c>
      <c r="J157" s="199" t="e">
        <f t="shared" si="63"/>
        <v>#DIV/0!</v>
      </c>
      <c r="K157" s="200" t="e">
        <f t="shared" si="64"/>
        <v>#DIV/0!</v>
      </c>
      <c r="L157" s="634"/>
      <c r="M157" s="201" t="e">
        <f>RANK(K157, K$147:$K$176)</f>
        <v>#DIV/0!</v>
      </c>
      <c r="N157" s="652"/>
      <c r="O157" s="652"/>
      <c r="P157" s="182"/>
      <c r="Q157" s="182"/>
      <c r="R157" s="182"/>
      <c r="S157" s="304" t="e">
        <f t="shared" si="65"/>
        <v>#N/A</v>
      </c>
      <c r="T157" s="674"/>
      <c r="U157" s="182"/>
      <c r="V157" s="182"/>
      <c r="W157" s="182"/>
      <c r="X157" s="304" t="e">
        <f t="shared" si="66"/>
        <v>#N/A</v>
      </c>
      <c r="Y157" s="674"/>
      <c r="Z157" s="182"/>
      <c r="AA157" s="182"/>
      <c r="AB157" s="182"/>
      <c r="AC157" s="304" t="e">
        <f t="shared" si="67"/>
        <v>#N/A</v>
      </c>
      <c r="AD157" s="674"/>
      <c r="AE157" s="182"/>
      <c r="AF157" s="182"/>
      <c r="AG157" s="182"/>
      <c r="AH157" s="304" t="e">
        <f t="shared" si="68"/>
        <v>#N/A</v>
      </c>
      <c r="AI157" s="674"/>
      <c r="AJ157" s="182"/>
      <c r="AK157" s="182"/>
      <c r="AL157" s="182"/>
      <c r="AM157" s="304" t="e">
        <f t="shared" si="69"/>
        <v>#N/A</v>
      </c>
      <c r="AN157" s="674"/>
      <c r="AO157" s="182"/>
      <c r="AP157" s="182"/>
      <c r="AQ157" s="182"/>
      <c r="AR157" s="304" t="e">
        <f t="shared" si="70"/>
        <v>#N/A</v>
      </c>
      <c r="AS157" s="674"/>
      <c r="AT157" s="182"/>
      <c r="AU157" s="182"/>
      <c r="AV157" s="182"/>
      <c r="AW157" s="304" t="e">
        <f t="shared" si="71"/>
        <v>#N/A</v>
      </c>
      <c r="AX157" s="674"/>
    </row>
    <row r="158" spans="2:50">
      <c r="B158" s="660"/>
      <c r="C158" s="304">
        <v>12</v>
      </c>
      <c r="D158" s="227"/>
      <c r="E158" s="182"/>
      <c r="F158" s="514"/>
      <c r="G158" s="515"/>
      <c r="H158" s="702"/>
      <c r="I158" s="199" t="e">
        <f t="shared" si="62"/>
        <v>#DIV/0!</v>
      </c>
      <c r="J158" s="199" t="e">
        <f t="shared" si="63"/>
        <v>#DIV/0!</v>
      </c>
      <c r="K158" s="200" t="e">
        <f t="shared" si="64"/>
        <v>#DIV/0!</v>
      </c>
      <c r="L158" s="634"/>
      <c r="M158" s="201" t="e">
        <f>RANK(K158, K$147:$K$176)</f>
        <v>#DIV/0!</v>
      </c>
      <c r="N158" s="652"/>
      <c r="O158" s="652"/>
      <c r="P158" s="182"/>
      <c r="Q158" s="182"/>
      <c r="R158" s="182"/>
      <c r="S158" s="304" t="e">
        <f t="shared" si="65"/>
        <v>#N/A</v>
      </c>
      <c r="T158" s="674"/>
      <c r="U158" s="182"/>
      <c r="V158" s="182"/>
      <c r="W158" s="182"/>
      <c r="X158" s="304" t="e">
        <f t="shared" si="66"/>
        <v>#N/A</v>
      </c>
      <c r="Y158" s="674"/>
      <c r="Z158" s="182"/>
      <c r="AA158" s="182"/>
      <c r="AB158" s="182"/>
      <c r="AC158" s="304" t="e">
        <f t="shared" si="67"/>
        <v>#N/A</v>
      </c>
      <c r="AD158" s="674"/>
      <c r="AE158" s="182"/>
      <c r="AF158" s="182"/>
      <c r="AG158" s="182"/>
      <c r="AH158" s="304" t="e">
        <f t="shared" si="68"/>
        <v>#N/A</v>
      </c>
      <c r="AI158" s="674"/>
      <c r="AJ158" s="182"/>
      <c r="AK158" s="182"/>
      <c r="AL158" s="182"/>
      <c r="AM158" s="304" t="e">
        <f t="shared" si="69"/>
        <v>#N/A</v>
      </c>
      <c r="AN158" s="674"/>
      <c r="AO158" s="182"/>
      <c r="AP158" s="182"/>
      <c r="AQ158" s="182"/>
      <c r="AR158" s="304" t="e">
        <f t="shared" si="70"/>
        <v>#N/A</v>
      </c>
      <c r="AS158" s="674"/>
      <c r="AT158" s="182"/>
      <c r="AU158" s="182"/>
      <c r="AV158" s="182"/>
      <c r="AW158" s="304" t="e">
        <f t="shared" si="71"/>
        <v>#N/A</v>
      </c>
      <c r="AX158" s="674"/>
    </row>
    <row r="159" spans="2:50">
      <c r="B159" s="660"/>
      <c r="C159" s="304">
        <v>13</v>
      </c>
      <c r="D159" s="227"/>
      <c r="E159" s="182"/>
      <c r="F159" s="514"/>
      <c r="G159" s="515"/>
      <c r="H159" s="702"/>
      <c r="I159" s="199" t="e">
        <f t="shared" si="62"/>
        <v>#DIV/0!</v>
      </c>
      <c r="J159" s="199" t="e">
        <f t="shared" si="63"/>
        <v>#DIV/0!</v>
      </c>
      <c r="K159" s="200" t="e">
        <f t="shared" si="64"/>
        <v>#DIV/0!</v>
      </c>
      <c r="L159" s="634"/>
      <c r="M159" s="201" t="e">
        <f>RANK(K159, K$147:$K$176)</f>
        <v>#DIV/0!</v>
      </c>
      <c r="N159" s="652"/>
      <c r="O159" s="652"/>
      <c r="P159" s="182"/>
      <c r="Q159" s="182"/>
      <c r="R159" s="182"/>
      <c r="S159" s="304" t="e">
        <f t="shared" si="65"/>
        <v>#N/A</v>
      </c>
      <c r="T159" s="674"/>
      <c r="U159" s="182"/>
      <c r="V159" s="182"/>
      <c r="W159" s="182"/>
      <c r="X159" s="304" t="e">
        <f t="shared" si="66"/>
        <v>#N/A</v>
      </c>
      <c r="Y159" s="674"/>
      <c r="Z159" s="182"/>
      <c r="AA159" s="182"/>
      <c r="AB159" s="182"/>
      <c r="AC159" s="304" t="e">
        <f t="shared" si="67"/>
        <v>#N/A</v>
      </c>
      <c r="AD159" s="674"/>
      <c r="AE159" s="182"/>
      <c r="AF159" s="182"/>
      <c r="AG159" s="182"/>
      <c r="AH159" s="304" t="e">
        <f t="shared" si="68"/>
        <v>#N/A</v>
      </c>
      <c r="AI159" s="674"/>
      <c r="AJ159" s="182"/>
      <c r="AK159" s="182"/>
      <c r="AL159" s="182"/>
      <c r="AM159" s="304" t="e">
        <f t="shared" si="69"/>
        <v>#N/A</v>
      </c>
      <c r="AN159" s="674"/>
      <c r="AO159" s="182"/>
      <c r="AP159" s="182"/>
      <c r="AQ159" s="182"/>
      <c r="AR159" s="304" t="e">
        <f t="shared" si="70"/>
        <v>#N/A</v>
      </c>
      <c r="AS159" s="674"/>
      <c r="AT159" s="182"/>
      <c r="AU159" s="182"/>
      <c r="AV159" s="182"/>
      <c r="AW159" s="304" t="e">
        <f t="shared" si="71"/>
        <v>#N/A</v>
      </c>
      <c r="AX159" s="674"/>
    </row>
    <row r="160" spans="2:50">
      <c r="B160" s="660"/>
      <c r="C160" s="304">
        <v>14</v>
      </c>
      <c r="D160" s="227"/>
      <c r="E160" s="182"/>
      <c r="F160" s="514"/>
      <c r="G160" s="515"/>
      <c r="H160" s="702"/>
      <c r="I160" s="199" t="e">
        <f t="shared" si="62"/>
        <v>#DIV/0!</v>
      </c>
      <c r="J160" s="199" t="e">
        <f t="shared" si="63"/>
        <v>#DIV/0!</v>
      </c>
      <c r="K160" s="200" t="e">
        <f t="shared" si="64"/>
        <v>#DIV/0!</v>
      </c>
      <c r="L160" s="634"/>
      <c r="M160" s="201" t="e">
        <f>RANK(K160, K$147:$K$176)</f>
        <v>#DIV/0!</v>
      </c>
      <c r="N160" s="652"/>
      <c r="O160" s="652"/>
      <c r="P160" s="182"/>
      <c r="Q160" s="182"/>
      <c r="R160" s="182"/>
      <c r="S160" s="304" t="e">
        <f t="shared" si="65"/>
        <v>#N/A</v>
      </c>
      <c r="T160" s="674"/>
      <c r="U160" s="182"/>
      <c r="V160" s="182"/>
      <c r="W160" s="182"/>
      <c r="X160" s="304" t="e">
        <f t="shared" si="66"/>
        <v>#N/A</v>
      </c>
      <c r="Y160" s="674"/>
      <c r="Z160" s="182"/>
      <c r="AA160" s="182"/>
      <c r="AB160" s="182"/>
      <c r="AC160" s="304" t="e">
        <f t="shared" si="67"/>
        <v>#N/A</v>
      </c>
      <c r="AD160" s="674"/>
      <c r="AE160" s="182"/>
      <c r="AF160" s="182"/>
      <c r="AG160" s="182"/>
      <c r="AH160" s="304" t="e">
        <f t="shared" si="68"/>
        <v>#N/A</v>
      </c>
      <c r="AI160" s="674"/>
      <c r="AJ160" s="182"/>
      <c r="AK160" s="182"/>
      <c r="AL160" s="182"/>
      <c r="AM160" s="304" t="e">
        <f t="shared" si="69"/>
        <v>#N/A</v>
      </c>
      <c r="AN160" s="674"/>
      <c r="AO160" s="182"/>
      <c r="AP160" s="182"/>
      <c r="AQ160" s="182"/>
      <c r="AR160" s="304" t="e">
        <f t="shared" si="70"/>
        <v>#N/A</v>
      </c>
      <c r="AS160" s="674"/>
      <c r="AT160" s="182"/>
      <c r="AU160" s="182"/>
      <c r="AV160" s="182"/>
      <c r="AW160" s="304" t="e">
        <f t="shared" si="71"/>
        <v>#N/A</v>
      </c>
      <c r="AX160" s="674"/>
    </row>
    <row r="161" spans="2:50">
      <c r="B161" s="660"/>
      <c r="C161" s="304">
        <v>15</v>
      </c>
      <c r="D161" s="227"/>
      <c r="E161" s="182"/>
      <c r="F161" s="514"/>
      <c r="G161" s="515"/>
      <c r="H161" s="702"/>
      <c r="I161" s="199" t="e">
        <f t="shared" si="62"/>
        <v>#DIV/0!</v>
      </c>
      <c r="J161" s="199" t="e">
        <f t="shared" si="63"/>
        <v>#DIV/0!</v>
      </c>
      <c r="K161" s="200" t="e">
        <f t="shared" si="64"/>
        <v>#DIV/0!</v>
      </c>
      <c r="L161" s="634"/>
      <c r="M161" s="199" t="e">
        <f>RANK(K161, K$147:$K$176)</f>
        <v>#DIV/0!</v>
      </c>
      <c r="N161" s="652"/>
      <c r="O161" s="652"/>
      <c r="P161" s="182"/>
      <c r="Q161" s="182"/>
      <c r="R161" s="182"/>
      <c r="S161" s="304" t="e">
        <f t="shared" ref="S161:S175" si="72">RANK(R161, R$147:R$176)</f>
        <v>#N/A</v>
      </c>
      <c r="T161" s="674"/>
      <c r="U161" s="182"/>
      <c r="V161" s="182"/>
      <c r="W161" s="182"/>
      <c r="X161" s="304" t="e">
        <f t="shared" ref="X161:X175" si="73">RANK(W161, W$147:W$176)</f>
        <v>#N/A</v>
      </c>
      <c r="Y161" s="674"/>
      <c r="Z161" s="182"/>
      <c r="AA161" s="182"/>
      <c r="AB161" s="182"/>
      <c r="AC161" s="304" t="e">
        <f t="shared" ref="AC161:AC175" si="74">RANK(AB161, AB$147:AB$176)</f>
        <v>#N/A</v>
      </c>
      <c r="AD161" s="674"/>
      <c r="AE161" s="182"/>
      <c r="AF161" s="182"/>
      <c r="AG161" s="182"/>
      <c r="AH161" s="304" t="e">
        <f t="shared" ref="AH161:AH175" si="75">RANK(AG161, AG$147:AG$176)</f>
        <v>#N/A</v>
      </c>
      <c r="AI161" s="674"/>
      <c r="AJ161" s="182"/>
      <c r="AK161" s="182"/>
      <c r="AL161" s="182"/>
      <c r="AM161" s="304" t="e">
        <f t="shared" ref="AM161:AM175" si="76">RANK(AL161, AL$147:AL$176)</f>
        <v>#N/A</v>
      </c>
      <c r="AN161" s="674"/>
      <c r="AO161" s="182"/>
      <c r="AP161" s="182"/>
      <c r="AQ161" s="182"/>
      <c r="AR161" s="304" t="e">
        <f t="shared" ref="AR161:AR175" si="77">RANK(AQ161, AQ$147:AQ$176)</f>
        <v>#N/A</v>
      </c>
      <c r="AS161" s="674"/>
      <c r="AT161" s="182"/>
      <c r="AU161" s="182"/>
      <c r="AV161" s="182"/>
      <c r="AW161" s="304" t="e">
        <f t="shared" ref="AW161:AW175" si="78">RANK(AV161, AV$147:AV$176)</f>
        <v>#N/A</v>
      </c>
      <c r="AX161" s="674"/>
    </row>
    <row r="162" spans="2:50">
      <c r="B162" s="660"/>
      <c r="C162" s="304">
        <v>16</v>
      </c>
      <c r="D162" s="227"/>
      <c r="E162" s="182"/>
      <c r="F162" s="514"/>
      <c r="G162" s="515"/>
      <c r="H162" s="702"/>
      <c r="I162" s="199" t="e">
        <f t="shared" si="62"/>
        <v>#DIV/0!</v>
      </c>
      <c r="J162" s="199" t="e">
        <f t="shared" si="63"/>
        <v>#DIV/0!</v>
      </c>
      <c r="K162" s="200" t="e">
        <f t="shared" si="64"/>
        <v>#DIV/0!</v>
      </c>
      <c r="L162" s="634"/>
      <c r="M162" s="199" t="e">
        <f>RANK(K162, K$147:$K$176)</f>
        <v>#DIV/0!</v>
      </c>
      <c r="N162" s="652"/>
      <c r="O162" s="652"/>
      <c r="P162" s="182"/>
      <c r="Q162" s="182"/>
      <c r="R162" s="182"/>
      <c r="S162" s="304" t="e">
        <f t="shared" si="72"/>
        <v>#N/A</v>
      </c>
      <c r="T162" s="674"/>
      <c r="U162" s="182"/>
      <c r="V162" s="182"/>
      <c r="W162" s="182"/>
      <c r="X162" s="304" t="e">
        <f t="shared" si="73"/>
        <v>#N/A</v>
      </c>
      <c r="Y162" s="674"/>
      <c r="Z162" s="182"/>
      <c r="AA162" s="182"/>
      <c r="AB162" s="182"/>
      <c r="AC162" s="304" t="e">
        <f t="shared" si="74"/>
        <v>#N/A</v>
      </c>
      <c r="AD162" s="674"/>
      <c r="AE162" s="182"/>
      <c r="AF162" s="182"/>
      <c r="AG162" s="182"/>
      <c r="AH162" s="304" t="e">
        <f t="shared" si="75"/>
        <v>#N/A</v>
      </c>
      <c r="AI162" s="674"/>
      <c r="AJ162" s="182"/>
      <c r="AK162" s="182"/>
      <c r="AL162" s="182"/>
      <c r="AM162" s="304" t="e">
        <f t="shared" si="76"/>
        <v>#N/A</v>
      </c>
      <c r="AN162" s="674"/>
      <c r="AO162" s="182"/>
      <c r="AP162" s="182"/>
      <c r="AQ162" s="182"/>
      <c r="AR162" s="304" t="e">
        <f t="shared" si="77"/>
        <v>#N/A</v>
      </c>
      <c r="AS162" s="674"/>
      <c r="AT162" s="182"/>
      <c r="AU162" s="182"/>
      <c r="AV162" s="182"/>
      <c r="AW162" s="304" t="e">
        <f t="shared" si="78"/>
        <v>#N/A</v>
      </c>
      <c r="AX162" s="674"/>
    </row>
    <row r="163" spans="2:50">
      <c r="B163" s="660"/>
      <c r="C163" s="304">
        <v>17</v>
      </c>
      <c r="D163" s="227"/>
      <c r="E163" s="182"/>
      <c r="F163" s="514"/>
      <c r="G163" s="515"/>
      <c r="H163" s="702"/>
      <c r="I163" s="199" t="e">
        <f t="shared" si="62"/>
        <v>#DIV/0!</v>
      </c>
      <c r="J163" s="199" t="e">
        <f t="shared" si="63"/>
        <v>#DIV/0!</v>
      </c>
      <c r="K163" s="200" t="e">
        <f t="shared" si="64"/>
        <v>#DIV/0!</v>
      </c>
      <c r="L163" s="634"/>
      <c r="M163" s="199" t="e">
        <f>RANK(K163, K$147:$K$176)</f>
        <v>#DIV/0!</v>
      </c>
      <c r="N163" s="652"/>
      <c r="O163" s="652"/>
      <c r="P163" s="182"/>
      <c r="Q163" s="182"/>
      <c r="R163" s="182"/>
      <c r="S163" s="304" t="e">
        <f t="shared" si="72"/>
        <v>#N/A</v>
      </c>
      <c r="T163" s="674"/>
      <c r="U163" s="182"/>
      <c r="V163" s="182"/>
      <c r="W163" s="182"/>
      <c r="X163" s="304" t="e">
        <f t="shared" si="73"/>
        <v>#N/A</v>
      </c>
      <c r="Y163" s="674"/>
      <c r="Z163" s="182"/>
      <c r="AA163" s="182"/>
      <c r="AB163" s="182"/>
      <c r="AC163" s="304" t="e">
        <f t="shared" si="74"/>
        <v>#N/A</v>
      </c>
      <c r="AD163" s="674"/>
      <c r="AE163" s="182"/>
      <c r="AF163" s="182"/>
      <c r="AG163" s="182"/>
      <c r="AH163" s="304" t="e">
        <f t="shared" si="75"/>
        <v>#N/A</v>
      </c>
      <c r="AI163" s="674"/>
      <c r="AJ163" s="182"/>
      <c r="AK163" s="182"/>
      <c r="AL163" s="182"/>
      <c r="AM163" s="304" t="e">
        <f t="shared" si="76"/>
        <v>#N/A</v>
      </c>
      <c r="AN163" s="674"/>
      <c r="AO163" s="182"/>
      <c r="AP163" s="182"/>
      <c r="AQ163" s="182"/>
      <c r="AR163" s="304" t="e">
        <f t="shared" si="77"/>
        <v>#N/A</v>
      </c>
      <c r="AS163" s="674"/>
      <c r="AT163" s="182"/>
      <c r="AU163" s="182"/>
      <c r="AV163" s="182"/>
      <c r="AW163" s="304" t="e">
        <f t="shared" si="78"/>
        <v>#N/A</v>
      </c>
      <c r="AX163" s="674"/>
    </row>
    <row r="164" spans="2:50">
      <c r="B164" s="660"/>
      <c r="C164" s="304">
        <v>18</v>
      </c>
      <c r="D164" s="227"/>
      <c r="E164" s="182"/>
      <c r="F164" s="514"/>
      <c r="G164" s="515"/>
      <c r="H164" s="702"/>
      <c r="I164" s="199" t="e">
        <f t="shared" si="62"/>
        <v>#DIV/0!</v>
      </c>
      <c r="J164" s="199" t="e">
        <f t="shared" si="63"/>
        <v>#DIV/0!</v>
      </c>
      <c r="K164" s="200" t="e">
        <f t="shared" si="64"/>
        <v>#DIV/0!</v>
      </c>
      <c r="L164" s="634"/>
      <c r="M164" s="199" t="e">
        <f>RANK(K164, K$147:$K$176)</f>
        <v>#DIV/0!</v>
      </c>
      <c r="N164" s="652"/>
      <c r="O164" s="652"/>
      <c r="P164" s="182"/>
      <c r="Q164" s="182"/>
      <c r="R164" s="182"/>
      <c r="S164" s="304" t="e">
        <f t="shared" si="72"/>
        <v>#N/A</v>
      </c>
      <c r="T164" s="674"/>
      <c r="U164" s="182"/>
      <c r="V164" s="182"/>
      <c r="W164" s="182"/>
      <c r="X164" s="304" t="e">
        <f t="shared" si="73"/>
        <v>#N/A</v>
      </c>
      <c r="Y164" s="674"/>
      <c r="Z164" s="182"/>
      <c r="AA164" s="182"/>
      <c r="AB164" s="182"/>
      <c r="AC164" s="304" t="e">
        <f t="shared" si="74"/>
        <v>#N/A</v>
      </c>
      <c r="AD164" s="674"/>
      <c r="AE164" s="182"/>
      <c r="AF164" s="182"/>
      <c r="AG164" s="182"/>
      <c r="AH164" s="304" t="e">
        <f t="shared" si="75"/>
        <v>#N/A</v>
      </c>
      <c r="AI164" s="674"/>
      <c r="AJ164" s="182"/>
      <c r="AK164" s="182"/>
      <c r="AL164" s="182"/>
      <c r="AM164" s="304" t="e">
        <f t="shared" si="76"/>
        <v>#N/A</v>
      </c>
      <c r="AN164" s="674"/>
      <c r="AO164" s="182"/>
      <c r="AP164" s="182"/>
      <c r="AQ164" s="182"/>
      <c r="AR164" s="304" t="e">
        <f t="shared" si="77"/>
        <v>#N/A</v>
      </c>
      <c r="AS164" s="674"/>
      <c r="AT164" s="182"/>
      <c r="AU164" s="182"/>
      <c r="AV164" s="182"/>
      <c r="AW164" s="304" t="e">
        <f t="shared" si="78"/>
        <v>#N/A</v>
      </c>
      <c r="AX164" s="674"/>
    </row>
    <row r="165" spans="2:50">
      <c r="B165" s="660"/>
      <c r="C165" s="304">
        <v>19</v>
      </c>
      <c r="D165" s="227"/>
      <c r="E165" s="182"/>
      <c r="F165" s="514"/>
      <c r="G165" s="515"/>
      <c r="H165" s="702"/>
      <c r="I165" s="199" t="e">
        <f t="shared" si="62"/>
        <v>#DIV/0!</v>
      </c>
      <c r="J165" s="199" t="e">
        <f t="shared" si="63"/>
        <v>#DIV/0!</v>
      </c>
      <c r="K165" s="200" t="e">
        <f t="shared" si="64"/>
        <v>#DIV/0!</v>
      </c>
      <c r="L165" s="634"/>
      <c r="M165" s="199" t="e">
        <f>RANK(K165, K$147:$K$176)</f>
        <v>#DIV/0!</v>
      </c>
      <c r="N165" s="652"/>
      <c r="O165" s="652"/>
      <c r="P165" s="182"/>
      <c r="Q165" s="182"/>
      <c r="R165" s="182"/>
      <c r="S165" s="304" t="e">
        <f t="shared" si="72"/>
        <v>#N/A</v>
      </c>
      <c r="T165" s="674"/>
      <c r="U165" s="182"/>
      <c r="V165" s="182"/>
      <c r="W165" s="182"/>
      <c r="X165" s="304" t="e">
        <f t="shared" si="73"/>
        <v>#N/A</v>
      </c>
      <c r="Y165" s="674"/>
      <c r="Z165" s="182"/>
      <c r="AA165" s="182"/>
      <c r="AB165" s="182"/>
      <c r="AC165" s="304" t="e">
        <f t="shared" si="74"/>
        <v>#N/A</v>
      </c>
      <c r="AD165" s="674"/>
      <c r="AE165" s="182"/>
      <c r="AF165" s="182"/>
      <c r="AG165" s="182"/>
      <c r="AH165" s="304" t="e">
        <f t="shared" si="75"/>
        <v>#N/A</v>
      </c>
      <c r="AI165" s="674"/>
      <c r="AJ165" s="182"/>
      <c r="AK165" s="182"/>
      <c r="AL165" s="182"/>
      <c r="AM165" s="304" t="e">
        <f t="shared" si="76"/>
        <v>#N/A</v>
      </c>
      <c r="AN165" s="674"/>
      <c r="AO165" s="182"/>
      <c r="AP165" s="182"/>
      <c r="AQ165" s="182"/>
      <c r="AR165" s="304" t="e">
        <f t="shared" si="77"/>
        <v>#N/A</v>
      </c>
      <c r="AS165" s="674"/>
      <c r="AT165" s="182"/>
      <c r="AU165" s="182"/>
      <c r="AV165" s="182"/>
      <c r="AW165" s="304" t="e">
        <f t="shared" si="78"/>
        <v>#N/A</v>
      </c>
      <c r="AX165" s="674"/>
    </row>
    <row r="166" spans="2:50">
      <c r="B166" s="660"/>
      <c r="C166" s="304">
        <v>20</v>
      </c>
      <c r="D166" s="227"/>
      <c r="E166" s="182"/>
      <c r="F166" s="514"/>
      <c r="G166" s="515"/>
      <c r="H166" s="702"/>
      <c r="I166" s="199" t="e">
        <f t="shared" si="62"/>
        <v>#DIV/0!</v>
      </c>
      <c r="J166" s="199" t="e">
        <f t="shared" si="63"/>
        <v>#DIV/0!</v>
      </c>
      <c r="K166" s="200" t="e">
        <f t="shared" si="64"/>
        <v>#DIV/0!</v>
      </c>
      <c r="L166" s="634"/>
      <c r="M166" s="199" t="e">
        <f>RANK(K166, K$147:$K$176)</f>
        <v>#DIV/0!</v>
      </c>
      <c r="N166" s="652"/>
      <c r="O166" s="652"/>
      <c r="P166" s="182"/>
      <c r="Q166" s="182"/>
      <c r="R166" s="182"/>
      <c r="S166" s="304" t="e">
        <f t="shared" si="72"/>
        <v>#N/A</v>
      </c>
      <c r="T166" s="674"/>
      <c r="U166" s="182"/>
      <c r="V166" s="182"/>
      <c r="W166" s="182"/>
      <c r="X166" s="304" t="e">
        <f t="shared" si="73"/>
        <v>#N/A</v>
      </c>
      <c r="Y166" s="674"/>
      <c r="Z166" s="182"/>
      <c r="AA166" s="182"/>
      <c r="AB166" s="182"/>
      <c r="AC166" s="304" t="e">
        <f t="shared" si="74"/>
        <v>#N/A</v>
      </c>
      <c r="AD166" s="674"/>
      <c r="AE166" s="182"/>
      <c r="AF166" s="182"/>
      <c r="AG166" s="182"/>
      <c r="AH166" s="304" t="e">
        <f t="shared" si="75"/>
        <v>#N/A</v>
      </c>
      <c r="AI166" s="674"/>
      <c r="AJ166" s="182"/>
      <c r="AK166" s="182"/>
      <c r="AL166" s="182"/>
      <c r="AM166" s="304" t="e">
        <f t="shared" si="76"/>
        <v>#N/A</v>
      </c>
      <c r="AN166" s="674"/>
      <c r="AO166" s="182"/>
      <c r="AP166" s="182"/>
      <c r="AQ166" s="182"/>
      <c r="AR166" s="304" t="e">
        <f t="shared" si="77"/>
        <v>#N/A</v>
      </c>
      <c r="AS166" s="674"/>
      <c r="AT166" s="182"/>
      <c r="AU166" s="182"/>
      <c r="AV166" s="182"/>
      <c r="AW166" s="304" t="e">
        <f t="shared" si="78"/>
        <v>#N/A</v>
      </c>
      <c r="AX166" s="674"/>
    </row>
    <row r="167" spans="2:50">
      <c r="B167" s="660"/>
      <c r="C167" s="304">
        <v>21</v>
      </c>
      <c r="D167" s="227"/>
      <c r="E167" s="182"/>
      <c r="F167" s="514"/>
      <c r="G167" s="515"/>
      <c r="H167" s="702"/>
      <c r="I167" s="199" t="e">
        <f t="shared" si="62"/>
        <v>#DIV/0!</v>
      </c>
      <c r="J167" s="199" t="e">
        <f t="shared" si="63"/>
        <v>#DIV/0!</v>
      </c>
      <c r="K167" s="200" t="e">
        <f t="shared" si="64"/>
        <v>#DIV/0!</v>
      </c>
      <c r="L167" s="634"/>
      <c r="M167" s="199" t="e">
        <f>RANK(K167, K$147:$K$176)</f>
        <v>#DIV/0!</v>
      </c>
      <c r="N167" s="652"/>
      <c r="O167" s="652"/>
      <c r="P167" s="182"/>
      <c r="Q167" s="182"/>
      <c r="R167" s="182"/>
      <c r="S167" s="304" t="e">
        <f t="shared" si="72"/>
        <v>#N/A</v>
      </c>
      <c r="T167" s="674"/>
      <c r="U167" s="182"/>
      <c r="V167" s="182"/>
      <c r="W167" s="182"/>
      <c r="X167" s="304" t="e">
        <f t="shared" si="73"/>
        <v>#N/A</v>
      </c>
      <c r="Y167" s="674"/>
      <c r="Z167" s="182"/>
      <c r="AA167" s="182"/>
      <c r="AB167" s="182"/>
      <c r="AC167" s="304" t="e">
        <f t="shared" si="74"/>
        <v>#N/A</v>
      </c>
      <c r="AD167" s="674"/>
      <c r="AE167" s="182"/>
      <c r="AF167" s="182"/>
      <c r="AG167" s="182"/>
      <c r="AH167" s="304" t="e">
        <f t="shared" si="75"/>
        <v>#N/A</v>
      </c>
      <c r="AI167" s="674"/>
      <c r="AJ167" s="182"/>
      <c r="AK167" s="182"/>
      <c r="AL167" s="182"/>
      <c r="AM167" s="304" t="e">
        <f t="shared" si="76"/>
        <v>#N/A</v>
      </c>
      <c r="AN167" s="674"/>
      <c r="AO167" s="182"/>
      <c r="AP167" s="182"/>
      <c r="AQ167" s="182"/>
      <c r="AR167" s="304" t="e">
        <f t="shared" si="77"/>
        <v>#N/A</v>
      </c>
      <c r="AS167" s="674"/>
      <c r="AT167" s="182"/>
      <c r="AU167" s="182"/>
      <c r="AV167" s="182"/>
      <c r="AW167" s="304" t="e">
        <f t="shared" si="78"/>
        <v>#N/A</v>
      </c>
      <c r="AX167" s="674"/>
    </row>
    <row r="168" spans="2:50">
      <c r="B168" s="660"/>
      <c r="C168" s="304">
        <v>22</v>
      </c>
      <c r="D168" s="227"/>
      <c r="E168" s="182"/>
      <c r="F168" s="514"/>
      <c r="G168" s="515"/>
      <c r="H168" s="702"/>
      <c r="I168" s="199" t="e">
        <f t="shared" si="62"/>
        <v>#DIV/0!</v>
      </c>
      <c r="J168" s="199" t="e">
        <f t="shared" si="63"/>
        <v>#DIV/0!</v>
      </c>
      <c r="K168" s="200" t="e">
        <f t="shared" si="64"/>
        <v>#DIV/0!</v>
      </c>
      <c r="L168" s="634"/>
      <c r="M168" s="199" t="e">
        <f>RANK(K168, K$147:$K$176)</f>
        <v>#DIV/0!</v>
      </c>
      <c r="N168" s="652"/>
      <c r="O168" s="652"/>
      <c r="P168" s="182"/>
      <c r="Q168" s="182"/>
      <c r="R168" s="182"/>
      <c r="S168" s="304" t="e">
        <f t="shared" si="72"/>
        <v>#N/A</v>
      </c>
      <c r="T168" s="674"/>
      <c r="U168" s="182"/>
      <c r="V168" s="182"/>
      <c r="W168" s="182"/>
      <c r="X168" s="304" t="e">
        <f t="shared" si="73"/>
        <v>#N/A</v>
      </c>
      <c r="Y168" s="674"/>
      <c r="Z168" s="182"/>
      <c r="AA168" s="182"/>
      <c r="AB168" s="182"/>
      <c r="AC168" s="304" t="e">
        <f t="shared" si="74"/>
        <v>#N/A</v>
      </c>
      <c r="AD168" s="674"/>
      <c r="AE168" s="182"/>
      <c r="AF168" s="182"/>
      <c r="AG168" s="182"/>
      <c r="AH168" s="304" t="e">
        <f t="shared" si="75"/>
        <v>#N/A</v>
      </c>
      <c r="AI168" s="674"/>
      <c r="AJ168" s="182"/>
      <c r="AK168" s="182"/>
      <c r="AL168" s="182"/>
      <c r="AM168" s="304" t="e">
        <f t="shared" si="76"/>
        <v>#N/A</v>
      </c>
      <c r="AN168" s="674"/>
      <c r="AO168" s="182"/>
      <c r="AP168" s="182"/>
      <c r="AQ168" s="182"/>
      <c r="AR168" s="304" t="e">
        <f t="shared" si="77"/>
        <v>#N/A</v>
      </c>
      <c r="AS168" s="674"/>
      <c r="AT168" s="182"/>
      <c r="AU168" s="182"/>
      <c r="AV168" s="182"/>
      <c r="AW168" s="304" t="e">
        <f t="shared" si="78"/>
        <v>#N/A</v>
      </c>
      <c r="AX168" s="674"/>
    </row>
    <row r="169" spans="2:50">
      <c r="B169" s="660"/>
      <c r="C169" s="304">
        <v>23</v>
      </c>
      <c r="D169" s="227"/>
      <c r="E169" s="182"/>
      <c r="F169" s="514"/>
      <c r="G169" s="515"/>
      <c r="H169" s="702"/>
      <c r="I169" s="199" t="e">
        <f t="shared" si="62"/>
        <v>#DIV/0!</v>
      </c>
      <c r="J169" s="199" t="e">
        <f t="shared" si="63"/>
        <v>#DIV/0!</v>
      </c>
      <c r="K169" s="200" t="e">
        <f t="shared" si="64"/>
        <v>#DIV/0!</v>
      </c>
      <c r="L169" s="634"/>
      <c r="M169" s="199" t="e">
        <f>RANK(K169, K$147:$K$176)</f>
        <v>#DIV/0!</v>
      </c>
      <c r="N169" s="652"/>
      <c r="O169" s="652"/>
      <c r="P169" s="182"/>
      <c r="Q169" s="182"/>
      <c r="R169" s="182"/>
      <c r="S169" s="304" t="e">
        <f t="shared" si="72"/>
        <v>#N/A</v>
      </c>
      <c r="T169" s="674"/>
      <c r="U169" s="182"/>
      <c r="V169" s="182"/>
      <c r="W169" s="182"/>
      <c r="X169" s="304" t="e">
        <f t="shared" si="73"/>
        <v>#N/A</v>
      </c>
      <c r="Y169" s="674"/>
      <c r="Z169" s="182"/>
      <c r="AA169" s="182"/>
      <c r="AB169" s="182"/>
      <c r="AC169" s="304" t="e">
        <f t="shared" si="74"/>
        <v>#N/A</v>
      </c>
      <c r="AD169" s="674"/>
      <c r="AE169" s="182"/>
      <c r="AF169" s="182"/>
      <c r="AG169" s="182"/>
      <c r="AH169" s="304" t="e">
        <f t="shared" si="75"/>
        <v>#N/A</v>
      </c>
      <c r="AI169" s="674"/>
      <c r="AJ169" s="182"/>
      <c r="AK169" s="182"/>
      <c r="AL169" s="182"/>
      <c r="AM169" s="304" t="e">
        <f t="shared" si="76"/>
        <v>#N/A</v>
      </c>
      <c r="AN169" s="674"/>
      <c r="AO169" s="182"/>
      <c r="AP169" s="182"/>
      <c r="AQ169" s="182"/>
      <c r="AR169" s="304" t="e">
        <f t="shared" si="77"/>
        <v>#N/A</v>
      </c>
      <c r="AS169" s="674"/>
      <c r="AT169" s="182"/>
      <c r="AU169" s="182"/>
      <c r="AV169" s="182"/>
      <c r="AW169" s="304" t="e">
        <f t="shared" si="78"/>
        <v>#N/A</v>
      </c>
      <c r="AX169" s="674"/>
    </row>
    <row r="170" spans="2:50">
      <c r="B170" s="660"/>
      <c r="C170" s="304">
        <v>24</v>
      </c>
      <c r="D170" s="227"/>
      <c r="E170" s="182"/>
      <c r="F170" s="514"/>
      <c r="G170" s="515"/>
      <c r="H170" s="702"/>
      <c r="I170" s="199" t="e">
        <f t="shared" si="62"/>
        <v>#DIV/0!</v>
      </c>
      <c r="J170" s="199" t="e">
        <f t="shared" si="63"/>
        <v>#DIV/0!</v>
      </c>
      <c r="K170" s="200" t="e">
        <f t="shared" si="64"/>
        <v>#DIV/0!</v>
      </c>
      <c r="L170" s="634"/>
      <c r="M170" s="199" t="e">
        <f>RANK(K170, K$147:$K$176)</f>
        <v>#DIV/0!</v>
      </c>
      <c r="N170" s="652"/>
      <c r="O170" s="652"/>
      <c r="P170" s="182"/>
      <c r="Q170" s="182"/>
      <c r="R170" s="182"/>
      <c r="S170" s="304" t="e">
        <f t="shared" si="72"/>
        <v>#N/A</v>
      </c>
      <c r="T170" s="674"/>
      <c r="U170" s="182"/>
      <c r="V170" s="182"/>
      <c r="W170" s="182"/>
      <c r="X170" s="304" t="e">
        <f t="shared" si="73"/>
        <v>#N/A</v>
      </c>
      <c r="Y170" s="674"/>
      <c r="Z170" s="182"/>
      <c r="AA170" s="182"/>
      <c r="AB170" s="182"/>
      <c r="AC170" s="304" t="e">
        <f t="shared" si="74"/>
        <v>#N/A</v>
      </c>
      <c r="AD170" s="674"/>
      <c r="AE170" s="182"/>
      <c r="AF170" s="182"/>
      <c r="AG170" s="182"/>
      <c r="AH170" s="304" t="e">
        <f t="shared" si="75"/>
        <v>#N/A</v>
      </c>
      <c r="AI170" s="674"/>
      <c r="AJ170" s="182"/>
      <c r="AK170" s="182"/>
      <c r="AL170" s="182"/>
      <c r="AM170" s="304" t="e">
        <f t="shared" si="76"/>
        <v>#N/A</v>
      </c>
      <c r="AN170" s="674"/>
      <c r="AO170" s="182"/>
      <c r="AP170" s="182"/>
      <c r="AQ170" s="182"/>
      <c r="AR170" s="304" t="e">
        <f t="shared" si="77"/>
        <v>#N/A</v>
      </c>
      <c r="AS170" s="674"/>
      <c r="AT170" s="182"/>
      <c r="AU170" s="182"/>
      <c r="AV170" s="182"/>
      <c r="AW170" s="304" t="e">
        <f t="shared" si="78"/>
        <v>#N/A</v>
      </c>
      <c r="AX170" s="674"/>
    </row>
    <row r="171" spans="2:50">
      <c r="B171" s="660"/>
      <c r="C171" s="304">
        <v>25</v>
      </c>
      <c r="D171" s="227"/>
      <c r="E171" s="182"/>
      <c r="F171" s="514"/>
      <c r="G171" s="515"/>
      <c r="H171" s="702"/>
      <c r="I171" s="447" t="e">
        <f t="shared" ref="I171" si="79">AVERAGE(P171,U171,Z171,AE171,AJ171,AO171,AT171)</f>
        <v>#DIV/0!</v>
      </c>
      <c r="J171" s="447" t="e">
        <f t="shared" ref="J171" si="80">AVERAGE(Q171,V171,AA171,AF171,AK171,AP171,AU171)</f>
        <v>#DIV/0!</v>
      </c>
      <c r="K171" s="200" t="e">
        <f t="shared" ref="K171" si="81">AVERAGE(R171,W171,AB171,AG171,AL171,AQ171,AV171)</f>
        <v>#DIV/0!</v>
      </c>
      <c r="L171" s="634"/>
      <c r="M171" s="199" t="e">
        <f>RANK(K171, K$147:$K$176)</f>
        <v>#DIV/0!</v>
      </c>
      <c r="N171" s="652"/>
      <c r="O171" s="652"/>
      <c r="P171" s="182"/>
      <c r="Q171" s="182"/>
      <c r="R171" s="182"/>
      <c r="S171" s="304" t="e">
        <f t="shared" si="72"/>
        <v>#N/A</v>
      </c>
      <c r="T171" s="674"/>
      <c r="U171" s="182"/>
      <c r="V171" s="182"/>
      <c r="W171" s="182"/>
      <c r="X171" s="304" t="e">
        <f t="shared" si="73"/>
        <v>#N/A</v>
      </c>
      <c r="Y171" s="674"/>
      <c r="Z171" s="182"/>
      <c r="AA171" s="182"/>
      <c r="AB171" s="182"/>
      <c r="AC171" s="304" t="e">
        <f t="shared" si="74"/>
        <v>#N/A</v>
      </c>
      <c r="AD171" s="674"/>
      <c r="AE171" s="182"/>
      <c r="AF171" s="182"/>
      <c r="AG171" s="182"/>
      <c r="AH171" s="304" t="e">
        <f t="shared" si="75"/>
        <v>#N/A</v>
      </c>
      <c r="AI171" s="674"/>
      <c r="AJ171" s="182"/>
      <c r="AK171" s="182"/>
      <c r="AL171" s="182"/>
      <c r="AM171" s="304" t="e">
        <f t="shared" si="76"/>
        <v>#N/A</v>
      </c>
      <c r="AN171" s="674"/>
      <c r="AO171" s="182"/>
      <c r="AP171" s="182"/>
      <c r="AQ171" s="182"/>
      <c r="AR171" s="304" t="e">
        <f t="shared" si="77"/>
        <v>#N/A</v>
      </c>
      <c r="AS171" s="674"/>
      <c r="AT171" s="182"/>
      <c r="AU171" s="182"/>
      <c r="AV171" s="182"/>
      <c r="AW171" s="304" t="e">
        <f t="shared" si="78"/>
        <v>#N/A</v>
      </c>
      <c r="AX171" s="674"/>
    </row>
    <row r="172" spans="2:50">
      <c r="B172" s="660"/>
      <c r="C172" s="304">
        <v>26</v>
      </c>
      <c r="D172" s="227"/>
      <c r="E172" s="182"/>
      <c r="F172" s="514"/>
      <c r="G172" s="515"/>
      <c r="H172" s="702"/>
      <c r="I172" s="471" t="e">
        <f t="shared" ref="I172" si="82">AVERAGE(P172,U172,Z172,AE172,AJ172,AO172,AT172)</f>
        <v>#DIV/0!</v>
      </c>
      <c r="J172" s="471" t="e">
        <f t="shared" ref="J172" si="83">AVERAGE(Q172,V172,AA172,AF172,AK172,AP172,AU172)</f>
        <v>#DIV/0!</v>
      </c>
      <c r="K172" s="200" t="e">
        <f t="shared" ref="K172" si="84">AVERAGE(R172,W172,AB172,AG172,AL172,AQ172,AV172)</f>
        <v>#DIV/0!</v>
      </c>
      <c r="L172" s="634"/>
      <c r="M172" s="199" t="e">
        <f>RANK(K172, K$147:$K$176)</f>
        <v>#DIV/0!</v>
      </c>
      <c r="N172" s="652"/>
      <c r="O172" s="652"/>
      <c r="P172" s="182"/>
      <c r="Q172" s="182"/>
      <c r="R172" s="182"/>
      <c r="S172" s="304" t="e">
        <f t="shared" si="72"/>
        <v>#N/A</v>
      </c>
      <c r="T172" s="674"/>
      <c r="U172" s="182"/>
      <c r="V172" s="182"/>
      <c r="W172" s="182"/>
      <c r="X172" s="304" t="e">
        <f t="shared" si="73"/>
        <v>#N/A</v>
      </c>
      <c r="Y172" s="674"/>
      <c r="Z172" s="182"/>
      <c r="AA172" s="182"/>
      <c r="AB172" s="182"/>
      <c r="AC172" s="304" t="e">
        <f t="shared" si="74"/>
        <v>#N/A</v>
      </c>
      <c r="AD172" s="674"/>
      <c r="AE172" s="182"/>
      <c r="AF172" s="182"/>
      <c r="AG172" s="182"/>
      <c r="AH172" s="304" t="e">
        <f t="shared" si="75"/>
        <v>#N/A</v>
      </c>
      <c r="AI172" s="674"/>
      <c r="AJ172" s="182"/>
      <c r="AK172" s="182"/>
      <c r="AL172" s="182"/>
      <c r="AM172" s="304" t="e">
        <f t="shared" si="76"/>
        <v>#N/A</v>
      </c>
      <c r="AN172" s="674"/>
      <c r="AO172" s="182"/>
      <c r="AP172" s="182"/>
      <c r="AQ172" s="182"/>
      <c r="AR172" s="304" t="e">
        <f t="shared" si="77"/>
        <v>#N/A</v>
      </c>
      <c r="AS172" s="674"/>
      <c r="AT172" s="182"/>
      <c r="AU172" s="182"/>
      <c r="AV172" s="182"/>
      <c r="AW172" s="304" t="e">
        <f t="shared" si="78"/>
        <v>#N/A</v>
      </c>
      <c r="AX172" s="674"/>
    </row>
    <row r="173" spans="2:50">
      <c r="B173" s="660"/>
      <c r="C173" s="304">
        <v>27</v>
      </c>
      <c r="D173" s="227"/>
      <c r="E173" s="182"/>
      <c r="F173" s="514"/>
      <c r="G173" s="515"/>
      <c r="H173" s="702"/>
      <c r="I173" s="490" t="e">
        <f t="shared" ref="I173:I174" si="85">AVERAGE(P173,U173,Z173,AE173,AJ173,AO173,AT173)</f>
        <v>#DIV/0!</v>
      </c>
      <c r="J173" s="490" t="e">
        <f t="shared" ref="J173:J174" si="86">AVERAGE(Q173,V173,AA173,AF173,AK173,AP173,AU173)</f>
        <v>#DIV/0!</v>
      </c>
      <c r="K173" s="200" t="e">
        <f t="shared" ref="K173:K174" si="87">AVERAGE(R173,W173,AB173,AG173,AL173,AQ173,AV173)</f>
        <v>#DIV/0!</v>
      </c>
      <c r="L173" s="634"/>
      <c r="M173" s="199" t="e">
        <f>RANK(K173, K$147:$K$176)</f>
        <v>#DIV/0!</v>
      </c>
      <c r="N173" s="652"/>
      <c r="O173" s="652"/>
      <c r="P173" s="182"/>
      <c r="Q173" s="182"/>
      <c r="R173" s="182"/>
      <c r="S173" s="304" t="e">
        <f t="shared" si="72"/>
        <v>#N/A</v>
      </c>
      <c r="T173" s="674"/>
      <c r="U173" s="182"/>
      <c r="V173" s="182"/>
      <c r="W173" s="182"/>
      <c r="X173" s="304" t="e">
        <f t="shared" si="73"/>
        <v>#N/A</v>
      </c>
      <c r="Y173" s="674"/>
      <c r="Z173" s="182"/>
      <c r="AA173" s="182"/>
      <c r="AB173" s="182"/>
      <c r="AC173" s="304" t="e">
        <f t="shared" si="74"/>
        <v>#N/A</v>
      </c>
      <c r="AD173" s="674"/>
      <c r="AE173" s="182"/>
      <c r="AF173" s="182"/>
      <c r="AG173" s="182"/>
      <c r="AH173" s="304" t="e">
        <f t="shared" si="75"/>
        <v>#N/A</v>
      </c>
      <c r="AI173" s="674"/>
      <c r="AJ173" s="182"/>
      <c r="AK173" s="182"/>
      <c r="AL173" s="182"/>
      <c r="AM173" s="304" t="e">
        <f t="shared" si="76"/>
        <v>#N/A</v>
      </c>
      <c r="AN173" s="674"/>
      <c r="AO173" s="182"/>
      <c r="AP173" s="182"/>
      <c r="AQ173" s="182"/>
      <c r="AR173" s="304" t="e">
        <f t="shared" si="77"/>
        <v>#N/A</v>
      </c>
      <c r="AS173" s="674"/>
      <c r="AT173" s="182"/>
      <c r="AU173" s="182"/>
      <c r="AV173" s="182"/>
      <c r="AW173" s="304" t="e">
        <f t="shared" si="78"/>
        <v>#N/A</v>
      </c>
      <c r="AX173" s="674"/>
    </row>
    <row r="174" spans="2:50">
      <c r="B174" s="660"/>
      <c r="C174" s="304">
        <v>28</v>
      </c>
      <c r="D174" s="227"/>
      <c r="E174" s="182"/>
      <c r="F174" s="514"/>
      <c r="G174" s="515"/>
      <c r="H174" s="702"/>
      <c r="I174" s="490" t="e">
        <f t="shared" si="85"/>
        <v>#DIV/0!</v>
      </c>
      <c r="J174" s="490" t="e">
        <f t="shared" si="86"/>
        <v>#DIV/0!</v>
      </c>
      <c r="K174" s="200" t="e">
        <f t="shared" si="87"/>
        <v>#DIV/0!</v>
      </c>
      <c r="L174" s="634"/>
      <c r="M174" s="199" t="e">
        <f>RANK(K174, K$147:$K$176)</f>
        <v>#DIV/0!</v>
      </c>
      <c r="N174" s="652"/>
      <c r="O174" s="652"/>
      <c r="P174" s="182"/>
      <c r="Q174" s="182"/>
      <c r="R174" s="182"/>
      <c r="S174" s="304" t="e">
        <f t="shared" si="72"/>
        <v>#N/A</v>
      </c>
      <c r="T174" s="674"/>
      <c r="U174" s="182"/>
      <c r="V174" s="182"/>
      <c r="W174" s="182"/>
      <c r="X174" s="304" t="e">
        <f t="shared" si="73"/>
        <v>#N/A</v>
      </c>
      <c r="Y174" s="674"/>
      <c r="Z174" s="182"/>
      <c r="AA174" s="182"/>
      <c r="AB174" s="182"/>
      <c r="AC174" s="304" t="e">
        <f t="shared" si="74"/>
        <v>#N/A</v>
      </c>
      <c r="AD174" s="674"/>
      <c r="AE174" s="182"/>
      <c r="AF174" s="182"/>
      <c r="AG174" s="182"/>
      <c r="AH174" s="304" t="e">
        <f t="shared" si="75"/>
        <v>#N/A</v>
      </c>
      <c r="AI174" s="674"/>
      <c r="AJ174" s="182"/>
      <c r="AK174" s="182"/>
      <c r="AL174" s="182"/>
      <c r="AM174" s="304" t="e">
        <f t="shared" si="76"/>
        <v>#N/A</v>
      </c>
      <c r="AN174" s="674"/>
      <c r="AO174" s="182"/>
      <c r="AP174" s="182"/>
      <c r="AQ174" s="182"/>
      <c r="AR174" s="304" t="e">
        <f t="shared" si="77"/>
        <v>#N/A</v>
      </c>
      <c r="AS174" s="674"/>
      <c r="AT174" s="182"/>
      <c r="AU174" s="182"/>
      <c r="AV174" s="182"/>
      <c r="AW174" s="304" t="e">
        <f t="shared" si="78"/>
        <v>#N/A</v>
      </c>
      <c r="AX174" s="674"/>
    </row>
    <row r="175" spans="2:50">
      <c r="B175" s="660"/>
      <c r="C175" s="304">
        <v>29</v>
      </c>
      <c r="D175" s="227"/>
      <c r="E175" s="182"/>
      <c r="F175" s="514"/>
      <c r="G175" s="515"/>
      <c r="H175" s="702"/>
      <c r="I175" s="547" t="e">
        <f t="shared" ref="I175:I176" si="88">AVERAGE(P175,U175,Z175,AE175,AJ175,AO175,AT175)</f>
        <v>#DIV/0!</v>
      </c>
      <c r="J175" s="547" t="e">
        <f t="shared" ref="J175:J176" si="89">AVERAGE(Q175,V175,AA175,AF175,AK175,AP175,AU175)</f>
        <v>#DIV/0!</v>
      </c>
      <c r="K175" s="200" t="e">
        <f t="shared" ref="K175:K176" si="90">AVERAGE(R175,W175,AB175,AG175,AL175,AQ175,AV175)</f>
        <v>#DIV/0!</v>
      </c>
      <c r="L175" s="634"/>
      <c r="M175" s="199" t="e">
        <f>RANK(K175, K$147:$K$176)</f>
        <v>#DIV/0!</v>
      </c>
      <c r="N175" s="652"/>
      <c r="O175" s="652"/>
      <c r="P175" s="182"/>
      <c r="Q175" s="182"/>
      <c r="R175" s="182"/>
      <c r="S175" s="304" t="e">
        <f t="shared" si="72"/>
        <v>#N/A</v>
      </c>
      <c r="T175" s="674"/>
      <c r="U175" s="182"/>
      <c r="V175" s="182"/>
      <c r="W175" s="182"/>
      <c r="X175" s="304" t="e">
        <f t="shared" si="73"/>
        <v>#N/A</v>
      </c>
      <c r="Y175" s="674"/>
      <c r="Z175" s="182"/>
      <c r="AA175" s="182"/>
      <c r="AB175" s="182"/>
      <c r="AC175" s="304" t="e">
        <f t="shared" si="74"/>
        <v>#N/A</v>
      </c>
      <c r="AD175" s="674"/>
      <c r="AE175" s="182"/>
      <c r="AF175" s="182"/>
      <c r="AG175" s="182"/>
      <c r="AH175" s="304" t="e">
        <f t="shared" si="75"/>
        <v>#N/A</v>
      </c>
      <c r="AI175" s="674"/>
      <c r="AJ175" s="182"/>
      <c r="AK175" s="182"/>
      <c r="AL175" s="182"/>
      <c r="AM175" s="304" t="e">
        <f t="shared" si="76"/>
        <v>#N/A</v>
      </c>
      <c r="AN175" s="674"/>
      <c r="AO175" s="182"/>
      <c r="AP175" s="182"/>
      <c r="AQ175" s="182"/>
      <c r="AR175" s="304" t="e">
        <f t="shared" si="77"/>
        <v>#N/A</v>
      </c>
      <c r="AS175" s="674"/>
      <c r="AT175" s="182"/>
      <c r="AU175" s="182"/>
      <c r="AV175" s="182"/>
      <c r="AW175" s="304" t="e">
        <f t="shared" si="78"/>
        <v>#N/A</v>
      </c>
      <c r="AX175" s="674"/>
    </row>
    <row r="176" spans="2:50">
      <c r="B176" s="660"/>
      <c r="C176" s="304">
        <v>30</v>
      </c>
      <c r="D176" s="227"/>
      <c r="E176" s="182"/>
      <c r="F176" s="514"/>
      <c r="G176" s="515"/>
      <c r="H176" s="703"/>
      <c r="I176" s="547" t="e">
        <f t="shared" si="88"/>
        <v>#DIV/0!</v>
      </c>
      <c r="J176" s="547" t="e">
        <f t="shared" si="89"/>
        <v>#DIV/0!</v>
      </c>
      <c r="K176" s="200" t="e">
        <f t="shared" si="90"/>
        <v>#DIV/0!</v>
      </c>
      <c r="L176" s="635"/>
      <c r="M176" s="199" t="e">
        <f>RANK(K176, K$147:$K$176)</f>
        <v>#DIV/0!</v>
      </c>
      <c r="N176" s="652"/>
      <c r="O176" s="652"/>
      <c r="P176" s="182"/>
      <c r="Q176" s="182"/>
      <c r="R176" s="182"/>
      <c r="S176" s="304" t="e">
        <f t="shared" si="65"/>
        <v>#N/A</v>
      </c>
      <c r="T176" s="674"/>
      <c r="U176" s="182"/>
      <c r="V176" s="182"/>
      <c r="W176" s="182"/>
      <c r="X176" s="304" t="e">
        <f t="shared" si="66"/>
        <v>#N/A</v>
      </c>
      <c r="Y176" s="674"/>
      <c r="Z176" s="182"/>
      <c r="AA176" s="182"/>
      <c r="AB176" s="182"/>
      <c r="AC176" s="304" t="e">
        <f t="shared" si="67"/>
        <v>#N/A</v>
      </c>
      <c r="AD176" s="674"/>
      <c r="AE176" s="182"/>
      <c r="AF176" s="182"/>
      <c r="AG176" s="182"/>
      <c r="AH176" s="304" t="e">
        <f t="shared" si="68"/>
        <v>#N/A</v>
      </c>
      <c r="AI176" s="674"/>
      <c r="AJ176" s="182"/>
      <c r="AK176" s="182"/>
      <c r="AL176" s="182"/>
      <c r="AM176" s="304" t="e">
        <f t="shared" si="69"/>
        <v>#N/A</v>
      </c>
      <c r="AN176" s="674"/>
      <c r="AO176" s="182"/>
      <c r="AP176" s="182"/>
      <c r="AQ176" s="182"/>
      <c r="AR176" s="304" t="e">
        <f t="shared" si="70"/>
        <v>#N/A</v>
      </c>
      <c r="AS176" s="674"/>
      <c r="AT176" s="182"/>
      <c r="AU176" s="182"/>
      <c r="AV176" s="182"/>
      <c r="AW176" s="304" t="e">
        <f t="shared" si="71"/>
        <v>#N/A</v>
      </c>
      <c r="AX176" s="674"/>
    </row>
    <row r="177" spans="2:50" ht="15.75">
      <c r="B177" s="664" t="s">
        <v>163</v>
      </c>
      <c r="C177" s="665"/>
      <c r="D177" s="665"/>
      <c r="E177" s="665"/>
      <c r="F177" s="665"/>
      <c r="G177" s="665"/>
      <c r="H177" s="666"/>
      <c r="I177" s="208"/>
      <c r="J177" s="208"/>
      <c r="K177" s="208"/>
      <c r="L177" s="208"/>
      <c r="M177" s="207"/>
      <c r="N177" s="653" t="s">
        <v>156</v>
      </c>
      <c r="O177" s="653" t="s">
        <v>105</v>
      </c>
      <c r="P177" s="659">
        <f>P142+7</f>
        <v>46084</v>
      </c>
      <c r="Q177" s="660"/>
      <c r="R177" s="660"/>
      <c r="S177" s="660"/>
      <c r="T177" s="660"/>
      <c r="U177" s="656">
        <f>P177+1</f>
        <v>46085</v>
      </c>
      <c r="V177" s="657"/>
      <c r="W177" s="657"/>
      <c r="X177" s="657"/>
      <c r="Y177" s="658"/>
      <c r="Z177" s="656">
        <f>U177+1</f>
        <v>46086</v>
      </c>
      <c r="AA177" s="657"/>
      <c r="AB177" s="657"/>
      <c r="AC177" s="657"/>
      <c r="AD177" s="658"/>
      <c r="AE177" s="656">
        <f>Z177+1</f>
        <v>46087</v>
      </c>
      <c r="AF177" s="657"/>
      <c r="AG177" s="657"/>
      <c r="AH177" s="657"/>
      <c r="AI177" s="658"/>
      <c r="AJ177" s="656">
        <f>AE177+1</f>
        <v>46088</v>
      </c>
      <c r="AK177" s="657"/>
      <c r="AL177" s="657"/>
      <c r="AM177" s="657"/>
      <c r="AN177" s="658"/>
      <c r="AO177" s="656">
        <f>AJ177+1</f>
        <v>46089</v>
      </c>
      <c r="AP177" s="657"/>
      <c r="AQ177" s="657"/>
      <c r="AR177" s="657"/>
      <c r="AS177" s="658"/>
      <c r="AT177" s="656">
        <f>AO177+1</f>
        <v>46090</v>
      </c>
      <c r="AU177" s="657"/>
      <c r="AV177" s="657"/>
      <c r="AW177" s="657"/>
      <c r="AX177" s="658"/>
    </row>
    <row r="178" spans="2:50" ht="15.75">
      <c r="B178" s="667"/>
      <c r="C178" s="667"/>
      <c r="D178" s="667"/>
      <c r="E178" s="667"/>
      <c r="F178" s="667"/>
      <c r="G178" s="667"/>
      <c r="H178" s="667"/>
      <c r="I178" s="205"/>
      <c r="J178" s="205"/>
      <c r="K178" s="205"/>
      <c r="L178" s="205"/>
      <c r="M178" s="206"/>
      <c r="N178" s="655"/>
      <c r="O178" s="655"/>
      <c r="P178" s="659" t="s">
        <v>158</v>
      </c>
      <c r="Q178" s="660"/>
      <c r="R178" s="660"/>
      <c r="S178" s="660"/>
      <c r="T178" s="660"/>
      <c r="U178" s="659" t="s">
        <v>114</v>
      </c>
      <c r="V178" s="660"/>
      <c r="W178" s="660"/>
      <c r="X178" s="660"/>
      <c r="Y178" s="660"/>
      <c r="Z178" s="659" t="s">
        <v>159</v>
      </c>
      <c r="AA178" s="660"/>
      <c r="AB178" s="660"/>
      <c r="AC178" s="660"/>
      <c r="AD178" s="660"/>
      <c r="AE178" s="659" t="s">
        <v>157</v>
      </c>
      <c r="AF178" s="660"/>
      <c r="AG178" s="660"/>
      <c r="AH178" s="660"/>
      <c r="AI178" s="660"/>
      <c r="AJ178" s="659" t="s">
        <v>160</v>
      </c>
      <c r="AK178" s="660"/>
      <c r="AL178" s="660"/>
      <c r="AM178" s="660"/>
      <c r="AN178" s="660"/>
      <c r="AO178" s="659" t="s">
        <v>115</v>
      </c>
      <c r="AP178" s="660"/>
      <c r="AQ178" s="660"/>
      <c r="AR178" s="660"/>
      <c r="AS178" s="660"/>
      <c r="AT178" s="659" t="s">
        <v>162</v>
      </c>
      <c r="AU178" s="660"/>
      <c r="AV178" s="660"/>
      <c r="AW178" s="660"/>
      <c r="AX178" s="660"/>
    </row>
    <row r="179" spans="2:50">
      <c r="B179" s="652" t="s">
        <v>154</v>
      </c>
      <c r="C179" s="652" t="s">
        <v>441</v>
      </c>
      <c r="D179" s="652"/>
      <c r="E179" s="652" t="s">
        <v>432</v>
      </c>
      <c r="F179" s="652"/>
      <c r="G179" s="652"/>
      <c r="H179" s="668" t="s">
        <v>428</v>
      </c>
      <c r="I179" s="636" t="s">
        <v>433</v>
      </c>
      <c r="J179" s="636"/>
      <c r="K179" s="636"/>
      <c r="L179" s="637" t="s">
        <v>428</v>
      </c>
      <c r="M179" s="643" t="s">
        <v>429</v>
      </c>
      <c r="N179" s="652"/>
      <c r="O179" s="652" t="s">
        <v>434</v>
      </c>
      <c r="P179" s="649" t="s">
        <v>430</v>
      </c>
      <c r="Q179" s="650"/>
      <c r="R179" s="650"/>
      <c r="S179" s="651"/>
      <c r="T179" s="652" t="s">
        <v>428</v>
      </c>
      <c r="U179" s="649" t="s">
        <v>430</v>
      </c>
      <c r="V179" s="650"/>
      <c r="W179" s="650"/>
      <c r="X179" s="651"/>
      <c r="Y179" s="652" t="s">
        <v>428</v>
      </c>
      <c r="Z179" s="649" t="s">
        <v>430</v>
      </c>
      <c r="AA179" s="650"/>
      <c r="AB179" s="650"/>
      <c r="AC179" s="651"/>
      <c r="AD179" s="652" t="s">
        <v>428</v>
      </c>
      <c r="AE179" s="649" t="s">
        <v>430</v>
      </c>
      <c r="AF179" s="650"/>
      <c r="AG179" s="650"/>
      <c r="AH179" s="651"/>
      <c r="AI179" s="652" t="s">
        <v>428</v>
      </c>
      <c r="AJ179" s="649" t="s">
        <v>430</v>
      </c>
      <c r="AK179" s="650"/>
      <c r="AL179" s="650"/>
      <c r="AM179" s="651"/>
      <c r="AN179" s="652" t="s">
        <v>428</v>
      </c>
      <c r="AO179" s="649" t="s">
        <v>430</v>
      </c>
      <c r="AP179" s="650"/>
      <c r="AQ179" s="650"/>
      <c r="AR179" s="651"/>
      <c r="AS179" s="652" t="s">
        <v>428</v>
      </c>
      <c r="AT179" s="649" t="s">
        <v>430</v>
      </c>
      <c r="AU179" s="650"/>
      <c r="AV179" s="650"/>
      <c r="AW179" s="651"/>
      <c r="AX179" s="652" t="s">
        <v>428</v>
      </c>
    </row>
    <row r="180" spans="2:50">
      <c r="B180" s="652"/>
      <c r="C180" s="652"/>
      <c r="D180" s="652"/>
      <c r="E180" s="652" t="s">
        <v>435</v>
      </c>
      <c r="F180" s="652"/>
      <c r="G180" s="652"/>
      <c r="H180" s="669"/>
      <c r="I180" s="636" t="s">
        <v>435</v>
      </c>
      <c r="J180" s="636"/>
      <c r="K180" s="636"/>
      <c r="L180" s="638"/>
      <c r="M180" s="644"/>
      <c r="N180" s="652"/>
      <c r="O180" s="652"/>
      <c r="P180" s="649" t="s">
        <v>436</v>
      </c>
      <c r="Q180" s="650"/>
      <c r="R180" s="650"/>
      <c r="S180" s="651"/>
      <c r="T180" s="652"/>
      <c r="U180" s="649" t="s">
        <v>436</v>
      </c>
      <c r="V180" s="650"/>
      <c r="W180" s="650"/>
      <c r="X180" s="651"/>
      <c r="Y180" s="652"/>
      <c r="Z180" s="649" t="s">
        <v>436</v>
      </c>
      <c r="AA180" s="650"/>
      <c r="AB180" s="650"/>
      <c r="AC180" s="651"/>
      <c r="AD180" s="652"/>
      <c r="AE180" s="649" t="s">
        <v>436</v>
      </c>
      <c r="AF180" s="650"/>
      <c r="AG180" s="650"/>
      <c r="AH180" s="651"/>
      <c r="AI180" s="652"/>
      <c r="AJ180" s="649" t="s">
        <v>436</v>
      </c>
      <c r="AK180" s="650"/>
      <c r="AL180" s="650"/>
      <c r="AM180" s="651"/>
      <c r="AN180" s="652"/>
      <c r="AO180" s="649" t="s">
        <v>436</v>
      </c>
      <c r="AP180" s="650"/>
      <c r="AQ180" s="650"/>
      <c r="AR180" s="651"/>
      <c r="AS180" s="652"/>
      <c r="AT180" s="649" t="s">
        <v>436</v>
      </c>
      <c r="AU180" s="650"/>
      <c r="AV180" s="650"/>
      <c r="AW180" s="651"/>
      <c r="AX180" s="652"/>
    </row>
    <row r="181" spans="2:50">
      <c r="B181" s="652"/>
      <c r="C181" s="652"/>
      <c r="D181" s="652"/>
      <c r="E181" s="345" t="s">
        <v>437</v>
      </c>
      <c r="F181" s="345" t="s">
        <v>438</v>
      </c>
      <c r="G181" s="345" t="s">
        <v>439</v>
      </c>
      <c r="H181" s="670"/>
      <c r="I181" s="346" t="s">
        <v>437</v>
      </c>
      <c r="J181" s="346" t="s">
        <v>438</v>
      </c>
      <c r="K181" s="346" t="s">
        <v>439</v>
      </c>
      <c r="L181" s="639"/>
      <c r="M181" s="645"/>
      <c r="N181" s="652"/>
      <c r="O181" s="652"/>
      <c r="P181" s="345" t="s">
        <v>437</v>
      </c>
      <c r="Q181" s="345" t="s">
        <v>438</v>
      </c>
      <c r="R181" s="345" t="s">
        <v>439</v>
      </c>
      <c r="S181" s="345" t="s">
        <v>429</v>
      </c>
      <c r="T181" s="652"/>
      <c r="U181" s="345" t="s">
        <v>437</v>
      </c>
      <c r="V181" s="345" t="s">
        <v>438</v>
      </c>
      <c r="W181" s="345" t="s">
        <v>439</v>
      </c>
      <c r="X181" s="345" t="s">
        <v>429</v>
      </c>
      <c r="Y181" s="652"/>
      <c r="Z181" s="345" t="s">
        <v>437</v>
      </c>
      <c r="AA181" s="345" t="s">
        <v>438</v>
      </c>
      <c r="AB181" s="345" t="s">
        <v>439</v>
      </c>
      <c r="AC181" s="345" t="s">
        <v>429</v>
      </c>
      <c r="AD181" s="652"/>
      <c r="AE181" s="345" t="s">
        <v>437</v>
      </c>
      <c r="AF181" s="345" t="s">
        <v>438</v>
      </c>
      <c r="AG181" s="345" t="s">
        <v>439</v>
      </c>
      <c r="AH181" s="345" t="s">
        <v>429</v>
      </c>
      <c r="AI181" s="652"/>
      <c r="AJ181" s="345" t="s">
        <v>437</v>
      </c>
      <c r="AK181" s="345" t="s">
        <v>438</v>
      </c>
      <c r="AL181" s="345" t="s">
        <v>439</v>
      </c>
      <c r="AM181" s="345" t="s">
        <v>429</v>
      </c>
      <c r="AN181" s="652"/>
      <c r="AO181" s="345" t="s">
        <v>437</v>
      </c>
      <c r="AP181" s="345" t="s">
        <v>438</v>
      </c>
      <c r="AQ181" s="345" t="s">
        <v>439</v>
      </c>
      <c r="AR181" s="345" t="s">
        <v>429</v>
      </c>
      <c r="AS181" s="652"/>
      <c r="AT181" s="345" t="s">
        <v>437</v>
      </c>
      <c r="AU181" s="345" t="s">
        <v>438</v>
      </c>
      <c r="AV181" s="345" t="s">
        <v>439</v>
      </c>
      <c r="AW181" s="345" t="s">
        <v>429</v>
      </c>
      <c r="AX181" s="652"/>
    </row>
    <row r="182" spans="2:50">
      <c r="B182" s="652" t="s">
        <v>134</v>
      </c>
      <c r="C182" s="344">
        <v>1</v>
      </c>
      <c r="D182" s="227"/>
      <c r="E182" s="182"/>
      <c r="F182" s="514"/>
      <c r="G182" s="515"/>
      <c r="H182" s="701" t="e">
        <f>AVERAGE(G182:G211)</f>
        <v>#DIV/0!</v>
      </c>
      <c r="I182" s="199" t="e">
        <f>AVERAGE(P182,U182,Z182,AE182,AJ182,AO182,AT182)</f>
        <v>#DIV/0!</v>
      </c>
      <c r="J182" s="199" t="e">
        <f>AVERAGE(Q182,V182,AA182,AF182,AK182,AP182,AU182)</f>
        <v>#DIV/0!</v>
      </c>
      <c r="K182" s="200" t="e">
        <f>AVERAGE(R182,W182,AB182,AG182,AL182,AQ182,AV182)</f>
        <v>#DIV/0!</v>
      </c>
      <c r="L182" s="633" t="str">
        <f>IFERROR(AVERAGE(K182:K211),"-")</f>
        <v>-</v>
      </c>
      <c r="M182" s="201" t="e">
        <f>RANK(K182, K$147:$K$176)</f>
        <v>#DIV/0!</v>
      </c>
      <c r="N182" s="652"/>
      <c r="O182" s="652"/>
      <c r="P182" s="182"/>
      <c r="Q182" s="182"/>
      <c r="R182" s="182"/>
      <c r="S182" s="344" t="e">
        <f>RANK(R182, R$182:R$211)</f>
        <v>#N/A</v>
      </c>
      <c r="T182" s="674" t="e">
        <f>AVERAGE(R182:R211)</f>
        <v>#DIV/0!</v>
      </c>
      <c r="U182" s="182"/>
      <c r="V182" s="182"/>
      <c r="W182" s="182"/>
      <c r="X182" s="504" t="e">
        <f>RANK(W182, W$182:W$211)</f>
        <v>#N/A</v>
      </c>
      <c r="Y182" s="674" t="e">
        <f>AVERAGE(W182:W211)</f>
        <v>#DIV/0!</v>
      </c>
      <c r="Z182" s="182"/>
      <c r="AA182" s="182"/>
      <c r="AB182" s="182"/>
      <c r="AC182" s="504" t="e">
        <f>RANK(AB182, AB$182:AB$211)</f>
        <v>#N/A</v>
      </c>
      <c r="AD182" s="674" t="e">
        <f>AVERAGE(AB182:AB211)</f>
        <v>#DIV/0!</v>
      </c>
      <c r="AE182" s="182"/>
      <c r="AF182" s="182"/>
      <c r="AG182" s="182"/>
      <c r="AH182" s="504" t="e">
        <f>RANK(AG182, AG$182:AG$211)</f>
        <v>#N/A</v>
      </c>
      <c r="AI182" s="674" t="e">
        <f>AVERAGE(AG182:AG211)</f>
        <v>#DIV/0!</v>
      </c>
      <c r="AJ182" s="182"/>
      <c r="AK182" s="182"/>
      <c r="AL182" s="182"/>
      <c r="AM182" s="504" t="e">
        <f>RANK(AL182, AL$182:AL$211)</f>
        <v>#N/A</v>
      </c>
      <c r="AN182" s="674" t="e">
        <f>AVERAGE(AL182:AL211)</f>
        <v>#DIV/0!</v>
      </c>
      <c r="AO182" s="182"/>
      <c r="AP182" s="182"/>
      <c r="AQ182" s="182"/>
      <c r="AR182" s="504" t="e">
        <f>RANK(AQ182, AQ$182:AQ$211)</f>
        <v>#N/A</v>
      </c>
      <c r="AS182" s="674" t="e">
        <f>AVERAGE(AQ182:AQ211)</f>
        <v>#DIV/0!</v>
      </c>
      <c r="AT182" s="182"/>
      <c r="AU182" s="182"/>
      <c r="AV182" s="182"/>
      <c r="AW182" s="504" t="e">
        <f>RANK(AV182, AV$182:AV$211)</f>
        <v>#N/A</v>
      </c>
      <c r="AX182" s="674" t="e">
        <f>AVERAGE(AV182:AV211)</f>
        <v>#DIV/0!</v>
      </c>
    </row>
    <row r="183" spans="2:50">
      <c r="B183" s="660"/>
      <c r="C183" s="344">
        <v>2</v>
      </c>
      <c r="D183" s="227"/>
      <c r="E183" s="182"/>
      <c r="F183" s="514"/>
      <c r="G183" s="515"/>
      <c r="H183" s="702"/>
      <c r="I183" s="199" t="e">
        <f t="shared" ref="I183:I205" si="91">AVERAGE(P183,U183,Z183,AE183,AJ183,AO183,AT183)</f>
        <v>#DIV/0!</v>
      </c>
      <c r="J183" s="199" t="e">
        <f t="shared" ref="J183:J205" si="92">AVERAGE(Q183,V183,AA183,AF183,AK183,AP183,AU183)</f>
        <v>#DIV/0!</v>
      </c>
      <c r="K183" s="200" t="e">
        <f t="shared" ref="K183:K205" si="93">AVERAGE(R183,W183,AB183,AG183,AL183,AQ183,AV183)</f>
        <v>#DIV/0!</v>
      </c>
      <c r="L183" s="634"/>
      <c r="M183" s="201" t="e">
        <f>RANK(K183, K$147:$K$176)</f>
        <v>#DIV/0!</v>
      </c>
      <c r="N183" s="652"/>
      <c r="O183" s="652"/>
      <c r="P183" s="182"/>
      <c r="Q183" s="182"/>
      <c r="R183" s="182"/>
      <c r="S183" s="504" t="e">
        <f t="shared" ref="S183:S211" si="94">RANK(R183, R$182:R$211)</f>
        <v>#N/A</v>
      </c>
      <c r="T183" s="674"/>
      <c r="U183" s="182"/>
      <c r="V183" s="182"/>
      <c r="W183" s="182"/>
      <c r="X183" s="504" t="e">
        <f t="shared" ref="X183:X211" si="95">RANK(W183, W$182:W$211)</f>
        <v>#N/A</v>
      </c>
      <c r="Y183" s="674"/>
      <c r="Z183" s="182"/>
      <c r="AA183" s="182"/>
      <c r="AB183" s="182"/>
      <c r="AC183" s="504" t="e">
        <f t="shared" ref="AC183:AC211" si="96">RANK(AB183, AB$182:AB$211)</f>
        <v>#N/A</v>
      </c>
      <c r="AD183" s="674"/>
      <c r="AE183" s="182"/>
      <c r="AF183" s="182"/>
      <c r="AG183" s="182"/>
      <c r="AH183" s="504" t="e">
        <f t="shared" ref="AH183:AH211" si="97">RANK(AG183, AG$182:AG$211)</f>
        <v>#N/A</v>
      </c>
      <c r="AI183" s="674"/>
      <c r="AJ183" s="182"/>
      <c r="AK183" s="182"/>
      <c r="AL183" s="182"/>
      <c r="AM183" s="504" t="e">
        <f t="shared" ref="AM183:AM211" si="98">RANK(AL183, AL$182:AL$211)</f>
        <v>#N/A</v>
      </c>
      <c r="AN183" s="674"/>
      <c r="AO183" s="182"/>
      <c r="AP183" s="182"/>
      <c r="AQ183" s="182"/>
      <c r="AR183" s="504" t="e">
        <f t="shared" ref="AR183:AR211" si="99">RANK(AQ183, AQ$182:AQ$211)</f>
        <v>#N/A</v>
      </c>
      <c r="AS183" s="674"/>
      <c r="AT183" s="182"/>
      <c r="AU183" s="182"/>
      <c r="AV183" s="182"/>
      <c r="AW183" s="504" t="e">
        <f t="shared" ref="AW183:AW211" si="100">RANK(AV183, AV$182:AV$211)</f>
        <v>#N/A</v>
      </c>
      <c r="AX183" s="674"/>
    </row>
    <row r="184" spans="2:50">
      <c r="B184" s="660"/>
      <c r="C184" s="344">
        <v>3</v>
      </c>
      <c r="D184" s="227"/>
      <c r="E184" s="182"/>
      <c r="F184" s="514"/>
      <c r="G184" s="515"/>
      <c r="H184" s="702"/>
      <c r="I184" s="199" t="e">
        <f t="shared" si="91"/>
        <v>#DIV/0!</v>
      </c>
      <c r="J184" s="199" t="e">
        <f t="shared" si="92"/>
        <v>#DIV/0!</v>
      </c>
      <c r="K184" s="200" t="e">
        <f t="shared" si="93"/>
        <v>#DIV/0!</v>
      </c>
      <c r="L184" s="634"/>
      <c r="M184" s="201" t="e">
        <f>RANK(K184, K$147:$K$176)</f>
        <v>#DIV/0!</v>
      </c>
      <c r="N184" s="652"/>
      <c r="O184" s="652"/>
      <c r="P184" s="182"/>
      <c r="Q184" s="182"/>
      <c r="R184" s="182"/>
      <c r="S184" s="504" t="e">
        <f t="shared" si="94"/>
        <v>#N/A</v>
      </c>
      <c r="T184" s="674"/>
      <c r="U184" s="182"/>
      <c r="V184" s="182"/>
      <c r="W184" s="182"/>
      <c r="X184" s="504" t="e">
        <f t="shared" si="95"/>
        <v>#N/A</v>
      </c>
      <c r="Y184" s="674"/>
      <c r="Z184" s="182"/>
      <c r="AA184" s="182"/>
      <c r="AB184" s="182"/>
      <c r="AC184" s="504" t="e">
        <f t="shared" si="96"/>
        <v>#N/A</v>
      </c>
      <c r="AD184" s="674"/>
      <c r="AE184" s="182"/>
      <c r="AF184" s="182"/>
      <c r="AG184" s="182"/>
      <c r="AH184" s="504" t="e">
        <f t="shared" si="97"/>
        <v>#N/A</v>
      </c>
      <c r="AI184" s="674"/>
      <c r="AJ184" s="182"/>
      <c r="AK184" s="182"/>
      <c r="AL184" s="182"/>
      <c r="AM184" s="504" t="e">
        <f t="shared" si="98"/>
        <v>#N/A</v>
      </c>
      <c r="AN184" s="674"/>
      <c r="AO184" s="182"/>
      <c r="AP184" s="182"/>
      <c r="AQ184" s="182"/>
      <c r="AR184" s="504" t="e">
        <f t="shared" si="99"/>
        <v>#N/A</v>
      </c>
      <c r="AS184" s="674"/>
      <c r="AT184" s="182"/>
      <c r="AU184" s="182"/>
      <c r="AV184" s="182"/>
      <c r="AW184" s="504" t="e">
        <f t="shared" si="100"/>
        <v>#N/A</v>
      </c>
      <c r="AX184" s="674"/>
    </row>
    <row r="185" spans="2:50">
      <c r="B185" s="660"/>
      <c r="C185" s="344">
        <v>4</v>
      </c>
      <c r="D185" s="227"/>
      <c r="E185" s="182"/>
      <c r="F185" s="514"/>
      <c r="G185" s="515"/>
      <c r="H185" s="702"/>
      <c r="I185" s="199" t="e">
        <f t="shared" si="91"/>
        <v>#DIV/0!</v>
      </c>
      <c r="J185" s="199" t="e">
        <f t="shared" si="92"/>
        <v>#DIV/0!</v>
      </c>
      <c r="K185" s="200" t="e">
        <f t="shared" si="93"/>
        <v>#DIV/0!</v>
      </c>
      <c r="L185" s="634"/>
      <c r="M185" s="201" t="e">
        <f>RANK(K185, K$147:$K$176)</f>
        <v>#DIV/0!</v>
      </c>
      <c r="N185" s="652"/>
      <c r="O185" s="652"/>
      <c r="P185" s="182"/>
      <c r="Q185" s="182"/>
      <c r="R185" s="182"/>
      <c r="S185" s="504" t="e">
        <f t="shared" si="94"/>
        <v>#N/A</v>
      </c>
      <c r="T185" s="674"/>
      <c r="U185" s="182"/>
      <c r="V185" s="182"/>
      <c r="W185" s="182"/>
      <c r="X185" s="504" t="e">
        <f t="shared" si="95"/>
        <v>#N/A</v>
      </c>
      <c r="Y185" s="674"/>
      <c r="Z185" s="182"/>
      <c r="AA185" s="182"/>
      <c r="AB185" s="182"/>
      <c r="AC185" s="504" t="e">
        <f t="shared" si="96"/>
        <v>#N/A</v>
      </c>
      <c r="AD185" s="674"/>
      <c r="AE185" s="182"/>
      <c r="AF185" s="182"/>
      <c r="AG185" s="182"/>
      <c r="AH185" s="504" t="e">
        <f t="shared" si="97"/>
        <v>#N/A</v>
      </c>
      <c r="AI185" s="674"/>
      <c r="AJ185" s="182"/>
      <c r="AK185" s="182"/>
      <c r="AL185" s="182"/>
      <c r="AM185" s="504" t="e">
        <f t="shared" si="98"/>
        <v>#N/A</v>
      </c>
      <c r="AN185" s="674"/>
      <c r="AO185" s="182"/>
      <c r="AP185" s="182"/>
      <c r="AQ185" s="182"/>
      <c r="AR185" s="504" t="e">
        <f t="shared" si="99"/>
        <v>#N/A</v>
      </c>
      <c r="AS185" s="674"/>
      <c r="AT185" s="182"/>
      <c r="AU185" s="182"/>
      <c r="AV185" s="182"/>
      <c r="AW185" s="504" t="e">
        <f t="shared" si="100"/>
        <v>#N/A</v>
      </c>
      <c r="AX185" s="674"/>
    </row>
    <row r="186" spans="2:50">
      <c r="B186" s="660"/>
      <c r="C186" s="344">
        <v>5</v>
      </c>
      <c r="D186" s="227"/>
      <c r="E186" s="182"/>
      <c r="F186" s="514"/>
      <c r="G186" s="515"/>
      <c r="H186" s="702"/>
      <c r="I186" s="199" t="e">
        <f t="shared" si="91"/>
        <v>#DIV/0!</v>
      </c>
      <c r="J186" s="199" t="e">
        <f t="shared" si="92"/>
        <v>#DIV/0!</v>
      </c>
      <c r="K186" s="200" t="e">
        <f t="shared" si="93"/>
        <v>#DIV/0!</v>
      </c>
      <c r="L186" s="634"/>
      <c r="M186" s="201" t="e">
        <f>RANK(K186, K$147:$K$176)</f>
        <v>#DIV/0!</v>
      </c>
      <c r="N186" s="652"/>
      <c r="O186" s="652"/>
      <c r="P186" s="182"/>
      <c r="Q186" s="182"/>
      <c r="R186" s="182"/>
      <c r="S186" s="504" t="e">
        <f t="shared" si="94"/>
        <v>#N/A</v>
      </c>
      <c r="T186" s="674"/>
      <c r="U186" s="182"/>
      <c r="V186" s="182"/>
      <c r="W186" s="182"/>
      <c r="X186" s="504" t="e">
        <f t="shared" si="95"/>
        <v>#N/A</v>
      </c>
      <c r="Y186" s="674"/>
      <c r="Z186" s="182"/>
      <c r="AA186" s="182"/>
      <c r="AB186" s="182"/>
      <c r="AC186" s="504" t="e">
        <f t="shared" si="96"/>
        <v>#N/A</v>
      </c>
      <c r="AD186" s="674"/>
      <c r="AE186" s="182"/>
      <c r="AF186" s="182"/>
      <c r="AG186" s="182"/>
      <c r="AH186" s="504" t="e">
        <f t="shared" si="97"/>
        <v>#N/A</v>
      </c>
      <c r="AI186" s="674"/>
      <c r="AJ186" s="182"/>
      <c r="AK186" s="182"/>
      <c r="AL186" s="182"/>
      <c r="AM186" s="504" t="e">
        <f t="shared" si="98"/>
        <v>#N/A</v>
      </c>
      <c r="AN186" s="674"/>
      <c r="AO186" s="182"/>
      <c r="AP186" s="182"/>
      <c r="AQ186" s="182"/>
      <c r="AR186" s="504" t="e">
        <f t="shared" si="99"/>
        <v>#N/A</v>
      </c>
      <c r="AS186" s="674"/>
      <c r="AT186" s="182"/>
      <c r="AU186" s="182"/>
      <c r="AV186" s="182"/>
      <c r="AW186" s="504" t="e">
        <f t="shared" si="100"/>
        <v>#N/A</v>
      </c>
      <c r="AX186" s="674"/>
    </row>
    <row r="187" spans="2:50">
      <c r="B187" s="660"/>
      <c r="C187" s="344">
        <v>6</v>
      </c>
      <c r="D187" s="227"/>
      <c r="E187" s="182"/>
      <c r="F187" s="514"/>
      <c r="G187" s="515"/>
      <c r="H187" s="702"/>
      <c r="I187" s="199" t="e">
        <f t="shared" si="91"/>
        <v>#DIV/0!</v>
      </c>
      <c r="J187" s="199" t="e">
        <f t="shared" si="92"/>
        <v>#DIV/0!</v>
      </c>
      <c r="K187" s="200" t="e">
        <f t="shared" si="93"/>
        <v>#DIV/0!</v>
      </c>
      <c r="L187" s="634"/>
      <c r="M187" s="201" t="e">
        <f>RANK(K187, K$147:$K$176)</f>
        <v>#DIV/0!</v>
      </c>
      <c r="N187" s="652"/>
      <c r="O187" s="652"/>
      <c r="P187" s="182"/>
      <c r="Q187" s="182"/>
      <c r="R187" s="182"/>
      <c r="S187" s="504" t="e">
        <f t="shared" si="94"/>
        <v>#N/A</v>
      </c>
      <c r="T187" s="674"/>
      <c r="U187" s="182"/>
      <c r="V187" s="182"/>
      <c r="W187" s="182"/>
      <c r="X187" s="504" t="e">
        <f t="shared" si="95"/>
        <v>#N/A</v>
      </c>
      <c r="Y187" s="674"/>
      <c r="Z187" s="182"/>
      <c r="AA187" s="182"/>
      <c r="AB187" s="182"/>
      <c r="AC187" s="504" t="e">
        <f t="shared" si="96"/>
        <v>#N/A</v>
      </c>
      <c r="AD187" s="674"/>
      <c r="AE187" s="182"/>
      <c r="AF187" s="182"/>
      <c r="AG187" s="182"/>
      <c r="AH187" s="504" t="e">
        <f t="shared" si="97"/>
        <v>#N/A</v>
      </c>
      <c r="AI187" s="674"/>
      <c r="AJ187" s="182"/>
      <c r="AK187" s="182"/>
      <c r="AL187" s="182"/>
      <c r="AM187" s="504" t="e">
        <f t="shared" si="98"/>
        <v>#N/A</v>
      </c>
      <c r="AN187" s="674"/>
      <c r="AO187" s="182"/>
      <c r="AP187" s="182"/>
      <c r="AQ187" s="182"/>
      <c r="AR187" s="504" t="e">
        <f t="shared" si="99"/>
        <v>#N/A</v>
      </c>
      <c r="AS187" s="674"/>
      <c r="AT187" s="182"/>
      <c r="AU187" s="182"/>
      <c r="AV187" s="182"/>
      <c r="AW187" s="504" t="e">
        <f t="shared" si="100"/>
        <v>#N/A</v>
      </c>
      <c r="AX187" s="674"/>
    </row>
    <row r="188" spans="2:50">
      <c r="B188" s="660"/>
      <c r="C188" s="344">
        <v>7</v>
      </c>
      <c r="D188" s="227"/>
      <c r="E188" s="182"/>
      <c r="F188" s="514"/>
      <c r="G188" s="515"/>
      <c r="H188" s="702"/>
      <c r="I188" s="199" t="e">
        <f t="shared" si="91"/>
        <v>#DIV/0!</v>
      </c>
      <c r="J188" s="199" t="e">
        <f t="shared" si="92"/>
        <v>#DIV/0!</v>
      </c>
      <c r="K188" s="200" t="e">
        <f t="shared" si="93"/>
        <v>#DIV/0!</v>
      </c>
      <c r="L188" s="634"/>
      <c r="M188" s="201" t="e">
        <f>RANK(K188, K$147:$K$176)</f>
        <v>#DIV/0!</v>
      </c>
      <c r="N188" s="652"/>
      <c r="O188" s="652"/>
      <c r="P188" s="182"/>
      <c r="Q188" s="182"/>
      <c r="R188" s="182"/>
      <c r="S188" s="504" t="e">
        <f t="shared" si="94"/>
        <v>#N/A</v>
      </c>
      <c r="T188" s="674"/>
      <c r="U188" s="182"/>
      <c r="V188" s="182"/>
      <c r="W188" s="182"/>
      <c r="X188" s="504" t="e">
        <f t="shared" si="95"/>
        <v>#N/A</v>
      </c>
      <c r="Y188" s="674"/>
      <c r="Z188" s="182"/>
      <c r="AA188" s="182"/>
      <c r="AB188" s="182"/>
      <c r="AC188" s="504" t="e">
        <f t="shared" si="96"/>
        <v>#N/A</v>
      </c>
      <c r="AD188" s="674"/>
      <c r="AE188" s="182"/>
      <c r="AF188" s="182"/>
      <c r="AG188" s="182"/>
      <c r="AH188" s="504" t="e">
        <f t="shared" si="97"/>
        <v>#N/A</v>
      </c>
      <c r="AI188" s="674"/>
      <c r="AJ188" s="182"/>
      <c r="AK188" s="182"/>
      <c r="AL188" s="182"/>
      <c r="AM188" s="504" t="e">
        <f t="shared" si="98"/>
        <v>#N/A</v>
      </c>
      <c r="AN188" s="674"/>
      <c r="AO188" s="182"/>
      <c r="AP188" s="182"/>
      <c r="AQ188" s="182"/>
      <c r="AR188" s="504" t="e">
        <f t="shared" si="99"/>
        <v>#N/A</v>
      </c>
      <c r="AS188" s="674"/>
      <c r="AT188" s="182"/>
      <c r="AU188" s="182"/>
      <c r="AV188" s="182"/>
      <c r="AW188" s="504" t="e">
        <f t="shared" si="100"/>
        <v>#N/A</v>
      </c>
      <c r="AX188" s="674"/>
    </row>
    <row r="189" spans="2:50">
      <c r="B189" s="660"/>
      <c r="C189" s="344">
        <v>8</v>
      </c>
      <c r="D189" s="227"/>
      <c r="E189" s="182"/>
      <c r="F189" s="514"/>
      <c r="G189" s="515"/>
      <c r="H189" s="702"/>
      <c r="I189" s="199" t="e">
        <f t="shared" si="91"/>
        <v>#DIV/0!</v>
      </c>
      <c r="J189" s="199" t="e">
        <f t="shared" si="92"/>
        <v>#DIV/0!</v>
      </c>
      <c r="K189" s="200" t="e">
        <f t="shared" si="93"/>
        <v>#DIV/0!</v>
      </c>
      <c r="L189" s="634"/>
      <c r="M189" s="201" t="e">
        <f>RANK(K189, K$147:$K$176)</f>
        <v>#DIV/0!</v>
      </c>
      <c r="N189" s="652"/>
      <c r="O189" s="652"/>
      <c r="P189" s="182"/>
      <c r="Q189" s="182"/>
      <c r="R189" s="182"/>
      <c r="S189" s="504" t="e">
        <f t="shared" si="94"/>
        <v>#N/A</v>
      </c>
      <c r="T189" s="674"/>
      <c r="U189" s="182"/>
      <c r="V189" s="182"/>
      <c r="W189" s="182"/>
      <c r="X189" s="504" t="e">
        <f t="shared" si="95"/>
        <v>#N/A</v>
      </c>
      <c r="Y189" s="674"/>
      <c r="Z189" s="182"/>
      <c r="AA189" s="182"/>
      <c r="AB189" s="182"/>
      <c r="AC189" s="504" t="e">
        <f t="shared" si="96"/>
        <v>#N/A</v>
      </c>
      <c r="AD189" s="674"/>
      <c r="AE189" s="182"/>
      <c r="AF189" s="182"/>
      <c r="AG189" s="182"/>
      <c r="AH189" s="504" t="e">
        <f t="shared" si="97"/>
        <v>#N/A</v>
      </c>
      <c r="AI189" s="674"/>
      <c r="AJ189" s="182"/>
      <c r="AK189" s="182"/>
      <c r="AL189" s="182"/>
      <c r="AM189" s="504" t="e">
        <f t="shared" si="98"/>
        <v>#N/A</v>
      </c>
      <c r="AN189" s="674"/>
      <c r="AO189" s="182"/>
      <c r="AP189" s="182"/>
      <c r="AQ189" s="182"/>
      <c r="AR189" s="504" t="e">
        <f t="shared" si="99"/>
        <v>#N/A</v>
      </c>
      <c r="AS189" s="674"/>
      <c r="AT189" s="182"/>
      <c r="AU189" s="182"/>
      <c r="AV189" s="182"/>
      <c r="AW189" s="504" t="e">
        <f t="shared" si="100"/>
        <v>#N/A</v>
      </c>
      <c r="AX189" s="674"/>
    </row>
    <row r="190" spans="2:50">
      <c r="B190" s="660"/>
      <c r="C190" s="344">
        <v>9</v>
      </c>
      <c r="D190" s="227"/>
      <c r="E190" s="182"/>
      <c r="F190" s="514"/>
      <c r="G190" s="515"/>
      <c r="H190" s="702"/>
      <c r="I190" s="199" t="e">
        <f t="shared" si="91"/>
        <v>#DIV/0!</v>
      </c>
      <c r="J190" s="199" t="e">
        <f t="shared" si="92"/>
        <v>#DIV/0!</v>
      </c>
      <c r="K190" s="200" t="e">
        <f t="shared" si="93"/>
        <v>#DIV/0!</v>
      </c>
      <c r="L190" s="634"/>
      <c r="M190" s="201" t="e">
        <f>RANK(K190, K$147:$K$176)</f>
        <v>#DIV/0!</v>
      </c>
      <c r="N190" s="652"/>
      <c r="O190" s="652"/>
      <c r="P190" s="182"/>
      <c r="Q190" s="182"/>
      <c r="R190" s="182"/>
      <c r="S190" s="504" t="e">
        <f t="shared" si="94"/>
        <v>#N/A</v>
      </c>
      <c r="T190" s="674"/>
      <c r="U190" s="182"/>
      <c r="V190" s="182"/>
      <c r="W190" s="182"/>
      <c r="X190" s="504" t="e">
        <f t="shared" si="95"/>
        <v>#N/A</v>
      </c>
      <c r="Y190" s="674"/>
      <c r="Z190" s="182"/>
      <c r="AA190" s="182"/>
      <c r="AB190" s="182"/>
      <c r="AC190" s="504" t="e">
        <f t="shared" si="96"/>
        <v>#N/A</v>
      </c>
      <c r="AD190" s="674"/>
      <c r="AE190" s="182"/>
      <c r="AF190" s="182"/>
      <c r="AG190" s="182"/>
      <c r="AH190" s="504" t="e">
        <f t="shared" si="97"/>
        <v>#N/A</v>
      </c>
      <c r="AI190" s="674"/>
      <c r="AJ190" s="182"/>
      <c r="AK190" s="182"/>
      <c r="AL190" s="182"/>
      <c r="AM190" s="504" t="e">
        <f t="shared" si="98"/>
        <v>#N/A</v>
      </c>
      <c r="AN190" s="674"/>
      <c r="AO190" s="182"/>
      <c r="AP190" s="182"/>
      <c r="AQ190" s="182"/>
      <c r="AR190" s="504" t="e">
        <f t="shared" si="99"/>
        <v>#N/A</v>
      </c>
      <c r="AS190" s="674"/>
      <c r="AT190" s="182"/>
      <c r="AU190" s="182"/>
      <c r="AV190" s="182"/>
      <c r="AW190" s="504" t="e">
        <f t="shared" si="100"/>
        <v>#N/A</v>
      </c>
      <c r="AX190" s="674"/>
    </row>
    <row r="191" spans="2:50">
      <c r="B191" s="660"/>
      <c r="C191" s="344">
        <v>10</v>
      </c>
      <c r="D191" s="227"/>
      <c r="E191" s="182"/>
      <c r="F191" s="514"/>
      <c r="G191" s="515"/>
      <c r="H191" s="702"/>
      <c r="I191" s="199" t="e">
        <f t="shared" si="91"/>
        <v>#DIV/0!</v>
      </c>
      <c r="J191" s="199" t="e">
        <f t="shared" si="92"/>
        <v>#DIV/0!</v>
      </c>
      <c r="K191" s="200" t="e">
        <f t="shared" si="93"/>
        <v>#DIV/0!</v>
      </c>
      <c r="L191" s="634"/>
      <c r="M191" s="201" t="e">
        <f>RANK(K191, K$147:$K$176)</f>
        <v>#DIV/0!</v>
      </c>
      <c r="N191" s="652"/>
      <c r="O191" s="652"/>
      <c r="P191" s="182"/>
      <c r="Q191" s="182"/>
      <c r="R191" s="182"/>
      <c r="S191" s="504" t="e">
        <f t="shared" si="94"/>
        <v>#N/A</v>
      </c>
      <c r="T191" s="674"/>
      <c r="U191" s="182"/>
      <c r="V191" s="182"/>
      <c r="W191" s="182"/>
      <c r="X191" s="504" t="e">
        <f t="shared" si="95"/>
        <v>#N/A</v>
      </c>
      <c r="Y191" s="674"/>
      <c r="Z191" s="182"/>
      <c r="AA191" s="182"/>
      <c r="AB191" s="182"/>
      <c r="AC191" s="504" t="e">
        <f t="shared" si="96"/>
        <v>#N/A</v>
      </c>
      <c r="AD191" s="674"/>
      <c r="AE191" s="182"/>
      <c r="AF191" s="182"/>
      <c r="AG191" s="182"/>
      <c r="AH191" s="504" t="e">
        <f t="shared" si="97"/>
        <v>#N/A</v>
      </c>
      <c r="AI191" s="674"/>
      <c r="AJ191" s="182"/>
      <c r="AK191" s="182"/>
      <c r="AL191" s="182"/>
      <c r="AM191" s="504" t="e">
        <f t="shared" si="98"/>
        <v>#N/A</v>
      </c>
      <c r="AN191" s="674"/>
      <c r="AO191" s="182"/>
      <c r="AP191" s="182"/>
      <c r="AQ191" s="182"/>
      <c r="AR191" s="504" t="e">
        <f t="shared" si="99"/>
        <v>#N/A</v>
      </c>
      <c r="AS191" s="674"/>
      <c r="AT191" s="182"/>
      <c r="AU191" s="182"/>
      <c r="AV191" s="182"/>
      <c r="AW191" s="504" t="e">
        <f t="shared" si="100"/>
        <v>#N/A</v>
      </c>
      <c r="AX191" s="674"/>
    </row>
    <row r="192" spans="2:50">
      <c r="B192" s="660"/>
      <c r="C192" s="344">
        <v>11</v>
      </c>
      <c r="D192" s="227"/>
      <c r="E192" s="182"/>
      <c r="F192" s="514"/>
      <c r="G192" s="515"/>
      <c r="H192" s="702"/>
      <c r="I192" s="199" t="e">
        <f t="shared" si="91"/>
        <v>#DIV/0!</v>
      </c>
      <c r="J192" s="199" t="e">
        <f t="shared" si="92"/>
        <v>#DIV/0!</v>
      </c>
      <c r="K192" s="200" t="e">
        <f t="shared" si="93"/>
        <v>#DIV/0!</v>
      </c>
      <c r="L192" s="634"/>
      <c r="M192" s="201" t="e">
        <f>RANK(K192, K$147:$K$176)</f>
        <v>#DIV/0!</v>
      </c>
      <c r="N192" s="652"/>
      <c r="O192" s="652"/>
      <c r="P192" s="182"/>
      <c r="Q192" s="182"/>
      <c r="R192" s="182"/>
      <c r="S192" s="504" t="e">
        <f t="shared" si="94"/>
        <v>#N/A</v>
      </c>
      <c r="T192" s="674"/>
      <c r="U192" s="182"/>
      <c r="V192" s="182"/>
      <c r="W192" s="182"/>
      <c r="X192" s="504" t="e">
        <f t="shared" si="95"/>
        <v>#N/A</v>
      </c>
      <c r="Y192" s="674"/>
      <c r="Z192" s="182"/>
      <c r="AA192" s="182"/>
      <c r="AB192" s="182"/>
      <c r="AC192" s="504" t="e">
        <f t="shared" si="96"/>
        <v>#N/A</v>
      </c>
      <c r="AD192" s="674"/>
      <c r="AE192" s="182"/>
      <c r="AF192" s="182"/>
      <c r="AG192" s="182"/>
      <c r="AH192" s="504" t="e">
        <f t="shared" si="97"/>
        <v>#N/A</v>
      </c>
      <c r="AI192" s="674"/>
      <c r="AJ192" s="182"/>
      <c r="AK192" s="182"/>
      <c r="AL192" s="182"/>
      <c r="AM192" s="504" t="e">
        <f t="shared" si="98"/>
        <v>#N/A</v>
      </c>
      <c r="AN192" s="674"/>
      <c r="AO192" s="182"/>
      <c r="AP192" s="182"/>
      <c r="AQ192" s="182"/>
      <c r="AR192" s="504" t="e">
        <f t="shared" si="99"/>
        <v>#N/A</v>
      </c>
      <c r="AS192" s="674"/>
      <c r="AT192" s="182"/>
      <c r="AU192" s="182"/>
      <c r="AV192" s="182"/>
      <c r="AW192" s="504" t="e">
        <f t="shared" si="100"/>
        <v>#N/A</v>
      </c>
      <c r="AX192" s="674"/>
    </row>
    <row r="193" spans="2:50">
      <c r="B193" s="660"/>
      <c r="C193" s="344">
        <v>12</v>
      </c>
      <c r="D193" s="227"/>
      <c r="E193" s="182"/>
      <c r="F193" s="514"/>
      <c r="G193" s="515"/>
      <c r="H193" s="702"/>
      <c r="I193" s="199" t="e">
        <f t="shared" si="91"/>
        <v>#DIV/0!</v>
      </c>
      <c r="J193" s="199" t="e">
        <f t="shared" si="92"/>
        <v>#DIV/0!</v>
      </c>
      <c r="K193" s="200" t="e">
        <f t="shared" si="93"/>
        <v>#DIV/0!</v>
      </c>
      <c r="L193" s="634"/>
      <c r="M193" s="201" t="e">
        <f>RANK(K193, K$147:$K$176)</f>
        <v>#DIV/0!</v>
      </c>
      <c r="N193" s="652"/>
      <c r="O193" s="652"/>
      <c r="P193" s="182"/>
      <c r="Q193" s="182"/>
      <c r="R193" s="182"/>
      <c r="S193" s="504" t="e">
        <f t="shared" si="94"/>
        <v>#N/A</v>
      </c>
      <c r="T193" s="674"/>
      <c r="U193" s="182"/>
      <c r="V193" s="182"/>
      <c r="W193" s="182"/>
      <c r="X193" s="504" t="e">
        <f t="shared" si="95"/>
        <v>#N/A</v>
      </c>
      <c r="Y193" s="674"/>
      <c r="Z193" s="182"/>
      <c r="AA193" s="182"/>
      <c r="AB193" s="182"/>
      <c r="AC193" s="504" t="e">
        <f t="shared" si="96"/>
        <v>#N/A</v>
      </c>
      <c r="AD193" s="674"/>
      <c r="AE193" s="182"/>
      <c r="AF193" s="182"/>
      <c r="AG193" s="182"/>
      <c r="AH193" s="504" t="e">
        <f t="shared" si="97"/>
        <v>#N/A</v>
      </c>
      <c r="AI193" s="674"/>
      <c r="AJ193" s="182"/>
      <c r="AK193" s="182"/>
      <c r="AL193" s="182"/>
      <c r="AM193" s="504" t="e">
        <f t="shared" si="98"/>
        <v>#N/A</v>
      </c>
      <c r="AN193" s="674"/>
      <c r="AO193" s="182"/>
      <c r="AP193" s="182"/>
      <c r="AQ193" s="182"/>
      <c r="AR193" s="504" t="e">
        <f t="shared" si="99"/>
        <v>#N/A</v>
      </c>
      <c r="AS193" s="674"/>
      <c r="AT193" s="182"/>
      <c r="AU193" s="182"/>
      <c r="AV193" s="182"/>
      <c r="AW193" s="504" t="e">
        <f t="shared" si="100"/>
        <v>#N/A</v>
      </c>
      <c r="AX193" s="674"/>
    </row>
    <row r="194" spans="2:50">
      <c r="B194" s="660"/>
      <c r="C194" s="344">
        <v>13</v>
      </c>
      <c r="D194" s="227"/>
      <c r="E194" s="182"/>
      <c r="F194" s="514"/>
      <c r="G194" s="515"/>
      <c r="H194" s="702"/>
      <c r="I194" s="199" t="e">
        <f t="shared" si="91"/>
        <v>#DIV/0!</v>
      </c>
      <c r="J194" s="199" t="e">
        <f t="shared" si="92"/>
        <v>#DIV/0!</v>
      </c>
      <c r="K194" s="200" t="e">
        <f t="shared" si="93"/>
        <v>#DIV/0!</v>
      </c>
      <c r="L194" s="634"/>
      <c r="M194" s="201" t="e">
        <f>RANK(K194, K$147:$K$176)</f>
        <v>#DIV/0!</v>
      </c>
      <c r="N194" s="652"/>
      <c r="O194" s="652"/>
      <c r="P194" s="182"/>
      <c r="Q194" s="182"/>
      <c r="R194" s="182"/>
      <c r="S194" s="504" t="e">
        <f t="shared" si="94"/>
        <v>#N/A</v>
      </c>
      <c r="T194" s="674"/>
      <c r="U194" s="182"/>
      <c r="V194" s="182"/>
      <c r="W194" s="182"/>
      <c r="X194" s="504" t="e">
        <f t="shared" si="95"/>
        <v>#N/A</v>
      </c>
      <c r="Y194" s="674"/>
      <c r="Z194" s="182"/>
      <c r="AA194" s="182"/>
      <c r="AB194" s="182"/>
      <c r="AC194" s="504" t="e">
        <f t="shared" si="96"/>
        <v>#N/A</v>
      </c>
      <c r="AD194" s="674"/>
      <c r="AE194" s="182"/>
      <c r="AF194" s="182"/>
      <c r="AG194" s="182"/>
      <c r="AH194" s="504" t="e">
        <f t="shared" si="97"/>
        <v>#N/A</v>
      </c>
      <c r="AI194" s="674"/>
      <c r="AJ194" s="182"/>
      <c r="AK194" s="182"/>
      <c r="AL194" s="182"/>
      <c r="AM194" s="504" t="e">
        <f t="shared" si="98"/>
        <v>#N/A</v>
      </c>
      <c r="AN194" s="674"/>
      <c r="AO194" s="182"/>
      <c r="AP194" s="182"/>
      <c r="AQ194" s="182"/>
      <c r="AR194" s="504" t="e">
        <f t="shared" si="99"/>
        <v>#N/A</v>
      </c>
      <c r="AS194" s="674"/>
      <c r="AT194" s="182"/>
      <c r="AU194" s="182"/>
      <c r="AV194" s="182"/>
      <c r="AW194" s="504" t="e">
        <f t="shared" si="100"/>
        <v>#N/A</v>
      </c>
      <c r="AX194" s="674"/>
    </row>
    <row r="195" spans="2:50">
      <c r="B195" s="660"/>
      <c r="C195" s="344">
        <v>14</v>
      </c>
      <c r="D195" s="227"/>
      <c r="E195" s="182"/>
      <c r="F195" s="514"/>
      <c r="G195" s="515"/>
      <c r="H195" s="702"/>
      <c r="I195" s="199" t="e">
        <f t="shared" si="91"/>
        <v>#DIV/0!</v>
      </c>
      <c r="J195" s="199" t="e">
        <f t="shared" si="92"/>
        <v>#DIV/0!</v>
      </c>
      <c r="K195" s="200" t="e">
        <f t="shared" si="93"/>
        <v>#DIV/0!</v>
      </c>
      <c r="L195" s="634"/>
      <c r="M195" s="201" t="e">
        <f>RANK(K195, K$147:$K$176)</f>
        <v>#DIV/0!</v>
      </c>
      <c r="N195" s="652"/>
      <c r="O195" s="652"/>
      <c r="P195" s="182"/>
      <c r="Q195" s="182"/>
      <c r="R195" s="182"/>
      <c r="S195" s="504" t="e">
        <f t="shared" si="94"/>
        <v>#N/A</v>
      </c>
      <c r="T195" s="674"/>
      <c r="U195" s="182"/>
      <c r="V195" s="182"/>
      <c r="W195" s="182"/>
      <c r="X195" s="504" t="e">
        <f t="shared" si="95"/>
        <v>#N/A</v>
      </c>
      <c r="Y195" s="674"/>
      <c r="Z195" s="182"/>
      <c r="AA195" s="182"/>
      <c r="AB195" s="182"/>
      <c r="AC195" s="504" t="e">
        <f t="shared" si="96"/>
        <v>#N/A</v>
      </c>
      <c r="AD195" s="674"/>
      <c r="AE195" s="182"/>
      <c r="AF195" s="182"/>
      <c r="AG195" s="182"/>
      <c r="AH195" s="504" t="e">
        <f t="shared" si="97"/>
        <v>#N/A</v>
      </c>
      <c r="AI195" s="674"/>
      <c r="AJ195" s="182"/>
      <c r="AK195" s="182"/>
      <c r="AL195" s="182"/>
      <c r="AM195" s="504" t="e">
        <f t="shared" si="98"/>
        <v>#N/A</v>
      </c>
      <c r="AN195" s="674"/>
      <c r="AO195" s="182"/>
      <c r="AP195" s="182"/>
      <c r="AQ195" s="182"/>
      <c r="AR195" s="504" t="e">
        <f t="shared" si="99"/>
        <v>#N/A</v>
      </c>
      <c r="AS195" s="674"/>
      <c r="AT195" s="182"/>
      <c r="AU195" s="182"/>
      <c r="AV195" s="182"/>
      <c r="AW195" s="504" t="e">
        <f t="shared" si="100"/>
        <v>#N/A</v>
      </c>
      <c r="AX195" s="674"/>
    </row>
    <row r="196" spans="2:50">
      <c r="B196" s="660"/>
      <c r="C196" s="344">
        <v>15</v>
      </c>
      <c r="D196" s="227"/>
      <c r="E196" s="182"/>
      <c r="F196" s="514"/>
      <c r="G196" s="515"/>
      <c r="H196" s="702"/>
      <c r="I196" s="199" t="e">
        <f t="shared" si="91"/>
        <v>#DIV/0!</v>
      </c>
      <c r="J196" s="199" t="e">
        <f t="shared" si="92"/>
        <v>#DIV/0!</v>
      </c>
      <c r="K196" s="200" t="e">
        <f t="shared" si="93"/>
        <v>#DIV/0!</v>
      </c>
      <c r="L196" s="634"/>
      <c r="M196" s="199" t="e">
        <f>RANK(K196, K$147:$K$176)</f>
        <v>#DIV/0!</v>
      </c>
      <c r="N196" s="652"/>
      <c r="O196" s="652"/>
      <c r="P196" s="182"/>
      <c r="Q196" s="182"/>
      <c r="R196" s="182"/>
      <c r="S196" s="504" t="e">
        <f t="shared" si="94"/>
        <v>#N/A</v>
      </c>
      <c r="T196" s="674"/>
      <c r="U196" s="182"/>
      <c r="V196" s="182"/>
      <c r="W196" s="182"/>
      <c r="X196" s="504" t="e">
        <f t="shared" si="95"/>
        <v>#N/A</v>
      </c>
      <c r="Y196" s="674"/>
      <c r="Z196" s="182"/>
      <c r="AA196" s="182"/>
      <c r="AB196" s="182"/>
      <c r="AC196" s="504" t="e">
        <f t="shared" si="96"/>
        <v>#N/A</v>
      </c>
      <c r="AD196" s="674"/>
      <c r="AE196" s="182"/>
      <c r="AF196" s="182"/>
      <c r="AG196" s="182"/>
      <c r="AH196" s="504" t="e">
        <f t="shared" si="97"/>
        <v>#N/A</v>
      </c>
      <c r="AI196" s="674"/>
      <c r="AJ196" s="182"/>
      <c r="AK196" s="182"/>
      <c r="AL196" s="182"/>
      <c r="AM196" s="504" t="e">
        <f t="shared" si="98"/>
        <v>#N/A</v>
      </c>
      <c r="AN196" s="674"/>
      <c r="AO196" s="182"/>
      <c r="AP196" s="182"/>
      <c r="AQ196" s="182"/>
      <c r="AR196" s="504" t="e">
        <f t="shared" si="99"/>
        <v>#N/A</v>
      </c>
      <c r="AS196" s="674"/>
      <c r="AT196" s="182"/>
      <c r="AU196" s="182"/>
      <c r="AV196" s="182"/>
      <c r="AW196" s="504" t="e">
        <f t="shared" si="100"/>
        <v>#N/A</v>
      </c>
      <c r="AX196" s="674"/>
    </row>
    <row r="197" spans="2:50">
      <c r="B197" s="660"/>
      <c r="C197" s="344">
        <v>16</v>
      </c>
      <c r="D197" s="227"/>
      <c r="E197" s="182"/>
      <c r="F197" s="514"/>
      <c r="G197" s="515"/>
      <c r="H197" s="702"/>
      <c r="I197" s="199" t="e">
        <f t="shared" si="91"/>
        <v>#DIV/0!</v>
      </c>
      <c r="J197" s="199" t="e">
        <f t="shared" si="92"/>
        <v>#DIV/0!</v>
      </c>
      <c r="K197" s="200" t="e">
        <f t="shared" si="93"/>
        <v>#DIV/0!</v>
      </c>
      <c r="L197" s="634"/>
      <c r="M197" s="199" t="e">
        <f>RANK(K197, K$147:$K$176)</f>
        <v>#DIV/0!</v>
      </c>
      <c r="N197" s="652"/>
      <c r="O197" s="652"/>
      <c r="P197" s="182"/>
      <c r="Q197" s="182"/>
      <c r="R197" s="182"/>
      <c r="S197" s="504" t="e">
        <f t="shared" si="94"/>
        <v>#N/A</v>
      </c>
      <c r="T197" s="674"/>
      <c r="U197" s="182"/>
      <c r="V197" s="182"/>
      <c r="W197" s="182"/>
      <c r="X197" s="504" t="e">
        <f t="shared" si="95"/>
        <v>#N/A</v>
      </c>
      <c r="Y197" s="674"/>
      <c r="Z197" s="182"/>
      <c r="AA197" s="182"/>
      <c r="AB197" s="182"/>
      <c r="AC197" s="504" t="e">
        <f t="shared" si="96"/>
        <v>#N/A</v>
      </c>
      <c r="AD197" s="674"/>
      <c r="AE197" s="182"/>
      <c r="AF197" s="182"/>
      <c r="AG197" s="182"/>
      <c r="AH197" s="504" t="e">
        <f t="shared" si="97"/>
        <v>#N/A</v>
      </c>
      <c r="AI197" s="674"/>
      <c r="AJ197" s="182"/>
      <c r="AK197" s="182"/>
      <c r="AL197" s="182"/>
      <c r="AM197" s="504" t="e">
        <f t="shared" si="98"/>
        <v>#N/A</v>
      </c>
      <c r="AN197" s="674"/>
      <c r="AO197" s="182"/>
      <c r="AP197" s="182"/>
      <c r="AQ197" s="182"/>
      <c r="AR197" s="504" t="e">
        <f t="shared" si="99"/>
        <v>#N/A</v>
      </c>
      <c r="AS197" s="674"/>
      <c r="AT197" s="182"/>
      <c r="AU197" s="182"/>
      <c r="AV197" s="182"/>
      <c r="AW197" s="504" t="e">
        <f t="shared" si="100"/>
        <v>#N/A</v>
      </c>
      <c r="AX197" s="674"/>
    </row>
    <row r="198" spans="2:50">
      <c r="B198" s="660"/>
      <c r="C198" s="344">
        <v>17</v>
      </c>
      <c r="D198" s="227"/>
      <c r="E198" s="182"/>
      <c r="F198" s="514"/>
      <c r="G198" s="515"/>
      <c r="H198" s="702"/>
      <c r="I198" s="199" t="e">
        <f t="shared" si="91"/>
        <v>#DIV/0!</v>
      </c>
      <c r="J198" s="199" t="e">
        <f t="shared" si="92"/>
        <v>#DIV/0!</v>
      </c>
      <c r="K198" s="200" t="e">
        <f t="shared" si="93"/>
        <v>#DIV/0!</v>
      </c>
      <c r="L198" s="634"/>
      <c r="M198" s="199" t="e">
        <f>RANK(K198, K$147:$K$176)</f>
        <v>#DIV/0!</v>
      </c>
      <c r="N198" s="652"/>
      <c r="O198" s="652"/>
      <c r="P198" s="182"/>
      <c r="Q198" s="182"/>
      <c r="R198" s="182"/>
      <c r="S198" s="504" t="e">
        <f t="shared" si="94"/>
        <v>#N/A</v>
      </c>
      <c r="T198" s="674"/>
      <c r="U198" s="182"/>
      <c r="V198" s="182"/>
      <c r="W198" s="182"/>
      <c r="X198" s="504" t="e">
        <f t="shared" si="95"/>
        <v>#N/A</v>
      </c>
      <c r="Y198" s="674"/>
      <c r="Z198" s="182"/>
      <c r="AA198" s="182"/>
      <c r="AB198" s="182"/>
      <c r="AC198" s="504" t="e">
        <f t="shared" si="96"/>
        <v>#N/A</v>
      </c>
      <c r="AD198" s="674"/>
      <c r="AE198" s="182"/>
      <c r="AF198" s="182"/>
      <c r="AG198" s="182"/>
      <c r="AH198" s="504" t="e">
        <f t="shared" si="97"/>
        <v>#N/A</v>
      </c>
      <c r="AI198" s="674"/>
      <c r="AJ198" s="182"/>
      <c r="AK198" s="182"/>
      <c r="AL198" s="182"/>
      <c r="AM198" s="504" t="e">
        <f t="shared" si="98"/>
        <v>#N/A</v>
      </c>
      <c r="AN198" s="674"/>
      <c r="AO198" s="182"/>
      <c r="AP198" s="182"/>
      <c r="AQ198" s="182"/>
      <c r="AR198" s="504" t="e">
        <f t="shared" si="99"/>
        <v>#N/A</v>
      </c>
      <c r="AS198" s="674"/>
      <c r="AT198" s="182"/>
      <c r="AU198" s="182"/>
      <c r="AV198" s="182"/>
      <c r="AW198" s="504" t="e">
        <f t="shared" si="100"/>
        <v>#N/A</v>
      </c>
      <c r="AX198" s="674"/>
    </row>
    <row r="199" spans="2:50">
      <c r="B199" s="660"/>
      <c r="C199" s="344">
        <v>18</v>
      </c>
      <c r="D199" s="227"/>
      <c r="E199" s="182"/>
      <c r="F199" s="514"/>
      <c r="G199" s="515"/>
      <c r="H199" s="702"/>
      <c r="I199" s="199" t="e">
        <f t="shared" si="91"/>
        <v>#DIV/0!</v>
      </c>
      <c r="J199" s="199" t="e">
        <f t="shared" si="92"/>
        <v>#DIV/0!</v>
      </c>
      <c r="K199" s="200" t="e">
        <f t="shared" si="93"/>
        <v>#DIV/0!</v>
      </c>
      <c r="L199" s="634"/>
      <c r="M199" s="199" t="e">
        <f>RANK(K199, K$147:$K$176)</f>
        <v>#DIV/0!</v>
      </c>
      <c r="N199" s="652"/>
      <c r="O199" s="652"/>
      <c r="P199" s="182"/>
      <c r="Q199" s="182"/>
      <c r="R199" s="182"/>
      <c r="S199" s="504" t="e">
        <f t="shared" si="94"/>
        <v>#N/A</v>
      </c>
      <c r="T199" s="674"/>
      <c r="U199" s="182"/>
      <c r="V199" s="182"/>
      <c r="W199" s="182"/>
      <c r="X199" s="504" t="e">
        <f t="shared" si="95"/>
        <v>#N/A</v>
      </c>
      <c r="Y199" s="674"/>
      <c r="Z199" s="182"/>
      <c r="AA199" s="182"/>
      <c r="AB199" s="182"/>
      <c r="AC199" s="504" t="e">
        <f t="shared" si="96"/>
        <v>#N/A</v>
      </c>
      <c r="AD199" s="674"/>
      <c r="AE199" s="182"/>
      <c r="AF199" s="182"/>
      <c r="AG199" s="182"/>
      <c r="AH199" s="504" t="e">
        <f t="shared" si="97"/>
        <v>#N/A</v>
      </c>
      <c r="AI199" s="674"/>
      <c r="AJ199" s="182"/>
      <c r="AK199" s="182"/>
      <c r="AL199" s="182"/>
      <c r="AM199" s="504" t="e">
        <f t="shared" si="98"/>
        <v>#N/A</v>
      </c>
      <c r="AN199" s="674"/>
      <c r="AO199" s="182"/>
      <c r="AP199" s="182"/>
      <c r="AQ199" s="182"/>
      <c r="AR199" s="504" t="e">
        <f t="shared" si="99"/>
        <v>#N/A</v>
      </c>
      <c r="AS199" s="674"/>
      <c r="AT199" s="182"/>
      <c r="AU199" s="182"/>
      <c r="AV199" s="182"/>
      <c r="AW199" s="504" t="e">
        <f t="shared" si="100"/>
        <v>#N/A</v>
      </c>
      <c r="AX199" s="674"/>
    </row>
    <row r="200" spans="2:50">
      <c r="B200" s="660"/>
      <c r="C200" s="344">
        <v>19</v>
      </c>
      <c r="D200" s="227"/>
      <c r="E200" s="182"/>
      <c r="F200" s="514"/>
      <c r="G200" s="515"/>
      <c r="H200" s="702"/>
      <c r="I200" s="199" t="e">
        <f t="shared" si="91"/>
        <v>#DIV/0!</v>
      </c>
      <c r="J200" s="199" t="e">
        <f t="shared" si="92"/>
        <v>#DIV/0!</v>
      </c>
      <c r="K200" s="200" t="e">
        <f t="shared" si="93"/>
        <v>#DIV/0!</v>
      </c>
      <c r="L200" s="634"/>
      <c r="M200" s="199" t="e">
        <f>RANK(K200, K$147:$K$176)</f>
        <v>#DIV/0!</v>
      </c>
      <c r="N200" s="652"/>
      <c r="O200" s="652"/>
      <c r="P200" s="182"/>
      <c r="Q200" s="182"/>
      <c r="R200" s="182"/>
      <c r="S200" s="504" t="e">
        <f t="shared" si="94"/>
        <v>#N/A</v>
      </c>
      <c r="T200" s="674"/>
      <c r="U200" s="182"/>
      <c r="V200" s="182"/>
      <c r="W200" s="182"/>
      <c r="X200" s="504" t="e">
        <f t="shared" si="95"/>
        <v>#N/A</v>
      </c>
      <c r="Y200" s="674"/>
      <c r="Z200" s="182"/>
      <c r="AA200" s="182"/>
      <c r="AB200" s="182"/>
      <c r="AC200" s="504" t="e">
        <f t="shared" si="96"/>
        <v>#N/A</v>
      </c>
      <c r="AD200" s="674"/>
      <c r="AE200" s="182"/>
      <c r="AF200" s="182"/>
      <c r="AG200" s="182"/>
      <c r="AH200" s="504" t="e">
        <f t="shared" si="97"/>
        <v>#N/A</v>
      </c>
      <c r="AI200" s="674"/>
      <c r="AJ200" s="182"/>
      <c r="AK200" s="182"/>
      <c r="AL200" s="182"/>
      <c r="AM200" s="504" t="e">
        <f t="shared" si="98"/>
        <v>#N/A</v>
      </c>
      <c r="AN200" s="674"/>
      <c r="AO200" s="182"/>
      <c r="AP200" s="182"/>
      <c r="AQ200" s="182"/>
      <c r="AR200" s="504" t="e">
        <f t="shared" si="99"/>
        <v>#N/A</v>
      </c>
      <c r="AS200" s="674"/>
      <c r="AT200" s="182"/>
      <c r="AU200" s="182"/>
      <c r="AV200" s="182"/>
      <c r="AW200" s="504" t="e">
        <f t="shared" si="100"/>
        <v>#N/A</v>
      </c>
      <c r="AX200" s="674"/>
    </row>
    <row r="201" spans="2:50">
      <c r="B201" s="660"/>
      <c r="C201" s="344">
        <v>20</v>
      </c>
      <c r="D201" s="227"/>
      <c r="E201" s="182"/>
      <c r="F201" s="514"/>
      <c r="G201" s="515"/>
      <c r="H201" s="702"/>
      <c r="I201" s="199" t="e">
        <f t="shared" si="91"/>
        <v>#DIV/0!</v>
      </c>
      <c r="J201" s="199" t="e">
        <f t="shared" si="92"/>
        <v>#DIV/0!</v>
      </c>
      <c r="K201" s="200" t="e">
        <f t="shared" si="93"/>
        <v>#DIV/0!</v>
      </c>
      <c r="L201" s="634"/>
      <c r="M201" s="199" t="e">
        <f>RANK(K201, K$147:$K$176)</f>
        <v>#DIV/0!</v>
      </c>
      <c r="N201" s="652"/>
      <c r="O201" s="652"/>
      <c r="P201" s="182"/>
      <c r="Q201" s="182"/>
      <c r="R201" s="182"/>
      <c r="S201" s="504" t="e">
        <f t="shared" si="94"/>
        <v>#N/A</v>
      </c>
      <c r="T201" s="674"/>
      <c r="U201" s="182"/>
      <c r="V201" s="182"/>
      <c r="W201" s="182"/>
      <c r="X201" s="504" t="e">
        <f t="shared" si="95"/>
        <v>#N/A</v>
      </c>
      <c r="Y201" s="674"/>
      <c r="Z201" s="182"/>
      <c r="AA201" s="182"/>
      <c r="AB201" s="182"/>
      <c r="AC201" s="504" t="e">
        <f t="shared" si="96"/>
        <v>#N/A</v>
      </c>
      <c r="AD201" s="674"/>
      <c r="AE201" s="182"/>
      <c r="AF201" s="182"/>
      <c r="AG201" s="182"/>
      <c r="AH201" s="504" t="e">
        <f t="shared" si="97"/>
        <v>#N/A</v>
      </c>
      <c r="AI201" s="674"/>
      <c r="AJ201" s="182"/>
      <c r="AK201" s="182"/>
      <c r="AL201" s="182"/>
      <c r="AM201" s="504" t="e">
        <f t="shared" si="98"/>
        <v>#N/A</v>
      </c>
      <c r="AN201" s="674"/>
      <c r="AO201" s="182"/>
      <c r="AP201" s="182"/>
      <c r="AQ201" s="182"/>
      <c r="AR201" s="504" t="e">
        <f t="shared" si="99"/>
        <v>#N/A</v>
      </c>
      <c r="AS201" s="674"/>
      <c r="AT201" s="182"/>
      <c r="AU201" s="182"/>
      <c r="AV201" s="182"/>
      <c r="AW201" s="504" t="e">
        <f t="shared" si="100"/>
        <v>#N/A</v>
      </c>
      <c r="AX201" s="674"/>
    </row>
    <row r="202" spans="2:50">
      <c r="B202" s="660"/>
      <c r="C202" s="344">
        <v>21</v>
      </c>
      <c r="D202" s="227"/>
      <c r="E202" s="182"/>
      <c r="F202" s="514"/>
      <c r="G202" s="515"/>
      <c r="H202" s="702"/>
      <c r="I202" s="199" t="e">
        <f t="shared" si="91"/>
        <v>#DIV/0!</v>
      </c>
      <c r="J202" s="199" t="e">
        <f t="shared" si="92"/>
        <v>#DIV/0!</v>
      </c>
      <c r="K202" s="200" t="e">
        <f t="shared" si="93"/>
        <v>#DIV/0!</v>
      </c>
      <c r="L202" s="634"/>
      <c r="M202" s="199" t="e">
        <f>RANK(K202, K$147:$K$176)</f>
        <v>#DIV/0!</v>
      </c>
      <c r="N202" s="652"/>
      <c r="O202" s="652"/>
      <c r="P202" s="182"/>
      <c r="Q202" s="182"/>
      <c r="R202" s="182"/>
      <c r="S202" s="504" t="e">
        <f t="shared" si="94"/>
        <v>#N/A</v>
      </c>
      <c r="T202" s="674"/>
      <c r="U202" s="182"/>
      <c r="V202" s="182"/>
      <c r="W202" s="182"/>
      <c r="X202" s="504" t="e">
        <f t="shared" si="95"/>
        <v>#N/A</v>
      </c>
      <c r="Y202" s="674"/>
      <c r="Z202" s="182"/>
      <c r="AA202" s="182"/>
      <c r="AB202" s="182"/>
      <c r="AC202" s="504" t="e">
        <f t="shared" si="96"/>
        <v>#N/A</v>
      </c>
      <c r="AD202" s="674"/>
      <c r="AE202" s="182"/>
      <c r="AF202" s="182"/>
      <c r="AG202" s="182"/>
      <c r="AH202" s="504" t="e">
        <f t="shared" si="97"/>
        <v>#N/A</v>
      </c>
      <c r="AI202" s="674"/>
      <c r="AJ202" s="182"/>
      <c r="AK202" s="182"/>
      <c r="AL202" s="182"/>
      <c r="AM202" s="504" t="e">
        <f t="shared" si="98"/>
        <v>#N/A</v>
      </c>
      <c r="AN202" s="674"/>
      <c r="AO202" s="182"/>
      <c r="AP202" s="182"/>
      <c r="AQ202" s="182"/>
      <c r="AR202" s="504" t="e">
        <f t="shared" si="99"/>
        <v>#N/A</v>
      </c>
      <c r="AS202" s="674"/>
      <c r="AT202" s="182"/>
      <c r="AU202" s="182"/>
      <c r="AV202" s="182"/>
      <c r="AW202" s="504" t="e">
        <f t="shared" si="100"/>
        <v>#N/A</v>
      </c>
      <c r="AX202" s="674"/>
    </row>
    <row r="203" spans="2:50">
      <c r="B203" s="660"/>
      <c r="C203" s="344">
        <v>22</v>
      </c>
      <c r="D203" s="227"/>
      <c r="E203" s="182"/>
      <c r="F203" s="514"/>
      <c r="G203" s="515"/>
      <c r="H203" s="702"/>
      <c r="I203" s="199" t="e">
        <f t="shared" si="91"/>
        <v>#DIV/0!</v>
      </c>
      <c r="J203" s="199" t="e">
        <f t="shared" si="92"/>
        <v>#DIV/0!</v>
      </c>
      <c r="K203" s="200" t="e">
        <f t="shared" si="93"/>
        <v>#DIV/0!</v>
      </c>
      <c r="L203" s="634"/>
      <c r="M203" s="199" t="e">
        <f>RANK(K203, K$147:$K$176)</f>
        <v>#DIV/0!</v>
      </c>
      <c r="N203" s="652"/>
      <c r="O203" s="652"/>
      <c r="P203" s="182"/>
      <c r="Q203" s="182"/>
      <c r="R203" s="182"/>
      <c r="S203" s="504" t="e">
        <f t="shared" si="94"/>
        <v>#N/A</v>
      </c>
      <c r="T203" s="674"/>
      <c r="U203" s="182"/>
      <c r="V203" s="182"/>
      <c r="W203" s="182"/>
      <c r="X203" s="504" t="e">
        <f t="shared" si="95"/>
        <v>#N/A</v>
      </c>
      <c r="Y203" s="674"/>
      <c r="Z203" s="182"/>
      <c r="AA203" s="182"/>
      <c r="AB203" s="182"/>
      <c r="AC203" s="504" t="e">
        <f t="shared" si="96"/>
        <v>#N/A</v>
      </c>
      <c r="AD203" s="674"/>
      <c r="AE203" s="182"/>
      <c r="AF203" s="182"/>
      <c r="AG203" s="182"/>
      <c r="AH203" s="504" t="e">
        <f t="shared" si="97"/>
        <v>#N/A</v>
      </c>
      <c r="AI203" s="674"/>
      <c r="AJ203" s="182"/>
      <c r="AK203" s="182"/>
      <c r="AL203" s="182"/>
      <c r="AM203" s="504" t="e">
        <f t="shared" si="98"/>
        <v>#N/A</v>
      </c>
      <c r="AN203" s="674"/>
      <c r="AO203" s="182"/>
      <c r="AP203" s="182"/>
      <c r="AQ203" s="182"/>
      <c r="AR203" s="504" t="e">
        <f t="shared" si="99"/>
        <v>#N/A</v>
      </c>
      <c r="AS203" s="674"/>
      <c r="AT203" s="182"/>
      <c r="AU203" s="182"/>
      <c r="AV203" s="182"/>
      <c r="AW203" s="504" t="e">
        <f t="shared" si="100"/>
        <v>#N/A</v>
      </c>
      <c r="AX203" s="674"/>
    </row>
    <row r="204" spans="2:50">
      <c r="B204" s="660"/>
      <c r="C204" s="344">
        <v>23</v>
      </c>
      <c r="D204" s="227"/>
      <c r="E204" s="182"/>
      <c r="F204" s="514"/>
      <c r="G204" s="515"/>
      <c r="H204" s="702"/>
      <c r="I204" s="199" t="e">
        <f t="shared" si="91"/>
        <v>#DIV/0!</v>
      </c>
      <c r="J204" s="199" t="e">
        <f t="shared" si="92"/>
        <v>#DIV/0!</v>
      </c>
      <c r="K204" s="200" t="e">
        <f t="shared" si="93"/>
        <v>#DIV/0!</v>
      </c>
      <c r="L204" s="634"/>
      <c r="M204" s="199" t="e">
        <f>RANK(K204, K$147:$K$176)</f>
        <v>#DIV/0!</v>
      </c>
      <c r="N204" s="652"/>
      <c r="O204" s="652"/>
      <c r="P204" s="182"/>
      <c r="Q204" s="182"/>
      <c r="R204" s="182"/>
      <c r="S204" s="504" t="e">
        <f t="shared" si="94"/>
        <v>#N/A</v>
      </c>
      <c r="T204" s="674"/>
      <c r="U204" s="182"/>
      <c r="V204" s="182"/>
      <c r="W204" s="182"/>
      <c r="X204" s="504" t="e">
        <f t="shared" si="95"/>
        <v>#N/A</v>
      </c>
      <c r="Y204" s="674"/>
      <c r="Z204" s="182"/>
      <c r="AA204" s="182"/>
      <c r="AB204" s="182"/>
      <c r="AC204" s="504" t="e">
        <f t="shared" si="96"/>
        <v>#N/A</v>
      </c>
      <c r="AD204" s="674"/>
      <c r="AE204" s="182"/>
      <c r="AF204" s="182"/>
      <c r="AG204" s="182"/>
      <c r="AH204" s="504" t="e">
        <f t="shared" si="97"/>
        <v>#N/A</v>
      </c>
      <c r="AI204" s="674"/>
      <c r="AJ204" s="182"/>
      <c r="AK204" s="182"/>
      <c r="AL204" s="182"/>
      <c r="AM204" s="504" t="e">
        <f t="shared" si="98"/>
        <v>#N/A</v>
      </c>
      <c r="AN204" s="674"/>
      <c r="AO204" s="182"/>
      <c r="AP204" s="182"/>
      <c r="AQ204" s="182"/>
      <c r="AR204" s="504" t="e">
        <f t="shared" si="99"/>
        <v>#N/A</v>
      </c>
      <c r="AS204" s="674"/>
      <c r="AT204" s="182"/>
      <c r="AU204" s="182"/>
      <c r="AV204" s="182"/>
      <c r="AW204" s="504" t="e">
        <f t="shared" si="100"/>
        <v>#N/A</v>
      </c>
      <c r="AX204" s="674"/>
    </row>
    <row r="205" spans="2:50">
      <c r="B205" s="660"/>
      <c r="C205" s="344">
        <v>24</v>
      </c>
      <c r="D205" s="227"/>
      <c r="E205" s="182"/>
      <c r="F205" s="514"/>
      <c r="G205" s="515"/>
      <c r="H205" s="702"/>
      <c r="I205" s="199" t="e">
        <f t="shared" si="91"/>
        <v>#DIV/0!</v>
      </c>
      <c r="J205" s="199" t="e">
        <f t="shared" si="92"/>
        <v>#DIV/0!</v>
      </c>
      <c r="K205" s="200" t="e">
        <f t="shared" si="93"/>
        <v>#DIV/0!</v>
      </c>
      <c r="L205" s="634"/>
      <c r="M205" s="199" t="e">
        <f>RANK(K205, K$147:$K$176)</f>
        <v>#DIV/0!</v>
      </c>
      <c r="N205" s="652"/>
      <c r="O205" s="652"/>
      <c r="P205" s="344"/>
      <c r="Q205" s="347"/>
      <c r="R205" s="347"/>
      <c r="S205" s="504" t="e">
        <f t="shared" si="94"/>
        <v>#N/A</v>
      </c>
      <c r="T205" s="674"/>
      <c r="U205" s="360"/>
      <c r="V205" s="361"/>
      <c r="W205" s="361"/>
      <c r="X205" s="504" t="e">
        <f t="shared" si="95"/>
        <v>#N/A</v>
      </c>
      <c r="Y205" s="674"/>
      <c r="Z205" s="514"/>
      <c r="AA205" s="515"/>
      <c r="AB205" s="515"/>
      <c r="AC205" s="504" t="e">
        <f t="shared" si="96"/>
        <v>#N/A</v>
      </c>
      <c r="AD205" s="674"/>
      <c r="AE205" s="514"/>
      <c r="AF205" s="515"/>
      <c r="AG205" s="515"/>
      <c r="AH205" s="504" t="e">
        <f t="shared" si="97"/>
        <v>#N/A</v>
      </c>
      <c r="AI205" s="674"/>
      <c r="AJ205" s="514"/>
      <c r="AK205" s="515"/>
      <c r="AL205" s="515"/>
      <c r="AM205" s="504" t="e">
        <f t="shared" si="98"/>
        <v>#N/A</v>
      </c>
      <c r="AN205" s="674"/>
      <c r="AO205" s="514"/>
      <c r="AP205" s="515"/>
      <c r="AQ205" s="515"/>
      <c r="AR205" s="504" t="e">
        <f t="shared" si="99"/>
        <v>#N/A</v>
      </c>
      <c r="AS205" s="674"/>
      <c r="AT205" s="360"/>
      <c r="AU205" s="361"/>
      <c r="AV205" s="361"/>
      <c r="AW205" s="504" t="e">
        <f t="shared" si="100"/>
        <v>#N/A</v>
      </c>
      <c r="AX205" s="674"/>
    </row>
    <row r="206" spans="2:50">
      <c r="B206" s="660"/>
      <c r="C206" s="344">
        <v>25</v>
      </c>
      <c r="D206" s="227"/>
      <c r="E206" s="182"/>
      <c r="F206" s="514"/>
      <c r="G206" s="515"/>
      <c r="H206" s="702"/>
      <c r="I206" s="199"/>
      <c r="J206" s="199"/>
      <c r="K206" s="200"/>
      <c r="L206" s="634"/>
      <c r="M206" s="199" t="e">
        <f>RANK(K206, K$147:$K$176)</f>
        <v>#DIV/0!</v>
      </c>
      <c r="N206" s="652"/>
      <c r="O206" s="652"/>
      <c r="P206" s="344"/>
      <c r="Q206" s="347"/>
      <c r="R206" s="347"/>
      <c r="S206" s="504" t="e">
        <f t="shared" si="94"/>
        <v>#N/A</v>
      </c>
      <c r="T206" s="674"/>
      <c r="U206" s="360"/>
      <c r="V206" s="361"/>
      <c r="W206" s="361"/>
      <c r="X206" s="504" t="e">
        <f t="shared" si="95"/>
        <v>#N/A</v>
      </c>
      <c r="Y206" s="674"/>
      <c r="Z206" s="514"/>
      <c r="AA206" s="515"/>
      <c r="AB206" s="515"/>
      <c r="AC206" s="504" t="e">
        <f t="shared" si="96"/>
        <v>#N/A</v>
      </c>
      <c r="AD206" s="674"/>
      <c r="AE206" s="514"/>
      <c r="AF206" s="515"/>
      <c r="AG206" s="515"/>
      <c r="AH206" s="504" t="e">
        <f t="shared" si="97"/>
        <v>#N/A</v>
      </c>
      <c r="AI206" s="674"/>
      <c r="AJ206" s="514"/>
      <c r="AK206" s="515"/>
      <c r="AL206" s="515"/>
      <c r="AM206" s="504" t="e">
        <f t="shared" si="98"/>
        <v>#N/A</v>
      </c>
      <c r="AN206" s="674"/>
      <c r="AO206" s="514"/>
      <c r="AP206" s="515"/>
      <c r="AQ206" s="515"/>
      <c r="AR206" s="504" t="e">
        <f t="shared" si="99"/>
        <v>#N/A</v>
      </c>
      <c r="AS206" s="674"/>
      <c r="AT206" s="360"/>
      <c r="AU206" s="361"/>
      <c r="AV206" s="361"/>
      <c r="AW206" s="504" t="e">
        <f t="shared" si="100"/>
        <v>#N/A</v>
      </c>
      <c r="AX206" s="674"/>
    </row>
    <row r="207" spans="2:50">
      <c r="B207" s="660"/>
      <c r="C207" s="344">
        <v>26</v>
      </c>
      <c r="D207" s="227"/>
      <c r="E207" s="182"/>
      <c r="F207" s="514"/>
      <c r="G207" s="515"/>
      <c r="H207" s="702"/>
      <c r="I207" s="199"/>
      <c r="J207" s="199"/>
      <c r="K207" s="200"/>
      <c r="L207" s="634"/>
      <c r="M207" s="199" t="e">
        <f>RANK(K207, K$147:$K$176)</f>
        <v>#DIV/0!</v>
      </c>
      <c r="N207" s="652"/>
      <c r="O207" s="652"/>
      <c r="P207" s="344"/>
      <c r="Q207" s="347"/>
      <c r="R207" s="347"/>
      <c r="S207" s="504" t="e">
        <f t="shared" si="94"/>
        <v>#N/A</v>
      </c>
      <c r="T207" s="674"/>
      <c r="U207" s="360"/>
      <c r="V207" s="361"/>
      <c r="W207" s="361"/>
      <c r="X207" s="504" t="e">
        <f t="shared" si="95"/>
        <v>#N/A</v>
      </c>
      <c r="Y207" s="674"/>
      <c r="Z207" s="514"/>
      <c r="AA207" s="515"/>
      <c r="AB207" s="515"/>
      <c r="AC207" s="504" t="e">
        <f t="shared" si="96"/>
        <v>#N/A</v>
      </c>
      <c r="AD207" s="674"/>
      <c r="AE207" s="514"/>
      <c r="AF207" s="515"/>
      <c r="AG207" s="515"/>
      <c r="AH207" s="504" t="e">
        <f t="shared" si="97"/>
        <v>#N/A</v>
      </c>
      <c r="AI207" s="674"/>
      <c r="AJ207" s="514"/>
      <c r="AK207" s="515"/>
      <c r="AL207" s="515"/>
      <c r="AM207" s="504" t="e">
        <f t="shared" si="98"/>
        <v>#N/A</v>
      </c>
      <c r="AN207" s="674"/>
      <c r="AO207" s="514"/>
      <c r="AP207" s="515"/>
      <c r="AQ207" s="515"/>
      <c r="AR207" s="504" t="e">
        <f t="shared" si="99"/>
        <v>#N/A</v>
      </c>
      <c r="AS207" s="674"/>
      <c r="AT207" s="360"/>
      <c r="AU207" s="361"/>
      <c r="AV207" s="361"/>
      <c r="AW207" s="504" t="e">
        <f t="shared" si="100"/>
        <v>#N/A</v>
      </c>
      <c r="AX207" s="674"/>
    </row>
    <row r="208" spans="2:50">
      <c r="B208" s="660"/>
      <c r="C208" s="344">
        <v>27</v>
      </c>
      <c r="D208" s="227"/>
      <c r="E208" s="182"/>
      <c r="F208" s="514"/>
      <c r="G208" s="515"/>
      <c r="H208" s="702"/>
      <c r="I208" s="199"/>
      <c r="J208" s="199"/>
      <c r="K208" s="200"/>
      <c r="L208" s="634"/>
      <c r="M208" s="199" t="e">
        <f>RANK(K208, K$147:$K$176)</f>
        <v>#DIV/0!</v>
      </c>
      <c r="N208" s="652"/>
      <c r="O208" s="652"/>
      <c r="P208" s="344"/>
      <c r="Q208" s="347"/>
      <c r="R208" s="347"/>
      <c r="S208" s="504" t="e">
        <f t="shared" si="94"/>
        <v>#N/A</v>
      </c>
      <c r="T208" s="674"/>
      <c r="U208" s="360"/>
      <c r="V208" s="361"/>
      <c r="W208" s="361"/>
      <c r="X208" s="504" t="e">
        <f t="shared" si="95"/>
        <v>#N/A</v>
      </c>
      <c r="Y208" s="674"/>
      <c r="Z208" s="514"/>
      <c r="AA208" s="515"/>
      <c r="AB208" s="515"/>
      <c r="AC208" s="504" t="e">
        <f t="shared" si="96"/>
        <v>#N/A</v>
      </c>
      <c r="AD208" s="674"/>
      <c r="AE208" s="514"/>
      <c r="AF208" s="515"/>
      <c r="AG208" s="515"/>
      <c r="AH208" s="504" t="e">
        <f t="shared" si="97"/>
        <v>#N/A</v>
      </c>
      <c r="AI208" s="674"/>
      <c r="AJ208" s="514"/>
      <c r="AK208" s="515"/>
      <c r="AL208" s="515"/>
      <c r="AM208" s="504" t="e">
        <f t="shared" si="98"/>
        <v>#N/A</v>
      </c>
      <c r="AN208" s="674"/>
      <c r="AO208" s="514"/>
      <c r="AP208" s="515"/>
      <c r="AQ208" s="515"/>
      <c r="AR208" s="504" t="e">
        <f t="shared" si="99"/>
        <v>#N/A</v>
      </c>
      <c r="AS208" s="674"/>
      <c r="AT208" s="360"/>
      <c r="AU208" s="361"/>
      <c r="AV208" s="361"/>
      <c r="AW208" s="504" t="e">
        <f t="shared" si="100"/>
        <v>#N/A</v>
      </c>
      <c r="AX208" s="674"/>
    </row>
    <row r="209" spans="2:50">
      <c r="B209" s="660"/>
      <c r="C209" s="344">
        <v>28</v>
      </c>
      <c r="D209" s="227"/>
      <c r="E209" s="182"/>
      <c r="F209" s="514"/>
      <c r="G209" s="515"/>
      <c r="H209" s="702"/>
      <c r="I209" s="199"/>
      <c r="J209" s="199"/>
      <c r="K209" s="200"/>
      <c r="L209" s="634"/>
      <c r="M209" s="199" t="e">
        <f>RANK(K209, K$147:$K$176)</f>
        <v>#DIV/0!</v>
      </c>
      <c r="N209" s="652"/>
      <c r="O209" s="652"/>
      <c r="P209" s="344"/>
      <c r="Q209" s="347"/>
      <c r="R209" s="347"/>
      <c r="S209" s="504" t="e">
        <f t="shared" si="94"/>
        <v>#N/A</v>
      </c>
      <c r="T209" s="674"/>
      <c r="U209" s="344"/>
      <c r="V209" s="347"/>
      <c r="W209" s="347"/>
      <c r="X209" s="504" t="e">
        <f t="shared" si="95"/>
        <v>#N/A</v>
      </c>
      <c r="Y209" s="674"/>
      <c r="Z209" s="514"/>
      <c r="AA209" s="515"/>
      <c r="AB209" s="515"/>
      <c r="AC209" s="504" t="e">
        <f t="shared" si="96"/>
        <v>#N/A</v>
      </c>
      <c r="AD209" s="674"/>
      <c r="AE209" s="514"/>
      <c r="AF209" s="515"/>
      <c r="AG209" s="515"/>
      <c r="AH209" s="504" t="e">
        <f t="shared" si="97"/>
        <v>#N/A</v>
      </c>
      <c r="AI209" s="674"/>
      <c r="AJ209" s="514"/>
      <c r="AK209" s="515"/>
      <c r="AL209" s="515"/>
      <c r="AM209" s="504" t="e">
        <f t="shared" si="98"/>
        <v>#N/A</v>
      </c>
      <c r="AN209" s="674"/>
      <c r="AO209" s="514"/>
      <c r="AP209" s="515"/>
      <c r="AQ209" s="515"/>
      <c r="AR209" s="504" t="e">
        <f t="shared" si="99"/>
        <v>#N/A</v>
      </c>
      <c r="AS209" s="674"/>
      <c r="AT209" s="344"/>
      <c r="AU209" s="347"/>
      <c r="AV209" s="347"/>
      <c r="AW209" s="504" t="e">
        <f t="shared" si="100"/>
        <v>#N/A</v>
      </c>
      <c r="AX209" s="674"/>
    </row>
    <row r="210" spans="2:50">
      <c r="B210" s="660"/>
      <c r="C210" s="344">
        <v>29</v>
      </c>
      <c r="D210" s="227"/>
      <c r="E210" s="182"/>
      <c r="F210" s="514"/>
      <c r="G210" s="515"/>
      <c r="H210" s="702"/>
      <c r="I210" s="202"/>
      <c r="J210" s="202"/>
      <c r="K210" s="202"/>
      <c r="L210" s="634"/>
      <c r="M210" s="199" t="e">
        <f>RANK(K210, K$147:$K$176)</f>
        <v>#DIV/0!</v>
      </c>
      <c r="N210" s="652"/>
      <c r="O210" s="652"/>
      <c r="P210" s="344"/>
      <c r="Q210" s="344"/>
      <c r="R210" s="344"/>
      <c r="S210" s="504" t="e">
        <f t="shared" si="94"/>
        <v>#N/A</v>
      </c>
      <c r="T210" s="674"/>
      <c r="U210" s="344"/>
      <c r="V210" s="344"/>
      <c r="W210" s="344"/>
      <c r="X210" s="504" t="e">
        <f t="shared" si="95"/>
        <v>#N/A</v>
      </c>
      <c r="Y210" s="674"/>
      <c r="Z210" s="514"/>
      <c r="AA210" s="514"/>
      <c r="AB210" s="514"/>
      <c r="AC210" s="504" t="e">
        <f t="shared" si="96"/>
        <v>#N/A</v>
      </c>
      <c r="AD210" s="674"/>
      <c r="AE210" s="514"/>
      <c r="AF210" s="514"/>
      <c r="AG210" s="514"/>
      <c r="AH210" s="504" t="e">
        <f t="shared" si="97"/>
        <v>#N/A</v>
      </c>
      <c r="AI210" s="674"/>
      <c r="AJ210" s="514"/>
      <c r="AK210" s="514"/>
      <c r="AL210" s="514"/>
      <c r="AM210" s="504" t="e">
        <f t="shared" si="98"/>
        <v>#N/A</v>
      </c>
      <c r="AN210" s="674"/>
      <c r="AO210" s="514"/>
      <c r="AP210" s="514"/>
      <c r="AQ210" s="514"/>
      <c r="AR210" s="504" t="e">
        <f t="shared" si="99"/>
        <v>#N/A</v>
      </c>
      <c r="AS210" s="674"/>
      <c r="AT210" s="344"/>
      <c r="AU210" s="344"/>
      <c r="AV210" s="344"/>
      <c r="AW210" s="504" t="e">
        <f t="shared" si="100"/>
        <v>#N/A</v>
      </c>
      <c r="AX210" s="674"/>
    </row>
    <row r="211" spans="2:50">
      <c r="B211" s="660"/>
      <c r="C211" s="344">
        <v>30</v>
      </c>
      <c r="D211" s="227"/>
      <c r="E211" s="182"/>
      <c r="F211" s="514"/>
      <c r="G211" s="515"/>
      <c r="H211" s="703"/>
      <c r="I211" s="202"/>
      <c r="J211" s="202"/>
      <c r="K211" s="202"/>
      <c r="L211" s="635"/>
      <c r="M211" s="199" t="e">
        <f>RANK(K211, K$147:$K$176)</f>
        <v>#DIV/0!</v>
      </c>
      <c r="N211" s="652"/>
      <c r="O211" s="652"/>
      <c r="P211" s="344"/>
      <c r="Q211" s="344"/>
      <c r="R211" s="344"/>
      <c r="S211" s="504" t="e">
        <f t="shared" si="94"/>
        <v>#N/A</v>
      </c>
      <c r="T211" s="674"/>
      <c r="U211" s="344"/>
      <c r="V211" s="344"/>
      <c r="W211" s="344"/>
      <c r="X211" s="504" t="e">
        <f t="shared" si="95"/>
        <v>#N/A</v>
      </c>
      <c r="Y211" s="674"/>
      <c r="Z211" s="514"/>
      <c r="AA211" s="514"/>
      <c r="AB211" s="514"/>
      <c r="AC211" s="504" t="e">
        <f t="shared" si="96"/>
        <v>#N/A</v>
      </c>
      <c r="AD211" s="674"/>
      <c r="AE211" s="514"/>
      <c r="AF211" s="514"/>
      <c r="AG211" s="514"/>
      <c r="AH211" s="504" t="e">
        <f t="shared" si="97"/>
        <v>#N/A</v>
      </c>
      <c r="AI211" s="674"/>
      <c r="AJ211" s="514"/>
      <c r="AK211" s="514"/>
      <c r="AL211" s="514"/>
      <c r="AM211" s="504" t="e">
        <f t="shared" si="98"/>
        <v>#N/A</v>
      </c>
      <c r="AN211" s="674"/>
      <c r="AO211" s="514"/>
      <c r="AP211" s="514"/>
      <c r="AQ211" s="514"/>
      <c r="AR211" s="504" t="e">
        <f t="shared" si="99"/>
        <v>#N/A</v>
      </c>
      <c r="AS211" s="674"/>
      <c r="AT211" s="344"/>
      <c r="AU211" s="344"/>
      <c r="AV211" s="344"/>
      <c r="AW211" s="504" t="e">
        <f t="shared" si="100"/>
        <v>#N/A</v>
      </c>
      <c r="AX211" s="674"/>
    </row>
    <row r="213" spans="2:50" ht="15.75">
      <c r="B213" s="691" t="s">
        <v>674</v>
      </c>
      <c r="C213" s="692"/>
      <c r="D213" s="692"/>
      <c r="E213" s="692"/>
      <c r="F213" s="692"/>
      <c r="G213" s="692"/>
      <c r="H213" s="693"/>
      <c r="I213" s="348"/>
      <c r="J213" s="348"/>
      <c r="K213" s="348"/>
      <c r="L213" s="348"/>
      <c r="M213" s="349"/>
    </row>
    <row r="214" spans="2:50" ht="15.75">
      <c r="B214" s="694"/>
      <c r="C214" s="694"/>
      <c r="D214" s="694"/>
      <c r="E214" s="694"/>
      <c r="F214" s="694"/>
      <c r="G214" s="694"/>
      <c r="H214" s="694"/>
      <c r="I214" s="350"/>
      <c r="J214" s="350"/>
      <c r="K214" s="350"/>
      <c r="L214" s="350"/>
      <c r="M214" s="351"/>
    </row>
    <row r="215" spans="2:50">
      <c r="B215" s="652" t="s">
        <v>675</v>
      </c>
      <c r="C215" s="652" t="s">
        <v>676</v>
      </c>
      <c r="D215" s="652"/>
      <c r="E215" s="652" t="s">
        <v>677</v>
      </c>
      <c r="F215" s="652"/>
      <c r="G215" s="652"/>
      <c r="H215" s="652" t="s">
        <v>678</v>
      </c>
      <c r="I215" s="695" t="s">
        <v>679</v>
      </c>
      <c r="J215" s="695"/>
      <c r="K215" s="695"/>
      <c r="L215" s="695" t="s">
        <v>678</v>
      </c>
      <c r="M215" s="695" t="s">
        <v>680</v>
      </c>
    </row>
    <row r="216" spans="2:50">
      <c r="B216" s="652"/>
      <c r="C216" s="652"/>
      <c r="D216" s="652"/>
      <c r="E216" s="652" t="s">
        <v>681</v>
      </c>
      <c r="F216" s="652"/>
      <c r="G216" s="652"/>
      <c r="H216" s="652"/>
      <c r="I216" s="695" t="s">
        <v>681</v>
      </c>
      <c r="J216" s="695"/>
      <c r="K216" s="695"/>
      <c r="L216" s="695"/>
      <c r="M216" s="695"/>
    </row>
    <row r="217" spans="2:50">
      <c r="B217" s="652"/>
      <c r="C217" s="652"/>
      <c r="D217" s="652"/>
      <c r="E217" s="345" t="s">
        <v>682</v>
      </c>
      <c r="F217" s="345" t="s">
        <v>683</v>
      </c>
      <c r="G217" s="345" t="s">
        <v>684</v>
      </c>
      <c r="H217" s="652"/>
      <c r="I217" s="352" t="s">
        <v>682</v>
      </c>
      <c r="J217" s="352" t="s">
        <v>683</v>
      </c>
      <c r="K217" s="352" t="s">
        <v>684</v>
      </c>
      <c r="L217" s="695"/>
      <c r="M217" s="695"/>
    </row>
    <row r="218" spans="2:50">
      <c r="B218" s="652" t="s">
        <v>689</v>
      </c>
      <c r="C218" s="344">
        <v>1</v>
      </c>
      <c r="D218" s="344"/>
      <c r="E218" s="182"/>
      <c r="F218" s="344"/>
      <c r="G218" s="347"/>
      <c r="H218" s="674" t="e">
        <f>AVERAGE(G218:G247)</f>
        <v>#DIV/0!</v>
      </c>
      <c r="I218" s="199" t="e">
        <f t="shared" ref="I218:J241" si="101">AVERAGEIF($D$7:$D$211,$D218,I$7:I$211)</f>
        <v>#DIV/0!</v>
      </c>
      <c r="J218" s="199" t="e">
        <f t="shared" si="101"/>
        <v>#DIV/0!</v>
      </c>
      <c r="K218" s="199" t="e">
        <f t="shared" ref="K218:K241" si="102">AVERAGEIF($D$7:$D$211,$D218,K$7:K$211)</f>
        <v>#DIV/0!</v>
      </c>
      <c r="L218" s="698" t="e">
        <f>AVERAGE(K218:K247)</f>
        <v>#DIV/0!</v>
      </c>
      <c r="M218" s="199" t="e">
        <f>RANK(K218, K$218:$K$247)</f>
        <v>#DIV/0!</v>
      </c>
    </row>
    <row r="219" spans="2:50">
      <c r="B219" s="660"/>
      <c r="C219" s="344">
        <v>2</v>
      </c>
      <c r="D219" s="344"/>
      <c r="E219" s="182"/>
      <c r="F219" s="344"/>
      <c r="G219" s="347"/>
      <c r="H219" s="674"/>
      <c r="I219" s="199" t="e">
        <f t="shared" si="101"/>
        <v>#DIV/0!</v>
      </c>
      <c r="J219" s="199" t="e">
        <f t="shared" si="101"/>
        <v>#DIV/0!</v>
      </c>
      <c r="K219" s="199" t="e">
        <f t="shared" si="102"/>
        <v>#DIV/0!</v>
      </c>
      <c r="L219" s="698"/>
      <c r="M219" s="199" t="e">
        <f>RANK(K219, K$218:$K$247)</f>
        <v>#DIV/0!</v>
      </c>
    </row>
    <row r="220" spans="2:50">
      <c r="B220" s="660"/>
      <c r="C220" s="344">
        <v>3</v>
      </c>
      <c r="D220" s="344"/>
      <c r="E220" s="182"/>
      <c r="F220" s="344"/>
      <c r="G220" s="347"/>
      <c r="H220" s="674"/>
      <c r="I220" s="199" t="e">
        <f t="shared" si="101"/>
        <v>#DIV/0!</v>
      </c>
      <c r="J220" s="199" t="e">
        <f t="shared" si="101"/>
        <v>#DIV/0!</v>
      </c>
      <c r="K220" s="199" t="e">
        <f t="shared" si="102"/>
        <v>#DIV/0!</v>
      </c>
      <c r="L220" s="698"/>
      <c r="M220" s="199" t="e">
        <f>RANK(K220, K$218:$K$247)</f>
        <v>#DIV/0!</v>
      </c>
    </row>
    <row r="221" spans="2:50">
      <c r="B221" s="660"/>
      <c r="C221" s="344">
        <v>4</v>
      </c>
      <c r="D221" s="344"/>
      <c r="E221" s="182"/>
      <c r="F221" s="344"/>
      <c r="G221" s="347"/>
      <c r="H221" s="674"/>
      <c r="I221" s="199" t="e">
        <f t="shared" si="101"/>
        <v>#DIV/0!</v>
      </c>
      <c r="J221" s="199" t="e">
        <f t="shared" si="101"/>
        <v>#DIV/0!</v>
      </c>
      <c r="K221" s="199" t="e">
        <f t="shared" si="102"/>
        <v>#DIV/0!</v>
      </c>
      <c r="L221" s="698"/>
      <c r="M221" s="199" t="e">
        <f>RANK(K221, K$218:$K$247)</f>
        <v>#DIV/0!</v>
      </c>
    </row>
    <row r="222" spans="2:50">
      <c r="B222" s="660"/>
      <c r="C222" s="344">
        <v>5</v>
      </c>
      <c r="D222" s="344"/>
      <c r="E222" s="182"/>
      <c r="F222" s="344"/>
      <c r="G222" s="347"/>
      <c r="H222" s="674"/>
      <c r="I222" s="199" t="e">
        <f t="shared" si="101"/>
        <v>#DIV/0!</v>
      </c>
      <c r="J222" s="199" t="e">
        <f t="shared" si="101"/>
        <v>#DIV/0!</v>
      </c>
      <c r="K222" s="199" t="e">
        <f t="shared" si="102"/>
        <v>#DIV/0!</v>
      </c>
      <c r="L222" s="698"/>
      <c r="M222" s="199" t="e">
        <f>RANK(K222, K$218:$K$247)</f>
        <v>#DIV/0!</v>
      </c>
    </row>
    <row r="223" spans="2:50">
      <c r="B223" s="660"/>
      <c r="C223" s="344">
        <v>6</v>
      </c>
      <c r="D223" s="344"/>
      <c r="E223" s="182"/>
      <c r="F223" s="344"/>
      <c r="G223" s="347"/>
      <c r="H223" s="674"/>
      <c r="I223" s="199" t="e">
        <f t="shared" si="101"/>
        <v>#DIV/0!</v>
      </c>
      <c r="J223" s="199" t="e">
        <f t="shared" si="101"/>
        <v>#DIV/0!</v>
      </c>
      <c r="K223" s="199" t="e">
        <f t="shared" si="102"/>
        <v>#DIV/0!</v>
      </c>
      <c r="L223" s="698"/>
      <c r="M223" s="199" t="e">
        <f>RANK(K223, K$218:$K$247)</f>
        <v>#DIV/0!</v>
      </c>
    </row>
    <row r="224" spans="2:50">
      <c r="B224" s="660"/>
      <c r="C224" s="344">
        <v>7</v>
      </c>
      <c r="D224" s="344"/>
      <c r="E224" s="182"/>
      <c r="F224" s="344"/>
      <c r="G224" s="347"/>
      <c r="H224" s="674"/>
      <c r="I224" s="199" t="e">
        <f t="shared" si="101"/>
        <v>#DIV/0!</v>
      </c>
      <c r="J224" s="199" t="e">
        <f t="shared" si="101"/>
        <v>#DIV/0!</v>
      </c>
      <c r="K224" s="199" t="e">
        <f t="shared" si="102"/>
        <v>#DIV/0!</v>
      </c>
      <c r="L224" s="698"/>
      <c r="M224" s="199" t="e">
        <f>RANK(K224, K$218:$K$247)</f>
        <v>#DIV/0!</v>
      </c>
    </row>
    <row r="225" spans="2:13">
      <c r="B225" s="660"/>
      <c r="C225" s="344">
        <v>8</v>
      </c>
      <c r="D225" s="344"/>
      <c r="E225" s="182"/>
      <c r="F225" s="344"/>
      <c r="G225" s="347"/>
      <c r="H225" s="674"/>
      <c r="I225" s="199" t="e">
        <f t="shared" si="101"/>
        <v>#DIV/0!</v>
      </c>
      <c r="J225" s="199" t="e">
        <f t="shared" si="101"/>
        <v>#DIV/0!</v>
      </c>
      <c r="K225" s="199" t="e">
        <f t="shared" si="102"/>
        <v>#DIV/0!</v>
      </c>
      <c r="L225" s="698"/>
      <c r="M225" s="199" t="e">
        <f>RANK(K225, K$218:$K$247)</f>
        <v>#DIV/0!</v>
      </c>
    </row>
    <row r="226" spans="2:13">
      <c r="B226" s="660"/>
      <c r="C226" s="344">
        <v>9</v>
      </c>
      <c r="D226" s="344"/>
      <c r="E226" s="182"/>
      <c r="F226" s="344"/>
      <c r="G226" s="347"/>
      <c r="H226" s="674"/>
      <c r="I226" s="199" t="e">
        <f t="shared" si="101"/>
        <v>#DIV/0!</v>
      </c>
      <c r="J226" s="199" t="e">
        <f t="shared" si="101"/>
        <v>#DIV/0!</v>
      </c>
      <c r="K226" s="199" t="e">
        <f t="shared" si="102"/>
        <v>#DIV/0!</v>
      </c>
      <c r="L226" s="698"/>
      <c r="M226" s="199" t="e">
        <f>RANK(K226, K$218:$K$247)</f>
        <v>#DIV/0!</v>
      </c>
    </row>
    <row r="227" spans="2:13">
      <c r="B227" s="660"/>
      <c r="C227" s="344">
        <v>10</v>
      </c>
      <c r="D227" s="344"/>
      <c r="E227" s="182"/>
      <c r="F227" s="344"/>
      <c r="G227" s="347"/>
      <c r="H227" s="674"/>
      <c r="I227" s="199" t="e">
        <f t="shared" si="101"/>
        <v>#DIV/0!</v>
      </c>
      <c r="J227" s="199" t="e">
        <f t="shared" si="101"/>
        <v>#DIV/0!</v>
      </c>
      <c r="K227" s="199" t="e">
        <f t="shared" si="102"/>
        <v>#DIV/0!</v>
      </c>
      <c r="L227" s="698"/>
      <c r="M227" s="199" t="e">
        <f>RANK(K227, K$218:$K$247)</f>
        <v>#DIV/0!</v>
      </c>
    </row>
    <row r="228" spans="2:13">
      <c r="B228" s="660"/>
      <c r="C228" s="344">
        <v>11</v>
      </c>
      <c r="D228" s="344"/>
      <c r="E228" s="182"/>
      <c r="F228" s="344"/>
      <c r="G228" s="347"/>
      <c r="H228" s="674"/>
      <c r="I228" s="199" t="e">
        <f t="shared" si="101"/>
        <v>#DIV/0!</v>
      </c>
      <c r="J228" s="199" t="e">
        <f t="shared" si="101"/>
        <v>#DIV/0!</v>
      </c>
      <c r="K228" s="199" t="e">
        <f t="shared" si="102"/>
        <v>#DIV/0!</v>
      </c>
      <c r="L228" s="698"/>
      <c r="M228" s="199" t="e">
        <f>RANK(K228, K$218:$K$247)</f>
        <v>#DIV/0!</v>
      </c>
    </row>
    <row r="229" spans="2:13">
      <c r="B229" s="660"/>
      <c r="C229" s="344">
        <v>12</v>
      </c>
      <c r="D229" s="344"/>
      <c r="E229" s="182"/>
      <c r="F229" s="344"/>
      <c r="G229" s="347"/>
      <c r="H229" s="674"/>
      <c r="I229" s="199" t="e">
        <f t="shared" si="101"/>
        <v>#DIV/0!</v>
      </c>
      <c r="J229" s="199" t="e">
        <f t="shared" si="101"/>
        <v>#DIV/0!</v>
      </c>
      <c r="K229" s="199" t="e">
        <f t="shared" si="102"/>
        <v>#DIV/0!</v>
      </c>
      <c r="L229" s="698"/>
      <c r="M229" s="199" t="e">
        <f>RANK(K229, K$218:$K$247)</f>
        <v>#DIV/0!</v>
      </c>
    </row>
    <row r="230" spans="2:13">
      <c r="B230" s="660"/>
      <c r="C230" s="344">
        <v>13</v>
      </c>
      <c r="D230" s="344"/>
      <c r="E230" s="182"/>
      <c r="F230" s="344"/>
      <c r="G230" s="347"/>
      <c r="H230" s="674"/>
      <c r="I230" s="199" t="e">
        <f t="shared" si="101"/>
        <v>#DIV/0!</v>
      </c>
      <c r="J230" s="199" t="e">
        <f t="shared" si="101"/>
        <v>#DIV/0!</v>
      </c>
      <c r="K230" s="199" t="e">
        <f t="shared" si="102"/>
        <v>#DIV/0!</v>
      </c>
      <c r="L230" s="698"/>
      <c r="M230" s="199" t="e">
        <f>RANK(K230, K$218:$K$247)</f>
        <v>#DIV/0!</v>
      </c>
    </row>
    <row r="231" spans="2:13">
      <c r="B231" s="660"/>
      <c r="C231" s="344">
        <v>14</v>
      </c>
      <c r="D231" s="344"/>
      <c r="E231" s="182"/>
      <c r="F231" s="344"/>
      <c r="G231" s="347"/>
      <c r="H231" s="674"/>
      <c r="I231" s="199" t="e">
        <f t="shared" si="101"/>
        <v>#DIV/0!</v>
      </c>
      <c r="J231" s="199" t="e">
        <f t="shared" si="101"/>
        <v>#DIV/0!</v>
      </c>
      <c r="K231" s="199" t="e">
        <f t="shared" si="102"/>
        <v>#DIV/0!</v>
      </c>
      <c r="L231" s="698"/>
      <c r="M231" s="199" t="e">
        <f>RANK(K231, K$218:$K$247)</f>
        <v>#DIV/0!</v>
      </c>
    </row>
    <row r="232" spans="2:13">
      <c r="B232" s="660"/>
      <c r="C232" s="344">
        <v>15</v>
      </c>
      <c r="D232" s="344"/>
      <c r="E232" s="182"/>
      <c r="F232" s="344"/>
      <c r="G232" s="347"/>
      <c r="H232" s="674"/>
      <c r="I232" s="199" t="e">
        <f t="shared" si="101"/>
        <v>#DIV/0!</v>
      </c>
      <c r="J232" s="199" t="e">
        <f t="shared" si="101"/>
        <v>#DIV/0!</v>
      </c>
      <c r="K232" s="199" t="e">
        <f t="shared" si="102"/>
        <v>#DIV/0!</v>
      </c>
      <c r="L232" s="698"/>
      <c r="M232" s="199" t="e">
        <f>RANK(K232, K$218:$K$247)</f>
        <v>#DIV/0!</v>
      </c>
    </row>
    <row r="233" spans="2:13">
      <c r="B233" s="660"/>
      <c r="C233" s="344">
        <v>16</v>
      </c>
      <c r="D233" s="344"/>
      <c r="E233" s="182"/>
      <c r="F233" s="344"/>
      <c r="G233" s="347"/>
      <c r="H233" s="674"/>
      <c r="I233" s="199" t="e">
        <f t="shared" si="101"/>
        <v>#DIV/0!</v>
      </c>
      <c r="J233" s="199" t="e">
        <f t="shared" si="101"/>
        <v>#DIV/0!</v>
      </c>
      <c r="K233" s="199" t="e">
        <f t="shared" si="102"/>
        <v>#DIV/0!</v>
      </c>
      <c r="L233" s="698"/>
      <c r="M233" s="199" t="e">
        <f>RANK(K233, K$218:$K$247)</f>
        <v>#DIV/0!</v>
      </c>
    </row>
    <row r="234" spans="2:13">
      <c r="B234" s="660"/>
      <c r="C234" s="344">
        <v>17</v>
      </c>
      <c r="D234" s="344"/>
      <c r="E234" s="182"/>
      <c r="F234" s="344"/>
      <c r="G234" s="347"/>
      <c r="H234" s="674"/>
      <c r="I234" s="199" t="e">
        <f t="shared" si="101"/>
        <v>#DIV/0!</v>
      </c>
      <c r="J234" s="199" t="e">
        <f t="shared" si="101"/>
        <v>#DIV/0!</v>
      </c>
      <c r="K234" s="199" t="e">
        <f t="shared" si="102"/>
        <v>#DIV/0!</v>
      </c>
      <c r="L234" s="698"/>
      <c r="M234" s="199" t="e">
        <f>RANK(K234, K$218:$K$247)</f>
        <v>#DIV/0!</v>
      </c>
    </row>
    <row r="235" spans="2:13">
      <c r="B235" s="660"/>
      <c r="C235" s="344">
        <v>18</v>
      </c>
      <c r="D235" s="344"/>
      <c r="E235" s="182"/>
      <c r="F235" s="344"/>
      <c r="G235" s="347"/>
      <c r="H235" s="674"/>
      <c r="I235" s="199" t="e">
        <f t="shared" si="101"/>
        <v>#DIV/0!</v>
      </c>
      <c r="J235" s="199" t="e">
        <f t="shared" si="101"/>
        <v>#DIV/0!</v>
      </c>
      <c r="K235" s="199" t="e">
        <f t="shared" si="102"/>
        <v>#DIV/0!</v>
      </c>
      <c r="L235" s="698"/>
      <c r="M235" s="199" t="e">
        <f>RANK(K235, K$218:$K$247)</f>
        <v>#DIV/0!</v>
      </c>
    </row>
    <row r="236" spans="2:13">
      <c r="B236" s="660"/>
      <c r="C236" s="344">
        <v>19</v>
      </c>
      <c r="D236" s="344"/>
      <c r="E236" s="182"/>
      <c r="F236" s="344"/>
      <c r="G236" s="347"/>
      <c r="H236" s="674"/>
      <c r="I236" s="199" t="e">
        <f t="shared" si="101"/>
        <v>#DIV/0!</v>
      </c>
      <c r="J236" s="199" t="e">
        <f t="shared" si="101"/>
        <v>#DIV/0!</v>
      </c>
      <c r="K236" s="199" t="e">
        <f t="shared" si="102"/>
        <v>#DIV/0!</v>
      </c>
      <c r="L236" s="698"/>
      <c r="M236" s="199" t="e">
        <f>RANK(K236, K$218:$K$247)</f>
        <v>#DIV/0!</v>
      </c>
    </row>
    <row r="237" spans="2:13">
      <c r="B237" s="660"/>
      <c r="C237" s="344">
        <v>20</v>
      </c>
      <c r="D237" s="344"/>
      <c r="E237" s="182"/>
      <c r="F237" s="344"/>
      <c r="G237" s="347"/>
      <c r="H237" s="674"/>
      <c r="I237" s="199" t="e">
        <f t="shared" si="101"/>
        <v>#DIV/0!</v>
      </c>
      <c r="J237" s="199" t="e">
        <f t="shared" si="101"/>
        <v>#DIV/0!</v>
      </c>
      <c r="K237" s="199" t="e">
        <f t="shared" si="102"/>
        <v>#DIV/0!</v>
      </c>
      <c r="L237" s="698"/>
      <c r="M237" s="199" t="e">
        <f>RANK(K237, K$218:$K$247)</f>
        <v>#DIV/0!</v>
      </c>
    </row>
    <row r="238" spans="2:13">
      <c r="B238" s="660"/>
      <c r="C238" s="344">
        <v>21</v>
      </c>
      <c r="D238" s="344"/>
      <c r="E238" s="182"/>
      <c r="F238" s="344"/>
      <c r="G238" s="347"/>
      <c r="H238" s="674"/>
      <c r="I238" s="199" t="e">
        <f t="shared" si="101"/>
        <v>#DIV/0!</v>
      </c>
      <c r="J238" s="199" t="e">
        <f t="shared" si="101"/>
        <v>#DIV/0!</v>
      </c>
      <c r="K238" s="199" t="e">
        <f t="shared" si="102"/>
        <v>#DIV/0!</v>
      </c>
      <c r="L238" s="698"/>
      <c r="M238" s="199" t="e">
        <f>RANK(K238, K$218:$K$247)</f>
        <v>#DIV/0!</v>
      </c>
    </row>
    <row r="239" spans="2:13">
      <c r="B239" s="660"/>
      <c r="C239" s="344">
        <v>22</v>
      </c>
      <c r="D239" s="344"/>
      <c r="E239" s="182"/>
      <c r="F239" s="344"/>
      <c r="G239" s="347"/>
      <c r="H239" s="674"/>
      <c r="I239" s="199" t="e">
        <f t="shared" si="101"/>
        <v>#DIV/0!</v>
      </c>
      <c r="J239" s="199" t="e">
        <f t="shared" si="101"/>
        <v>#DIV/0!</v>
      </c>
      <c r="K239" s="199" t="e">
        <f t="shared" si="102"/>
        <v>#DIV/0!</v>
      </c>
      <c r="L239" s="698"/>
      <c r="M239" s="199" t="e">
        <f>RANK(K239, K$218:$K$247)</f>
        <v>#DIV/0!</v>
      </c>
    </row>
    <row r="240" spans="2:13">
      <c r="B240" s="660"/>
      <c r="C240" s="344">
        <v>23</v>
      </c>
      <c r="D240" s="344"/>
      <c r="E240" s="182"/>
      <c r="F240" s="344"/>
      <c r="G240" s="347"/>
      <c r="H240" s="674"/>
      <c r="I240" s="199" t="e">
        <f t="shared" si="101"/>
        <v>#DIV/0!</v>
      </c>
      <c r="J240" s="199" t="e">
        <f t="shared" si="101"/>
        <v>#DIV/0!</v>
      </c>
      <c r="K240" s="199" t="e">
        <f t="shared" si="102"/>
        <v>#DIV/0!</v>
      </c>
      <c r="L240" s="698"/>
      <c r="M240" s="199" t="e">
        <f>RANK(K240, K$218:$K$247)</f>
        <v>#DIV/0!</v>
      </c>
    </row>
    <row r="241" spans="2:13">
      <c r="B241" s="660"/>
      <c r="C241" s="344">
        <v>24</v>
      </c>
      <c r="D241" s="344"/>
      <c r="E241" s="182"/>
      <c r="F241" s="344"/>
      <c r="G241" s="347"/>
      <c r="H241" s="674"/>
      <c r="I241" s="199" t="e">
        <f t="shared" si="101"/>
        <v>#DIV/0!</v>
      </c>
      <c r="J241" s="199" t="e">
        <f t="shared" si="101"/>
        <v>#DIV/0!</v>
      </c>
      <c r="K241" s="199" t="e">
        <f t="shared" si="102"/>
        <v>#DIV/0!</v>
      </c>
      <c r="L241" s="698"/>
      <c r="M241" s="199" t="e">
        <f>RANK(K241, K$218:$K$247)</f>
        <v>#DIV/0!</v>
      </c>
    </row>
    <row r="242" spans="2:13">
      <c r="B242" s="660"/>
      <c r="C242" s="344">
        <v>25</v>
      </c>
      <c r="D242" s="344"/>
      <c r="E242" s="182"/>
      <c r="F242" s="344"/>
      <c r="G242" s="347"/>
      <c r="H242" s="674"/>
      <c r="I242" s="199"/>
      <c r="J242" s="199"/>
      <c r="K242" s="199"/>
      <c r="L242" s="698"/>
      <c r="M242" s="199" t="e">
        <f>RANK(K242, K$218:$K$247)</f>
        <v>#DIV/0!</v>
      </c>
    </row>
    <row r="243" spans="2:13">
      <c r="B243" s="660"/>
      <c r="C243" s="344">
        <v>26</v>
      </c>
      <c r="D243" s="344"/>
      <c r="E243" s="182"/>
      <c r="F243" s="344"/>
      <c r="G243" s="347"/>
      <c r="H243" s="674"/>
      <c r="I243" s="199"/>
      <c r="J243" s="199"/>
      <c r="K243" s="199"/>
      <c r="L243" s="698"/>
      <c r="M243" s="199" t="e">
        <f>RANK(K243, K$218:$K$247)</f>
        <v>#DIV/0!</v>
      </c>
    </row>
    <row r="244" spans="2:13">
      <c r="B244" s="660"/>
      <c r="C244" s="344">
        <v>27</v>
      </c>
      <c r="D244" s="344"/>
      <c r="E244" s="182"/>
      <c r="F244" s="344"/>
      <c r="G244" s="347"/>
      <c r="H244" s="674"/>
      <c r="I244" s="199"/>
      <c r="J244" s="199"/>
      <c r="K244" s="199"/>
      <c r="L244" s="698"/>
      <c r="M244" s="199" t="e">
        <f>RANK(K244, K$218:$K$247)</f>
        <v>#DIV/0!</v>
      </c>
    </row>
    <row r="245" spans="2:13">
      <c r="B245" s="660"/>
      <c r="C245" s="344">
        <v>28</v>
      </c>
      <c r="D245" s="344"/>
      <c r="E245" s="182"/>
      <c r="F245" s="344"/>
      <c r="G245" s="347"/>
      <c r="H245" s="674"/>
      <c r="I245" s="199"/>
      <c r="J245" s="199"/>
      <c r="K245" s="199"/>
      <c r="L245" s="698"/>
      <c r="M245" s="199" t="e">
        <f>RANK(K245, K$218:$K$247)</f>
        <v>#DIV/0!</v>
      </c>
    </row>
    <row r="246" spans="2:13">
      <c r="B246" s="660"/>
      <c r="C246" s="344">
        <v>29</v>
      </c>
      <c r="D246" s="344"/>
      <c r="E246" s="182"/>
      <c r="F246" s="344"/>
      <c r="G246" s="347"/>
      <c r="H246" s="674"/>
      <c r="I246" s="199"/>
      <c r="J246" s="199"/>
      <c r="K246" s="199"/>
      <c r="L246" s="698"/>
      <c r="M246" s="199" t="e">
        <f>RANK(K246, K$218:$K$247)</f>
        <v>#DIV/0!</v>
      </c>
    </row>
    <row r="247" spans="2:13">
      <c r="B247" s="660"/>
      <c r="C247" s="344">
        <v>30</v>
      </c>
      <c r="D247" s="344"/>
      <c r="E247" s="182"/>
      <c r="F247" s="344"/>
      <c r="G247" s="347"/>
      <c r="H247" s="674"/>
      <c r="I247" s="199"/>
      <c r="J247" s="199"/>
      <c r="K247" s="199"/>
      <c r="L247" s="698"/>
      <c r="M247" s="199" t="e">
        <f>RANK(K247, K$218:$K$247)</f>
        <v>#DIV/0!</v>
      </c>
    </row>
  </sheetData>
  <mergeCells count="367"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16" zoomScale="55" zoomScaleNormal="55" workbookViewId="0">
      <pane xSplit="15" topLeftCell="Z1" activePane="topRight" state="frozen"/>
      <selection activeCell="P2" sqref="P2:AN2"/>
      <selection pane="topRight" activeCell="AT47" sqref="AT47:AV56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22" t="s">
        <v>332</v>
      </c>
      <c r="C1" s="221">
        <f>AVERAGE(L7,L27,L47,L67,L87,L107)</f>
        <v>67.197008537031252</v>
      </c>
    </row>
    <row r="2" spans="1:54" ht="15.75">
      <c r="A2" s="81"/>
      <c r="B2" s="664" t="s">
        <v>163</v>
      </c>
      <c r="C2" s="664"/>
      <c r="D2" s="664"/>
      <c r="E2" s="664"/>
      <c r="F2" s="664"/>
      <c r="G2" s="664"/>
      <c r="H2" s="664"/>
      <c r="I2" s="310"/>
      <c r="J2" s="310"/>
      <c r="K2" s="310"/>
      <c r="L2" s="310"/>
      <c r="M2" s="197"/>
      <c r="N2" s="653" t="s">
        <v>156</v>
      </c>
      <c r="O2" s="653" t="s">
        <v>155</v>
      </c>
      <c r="P2" s="710"/>
      <c r="Q2" s="711"/>
      <c r="R2" s="711"/>
      <c r="S2" s="711"/>
      <c r="T2" s="712"/>
      <c r="U2" s="659"/>
      <c r="V2" s="660"/>
      <c r="W2" s="660"/>
      <c r="X2" s="660"/>
      <c r="Y2" s="660"/>
      <c r="Z2" s="659"/>
      <c r="AA2" s="660"/>
      <c r="AB2" s="660"/>
      <c r="AC2" s="660"/>
      <c r="AD2" s="660"/>
      <c r="AE2" s="659"/>
      <c r="AF2" s="660"/>
      <c r="AG2" s="660"/>
      <c r="AH2" s="660"/>
      <c r="AI2" s="660"/>
      <c r="AJ2" s="659"/>
      <c r="AK2" s="660"/>
      <c r="AL2" s="660"/>
      <c r="AM2" s="660"/>
      <c r="AN2" s="660"/>
      <c r="AO2" s="659">
        <v>46054</v>
      </c>
      <c r="AP2" s="660"/>
      <c r="AQ2" s="660"/>
      <c r="AR2" s="660"/>
      <c r="AS2" s="660"/>
      <c r="AT2" s="659">
        <f t="shared" ref="AT2" si="0">AO2+1</f>
        <v>46055</v>
      </c>
      <c r="AU2" s="660"/>
      <c r="AV2" s="660"/>
      <c r="AW2" s="660"/>
      <c r="AX2" s="660"/>
    </row>
    <row r="3" spans="1:54" ht="15.75">
      <c r="A3" s="81"/>
      <c r="B3" s="683"/>
      <c r="C3" s="683"/>
      <c r="D3" s="683"/>
      <c r="E3" s="683"/>
      <c r="F3" s="683"/>
      <c r="G3" s="683"/>
      <c r="H3" s="683"/>
      <c r="I3" s="311"/>
      <c r="J3" s="311"/>
      <c r="K3" s="311"/>
      <c r="L3" s="311"/>
      <c r="M3" s="198"/>
      <c r="N3" s="655"/>
      <c r="O3" s="655"/>
      <c r="P3" s="656" t="s">
        <v>158</v>
      </c>
      <c r="Q3" s="657"/>
      <c r="R3" s="657"/>
      <c r="S3" s="657"/>
      <c r="T3" s="658"/>
      <c r="U3" s="656" t="s">
        <v>114</v>
      </c>
      <c r="V3" s="657"/>
      <c r="W3" s="657"/>
      <c r="X3" s="657"/>
      <c r="Y3" s="658"/>
      <c r="Z3" s="656" t="s">
        <v>159</v>
      </c>
      <c r="AA3" s="657"/>
      <c r="AB3" s="657"/>
      <c r="AC3" s="657"/>
      <c r="AD3" s="658"/>
      <c r="AE3" s="656" t="s">
        <v>157</v>
      </c>
      <c r="AF3" s="657"/>
      <c r="AG3" s="657"/>
      <c r="AH3" s="657"/>
      <c r="AI3" s="658"/>
      <c r="AJ3" s="656" t="s">
        <v>160</v>
      </c>
      <c r="AK3" s="657"/>
      <c r="AL3" s="657"/>
      <c r="AM3" s="657"/>
      <c r="AN3" s="658"/>
      <c r="AO3" s="656" t="s">
        <v>161</v>
      </c>
      <c r="AP3" s="657"/>
      <c r="AQ3" s="657"/>
      <c r="AR3" s="657"/>
      <c r="AS3" s="658"/>
      <c r="AT3" s="656" t="s">
        <v>162</v>
      </c>
      <c r="AU3" s="657"/>
      <c r="AV3" s="657"/>
      <c r="AW3" s="657"/>
      <c r="AX3" s="658"/>
    </row>
    <row r="4" spans="1:54">
      <c r="A4" s="81"/>
      <c r="B4" s="652" t="s">
        <v>154</v>
      </c>
      <c r="C4" s="652" t="s">
        <v>441</v>
      </c>
      <c r="D4" s="652"/>
      <c r="E4" s="652" t="s">
        <v>432</v>
      </c>
      <c r="F4" s="652"/>
      <c r="G4" s="652"/>
      <c r="H4" s="668" t="s">
        <v>428</v>
      </c>
      <c r="I4" s="636" t="s">
        <v>433</v>
      </c>
      <c r="J4" s="636"/>
      <c r="K4" s="636"/>
      <c r="L4" s="637" t="s">
        <v>428</v>
      </c>
      <c r="M4" s="643" t="s">
        <v>429</v>
      </c>
      <c r="N4" s="652"/>
      <c r="O4" s="652" t="s">
        <v>434</v>
      </c>
      <c r="P4" s="649" t="s">
        <v>430</v>
      </c>
      <c r="Q4" s="650"/>
      <c r="R4" s="650"/>
      <c r="S4" s="651"/>
      <c r="T4" s="652" t="s">
        <v>428</v>
      </c>
      <c r="U4" s="649" t="s">
        <v>430</v>
      </c>
      <c r="V4" s="650"/>
      <c r="W4" s="650"/>
      <c r="X4" s="651"/>
      <c r="Y4" s="652" t="s">
        <v>428</v>
      </c>
      <c r="Z4" s="649" t="s">
        <v>430</v>
      </c>
      <c r="AA4" s="650"/>
      <c r="AB4" s="650"/>
      <c r="AC4" s="651"/>
      <c r="AD4" s="652" t="s">
        <v>428</v>
      </c>
      <c r="AE4" s="649" t="s">
        <v>430</v>
      </c>
      <c r="AF4" s="650"/>
      <c r="AG4" s="650"/>
      <c r="AH4" s="651"/>
      <c r="AI4" s="652" t="s">
        <v>428</v>
      </c>
      <c r="AJ4" s="649" t="s">
        <v>430</v>
      </c>
      <c r="AK4" s="650"/>
      <c r="AL4" s="650"/>
      <c r="AM4" s="651"/>
      <c r="AN4" s="652" t="s">
        <v>428</v>
      </c>
      <c r="AO4" s="649" t="s">
        <v>430</v>
      </c>
      <c r="AP4" s="650"/>
      <c r="AQ4" s="650"/>
      <c r="AR4" s="651"/>
      <c r="AS4" s="652" t="s">
        <v>428</v>
      </c>
      <c r="AT4" s="649" t="s">
        <v>430</v>
      </c>
      <c r="AU4" s="650"/>
      <c r="AV4" s="650"/>
      <c r="AW4" s="651"/>
      <c r="AX4" s="652" t="s">
        <v>428</v>
      </c>
    </row>
    <row r="5" spans="1:54">
      <c r="A5" s="81"/>
      <c r="B5" s="652"/>
      <c r="C5" s="652"/>
      <c r="D5" s="652"/>
      <c r="E5" s="652" t="s">
        <v>435</v>
      </c>
      <c r="F5" s="652"/>
      <c r="G5" s="652"/>
      <c r="H5" s="669"/>
      <c r="I5" s="636" t="s">
        <v>435</v>
      </c>
      <c r="J5" s="636"/>
      <c r="K5" s="636"/>
      <c r="L5" s="638"/>
      <c r="M5" s="644"/>
      <c r="N5" s="652"/>
      <c r="O5" s="652"/>
      <c r="P5" s="649" t="s">
        <v>436</v>
      </c>
      <c r="Q5" s="650"/>
      <c r="R5" s="650"/>
      <c r="S5" s="651"/>
      <c r="T5" s="652"/>
      <c r="U5" s="649" t="s">
        <v>436</v>
      </c>
      <c r="V5" s="650"/>
      <c r="W5" s="650"/>
      <c r="X5" s="651"/>
      <c r="Y5" s="652"/>
      <c r="Z5" s="649" t="s">
        <v>436</v>
      </c>
      <c r="AA5" s="650"/>
      <c r="AB5" s="650"/>
      <c r="AC5" s="651"/>
      <c r="AD5" s="652"/>
      <c r="AE5" s="649" t="s">
        <v>436</v>
      </c>
      <c r="AF5" s="650"/>
      <c r="AG5" s="650"/>
      <c r="AH5" s="651"/>
      <c r="AI5" s="652"/>
      <c r="AJ5" s="649" t="s">
        <v>436</v>
      </c>
      <c r="AK5" s="650"/>
      <c r="AL5" s="650"/>
      <c r="AM5" s="651"/>
      <c r="AN5" s="652"/>
      <c r="AO5" s="649" t="s">
        <v>436</v>
      </c>
      <c r="AP5" s="650"/>
      <c r="AQ5" s="650"/>
      <c r="AR5" s="651"/>
      <c r="AS5" s="652"/>
      <c r="AT5" s="649" t="s">
        <v>436</v>
      </c>
      <c r="AU5" s="650"/>
      <c r="AV5" s="650"/>
      <c r="AW5" s="651"/>
      <c r="AX5" s="652"/>
    </row>
    <row r="6" spans="1:54">
      <c r="A6" s="79"/>
      <c r="B6" s="652"/>
      <c r="C6" s="652"/>
      <c r="D6" s="652"/>
      <c r="E6" s="518" t="s">
        <v>437</v>
      </c>
      <c r="F6" s="518" t="s">
        <v>438</v>
      </c>
      <c r="G6" s="518" t="s">
        <v>439</v>
      </c>
      <c r="H6" s="670"/>
      <c r="I6" s="520" t="s">
        <v>437</v>
      </c>
      <c r="J6" s="520" t="s">
        <v>438</v>
      </c>
      <c r="K6" s="520" t="s">
        <v>439</v>
      </c>
      <c r="L6" s="639"/>
      <c r="M6" s="645"/>
      <c r="N6" s="652"/>
      <c r="O6" s="652"/>
      <c r="P6" s="518" t="s">
        <v>437</v>
      </c>
      <c r="Q6" s="518" t="s">
        <v>438</v>
      </c>
      <c r="R6" s="518" t="s">
        <v>439</v>
      </c>
      <c r="S6" s="518" t="s">
        <v>429</v>
      </c>
      <c r="T6" s="652"/>
      <c r="U6" s="518" t="s">
        <v>437</v>
      </c>
      <c r="V6" s="518" t="s">
        <v>438</v>
      </c>
      <c r="W6" s="518" t="s">
        <v>439</v>
      </c>
      <c r="X6" s="518" t="s">
        <v>429</v>
      </c>
      <c r="Y6" s="652"/>
      <c r="Z6" s="518" t="s">
        <v>437</v>
      </c>
      <c r="AA6" s="518" t="s">
        <v>438</v>
      </c>
      <c r="AB6" s="518" t="s">
        <v>439</v>
      </c>
      <c r="AC6" s="518" t="s">
        <v>429</v>
      </c>
      <c r="AD6" s="652"/>
      <c r="AE6" s="518" t="s">
        <v>437</v>
      </c>
      <c r="AF6" s="518" t="s">
        <v>438</v>
      </c>
      <c r="AG6" s="518" t="s">
        <v>439</v>
      </c>
      <c r="AH6" s="518" t="s">
        <v>429</v>
      </c>
      <c r="AI6" s="652"/>
      <c r="AJ6" s="518" t="s">
        <v>437</v>
      </c>
      <c r="AK6" s="518" t="s">
        <v>438</v>
      </c>
      <c r="AL6" s="518" t="s">
        <v>439</v>
      </c>
      <c r="AM6" s="518" t="s">
        <v>429</v>
      </c>
      <c r="AN6" s="652"/>
      <c r="AO6" s="518" t="s">
        <v>437</v>
      </c>
      <c r="AP6" s="518" t="s">
        <v>438</v>
      </c>
      <c r="AQ6" s="518" t="s">
        <v>439</v>
      </c>
      <c r="AR6" s="518" t="s">
        <v>429</v>
      </c>
      <c r="AS6" s="652"/>
      <c r="AT6" s="518" t="s">
        <v>437</v>
      </c>
      <c r="AU6" s="518" t="s">
        <v>438</v>
      </c>
      <c r="AV6" s="518" t="s">
        <v>439</v>
      </c>
      <c r="AW6" s="518" t="s">
        <v>429</v>
      </c>
      <c r="AX6" s="652"/>
    </row>
    <row r="7" spans="1:54">
      <c r="A7" s="81"/>
      <c r="B7" s="652" t="s">
        <v>132</v>
      </c>
      <c r="C7" s="514">
        <v>1</v>
      </c>
      <c r="D7" s="227" t="s">
        <v>383</v>
      </c>
      <c r="E7" s="182">
        <v>18</v>
      </c>
      <c r="F7" s="514">
        <v>1440</v>
      </c>
      <c r="G7" s="515">
        <v>80</v>
      </c>
      <c r="H7" s="701">
        <f>AVERAGE(G7:G21)</f>
        <v>80.927272727272722</v>
      </c>
      <c r="I7" s="516">
        <f>AVERAGE(P7,U7,Z7,AE7,AJ7,AO7,AT7)</f>
        <v>18</v>
      </c>
      <c r="J7" s="516">
        <f>AVERAGE(Q7,V7,AA7,AF7,AK7,AP7,AU7)</f>
        <v>1287.084730803178</v>
      </c>
      <c r="K7" s="200">
        <f>AVERAGE(R7,W7,AB7,AG7,AL7,AQ7,AV7)</f>
        <v>71.504707266843212</v>
      </c>
      <c r="L7" s="633">
        <f>IFERROR(AVERAGE(K7:K21),"-")</f>
        <v>67.352427868109231</v>
      </c>
      <c r="M7" s="521">
        <f>RANK(K7, K$7:$K$21)</f>
        <v>3</v>
      </c>
      <c r="N7" s="652"/>
      <c r="O7" s="652"/>
      <c r="P7" s="182"/>
      <c r="Q7" s="515"/>
      <c r="R7" s="515"/>
      <c r="S7" s="514" t="e">
        <f>RANK(R7, R$7:R$21)</f>
        <v>#N/A</v>
      </c>
      <c r="T7" s="701" t="e">
        <f>AVERAGE(R7:R21)</f>
        <v>#DIV/0!</v>
      </c>
      <c r="U7" s="182"/>
      <c r="V7" s="552"/>
      <c r="W7" s="552"/>
      <c r="X7" s="514" t="e">
        <f>RANK(W7, W$7:W$21)</f>
        <v>#N/A</v>
      </c>
      <c r="Y7" s="701" t="e">
        <f>AVERAGE(W7:W21)</f>
        <v>#DIV/0!</v>
      </c>
      <c r="Z7" s="182"/>
      <c r="AA7" s="552"/>
      <c r="AB7" s="552"/>
      <c r="AC7" s="514" t="e">
        <f>RANK(AB7, AB$7:AB$21)</f>
        <v>#N/A</v>
      </c>
      <c r="AD7" s="701" t="e">
        <f>AVERAGE(AB7:AB21)</f>
        <v>#DIV/0!</v>
      </c>
      <c r="AE7" s="182"/>
      <c r="AF7" s="552"/>
      <c r="AG7" s="552"/>
      <c r="AH7" s="514" t="e">
        <f>RANK(AG7, AG$7:AG$21)</f>
        <v>#N/A</v>
      </c>
      <c r="AI7" s="701" t="e">
        <f>AVERAGE(AG7:AG21)</f>
        <v>#DIV/0!</v>
      </c>
      <c r="AJ7" s="182"/>
      <c r="AK7" s="552"/>
      <c r="AL7" s="552"/>
      <c r="AM7" s="514" t="e">
        <f>RANK(AL7, AL$7:AL$21)</f>
        <v>#N/A</v>
      </c>
      <c r="AN7" s="701" t="e">
        <f>AVERAGE(AL7:AL21)</f>
        <v>#DIV/0!</v>
      </c>
      <c r="AO7" s="182">
        <v>18</v>
      </c>
      <c r="AP7" s="182">
        <v>1282.3636363636367</v>
      </c>
      <c r="AQ7" s="182">
        <v>71.242424242424264</v>
      </c>
      <c r="AR7" s="514">
        <f>RANK(AQ7, AQ$7:AQ$21)</f>
        <v>3</v>
      </c>
      <c r="AS7" s="701">
        <f>AVERAGE(AQ7:AQ21)</f>
        <v>66.786290138887367</v>
      </c>
      <c r="AT7" s="182">
        <v>18</v>
      </c>
      <c r="AU7" s="182">
        <v>1291.805825242719</v>
      </c>
      <c r="AV7" s="182">
        <v>71.766990291262175</v>
      </c>
      <c r="AW7" s="514">
        <f>RANK(AV7, AV$7:AV$21)</f>
        <v>3</v>
      </c>
      <c r="AX7" s="674">
        <f>AVERAGE(AV7:AV21)</f>
        <v>67.918565597331124</v>
      </c>
      <c r="AZ7" s="363" t="e">
        <f>RANK(AX7, $K$7:AX$21)</f>
        <v>#N/A</v>
      </c>
      <c r="BB7" s="360" t="e">
        <f>RANK(BA7, BA$7:BA$21)</f>
        <v>#N/A</v>
      </c>
    </row>
    <row r="8" spans="1:54" ht="15" customHeight="1">
      <c r="A8" s="81"/>
      <c r="B8" s="660"/>
      <c r="C8" s="514">
        <v>2</v>
      </c>
      <c r="D8" s="227" t="s">
        <v>384</v>
      </c>
      <c r="E8" s="182">
        <v>18</v>
      </c>
      <c r="F8" s="514">
        <v>1440</v>
      </c>
      <c r="G8" s="515">
        <v>80</v>
      </c>
      <c r="H8" s="702"/>
      <c r="I8" s="516">
        <f t="shared" ref="I8:I16" si="1">AVERAGE(P8,U8,Z8,AE8,AJ8,AO8,AT8)</f>
        <v>18</v>
      </c>
      <c r="J8" s="516">
        <f t="shared" ref="J8:J16" si="2">AVERAGE(Q8,V8,AA8,AF8,AK8,AP8,AU8)</f>
        <v>1246.8854282536129</v>
      </c>
      <c r="K8" s="200">
        <f t="shared" ref="K8:K16" si="3">AVERAGE(R8,W8,AB8,AG8,AL8,AQ8,AV8)</f>
        <v>69.271412680756271</v>
      </c>
      <c r="L8" s="634"/>
      <c r="M8" s="521">
        <f>RANK(K8, K$7:$K$21)</f>
        <v>4</v>
      </c>
      <c r="N8" s="652"/>
      <c r="O8" s="652"/>
      <c r="P8" s="514"/>
      <c r="Q8" s="515"/>
      <c r="R8" s="515"/>
      <c r="S8" s="514" t="e">
        <f t="shared" ref="S8:S21" si="4">RANK(R8, R$7:R$21)</f>
        <v>#N/A</v>
      </c>
      <c r="T8" s="702"/>
      <c r="U8" s="551"/>
      <c r="V8" s="552"/>
      <c r="W8" s="552"/>
      <c r="X8" s="514" t="e">
        <f t="shared" ref="X8:X21" si="5">RANK(W8, W$7:W$21)</f>
        <v>#N/A</v>
      </c>
      <c r="Y8" s="702"/>
      <c r="Z8" s="551"/>
      <c r="AA8" s="552"/>
      <c r="AB8" s="552"/>
      <c r="AC8" s="514" t="e">
        <f t="shared" ref="AC8:AC21" si="6">RANK(AB8, AB$7:AB$21)</f>
        <v>#N/A</v>
      </c>
      <c r="AD8" s="702"/>
      <c r="AE8" s="551"/>
      <c r="AF8" s="552"/>
      <c r="AG8" s="552"/>
      <c r="AH8" s="514" t="e">
        <f t="shared" ref="AH8:AH21" si="7">RANK(AG8, AG$7:AG$21)</f>
        <v>#N/A</v>
      </c>
      <c r="AI8" s="702"/>
      <c r="AJ8" s="551"/>
      <c r="AK8" s="552"/>
      <c r="AL8" s="552"/>
      <c r="AM8" s="514" t="e">
        <f t="shared" ref="AM8:AM21" si="8">RANK(AL8, AL$7:AL$21)</f>
        <v>#N/A</v>
      </c>
      <c r="AN8" s="702"/>
      <c r="AO8" s="182">
        <v>18</v>
      </c>
      <c r="AP8" s="182">
        <v>1250.3225806451592</v>
      </c>
      <c r="AQ8" s="182">
        <v>69.462365591397727</v>
      </c>
      <c r="AR8" s="514">
        <f t="shared" ref="AR8:AR21" si="9">RANK(AQ8, AQ$7:AQ$21)</f>
        <v>4</v>
      </c>
      <c r="AS8" s="702"/>
      <c r="AT8" s="182">
        <v>18</v>
      </c>
      <c r="AU8" s="182">
        <v>1243.4482758620666</v>
      </c>
      <c r="AV8" s="182">
        <v>69.080459770114814</v>
      </c>
      <c r="AW8" s="514">
        <f t="shared" ref="AW8:AW21" si="10">RANK(AV8, AV$7:AV$21)</f>
        <v>4</v>
      </c>
      <c r="AX8" s="674"/>
      <c r="AZ8" s="363" t="e">
        <f>RANK(AX8, $K$7:AX$21)</f>
        <v>#N/A</v>
      </c>
      <c r="BB8" s="360" t="e">
        <f t="shared" ref="BB8:BB21" si="11">RANK(BA8, BA$7:BA$21)</f>
        <v>#N/A</v>
      </c>
    </row>
    <row r="9" spans="1:54">
      <c r="A9" s="81"/>
      <c r="B9" s="660"/>
      <c r="C9" s="514">
        <v>3</v>
      </c>
      <c r="D9" s="227" t="s">
        <v>944</v>
      </c>
      <c r="E9" s="182">
        <v>18</v>
      </c>
      <c r="F9" s="514">
        <v>1440</v>
      </c>
      <c r="G9" s="515">
        <v>80</v>
      </c>
      <c r="H9" s="702"/>
      <c r="I9" s="516">
        <f t="shared" si="1"/>
        <v>18.5</v>
      </c>
      <c r="J9" s="516">
        <f t="shared" si="2"/>
        <v>1025.869565217391</v>
      </c>
      <c r="K9" s="200">
        <f t="shared" si="3"/>
        <v>55.528222730739884</v>
      </c>
      <c r="L9" s="634"/>
      <c r="M9" s="521">
        <f>RANK(K9, K$7:$K$21)</f>
        <v>10</v>
      </c>
      <c r="N9" s="652"/>
      <c r="O9" s="652"/>
      <c r="P9" s="514"/>
      <c r="Q9" s="515"/>
      <c r="R9" s="515"/>
      <c r="S9" s="514" t="e">
        <f t="shared" si="4"/>
        <v>#N/A</v>
      </c>
      <c r="T9" s="702"/>
      <c r="U9" s="551"/>
      <c r="V9" s="552"/>
      <c r="W9" s="552"/>
      <c r="X9" s="514" t="e">
        <f t="shared" si="5"/>
        <v>#N/A</v>
      </c>
      <c r="Y9" s="702"/>
      <c r="Z9" s="551"/>
      <c r="AA9" s="552"/>
      <c r="AB9" s="552"/>
      <c r="AC9" s="514" t="e">
        <f t="shared" si="6"/>
        <v>#N/A</v>
      </c>
      <c r="AD9" s="702"/>
      <c r="AE9" s="551"/>
      <c r="AF9" s="552"/>
      <c r="AG9" s="552"/>
      <c r="AH9" s="514" t="e">
        <f t="shared" si="7"/>
        <v>#N/A</v>
      </c>
      <c r="AI9" s="702"/>
      <c r="AJ9" s="551"/>
      <c r="AK9" s="552"/>
      <c r="AL9" s="552"/>
      <c r="AM9" s="514" t="e">
        <f t="shared" si="8"/>
        <v>#N/A</v>
      </c>
      <c r="AN9" s="702"/>
      <c r="AO9" s="182">
        <v>19</v>
      </c>
      <c r="AP9" s="182">
        <v>1001.7391304347826</v>
      </c>
      <c r="AQ9" s="182">
        <v>52.723112128146454</v>
      </c>
      <c r="AR9" s="514">
        <f t="shared" si="9"/>
        <v>10</v>
      </c>
      <c r="AS9" s="702"/>
      <c r="AT9" s="182">
        <v>18</v>
      </c>
      <c r="AU9" s="182">
        <v>1049.9999999999995</v>
      </c>
      <c r="AV9" s="182">
        <v>58.333333333333307</v>
      </c>
      <c r="AW9" s="514">
        <f t="shared" si="10"/>
        <v>9</v>
      </c>
      <c r="AX9" s="674"/>
      <c r="AZ9" s="363" t="e">
        <f>RANK(AX9, $K$7:AX$21)</f>
        <v>#N/A</v>
      </c>
      <c r="BB9" s="360" t="e">
        <f t="shared" si="11"/>
        <v>#N/A</v>
      </c>
    </row>
    <row r="10" spans="1:54">
      <c r="A10" s="81"/>
      <c r="B10" s="660"/>
      <c r="C10" s="514">
        <v>4</v>
      </c>
      <c r="D10" s="227" t="s">
        <v>385</v>
      </c>
      <c r="E10" s="182">
        <v>16</v>
      </c>
      <c r="F10" s="514">
        <v>1440</v>
      </c>
      <c r="G10" s="515">
        <v>90</v>
      </c>
      <c r="H10" s="702"/>
      <c r="I10" s="516">
        <f t="shared" si="1"/>
        <v>16</v>
      </c>
      <c r="J10" s="516">
        <f t="shared" si="2"/>
        <v>1270.9416941694176</v>
      </c>
      <c r="K10" s="200">
        <f t="shared" si="3"/>
        <v>79.433855885588599</v>
      </c>
      <c r="L10" s="634"/>
      <c r="M10" s="521">
        <f>RANK(K10, K$7:$K$21)</f>
        <v>2</v>
      </c>
      <c r="N10" s="652"/>
      <c r="O10" s="652"/>
      <c r="P10" s="514"/>
      <c r="Q10" s="515"/>
      <c r="R10" s="515"/>
      <c r="S10" s="514" t="e">
        <f t="shared" si="4"/>
        <v>#N/A</v>
      </c>
      <c r="T10" s="702"/>
      <c r="U10" s="551"/>
      <c r="V10" s="552"/>
      <c r="W10" s="552"/>
      <c r="X10" s="514" t="e">
        <f t="shared" si="5"/>
        <v>#N/A</v>
      </c>
      <c r="Y10" s="702"/>
      <c r="Z10" s="551"/>
      <c r="AA10" s="552"/>
      <c r="AB10" s="552"/>
      <c r="AC10" s="514" t="e">
        <f t="shared" si="6"/>
        <v>#N/A</v>
      </c>
      <c r="AD10" s="702"/>
      <c r="AE10" s="551"/>
      <c r="AF10" s="552"/>
      <c r="AG10" s="552"/>
      <c r="AH10" s="514" t="e">
        <f t="shared" si="7"/>
        <v>#N/A</v>
      </c>
      <c r="AI10" s="702"/>
      <c r="AJ10" s="551"/>
      <c r="AK10" s="552"/>
      <c r="AL10" s="552"/>
      <c r="AM10" s="514" t="e">
        <f t="shared" si="8"/>
        <v>#N/A</v>
      </c>
      <c r="AN10" s="702"/>
      <c r="AO10" s="182">
        <v>16</v>
      </c>
      <c r="AP10" s="182">
        <v>1251.1111111111118</v>
      </c>
      <c r="AQ10" s="182">
        <v>78.194444444444485</v>
      </c>
      <c r="AR10" s="514">
        <f t="shared" si="9"/>
        <v>2</v>
      </c>
      <c r="AS10" s="702"/>
      <c r="AT10" s="182">
        <v>16</v>
      </c>
      <c r="AU10" s="182">
        <v>1290.7722772277234</v>
      </c>
      <c r="AV10" s="182">
        <v>80.673267326732713</v>
      </c>
      <c r="AW10" s="514">
        <f t="shared" si="10"/>
        <v>2</v>
      </c>
      <c r="AX10" s="674"/>
      <c r="AZ10" s="363" t="e">
        <f>RANK(AX10, $K$7:AX$21)</f>
        <v>#N/A</v>
      </c>
      <c r="BB10" s="360" t="e">
        <f t="shared" si="11"/>
        <v>#N/A</v>
      </c>
    </row>
    <row r="11" spans="1:54">
      <c r="A11" s="81"/>
      <c r="B11" s="660"/>
      <c r="C11" s="514">
        <v>5</v>
      </c>
      <c r="D11" s="227" t="s">
        <v>386</v>
      </c>
      <c r="E11" s="182">
        <v>17</v>
      </c>
      <c r="F11" s="514">
        <v>1440</v>
      </c>
      <c r="G11" s="515">
        <v>84.7</v>
      </c>
      <c r="H11" s="702"/>
      <c r="I11" s="516">
        <f t="shared" si="1"/>
        <v>19</v>
      </c>
      <c r="J11" s="516">
        <f t="shared" si="2"/>
        <v>1106.0624999999982</v>
      </c>
      <c r="K11" s="200">
        <f t="shared" si="3"/>
        <v>58.213815789473585</v>
      </c>
      <c r="L11" s="634"/>
      <c r="M11" s="521">
        <f>RANK(K11, K$7:$K$21)</f>
        <v>9</v>
      </c>
      <c r="N11" s="652"/>
      <c r="O11" s="652"/>
      <c r="P11" s="514"/>
      <c r="Q11" s="515"/>
      <c r="R11" s="515"/>
      <c r="S11" s="514" t="e">
        <f t="shared" si="4"/>
        <v>#N/A</v>
      </c>
      <c r="T11" s="702"/>
      <c r="U11" s="551"/>
      <c r="V11" s="552"/>
      <c r="W11" s="552"/>
      <c r="X11" s="514" t="e">
        <f t="shared" si="5"/>
        <v>#N/A</v>
      </c>
      <c r="Y11" s="702"/>
      <c r="Z11" s="551"/>
      <c r="AA11" s="552"/>
      <c r="AB11" s="552"/>
      <c r="AC11" s="514" t="e">
        <f t="shared" si="6"/>
        <v>#N/A</v>
      </c>
      <c r="AD11" s="702"/>
      <c r="AE11" s="551"/>
      <c r="AF11" s="552"/>
      <c r="AG11" s="552"/>
      <c r="AH11" s="514" t="e">
        <f t="shared" si="7"/>
        <v>#N/A</v>
      </c>
      <c r="AI11" s="702"/>
      <c r="AJ11" s="551"/>
      <c r="AK11" s="552"/>
      <c r="AL11" s="552"/>
      <c r="AM11" s="514" t="e">
        <f t="shared" si="8"/>
        <v>#N/A</v>
      </c>
      <c r="AN11" s="702"/>
      <c r="AO11" s="182">
        <v>19</v>
      </c>
      <c r="AP11" s="182">
        <v>1103.999999999998</v>
      </c>
      <c r="AQ11" s="182">
        <v>58.105263157894626</v>
      </c>
      <c r="AR11" s="514">
        <f t="shared" si="9"/>
        <v>9</v>
      </c>
      <c r="AS11" s="702"/>
      <c r="AT11" s="182">
        <v>19</v>
      </c>
      <c r="AU11" s="182">
        <v>1108.1249999999984</v>
      </c>
      <c r="AV11" s="182">
        <v>58.322368421052545</v>
      </c>
      <c r="AW11" s="514">
        <f t="shared" si="10"/>
        <v>10</v>
      </c>
      <c r="AX11" s="674"/>
      <c r="AZ11" s="363" t="e">
        <f>RANK(AX11, $K$7:AX$21)</f>
        <v>#N/A</v>
      </c>
      <c r="BB11" s="360" t="e">
        <f t="shared" si="11"/>
        <v>#N/A</v>
      </c>
    </row>
    <row r="12" spans="1:54">
      <c r="A12" s="81"/>
      <c r="B12" s="660"/>
      <c r="C12" s="514">
        <v>6</v>
      </c>
      <c r="D12" s="227" t="s">
        <v>387</v>
      </c>
      <c r="E12" s="182">
        <v>21</v>
      </c>
      <c r="F12" s="514">
        <v>1385</v>
      </c>
      <c r="G12" s="515">
        <v>65.900000000000006</v>
      </c>
      <c r="H12" s="702"/>
      <c r="I12" s="516">
        <f t="shared" si="1"/>
        <v>19.5</v>
      </c>
      <c r="J12" s="516">
        <f t="shared" si="2"/>
        <v>1157.9659498207884</v>
      </c>
      <c r="K12" s="200">
        <f t="shared" si="3"/>
        <v>59.409757592906992</v>
      </c>
      <c r="L12" s="634"/>
      <c r="M12" s="521">
        <f>RANK(K12, K$7:$K$21)</f>
        <v>8</v>
      </c>
      <c r="N12" s="652"/>
      <c r="O12" s="652"/>
      <c r="P12" s="514"/>
      <c r="Q12" s="515"/>
      <c r="R12" s="515"/>
      <c r="S12" s="514" t="e">
        <f t="shared" si="4"/>
        <v>#N/A</v>
      </c>
      <c r="T12" s="702"/>
      <c r="U12" s="551"/>
      <c r="V12" s="552"/>
      <c r="W12" s="552"/>
      <c r="X12" s="514" t="e">
        <f t="shared" si="5"/>
        <v>#N/A</v>
      </c>
      <c r="Y12" s="702"/>
      <c r="Z12" s="551"/>
      <c r="AA12" s="552"/>
      <c r="AB12" s="552"/>
      <c r="AC12" s="514" t="e">
        <f t="shared" si="6"/>
        <v>#N/A</v>
      </c>
      <c r="AD12" s="702"/>
      <c r="AE12" s="551"/>
      <c r="AF12" s="552"/>
      <c r="AG12" s="552"/>
      <c r="AH12" s="514" t="e">
        <f t="shared" si="7"/>
        <v>#N/A</v>
      </c>
      <c r="AI12" s="702"/>
      <c r="AJ12" s="551"/>
      <c r="AK12" s="552"/>
      <c r="AL12" s="552"/>
      <c r="AM12" s="514" t="e">
        <f t="shared" si="8"/>
        <v>#N/A</v>
      </c>
      <c r="AN12" s="702"/>
      <c r="AO12" s="182">
        <v>19</v>
      </c>
      <c r="AP12" s="182">
        <v>1148.7096774193551</v>
      </c>
      <c r="AQ12" s="182">
        <v>60.458404074702898</v>
      </c>
      <c r="AR12" s="514">
        <f t="shared" si="9"/>
        <v>8</v>
      </c>
      <c r="AS12" s="702"/>
      <c r="AT12" s="182">
        <v>20</v>
      </c>
      <c r="AU12" s="182">
        <v>1167.2222222222217</v>
      </c>
      <c r="AV12" s="182">
        <v>58.361111111111086</v>
      </c>
      <c r="AW12" s="514">
        <f t="shared" si="10"/>
        <v>8</v>
      </c>
      <c r="AX12" s="674"/>
      <c r="AZ12" s="363" t="e">
        <f>RANK(AX12, $K$7:AX$21)</f>
        <v>#N/A</v>
      </c>
      <c r="BB12" s="360" t="e">
        <f t="shared" si="11"/>
        <v>#N/A</v>
      </c>
    </row>
    <row r="13" spans="1:54">
      <c r="A13" s="81"/>
      <c r="B13" s="660"/>
      <c r="C13" s="514">
        <v>7</v>
      </c>
      <c r="D13" s="227" t="s">
        <v>388</v>
      </c>
      <c r="E13" s="182">
        <v>19</v>
      </c>
      <c r="F13" s="514">
        <v>1440</v>
      </c>
      <c r="G13" s="515">
        <v>75.8</v>
      </c>
      <c r="H13" s="702"/>
      <c r="I13" s="516">
        <f t="shared" si="1"/>
        <v>19</v>
      </c>
      <c r="J13" s="516">
        <f t="shared" si="2"/>
        <v>1232.0780590717291</v>
      </c>
      <c r="K13" s="200">
        <f t="shared" si="3"/>
        <v>64.846213635354161</v>
      </c>
      <c r="L13" s="634"/>
      <c r="M13" s="521">
        <f>RANK(K13, K$7:$K$21)</f>
        <v>6</v>
      </c>
      <c r="N13" s="652"/>
      <c r="O13" s="652"/>
      <c r="P13" s="514"/>
      <c r="Q13" s="515"/>
      <c r="R13" s="515"/>
      <c r="S13" s="514" t="e">
        <f t="shared" si="4"/>
        <v>#N/A</v>
      </c>
      <c r="T13" s="702"/>
      <c r="U13" s="551"/>
      <c r="V13" s="552"/>
      <c r="W13" s="552"/>
      <c r="X13" s="514" t="e">
        <f t="shared" si="5"/>
        <v>#N/A</v>
      </c>
      <c r="Y13" s="702"/>
      <c r="Z13" s="551"/>
      <c r="AA13" s="552"/>
      <c r="AB13" s="552"/>
      <c r="AC13" s="514" t="e">
        <f t="shared" si="6"/>
        <v>#N/A</v>
      </c>
      <c r="AD13" s="702"/>
      <c r="AE13" s="551"/>
      <c r="AF13" s="552"/>
      <c r="AG13" s="552"/>
      <c r="AH13" s="514" t="e">
        <f t="shared" si="7"/>
        <v>#N/A</v>
      </c>
      <c r="AI13" s="702"/>
      <c r="AJ13" s="551"/>
      <c r="AK13" s="552"/>
      <c r="AL13" s="552"/>
      <c r="AM13" s="514" t="e">
        <f t="shared" si="8"/>
        <v>#N/A</v>
      </c>
      <c r="AN13" s="702"/>
      <c r="AO13" s="182">
        <v>19</v>
      </c>
      <c r="AP13" s="182">
        <v>1225.8227848101258</v>
      </c>
      <c r="AQ13" s="182">
        <v>64.516988674217146</v>
      </c>
      <c r="AR13" s="514">
        <f t="shared" si="9"/>
        <v>6</v>
      </c>
      <c r="AS13" s="702"/>
      <c r="AT13" s="182">
        <v>19</v>
      </c>
      <c r="AU13" s="182">
        <v>1238.3333333333323</v>
      </c>
      <c r="AV13" s="182">
        <v>65.175438596491176</v>
      </c>
      <c r="AW13" s="514">
        <f t="shared" si="10"/>
        <v>6</v>
      </c>
      <c r="AX13" s="674"/>
      <c r="AZ13" s="363" t="e">
        <f>RANK(AX13, $K$7:AX$21)</f>
        <v>#N/A</v>
      </c>
      <c r="BB13" s="360" t="e">
        <f t="shared" si="11"/>
        <v>#N/A</v>
      </c>
    </row>
    <row r="14" spans="1:54">
      <c r="A14" s="81"/>
      <c r="B14" s="660"/>
      <c r="C14" s="514">
        <v>8</v>
      </c>
      <c r="D14" s="227" t="s">
        <v>707</v>
      </c>
      <c r="E14" s="182">
        <v>18</v>
      </c>
      <c r="F14" s="514">
        <v>1385</v>
      </c>
      <c r="G14" s="515">
        <v>76.900000000000006</v>
      </c>
      <c r="H14" s="702"/>
      <c r="I14" s="516">
        <f t="shared" si="1"/>
        <v>18</v>
      </c>
      <c r="J14" s="516">
        <f t="shared" si="2"/>
        <v>1213.9058413251958</v>
      </c>
      <c r="K14" s="200">
        <f t="shared" si="3"/>
        <v>67.439213406955318</v>
      </c>
      <c r="L14" s="634"/>
      <c r="M14" s="521">
        <f>RANK(K14, K$7:$K$21)</f>
        <v>5</v>
      </c>
      <c r="N14" s="652"/>
      <c r="O14" s="652"/>
      <c r="P14" s="514"/>
      <c r="Q14" s="515"/>
      <c r="R14" s="515"/>
      <c r="S14" s="514" t="e">
        <f t="shared" si="4"/>
        <v>#N/A</v>
      </c>
      <c r="T14" s="702"/>
      <c r="U14" s="551"/>
      <c r="V14" s="552"/>
      <c r="W14" s="552"/>
      <c r="X14" s="514" t="e">
        <f t="shared" si="5"/>
        <v>#N/A</v>
      </c>
      <c r="Y14" s="702"/>
      <c r="Z14" s="551"/>
      <c r="AA14" s="552"/>
      <c r="AB14" s="552"/>
      <c r="AC14" s="514" t="e">
        <f t="shared" si="6"/>
        <v>#N/A</v>
      </c>
      <c r="AD14" s="702"/>
      <c r="AE14" s="551"/>
      <c r="AF14" s="552"/>
      <c r="AG14" s="552"/>
      <c r="AH14" s="514" t="e">
        <f t="shared" si="7"/>
        <v>#N/A</v>
      </c>
      <c r="AI14" s="702"/>
      <c r="AJ14" s="551"/>
      <c r="AK14" s="552"/>
      <c r="AL14" s="552"/>
      <c r="AM14" s="514" t="e">
        <f t="shared" si="8"/>
        <v>#N/A</v>
      </c>
      <c r="AN14" s="702"/>
      <c r="AO14" s="182">
        <v>18</v>
      </c>
      <c r="AP14" s="182">
        <v>1214.8387096774195</v>
      </c>
      <c r="AQ14" s="182">
        <v>67.491039426523301</v>
      </c>
      <c r="AR14" s="514">
        <f t="shared" si="9"/>
        <v>5</v>
      </c>
      <c r="AS14" s="702"/>
      <c r="AT14" s="182">
        <v>18</v>
      </c>
      <c r="AU14" s="182">
        <v>1212.972972972972</v>
      </c>
      <c r="AV14" s="182">
        <v>67.387387387387335</v>
      </c>
      <c r="AW14" s="514">
        <f t="shared" si="10"/>
        <v>5</v>
      </c>
      <c r="AX14" s="674"/>
      <c r="AZ14" s="363" t="e">
        <f>RANK(AX14, $K$7:AX$21)</f>
        <v>#N/A</v>
      </c>
      <c r="BB14" s="360" t="e">
        <f t="shared" si="11"/>
        <v>#N/A</v>
      </c>
    </row>
    <row r="15" spans="1:54">
      <c r="A15" s="81"/>
      <c r="B15" s="660"/>
      <c r="C15" s="514">
        <v>9</v>
      </c>
      <c r="D15" s="227" t="s">
        <v>710</v>
      </c>
      <c r="E15" s="182">
        <v>18</v>
      </c>
      <c r="F15" s="514">
        <v>1385</v>
      </c>
      <c r="G15" s="515">
        <v>76.900000000000006</v>
      </c>
      <c r="H15" s="702"/>
      <c r="I15" s="516">
        <f t="shared" si="1"/>
        <v>19</v>
      </c>
      <c r="J15" s="516">
        <f t="shared" si="2"/>
        <v>1218.9189189189178</v>
      </c>
      <c r="K15" s="200">
        <f t="shared" si="3"/>
        <v>64.153627311522001</v>
      </c>
      <c r="L15" s="634"/>
      <c r="M15" s="521">
        <f>RANK(K15, K$7:$K$21)</f>
        <v>7</v>
      </c>
      <c r="N15" s="652"/>
      <c r="O15" s="652"/>
      <c r="P15" s="514"/>
      <c r="Q15" s="515"/>
      <c r="R15" s="515"/>
      <c r="S15" s="514" t="e">
        <f t="shared" si="4"/>
        <v>#N/A</v>
      </c>
      <c r="T15" s="702"/>
      <c r="U15" s="551"/>
      <c r="V15" s="552"/>
      <c r="W15" s="552"/>
      <c r="X15" s="514" t="e">
        <f t="shared" si="5"/>
        <v>#N/A</v>
      </c>
      <c r="Y15" s="702"/>
      <c r="Z15" s="551"/>
      <c r="AA15" s="552"/>
      <c r="AB15" s="552"/>
      <c r="AC15" s="514" t="e">
        <f t="shared" si="6"/>
        <v>#N/A</v>
      </c>
      <c r="AD15" s="702"/>
      <c r="AE15" s="551"/>
      <c r="AF15" s="552"/>
      <c r="AG15" s="552"/>
      <c r="AH15" s="514" t="e">
        <f t="shared" si="7"/>
        <v>#N/A</v>
      </c>
      <c r="AI15" s="702"/>
      <c r="AJ15" s="551"/>
      <c r="AK15" s="552"/>
      <c r="AL15" s="552"/>
      <c r="AM15" s="514" t="e">
        <f t="shared" si="8"/>
        <v>#N/A</v>
      </c>
      <c r="AN15" s="702"/>
      <c r="AO15" s="182">
        <v>19</v>
      </c>
      <c r="AP15" s="182">
        <v>1219.9999999999991</v>
      </c>
      <c r="AQ15" s="182">
        <v>64.210526315789423</v>
      </c>
      <c r="AR15" s="514">
        <f t="shared" si="9"/>
        <v>7</v>
      </c>
      <c r="AS15" s="702"/>
      <c r="AT15" s="182">
        <v>19</v>
      </c>
      <c r="AU15" s="182">
        <v>1217.8378378378368</v>
      </c>
      <c r="AV15" s="182">
        <v>64.096728307254565</v>
      </c>
      <c r="AW15" s="514">
        <f t="shared" si="10"/>
        <v>7</v>
      </c>
      <c r="AX15" s="674"/>
      <c r="AZ15" s="363" t="e">
        <f>RANK(AX15, $K$7:AX$21)</f>
        <v>#N/A</v>
      </c>
      <c r="BB15" s="360" t="e">
        <f t="shared" si="11"/>
        <v>#N/A</v>
      </c>
    </row>
    <row r="16" spans="1:54">
      <c r="A16" s="81"/>
      <c r="B16" s="660"/>
      <c r="C16" s="514">
        <v>10</v>
      </c>
      <c r="D16" s="227" t="s">
        <v>781</v>
      </c>
      <c r="E16" s="182">
        <v>16</v>
      </c>
      <c r="F16" s="514">
        <v>1440</v>
      </c>
      <c r="G16" s="515">
        <v>90</v>
      </c>
      <c r="H16" s="702"/>
      <c r="I16" s="516">
        <f t="shared" si="1"/>
        <v>15.5</v>
      </c>
      <c r="J16" s="516">
        <f t="shared" si="2"/>
        <v>1296.5809523809526</v>
      </c>
      <c r="K16" s="200">
        <f t="shared" si="3"/>
        <v>83.723452380952381</v>
      </c>
      <c r="L16" s="634"/>
      <c r="M16" s="521">
        <f>RANK(K16, K$7:$K$21)</f>
        <v>1</v>
      </c>
      <c r="N16" s="652"/>
      <c r="O16" s="652"/>
      <c r="P16" s="514"/>
      <c r="Q16" s="515"/>
      <c r="R16" s="515"/>
      <c r="S16" s="514" t="e">
        <f t="shared" si="4"/>
        <v>#N/A</v>
      </c>
      <c r="T16" s="702"/>
      <c r="U16" s="551"/>
      <c r="V16" s="552"/>
      <c r="W16" s="552"/>
      <c r="X16" s="514" t="e">
        <f t="shared" si="5"/>
        <v>#N/A</v>
      </c>
      <c r="Y16" s="702"/>
      <c r="Z16" s="551"/>
      <c r="AA16" s="552"/>
      <c r="AB16" s="552"/>
      <c r="AC16" s="514" t="e">
        <f t="shared" si="6"/>
        <v>#N/A</v>
      </c>
      <c r="AD16" s="702"/>
      <c r="AE16" s="551"/>
      <c r="AF16" s="552"/>
      <c r="AG16" s="552"/>
      <c r="AH16" s="514" t="e">
        <f t="shared" si="7"/>
        <v>#N/A</v>
      </c>
      <c r="AI16" s="702"/>
      <c r="AJ16" s="551"/>
      <c r="AK16" s="552"/>
      <c r="AL16" s="552"/>
      <c r="AM16" s="514" t="e">
        <f t="shared" si="8"/>
        <v>#N/A</v>
      </c>
      <c r="AN16" s="702"/>
      <c r="AO16" s="182">
        <v>16</v>
      </c>
      <c r="AP16" s="182">
        <v>1303.3333333333337</v>
      </c>
      <c r="AQ16" s="182">
        <v>81.458333333333357</v>
      </c>
      <c r="AR16" s="514">
        <f t="shared" si="9"/>
        <v>1</v>
      </c>
      <c r="AS16" s="702"/>
      <c r="AT16" s="182">
        <v>15</v>
      </c>
      <c r="AU16" s="182">
        <v>1289.8285714285712</v>
      </c>
      <c r="AV16" s="182">
        <v>85.988571428571419</v>
      </c>
      <c r="AW16" s="514">
        <f t="shared" si="10"/>
        <v>1</v>
      </c>
      <c r="AX16" s="674"/>
      <c r="AZ16" s="363" t="e">
        <f>RANK(AX16, $K$7:AX$21)</f>
        <v>#N/A</v>
      </c>
      <c r="BB16" s="360" t="e">
        <f t="shared" si="11"/>
        <v>#N/A</v>
      </c>
    </row>
    <row r="17" spans="2:54">
      <c r="B17" s="660"/>
      <c r="C17" s="514">
        <v>11</v>
      </c>
      <c r="D17" s="227" t="s">
        <v>814</v>
      </c>
      <c r="E17" s="182">
        <v>16</v>
      </c>
      <c r="F17" s="514">
        <v>1440</v>
      </c>
      <c r="G17" s="515">
        <v>90</v>
      </c>
      <c r="H17" s="702"/>
      <c r="I17" s="202"/>
      <c r="J17" s="202"/>
      <c r="K17" s="202"/>
      <c r="L17" s="634"/>
      <c r="M17" s="521" t="e">
        <f>RANK(K17, K$7:$K$21)</f>
        <v>#N/A</v>
      </c>
      <c r="N17" s="652"/>
      <c r="O17" s="652"/>
      <c r="P17" s="514"/>
      <c r="Q17" s="515"/>
      <c r="R17" s="515"/>
      <c r="S17" s="514" t="e">
        <f t="shared" si="4"/>
        <v>#N/A</v>
      </c>
      <c r="T17" s="702"/>
      <c r="U17" s="551"/>
      <c r="V17" s="552"/>
      <c r="W17" s="552"/>
      <c r="X17" s="514" t="e">
        <f t="shared" si="5"/>
        <v>#N/A</v>
      </c>
      <c r="Y17" s="702"/>
      <c r="Z17" s="551"/>
      <c r="AA17" s="552"/>
      <c r="AB17" s="552"/>
      <c r="AC17" s="514" t="e">
        <f t="shared" si="6"/>
        <v>#N/A</v>
      </c>
      <c r="AD17" s="702"/>
      <c r="AE17" s="551"/>
      <c r="AF17" s="552"/>
      <c r="AG17" s="552"/>
      <c r="AH17" s="514" t="e">
        <f t="shared" si="7"/>
        <v>#N/A</v>
      </c>
      <c r="AI17" s="702"/>
      <c r="AJ17" s="551"/>
      <c r="AK17" s="552"/>
      <c r="AL17" s="552"/>
      <c r="AM17" s="514" t="e">
        <f t="shared" si="8"/>
        <v>#N/A</v>
      </c>
      <c r="AN17" s="702"/>
      <c r="AO17" s="551"/>
      <c r="AP17" s="552"/>
      <c r="AQ17" s="552"/>
      <c r="AR17" s="514" t="e">
        <f t="shared" si="9"/>
        <v>#N/A</v>
      </c>
      <c r="AS17" s="702"/>
      <c r="AT17" s="551"/>
      <c r="AU17" s="552"/>
      <c r="AV17" s="552"/>
      <c r="AW17" s="514" t="e">
        <f t="shared" si="10"/>
        <v>#N/A</v>
      </c>
      <c r="AX17" s="674"/>
      <c r="AZ17" s="363" t="e">
        <f>RANK(AX17, $K$7:AX$21)</f>
        <v>#N/A</v>
      </c>
      <c r="BB17" s="360" t="e">
        <f t="shared" si="11"/>
        <v>#N/A</v>
      </c>
    </row>
    <row r="18" spans="2:54">
      <c r="B18" s="660"/>
      <c r="C18" s="514">
        <v>12</v>
      </c>
      <c r="D18" s="227"/>
      <c r="E18" s="182"/>
      <c r="F18" s="514"/>
      <c r="G18" s="515"/>
      <c r="H18" s="702"/>
      <c r="I18" s="202"/>
      <c r="J18" s="202"/>
      <c r="K18" s="202"/>
      <c r="L18" s="634"/>
      <c r="M18" s="521" t="e">
        <f>RANK(K18, K$7:$K$21)</f>
        <v>#N/A</v>
      </c>
      <c r="N18" s="652"/>
      <c r="O18" s="652"/>
      <c r="P18" s="514"/>
      <c r="Q18" s="515"/>
      <c r="R18" s="515"/>
      <c r="S18" s="514" t="e">
        <f t="shared" si="4"/>
        <v>#N/A</v>
      </c>
      <c r="T18" s="702"/>
      <c r="U18" s="551"/>
      <c r="V18" s="552"/>
      <c r="W18" s="552"/>
      <c r="X18" s="514" t="e">
        <f t="shared" si="5"/>
        <v>#N/A</v>
      </c>
      <c r="Y18" s="702"/>
      <c r="Z18" s="551"/>
      <c r="AA18" s="552"/>
      <c r="AB18" s="552"/>
      <c r="AC18" s="514" t="e">
        <f t="shared" si="6"/>
        <v>#N/A</v>
      </c>
      <c r="AD18" s="702"/>
      <c r="AE18" s="551"/>
      <c r="AF18" s="552"/>
      <c r="AG18" s="552"/>
      <c r="AH18" s="514" t="e">
        <f t="shared" si="7"/>
        <v>#N/A</v>
      </c>
      <c r="AI18" s="702"/>
      <c r="AJ18" s="551"/>
      <c r="AK18" s="552"/>
      <c r="AL18" s="552"/>
      <c r="AM18" s="514" t="e">
        <f t="shared" si="8"/>
        <v>#N/A</v>
      </c>
      <c r="AN18" s="702"/>
      <c r="AO18" s="551"/>
      <c r="AP18" s="552"/>
      <c r="AQ18" s="552"/>
      <c r="AR18" s="514" t="e">
        <f t="shared" si="9"/>
        <v>#N/A</v>
      </c>
      <c r="AS18" s="702"/>
      <c r="AT18" s="551"/>
      <c r="AU18" s="552"/>
      <c r="AV18" s="552"/>
      <c r="AW18" s="514" t="e">
        <f t="shared" si="10"/>
        <v>#N/A</v>
      </c>
      <c r="AX18" s="674"/>
      <c r="AZ18" s="363" t="e">
        <f>RANK(AX18, $K$7:AX$21)</f>
        <v>#N/A</v>
      </c>
      <c r="BB18" s="360" t="e">
        <f t="shared" si="11"/>
        <v>#N/A</v>
      </c>
    </row>
    <row r="19" spans="2:54">
      <c r="B19" s="660"/>
      <c r="C19" s="514">
        <v>13</v>
      </c>
      <c r="D19" s="227"/>
      <c r="E19" s="182"/>
      <c r="F19" s="514"/>
      <c r="G19" s="515"/>
      <c r="H19" s="702"/>
      <c r="I19" s="202"/>
      <c r="J19" s="202"/>
      <c r="K19" s="202"/>
      <c r="L19" s="634"/>
      <c r="M19" s="521" t="e">
        <f>RANK(K19, K$7:$K$21)</f>
        <v>#N/A</v>
      </c>
      <c r="N19" s="652"/>
      <c r="O19" s="652"/>
      <c r="P19" s="514"/>
      <c r="Q19" s="515"/>
      <c r="R19" s="515"/>
      <c r="S19" s="514" t="e">
        <f t="shared" si="4"/>
        <v>#N/A</v>
      </c>
      <c r="T19" s="702"/>
      <c r="U19" s="551"/>
      <c r="V19" s="552"/>
      <c r="W19" s="552"/>
      <c r="X19" s="514" t="e">
        <f t="shared" si="5"/>
        <v>#N/A</v>
      </c>
      <c r="Y19" s="702"/>
      <c r="Z19" s="551"/>
      <c r="AA19" s="552"/>
      <c r="AB19" s="552"/>
      <c r="AC19" s="514" t="e">
        <f t="shared" si="6"/>
        <v>#N/A</v>
      </c>
      <c r="AD19" s="702"/>
      <c r="AE19" s="551"/>
      <c r="AF19" s="552"/>
      <c r="AG19" s="552"/>
      <c r="AH19" s="514" t="e">
        <f t="shared" si="7"/>
        <v>#N/A</v>
      </c>
      <c r="AI19" s="702"/>
      <c r="AJ19" s="551"/>
      <c r="AK19" s="552"/>
      <c r="AL19" s="552"/>
      <c r="AM19" s="514" t="e">
        <f t="shared" si="8"/>
        <v>#N/A</v>
      </c>
      <c r="AN19" s="702"/>
      <c r="AO19" s="551"/>
      <c r="AP19" s="552"/>
      <c r="AQ19" s="552"/>
      <c r="AR19" s="514" t="e">
        <f t="shared" si="9"/>
        <v>#N/A</v>
      </c>
      <c r="AS19" s="702"/>
      <c r="AT19" s="551"/>
      <c r="AU19" s="552"/>
      <c r="AV19" s="552"/>
      <c r="AW19" s="514" t="e">
        <f t="shared" si="10"/>
        <v>#N/A</v>
      </c>
      <c r="AX19" s="674"/>
      <c r="AZ19" s="363" t="e">
        <f>RANK(AX19, $K$7:AX$21)</f>
        <v>#N/A</v>
      </c>
      <c r="BB19" s="360" t="e">
        <f t="shared" si="11"/>
        <v>#N/A</v>
      </c>
    </row>
    <row r="20" spans="2:54">
      <c r="B20" s="660"/>
      <c r="C20" s="514">
        <v>14</v>
      </c>
      <c r="D20" s="227"/>
      <c r="E20" s="182"/>
      <c r="F20" s="514"/>
      <c r="G20" s="515"/>
      <c r="H20" s="702"/>
      <c r="I20" s="202"/>
      <c r="J20" s="202"/>
      <c r="K20" s="202"/>
      <c r="L20" s="634"/>
      <c r="M20" s="521" t="e">
        <f>RANK(K20, K$7:$K$21)</f>
        <v>#N/A</v>
      </c>
      <c r="N20" s="652"/>
      <c r="O20" s="652"/>
      <c r="P20" s="514"/>
      <c r="Q20" s="515"/>
      <c r="R20" s="515"/>
      <c r="S20" s="514" t="e">
        <f t="shared" si="4"/>
        <v>#N/A</v>
      </c>
      <c r="T20" s="702"/>
      <c r="U20" s="551"/>
      <c r="V20" s="552"/>
      <c r="W20" s="552"/>
      <c r="X20" s="514" t="e">
        <f t="shared" si="5"/>
        <v>#N/A</v>
      </c>
      <c r="Y20" s="702"/>
      <c r="Z20" s="551"/>
      <c r="AA20" s="552"/>
      <c r="AB20" s="552"/>
      <c r="AC20" s="514" t="e">
        <f t="shared" si="6"/>
        <v>#N/A</v>
      </c>
      <c r="AD20" s="702"/>
      <c r="AE20" s="551"/>
      <c r="AF20" s="552"/>
      <c r="AG20" s="552"/>
      <c r="AH20" s="514" t="e">
        <f t="shared" si="7"/>
        <v>#N/A</v>
      </c>
      <c r="AI20" s="702"/>
      <c r="AJ20" s="551"/>
      <c r="AK20" s="552"/>
      <c r="AL20" s="552"/>
      <c r="AM20" s="514" t="e">
        <f t="shared" si="8"/>
        <v>#N/A</v>
      </c>
      <c r="AN20" s="702"/>
      <c r="AO20" s="551"/>
      <c r="AP20" s="552"/>
      <c r="AQ20" s="552"/>
      <c r="AR20" s="514" t="e">
        <f t="shared" si="9"/>
        <v>#N/A</v>
      </c>
      <c r="AS20" s="702"/>
      <c r="AT20" s="551"/>
      <c r="AU20" s="552"/>
      <c r="AV20" s="552"/>
      <c r="AW20" s="514" t="e">
        <f t="shared" si="10"/>
        <v>#N/A</v>
      </c>
      <c r="AX20" s="674"/>
      <c r="AZ20" s="363" t="e">
        <f>RANK(AX20, $K$7:AX$21)</f>
        <v>#N/A</v>
      </c>
      <c r="BB20" s="360" t="e">
        <f t="shared" si="11"/>
        <v>#N/A</v>
      </c>
    </row>
    <row r="21" spans="2:54">
      <c r="B21" s="660"/>
      <c r="C21" s="514">
        <v>15</v>
      </c>
      <c r="D21" s="227"/>
      <c r="E21" s="182"/>
      <c r="F21" s="514"/>
      <c r="G21" s="515"/>
      <c r="H21" s="703"/>
      <c r="I21" s="202"/>
      <c r="J21" s="202"/>
      <c r="K21" s="202"/>
      <c r="L21" s="635"/>
      <c r="M21" s="521" t="e">
        <f>RANK(K21, K$7:$K$21)</f>
        <v>#N/A</v>
      </c>
      <c r="N21" s="652"/>
      <c r="O21" s="652"/>
      <c r="P21" s="514"/>
      <c r="Q21" s="515"/>
      <c r="R21" s="515"/>
      <c r="S21" s="514" t="e">
        <f t="shared" si="4"/>
        <v>#N/A</v>
      </c>
      <c r="T21" s="703"/>
      <c r="U21" s="551"/>
      <c r="V21" s="552"/>
      <c r="W21" s="552"/>
      <c r="X21" s="514" t="e">
        <f t="shared" si="5"/>
        <v>#N/A</v>
      </c>
      <c r="Y21" s="703"/>
      <c r="Z21" s="551"/>
      <c r="AA21" s="552"/>
      <c r="AB21" s="552"/>
      <c r="AC21" s="514" t="e">
        <f t="shared" si="6"/>
        <v>#N/A</v>
      </c>
      <c r="AD21" s="703"/>
      <c r="AE21" s="551"/>
      <c r="AF21" s="552"/>
      <c r="AG21" s="552"/>
      <c r="AH21" s="514" t="e">
        <f t="shared" si="7"/>
        <v>#N/A</v>
      </c>
      <c r="AI21" s="703"/>
      <c r="AJ21" s="551"/>
      <c r="AK21" s="552"/>
      <c r="AL21" s="552"/>
      <c r="AM21" s="514" t="e">
        <f t="shared" si="8"/>
        <v>#N/A</v>
      </c>
      <c r="AN21" s="703"/>
      <c r="AO21" s="551"/>
      <c r="AP21" s="552"/>
      <c r="AQ21" s="552"/>
      <c r="AR21" s="514" t="e">
        <f t="shared" si="9"/>
        <v>#N/A</v>
      </c>
      <c r="AS21" s="703"/>
      <c r="AT21" s="551"/>
      <c r="AU21" s="552"/>
      <c r="AV21" s="552"/>
      <c r="AW21" s="514" t="e">
        <f t="shared" si="10"/>
        <v>#N/A</v>
      </c>
      <c r="AX21" s="674"/>
      <c r="AZ21" s="362" t="e">
        <f>RANK(AX21, $K$7:AX$21)</f>
        <v>#N/A</v>
      </c>
      <c r="BB21" s="360" t="e">
        <f t="shared" si="11"/>
        <v>#N/A</v>
      </c>
    </row>
    <row r="22" spans="2:54" ht="15.75">
      <c r="B22" s="678" t="s">
        <v>163</v>
      </c>
      <c r="C22" s="679"/>
      <c r="D22" s="679"/>
      <c r="E22" s="679"/>
      <c r="F22" s="679"/>
      <c r="G22" s="679"/>
      <c r="H22" s="679"/>
      <c r="I22" s="203"/>
      <c r="J22" s="203"/>
      <c r="K22" s="203"/>
      <c r="L22" s="203"/>
      <c r="M22" s="204"/>
      <c r="N22" s="653" t="s">
        <v>156</v>
      </c>
      <c r="O22" s="653" t="s">
        <v>105</v>
      </c>
      <c r="P22" s="659">
        <f>AT2+1</f>
        <v>46056</v>
      </c>
      <c r="Q22" s="660"/>
      <c r="R22" s="660"/>
      <c r="S22" s="660"/>
      <c r="T22" s="660"/>
      <c r="U22" s="659">
        <f>P22+1</f>
        <v>46057</v>
      </c>
      <c r="V22" s="660"/>
      <c r="W22" s="660"/>
      <c r="X22" s="660"/>
      <c r="Y22" s="660"/>
      <c r="Z22" s="659">
        <f>U22+1</f>
        <v>46058</v>
      </c>
      <c r="AA22" s="660"/>
      <c r="AB22" s="660"/>
      <c r="AC22" s="660"/>
      <c r="AD22" s="660"/>
      <c r="AE22" s="659">
        <f>Z22+1</f>
        <v>46059</v>
      </c>
      <c r="AF22" s="660"/>
      <c r="AG22" s="660"/>
      <c r="AH22" s="660"/>
      <c r="AI22" s="660"/>
      <c r="AJ22" s="659">
        <f>AE22+1</f>
        <v>46060</v>
      </c>
      <c r="AK22" s="660"/>
      <c r="AL22" s="660"/>
      <c r="AM22" s="660"/>
      <c r="AN22" s="660"/>
      <c r="AO22" s="659">
        <f>AJ22+1</f>
        <v>46061</v>
      </c>
      <c r="AP22" s="660"/>
      <c r="AQ22" s="660"/>
      <c r="AR22" s="660"/>
      <c r="AS22" s="660"/>
      <c r="AT22" s="659">
        <f>AO22+1</f>
        <v>46062</v>
      </c>
      <c r="AU22" s="660"/>
      <c r="AV22" s="660"/>
      <c r="AW22" s="660"/>
      <c r="AX22" s="660"/>
    </row>
    <row r="23" spans="2:54" ht="15.75">
      <c r="B23" s="667"/>
      <c r="C23" s="667"/>
      <c r="D23" s="667"/>
      <c r="E23" s="667"/>
      <c r="F23" s="667"/>
      <c r="G23" s="667"/>
      <c r="H23" s="667"/>
      <c r="I23" s="205"/>
      <c r="J23" s="205"/>
      <c r="K23" s="205"/>
      <c r="L23" s="205"/>
      <c r="M23" s="206"/>
      <c r="N23" s="655"/>
      <c r="O23" s="655"/>
      <c r="P23" s="659" t="s">
        <v>336</v>
      </c>
      <c r="Q23" s="660"/>
      <c r="R23" s="660"/>
      <c r="S23" s="660"/>
      <c r="T23" s="660"/>
      <c r="U23" s="659" t="s">
        <v>337</v>
      </c>
      <c r="V23" s="660"/>
      <c r="W23" s="660"/>
      <c r="X23" s="660"/>
      <c r="Y23" s="660"/>
      <c r="Z23" s="659" t="s">
        <v>338</v>
      </c>
      <c r="AA23" s="660"/>
      <c r="AB23" s="660"/>
      <c r="AC23" s="660"/>
      <c r="AD23" s="660"/>
      <c r="AE23" s="659" t="s">
        <v>339</v>
      </c>
      <c r="AF23" s="660"/>
      <c r="AG23" s="660"/>
      <c r="AH23" s="660"/>
      <c r="AI23" s="660"/>
      <c r="AJ23" s="659" t="s">
        <v>340</v>
      </c>
      <c r="AK23" s="660"/>
      <c r="AL23" s="660"/>
      <c r="AM23" s="660"/>
      <c r="AN23" s="660"/>
      <c r="AO23" s="659" t="s">
        <v>341</v>
      </c>
      <c r="AP23" s="660"/>
      <c r="AQ23" s="660"/>
      <c r="AR23" s="660"/>
      <c r="AS23" s="660"/>
      <c r="AT23" s="659" t="s">
        <v>342</v>
      </c>
      <c r="AU23" s="660"/>
      <c r="AV23" s="660"/>
      <c r="AW23" s="660"/>
      <c r="AX23" s="660"/>
    </row>
    <row r="24" spans="2:54">
      <c r="B24" s="652" t="s">
        <v>154</v>
      </c>
      <c r="C24" s="652" t="s">
        <v>441</v>
      </c>
      <c r="D24" s="652"/>
      <c r="E24" s="652" t="s">
        <v>531</v>
      </c>
      <c r="F24" s="652"/>
      <c r="G24" s="652"/>
      <c r="H24" s="668" t="s">
        <v>428</v>
      </c>
      <c r="I24" s="636" t="s">
        <v>532</v>
      </c>
      <c r="J24" s="636"/>
      <c r="K24" s="636"/>
      <c r="L24" s="637" t="s">
        <v>428</v>
      </c>
      <c r="M24" s="643" t="s">
        <v>429</v>
      </c>
      <c r="N24" s="652"/>
      <c r="O24" s="652" t="s">
        <v>533</v>
      </c>
      <c r="P24" s="649" t="s">
        <v>534</v>
      </c>
      <c r="Q24" s="650"/>
      <c r="R24" s="650"/>
      <c r="S24" s="651"/>
      <c r="T24" s="652" t="s">
        <v>535</v>
      </c>
      <c r="U24" s="649" t="s">
        <v>534</v>
      </c>
      <c r="V24" s="650"/>
      <c r="W24" s="650"/>
      <c r="X24" s="651"/>
      <c r="Y24" s="652" t="s">
        <v>535</v>
      </c>
      <c r="Z24" s="649" t="s">
        <v>534</v>
      </c>
      <c r="AA24" s="650"/>
      <c r="AB24" s="650"/>
      <c r="AC24" s="651"/>
      <c r="AD24" s="652" t="s">
        <v>536</v>
      </c>
      <c r="AE24" s="649" t="s">
        <v>534</v>
      </c>
      <c r="AF24" s="650"/>
      <c r="AG24" s="650"/>
      <c r="AH24" s="651"/>
      <c r="AI24" s="652" t="s">
        <v>536</v>
      </c>
      <c r="AJ24" s="649" t="s">
        <v>430</v>
      </c>
      <c r="AK24" s="650"/>
      <c r="AL24" s="650"/>
      <c r="AM24" s="651"/>
      <c r="AN24" s="652" t="s">
        <v>536</v>
      </c>
      <c r="AO24" s="649" t="s">
        <v>537</v>
      </c>
      <c r="AP24" s="650"/>
      <c r="AQ24" s="650"/>
      <c r="AR24" s="651"/>
      <c r="AS24" s="652" t="s">
        <v>536</v>
      </c>
      <c r="AT24" s="649" t="s">
        <v>537</v>
      </c>
      <c r="AU24" s="650"/>
      <c r="AV24" s="650"/>
      <c r="AW24" s="651"/>
      <c r="AX24" s="652" t="s">
        <v>428</v>
      </c>
    </row>
    <row r="25" spans="2:54">
      <c r="B25" s="652"/>
      <c r="C25" s="652"/>
      <c r="D25" s="652"/>
      <c r="E25" s="652" t="s">
        <v>538</v>
      </c>
      <c r="F25" s="652"/>
      <c r="G25" s="652"/>
      <c r="H25" s="669"/>
      <c r="I25" s="636" t="s">
        <v>539</v>
      </c>
      <c r="J25" s="636"/>
      <c r="K25" s="636"/>
      <c r="L25" s="638"/>
      <c r="M25" s="644"/>
      <c r="N25" s="652"/>
      <c r="O25" s="652"/>
      <c r="P25" s="649" t="s">
        <v>436</v>
      </c>
      <c r="Q25" s="650"/>
      <c r="R25" s="650"/>
      <c r="S25" s="651"/>
      <c r="T25" s="652"/>
      <c r="U25" s="649" t="s">
        <v>436</v>
      </c>
      <c r="V25" s="650"/>
      <c r="W25" s="650"/>
      <c r="X25" s="651"/>
      <c r="Y25" s="652"/>
      <c r="Z25" s="649" t="s">
        <v>540</v>
      </c>
      <c r="AA25" s="650"/>
      <c r="AB25" s="650"/>
      <c r="AC25" s="651"/>
      <c r="AD25" s="652"/>
      <c r="AE25" s="649" t="s">
        <v>540</v>
      </c>
      <c r="AF25" s="650"/>
      <c r="AG25" s="650"/>
      <c r="AH25" s="651"/>
      <c r="AI25" s="652"/>
      <c r="AJ25" s="649" t="s">
        <v>436</v>
      </c>
      <c r="AK25" s="650"/>
      <c r="AL25" s="650"/>
      <c r="AM25" s="651"/>
      <c r="AN25" s="652"/>
      <c r="AO25" s="649" t="s">
        <v>540</v>
      </c>
      <c r="AP25" s="650"/>
      <c r="AQ25" s="650"/>
      <c r="AR25" s="651"/>
      <c r="AS25" s="652"/>
      <c r="AT25" s="649" t="s">
        <v>541</v>
      </c>
      <c r="AU25" s="650"/>
      <c r="AV25" s="650"/>
      <c r="AW25" s="651"/>
      <c r="AX25" s="652"/>
    </row>
    <row r="26" spans="2:54">
      <c r="B26" s="652"/>
      <c r="C26" s="652"/>
      <c r="D26" s="652"/>
      <c r="E26" s="321" t="s">
        <v>437</v>
      </c>
      <c r="F26" s="321" t="s">
        <v>438</v>
      </c>
      <c r="G26" s="321" t="s">
        <v>439</v>
      </c>
      <c r="H26" s="670"/>
      <c r="I26" s="320" t="s">
        <v>542</v>
      </c>
      <c r="J26" s="320" t="s">
        <v>438</v>
      </c>
      <c r="K26" s="320" t="s">
        <v>543</v>
      </c>
      <c r="L26" s="639"/>
      <c r="M26" s="645"/>
      <c r="N26" s="652"/>
      <c r="O26" s="652"/>
      <c r="P26" s="321" t="s">
        <v>544</v>
      </c>
      <c r="Q26" s="321" t="s">
        <v>438</v>
      </c>
      <c r="R26" s="321" t="s">
        <v>545</v>
      </c>
      <c r="S26" s="321" t="s">
        <v>546</v>
      </c>
      <c r="T26" s="652"/>
      <c r="U26" s="321" t="s">
        <v>437</v>
      </c>
      <c r="V26" s="321" t="s">
        <v>438</v>
      </c>
      <c r="W26" s="321" t="s">
        <v>439</v>
      </c>
      <c r="X26" s="321" t="s">
        <v>429</v>
      </c>
      <c r="Y26" s="652"/>
      <c r="Z26" s="321" t="s">
        <v>437</v>
      </c>
      <c r="AA26" s="321" t="s">
        <v>547</v>
      </c>
      <c r="AB26" s="321" t="s">
        <v>439</v>
      </c>
      <c r="AC26" s="321" t="s">
        <v>548</v>
      </c>
      <c r="AD26" s="652"/>
      <c r="AE26" s="321" t="s">
        <v>437</v>
      </c>
      <c r="AF26" s="321" t="s">
        <v>438</v>
      </c>
      <c r="AG26" s="321" t="s">
        <v>439</v>
      </c>
      <c r="AH26" s="321" t="s">
        <v>429</v>
      </c>
      <c r="AI26" s="652"/>
      <c r="AJ26" s="321" t="s">
        <v>549</v>
      </c>
      <c r="AK26" s="321" t="s">
        <v>438</v>
      </c>
      <c r="AL26" s="321" t="s">
        <v>545</v>
      </c>
      <c r="AM26" s="321" t="s">
        <v>546</v>
      </c>
      <c r="AN26" s="652"/>
      <c r="AO26" s="321" t="s">
        <v>437</v>
      </c>
      <c r="AP26" s="321" t="s">
        <v>438</v>
      </c>
      <c r="AQ26" s="321" t="s">
        <v>439</v>
      </c>
      <c r="AR26" s="321" t="s">
        <v>429</v>
      </c>
      <c r="AS26" s="652"/>
      <c r="AT26" s="321" t="s">
        <v>437</v>
      </c>
      <c r="AU26" s="321" t="s">
        <v>550</v>
      </c>
      <c r="AV26" s="321" t="s">
        <v>439</v>
      </c>
      <c r="AW26" s="321" t="s">
        <v>429</v>
      </c>
      <c r="AX26" s="652"/>
    </row>
    <row r="27" spans="2:54">
      <c r="B27" s="652" t="s">
        <v>132</v>
      </c>
      <c r="C27" s="322">
        <v>1</v>
      </c>
      <c r="D27" s="227" t="s">
        <v>383</v>
      </c>
      <c r="E27" s="182">
        <v>18</v>
      </c>
      <c r="F27" s="322">
        <v>1440</v>
      </c>
      <c r="G27" s="323">
        <v>80</v>
      </c>
      <c r="H27" s="701">
        <f>AVERAGE(G27:G41)</f>
        <v>79.311111111111117</v>
      </c>
      <c r="I27" s="199">
        <f>AVERAGE(P27,U27,Z27,AE27,AJ27,AO27,AT27)</f>
        <v>18</v>
      </c>
      <c r="J27" s="199">
        <f>AVERAGE(Q27,V27,AA27,AF27,AK27,AP27,AU27)</f>
        <v>1261.0515558074653</v>
      </c>
      <c r="K27" s="200">
        <f>AVERAGE(R27,W27,AB27,AG27,AL27,AQ27,AV27)</f>
        <v>70.058419767081404</v>
      </c>
      <c r="L27" s="633">
        <f>IFERROR(AVERAGE(K27:K41),"-")</f>
        <v>67.398039368256164</v>
      </c>
      <c r="M27" s="201">
        <f>RANK(K27, K$27:$K$41)</f>
        <v>4</v>
      </c>
      <c r="N27" s="652"/>
      <c r="O27" s="652"/>
      <c r="P27" s="182">
        <v>18</v>
      </c>
      <c r="Q27" s="182">
        <v>1247.4545454545453</v>
      </c>
      <c r="R27" s="182">
        <v>69.303030303030297</v>
      </c>
      <c r="S27" s="322">
        <f t="shared" ref="S27:S41" si="12">RANK(R27, R$27:R$41)</f>
        <v>5</v>
      </c>
      <c r="T27" s="701">
        <f>AVERAGE(R27:R41)</f>
        <v>67.798637097124455</v>
      </c>
      <c r="U27" s="182">
        <v>18</v>
      </c>
      <c r="V27" s="182">
        <v>1254.6000000000004</v>
      </c>
      <c r="W27" s="182">
        <v>69.700000000000017</v>
      </c>
      <c r="X27" s="477">
        <f t="shared" ref="X27:X41" si="13">RANK(W27, W$27:W$41)</f>
        <v>4</v>
      </c>
      <c r="Y27" s="701">
        <f t="shared" ref="Y27" si="14">AVERAGE(W27:W41)</f>
        <v>68.304076730216806</v>
      </c>
      <c r="Z27" s="182">
        <v>18</v>
      </c>
      <c r="AA27" s="182">
        <v>1277.3195876288664</v>
      </c>
      <c r="AB27" s="182">
        <v>70.962199312714802</v>
      </c>
      <c r="AC27" s="477">
        <f t="shared" ref="AC27:AC41" si="15">RANK(AB27, AB$27:AB$41)</f>
        <v>4</v>
      </c>
      <c r="AD27" s="701">
        <f t="shared" ref="AD27" si="16">AVERAGE(AB27:AB41)</f>
        <v>67.888684747143117</v>
      </c>
      <c r="AE27" s="182">
        <v>18</v>
      </c>
      <c r="AF27" s="182">
        <v>1240.5194805194808</v>
      </c>
      <c r="AG27" s="182">
        <v>68.917748917748938</v>
      </c>
      <c r="AH27" s="477">
        <f t="shared" ref="AH27:AH41" si="17">RANK(AG27, AG$27:AG$41)</f>
        <v>4</v>
      </c>
      <c r="AI27" s="701">
        <f t="shared" ref="AI27" si="18">AVERAGE(AG27:AG41)</f>
        <v>66.253183127772459</v>
      </c>
      <c r="AJ27" s="182">
        <v>18</v>
      </c>
      <c r="AK27" s="182">
        <v>1276.4210526315792</v>
      </c>
      <c r="AL27" s="182">
        <v>70.912280701754398</v>
      </c>
      <c r="AM27" s="477">
        <f t="shared" ref="AM27:AM41" si="19">RANK(AL27, AL$27:AL$41)</f>
        <v>3</v>
      </c>
      <c r="AN27" s="701">
        <f t="shared" ref="AN27" si="20">AVERAGE(AL27:AL41)</f>
        <v>66.801623927929711</v>
      </c>
      <c r="AO27" s="182">
        <v>18</v>
      </c>
      <c r="AP27" s="182">
        <v>1284.8076923076931</v>
      </c>
      <c r="AQ27" s="182">
        <v>71.378205128205167</v>
      </c>
      <c r="AR27" s="477">
        <f t="shared" ref="AR27:AR41" si="21">RANK(AQ27, AQ$27:AQ$41)</f>
        <v>3</v>
      </c>
      <c r="AS27" s="701">
        <f t="shared" ref="AS27" si="22">AVERAGE(AQ27:AQ41)</f>
        <v>67.091450099352357</v>
      </c>
      <c r="AT27" s="182">
        <v>18</v>
      </c>
      <c r="AU27" s="182">
        <v>1246.2385321100917</v>
      </c>
      <c r="AV27" s="182">
        <v>69.235474006116206</v>
      </c>
      <c r="AW27" s="477">
        <f t="shared" ref="AW27:AW41" si="23">RANK(AV27, AV$27:AV$41)</f>
        <v>4</v>
      </c>
      <c r="AX27" s="674">
        <f t="shared" ref="AX27" si="24">AVERAGE(AV27:AV41)</f>
        <v>67.648619848254199</v>
      </c>
    </row>
    <row r="28" spans="2:54">
      <c r="B28" s="660"/>
      <c r="C28" s="322">
        <v>2</v>
      </c>
      <c r="D28" s="227" t="s">
        <v>384</v>
      </c>
      <c r="E28" s="182">
        <v>18</v>
      </c>
      <c r="F28" s="322">
        <v>1440</v>
      </c>
      <c r="G28" s="323">
        <v>80</v>
      </c>
      <c r="H28" s="702"/>
      <c r="I28" s="199">
        <f t="shared" ref="I28:I33" si="25">AVERAGE(P28,U28,Z28,AE28,AJ28,AO28,AT28)</f>
        <v>18</v>
      </c>
      <c r="J28" s="199">
        <f t="shared" ref="J28:J33" si="26">AVERAGE(Q28,V28,AA28,AF28,AK28,AP28,AU28)</f>
        <v>1174.3661242971582</v>
      </c>
      <c r="K28" s="200">
        <f t="shared" ref="K28:K33" si="27">AVERAGE(R28,W28,AB28,AG28,AL28,AQ28,AV28)</f>
        <v>65.242562460953238</v>
      </c>
      <c r="L28" s="634"/>
      <c r="M28" s="201">
        <f>RANK(K28, K$27:$K$41)</f>
        <v>7</v>
      </c>
      <c r="N28" s="652"/>
      <c r="O28" s="652"/>
      <c r="P28" s="182">
        <v>18</v>
      </c>
      <c r="Q28" s="182">
        <v>1251.9999999999977</v>
      </c>
      <c r="R28" s="182">
        <v>69.555555555555429</v>
      </c>
      <c r="S28" s="322">
        <f t="shared" si="12"/>
        <v>4</v>
      </c>
      <c r="T28" s="702"/>
      <c r="U28" s="182">
        <v>18</v>
      </c>
      <c r="V28" s="182">
        <v>1253.7931034482733</v>
      </c>
      <c r="W28" s="182">
        <v>69.655172413792968</v>
      </c>
      <c r="X28" s="477">
        <f t="shared" si="13"/>
        <v>5</v>
      </c>
      <c r="Y28" s="702"/>
      <c r="Z28" s="182">
        <v>18</v>
      </c>
      <c r="AA28" s="182">
        <v>1245.517241379308</v>
      </c>
      <c r="AB28" s="182">
        <v>69.195402298850439</v>
      </c>
      <c r="AC28" s="477">
        <f t="shared" si="15"/>
        <v>5</v>
      </c>
      <c r="AD28" s="702"/>
      <c r="AE28" s="182">
        <v>18</v>
      </c>
      <c r="AF28" s="182">
        <v>1068.8888888888926</v>
      </c>
      <c r="AG28" s="182">
        <v>59.382716049382921</v>
      </c>
      <c r="AH28" s="477">
        <f t="shared" si="17"/>
        <v>9</v>
      </c>
      <c r="AI28" s="702"/>
      <c r="AJ28" s="182">
        <v>18</v>
      </c>
      <c r="AK28" s="182">
        <v>1081.8181818181854</v>
      </c>
      <c r="AL28" s="182">
        <v>60.101010101010303</v>
      </c>
      <c r="AM28" s="477">
        <f t="shared" si="19"/>
        <v>10</v>
      </c>
      <c r="AN28" s="702"/>
      <c r="AO28" s="182">
        <v>18</v>
      </c>
      <c r="AP28" s="182">
        <v>1074.5454545454531</v>
      </c>
      <c r="AQ28" s="182">
        <v>59.696969696969617</v>
      </c>
      <c r="AR28" s="477">
        <f t="shared" si="21"/>
        <v>10</v>
      </c>
      <c r="AS28" s="702"/>
      <c r="AT28" s="182">
        <v>18</v>
      </c>
      <c r="AU28" s="182">
        <v>1243.9999999999977</v>
      </c>
      <c r="AV28" s="182">
        <v>69.111111111110986</v>
      </c>
      <c r="AW28" s="477">
        <f t="shared" si="23"/>
        <v>5</v>
      </c>
      <c r="AX28" s="674"/>
    </row>
    <row r="29" spans="2:54">
      <c r="B29" s="660"/>
      <c r="C29" s="322">
        <v>3</v>
      </c>
      <c r="D29" s="227" t="s">
        <v>944</v>
      </c>
      <c r="E29" s="182">
        <v>18</v>
      </c>
      <c r="F29" s="322">
        <v>1440</v>
      </c>
      <c r="G29" s="323">
        <v>80</v>
      </c>
      <c r="H29" s="702"/>
      <c r="I29" s="199">
        <f t="shared" si="25"/>
        <v>18.857142857142858</v>
      </c>
      <c r="J29" s="199">
        <f t="shared" si="26"/>
        <v>1088.7041853800263</v>
      </c>
      <c r="K29" s="200">
        <f t="shared" si="27"/>
        <v>57.749955732894719</v>
      </c>
      <c r="L29" s="634"/>
      <c r="M29" s="201">
        <f>RANK(K29, K$27:$K$41)</f>
        <v>11</v>
      </c>
      <c r="N29" s="652"/>
      <c r="O29" s="652"/>
      <c r="P29" s="182">
        <v>19</v>
      </c>
      <c r="Q29" s="182">
        <v>1110.0000000000039</v>
      </c>
      <c r="R29" s="182">
        <v>58.421052631579151</v>
      </c>
      <c r="S29" s="322">
        <f t="shared" si="12"/>
        <v>11</v>
      </c>
      <c r="T29" s="702"/>
      <c r="U29" s="182">
        <v>19</v>
      </c>
      <c r="V29" s="182">
        <v>1091.6129032258045</v>
      </c>
      <c r="W29" s="182">
        <v>57.453310696094974</v>
      </c>
      <c r="X29" s="477">
        <f t="shared" si="13"/>
        <v>11</v>
      </c>
      <c r="Y29" s="702"/>
      <c r="Z29" s="182">
        <v>19</v>
      </c>
      <c r="AA29" s="182">
        <v>1108.9655172413773</v>
      </c>
      <c r="AB29" s="182">
        <v>58.3666061705988</v>
      </c>
      <c r="AC29" s="477">
        <f t="shared" si="15"/>
        <v>11</v>
      </c>
      <c r="AD29" s="702"/>
      <c r="AE29" s="182">
        <v>19</v>
      </c>
      <c r="AF29" s="182">
        <v>1073.6842105263197</v>
      </c>
      <c r="AG29" s="182">
        <v>56.509695290858929</v>
      </c>
      <c r="AH29" s="477">
        <f t="shared" si="17"/>
        <v>10</v>
      </c>
      <c r="AI29" s="702"/>
      <c r="AJ29" s="182">
        <v>19</v>
      </c>
      <c r="AK29" s="182">
        <v>1080.0000000000039</v>
      </c>
      <c r="AL29" s="182">
        <v>56.842105263158096</v>
      </c>
      <c r="AM29" s="477">
        <f t="shared" si="19"/>
        <v>11</v>
      </c>
      <c r="AN29" s="702"/>
      <c r="AO29" s="182">
        <v>19</v>
      </c>
      <c r="AP29" s="182">
        <v>1080.0000000000039</v>
      </c>
      <c r="AQ29" s="182">
        <v>56.842105263158096</v>
      </c>
      <c r="AR29" s="477">
        <f t="shared" si="21"/>
        <v>11</v>
      </c>
      <c r="AS29" s="702"/>
      <c r="AT29" s="182">
        <v>18</v>
      </c>
      <c r="AU29" s="182">
        <v>1076.6666666666704</v>
      </c>
      <c r="AV29" s="182">
        <v>59.814814814815023</v>
      </c>
      <c r="AW29" s="477">
        <f t="shared" si="23"/>
        <v>11</v>
      </c>
      <c r="AX29" s="674"/>
    </row>
    <row r="30" spans="2:54">
      <c r="B30" s="660"/>
      <c r="C30" s="322">
        <v>4</v>
      </c>
      <c r="D30" s="227" t="s">
        <v>385</v>
      </c>
      <c r="E30" s="182">
        <v>16</v>
      </c>
      <c r="F30" s="322">
        <v>1440</v>
      </c>
      <c r="G30" s="323">
        <v>90</v>
      </c>
      <c r="H30" s="702"/>
      <c r="I30" s="199">
        <f t="shared" si="25"/>
        <v>16.142857142857142</v>
      </c>
      <c r="J30" s="199">
        <f t="shared" si="26"/>
        <v>1247.0694513270298</v>
      </c>
      <c r="K30" s="200">
        <f t="shared" si="27"/>
        <v>77.290102740024935</v>
      </c>
      <c r="L30" s="634"/>
      <c r="M30" s="201">
        <f>RANK(K30, K$27:$K$41)</f>
        <v>2</v>
      </c>
      <c r="N30" s="652"/>
      <c r="O30" s="652"/>
      <c r="P30" s="182">
        <v>17</v>
      </c>
      <c r="Q30" s="182">
        <v>1240.909090909091</v>
      </c>
      <c r="R30" s="182">
        <v>72.994652406417117</v>
      </c>
      <c r="S30" s="322">
        <f t="shared" si="12"/>
        <v>2</v>
      </c>
      <c r="T30" s="702"/>
      <c r="U30" s="182">
        <v>16</v>
      </c>
      <c r="V30" s="182">
        <v>1252.3076923076917</v>
      </c>
      <c r="W30" s="182">
        <v>78.269230769230731</v>
      </c>
      <c r="X30" s="477">
        <f t="shared" si="13"/>
        <v>2</v>
      </c>
      <c r="Y30" s="702"/>
      <c r="Z30" s="182">
        <v>16</v>
      </c>
      <c r="AA30" s="182">
        <v>1245.2941176470583</v>
      </c>
      <c r="AB30" s="182">
        <v>77.830882352941146</v>
      </c>
      <c r="AC30" s="477">
        <f t="shared" si="15"/>
        <v>2</v>
      </c>
      <c r="AD30" s="702"/>
      <c r="AE30" s="182">
        <v>16</v>
      </c>
      <c r="AF30" s="182">
        <v>1265.1923076923074</v>
      </c>
      <c r="AG30" s="182">
        <v>79.074519230769212</v>
      </c>
      <c r="AH30" s="477">
        <f t="shared" si="17"/>
        <v>2</v>
      </c>
      <c r="AI30" s="702"/>
      <c r="AJ30" s="182">
        <v>16</v>
      </c>
      <c r="AK30" s="182">
        <v>1242.4778761061948</v>
      </c>
      <c r="AL30" s="182">
        <v>77.654867256637175</v>
      </c>
      <c r="AM30" s="477">
        <f t="shared" si="19"/>
        <v>2</v>
      </c>
      <c r="AN30" s="702"/>
      <c r="AO30" s="182">
        <v>16</v>
      </c>
      <c r="AP30" s="182">
        <v>1242.9850746268655</v>
      </c>
      <c r="AQ30" s="182">
        <v>77.686567164179095</v>
      </c>
      <c r="AR30" s="477">
        <f t="shared" si="21"/>
        <v>2</v>
      </c>
      <c r="AS30" s="702"/>
      <c r="AT30" s="182">
        <v>16</v>
      </c>
      <c r="AU30" s="182">
        <v>1240.3199999999997</v>
      </c>
      <c r="AV30" s="182">
        <v>77.519999999999982</v>
      </c>
      <c r="AW30" s="477">
        <f t="shared" si="23"/>
        <v>2</v>
      </c>
      <c r="AX30" s="674"/>
    </row>
    <row r="31" spans="2:54">
      <c r="B31" s="660"/>
      <c r="C31" s="322">
        <v>5</v>
      </c>
      <c r="D31" s="227" t="s">
        <v>386</v>
      </c>
      <c r="E31" s="182">
        <v>19</v>
      </c>
      <c r="F31" s="322">
        <v>1440</v>
      </c>
      <c r="G31" s="323">
        <v>84.7</v>
      </c>
      <c r="H31" s="702"/>
      <c r="I31" s="199">
        <f t="shared" si="25"/>
        <v>19</v>
      </c>
      <c r="J31" s="199">
        <f t="shared" si="26"/>
        <v>1209.7414965986386</v>
      </c>
      <c r="K31" s="200">
        <f t="shared" si="27"/>
        <v>63.67060508413887</v>
      </c>
      <c r="L31" s="634"/>
      <c r="M31" s="201">
        <f>RANK(K31, K$27:$K$41)</f>
        <v>8</v>
      </c>
      <c r="N31" s="652"/>
      <c r="O31" s="652"/>
      <c r="P31" s="182">
        <v>19</v>
      </c>
      <c r="Q31" s="182">
        <v>1219.2857142857115</v>
      </c>
      <c r="R31" s="182">
        <v>64.172932330826924</v>
      </c>
      <c r="S31" s="322">
        <f t="shared" si="12"/>
        <v>8</v>
      </c>
      <c r="T31" s="702"/>
      <c r="U31" s="182">
        <v>19</v>
      </c>
      <c r="V31" s="182">
        <v>1242.2222222222267</v>
      </c>
      <c r="W31" s="182">
        <v>65.380116959064566</v>
      </c>
      <c r="X31" s="477">
        <f t="shared" si="13"/>
        <v>7</v>
      </c>
      <c r="Y31" s="702"/>
      <c r="Z31" s="182">
        <v>19</v>
      </c>
      <c r="AA31" s="182">
        <v>1202.1428571428546</v>
      </c>
      <c r="AB31" s="182">
        <v>63.270676691729193</v>
      </c>
      <c r="AC31" s="477">
        <f t="shared" si="15"/>
        <v>8</v>
      </c>
      <c r="AD31" s="702"/>
      <c r="AE31" s="182">
        <v>19</v>
      </c>
      <c r="AF31" s="182">
        <v>1234.2857142857092</v>
      </c>
      <c r="AG31" s="182">
        <v>64.962406015037331</v>
      </c>
      <c r="AH31" s="477">
        <f t="shared" si="17"/>
        <v>6</v>
      </c>
      <c r="AI31" s="702"/>
      <c r="AJ31" s="182">
        <v>19</v>
      </c>
      <c r="AK31" s="182">
        <v>1161.999999999998</v>
      </c>
      <c r="AL31" s="182">
        <v>61.157894736841996</v>
      </c>
      <c r="AM31" s="477">
        <f t="shared" si="19"/>
        <v>8</v>
      </c>
      <c r="AN31" s="702"/>
      <c r="AO31" s="182">
        <v>19</v>
      </c>
      <c r="AP31" s="182">
        <v>1191.1111111111154</v>
      </c>
      <c r="AQ31" s="182">
        <v>62.690058479532389</v>
      </c>
      <c r="AR31" s="477">
        <f t="shared" si="21"/>
        <v>8</v>
      </c>
      <c r="AS31" s="702"/>
      <c r="AT31" s="182">
        <v>19</v>
      </c>
      <c r="AU31" s="182">
        <v>1217.1428571428546</v>
      </c>
      <c r="AV31" s="182">
        <v>64.060150375939713</v>
      </c>
      <c r="AW31" s="477">
        <f t="shared" si="23"/>
        <v>9</v>
      </c>
      <c r="AX31" s="674"/>
    </row>
    <row r="32" spans="2:54">
      <c r="B32" s="660"/>
      <c r="C32" s="322">
        <v>6</v>
      </c>
      <c r="D32" s="227" t="s">
        <v>387</v>
      </c>
      <c r="E32" s="182">
        <v>21</v>
      </c>
      <c r="F32" s="322">
        <v>1385</v>
      </c>
      <c r="G32" s="323">
        <v>65.900000000000006</v>
      </c>
      <c r="H32" s="702"/>
      <c r="I32" s="199">
        <f t="shared" si="25"/>
        <v>20</v>
      </c>
      <c r="J32" s="199">
        <f t="shared" si="26"/>
        <v>1220.321756869653</v>
      </c>
      <c r="K32" s="200">
        <f t="shared" si="27"/>
        <v>61.016087843482651</v>
      </c>
      <c r="L32" s="634"/>
      <c r="M32" s="201">
        <f>RANK(K32, K$27:$K$41)</f>
        <v>10</v>
      </c>
      <c r="N32" s="652"/>
      <c r="O32" s="652"/>
      <c r="P32" s="182">
        <v>20</v>
      </c>
      <c r="Q32" s="182">
        <v>1216.9655172413791</v>
      </c>
      <c r="R32" s="182">
        <v>60.848275862068952</v>
      </c>
      <c r="S32" s="322">
        <f t="shared" si="12"/>
        <v>10</v>
      </c>
      <c r="T32" s="702"/>
      <c r="U32" s="182">
        <v>20</v>
      </c>
      <c r="V32" s="182">
        <v>1214.6707317073165</v>
      </c>
      <c r="W32" s="182">
        <v>60.733536585365826</v>
      </c>
      <c r="X32" s="477">
        <f t="shared" si="13"/>
        <v>10</v>
      </c>
      <c r="Y32" s="702"/>
      <c r="Z32" s="182">
        <v>20</v>
      </c>
      <c r="AA32" s="182">
        <v>1200.6250000000002</v>
      </c>
      <c r="AB32" s="182">
        <v>60.031250000000014</v>
      </c>
      <c r="AC32" s="477">
        <f t="shared" si="15"/>
        <v>10</v>
      </c>
      <c r="AD32" s="702"/>
      <c r="AE32" s="182">
        <v>20</v>
      </c>
      <c r="AF32" s="182">
        <v>1241.3538461538476</v>
      </c>
      <c r="AG32" s="182">
        <v>62.067692307692383</v>
      </c>
      <c r="AH32" s="477">
        <f t="shared" si="17"/>
        <v>8</v>
      </c>
      <c r="AI32" s="702"/>
      <c r="AJ32" s="182">
        <v>20</v>
      </c>
      <c r="AK32" s="182">
        <v>1220.8695652173901</v>
      </c>
      <c r="AL32" s="182">
        <v>61.043478260869506</v>
      </c>
      <c r="AM32" s="477">
        <f t="shared" si="19"/>
        <v>9</v>
      </c>
      <c r="AN32" s="702"/>
      <c r="AO32" s="182">
        <v>20</v>
      </c>
      <c r="AP32" s="182">
        <v>1242.7027027027036</v>
      </c>
      <c r="AQ32" s="182">
        <v>62.135135135135179</v>
      </c>
      <c r="AR32" s="477">
        <f t="shared" si="21"/>
        <v>9</v>
      </c>
      <c r="AS32" s="702"/>
      <c r="AT32" s="182">
        <v>20</v>
      </c>
      <c r="AU32" s="182">
        <v>1205.0649350649344</v>
      </c>
      <c r="AV32" s="182">
        <v>60.253246753246721</v>
      </c>
      <c r="AW32" s="477">
        <f t="shared" si="23"/>
        <v>10</v>
      </c>
      <c r="AX32" s="674"/>
    </row>
    <row r="33" spans="2:50">
      <c r="B33" s="660"/>
      <c r="C33" s="322">
        <v>7</v>
      </c>
      <c r="D33" s="227" t="s">
        <v>388</v>
      </c>
      <c r="E33" s="182">
        <v>19</v>
      </c>
      <c r="F33" s="322">
        <v>1440</v>
      </c>
      <c r="G33" s="323">
        <v>75.8</v>
      </c>
      <c r="H33" s="702"/>
      <c r="I33" s="199">
        <f t="shared" si="25"/>
        <v>20</v>
      </c>
      <c r="J33" s="199">
        <f t="shared" si="26"/>
        <v>1273.0166477533337</v>
      </c>
      <c r="K33" s="200">
        <f t="shared" si="27"/>
        <v>63.650832387666696</v>
      </c>
      <c r="L33" s="634"/>
      <c r="M33" s="201">
        <f>RANK(K33, K$27:$K$41)</f>
        <v>9</v>
      </c>
      <c r="N33" s="652"/>
      <c r="O33" s="652"/>
      <c r="P33" s="182">
        <v>20</v>
      </c>
      <c r="Q33" s="182">
        <v>1275.4545454545469</v>
      </c>
      <c r="R33" s="182">
        <v>63.772727272727344</v>
      </c>
      <c r="S33" s="322">
        <f t="shared" si="12"/>
        <v>9</v>
      </c>
      <c r="T33" s="702"/>
      <c r="U33" s="182">
        <v>20</v>
      </c>
      <c r="V33" s="182">
        <v>1275.4545454545469</v>
      </c>
      <c r="W33" s="182">
        <v>63.772727272727344</v>
      </c>
      <c r="X33" s="477">
        <f t="shared" si="13"/>
        <v>9</v>
      </c>
      <c r="Y33" s="702"/>
      <c r="Z33" s="182">
        <v>20</v>
      </c>
      <c r="AA33" s="182">
        <v>1261.2923076923091</v>
      </c>
      <c r="AB33" s="182">
        <v>63.064615384615458</v>
      </c>
      <c r="AC33" s="477">
        <f t="shared" si="15"/>
        <v>9</v>
      </c>
      <c r="AD33" s="702"/>
      <c r="AE33" s="182">
        <v>20</v>
      </c>
      <c r="AF33" s="182">
        <v>1247.0000000000002</v>
      </c>
      <c r="AG33" s="182">
        <v>62.350000000000009</v>
      </c>
      <c r="AH33" s="477">
        <f t="shared" si="17"/>
        <v>7</v>
      </c>
      <c r="AI33" s="702"/>
      <c r="AJ33" s="182">
        <v>20</v>
      </c>
      <c r="AK33" s="182">
        <v>1285.0746268656733</v>
      </c>
      <c r="AL33" s="182">
        <v>64.253731343283661</v>
      </c>
      <c r="AM33" s="477">
        <f t="shared" si="19"/>
        <v>7</v>
      </c>
      <c r="AN33" s="702"/>
      <c r="AO33" s="182">
        <v>20</v>
      </c>
      <c r="AP33" s="182">
        <v>1274.7857142857129</v>
      </c>
      <c r="AQ33" s="182">
        <v>63.739285714285643</v>
      </c>
      <c r="AR33" s="477">
        <f t="shared" si="21"/>
        <v>7</v>
      </c>
      <c r="AS33" s="702"/>
      <c r="AT33" s="182">
        <v>20</v>
      </c>
      <c r="AU33" s="182">
        <v>1292.0547945205471</v>
      </c>
      <c r="AV33" s="182">
        <v>64.602739726027352</v>
      </c>
      <c r="AW33" s="477">
        <f t="shared" si="23"/>
        <v>8</v>
      </c>
      <c r="AX33" s="674"/>
    </row>
    <row r="34" spans="2:50">
      <c r="B34" s="660"/>
      <c r="C34" s="322">
        <v>8</v>
      </c>
      <c r="D34" s="227" t="s">
        <v>707</v>
      </c>
      <c r="E34" s="182">
        <v>18</v>
      </c>
      <c r="F34" s="322">
        <v>1385</v>
      </c>
      <c r="G34" s="323">
        <v>76.900000000000006</v>
      </c>
      <c r="H34" s="702"/>
      <c r="I34" s="425">
        <f t="shared" ref="I34:I37" si="28">AVERAGE(P34,U34,Z34,AE34,AJ34,AO34,AT34)</f>
        <v>18.142857142857142</v>
      </c>
      <c r="J34" s="425">
        <f t="shared" ref="J34:J37" si="29">AVERAGE(Q34,V34,AA34,AF34,AK34,AP34,AU34)</f>
        <v>1205.5996310012367</v>
      </c>
      <c r="K34" s="200">
        <f t="shared" ref="K34:K37" si="30">AVERAGE(R34,W34,AB34,AG34,AL34,AQ34,AV34)</f>
        <v>66.464880883963232</v>
      </c>
      <c r="L34" s="634"/>
      <c r="M34" s="201">
        <f>RANK(K34, K$27:$K$41)</f>
        <v>5</v>
      </c>
      <c r="N34" s="652"/>
      <c r="O34" s="652"/>
      <c r="P34" s="182">
        <v>18</v>
      </c>
      <c r="Q34" s="182">
        <v>1199.2941176470586</v>
      </c>
      <c r="R34" s="182">
        <v>66.62745098039214</v>
      </c>
      <c r="S34" s="322">
        <f t="shared" si="12"/>
        <v>7</v>
      </c>
      <c r="T34" s="702"/>
      <c r="U34" s="182">
        <v>18</v>
      </c>
      <c r="V34" s="182">
        <v>1209.5238095238108</v>
      </c>
      <c r="W34" s="182">
        <v>67.19576719576726</v>
      </c>
      <c r="X34" s="477">
        <f t="shared" si="13"/>
        <v>6</v>
      </c>
      <c r="Y34" s="702"/>
      <c r="Z34" s="182">
        <v>18</v>
      </c>
      <c r="AA34" s="182">
        <v>1189.5238095238076</v>
      </c>
      <c r="AB34" s="182">
        <v>66.084656084655975</v>
      </c>
      <c r="AC34" s="477">
        <f t="shared" si="15"/>
        <v>7</v>
      </c>
      <c r="AD34" s="702"/>
      <c r="AE34" s="182">
        <v>18</v>
      </c>
      <c r="AF34" s="182">
        <v>1217.7049180327879</v>
      </c>
      <c r="AG34" s="182">
        <v>67.650273224043772</v>
      </c>
      <c r="AH34" s="477">
        <f t="shared" si="17"/>
        <v>5</v>
      </c>
      <c r="AI34" s="702"/>
      <c r="AJ34" s="182">
        <v>18</v>
      </c>
      <c r="AK34" s="182">
        <v>1199.9999999999984</v>
      </c>
      <c r="AL34" s="182">
        <v>66.666666666666572</v>
      </c>
      <c r="AM34" s="477">
        <f t="shared" si="19"/>
        <v>6</v>
      </c>
      <c r="AN34" s="702"/>
      <c r="AO34" s="182">
        <v>18</v>
      </c>
      <c r="AP34" s="182">
        <v>1195.3246753246747</v>
      </c>
      <c r="AQ34" s="182">
        <v>66.406926406926374</v>
      </c>
      <c r="AR34" s="477">
        <f t="shared" si="21"/>
        <v>6</v>
      </c>
      <c r="AS34" s="702"/>
      <c r="AT34" s="182">
        <v>19</v>
      </c>
      <c r="AU34" s="182">
        <v>1227.8260869565204</v>
      </c>
      <c r="AV34" s="182">
        <v>64.622425629290547</v>
      </c>
      <c r="AW34" s="477">
        <f t="shared" si="23"/>
        <v>7</v>
      </c>
      <c r="AX34" s="674"/>
    </row>
    <row r="35" spans="2:50">
      <c r="B35" s="660"/>
      <c r="C35" s="322">
        <v>9</v>
      </c>
      <c r="D35" s="227" t="s">
        <v>710</v>
      </c>
      <c r="E35" s="182">
        <v>18</v>
      </c>
      <c r="F35" s="322">
        <v>1385</v>
      </c>
      <c r="G35" s="323">
        <v>76.900000000000006</v>
      </c>
      <c r="H35" s="702"/>
      <c r="I35" s="425">
        <f t="shared" si="28"/>
        <v>18</v>
      </c>
      <c r="J35" s="425">
        <f t="shared" si="29"/>
        <v>1184.8323329331738</v>
      </c>
      <c r="K35" s="200">
        <f t="shared" si="30"/>
        <v>65.824018496287437</v>
      </c>
      <c r="L35" s="634"/>
      <c r="M35" s="201">
        <f>RANK(K35, K$27:$K$41)</f>
        <v>6</v>
      </c>
      <c r="N35" s="652"/>
      <c r="O35" s="652"/>
      <c r="P35" s="182">
        <v>18</v>
      </c>
      <c r="Q35" s="182">
        <v>1230.0000000000043</v>
      </c>
      <c r="R35" s="182">
        <v>68.33333333333357</v>
      </c>
      <c r="S35" s="322">
        <f t="shared" si="12"/>
        <v>6</v>
      </c>
      <c r="T35" s="702"/>
      <c r="U35" s="182">
        <v>18</v>
      </c>
      <c r="V35" s="182">
        <v>1176.6666666666658</v>
      </c>
      <c r="W35" s="182">
        <v>65.370370370370324</v>
      </c>
      <c r="X35" s="477">
        <f t="shared" si="13"/>
        <v>8</v>
      </c>
      <c r="Y35" s="702"/>
      <c r="Z35" s="182">
        <v>18</v>
      </c>
      <c r="AA35" s="182">
        <v>1225.7142857142846</v>
      </c>
      <c r="AB35" s="182">
        <v>68.095238095238031</v>
      </c>
      <c r="AC35" s="477">
        <f t="shared" si="15"/>
        <v>6</v>
      </c>
      <c r="AD35" s="702"/>
      <c r="AE35" s="182">
        <v>18</v>
      </c>
      <c r="AF35" s="182">
        <v>1011.4285714285704</v>
      </c>
      <c r="AG35" s="182">
        <v>56.190476190476133</v>
      </c>
      <c r="AH35" s="477">
        <f t="shared" si="17"/>
        <v>11</v>
      </c>
      <c r="AI35" s="702"/>
      <c r="AJ35" s="182">
        <v>18</v>
      </c>
      <c r="AK35" s="182">
        <v>1210.5882352941162</v>
      </c>
      <c r="AL35" s="182">
        <v>67.254901960784238</v>
      </c>
      <c r="AM35" s="477">
        <f t="shared" si="19"/>
        <v>5</v>
      </c>
      <c r="AN35" s="702"/>
      <c r="AO35" s="182">
        <v>18</v>
      </c>
      <c r="AP35" s="182">
        <v>1222.2857142857131</v>
      </c>
      <c r="AQ35" s="182">
        <v>67.904761904761841</v>
      </c>
      <c r="AR35" s="477">
        <f t="shared" si="21"/>
        <v>5</v>
      </c>
      <c r="AS35" s="702"/>
      <c r="AT35" s="182">
        <v>18</v>
      </c>
      <c r="AU35" s="182">
        <v>1217.1428571428617</v>
      </c>
      <c r="AV35" s="182">
        <v>67.619047619047876</v>
      </c>
      <c r="AW35" s="477">
        <f t="shared" si="23"/>
        <v>6</v>
      </c>
      <c r="AX35" s="674"/>
    </row>
    <row r="36" spans="2:50">
      <c r="B36" s="660"/>
      <c r="C36" s="322">
        <v>10</v>
      </c>
      <c r="D36" s="227" t="s">
        <v>781</v>
      </c>
      <c r="E36" s="182">
        <v>16</v>
      </c>
      <c r="F36" s="322">
        <v>1440</v>
      </c>
      <c r="G36" s="323">
        <v>90</v>
      </c>
      <c r="H36" s="702"/>
      <c r="I36" s="425">
        <f t="shared" si="28"/>
        <v>15.857142857142858</v>
      </c>
      <c r="J36" s="425">
        <f t="shared" si="29"/>
        <v>1260.439078571284</v>
      </c>
      <c r="K36" s="200">
        <f t="shared" si="30"/>
        <v>79.520234022762921</v>
      </c>
      <c r="L36" s="634"/>
      <c r="M36" s="201">
        <f>RANK(K36, K$27:$K$41)</f>
        <v>1</v>
      </c>
      <c r="N36" s="652"/>
      <c r="O36" s="652"/>
      <c r="P36" s="182">
        <v>16</v>
      </c>
      <c r="Q36" s="182">
        <v>1282.3728813559317</v>
      </c>
      <c r="R36" s="182">
        <v>80.148305084745729</v>
      </c>
      <c r="S36" s="322">
        <f t="shared" si="12"/>
        <v>1</v>
      </c>
      <c r="T36" s="702"/>
      <c r="U36" s="182">
        <v>15</v>
      </c>
      <c r="V36" s="182">
        <v>1247.8899082568807</v>
      </c>
      <c r="W36" s="182">
        <v>83.192660550458712</v>
      </c>
      <c r="X36" s="477">
        <f t="shared" si="13"/>
        <v>1</v>
      </c>
      <c r="Y36" s="702"/>
      <c r="Z36" s="182">
        <v>16</v>
      </c>
      <c r="AA36" s="182">
        <v>1261.8795180722889</v>
      </c>
      <c r="AB36" s="182">
        <v>78.867469879518055</v>
      </c>
      <c r="AC36" s="477">
        <f t="shared" si="15"/>
        <v>1</v>
      </c>
      <c r="AD36" s="702"/>
      <c r="AE36" s="182">
        <v>16</v>
      </c>
      <c r="AF36" s="182">
        <v>1277.5384615384623</v>
      </c>
      <c r="AG36" s="182">
        <v>79.846153846153896</v>
      </c>
      <c r="AH36" s="477">
        <f t="shared" si="17"/>
        <v>1</v>
      </c>
      <c r="AI36" s="702"/>
      <c r="AJ36" s="182">
        <v>16</v>
      </c>
      <c r="AK36" s="182">
        <v>1249.090909090909</v>
      </c>
      <c r="AL36" s="182">
        <v>78.068181818181813</v>
      </c>
      <c r="AM36" s="477">
        <f t="shared" si="19"/>
        <v>1</v>
      </c>
      <c r="AN36" s="702"/>
      <c r="AO36" s="182">
        <v>16</v>
      </c>
      <c r="AP36" s="182">
        <v>1257.786407766991</v>
      </c>
      <c r="AQ36" s="182">
        <v>78.61165048543694</v>
      </c>
      <c r="AR36" s="477">
        <f t="shared" si="21"/>
        <v>1</v>
      </c>
      <c r="AS36" s="702"/>
      <c r="AT36" s="182">
        <v>16</v>
      </c>
      <c r="AU36" s="182">
        <v>1246.515463917525</v>
      </c>
      <c r="AV36" s="182">
        <v>77.907216494845315</v>
      </c>
      <c r="AW36" s="477">
        <f t="shared" si="23"/>
        <v>1</v>
      </c>
      <c r="AX36" s="674"/>
    </row>
    <row r="37" spans="2:50">
      <c r="B37" s="660"/>
      <c r="C37" s="322">
        <v>11</v>
      </c>
      <c r="D37" s="227" t="s">
        <v>963</v>
      </c>
      <c r="E37" s="182">
        <v>18</v>
      </c>
      <c r="F37" s="322">
        <v>1300</v>
      </c>
      <c r="G37" s="323">
        <v>72.222222222222229</v>
      </c>
      <c r="H37" s="702"/>
      <c r="I37" s="425">
        <f t="shared" si="28"/>
        <v>18</v>
      </c>
      <c r="J37" s="425">
        <f t="shared" si="29"/>
        <v>1276.0332053681102</v>
      </c>
      <c r="K37" s="200">
        <f t="shared" si="30"/>
        <v>70.890733631561673</v>
      </c>
      <c r="L37" s="634"/>
      <c r="M37" s="201">
        <f>RANK(K37, K$27:$K$41)</f>
        <v>3</v>
      </c>
      <c r="N37" s="652"/>
      <c r="O37" s="652"/>
      <c r="P37" s="551">
        <v>18</v>
      </c>
      <c r="Q37" s="552">
        <v>1288.9384615384611</v>
      </c>
      <c r="R37" s="552">
        <v>71.607692307692275</v>
      </c>
      <c r="S37" s="322">
        <f t="shared" si="12"/>
        <v>3</v>
      </c>
      <c r="T37" s="702"/>
      <c r="U37" s="551">
        <v>18</v>
      </c>
      <c r="V37" s="552">
        <v>1271.1951219512191</v>
      </c>
      <c r="W37" s="552">
        <v>70.621951219512169</v>
      </c>
      <c r="X37" s="477">
        <f t="shared" si="13"/>
        <v>3</v>
      </c>
      <c r="Y37" s="702"/>
      <c r="Z37" s="551">
        <v>18</v>
      </c>
      <c r="AA37" s="552">
        <v>1278.1176470588241</v>
      </c>
      <c r="AB37" s="552">
        <v>71.00653594771245</v>
      </c>
      <c r="AC37" s="477">
        <f t="shared" si="15"/>
        <v>3</v>
      </c>
      <c r="AD37" s="702"/>
      <c r="AE37" s="551">
        <v>18</v>
      </c>
      <c r="AF37" s="552">
        <v>1293.0000000000009</v>
      </c>
      <c r="AG37" s="552">
        <v>71.833333333333385</v>
      </c>
      <c r="AH37" s="477">
        <f t="shared" si="17"/>
        <v>3</v>
      </c>
      <c r="AI37" s="702"/>
      <c r="AJ37" s="551">
        <v>18</v>
      </c>
      <c r="AK37" s="552">
        <v>1275.5294117647061</v>
      </c>
      <c r="AL37" s="552">
        <v>70.862745098039227</v>
      </c>
      <c r="AM37" s="477">
        <f t="shared" si="19"/>
        <v>4</v>
      </c>
      <c r="AN37" s="702"/>
      <c r="AO37" s="551">
        <v>18</v>
      </c>
      <c r="AP37" s="552">
        <v>1276.457142857143</v>
      </c>
      <c r="AQ37" s="552">
        <v>70.914285714285725</v>
      </c>
      <c r="AR37" s="477">
        <f t="shared" si="21"/>
        <v>4</v>
      </c>
      <c r="AS37" s="702"/>
      <c r="AT37" s="551">
        <v>18</v>
      </c>
      <c r="AU37" s="552">
        <v>1248.9946524064167</v>
      </c>
      <c r="AV37" s="552">
        <v>69.38859180035648</v>
      </c>
      <c r="AW37" s="477">
        <f t="shared" si="23"/>
        <v>3</v>
      </c>
      <c r="AX37" s="674"/>
    </row>
    <row r="38" spans="2:50">
      <c r="B38" s="660"/>
      <c r="C38" s="322">
        <v>12</v>
      </c>
      <c r="D38" s="227"/>
      <c r="E38" s="182"/>
      <c r="F38" s="322"/>
      <c r="G38" s="323"/>
      <c r="H38" s="702"/>
      <c r="I38" s="481"/>
      <c r="J38" s="481"/>
      <c r="K38" s="200"/>
      <c r="L38" s="634"/>
      <c r="M38" s="201" t="e">
        <f>RANK(K38, K$27:$K$41)</f>
        <v>#N/A</v>
      </c>
      <c r="N38" s="652"/>
      <c r="O38" s="652"/>
      <c r="P38" s="551"/>
      <c r="Q38" s="552"/>
      <c r="R38" s="552"/>
      <c r="S38" s="322" t="e">
        <f t="shared" si="12"/>
        <v>#N/A</v>
      </c>
      <c r="T38" s="702"/>
      <c r="U38" s="551"/>
      <c r="V38" s="552"/>
      <c r="W38" s="552"/>
      <c r="X38" s="477" t="e">
        <f t="shared" si="13"/>
        <v>#N/A</v>
      </c>
      <c r="Y38" s="702"/>
      <c r="Z38" s="551"/>
      <c r="AA38" s="552"/>
      <c r="AB38" s="552"/>
      <c r="AC38" s="477" t="e">
        <f t="shared" si="15"/>
        <v>#N/A</v>
      </c>
      <c r="AD38" s="702"/>
      <c r="AE38" s="551"/>
      <c r="AF38" s="552"/>
      <c r="AG38" s="552"/>
      <c r="AH38" s="477" t="e">
        <f t="shared" si="17"/>
        <v>#N/A</v>
      </c>
      <c r="AI38" s="702"/>
      <c r="AJ38" s="551"/>
      <c r="AK38" s="552"/>
      <c r="AL38" s="552"/>
      <c r="AM38" s="477" t="e">
        <f t="shared" si="19"/>
        <v>#N/A</v>
      </c>
      <c r="AN38" s="702"/>
      <c r="AO38" s="551"/>
      <c r="AP38" s="552"/>
      <c r="AQ38" s="552"/>
      <c r="AR38" s="477" t="e">
        <f t="shared" si="21"/>
        <v>#N/A</v>
      </c>
      <c r="AS38" s="702"/>
      <c r="AT38" s="551"/>
      <c r="AU38" s="552"/>
      <c r="AV38" s="552"/>
      <c r="AW38" s="477" t="e">
        <f t="shared" si="23"/>
        <v>#N/A</v>
      </c>
      <c r="AX38" s="674"/>
    </row>
    <row r="39" spans="2:50">
      <c r="B39" s="660"/>
      <c r="C39" s="322">
        <v>13</v>
      </c>
      <c r="D39" s="227"/>
      <c r="E39" s="182"/>
      <c r="F39" s="322"/>
      <c r="G39" s="323"/>
      <c r="H39" s="702"/>
      <c r="I39" s="202"/>
      <c r="J39" s="202"/>
      <c r="K39" s="202"/>
      <c r="L39" s="634"/>
      <c r="M39" s="201" t="e">
        <f>RANK(K39, K$27:$K$41)</f>
        <v>#N/A</v>
      </c>
      <c r="N39" s="652"/>
      <c r="O39" s="652"/>
      <c r="P39" s="551"/>
      <c r="Q39" s="552"/>
      <c r="R39" s="552"/>
      <c r="S39" s="322" t="e">
        <f t="shared" si="12"/>
        <v>#N/A</v>
      </c>
      <c r="T39" s="702"/>
      <c r="U39" s="551"/>
      <c r="V39" s="552"/>
      <c r="W39" s="552"/>
      <c r="X39" s="477" t="e">
        <f t="shared" si="13"/>
        <v>#N/A</v>
      </c>
      <c r="Y39" s="702"/>
      <c r="Z39" s="551"/>
      <c r="AA39" s="552"/>
      <c r="AB39" s="552"/>
      <c r="AC39" s="477" t="e">
        <f t="shared" si="15"/>
        <v>#N/A</v>
      </c>
      <c r="AD39" s="702"/>
      <c r="AE39" s="551"/>
      <c r="AF39" s="552"/>
      <c r="AG39" s="552"/>
      <c r="AH39" s="477" t="e">
        <f t="shared" si="17"/>
        <v>#N/A</v>
      </c>
      <c r="AI39" s="702"/>
      <c r="AJ39" s="551"/>
      <c r="AK39" s="552"/>
      <c r="AL39" s="552"/>
      <c r="AM39" s="477" t="e">
        <f t="shared" si="19"/>
        <v>#N/A</v>
      </c>
      <c r="AN39" s="702"/>
      <c r="AO39" s="551"/>
      <c r="AP39" s="552"/>
      <c r="AQ39" s="552"/>
      <c r="AR39" s="477" t="e">
        <f t="shared" si="21"/>
        <v>#N/A</v>
      </c>
      <c r="AS39" s="702"/>
      <c r="AT39" s="551"/>
      <c r="AU39" s="552"/>
      <c r="AV39" s="552"/>
      <c r="AW39" s="477" t="e">
        <f t="shared" si="23"/>
        <v>#N/A</v>
      </c>
      <c r="AX39" s="674"/>
    </row>
    <row r="40" spans="2:50">
      <c r="B40" s="660"/>
      <c r="C40" s="322">
        <v>14</v>
      </c>
      <c r="D40" s="227"/>
      <c r="E40" s="182"/>
      <c r="F40" s="322"/>
      <c r="G40" s="323"/>
      <c r="H40" s="702"/>
      <c r="I40" s="202"/>
      <c r="J40" s="202"/>
      <c r="K40" s="202"/>
      <c r="L40" s="634"/>
      <c r="M40" s="201" t="e">
        <f>RANK(K40, K$27:$K$41)</f>
        <v>#N/A</v>
      </c>
      <c r="N40" s="652"/>
      <c r="O40" s="652"/>
      <c r="P40" s="551"/>
      <c r="Q40" s="552"/>
      <c r="R40" s="552"/>
      <c r="S40" s="322" t="e">
        <f t="shared" si="12"/>
        <v>#N/A</v>
      </c>
      <c r="T40" s="702"/>
      <c r="U40" s="551"/>
      <c r="V40" s="552"/>
      <c r="W40" s="552"/>
      <c r="X40" s="477" t="e">
        <f t="shared" si="13"/>
        <v>#N/A</v>
      </c>
      <c r="Y40" s="702"/>
      <c r="Z40" s="551"/>
      <c r="AA40" s="552"/>
      <c r="AB40" s="552"/>
      <c r="AC40" s="477" t="e">
        <f t="shared" si="15"/>
        <v>#N/A</v>
      </c>
      <c r="AD40" s="702"/>
      <c r="AE40" s="551"/>
      <c r="AF40" s="552"/>
      <c r="AG40" s="552"/>
      <c r="AH40" s="477" t="e">
        <f t="shared" si="17"/>
        <v>#N/A</v>
      </c>
      <c r="AI40" s="702"/>
      <c r="AJ40" s="551"/>
      <c r="AK40" s="552"/>
      <c r="AL40" s="552"/>
      <c r="AM40" s="477" t="e">
        <f t="shared" si="19"/>
        <v>#N/A</v>
      </c>
      <c r="AN40" s="702"/>
      <c r="AO40" s="551"/>
      <c r="AP40" s="552"/>
      <c r="AQ40" s="552"/>
      <c r="AR40" s="477" t="e">
        <f t="shared" si="21"/>
        <v>#N/A</v>
      </c>
      <c r="AS40" s="702"/>
      <c r="AT40" s="551"/>
      <c r="AU40" s="552"/>
      <c r="AV40" s="552"/>
      <c r="AW40" s="477" t="e">
        <f t="shared" si="23"/>
        <v>#N/A</v>
      </c>
      <c r="AX40" s="674"/>
    </row>
    <row r="41" spans="2:50">
      <c r="B41" s="660"/>
      <c r="C41" s="322">
        <v>15</v>
      </c>
      <c r="D41" s="227"/>
      <c r="E41" s="182"/>
      <c r="F41" s="322"/>
      <c r="G41" s="323"/>
      <c r="H41" s="703"/>
      <c r="I41" s="202"/>
      <c r="J41" s="202"/>
      <c r="K41" s="202"/>
      <c r="L41" s="635"/>
      <c r="M41" s="199" t="e">
        <f>RANK(K41, K$27:$K$41)</f>
        <v>#N/A</v>
      </c>
      <c r="N41" s="652"/>
      <c r="O41" s="652"/>
      <c r="P41" s="551"/>
      <c r="Q41" s="552"/>
      <c r="R41" s="552"/>
      <c r="S41" s="322" t="e">
        <f t="shared" si="12"/>
        <v>#N/A</v>
      </c>
      <c r="T41" s="703"/>
      <c r="U41" s="551"/>
      <c r="V41" s="552"/>
      <c r="W41" s="552"/>
      <c r="X41" s="477" t="e">
        <f t="shared" si="13"/>
        <v>#N/A</v>
      </c>
      <c r="Y41" s="703"/>
      <c r="Z41" s="551"/>
      <c r="AA41" s="552"/>
      <c r="AB41" s="552"/>
      <c r="AC41" s="477" t="e">
        <f t="shared" si="15"/>
        <v>#N/A</v>
      </c>
      <c r="AD41" s="703"/>
      <c r="AE41" s="551"/>
      <c r="AF41" s="552"/>
      <c r="AG41" s="552"/>
      <c r="AH41" s="477" t="e">
        <f t="shared" si="17"/>
        <v>#N/A</v>
      </c>
      <c r="AI41" s="703"/>
      <c r="AJ41" s="551"/>
      <c r="AK41" s="552"/>
      <c r="AL41" s="552"/>
      <c r="AM41" s="477" t="e">
        <f t="shared" si="19"/>
        <v>#N/A</v>
      </c>
      <c r="AN41" s="703"/>
      <c r="AO41" s="551"/>
      <c r="AP41" s="552"/>
      <c r="AQ41" s="552"/>
      <c r="AR41" s="477" t="e">
        <f t="shared" si="21"/>
        <v>#N/A</v>
      </c>
      <c r="AS41" s="703"/>
      <c r="AT41" s="551"/>
      <c r="AU41" s="552"/>
      <c r="AV41" s="552"/>
      <c r="AW41" s="477" t="e">
        <f t="shared" si="23"/>
        <v>#N/A</v>
      </c>
      <c r="AX41" s="674"/>
    </row>
    <row r="42" spans="2:50" ht="15.75">
      <c r="B42" s="678" t="s">
        <v>163</v>
      </c>
      <c r="C42" s="679"/>
      <c r="D42" s="679"/>
      <c r="E42" s="679"/>
      <c r="F42" s="679"/>
      <c r="G42" s="679"/>
      <c r="H42" s="679"/>
      <c r="I42" s="208"/>
      <c r="J42" s="203"/>
      <c r="K42" s="208"/>
      <c r="L42" s="208"/>
      <c r="M42" s="204"/>
      <c r="N42" s="653" t="s">
        <v>156</v>
      </c>
      <c r="O42" s="653" t="s">
        <v>105</v>
      </c>
      <c r="P42" s="659">
        <f>P22+7</f>
        <v>46063</v>
      </c>
      <c r="Q42" s="660"/>
      <c r="R42" s="660"/>
      <c r="S42" s="660"/>
      <c r="T42" s="660"/>
      <c r="U42" s="656">
        <f>P42+1</f>
        <v>46064</v>
      </c>
      <c r="V42" s="657"/>
      <c r="W42" s="657"/>
      <c r="X42" s="657"/>
      <c r="Y42" s="658"/>
      <c r="Z42" s="656">
        <f>U42+1</f>
        <v>46065</v>
      </c>
      <c r="AA42" s="657"/>
      <c r="AB42" s="657"/>
      <c r="AC42" s="657"/>
      <c r="AD42" s="658"/>
      <c r="AE42" s="656">
        <f>Z42+1</f>
        <v>46066</v>
      </c>
      <c r="AF42" s="657"/>
      <c r="AG42" s="657"/>
      <c r="AH42" s="657"/>
      <c r="AI42" s="658"/>
      <c r="AJ42" s="656">
        <f>AE42+1</f>
        <v>46067</v>
      </c>
      <c r="AK42" s="657"/>
      <c r="AL42" s="657"/>
      <c r="AM42" s="657"/>
      <c r="AN42" s="658"/>
      <c r="AO42" s="656">
        <f>AJ42+1</f>
        <v>46068</v>
      </c>
      <c r="AP42" s="657"/>
      <c r="AQ42" s="657"/>
      <c r="AR42" s="657"/>
      <c r="AS42" s="658"/>
      <c r="AT42" s="656">
        <f>AO42+1</f>
        <v>46069</v>
      </c>
      <c r="AU42" s="657"/>
      <c r="AV42" s="657"/>
      <c r="AW42" s="657"/>
      <c r="AX42" s="658"/>
    </row>
    <row r="43" spans="2:50" ht="15.75">
      <c r="B43" s="667"/>
      <c r="C43" s="667"/>
      <c r="D43" s="667"/>
      <c r="E43" s="667"/>
      <c r="F43" s="667"/>
      <c r="G43" s="667"/>
      <c r="H43" s="667"/>
      <c r="I43" s="205"/>
      <c r="J43" s="205"/>
      <c r="K43" s="205"/>
      <c r="L43" s="205"/>
      <c r="M43" s="206"/>
      <c r="N43" s="655"/>
      <c r="O43" s="655"/>
      <c r="P43" s="659" t="s">
        <v>336</v>
      </c>
      <c r="Q43" s="660"/>
      <c r="R43" s="660"/>
      <c r="S43" s="660"/>
      <c r="T43" s="660"/>
      <c r="U43" s="659" t="s">
        <v>337</v>
      </c>
      <c r="V43" s="660"/>
      <c r="W43" s="660"/>
      <c r="X43" s="660"/>
      <c r="Y43" s="660"/>
      <c r="Z43" s="659" t="s">
        <v>338</v>
      </c>
      <c r="AA43" s="660"/>
      <c r="AB43" s="660"/>
      <c r="AC43" s="660"/>
      <c r="AD43" s="660"/>
      <c r="AE43" s="659" t="s">
        <v>339</v>
      </c>
      <c r="AF43" s="660"/>
      <c r="AG43" s="660"/>
      <c r="AH43" s="660"/>
      <c r="AI43" s="660"/>
      <c r="AJ43" s="659" t="s">
        <v>340</v>
      </c>
      <c r="AK43" s="660"/>
      <c r="AL43" s="660"/>
      <c r="AM43" s="660"/>
      <c r="AN43" s="660"/>
      <c r="AO43" s="659" t="s">
        <v>341</v>
      </c>
      <c r="AP43" s="660"/>
      <c r="AQ43" s="660"/>
      <c r="AR43" s="660"/>
      <c r="AS43" s="660"/>
      <c r="AT43" s="659" t="s">
        <v>342</v>
      </c>
      <c r="AU43" s="660"/>
      <c r="AV43" s="660"/>
      <c r="AW43" s="660"/>
      <c r="AX43" s="660"/>
    </row>
    <row r="44" spans="2:50">
      <c r="B44" s="652" t="s">
        <v>618</v>
      </c>
      <c r="C44" s="652" t="s">
        <v>619</v>
      </c>
      <c r="D44" s="652"/>
      <c r="E44" s="652" t="s">
        <v>620</v>
      </c>
      <c r="F44" s="652"/>
      <c r="G44" s="652"/>
      <c r="H44" s="668" t="s">
        <v>621</v>
      </c>
      <c r="I44" s="636" t="s">
        <v>622</v>
      </c>
      <c r="J44" s="636"/>
      <c r="K44" s="636"/>
      <c r="L44" s="637" t="s">
        <v>621</v>
      </c>
      <c r="M44" s="643" t="s">
        <v>623</v>
      </c>
      <c r="N44" s="652"/>
      <c r="O44" s="652" t="s">
        <v>624</v>
      </c>
      <c r="P44" s="649" t="s">
        <v>935</v>
      </c>
      <c r="Q44" s="650"/>
      <c r="R44" s="650"/>
      <c r="S44" s="651"/>
      <c r="T44" s="652" t="s">
        <v>936</v>
      </c>
      <c r="U44" s="649" t="s">
        <v>935</v>
      </c>
      <c r="V44" s="650"/>
      <c r="W44" s="650"/>
      <c r="X44" s="651"/>
      <c r="Y44" s="652" t="s">
        <v>936</v>
      </c>
      <c r="Z44" s="649" t="s">
        <v>935</v>
      </c>
      <c r="AA44" s="650"/>
      <c r="AB44" s="650"/>
      <c r="AC44" s="651"/>
      <c r="AD44" s="652" t="s">
        <v>936</v>
      </c>
      <c r="AE44" s="649" t="s">
        <v>935</v>
      </c>
      <c r="AF44" s="650"/>
      <c r="AG44" s="650"/>
      <c r="AH44" s="651"/>
      <c r="AI44" s="652" t="s">
        <v>936</v>
      </c>
      <c r="AJ44" s="649" t="s">
        <v>935</v>
      </c>
      <c r="AK44" s="650"/>
      <c r="AL44" s="650"/>
      <c r="AM44" s="651"/>
      <c r="AN44" s="652" t="s">
        <v>936</v>
      </c>
      <c r="AO44" s="649" t="s">
        <v>935</v>
      </c>
      <c r="AP44" s="650"/>
      <c r="AQ44" s="650"/>
      <c r="AR44" s="651"/>
      <c r="AS44" s="652" t="s">
        <v>936</v>
      </c>
      <c r="AT44" s="649" t="s">
        <v>935</v>
      </c>
      <c r="AU44" s="650"/>
      <c r="AV44" s="650"/>
      <c r="AW44" s="651"/>
      <c r="AX44" s="652" t="s">
        <v>936</v>
      </c>
    </row>
    <row r="45" spans="2:50">
      <c r="B45" s="652"/>
      <c r="C45" s="652"/>
      <c r="D45" s="652"/>
      <c r="E45" s="652" t="s">
        <v>626</v>
      </c>
      <c r="F45" s="652"/>
      <c r="G45" s="652"/>
      <c r="H45" s="669"/>
      <c r="I45" s="636" t="s">
        <v>626</v>
      </c>
      <c r="J45" s="636"/>
      <c r="K45" s="636"/>
      <c r="L45" s="638"/>
      <c r="M45" s="644"/>
      <c r="N45" s="652"/>
      <c r="O45" s="652"/>
      <c r="P45" s="649" t="s">
        <v>937</v>
      </c>
      <c r="Q45" s="650"/>
      <c r="R45" s="650"/>
      <c r="S45" s="651"/>
      <c r="T45" s="652"/>
      <c r="U45" s="649" t="s">
        <v>937</v>
      </c>
      <c r="V45" s="650"/>
      <c r="W45" s="650"/>
      <c r="X45" s="651"/>
      <c r="Y45" s="652"/>
      <c r="Z45" s="649" t="s">
        <v>937</v>
      </c>
      <c r="AA45" s="650"/>
      <c r="AB45" s="650"/>
      <c r="AC45" s="651"/>
      <c r="AD45" s="652"/>
      <c r="AE45" s="649" t="s">
        <v>937</v>
      </c>
      <c r="AF45" s="650"/>
      <c r="AG45" s="650"/>
      <c r="AH45" s="651"/>
      <c r="AI45" s="652"/>
      <c r="AJ45" s="649" t="s">
        <v>937</v>
      </c>
      <c r="AK45" s="650"/>
      <c r="AL45" s="650"/>
      <c r="AM45" s="651"/>
      <c r="AN45" s="652"/>
      <c r="AO45" s="649" t="s">
        <v>937</v>
      </c>
      <c r="AP45" s="650"/>
      <c r="AQ45" s="650"/>
      <c r="AR45" s="651"/>
      <c r="AS45" s="652"/>
      <c r="AT45" s="649" t="s">
        <v>937</v>
      </c>
      <c r="AU45" s="650"/>
      <c r="AV45" s="650"/>
      <c r="AW45" s="651"/>
      <c r="AX45" s="652"/>
    </row>
    <row r="46" spans="2:50">
      <c r="B46" s="652"/>
      <c r="C46" s="652"/>
      <c r="D46" s="652"/>
      <c r="E46" s="327" t="s">
        <v>628</v>
      </c>
      <c r="F46" s="327" t="s">
        <v>629</v>
      </c>
      <c r="G46" s="327" t="s">
        <v>630</v>
      </c>
      <c r="H46" s="670"/>
      <c r="I46" s="326" t="s">
        <v>628</v>
      </c>
      <c r="J46" s="326" t="s">
        <v>629</v>
      </c>
      <c r="K46" s="326" t="s">
        <v>630</v>
      </c>
      <c r="L46" s="639"/>
      <c r="M46" s="645"/>
      <c r="N46" s="652"/>
      <c r="O46" s="652"/>
      <c r="P46" s="536" t="s">
        <v>938</v>
      </c>
      <c r="Q46" s="536" t="s">
        <v>939</v>
      </c>
      <c r="R46" s="536" t="s">
        <v>940</v>
      </c>
      <c r="S46" s="536" t="s">
        <v>941</v>
      </c>
      <c r="T46" s="652"/>
      <c r="U46" s="536" t="s">
        <v>938</v>
      </c>
      <c r="V46" s="536" t="s">
        <v>939</v>
      </c>
      <c r="W46" s="536" t="s">
        <v>940</v>
      </c>
      <c r="X46" s="536" t="s">
        <v>941</v>
      </c>
      <c r="Y46" s="652"/>
      <c r="Z46" s="536" t="s">
        <v>938</v>
      </c>
      <c r="AA46" s="536" t="s">
        <v>939</v>
      </c>
      <c r="AB46" s="536" t="s">
        <v>940</v>
      </c>
      <c r="AC46" s="536" t="s">
        <v>941</v>
      </c>
      <c r="AD46" s="652"/>
      <c r="AE46" s="536" t="s">
        <v>938</v>
      </c>
      <c r="AF46" s="536" t="s">
        <v>939</v>
      </c>
      <c r="AG46" s="536" t="s">
        <v>940</v>
      </c>
      <c r="AH46" s="536" t="s">
        <v>941</v>
      </c>
      <c r="AI46" s="652"/>
      <c r="AJ46" s="536" t="s">
        <v>938</v>
      </c>
      <c r="AK46" s="536" t="s">
        <v>939</v>
      </c>
      <c r="AL46" s="536" t="s">
        <v>940</v>
      </c>
      <c r="AM46" s="536" t="s">
        <v>941</v>
      </c>
      <c r="AN46" s="652"/>
      <c r="AO46" s="536" t="s">
        <v>938</v>
      </c>
      <c r="AP46" s="536" t="s">
        <v>939</v>
      </c>
      <c r="AQ46" s="536" t="s">
        <v>940</v>
      </c>
      <c r="AR46" s="536" t="s">
        <v>941</v>
      </c>
      <c r="AS46" s="652"/>
      <c r="AT46" s="536" t="s">
        <v>938</v>
      </c>
      <c r="AU46" s="536" t="s">
        <v>939</v>
      </c>
      <c r="AV46" s="536" t="s">
        <v>940</v>
      </c>
      <c r="AW46" s="536" t="s">
        <v>941</v>
      </c>
      <c r="AX46" s="652"/>
    </row>
    <row r="47" spans="2:50">
      <c r="B47" s="652" t="s">
        <v>632</v>
      </c>
      <c r="C47" s="328">
        <v>1</v>
      </c>
      <c r="D47" s="227" t="s">
        <v>383</v>
      </c>
      <c r="E47" s="182">
        <v>18</v>
      </c>
      <c r="F47" s="551">
        <v>1440</v>
      </c>
      <c r="G47" s="552">
        <v>80</v>
      </c>
      <c r="H47" s="701">
        <f>AVERAGE(G47:G61)</f>
        <v>79.242222222222225</v>
      </c>
      <c r="I47" s="199">
        <f>AVERAGE(P47,U47,Z47,AE47,AJ47,AO47,AT47)</f>
        <v>18</v>
      </c>
      <c r="J47" s="199">
        <f>AVERAGE(Q47,V47,AA47,AF47,AK47,AP47,AU47)</f>
        <v>1266.3280576103821</v>
      </c>
      <c r="K47" s="200">
        <f>AVERAGE(R47,W47,AB47,AG47,AL47,AQ47,AV47)</f>
        <v>70.351558756132334</v>
      </c>
      <c r="L47" s="633">
        <f>IFERROR(AVERAGE(K47:K61),"-")</f>
        <v>66.840558374728332</v>
      </c>
      <c r="M47" s="201">
        <f>RANK(K47, K$47:$K$61)</f>
        <v>4</v>
      </c>
      <c r="N47" s="652"/>
      <c r="O47" s="652"/>
      <c r="P47" s="182">
        <v>18</v>
      </c>
      <c r="Q47" s="182">
        <v>1276.8000000000002</v>
      </c>
      <c r="R47" s="182">
        <v>70.933333333333337</v>
      </c>
      <c r="S47" s="537">
        <f>RANK(R47, R$47:R$61)</f>
        <v>4</v>
      </c>
      <c r="T47" s="674">
        <f>AVERAGE(R47:R61)</f>
        <v>66.827560294452681</v>
      </c>
      <c r="U47" s="182">
        <v>18</v>
      </c>
      <c r="V47" s="182">
        <v>1286.4516129032261</v>
      </c>
      <c r="W47" s="182">
        <v>71.46953405017922</v>
      </c>
      <c r="X47" s="537">
        <f>RANK(W47, W$47:W$61)</f>
        <v>3</v>
      </c>
      <c r="Y47" s="674">
        <f>AVERAGE(W47:W61)</f>
        <v>66.704718382746066</v>
      </c>
      <c r="Z47" s="182">
        <v>18</v>
      </c>
      <c r="AA47" s="182">
        <v>1241.590909090909</v>
      </c>
      <c r="AB47" s="182">
        <v>68.97727272727272</v>
      </c>
      <c r="AC47" s="537">
        <f>RANK(AB47, AB$47:AB$61)</f>
        <v>4</v>
      </c>
      <c r="AD47" s="674">
        <f>AVERAGE(AB47:AB61)</f>
        <v>67.267241285286815</v>
      </c>
      <c r="AE47" s="182">
        <v>18</v>
      </c>
      <c r="AF47" s="182">
        <v>1236.8000000000004</v>
      </c>
      <c r="AG47" s="182">
        <v>68.711111111111137</v>
      </c>
      <c r="AH47" s="537">
        <f>RANK(AG47, AG$47:AG$61)</f>
        <v>4</v>
      </c>
      <c r="AI47" s="674">
        <f>AVERAGE(AG47:AG61)</f>
        <v>65.348252464464309</v>
      </c>
      <c r="AJ47" s="182">
        <v>18</v>
      </c>
      <c r="AK47" s="182">
        <v>1285.3333333333333</v>
      </c>
      <c r="AL47" s="182">
        <v>71.407407407407405</v>
      </c>
      <c r="AM47" s="537">
        <f>RANK(AL47, AL$47:AL$61)</f>
        <v>3</v>
      </c>
      <c r="AN47" s="674">
        <f>AVERAGE(AL47:AL61)</f>
        <v>67.747172007187459</v>
      </c>
      <c r="AO47" s="182">
        <v>18</v>
      </c>
      <c r="AP47" s="182">
        <v>1264.5205479452059</v>
      </c>
      <c r="AQ47" s="182">
        <v>70.251141552511442</v>
      </c>
      <c r="AR47" s="537">
        <f>RANK(AQ47, AQ$47:AQ$61)</f>
        <v>3</v>
      </c>
      <c r="AS47" s="674">
        <f>AVERAGE(AQ47:AQ61)</f>
        <v>67.216399014641212</v>
      </c>
      <c r="AT47" s="182">
        <v>18</v>
      </c>
      <c r="AU47" s="182">
        <v>1272.7999999999997</v>
      </c>
      <c r="AV47" s="182">
        <v>70.711111111111094</v>
      </c>
      <c r="AW47" s="537">
        <f>RANK(AV47, AV$47:AV$61)</f>
        <v>3</v>
      </c>
      <c r="AX47" s="674">
        <f>AVERAGE(AV47:AV61)</f>
        <v>66.77256517431978</v>
      </c>
    </row>
    <row r="48" spans="2:50">
      <c r="B48" s="660"/>
      <c r="C48" s="328">
        <v>2</v>
      </c>
      <c r="D48" s="227" t="s">
        <v>384</v>
      </c>
      <c r="E48" s="182">
        <v>18</v>
      </c>
      <c r="F48" s="551">
        <v>1440</v>
      </c>
      <c r="G48" s="552">
        <v>80</v>
      </c>
      <c r="H48" s="702"/>
      <c r="I48" s="199">
        <f t="shared" ref="I48:I53" si="31">AVERAGE(P48,U48,Z48,AE48,AJ48,AO48,AT48)</f>
        <v>17.142857142857142</v>
      </c>
      <c r="J48" s="199">
        <f t="shared" ref="J48:J53" si="32">AVERAGE(Q48,V48,AA48,AF48,AK48,AP48,AU48)</f>
        <v>1098.7432342502204</v>
      </c>
      <c r="K48" s="200">
        <f t="shared" ref="K48:K53" si="33">AVERAGE(R48,W48,AB48,AG48,AL48,AQ48,AV48)</f>
        <v>64.216531721384129</v>
      </c>
      <c r="L48" s="634"/>
      <c r="M48" s="201">
        <f>RANK(K48, K$47:$K$61)</f>
        <v>6</v>
      </c>
      <c r="N48" s="652"/>
      <c r="O48" s="652"/>
      <c r="P48" s="182">
        <v>18</v>
      </c>
      <c r="Q48" s="182">
        <v>1108.1249999999984</v>
      </c>
      <c r="R48" s="182">
        <v>61.562499999999915</v>
      </c>
      <c r="S48" s="537">
        <f t="shared" ref="S48:S61" si="34">RANK(R48, R$47:R$61)</f>
        <v>8</v>
      </c>
      <c r="T48" s="674"/>
      <c r="U48" s="182">
        <v>18</v>
      </c>
      <c r="V48" s="182">
        <v>1101.9999999999982</v>
      </c>
      <c r="W48" s="182">
        <v>61.222222222222122</v>
      </c>
      <c r="X48" s="537">
        <f t="shared" ref="X48:X61" si="35">RANK(W48, W$47:W$61)</f>
        <v>8</v>
      </c>
      <c r="Y48" s="674"/>
      <c r="Z48" s="182">
        <v>18</v>
      </c>
      <c r="AA48" s="182">
        <v>1189.9999999999964</v>
      </c>
      <c r="AB48" s="182">
        <v>66.111111111110915</v>
      </c>
      <c r="AC48" s="537">
        <f t="shared" ref="AC48:AC61" si="36">RANK(AB48, AB$47:AB$61)</f>
        <v>6</v>
      </c>
      <c r="AD48" s="674"/>
      <c r="AE48" s="182">
        <v>18</v>
      </c>
      <c r="AF48" s="182">
        <v>1090.4347826086919</v>
      </c>
      <c r="AG48" s="182">
        <v>60.579710144927326</v>
      </c>
      <c r="AH48" s="537">
        <f t="shared" ref="AH48:AH61" si="37">RANK(AG48, AG$47:AG$61)</f>
        <v>7</v>
      </c>
      <c r="AI48" s="674"/>
      <c r="AJ48" s="182">
        <v>16</v>
      </c>
      <c r="AK48" s="182">
        <v>1096.0000000000009</v>
      </c>
      <c r="AL48" s="182">
        <v>68.500000000000057</v>
      </c>
      <c r="AM48" s="537">
        <f t="shared" ref="AM48:AM61" si="38">RANK(AL48, AL$47:AL$61)</f>
        <v>5</v>
      </c>
      <c r="AN48" s="674"/>
      <c r="AO48" s="182">
        <v>16</v>
      </c>
      <c r="AP48" s="182">
        <v>1067.142857142858</v>
      </c>
      <c r="AQ48" s="182">
        <v>66.696428571428626</v>
      </c>
      <c r="AR48" s="537">
        <f t="shared" ref="AR48:AR61" si="39">RANK(AQ48, AQ$47:AQ$61)</f>
        <v>5</v>
      </c>
      <c r="AS48" s="674"/>
      <c r="AT48" s="182">
        <v>16</v>
      </c>
      <c r="AU48" s="182">
        <v>1037.5000000000002</v>
      </c>
      <c r="AV48" s="182">
        <v>64.843750000000014</v>
      </c>
      <c r="AW48" s="537">
        <f t="shared" ref="AW48:AW61" si="40">RANK(AV48, AV$47:AV$61)</f>
        <v>7</v>
      </c>
      <c r="AX48" s="674"/>
    </row>
    <row r="49" spans="2:50">
      <c r="B49" s="660"/>
      <c r="C49" s="328">
        <v>3</v>
      </c>
      <c r="D49" s="227" t="s">
        <v>385</v>
      </c>
      <c r="E49" s="182">
        <v>16</v>
      </c>
      <c r="F49" s="551">
        <v>1440</v>
      </c>
      <c r="G49" s="552">
        <v>90</v>
      </c>
      <c r="H49" s="702"/>
      <c r="I49" s="199">
        <f t="shared" si="31"/>
        <v>16.857142857142858</v>
      </c>
      <c r="J49" s="199">
        <f t="shared" si="32"/>
        <v>1269.8541839548707</v>
      </c>
      <c r="K49" s="200">
        <f t="shared" si="33"/>
        <v>75.353340079851051</v>
      </c>
      <c r="L49" s="634"/>
      <c r="M49" s="201">
        <f>RANK(K49, K$47:$K$61)</f>
        <v>2</v>
      </c>
      <c r="N49" s="652"/>
      <c r="O49" s="652"/>
      <c r="P49" s="182">
        <v>16</v>
      </c>
      <c r="Q49" s="182">
        <v>1249.0909090909086</v>
      </c>
      <c r="R49" s="182">
        <v>78.068181818181785</v>
      </c>
      <c r="S49" s="537">
        <f t="shared" si="34"/>
        <v>2</v>
      </c>
      <c r="T49" s="674"/>
      <c r="U49" s="182">
        <v>17</v>
      </c>
      <c r="V49" s="182">
        <v>1282.1052631578957</v>
      </c>
      <c r="W49" s="182">
        <v>75.417956656346803</v>
      </c>
      <c r="X49" s="537">
        <f t="shared" si="35"/>
        <v>2</v>
      </c>
      <c r="Y49" s="674"/>
      <c r="Z49" s="182">
        <v>17</v>
      </c>
      <c r="AA49" s="182">
        <v>1258.8461538461536</v>
      </c>
      <c r="AB49" s="182">
        <v>74.049773755656091</v>
      </c>
      <c r="AC49" s="537">
        <f t="shared" si="36"/>
        <v>2</v>
      </c>
      <c r="AD49" s="674"/>
      <c r="AE49" s="182">
        <v>17</v>
      </c>
      <c r="AF49" s="182">
        <v>1273.3333333333339</v>
      </c>
      <c r="AG49" s="182">
        <v>74.901960784313758</v>
      </c>
      <c r="AH49" s="537">
        <f t="shared" si="37"/>
        <v>2</v>
      </c>
      <c r="AI49" s="674"/>
      <c r="AJ49" s="182">
        <v>17</v>
      </c>
      <c r="AK49" s="182">
        <v>1287.1304347826097</v>
      </c>
      <c r="AL49" s="182">
        <v>75.713554987212333</v>
      </c>
      <c r="AM49" s="537">
        <f t="shared" si="38"/>
        <v>2</v>
      </c>
      <c r="AN49" s="674"/>
      <c r="AO49" s="182">
        <v>17</v>
      </c>
      <c r="AP49" s="182">
        <v>1255.909090909091</v>
      </c>
      <c r="AQ49" s="182">
        <v>73.877005347593581</v>
      </c>
      <c r="AR49" s="537">
        <f t="shared" si="39"/>
        <v>2</v>
      </c>
      <c r="AS49" s="674"/>
      <c r="AT49" s="182">
        <v>17</v>
      </c>
      <c r="AU49" s="182">
        <v>1282.5641025641019</v>
      </c>
      <c r="AV49" s="182">
        <v>75.444947209653051</v>
      </c>
      <c r="AW49" s="537">
        <f t="shared" si="40"/>
        <v>2</v>
      </c>
      <c r="AX49" s="674"/>
    </row>
    <row r="50" spans="2:50">
      <c r="B50" s="660"/>
      <c r="C50" s="328">
        <v>4</v>
      </c>
      <c r="D50" s="227" t="s">
        <v>386</v>
      </c>
      <c r="E50" s="182">
        <v>19</v>
      </c>
      <c r="F50" s="551">
        <v>1440</v>
      </c>
      <c r="G50" s="552">
        <v>84.7</v>
      </c>
      <c r="H50" s="702"/>
      <c r="I50" s="199">
        <f t="shared" si="31"/>
        <v>18.857142857142858</v>
      </c>
      <c r="J50" s="199">
        <f t="shared" si="32"/>
        <v>1069.8870349771339</v>
      </c>
      <c r="K50" s="200">
        <f t="shared" si="33"/>
        <v>56.765822602483162</v>
      </c>
      <c r="L50" s="634"/>
      <c r="M50" s="201">
        <f>RANK(K50, K$47:$K$61)</f>
        <v>10</v>
      </c>
      <c r="N50" s="652"/>
      <c r="O50" s="652"/>
      <c r="P50" s="182">
        <v>19</v>
      </c>
      <c r="Q50" s="182">
        <v>1039.9999999999982</v>
      </c>
      <c r="R50" s="182">
        <v>54.736842105263065</v>
      </c>
      <c r="S50" s="537">
        <f t="shared" si="34"/>
        <v>10</v>
      </c>
      <c r="T50" s="674"/>
      <c r="U50" s="182">
        <v>19</v>
      </c>
      <c r="V50" s="182">
        <v>1061.999999999998</v>
      </c>
      <c r="W50" s="182">
        <v>55.894736842105154</v>
      </c>
      <c r="X50" s="537">
        <f t="shared" si="35"/>
        <v>10</v>
      </c>
      <c r="Y50" s="674"/>
      <c r="Z50" s="182">
        <v>19</v>
      </c>
      <c r="AA50" s="182">
        <v>1108.9655172413773</v>
      </c>
      <c r="AB50" s="182">
        <v>58.3666061705988</v>
      </c>
      <c r="AC50" s="537">
        <f t="shared" si="36"/>
        <v>10</v>
      </c>
      <c r="AD50" s="674"/>
      <c r="AE50" s="182">
        <v>19</v>
      </c>
      <c r="AF50" s="182">
        <v>1050.0000000000039</v>
      </c>
      <c r="AG50" s="182">
        <v>55.263157894737049</v>
      </c>
      <c r="AH50" s="537">
        <f t="shared" si="37"/>
        <v>10</v>
      </c>
      <c r="AI50" s="674"/>
      <c r="AJ50" s="182">
        <v>19</v>
      </c>
      <c r="AK50" s="182">
        <v>1087.7419354838692</v>
      </c>
      <c r="AL50" s="182">
        <v>57.249575551782584</v>
      </c>
      <c r="AM50" s="537">
        <f t="shared" si="38"/>
        <v>10</v>
      </c>
      <c r="AN50" s="674"/>
      <c r="AO50" s="182">
        <v>18</v>
      </c>
      <c r="AP50" s="182">
        <v>1091.6129032258045</v>
      </c>
      <c r="AQ50" s="182">
        <v>60.645161290322477</v>
      </c>
      <c r="AR50" s="537">
        <f t="shared" si="39"/>
        <v>9</v>
      </c>
      <c r="AS50" s="674"/>
      <c r="AT50" s="182">
        <v>19</v>
      </c>
      <c r="AU50" s="182">
        <v>1048.8888888888864</v>
      </c>
      <c r="AV50" s="182">
        <v>55.20467836257297</v>
      </c>
      <c r="AW50" s="537">
        <f t="shared" si="40"/>
        <v>10</v>
      </c>
      <c r="AX50" s="674"/>
    </row>
    <row r="51" spans="2:50">
      <c r="B51" s="660"/>
      <c r="C51" s="328">
        <v>5</v>
      </c>
      <c r="D51" s="227" t="s">
        <v>387</v>
      </c>
      <c r="E51" s="182">
        <v>21</v>
      </c>
      <c r="F51" s="551">
        <v>1385</v>
      </c>
      <c r="G51" s="552">
        <v>65.900000000000006</v>
      </c>
      <c r="H51" s="702"/>
      <c r="I51" s="199">
        <f t="shared" si="31"/>
        <v>20.428571428571427</v>
      </c>
      <c r="J51" s="199">
        <f t="shared" si="32"/>
        <v>1206.6434256395185</v>
      </c>
      <c r="K51" s="200">
        <f t="shared" si="33"/>
        <v>59.101161434270686</v>
      </c>
      <c r="L51" s="634"/>
      <c r="M51" s="201">
        <f>RANK(K51, K$47:$K$61)</f>
        <v>9</v>
      </c>
      <c r="N51" s="652"/>
      <c r="O51" s="652"/>
      <c r="P51" s="182">
        <v>21</v>
      </c>
      <c r="Q51" s="182">
        <v>1224.7058823529417</v>
      </c>
      <c r="R51" s="182">
        <v>58.319327731092457</v>
      </c>
      <c r="S51" s="537">
        <f t="shared" si="34"/>
        <v>9</v>
      </c>
      <c r="T51" s="674"/>
      <c r="U51" s="182">
        <v>21</v>
      </c>
      <c r="V51" s="182">
        <v>1235.8181818181829</v>
      </c>
      <c r="W51" s="182">
        <v>58.848484848484901</v>
      </c>
      <c r="X51" s="537">
        <f t="shared" si="35"/>
        <v>9</v>
      </c>
      <c r="Y51" s="674"/>
      <c r="Z51" s="182">
        <v>21</v>
      </c>
      <c r="AA51" s="182">
        <v>1242.6666666666667</v>
      </c>
      <c r="AB51" s="182">
        <v>59.174603174603178</v>
      </c>
      <c r="AC51" s="537">
        <f t="shared" si="36"/>
        <v>9</v>
      </c>
      <c r="AD51" s="674"/>
      <c r="AE51" s="182">
        <v>21</v>
      </c>
      <c r="AF51" s="182">
        <v>1224.0000000000007</v>
      </c>
      <c r="AG51" s="182">
        <v>58.28571428571432</v>
      </c>
      <c r="AH51" s="537">
        <f t="shared" si="37"/>
        <v>8</v>
      </c>
      <c r="AI51" s="674"/>
      <c r="AJ51" s="182">
        <v>19</v>
      </c>
      <c r="AK51" s="182">
        <v>1183.4482758620688</v>
      </c>
      <c r="AL51" s="182">
        <v>62.286751361161521</v>
      </c>
      <c r="AM51" s="537">
        <f t="shared" si="38"/>
        <v>8</v>
      </c>
      <c r="AN51" s="674"/>
      <c r="AO51" s="182">
        <v>20</v>
      </c>
      <c r="AP51" s="182">
        <v>1170.0965517241377</v>
      </c>
      <c r="AQ51" s="182">
        <v>58.504827586206886</v>
      </c>
      <c r="AR51" s="537">
        <f t="shared" si="39"/>
        <v>10</v>
      </c>
      <c r="AS51" s="674"/>
      <c r="AT51" s="182">
        <v>20</v>
      </c>
      <c r="AU51" s="182">
        <v>1165.7684210526309</v>
      </c>
      <c r="AV51" s="182">
        <v>58.288421052631541</v>
      </c>
      <c r="AW51" s="537">
        <f t="shared" si="40"/>
        <v>9</v>
      </c>
      <c r="AX51" s="674"/>
    </row>
    <row r="52" spans="2:50">
      <c r="B52" s="660"/>
      <c r="C52" s="328">
        <v>6</v>
      </c>
      <c r="D52" s="227" t="s">
        <v>388</v>
      </c>
      <c r="E52" s="182">
        <v>19</v>
      </c>
      <c r="F52" s="551">
        <v>1440</v>
      </c>
      <c r="G52" s="552">
        <v>75.8</v>
      </c>
      <c r="H52" s="702"/>
      <c r="I52" s="199">
        <f t="shared" si="31"/>
        <v>19.714285714285715</v>
      </c>
      <c r="J52" s="199">
        <f t="shared" si="32"/>
        <v>1261.7874653051529</v>
      </c>
      <c r="K52" s="200">
        <f t="shared" si="33"/>
        <v>64.03365682629348</v>
      </c>
      <c r="L52" s="634"/>
      <c r="M52" s="201">
        <f>RANK(K52, K$47:$K$61)</f>
        <v>7</v>
      </c>
      <c r="N52" s="652"/>
      <c r="O52" s="652"/>
      <c r="P52" s="182">
        <v>20</v>
      </c>
      <c r="Q52" s="182">
        <v>1250.8235294117644</v>
      </c>
      <c r="R52" s="182">
        <v>62.541176470588219</v>
      </c>
      <c r="S52" s="537">
        <f t="shared" si="34"/>
        <v>7</v>
      </c>
      <c r="T52" s="674"/>
      <c r="U52" s="182">
        <v>20</v>
      </c>
      <c r="V52" s="182">
        <v>1275.6164383561634</v>
      </c>
      <c r="W52" s="182">
        <v>63.780821917808169</v>
      </c>
      <c r="X52" s="537">
        <f t="shared" si="35"/>
        <v>7</v>
      </c>
      <c r="Y52" s="674"/>
      <c r="Z52" s="182">
        <v>20</v>
      </c>
      <c r="AA52" s="182">
        <v>1275.2542372881367</v>
      </c>
      <c r="AB52" s="182">
        <v>63.762711864406832</v>
      </c>
      <c r="AC52" s="537">
        <f t="shared" si="36"/>
        <v>8</v>
      </c>
      <c r="AD52" s="674"/>
      <c r="AE52" s="182">
        <v>20</v>
      </c>
      <c r="AF52" s="182">
        <v>1262.5531914893618</v>
      </c>
      <c r="AG52" s="182">
        <v>63.12765957446809</v>
      </c>
      <c r="AH52" s="537">
        <f t="shared" si="37"/>
        <v>5</v>
      </c>
      <c r="AI52" s="674"/>
      <c r="AJ52" s="182">
        <v>19</v>
      </c>
      <c r="AK52" s="182">
        <v>1255.9322033898316</v>
      </c>
      <c r="AL52" s="182">
        <v>66.101694915254299</v>
      </c>
      <c r="AM52" s="537">
        <f t="shared" si="38"/>
        <v>7</v>
      </c>
      <c r="AN52" s="674"/>
      <c r="AO52" s="182">
        <v>20</v>
      </c>
      <c r="AP52" s="182">
        <v>1256.4705882352926</v>
      </c>
      <c r="AQ52" s="182">
        <v>62.823529411764625</v>
      </c>
      <c r="AR52" s="537">
        <f t="shared" si="39"/>
        <v>7</v>
      </c>
      <c r="AS52" s="674"/>
      <c r="AT52" s="182">
        <v>19</v>
      </c>
      <c r="AU52" s="182">
        <v>1255.8620689655181</v>
      </c>
      <c r="AV52" s="182">
        <v>66.098003629764108</v>
      </c>
      <c r="AW52" s="537">
        <f t="shared" si="40"/>
        <v>5</v>
      </c>
      <c r="AX52" s="674"/>
    </row>
    <row r="53" spans="2:50">
      <c r="B53" s="660"/>
      <c r="C53" s="328">
        <v>7</v>
      </c>
      <c r="D53" s="227" t="s">
        <v>707</v>
      </c>
      <c r="E53" s="182">
        <v>18</v>
      </c>
      <c r="F53" s="551">
        <v>1385</v>
      </c>
      <c r="G53" s="552">
        <v>76.900000000000006</v>
      </c>
      <c r="H53" s="702"/>
      <c r="I53" s="199">
        <f t="shared" si="31"/>
        <v>18.428571428571427</v>
      </c>
      <c r="J53" s="199">
        <f t="shared" si="32"/>
        <v>1183.7649103466013</v>
      </c>
      <c r="K53" s="200">
        <f t="shared" si="33"/>
        <v>64.264403695483409</v>
      </c>
      <c r="L53" s="634"/>
      <c r="M53" s="201">
        <f>RANK(K53, K$47:$K$61)</f>
        <v>5</v>
      </c>
      <c r="N53" s="652"/>
      <c r="O53" s="652"/>
      <c r="P53" s="182">
        <v>19</v>
      </c>
      <c r="Q53" s="182">
        <v>1223.1999999999991</v>
      </c>
      <c r="R53" s="182">
        <v>64.378947368421009</v>
      </c>
      <c r="S53" s="537">
        <f t="shared" si="34"/>
        <v>6</v>
      </c>
      <c r="T53" s="674"/>
      <c r="U53" s="182">
        <v>19</v>
      </c>
      <c r="V53" s="182">
        <v>1216.0563380281678</v>
      </c>
      <c r="W53" s="182">
        <v>64.002965159377254</v>
      </c>
      <c r="X53" s="537">
        <f t="shared" si="35"/>
        <v>6</v>
      </c>
      <c r="Y53" s="674"/>
      <c r="Z53" s="182">
        <v>19</v>
      </c>
      <c r="AA53" s="182">
        <v>1216.2162162162153</v>
      </c>
      <c r="AB53" s="182">
        <v>64.011379800853433</v>
      </c>
      <c r="AC53" s="537">
        <f t="shared" si="36"/>
        <v>7</v>
      </c>
      <c r="AD53" s="674"/>
      <c r="AE53" s="182">
        <v>19</v>
      </c>
      <c r="AF53" s="182">
        <v>1194.5454545454552</v>
      </c>
      <c r="AG53" s="182">
        <v>62.870813397129218</v>
      </c>
      <c r="AH53" s="537">
        <f t="shared" si="37"/>
        <v>6</v>
      </c>
      <c r="AI53" s="674"/>
      <c r="AJ53" s="182">
        <v>18</v>
      </c>
      <c r="AK53" s="182">
        <v>1191.8181818181818</v>
      </c>
      <c r="AL53" s="182">
        <v>66.212121212121204</v>
      </c>
      <c r="AM53" s="537">
        <f t="shared" si="38"/>
        <v>6</v>
      </c>
      <c r="AN53" s="674"/>
      <c r="AO53" s="182">
        <v>18</v>
      </c>
      <c r="AP53" s="182">
        <v>1118.7000000000039</v>
      </c>
      <c r="AQ53" s="182">
        <v>62.150000000000219</v>
      </c>
      <c r="AR53" s="537">
        <f t="shared" si="39"/>
        <v>8</v>
      </c>
      <c r="AS53" s="674"/>
      <c r="AT53" s="182">
        <v>17</v>
      </c>
      <c r="AU53" s="182">
        <v>1125.8181818181858</v>
      </c>
      <c r="AV53" s="182">
        <v>66.22459893048152</v>
      </c>
      <c r="AW53" s="537">
        <f t="shared" si="40"/>
        <v>4</v>
      </c>
      <c r="AX53" s="674"/>
    </row>
    <row r="54" spans="2:50">
      <c r="B54" s="660"/>
      <c r="C54" s="328">
        <v>8</v>
      </c>
      <c r="D54" s="227" t="s">
        <v>710</v>
      </c>
      <c r="E54" s="182">
        <v>18</v>
      </c>
      <c r="F54" s="551">
        <v>1385</v>
      </c>
      <c r="G54" s="552">
        <v>76.900000000000006</v>
      </c>
      <c r="H54" s="702"/>
      <c r="I54" s="428">
        <f t="shared" ref="I54:I56" si="41">AVERAGE(P54,U54,Z54,AE54,AJ54,AO54,AT54)</f>
        <v>18.285714285714285</v>
      </c>
      <c r="J54" s="428">
        <f t="shared" ref="J54:J56" si="42">AVERAGE(Q54,V54,AA54,AF54,AK54,AP54,AU54)</f>
        <v>1159.5227218175573</v>
      </c>
      <c r="K54" s="200">
        <f t="shared" ref="K54:K56" si="43">AVERAGE(R54,W54,AB54,AG54,AL54,AQ54,AV54)</f>
        <v>63.412180116332763</v>
      </c>
      <c r="L54" s="634"/>
      <c r="M54" s="201">
        <f>RANK(K54, K$47:$K$61)</f>
        <v>8</v>
      </c>
      <c r="N54" s="652"/>
      <c r="O54" s="652"/>
      <c r="P54" s="182">
        <v>18</v>
      </c>
      <c r="Q54" s="182">
        <v>1191.6000000000004</v>
      </c>
      <c r="R54" s="182">
        <v>66.200000000000017</v>
      </c>
      <c r="S54" s="537">
        <f t="shared" si="34"/>
        <v>5</v>
      </c>
      <c r="T54" s="674"/>
      <c r="U54" s="182">
        <v>18</v>
      </c>
      <c r="V54" s="182">
        <v>1223.4146341463411</v>
      </c>
      <c r="W54" s="182">
        <v>67.967479674796721</v>
      </c>
      <c r="X54" s="537">
        <f t="shared" si="35"/>
        <v>5</v>
      </c>
      <c r="Y54" s="674"/>
      <c r="Z54" s="182">
        <v>18</v>
      </c>
      <c r="AA54" s="182">
        <v>1192.9411764705887</v>
      </c>
      <c r="AB54" s="182">
        <v>66.274509803921603</v>
      </c>
      <c r="AC54" s="537">
        <f t="shared" si="36"/>
        <v>5</v>
      </c>
      <c r="AD54" s="674"/>
      <c r="AE54" s="182">
        <v>18</v>
      </c>
      <c r="AF54" s="182">
        <v>1042.7586206896531</v>
      </c>
      <c r="AG54" s="182">
        <v>57.931034482758506</v>
      </c>
      <c r="AH54" s="537">
        <f t="shared" si="37"/>
        <v>9</v>
      </c>
      <c r="AI54" s="674"/>
      <c r="AJ54" s="182">
        <v>18</v>
      </c>
      <c r="AK54" s="182">
        <v>1058.1818181818167</v>
      </c>
      <c r="AL54" s="182">
        <v>58.787878787878704</v>
      </c>
      <c r="AM54" s="537">
        <f t="shared" si="38"/>
        <v>9</v>
      </c>
      <c r="AN54" s="674"/>
      <c r="AO54" s="182">
        <v>19</v>
      </c>
      <c r="AP54" s="182">
        <v>1224.905660377359</v>
      </c>
      <c r="AQ54" s="182">
        <v>64.468718967229421</v>
      </c>
      <c r="AR54" s="537">
        <f t="shared" si="39"/>
        <v>6</v>
      </c>
      <c r="AS54" s="674"/>
      <c r="AT54" s="182">
        <v>19</v>
      </c>
      <c r="AU54" s="182">
        <v>1182.8571428571424</v>
      </c>
      <c r="AV54" s="182">
        <v>62.255639097744336</v>
      </c>
      <c r="AW54" s="537">
        <f t="shared" si="40"/>
        <v>8</v>
      </c>
      <c r="AX54" s="674"/>
    </row>
    <row r="55" spans="2:50">
      <c r="B55" s="660"/>
      <c r="C55" s="328">
        <v>9</v>
      </c>
      <c r="D55" s="227" t="s">
        <v>781</v>
      </c>
      <c r="E55" s="182">
        <v>16</v>
      </c>
      <c r="F55" s="551">
        <v>1440</v>
      </c>
      <c r="G55" s="552">
        <v>90</v>
      </c>
      <c r="H55" s="702"/>
      <c r="I55" s="428">
        <f t="shared" si="41"/>
        <v>15.714285714285714</v>
      </c>
      <c r="J55" s="428">
        <f t="shared" si="42"/>
        <v>1265.1901462204062</v>
      </c>
      <c r="K55" s="200">
        <f t="shared" si="43"/>
        <v>80.552567391152181</v>
      </c>
      <c r="L55" s="634"/>
      <c r="M55" s="201">
        <f>RANK(K55, K$47:$K$61)</f>
        <v>1</v>
      </c>
      <c r="N55" s="652"/>
      <c r="O55" s="652"/>
      <c r="P55" s="182">
        <v>16</v>
      </c>
      <c r="Q55" s="182">
        <v>1272.0000000000005</v>
      </c>
      <c r="R55" s="182">
        <v>79.500000000000028</v>
      </c>
      <c r="S55" s="537">
        <f t="shared" si="34"/>
        <v>1</v>
      </c>
      <c r="T55" s="674"/>
      <c r="U55" s="182">
        <v>16</v>
      </c>
      <c r="V55" s="182">
        <v>1248.421052631579</v>
      </c>
      <c r="W55" s="182">
        <v>78.026315789473685</v>
      </c>
      <c r="X55" s="537">
        <f t="shared" si="35"/>
        <v>1</v>
      </c>
      <c r="Y55" s="674"/>
      <c r="Z55" s="182">
        <v>16</v>
      </c>
      <c r="AA55" s="182">
        <v>1285.3333333333333</v>
      </c>
      <c r="AB55" s="182">
        <v>80.333333333333329</v>
      </c>
      <c r="AC55" s="537">
        <f t="shared" si="36"/>
        <v>1</v>
      </c>
      <c r="AD55" s="674"/>
      <c r="AE55" s="182">
        <v>16</v>
      </c>
      <c r="AF55" s="182">
        <v>1280.6250000000005</v>
      </c>
      <c r="AG55" s="182">
        <v>80.039062500000028</v>
      </c>
      <c r="AH55" s="537">
        <f t="shared" si="37"/>
        <v>1</v>
      </c>
      <c r="AI55" s="674"/>
      <c r="AJ55" s="182">
        <v>16</v>
      </c>
      <c r="AK55" s="182">
        <v>1286.6037735849054</v>
      </c>
      <c r="AL55" s="182">
        <v>80.412735849056588</v>
      </c>
      <c r="AM55" s="537">
        <f t="shared" si="38"/>
        <v>1</v>
      </c>
      <c r="AN55" s="674"/>
      <c r="AO55" s="182">
        <v>15</v>
      </c>
      <c r="AP55" s="182">
        <v>1240.6451612903229</v>
      </c>
      <c r="AQ55" s="182">
        <v>82.709677419354861</v>
      </c>
      <c r="AR55" s="537">
        <f t="shared" si="39"/>
        <v>1</v>
      </c>
      <c r="AS55" s="674"/>
      <c r="AT55" s="182">
        <v>15</v>
      </c>
      <c r="AU55" s="182">
        <v>1242.7027027027027</v>
      </c>
      <c r="AV55" s="182">
        <v>82.846846846846844</v>
      </c>
      <c r="AW55" s="537">
        <f t="shared" si="40"/>
        <v>1</v>
      </c>
      <c r="AX55" s="674"/>
    </row>
    <row r="56" spans="2:50">
      <c r="B56" s="660"/>
      <c r="C56" s="328">
        <v>10</v>
      </c>
      <c r="D56" s="227" t="s">
        <v>963</v>
      </c>
      <c r="E56" s="182">
        <v>18</v>
      </c>
      <c r="F56" s="551">
        <v>1300</v>
      </c>
      <c r="G56" s="552">
        <v>72.222222222222229</v>
      </c>
      <c r="H56" s="702"/>
      <c r="I56" s="428">
        <f t="shared" si="41"/>
        <v>18.142857142857142</v>
      </c>
      <c r="J56" s="428">
        <f t="shared" si="42"/>
        <v>1275.7795938734009</v>
      </c>
      <c r="K56" s="200">
        <f t="shared" si="43"/>
        <v>70.354361123900119</v>
      </c>
      <c r="L56" s="634"/>
      <c r="M56" s="201">
        <f>RANK(K56, K$47:$K$61)</f>
        <v>3</v>
      </c>
      <c r="N56" s="652"/>
      <c r="O56" s="652"/>
      <c r="P56" s="182">
        <v>18</v>
      </c>
      <c r="Q56" s="182">
        <v>1296.6352941176467</v>
      </c>
      <c r="R56" s="182">
        <v>72.035294117647041</v>
      </c>
      <c r="S56" s="537">
        <f t="shared" si="34"/>
        <v>3</v>
      </c>
      <c r="T56" s="674"/>
      <c r="U56" s="182">
        <v>18</v>
      </c>
      <c r="V56" s="182">
        <v>1267.5000000000014</v>
      </c>
      <c r="W56" s="182">
        <v>70.416666666666742</v>
      </c>
      <c r="X56" s="537">
        <f t="shared" si="35"/>
        <v>4</v>
      </c>
      <c r="Y56" s="674"/>
      <c r="Z56" s="182">
        <v>18</v>
      </c>
      <c r="AA56" s="182">
        <v>1289.0000000000011</v>
      </c>
      <c r="AB56" s="182">
        <v>71.611111111111171</v>
      </c>
      <c r="AC56" s="537">
        <f t="shared" si="36"/>
        <v>3</v>
      </c>
      <c r="AD56" s="674"/>
      <c r="AE56" s="182">
        <v>18</v>
      </c>
      <c r="AF56" s="182">
        <v>1291.901408450703</v>
      </c>
      <c r="AG56" s="182">
        <v>71.772300469483497</v>
      </c>
      <c r="AH56" s="537">
        <f t="shared" si="37"/>
        <v>3</v>
      </c>
      <c r="AI56" s="674"/>
      <c r="AJ56" s="182">
        <v>18</v>
      </c>
      <c r="AK56" s="182">
        <v>1274.3999999999999</v>
      </c>
      <c r="AL56" s="182">
        <v>70.8</v>
      </c>
      <c r="AM56" s="537">
        <f t="shared" si="38"/>
        <v>4</v>
      </c>
      <c r="AN56" s="674"/>
      <c r="AO56" s="182">
        <v>18</v>
      </c>
      <c r="AP56" s="182">
        <v>1260.6750000000002</v>
      </c>
      <c r="AQ56" s="182">
        <v>70.037500000000009</v>
      </c>
      <c r="AR56" s="537">
        <f t="shared" si="39"/>
        <v>4</v>
      </c>
      <c r="AS56" s="674"/>
      <c r="AT56" s="182">
        <v>19</v>
      </c>
      <c r="AU56" s="182">
        <v>1250.3454545454547</v>
      </c>
      <c r="AV56" s="182">
        <v>65.80765550239235</v>
      </c>
      <c r="AW56" s="537">
        <f t="shared" si="40"/>
        <v>6</v>
      </c>
      <c r="AX56" s="674"/>
    </row>
    <row r="57" spans="2:50">
      <c r="B57" s="660"/>
      <c r="C57" s="328">
        <v>11</v>
      </c>
      <c r="D57" s="227"/>
      <c r="E57" s="182"/>
      <c r="F57" s="551"/>
      <c r="G57" s="552"/>
      <c r="H57" s="702"/>
      <c r="I57" s="466"/>
      <c r="J57" s="466"/>
      <c r="K57" s="200"/>
      <c r="L57" s="634"/>
      <c r="M57" s="201" t="e">
        <f>RANK(K57, K$47:$K$61)</f>
        <v>#N/A</v>
      </c>
      <c r="N57" s="652"/>
      <c r="O57" s="652"/>
      <c r="P57" s="551"/>
      <c r="Q57" s="552"/>
      <c r="R57" s="552"/>
      <c r="S57" s="537" t="e">
        <f t="shared" si="34"/>
        <v>#N/A</v>
      </c>
      <c r="T57" s="674"/>
      <c r="U57" s="551"/>
      <c r="V57" s="552"/>
      <c r="W57" s="552"/>
      <c r="X57" s="537" t="e">
        <f t="shared" si="35"/>
        <v>#N/A</v>
      </c>
      <c r="Y57" s="674"/>
      <c r="Z57" s="551"/>
      <c r="AA57" s="552"/>
      <c r="AB57" s="552"/>
      <c r="AC57" s="537" t="e">
        <f t="shared" si="36"/>
        <v>#N/A</v>
      </c>
      <c r="AD57" s="674"/>
      <c r="AE57" s="551"/>
      <c r="AF57" s="552"/>
      <c r="AG57" s="552"/>
      <c r="AH57" s="537" t="e">
        <f t="shared" si="37"/>
        <v>#N/A</v>
      </c>
      <c r="AI57" s="674"/>
      <c r="AJ57" s="551"/>
      <c r="AK57" s="552"/>
      <c r="AL57" s="552"/>
      <c r="AM57" s="537" t="e">
        <f t="shared" si="38"/>
        <v>#N/A</v>
      </c>
      <c r="AN57" s="674"/>
      <c r="AO57" s="551"/>
      <c r="AP57" s="552"/>
      <c r="AQ57" s="552"/>
      <c r="AR57" s="537" t="e">
        <f t="shared" si="39"/>
        <v>#N/A</v>
      </c>
      <c r="AS57" s="674"/>
      <c r="AT57" s="551"/>
      <c r="AU57" s="552"/>
      <c r="AV57" s="552"/>
      <c r="AW57" s="537" t="e">
        <f t="shared" si="40"/>
        <v>#N/A</v>
      </c>
      <c r="AX57" s="674"/>
    </row>
    <row r="58" spans="2:50">
      <c r="B58" s="660"/>
      <c r="C58" s="328">
        <v>12</v>
      </c>
      <c r="D58" s="227"/>
      <c r="E58" s="182"/>
      <c r="F58" s="551"/>
      <c r="G58" s="552"/>
      <c r="H58" s="702"/>
      <c r="I58" s="483"/>
      <c r="J58" s="483"/>
      <c r="K58" s="200"/>
      <c r="L58" s="634"/>
      <c r="M58" s="201" t="e">
        <f>RANK(K58, K$47:$K$61)</f>
        <v>#N/A</v>
      </c>
      <c r="N58" s="652"/>
      <c r="O58" s="652"/>
      <c r="P58" s="551"/>
      <c r="Q58" s="552"/>
      <c r="R58" s="552"/>
      <c r="S58" s="537" t="e">
        <f t="shared" si="34"/>
        <v>#N/A</v>
      </c>
      <c r="T58" s="674"/>
      <c r="U58" s="551"/>
      <c r="V58" s="552"/>
      <c r="W58" s="552"/>
      <c r="X58" s="537" t="e">
        <f t="shared" si="35"/>
        <v>#N/A</v>
      </c>
      <c r="Y58" s="674"/>
      <c r="Z58" s="551"/>
      <c r="AA58" s="552"/>
      <c r="AB58" s="552"/>
      <c r="AC58" s="537" t="e">
        <f t="shared" si="36"/>
        <v>#N/A</v>
      </c>
      <c r="AD58" s="674"/>
      <c r="AE58" s="551"/>
      <c r="AF58" s="552"/>
      <c r="AG58" s="552"/>
      <c r="AH58" s="537" t="e">
        <f t="shared" si="37"/>
        <v>#N/A</v>
      </c>
      <c r="AI58" s="674"/>
      <c r="AJ58" s="551"/>
      <c r="AK58" s="552"/>
      <c r="AL58" s="552"/>
      <c r="AM58" s="537" t="e">
        <f t="shared" si="38"/>
        <v>#N/A</v>
      </c>
      <c r="AN58" s="674"/>
      <c r="AO58" s="551"/>
      <c r="AP58" s="552"/>
      <c r="AQ58" s="552"/>
      <c r="AR58" s="537" t="e">
        <f t="shared" si="39"/>
        <v>#N/A</v>
      </c>
      <c r="AS58" s="674"/>
      <c r="AT58" s="551"/>
      <c r="AU58" s="552"/>
      <c r="AV58" s="552"/>
      <c r="AW58" s="537" t="e">
        <f t="shared" si="40"/>
        <v>#N/A</v>
      </c>
      <c r="AX58" s="674"/>
    </row>
    <row r="59" spans="2:50">
      <c r="B59" s="660"/>
      <c r="C59" s="328">
        <v>13</v>
      </c>
      <c r="D59" s="227"/>
      <c r="E59" s="182"/>
      <c r="F59" s="551"/>
      <c r="G59" s="552"/>
      <c r="H59" s="702"/>
      <c r="I59" s="202"/>
      <c r="J59" s="202"/>
      <c r="K59" s="202"/>
      <c r="L59" s="634"/>
      <c r="M59" s="201" t="e">
        <f>RANK(K59, K$47:$K$61)</f>
        <v>#N/A</v>
      </c>
      <c r="N59" s="652"/>
      <c r="O59" s="652"/>
      <c r="P59" s="551"/>
      <c r="Q59" s="552"/>
      <c r="R59" s="552"/>
      <c r="S59" s="537" t="e">
        <f t="shared" si="34"/>
        <v>#N/A</v>
      </c>
      <c r="T59" s="674"/>
      <c r="U59" s="551"/>
      <c r="V59" s="552"/>
      <c r="W59" s="552"/>
      <c r="X59" s="537" t="e">
        <f t="shared" si="35"/>
        <v>#N/A</v>
      </c>
      <c r="Y59" s="674"/>
      <c r="Z59" s="551"/>
      <c r="AA59" s="552"/>
      <c r="AB59" s="552"/>
      <c r="AC59" s="537" t="e">
        <f t="shared" si="36"/>
        <v>#N/A</v>
      </c>
      <c r="AD59" s="674"/>
      <c r="AE59" s="551"/>
      <c r="AF59" s="552"/>
      <c r="AG59" s="552"/>
      <c r="AH59" s="537" t="e">
        <f t="shared" si="37"/>
        <v>#N/A</v>
      </c>
      <c r="AI59" s="674"/>
      <c r="AJ59" s="551"/>
      <c r="AK59" s="552"/>
      <c r="AL59" s="552"/>
      <c r="AM59" s="537" t="e">
        <f t="shared" si="38"/>
        <v>#N/A</v>
      </c>
      <c r="AN59" s="674"/>
      <c r="AO59" s="551"/>
      <c r="AP59" s="552"/>
      <c r="AQ59" s="552"/>
      <c r="AR59" s="537" t="e">
        <f t="shared" si="39"/>
        <v>#N/A</v>
      </c>
      <c r="AS59" s="674"/>
      <c r="AT59" s="551"/>
      <c r="AU59" s="552"/>
      <c r="AV59" s="552"/>
      <c r="AW59" s="537" t="e">
        <f t="shared" si="40"/>
        <v>#N/A</v>
      </c>
      <c r="AX59" s="674"/>
    </row>
    <row r="60" spans="2:50">
      <c r="B60" s="660"/>
      <c r="C60" s="328">
        <v>14</v>
      </c>
      <c r="D60" s="227"/>
      <c r="E60" s="182"/>
      <c r="F60" s="551"/>
      <c r="G60" s="552"/>
      <c r="H60" s="702"/>
      <c r="I60" s="202"/>
      <c r="J60" s="202"/>
      <c r="K60" s="202"/>
      <c r="L60" s="634"/>
      <c r="M60" s="201" t="e">
        <f>RANK(K60, K$47:$K$61)</f>
        <v>#N/A</v>
      </c>
      <c r="N60" s="652"/>
      <c r="O60" s="652"/>
      <c r="P60" s="551"/>
      <c r="Q60" s="552"/>
      <c r="R60" s="552"/>
      <c r="S60" s="537" t="e">
        <f t="shared" si="34"/>
        <v>#N/A</v>
      </c>
      <c r="T60" s="674"/>
      <c r="U60" s="551"/>
      <c r="V60" s="552"/>
      <c r="W60" s="552"/>
      <c r="X60" s="537" t="e">
        <f t="shared" si="35"/>
        <v>#N/A</v>
      </c>
      <c r="Y60" s="674"/>
      <c r="Z60" s="551"/>
      <c r="AA60" s="552"/>
      <c r="AB60" s="552"/>
      <c r="AC60" s="537" t="e">
        <f t="shared" si="36"/>
        <v>#N/A</v>
      </c>
      <c r="AD60" s="674"/>
      <c r="AE60" s="551"/>
      <c r="AF60" s="552"/>
      <c r="AG60" s="552"/>
      <c r="AH60" s="537" t="e">
        <f t="shared" si="37"/>
        <v>#N/A</v>
      </c>
      <c r="AI60" s="674"/>
      <c r="AJ60" s="551"/>
      <c r="AK60" s="552"/>
      <c r="AL60" s="552"/>
      <c r="AM60" s="537" t="e">
        <f t="shared" si="38"/>
        <v>#N/A</v>
      </c>
      <c r="AN60" s="674"/>
      <c r="AO60" s="551"/>
      <c r="AP60" s="552"/>
      <c r="AQ60" s="552"/>
      <c r="AR60" s="537" t="e">
        <f t="shared" si="39"/>
        <v>#N/A</v>
      </c>
      <c r="AS60" s="674"/>
      <c r="AT60" s="551"/>
      <c r="AU60" s="552"/>
      <c r="AV60" s="552"/>
      <c r="AW60" s="537" t="e">
        <f t="shared" si="40"/>
        <v>#N/A</v>
      </c>
      <c r="AX60" s="674"/>
    </row>
    <row r="61" spans="2:50">
      <c r="B61" s="660"/>
      <c r="C61" s="328">
        <v>15</v>
      </c>
      <c r="D61" s="227"/>
      <c r="E61" s="182"/>
      <c r="F61" s="551"/>
      <c r="G61" s="552"/>
      <c r="H61" s="703"/>
      <c r="I61" s="202"/>
      <c r="J61" s="202"/>
      <c r="K61" s="202"/>
      <c r="L61" s="635"/>
      <c r="M61" s="201" t="e">
        <f>RANK(K61, K$47:$K$61)</f>
        <v>#N/A</v>
      </c>
      <c r="N61" s="652"/>
      <c r="O61" s="652"/>
      <c r="P61" s="551"/>
      <c r="Q61" s="552"/>
      <c r="R61" s="552"/>
      <c r="S61" s="537" t="e">
        <f t="shared" si="34"/>
        <v>#N/A</v>
      </c>
      <c r="T61" s="674"/>
      <c r="U61" s="551"/>
      <c r="V61" s="552"/>
      <c r="W61" s="552"/>
      <c r="X61" s="537" t="e">
        <f t="shared" si="35"/>
        <v>#N/A</v>
      </c>
      <c r="Y61" s="674"/>
      <c r="Z61" s="551"/>
      <c r="AA61" s="552"/>
      <c r="AB61" s="552"/>
      <c r="AC61" s="537" t="e">
        <f t="shared" si="36"/>
        <v>#N/A</v>
      </c>
      <c r="AD61" s="674"/>
      <c r="AE61" s="551"/>
      <c r="AF61" s="552"/>
      <c r="AG61" s="552"/>
      <c r="AH61" s="537" t="e">
        <f t="shared" si="37"/>
        <v>#N/A</v>
      </c>
      <c r="AI61" s="674"/>
      <c r="AJ61" s="551"/>
      <c r="AK61" s="552"/>
      <c r="AL61" s="552"/>
      <c r="AM61" s="537" t="e">
        <f t="shared" si="38"/>
        <v>#N/A</v>
      </c>
      <c r="AN61" s="674"/>
      <c r="AO61" s="551"/>
      <c r="AP61" s="552"/>
      <c r="AQ61" s="552"/>
      <c r="AR61" s="537" t="e">
        <f t="shared" si="39"/>
        <v>#N/A</v>
      </c>
      <c r="AS61" s="674"/>
      <c r="AT61" s="551"/>
      <c r="AU61" s="552"/>
      <c r="AV61" s="552"/>
      <c r="AW61" s="537" t="e">
        <f t="shared" si="40"/>
        <v>#N/A</v>
      </c>
      <c r="AX61" s="674"/>
    </row>
    <row r="62" spans="2:50" ht="15.75">
      <c r="B62" s="664" t="s">
        <v>163</v>
      </c>
      <c r="C62" s="665"/>
      <c r="D62" s="665"/>
      <c r="E62" s="665"/>
      <c r="F62" s="665"/>
      <c r="G62" s="665"/>
      <c r="H62" s="666"/>
      <c r="I62" s="208"/>
      <c r="J62" s="208"/>
      <c r="K62" s="208"/>
      <c r="L62" s="208"/>
      <c r="M62" s="207"/>
      <c r="N62" s="653" t="s">
        <v>156</v>
      </c>
      <c r="O62" s="653" t="s">
        <v>105</v>
      </c>
      <c r="P62" s="659">
        <f>P42+7</f>
        <v>46070</v>
      </c>
      <c r="Q62" s="660"/>
      <c r="R62" s="660"/>
      <c r="S62" s="660"/>
      <c r="T62" s="660"/>
      <c r="U62" s="656">
        <f>P62+1</f>
        <v>46071</v>
      </c>
      <c r="V62" s="657"/>
      <c r="W62" s="657"/>
      <c r="X62" s="657"/>
      <c r="Y62" s="658"/>
      <c r="Z62" s="656">
        <f>U62+1</f>
        <v>46072</v>
      </c>
      <c r="AA62" s="657"/>
      <c r="AB62" s="657"/>
      <c r="AC62" s="657"/>
      <c r="AD62" s="658"/>
      <c r="AE62" s="656">
        <f>Z62+1</f>
        <v>46073</v>
      </c>
      <c r="AF62" s="657"/>
      <c r="AG62" s="657"/>
      <c r="AH62" s="657"/>
      <c r="AI62" s="658"/>
      <c r="AJ62" s="656">
        <f>AE62+1</f>
        <v>46074</v>
      </c>
      <c r="AK62" s="657"/>
      <c r="AL62" s="657"/>
      <c r="AM62" s="657"/>
      <c r="AN62" s="658"/>
      <c r="AO62" s="656">
        <f>AJ62+1</f>
        <v>46075</v>
      </c>
      <c r="AP62" s="657"/>
      <c r="AQ62" s="657"/>
      <c r="AR62" s="657"/>
      <c r="AS62" s="658"/>
      <c r="AT62" s="656">
        <f>AO62+1</f>
        <v>46076</v>
      </c>
      <c r="AU62" s="657"/>
      <c r="AV62" s="657"/>
      <c r="AW62" s="657"/>
      <c r="AX62" s="658"/>
    </row>
    <row r="63" spans="2:50" ht="15.75">
      <c r="B63" s="667"/>
      <c r="C63" s="667"/>
      <c r="D63" s="667"/>
      <c r="E63" s="667"/>
      <c r="F63" s="667"/>
      <c r="G63" s="667"/>
      <c r="H63" s="667"/>
      <c r="I63" s="205"/>
      <c r="J63" s="205"/>
      <c r="K63" s="205"/>
      <c r="L63" s="205"/>
      <c r="M63" s="206"/>
      <c r="N63" s="655"/>
      <c r="O63" s="655"/>
      <c r="P63" s="659" t="s">
        <v>336</v>
      </c>
      <c r="Q63" s="660"/>
      <c r="R63" s="660"/>
      <c r="S63" s="660"/>
      <c r="T63" s="660"/>
      <c r="U63" s="659" t="s">
        <v>337</v>
      </c>
      <c r="V63" s="660"/>
      <c r="W63" s="660"/>
      <c r="X63" s="660"/>
      <c r="Y63" s="660"/>
      <c r="Z63" s="659" t="s">
        <v>338</v>
      </c>
      <c r="AA63" s="660"/>
      <c r="AB63" s="660"/>
      <c r="AC63" s="660"/>
      <c r="AD63" s="660"/>
      <c r="AE63" s="659" t="s">
        <v>339</v>
      </c>
      <c r="AF63" s="660"/>
      <c r="AG63" s="660"/>
      <c r="AH63" s="660"/>
      <c r="AI63" s="660"/>
      <c r="AJ63" s="659" t="s">
        <v>340</v>
      </c>
      <c r="AK63" s="660"/>
      <c r="AL63" s="660"/>
      <c r="AM63" s="660"/>
      <c r="AN63" s="660"/>
      <c r="AO63" s="659" t="s">
        <v>341</v>
      </c>
      <c r="AP63" s="660"/>
      <c r="AQ63" s="660"/>
      <c r="AR63" s="660"/>
      <c r="AS63" s="660"/>
      <c r="AT63" s="659" t="s">
        <v>342</v>
      </c>
      <c r="AU63" s="660"/>
      <c r="AV63" s="660"/>
      <c r="AW63" s="660"/>
      <c r="AX63" s="660"/>
    </row>
    <row r="64" spans="2:50">
      <c r="B64" s="652" t="s">
        <v>431</v>
      </c>
      <c r="C64" s="652" t="s">
        <v>441</v>
      </c>
      <c r="D64" s="652"/>
      <c r="E64" s="652" t="s">
        <v>432</v>
      </c>
      <c r="F64" s="652"/>
      <c r="G64" s="652"/>
      <c r="H64" s="668" t="s">
        <v>428</v>
      </c>
      <c r="I64" s="636" t="s">
        <v>433</v>
      </c>
      <c r="J64" s="636"/>
      <c r="K64" s="636"/>
      <c r="L64" s="637" t="s">
        <v>428</v>
      </c>
      <c r="M64" s="643" t="s">
        <v>429</v>
      </c>
      <c r="N64" s="652"/>
      <c r="O64" s="652" t="s">
        <v>434</v>
      </c>
      <c r="P64" s="649" t="s">
        <v>430</v>
      </c>
      <c r="Q64" s="650"/>
      <c r="R64" s="650"/>
      <c r="S64" s="651"/>
      <c r="T64" s="652" t="s">
        <v>428</v>
      </c>
      <c r="U64" s="649" t="s">
        <v>430</v>
      </c>
      <c r="V64" s="650"/>
      <c r="W64" s="650"/>
      <c r="X64" s="651"/>
      <c r="Y64" s="652" t="s">
        <v>428</v>
      </c>
      <c r="Z64" s="649" t="s">
        <v>430</v>
      </c>
      <c r="AA64" s="650"/>
      <c r="AB64" s="650"/>
      <c r="AC64" s="651"/>
      <c r="AD64" s="652" t="s">
        <v>428</v>
      </c>
      <c r="AE64" s="649" t="s">
        <v>430</v>
      </c>
      <c r="AF64" s="650"/>
      <c r="AG64" s="650"/>
      <c r="AH64" s="651"/>
      <c r="AI64" s="652" t="s">
        <v>428</v>
      </c>
      <c r="AJ64" s="649" t="s">
        <v>430</v>
      </c>
      <c r="AK64" s="650"/>
      <c r="AL64" s="650"/>
      <c r="AM64" s="651"/>
      <c r="AN64" s="652" t="s">
        <v>428</v>
      </c>
      <c r="AO64" s="649" t="s">
        <v>430</v>
      </c>
      <c r="AP64" s="650"/>
      <c r="AQ64" s="650"/>
      <c r="AR64" s="651"/>
      <c r="AS64" s="652" t="s">
        <v>428</v>
      </c>
      <c r="AT64" s="649" t="s">
        <v>430</v>
      </c>
      <c r="AU64" s="650"/>
      <c r="AV64" s="650"/>
      <c r="AW64" s="651"/>
      <c r="AX64" s="652" t="s">
        <v>428</v>
      </c>
    </row>
    <row r="65" spans="2:50">
      <c r="B65" s="652"/>
      <c r="C65" s="652"/>
      <c r="D65" s="652"/>
      <c r="E65" s="652" t="s">
        <v>435</v>
      </c>
      <c r="F65" s="652"/>
      <c r="G65" s="652"/>
      <c r="H65" s="669"/>
      <c r="I65" s="636" t="s">
        <v>435</v>
      </c>
      <c r="J65" s="636"/>
      <c r="K65" s="636"/>
      <c r="L65" s="638"/>
      <c r="M65" s="644"/>
      <c r="N65" s="652"/>
      <c r="O65" s="652"/>
      <c r="P65" s="649" t="s">
        <v>436</v>
      </c>
      <c r="Q65" s="650"/>
      <c r="R65" s="650"/>
      <c r="S65" s="651"/>
      <c r="T65" s="652"/>
      <c r="U65" s="649" t="s">
        <v>436</v>
      </c>
      <c r="V65" s="650"/>
      <c r="W65" s="650"/>
      <c r="X65" s="651"/>
      <c r="Y65" s="652"/>
      <c r="Z65" s="649" t="s">
        <v>436</v>
      </c>
      <c r="AA65" s="650"/>
      <c r="AB65" s="650"/>
      <c r="AC65" s="651"/>
      <c r="AD65" s="652"/>
      <c r="AE65" s="649" t="s">
        <v>436</v>
      </c>
      <c r="AF65" s="650"/>
      <c r="AG65" s="650"/>
      <c r="AH65" s="651"/>
      <c r="AI65" s="652"/>
      <c r="AJ65" s="649" t="s">
        <v>436</v>
      </c>
      <c r="AK65" s="650"/>
      <c r="AL65" s="650"/>
      <c r="AM65" s="651"/>
      <c r="AN65" s="652"/>
      <c r="AO65" s="649" t="s">
        <v>436</v>
      </c>
      <c r="AP65" s="650"/>
      <c r="AQ65" s="650"/>
      <c r="AR65" s="651"/>
      <c r="AS65" s="652"/>
      <c r="AT65" s="649" t="s">
        <v>436</v>
      </c>
      <c r="AU65" s="650"/>
      <c r="AV65" s="650"/>
      <c r="AW65" s="651"/>
      <c r="AX65" s="652"/>
    </row>
    <row r="66" spans="2:50">
      <c r="B66" s="652"/>
      <c r="C66" s="652"/>
      <c r="D66" s="652"/>
      <c r="E66" s="308" t="s">
        <v>437</v>
      </c>
      <c r="F66" s="308" t="s">
        <v>438</v>
      </c>
      <c r="G66" s="308" t="s">
        <v>439</v>
      </c>
      <c r="H66" s="670"/>
      <c r="I66" s="307" t="s">
        <v>437</v>
      </c>
      <c r="J66" s="307" t="s">
        <v>438</v>
      </c>
      <c r="K66" s="307" t="s">
        <v>439</v>
      </c>
      <c r="L66" s="639"/>
      <c r="M66" s="645"/>
      <c r="N66" s="652"/>
      <c r="O66" s="652"/>
      <c r="P66" s="308" t="s">
        <v>437</v>
      </c>
      <c r="Q66" s="308" t="s">
        <v>438</v>
      </c>
      <c r="R66" s="308" t="s">
        <v>439</v>
      </c>
      <c r="S66" s="308" t="s">
        <v>429</v>
      </c>
      <c r="T66" s="652"/>
      <c r="U66" s="308" t="s">
        <v>437</v>
      </c>
      <c r="V66" s="308" t="s">
        <v>438</v>
      </c>
      <c r="W66" s="308" t="s">
        <v>439</v>
      </c>
      <c r="X66" s="308" t="s">
        <v>429</v>
      </c>
      <c r="Y66" s="652"/>
      <c r="Z66" s="308" t="s">
        <v>437</v>
      </c>
      <c r="AA66" s="308" t="s">
        <v>438</v>
      </c>
      <c r="AB66" s="308" t="s">
        <v>439</v>
      </c>
      <c r="AC66" s="308" t="s">
        <v>429</v>
      </c>
      <c r="AD66" s="652"/>
      <c r="AE66" s="308" t="s">
        <v>437</v>
      </c>
      <c r="AF66" s="308" t="s">
        <v>438</v>
      </c>
      <c r="AG66" s="308" t="s">
        <v>439</v>
      </c>
      <c r="AH66" s="308" t="s">
        <v>429</v>
      </c>
      <c r="AI66" s="652"/>
      <c r="AJ66" s="308" t="s">
        <v>437</v>
      </c>
      <c r="AK66" s="308" t="s">
        <v>438</v>
      </c>
      <c r="AL66" s="308" t="s">
        <v>439</v>
      </c>
      <c r="AM66" s="308" t="s">
        <v>429</v>
      </c>
      <c r="AN66" s="652"/>
      <c r="AO66" s="308" t="s">
        <v>437</v>
      </c>
      <c r="AP66" s="308" t="s">
        <v>438</v>
      </c>
      <c r="AQ66" s="308" t="s">
        <v>439</v>
      </c>
      <c r="AR66" s="308" t="s">
        <v>429</v>
      </c>
      <c r="AS66" s="652"/>
      <c r="AT66" s="308" t="s">
        <v>437</v>
      </c>
      <c r="AU66" s="308" t="s">
        <v>438</v>
      </c>
      <c r="AV66" s="308" t="s">
        <v>439</v>
      </c>
      <c r="AW66" s="308" t="s">
        <v>429</v>
      </c>
      <c r="AX66" s="652"/>
    </row>
    <row r="67" spans="2:50">
      <c r="B67" s="652" t="s">
        <v>469</v>
      </c>
      <c r="C67" s="309">
        <v>1</v>
      </c>
      <c r="D67" s="227"/>
      <c r="E67" s="182"/>
      <c r="F67" s="551"/>
      <c r="G67" s="552"/>
      <c r="H67" s="701" t="e">
        <f>AVERAGE(G67:G81)</f>
        <v>#DIV/0!</v>
      </c>
      <c r="I67" s="199" t="e">
        <f>AVERAGE(P67,U67,Z67,AE67,AJ67,AO67,AT67)</f>
        <v>#DIV/0!</v>
      </c>
      <c r="J67" s="199" t="e">
        <f>AVERAGE(Q67,V67,AA67,AF67,AK67,AP67,AU67)</f>
        <v>#DIV/0!</v>
      </c>
      <c r="K67" s="200" t="e">
        <f>AVERAGE(R67,W67,AB67,AG67,AL67,AQ67,AV67)</f>
        <v>#DIV/0!</v>
      </c>
      <c r="L67" s="633" t="str">
        <f>IFERROR(AVERAGE(K67:K81),"-")</f>
        <v>-</v>
      </c>
      <c r="M67" s="201" t="e">
        <f>RANK(K67, K$67:$K$81)</f>
        <v>#DIV/0!</v>
      </c>
      <c r="N67" s="652"/>
      <c r="O67" s="652"/>
      <c r="P67" s="182"/>
      <c r="Q67" s="182"/>
      <c r="R67" s="182"/>
      <c r="S67" s="309" t="e">
        <f>RANK(R67, R$67:R$81)</f>
        <v>#N/A</v>
      </c>
      <c r="T67" s="701" t="e">
        <f>AVERAGE(R67:R81)</f>
        <v>#DIV/0!</v>
      </c>
      <c r="U67" s="182"/>
      <c r="V67" s="182"/>
      <c r="W67" s="182"/>
      <c r="X67" s="477" t="e">
        <f t="shared" ref="X67:X81" si="44">RANK(W67, W$67:W$81)</f>
        <v>#N/A</v>
      </c>
      <c r="Y67" s="701" t="e">
        <f t="shared" ref="Y67" si="45">AVERAGE(W67:W81)</f>
        <v>#DIV/0!</v>
      </c>
      <c r="Z67" s="182"/>
      <c r="AA67" s="182"/>
      <c r="AB67" s="182"/>
      <c r="AC67" s="477" t="e">
        <f t="shared" ref="AC67:AC81" si="46">RANK(AB67, AB$67:AB$81)</f>
        <v>#N/A</v>
      </c>
      <c r="AD67" s="701" t="e">
        <f t="shared" ref="AD67" si="47">AVERAGE(AB67:AB81)</f>
        <v>#DIV/0!</v>
      </c>
      <c r="AE67" s="182"/>
      <c r="AF67" s="182"/>
      <c r="AG67" s="182"/>
      <c r="AH67" s="477" t="e">
        <f t="shared" ref="AH67:AH81" si="48">RANK(AG67, AG$67:AG$81)</f>
        <v>#N/A</v>
      </c>
      <c r="AI67" s="701" t="e">
        <f t="shared" ref="AI67" si="49">AVERAGE(AG67:AG81)</f>
        <v>#DIV/0!</v>
      </c>
      <c r="AJ67" s="182"/>
      <c r="AK67" s="182"/>
      <c r="AL67" s="182"/>
      <c r="AM67" s="477" t="e">
        <f t="shared" ref="AM67:AM81" si="50">RANK(AL67, AL$67:AL$81)</f>
        <v>#N/A</v>
      </c>
      <c r="AN67" s="701" t="e">
        <f t="shared" ref="AN67" si="51">AVERAGE(AL67:AL81)</f>
        <v>#DIV/0!</v>
      </c>
      <c r="AO67" s="182"/>
      <c r="AP67" s="182"/>
      <c r="AQ67" s="182"/>
      <c r="AR67" s="477" t="e">
        <f t="shared" ref="AR67:AR81" si="52">RANK(AQ67, AQ$67:AQ$81)</f>
        <v>#N/A</v>
      </c>
      <c r="AS67" s="701" t="e">
        <f t="shared" ref="AS67" si="53">AVERAGE(AQ67:AQ81)</f>
        <v>#DIV/0!</v>
      </c>
      <c r="AT67" s="182"/>
      <c r="AU67" s="182"/>
      <c r="AV67" s="182"/>
      <c r="AW67" s="477" t="e">
        <f t="shared" ref="AW67:AW81" si="54">RANK(AV67, AV$67:AV$81)</f>
        <v>#N/A</v>
      </c>
      <c r="AX67" s="674" t="e">
        <f t="shared" ref="AX67" si="55">AVERAGE(AV67:AV81)</f>
        <v>#DIV/0!</v>
      </c>
    </row>
    <row r="68" spans="2:50">
      <c r="B68" s="660"/>
      <c r="C68" s="309">
        <v>2</v>
      </c>
      <c r="D68" s="227"/>
      <c r="E68" s="182"/>
      <c r="F68" s="551"/>
      <c r="G68" s="552"/>
      <c r="H68" s="702"/>
      <c r="I68" s="199" t="e">
        <f t="shared" ref="I68:I74" si="56">AVERAGE(P68,U68,Z68,AE68,AJ68,AO68,AT68)</f>
        <v>#DIV/0!</v>
      </c>
      <c r="J68" s="199" t="e">
        <f t="shared" ref="J68:J74" si="57">AVERAGE(Q68,V68,AA68,AF68,AK68,AP68,AU68)</f>
        <v>#DIV/0!</v>
      </c>
      <c r="K68" s="200" t="e">
        <f t="shared" ref="K68:K74" si="58">AVERAGE(R68,W68,AB68,AG68,AL68,AQ68,AV68)</f>
        <v>#DIV/0!</v>
      </c>
      <c r="L68" s="634"/>
      <c r="M68" s="201" t="e">
        <f>RANK(K68, K$67:$K$81)</f>
        <v>#DIV/0!</v>
      </c>
      <c r="N68" s="652"/>
      <c r="O68" s="652"/>
      <c r="P68" s="182"/>
      <c r="Q68" s="182"/>
      <c r="R68" s="182"/>
      <c r="S68" s="340" t="e">
        <f t="shared" ref="S68:S81" si="59">RANK(R68, R$67:R$81)</f>
        <v>#N/A</v>
      </c>
      <c r="T68" s="702"/>
      <c r="U68" s="182"/>
      <c r="V68" s="182"/>
      <c r="W68" s="182"/>
      <c r="X68" s="477" t="e">
        <f t="shared" si="44"/>
        <v>#N/A</v>
      </c>
      <c r="Y68" s="702"/>
      <c r="Z68" s="182"/>
      <c r="AA68" s="182"/>
      <c r="AB68" s="182"/>
      <c r="AC68" s="477" t="e">
        <f t="shared" si="46"/>
        <v>#N/A</v>
      </c>
      <c r="AD68" s="702"/>
      <c r="AE68" s="182"/>
      <c r="AF68" s="182"/>
      <c r="AG68" s="182"/>
      <c r="AH68" s="477" t="e">
        <f t="shared" si="48"/>
        <v>#N/A</v>
      </c>
      <c r="AI68" s="702"/>
      <c r="AJ68" s="182"/>
      <c r="AK68" s="182"/>
      <c r="AL68" s="182"/>
      <c r="AM68" s="477" t="e">
        <f t="shared" si="50"/>
        <v>#N/A</v>
      </c>
      <c r="AN68" s="702"/>
      <c r="AO68" s="182"/>
      <c r="AP68" s="182"/>
      <c r="AQ68" s="182"/>
      <c r="AR68" s="477" t="e">
        <f t="shared" si="52"/>
        <v>#N/A</v>
      </c>
      <c r="AS68" s="702"/>
      <c r="AT68" s="182"/>
      <c r="AU68" s="182"/>
      <c r="AV68" s="182"/>
      <c r="AW68" s="477" t="e">
        <f t="shared" si="54"/>
        <v>#N/A</v>
      </c>
      <c r="AX68" s="674"/>
    </row>
    <row r="69" spans="2:50">
      <c r="B69" s="660"/>
      <c r="C69" s="309">
        <v>3</v>
      </c>
      <c r="D69" s="227"/>
      <c r="E69" s="182"/>
      <c r="F69" s="551"/>
      <c r="G69" s="552"/>
      <c r="H69" s="702"/>
      <c r="I69" s="199" t="e">
        <f t="shared" si="56"/>
        <v>#DIV/0!</v>
      </c>
      <c r="J69" s="199" t="e">
        <f t="shared" si="57"/>
        <v>#DIV/0!</v>
      </c>
      <c r="K69" s="200" t="e">
        <f t="shared" si="58"/>
        <v>#DIV/0!</v>
      </c>
      <c r="L69" s="634"/>
      <c r="M69" s="201" t="e">
        <f>RANK(K69, K$67:$K$81)</f>
        <v>#DIV/0!</v>
      </c>
      <c r="N69" s="652"/>
      <c r="O69" s="652"/>
      <c r="P69" s="182"/>
      <c r="Q69" s="182"/>
      <c r="R69" s="182"/>
      <c r="S69" s="340" t="e">
        <f t="shared" si="59"/>
        <v>#N/A</v>
      </c>
      <c r="T69" s="702"/>
      <c r="U69" s="182"/>
      <c r="V69" s="182"/>
      <c r="W69" s="182"/>
      <c r="X69" s="477" t="e">
        <f t="shared" si="44"/>
        <v>#N/A</v>
      </c>
      <c r="Y69" s="702"/>
      <c r="Z69" s="182"/>
      <c r="AA69" s="182"/>
      <c r="AB69" s="182"/>
      <c r="AC69" s="477" t="e">
        <f t="shared" si="46"/>
        <v>#N/A</v>
      </c>
      <c r="AD69" s="702"/>
      <c r="AE69" s="182"/>
      <c r="AF69" s="182"/>
      <c r="AG69" s="182"/>
      <c r="AH69" s="477" t="e">
        <f t="shared" si="48"/>
        <v>#N/A</v>
      </c>
      <c r="AI69" s="702"/>
      <c r="AJ69" s="182"/>
      <c r="AK69" s="182"/>
      <c r="AL69" s="182"/>
      <c r="AM69" s="477" t="e">
        <f t="shared" si="50"/>
        <v>#N/A</v>
      </c>
      <c r="AN69" s="702"/>
      <c r="AO69" s="182"/>
      <c r="AP69" s="182"/>
      <c r="AQ69" s="182"/>
      <c r="AR69" s="477" t="e">
        <f t="shared" si="52"/>
        <v>#N/A</v>
      </c>
      <c r="AS69" s="702"/>
      <c r="AT69" s="182"/>
      <c r="AU69" s="182"/>
      <c r="AV69" s="182"/>
      <c r="AW69" s="477" t="e">
        <f t="shared" si="54"/>
        <v>#N/A</v>
      </c>
      <c r="AX69" s="674"/>
    </row>
    <row r="70" spans="2:50">
      <c r="B70" s="660"/>
      <c r="C70" s="309">
        <v>4</v>
      </c>
      <c r="D70" s="227"/>
      <c r="E70" s="182"/>
      <c r="F70" s="551"/>
      <c r="G70" s="552"/>
      <c r="H70" s="702"/>
      <c r="I70" s="199" t="e">
        <f t="shared" si="56"/>
        <v>#DIV/0!</v>
      </c>
      <c r="J70" s="199" t="e">
        <f t="shared" si="57"/>
        <v>#DIV/0!</v>
      </c>
      <c r="K70" s="200" t="e">
        <f t="shared" si="58"/>
        <v>#DIV/0!</v>
      </c>
      <c r="L70" s="634"/>
      <c r="M70" s="201" t="e">
        <f>RANK(K70, K$67:$K$81)</f>
        <v>#DIV/0!</v>
      </c>
      <c r="N70" s="652"/>
      <c r="O70" s="652"/>
      <c r="P70" s="182"/>
      <c r="Q70" s="182"/>
      <c r="R70" s="182"/>
      <c r="S70" s="340" t="e">
        <f t="shared" si="59"/>
        <v>#N/A</v>
      </c>
      <c r="T70" s="702"/>
      <c r="U70" s="182"/>
      <c r="V70" s="182"/>
      <c r="W70" s="182"/>
      <c r="X70" s="477" t="e">
        <f t="shared" si="44"/>
        <v>#N/A</v>
      </c>
      <c r="Y70" s="702"/>
      <c r="Z70" s="182"/>
      <c r="AA70" s="182"/>
      <c r="AB70" s="182"/>
      <c r="AC70" s="477" t="e">
        <f t="shared" si="46"/>
        <v>#N/A</v>
      </c>
      <c r="AD70" s="702"/>
      <c r="AE70" s="182"/>
      <c r="AF70" s="182"/>
      <c r="AG70" s="182"/>
      <c r="AH70" s="477" t="e">
        <f t="shared" si="48"/>
        <v>#N/A</v>
      </c>
      <c r="AI70" s="702"/>
      <c r="AJ70" s="182"/>
      <c r="AK70" s="182"/>
      <c r="AL70" s="182"/>
      <c r="AM70" s="477" t="e">
        <f t="shared" si="50"/>
        <v>#N/A</v>
      </c>
      <c r="AN70" s="702"/>
      <c r="AO70" s="182"/>
      <c r="AP70" s="182"/>
      <c r="AQ70" s="182"/>
      <c r="AR70" s="477" t="e">
        <f t="shared" si="52"/>
        <v>#N/A</v>
      </c>
      <c r="AS70" s="702"/>
      <c r="AT70" s="182"/>
      <c r="AU70" s="182"/>
      <c r="AV70" s="182"/>
      <c r="AW70" s="477" t="e">
        <f t="shared" si="54"/>
        <v>#N/A</v>
      </c>
      <c r="AX70" s="674"/>
    </row>
    <row r="71" spans="2:50">
      <c r="B71" s="660"/>
      <c r="C71" s="309">
        <v>5</v>
      </c>
      <c r="D71" s="227"/>
      <c r="E71" s="182"/>
      <c r="F71" s="551"/>
      <c r="G71" s="552"/>
      <c r="H71" s="702"/>
      <c r="I71" s="199" t="e">
        <f t="shared" si="56"/>
        <v>#DIV/0!</v>
      </c>
      <c r="J71" s="199" t="e">
        <f t="shared" si="57"/>
        <v>#DIV/0!</v>
      </c>
      <c r="K71" s="200" t="e">
        <f t="shared" si="58"/>
        <v>#DIV/0!</v>
      </c>
      <c r="L71" s="634"/>
      <c r="M71" s="201" t="e">
        <f>RANK(K71, K$67:$K$81)</f>
        <v>#DIV/0!</v>
      </c>
      <c r="N71" s="652"/>
      <c r="O71" s="652"/>
      <c r="P71" s="182"/>
      <c r="Q71" s="182"/>
      <c r="R71" s="182"/>
      <c r="S71" s="340" t="e">
        <f t="shared" si="59"/>
        <v>#N/A</v>
      </c>
      <c r="T71" s="702"/>
      <c r="U71" s="182"/>
      <c r="V71" s="182"/>
      <c r="W71" s="182"/>
      <c r="X71" s="477" t="e">
        <f t="shared" si="44"/>
        <v>#N/A</v>
      </c>
      <c r="Y71" s="702"/>
      <c r="Z71" s="182"/>
      <c r="AA71" s="182"/>
      <c r="AB71" s="182"/>
      <c r="AC71" s="477" t="e">
        <f t="shared" si="46"/>
        <v>#N/A</v>
      </c>
      <c r="AD71" s="702"/>
      <c r="AE71" s="182"/>
      <c r="AF71" s="182"/>
      <c r="AG71" s="182"/>
      <c r="AH71" s="477" t="e">
        <f t="shared" si="48"/>
        <v>#N/A</v>
      </c>
      <c r="AI71" s="702"/>
      <c r="AJ71" s="182"/>
      <c r="AK71" s="182"/>
      <c r="AL71" s="182"/>
      <c r="AM71" s="477" t="e">
        <f t="shared" si="50"/>
        <v>#N/A</v>
      </c>
      <c r="AN71" s="702"/>
      <c r="AO71" s="182"/>
      <c r="AP71" s="182"/>
      <c r="AQ71" s="182"/>
      <c r="AR71" s="477" t="e">
        <f t="shared" si="52"/>
        <v>#N/A</v>
      </c>
      <c r="AS71" s="702"/>
      <c r="AT71" s="182"/>
      <c r="AU71" s="182"/>
      <c r="AV71" s="182"/>
      <c r="AW71" s="477" t="e">
        <f t="shared" si="54"/>
        <v>#N/A</v>
      </c>
      <c r="AX71" s="674"/>
    </row>
    <row r="72" spans="2:50">
      <c r="B72" s="660"/>
      <c r="C72" s="309">
        <v>6</v>
      </c>
      <c r="D72" s="227"/>
      <c r="E72" s="182"/>
      <c r="F72" s="551"/>
      <c r="G72" s="552"/>
      <c r="H72" s="702"/>
      <c r="I72" s="199" t="e">
        <f t="shared" si="56"/>
        <v>#DIV/0!</v>
      </c>
      <c r="J72" s="199" t="e">
        <f t="shared" si="57"/>
        <v>#DIV/0!</v>
      </c>
      <c r="K72" s="200" t="e">
        <f t="shared" si="58"/>
        <v>#DIV/0!</v>
      </c>
      <c r="L72" s="634"/>
      <c r="M72" s="201" t="e">
        <f>RANK(K72, K$67:$K$81)</f>
        <v>#DIV/0!</v>
      </c>
      <c r="N72" s="652"/>
      <c r="O72" s="652"/>
      <c r="P72" s="182"/>
      <c r="Q72" s="182"/>
      <c r="R72" s="182"/>
      <c r="S72" s="340" t="e">
        <f t="shared" si="59"/>
        <v>#N/A</v>
      </c>
      <c r="T72" s="702"/>
      <c r="U72" s="182"/>
      <c r="V72" s="182"/>
      <c r="W72" s="182"/>
      <c r="X72" s="477" t="e">
        <f t="shared" si="44"/>
        <v>#N/A</v>
      </c>
      <c r="Y72" s="702"/>
      <c r="Z72" s="182"/>
      <c r="AA72" s="182"/>
      <c r="AB72" s="182"/>
      <c r="AC72" s="477" t="e">
        <f t="shared" si="46"/>
        <v>#N/A</v>
      </c>
      <c r="AD72" s="702"/>
      <c r="AE72" s="182"/>
      <c r="AF72" s="182"/>
      <c r="AG72" s="182"/>
      <c r="AH72" s="477" t="e">
        <f t="shared" si="48"/>
        <v>#N/A</v>
      </c>
      <c r="AI72" s="702"/>
      <c r="AJ72" s="182"/>
      <c r="AK72" s="182"/>
      <c r="AL72" s="182"/>
      <c r="AM72" s="477" t="e">
        <f t="shared" si="50"/>
        <v>#N/A</v>
      </c>
      <c r="AN72" s="702"/>
      <c r="AO72" s="182"/>
      <c r="AP72" s="182"/>
      <c r="AQ72" s="182"/>
      <c r="AR72" s="477" t="e">
        <f t="shared" si="52"/>
        <v>#N/A</v>
      </c>
      <c r="AS72" s="702"/>
      <c r="AT72" s="182"/>
      <c r="AU72" s="182"/>
      <c r="AV72" s="182"/>
      <c r="AW72" s="477" t="e">
        <f t="shared" si="54"/>
        <v>#N/A</v>
      </c>
      <c r="AX72" s="674"/>
    </row>
    <row r="73" spans="2:50">
      <c r="B73" s="660"/>
      <c r="C73" s="309">
        <v>7</v>
      </c>
      <c r="D73" s="227"/>
      <c r="E73" s="182"/>
      <c r="F73" s="551"/>
      <c r="G73" s="552"/>
      <c r="H73" s="702"/>
      <c r="I73" s="199" t="e">
        <f t="shared" si="56"/>
        <v>#DIV/0!</v>
      </c>
      <c r="J73" s="199" t="e">
        <f t="shared" si="57"/>
        <v>#DIV/0!</v>
      </c>
      <c r="K73" s="200" t="e">
        <f t="shared" si="58"/>
        <v>#DIV/0!</v>
      </c>
      <c r="L73" s="634"/>
      <c r="M73" s="201" t="e">
        <f>RANK(K73, K$67:$K$81)</f>
        <v>#DIV/0!</v>
      </c>
      <c r="N73" s="652"/>
      <c r="O73" s="652"/>
      <c r="P73" s="182"/>
      <c r="Q73" s="182"/>
      <c r="R73" s="182"/>
      <c r="S73" s="340" t="e">
        <f t="shared" si="59"/>
        <v>#N/A</v>
      </c>
      <c r="T73" s="702"/>
      <c r="U73" s="182"/>
      <c r="V73" s="182"/>
      <c r="W73" s="182"/>
      <c r="X73" s="477" t="e">
        <f t="shared" si="44"/>
        <v>#N/A</v>
      </c>
      <c r="Y73" s="702"/>
      <c r="Z73" s="182"/>
      <c r="AA73" s="182"/>
      <c r="AB73" s="182"/>
      <c r="AC73" s="477" t="e">
        <f t="shared" si="46"/>
        <v>#N/A</v>
      </c>
      <c r="AD73" s="702"/>
      <c r="AE73" s="182"/>
      <c r="AF73" s="182"/>
      <c r="AG73" s="182"/>
      <c r="AH73" s="477" t="e">
        <f t="shared" si="48"/>
        <v>#N/A</v>
      </c>
      <c r="AI73" s="702"/>
      <c r="AJ73" s="182"/>
      <c r="AK73" s="182"/>
      <c r="AL73" s="182"/>
      <c r="AM73" s="477" t="e">
        <f t="shared" si="50"/>
        <v>#N/A</v>
      </c>
      <c r="AN73" s="702"/>
      <c r="AO73" s="182"/>
      <c r="AP73" s="182"/>
      <c r="AQ73" s="182"/>
      <c r="AR73" s="477" t="e">
        <f t="shared" si="52"/>
        <v>#N/A</v>
      </c>
      <c r="AS73" s="702"/>
      <c r="AT73" s="182"/>
      <c r="AU73" s="182"/>
      <c r="AV73" s="182"/>
      <c r="AW73" s="477" t="e">
        <f t="shared" si="54"/>
        <v>#N/A</v>
      </c>
      <c r="AX73" s="674"/>
    </row>
    <row r="74" spans="2:50">
      <c r="B74" s="660"/>
      <c r="C74" s="309">
        <v>8</v>
      </c>
      <c r="D74" s="227"/>
      <c r="E74" s="182"/>
      <c r="F74" s="551"/>
      <c r="G74" s="552"/>
      <c r="H74" s="702"/>
      <c r="I74" s="199" t="e">
        <f t="shared" si="56"/>
        <v>#DIV/0!</v>
      </c>
      <c r="J74" s="199" t="e">
        <f t="shared" si="57"/>
        <v>#DIV/0!</v>
      </c>
      <c r="K74" s="200" t="e">
        <f t="shared" si="58"/>
        <v>#DIV/0!</v>
      </c>
      <c r="L74" s="634"/>
      <c r="M74" s="201" t="e">
        <f>RANK(K74, K$67:$K$81)</f>
        <v>#DIV/0!</v>
      </c>
      <c r="N74" s="652"/>
      <c r="O74" s="652"/>
      <c r="P74" s="182"/>
      <c r="Q74" s="182"/>
      <c r="R74" s="182"/>
      <c r="S74" s="340" t="e">
        <f t="shared" si="59"/>
        <v>#N/A</v>
      </c>
      <c r="T74" s="702"/>
      <c r="U74" s="182"/>
      <c r="V74" s="182"/>
      <c r="W74" s="182"/>
      <c r="X74" s="477" t="e">
        <f t="shared" si="44"/>
        <v>#N/A</v>
      </c>
      <c r="Y74" s="702"/>
      <c r="Z74" s="182"/>
      <c r="AA74" s="182"/>
      <c r="AB74" s="182"/>
      <c r="AC74" s="477" t="e">
        <f t="shared" si="46"/>
        <v>#N/A</v>
      </c>
      <c r="AD74" s="702"/>
      <c r="AE74" s="182"/>
      <c r="AF74" s="182"/>
      <c r="AG74" s="182"/>
      <c r="AH74" s="477" t="e">
        <f t="shared" si="48"/>
        <v>#N/A</v>
      </c>
      <c r="AI74" s="702"/>
      <c r="AJ74" s="182"/>
      <c r="AK74" s="182"/>
      <c r="AL74" s="182"/>
      <c r="AM74" s="477" t="e">
        <f t="shared" si="50"/>
        <v>#N/A</v>
      </c>
      <c r="AN74" s="702"/>
      <c r="AO74" s="182"/>
      <c r="AP74" s="182"/>
      <c r="AQ74" s="182"/>
      <c r="AR74" s="477" t="e">
        <f t="shared" si="52"/>
        <v>#N/A</v>
      </c>
      <c r="AS74" s="702"/>
      <c r="AT74" s="182"/>
      <c r="AU74" s="182"/>
      <c r="AV74" s="182"/>
      <c r="AW74" s="477" t="e">
        <f t="shared" si="54"/>
        <v>#N/A</v>
      </c>
      <c r="AX74" s="674"/>
    </row>
    <row r="75" spans="2:50">
      <c r="B75" s="660"/>
      <c r="C75" s="309">
        <v>9</v>
      </c>
      <c r="D75" s="227"/>
      <c r="E75" s="182"/>
      <c r="F75" s="551"/>
      <c r="G75" s="552"/>
      <c r="H75" s="702"/>
      <c r="I75" s="429" t="e">
        <f t="shared" ref="I75:I76" si="60">AVERAGE(P75,U75,Z75,AE75,AJ75,AO75,AT75)</f>
        <v>#DIV/0!</v>
      </c>
      <c r="J75" s="429" t="e">
        <f t="shared" ref="J75:J76" si="61">AVERAGE(Q75,V75,AA75,AF75,AK75,AP75,AU75)</f>
        <v>#DIV/0!</v>
      </c>
      <c r="K75" s="200" t="e">
        <f t="shared" ref="K75:K76" si="62">AVERAGE(R75,W75,AB75,AG75,AL75,AQ75,AV75)</f>
        <v>#DIV/0!</v>
      </c>
      <c r="L75" s="634"/>
      <c r="M75" s="201" t="e">
        <f>RANK(K75, K$67:$K$81)</f>
        <v>#DIV/0!</v>
      </c>
      <c r="N75" s="652"/>
      <c r="O75" s="652"/>
      <c r="P75" s="182"/>
      <c r="Q75" s="182"/>
      <c r="R75" s="182"/>
      <c r="S75" s="340" t="e">
        <f t="shared" si="59"/>
        <v>#N/A</v>
      </c>
      <c r="T75" s="702"/>
      <c r="U75" s="182"/>
      <c r="V75" s="182"/>
      <c r="W75" s="182"/>
      <c r="X75" s="477" t="e">
        <f t="shared" si="44"/>
        <v>#N/A</v>
      </c>
      <c r="Y75" s="702"/>
      <c r="Z75" s="182"/>
      <c r="AA75" s="182"/>
      <c r="AB75" s="182"/>
      <c r="AC75" s="477" t="e">
        <f t="shared" si="46"/>
        <v>#N/A</v>
      </c>
      <c r="AD75" s="702"/>
      <c r="AE75" s="182"/>
      <c r="AF75" s="182"/>
      <c r="AG75" s="182"/>
      <c r="AH75" s="477" t="e">
        <f t="shared" si="48"/>
        <v>#N/A</v>
      </c>
      <c r="AI75" s="702"/>
      <c r="AJ75" s="182"/>
      <c r="AK75" s="182"/>
      <c r="AL75" s="182"/>
      <c r="AM75" s="477" t="e">
        <f t="shared" si="50"/>
        <v>#N/A</v>
      </c>
      <c r="AN75" s="702"/>
      <c r="AO75" s="182"/>
      <c r="AP75" s="182"/>
      <c r="AQ75" s="182"/>
      <c r="AR75" s="477" t="e">
        <f t="shared" si="52"/>
        <v>#N/A</v>
      </c>
      <c r="AS75" s="702"/>
      <c r="AT75" s="182"/>
      <c r="AU75" s="182"/>
      <c r="AV75" s="182"/>
      <c r="AW75" s="477" t="e">
        <f t="shared" si="54"/>
        <v>#N/A</v>
      </c>
      <c r="AX75" s="674"/>
    </row>
    <row r="76" spans="2:50">
      <c r="B76" s="660"/>
      <c r="C76" s="309">
        <v>10</v>
      </c>
      <c r="D76" s="227"/>
      <c r="E76" s="182"/>
      <c r="F76" s="551"/>
      <c r="G76" s="552"/>
      <c r="H76" s="702"/>
      <c r="I76" s="429" t="e">
        <f t="shared" si="60"/>
        <v>#DIV/0!</v>
      </c>
      <c r="J76" s="429" t="e">
        <f t="shared" si="61"/>
        <v>#DIV/0!</v>
      </c>
      <c r="K76" s="200" t="e">
        <f t="shared" si="62"/>
        <v>#DIV/0!</v>
      </c>
      <c r="L76" s="634"/>
      <c r="M76" s="201" t="e">
        <f>RANK(K76, K$67:$K$81)</f>
        <v>#DIV/0!</v>
      </c>
      <c r="N76" s="652"/>
      <c r="O76" s="652"/>
      <c r="P76" s="182"/>
      <c r="Q76" s="182"/>
      <c r="R76" s="182"/>
      <c r="S76" s="340" t="e">
        <f t="shared" si="59"/>
        <v>#N/A</v>
      </c>
      <c r="T76" s="702"/>
      <c r="U76" s="182"/>
      <c r="V76" s="182"/>
      <c r="W76" s="182"/>
      <c r="X76" s="477" t="e">
        <f t="shared" si="44"/>
        <v>#N/A</v>
      </c>
      <c r="Y76" s="702"/>
      <c r="Z76" s="182"/>
      <c r="AA76" s="182"/>
      <c r="AB76" s="182"/>
      <c r="AC76" s="477" t="e">
        <f t="shared" si="46"/>
        <v>#N/A</v>
      </c>
      <c r="AD76" s="702"/>
      <c r="AE76" s="182"/>
      <c r="AF76" s="182"/>
      <c r="AG76" s="182"/>
      <c r="AH76" s="477" t="e">
        <f t="shared" si="48"/>
        <v>#N/A</v>
      </c>
      <c r="AI76" s="702"/>
      <c r="AJ76" s="182"/>
      <c r="AK76" s="182"/>
      <c r="AL76" s="182"/>
      <c r="AM76" s="477" t="e">
        <f t="shared" si="50"/>
        <v>#N/A</v>
      </c>
      <c r="AN76" s="702"/>
      <c r="AO76" s="182"/>
      <c r="AP76" s="182"/>
      <c r="AQ76" s="182"/>
      <c r="AR76" s="477" t="e">
        <f t="shared" si="52"/>
        <v>#N/A</v>
      </c>
      <c r="AS76" s="702"/>
      <c r="AT76" s="182"/>
      <c r="AU76" s="182"/>
      <c r="AV76" s="182"/>
      <c r="AW76" s="477" t="e">
        <f t="shared" si="54"/>
        <v>#N/A</v>
      </c>
      <c r="AX76" s="674"/>
    </row>
    <row r="77" spans="2:50">
      <c r="B77" s="660"/>
      <c r="C77" s="309">
        <v>11</v>
      </c>
      <c r="D77" s="227"/>
      <c r="E77" s="182"/>
      <c r="F77" s="551"/>
      <c r="G77" s="552"/>
      <c r="H77" s="702"/>
      <c r="I77" s="468" t="e">
        <f t="shared" ref="I77" si="63">AVERAGE(P77,U77,Z77,AE77,AJ77,AO77,AT77)</f>
        <v>#DIV/0!</v>
      </c>
      <c r="J77" s="468" t="e">
        <f t="shared" ref="J77" si="64">AVERAGE(Q77,V77,AA77,AF77,AK77,AP77,AU77)</f>
        <v>#DIV/0!</v>
      </c>
      <c r="K77" s="200" t="e">
        <f t="shared" ref="K77" si="65">AVERAGE(R77,W77,AB77,AG77,AL77,AQ77,AV77)</f>
        <v>#DIV/0!</v>
      </c>
      <c r="L77" s="634"/>
      <c r="M77" s="201" t="e">
        <f>RANK(K77, K$67:$K$81)</f>
        <v>#DIV/0!</v>
      </c>
      <c r="N77" s="652"/>
      <c r="O77" s="652"/>
      <c r="P77" s="551"/>
      <c r="Q77" s="552"/>
      <c r="R77" s="552"/>
      <c r="S77" s="340" t="e">
        <f t="shared" si="59"/>
        <v>#N/A</v>
      </c>
      <c r="T77" s="702"/>
      <c r="U77" s="551"/>
      <c r="V77" s="552"/>
      <c r="W77" s="552"/>
      <c r="X77" s="477" t="e">
        <f t="shared" si="44"/>
        <v>#N/A</v>
      </c>
      <c r="Y77" s="702"/>
      <c r="Z77" s="551"/>
      <c r="AA77" s="552"/>
      <c r="AB77" s="552"/>
      <c r="AC77" s="477" t="e">
        <f t="shared" si="46"/>
        <v>#N/A</v>
      </c>
      <c r="AD77" s="702"/>
      <c r="AE77" s="551"/>
      <c r="AF77" s="552"/>
      <c r="AG77" s="552"/>
      <c r="AH77" s="477" t="e">
        <f t="shared" si="48"/>
        <v>#N/A</v>
      </c>
      <c r="AI77" s="702"/>
      <c r="AJ77" s="551"/>
      <c r="AK77" s="552"/>
      <c r="AL77" s="552"/>
      <c r="AM77" s="477" t="e">
        <f t="shared" si="50"/>
        <v>#N/A</v>
      </c>
      <c r="AN77" s="702"/>
      <c r="AO77" s="551"/>
      <c r="AP77" s="552"/>
      <c r="AQ77" s="552"/>
      <c r="AR77" s="477" t="e">
        <f t="shared" si="52"/>
        <v>#N/A</v>
      </c>
      <c r="AS77" s="702"/>
      <c r="AT77" s="551"/>
      <c r="AU77" s="552"/>
      <c r="AV77" s="552"/>
      <c r="AW77" s="477" t="e">
        <f t="shared" si="54"/>
        <v>#N/A</v>
      </c>
      <c r="AX77" s="674"/>
    </row>
    <row r="78" spans="2:50">
      <c r="B78" s="660"/>
      <c r="C78" s="309">
        <v>12</v>
      </c>
      <c r="D78" s="227"/>
      <c r="E78" s="182"/>
      <c r="F78" s="551"/>
      <c r="G78" s="552"/>
      <c r="H78" s="702"/>
      <c r="I78" s="468"/>
      <c r="J78" s="468"/>
      <c r="K78" s="200"/>
      <c r="L78" s="634"/>
      <c r="M78" s="201" t="e">
        <f>RANK(K78, K$67:$K$81)</f>
        <v>#DIV/0!</v>
      </c>
      <c r="N78" s="652"/>
      <c r="O78" s="652"/>
      <c r="P78" s="551"/>
      <c r="Q78" s="552"/>
      <c r="R78" s="552"/>
      <c r="S78" s="340" t="e">
        <f t="shared" si="59"/>
        <v>#N/A</v>
      </c>
      <c r="T78" s="702"/>
      <c r="U78" s="551"/>
      <c r="V78" s="552"/>
      <c r="W78" s="552"/>
      <c r="X78" s="477" t="e">
        <f t="shared" si="44"/>
        <v>#N/A</v>
      </c>
      <c r="Y78" s="702"/>
      <c r="Z78" s="551"/>
      <c r="AA78" s="552"/>
      <c r="AB78" s="552"/>
      <c r="AC78" s="477" t="e">
        <f t="shared" si="46"/>
        <v>#N/A</v>
      </c>
      <c r="AD78" s="702"/>
      <c r="AE78" s="551"/>
      <c r="AF78" s="552"/>
      <c r="AG78" s="552"/>
      <c r="AH78" s="477" t="e">
        <f t="shared" si="48"/>
        <v>#N/A</v>
      </c>
      <c r="AI78" s="702"/>
      <c r="AJ78" s="551"/>
      <c r="AK78" s="552"/>
      <c r="AL78" s="552"/>
      <c r="AM78" s="477" t="e">
        <f t="shared" si="50"/>
        <v>#N/A</v>
      </c>
      <c r="AN78" s="702"/>
      <c r="AO78" s="551"/>
      <c r="AP78" s="552"/>
      <c r="AQ78" s="552"/>
      <c r="AR78" s="477" t="e">
        <f t="shared" si="52"/>
        <v>#N/A</v>
      </c>
      <c r="AS78" s="702"/>
      <c r="AT78" s="551"/>
      <c r="AU78" s="552"/>
      <c r="AV78" s="552"/>
      <c r="AW78" s="477" t="e">
        <f t="shared" si="54"/>
        <v>#N/A</v>
      </c>
      <c r="AX78" s="674"/>
    </row>
    <row r="79" spans="2:50">
      <c r="B79" s="660"/>
      <c r="C79" s="309">
        <v>13</v>
      </c>
      <c r="D79" s="227"/>
      <c r="E79" s="182"/>
      <c r="F79" s="551"/>
      <c r="G79" s="552"/>
      <c r="H79" s="702"/>
      <c r="I79" s="202"/>
      <c r="J79" s="202"/>
      <c r="K79" s="202"/>
      <c r="L79" s="634"/>
      <c r="M79" s="201" t="e">
        <f>RANK(K79, K$67:$K$81)</f>
        <v>#DIV/0!</v>
      </c>
      <c r="N79" s="652"/>
      <c r="O79" s="652"/>
      <c r="P79" s="551"/>
      <c r="Q79" s="552"/>
      <c r="R79" s="552"/>
      <c r="S79" s="340" t="e">
        <f t="shared" si="59"/>
        <v>#N/A</v>
      </c>
      <c r="T79" s="702"/>
      <c r="U79" s="551"/>
      <c r="V79" s="552"/>
      <c r="W79" s="552"/>
      <c r="X79" s="477" t="e">
        <f t="shared" si="44"/>
        <v>#N/A</v>
      </c>
      <c r="Y79" s="702"/>
      <c r="Z79" s="551"/>
      <c r="AA79" s="552"/>
      <c r="AB79" s="552"/>
      <c r="AC79" s="477" t="e">
        <f t="shared" si="46"/>
        <v>#N/A</v>
      </c>
      <c r="AD79" s="702"/>
      <c r="AE79" s="551"/>
      <c r="AF79" s="552"/>
      <c r="AG79" s="552"/>
      <c r="AH79" s="477" t="e">
        <f t="shared" si="48"/>
        <v>#N/A</v>
      </c>
      <c r="AI79" s="702"/>
      <c r="AJ79" s="551"/>
      <c r="AK79" s="552"/>
      <c r="AL79" s="552"/>
      <c r="AM79" s="477" t="e">
        <f t="shared" si="50"/>
        <v>#N/A</v>
      </c>
      <c r="AN79" s="702"/>
      <c r="AO79" s="551"/>
      <c r="AP79" s="552"/>
      <c r="AQ79" s="552"/>
      <c r="AR79" s="477" t="e">
        <f t="shared" si="52"/>
        <v>#N/A</v>
      </c>
      <c r="AS79" s="702"/>
      <c r="AT79" s="551"/>
      <c r="AU79" s="552"/>
      <c r="AV79" s="552"/>
      <c r="AW79" s="477" t="e">
        <f t="shared" si="54"/>
        <v>#N/A</v>
      </c>
      <c r="AX79" s="674"/>
    </row>
    <row r="80" spans="2:50">
      <c r="B80" s="660"/>
      <c r="C80" s="309">
        <v>14</v>
      </c>
      <c r="D80" s="227"/>
      <c r="E80" s="182"/>
      <c r="F80" s="551"/>
      <c r="G80" s="552"/>
      <c r="H80" s="702"/>
      <c r="I80" s="202"/>
      <c r="J80" s="202"/>
      <c r="K80" s="202"/>
      <c r="L80" s="634"/>
      <c r="M80" s="201" t="e">
        <f>RANK(K80, K$67:$K$81)</f>
        <v>#DIV/0!</v>
      </c>
      <c r="N80" s="652"/>
      <c r="O80" s="652"/>
      <c r="P80" s="551"/>
      <c r="Q80" s="552"/>
      <c r="R80" s="552"/>
      <c r="S80" s="340" t="e">
        <f t="shared" si="59"/>
        <v>#N/A</v>
      </c>
      <c r="T80" s="702"/>
      <c r="U80" s="551"/>
      <c r="V80" s="552"/>
      <c r="W80" s="552"/>
      <c r="X80" s="477" t="e">
        <f t="shared" si="44"/>
        <v>#N/A</v>
      </c>
      <c r="Y80" s="702"/>
      <c r="Z80" s="551"/>
      <c r="AA80" s="552"/>
      <c r="AB80" s="552"/>
      <c r="AC80" s="477" t="e">
        <f t="shared" si="46"/>
        <v>#N/A</v>
      </c>
      <c r="AD80" s="702"/>
      <c r="AE80" s="551"/>
      <c r="AF80" s="552"/>
      <c r="AG80" s="552"/>
      <c r="AH80" s="477" t="e">
        <f t="shared" si="48"/>
        <v>#N/A</v>
      </c>
      <c r="AI80" s="702"/>
      <c r="AJ80" s="551"/>
      <c r="AK80" s="552"/>
      <c r="AL80" s="552"/>
      <c r="AM80" s="477" t="e">
        <f t="shared" si="50"/>
        <v>#N/A</v>
      </c>
      <c r="AN80" s="702"/>
      <c r="AO80" s="551"/>
      <c r="AP80" s="552"/>
      <c r="AQ80" s="552"/>
      <c r="AR80" s="477" t="e">
        <f t="shared" si="52"/>
        <v>#N/A</v>
      </c>
      <c r="AS80" s="702"/>
      <c r="AT80" s="551"/>
      <c r="AU80" s="552"/>
      <c r="AV80" s="552"/>
      <c r="AW80" s="477" t="e">
        <f t="shared" si="54"/>
        <v>#N/A</v>
      </c>
      <c r="AX80" s="674"/>
    </row>
    <row r="81" spans="2:50">
      <c r="B81" s="660"/>
      <c r="C81" s="309">
        <v>15</v>
      </c>
      <c r="D81" s="227"/>
      <c r="E81" s="182"/>
      <c r="F81" s="551"/>
      <c r="G81" s="552"/>
      <c r="H81" s="703"/>
      <c r="I81" s="202"/>
      <c r="J81" s="202"/>
      <c r="K81" s="202"/>
      <c r="L81" s="635"/>
      <c r="M81" s="201" t="e">
        <f>RANK(K81, K$67:$K$81)</f>
        <v>#DIV/0!</v>
      </c>
      <c r="N81" s="652"/>
      <c r="O81" s="652"/>
      <c r="P81" s="551"/>
      <c r="Q81" s="552"/>
      <c r="R81" s="552"/>
      <c r="S81" s="340" t="e">
        <f t="shared" si="59"/>
        <v>#N/A</v>
      </c>
      <c r="T81" s="703"/>
      <c r="U81" s="551"/>
      <c r="V81" s="552"/>
      <c r="W81" s="552"/>
      <c r="X81" s="477" t="e">
        <f t="shared" si="44"/>
        <v>#N/A</v>
      </c>
      <c r="Y81" s="703"/>
      <c r="Z81" s="551"/>
      <c r="AA81" s="552"/>
      <c r="AB81" s="552"/>
      <c r="AC81" s="477" t="e">
        <f t="shared" si="46"/>
        <v>#N/A</v>
      </c>
      <c r="AD81" s="703"/>
      <c r="AE81" s="551"/>
      <c r="AF81" s="552"/>
      <c r="AG81" s="552"/>
      <c r="AH81" s="477" t="e">
        <f t="shared" si="48"/>
        <v>#N/A</v>
      </c>
      <c r="AI81" s="703"/>
      <c r="AJ81" s="551"/>
      <c r="AK81" s="552"/>
      <c r="AL81" s="552"/>
      <c r="AM81" s="477" t="e">
        <f t="shared" si="50"/>
        <v>#N/A</v>
      </c>
      <c r="AN81" s="703"/>
      <c r="AO81" s="551"/>
      <c r="AP81" s="552"/>
      <c r="AQ81" s="552"/>
      <c r="AR81" s="477" t="e">
        <f t="shared" si="52"/>
        <v>#N/A</v>
      </c>
      <c r="AS81" s="703"/>
      <c r="AT81" s="551"/>
      <c r="AU81" s="552"/>
      <c r="AV81" s="552"/>
      <c r="AW81" s="477" t="e">
        <f t="shared" si="54"/>
        <v>#N/A</v>
      </c>
      <c r="AX81" s="674"/>
    </row>
    <row r="82" spans="2:50" ht="15.75">
      <c r="B82" s="664" t="s">
        <v>163</v>
      </c>
      <c r="C82" s="665"/>
      <c r="D82" s="665"/>
      <c r="E82" s="665"/>
      <c r="F82" s="665"/>
      <c r="G82" s="665"/>
      <c r="H82" s="666"/>
      <c r="I82" s="208"/>
      <c r="J82" s="208"/>
      <c r="K82" s="208"/>
      <c r="L82" s="208"/>
      <c r="M82" s="207"/>
      <c r="N82" s="653" t="s">
        <v>156</v>
      </c>
      <c r="O82" s="653" t="s">
        <v>105</v>
      </c>
      <c r="P82" s="659">
        <f>P62+7</f>
        <v>46077</v>
      </c>
      <c r="Q82" s="660"/>
      <c r="R82" s="660"/>
      <c r="S82" s="660"/>
      <c r="T82" s="660"/>
      <c r="U82" s="656">
        <f>P82+1</f>
        <v>46078</v>
      </c>
      <c r="V82" s="657"/>
      <c r="W82" s="657"/>
      <c r="X82" s="657"/>
      <c r="Y82" s="658"/>
      <c r="Z82" s="656">
        <f>U82+1</f>
        <v>46079</v>
      </c>
      <c r="AA82" s="657"/>
      <c r="AB82" s="657"/>
      <c r="AC82" s="657"/>
      <c r="AD82" s="658"/>
      <c r="AE82" s="656">
        <f>Z82+1</f>
        <v>46080</v>
      </c>
      <c r="AF82" s="657"/>
      <c r="AG82" s="657"/>
      <c r="AH82" s="657"/>
      <c r="AI82" s="658"/>
      <c r="AJ82" s="656">
        <f>AE82+1</f>
        <v>46081</v>
      </c>
      <c r="AK82" s="657"/>
      <c r="AL82" s="657"/>
      <c r="AM82" s="657"/>
      <c r="AN82" s="658"/>
      <c r="AO82" s="656">
        <f>AJ82+1</f>
        <v>46082</v>
      </c>
      <c r="AP82" s="657"/>
      <c r="AQ82" s="657"/>
      <c r="AR82" s="657"/>
      <c r="AS82" s="658"/>
      <c r="AT82" s="656">
        <f>AO82+1</f>
        <v>46083</v>
      </c>
      <c r="AU82" s="657"/>
      <c r="AV82" s="657"/>
      <c r="AW82" s="657"/>
      <c r="AX82" s="658"/>
    </row>
    <row r="83" spans="2:50" ht="15.75">
      <c r="B83" s="667"/>
      <c r="C83" s="667"/>
      <c r="D83" s="667"/>
      <c r="E83" s="667"/>
      <c r="F83" s="667"/>
      <c r="G83" s="667"/>
      <c r="H83" s="667"/>
      <c r="I83" s="205"/>
      <c r="J83" s="205"/>
      <c r="K83" s="205"/>
      <c r="L83" s="205"/>
      <c r="M83" s="206"/>
      <c r="N83" s="655"/>
      <c r="O83" s="655"/>
      <c r="P83" s="659" t="s">
        <v>336</v>
      </c>
      <c r="Q83" s="660"/>
      <c r="R83" s="660"/>
      <c r="S83" s="660"/>
      <c r="T83" s="660"/>
      <c r="U83" s="659" t="s">
        <v>337</v>
      </c>
      <c r="V83" s="660"/>
      <c r="W83" s="660"/>
      <c r="X83" s="660"/>
      <c r="Y83" s="660"/>
      <c r="Z83" s="659" t="s">
        <v>338</v>
      </c>
      <c r="AA83" s="660"/>
      <c r="AB83" s="660"/>
      <c r="AC83" s="660"/>
      <c r="AD83" s="660"/>
      <c r="AE83" s="659" t="s">
        <v>339</v>
      </c>
      <c r="AF83" s="660"/>
      <c r="AG83" s="660"/>
      <c r="AH83" s="660"/>
      <c r="AI83" s="660"/>
      <c r="AJ83" s="659" t="s">
        <v>340</v>
      </c>
      <c r="AK83" s="660"/>
      <c r="AL83" s="660"/>
      <c r="AM83" s="660"/>
      <c r="AN83" s="660"/>
      <c r="AO83" s="659" t="s">
        <v>341</v>
      </c>
      <c r="AP83" s="660"/>
      <c r="AQ83" s="660"/>
      <c r="AR83" s="660"/>
      <c r="AS83" s="660"/>
      <c r="AT83" s="659" t="s">
        <v>342</v>
      </c>
      <c r="AU83" s="660"/>
      <c r="AV83" s="660"/>
      <c r="AW83" s="660"/>
      <c r="AX83" s="660"/>
    </row>
    <row r="84" spans="2:50">
      <c r="B84" s="652" t="s">
        <v>472</v>
      </c>
      <c r="C84" s="652" t="s">
        <v>473</v>
      </c>
      <c r="D84" s="652"/>
      <c r="E84" s="652" t="s">
        <v>474</v>
      </c>
      <c r="F84" s="652"/>
      <c r="G84" s="652"/>
      <c r="H84" s="668" t="s">
        <v>475</v>
      </c>
      <c r="I84" s="636" t="s">
        <v>476</v>
      </c>
      <c r="J84" s="636"/>
      <c r="K84" s="636"/>
      <c r="L84" s="637" t="s">
        <v>475</v>
      </c>
      <c r="M84" s="643" t="s">
        <v>477</v>
      </c>
      <c r="N84" s="652"/>
      <c r="O84" s="652" t="s">
        <v>478</v>
      </c>
      <c r="P84" s="649" t="s">
        <v>479</v>
      </c>
      <c r="Q84" s="650"/>
      <c r="R84" s="650"/>
      <c r="S84" s="651"/>
      <c r="T84" s="652" t="s">
        <v>475</v>
      </c>
      <c r="U84" s="649" t="s">
        <v>479</v>
      </c>
      <c r="V84" s="650"/>
      <c r="W84" s="650"/>
      <c r="X84" s="651"/>
      <c r="Y84" s="652" t="s">
        <v>475</v>
      </c>
      <c r="Z84" s="649" t="s">
        <v>479</v>
      </c>
      <c r="AA84" s="650"/>
      <c r="AB84" s="650"/>
      <c r="AC84" s="651"/>
      <c r="AD84" s="652" t="s">
        <v>475</v>
      </c>
      <c r="AE84" s="649" t="s">
        <v>479</v>
      </c>
      <c r="AF84" s="650"/>
      <c r="AG84" s="650"/>
      <c r="AH84" s="651"/>
      <c r="AI84" s="652" t="s">
        <v>475</v>
      </c>
      <c r="AJ84" s="649" t="s">
        <v>479</v>
      </c>
      <c r="AK84" s="650"/>
      <c r="AL84" s="650"/>
      <c r="AM84" s="651"/>
      <c r="AN84" s="652" t="s">
        <v>475</v>
      </c>
      <c r="AO84" s="649" t="s">
        <v>479</v>
      </c>
      <c r="AP84" s="650"/>
      <c r="AQ84" s="650"/>
      <c r="AR84" s="651"/>
      <c r="AS84" s="652" t="s">
        <v>475</v>
      </c>
      <c r="AT84" s="649" t="s">
        <v>479</v>
      </c>
      <c r="AU84" s="650"/>
      <c r="AV84" s="650"/>
      <c r="AW84" s="651"/>
      <c r="AX84" s="652" t="s">
        <v>475</v>
      </c>
    </row>
    <row r="85" spans="2:50">
      <c r="B85" s="652"/>
      <c r="C85" s="652"/>
      <c r="D85" s="652"/>
      <c r="E85" s="652" t="s">
        <v>480</v>
      </c>
      <c r="F85" s="652"/>
      <c r="G85" s="652"/>
      <c r="H85" s="669"/>
      <c r="I85" s="636" t="s">
        <v>480</v>
      </c>
      <c r="J85" s="636"/>
      <c r="K85" s="636"/>
      <c r="L85" s="638"/>
      <c r="M85" s="644"/>
      <c r="N85" s="652"/>
      <c r="O85" s="652"/>
      <c r="P85" s="649" t="s">
        <v>481</v>
      </c>
      <c r="Q85" s="650"/>
      <c r="R85" s="650"/>
      <c r="S85" s="651"/>
      <c r="T85" s="652"/>
      <c r="U85" s="649" t="s">
        <v>481</v>
      </c>
      <c r="V85" s="650"/>
      <c r="W85" s="650"/>
      <c r="X85" s="651"/>
      <c r="Y85" s="652"/>
      <c r="Z85" s="649" t="s">
        <v>481</v>
      </c>
      <c r="AA85" s="650"/>
      <c r="AB85" s="650"/>
      <c r="AC85" s="651"/>
      <c r="AD85" s="652"/>
      <c r="AE85" s="649" t="s">
        <v>481</v>
      </c>
      <c r="AF85" s="650"/>
      <c r="AG85" s="650"/>
      <c r="AH85" s="651"/>
      <c r="AI85" s="652"/>
      <c r="AJ85" s="649" t="s">
        <v>481</v>
      </c>
      <c r="AK85" s="650"/>
      <c r="AL85" s="650"/>
      <c r="AM85" s="651"/>
      <c r="AN85" s="652"/>
      <c r="AO85" s="649" t="s">
        <v>481</v>
      </c>
      <c r="AP85" s="650"/>
      <c r="AQ85" s="650"/>
      <c r="AR85" s="651"/>
      <c r="AS85" s="652"/>
      <c r="AT85" s="649" t="s">
        <v>481</v>
      </c>
      <c r="AU85" s="650"/>
      <c r="AV85" s="650"/>
      <c r="AW85" s="651"/>
      <c r="AX85" s="652"/>
    </row>
    <row r="86" spans="2:50">
      <c r="B86" s="652"/>
      <c r="C86" s="652"/>
      <c r="D86" s="652"/>
      <c r="E86" s="302" t="s">
        <v>482</v>
      </c>
      <c r="F86" s="302" t="s">
        <v>483</v>
      </c>
      <c r="G86" s="302" t="s">
        <v>484</v>
      </c>
      <c r="H86" s="670"/>
      <c r="I86" s="303" t="s">
        <v>482</v>
      </c>
      <c r="J86" s="303" t="s">
        <v>483</v>
      </c>
      <c r="K86" s="303" t="s">
        <v>484</v>
      </c>
      <c r="L86" s="639"/>
      <c r="M86" s="645"/>
      <c r="N86" s="652"/>
      <c r="O86" s="652"/>
      <c r="P86" s="302" t="s">
        <v>482</v>
      </c>
      <c r="Q86" s="302" t="s">
        <v>483</v>
      </c>
      <c r="R86" s="302" t="s">
        <v>484</v>
      </c>
      <c r="S86" s="302" t="s">
        <v>477</v>
      </c>
      <c r="T86" s="652"/>
      <c r="U86" s="302" t="s">
        <v>482</v>
      </c>
      <c r="V86" s="302" t="s">
        <v>483</v>
      </c>
      <c r="W86" s="302" t="s">
        <v>484</v>
      </c>
      <c r="X86" s="302" t="s">
        <v>477</v>
      </c>
      <c r="Y86" s="652"/>
      <c r="Z86" s="302" t="s">
        <v>482</v>
      </c>
      <c r="AA86" s="302" t="s">
        <v>483</v>
      </c>
      <c r="AB86" s="302" t="s">
        <v>484</v>
      </c>
      <c r="AC86" s="302" t="s">
        <v>477</v>
      </c>
      <c r="AD86" s="652"/>
      <c r="AE86" s="302" t="s">
        <v>482</v>
      </c>
      <c r="AF86" s="302" t="s">
        <v>483</v>
      </c>
      <c r="AG86" s="302" t="s">
        <v>484</v>
      </c>
      <c r="AH86" s="302" t="s">
        <v>477</v>
      </c>
      <c r="AI86" s="652"/>
      <c r="AJ86" s="302" t="s">
        <v>482</v>
      </c>
      <c r="AK86" s="302" t="s">
        <v>483</v>
      </c>
      <c r="AL86" s="302" t="s">
        <v>484</v>
      </c>
      <c r="AM86" s="302" t="s">
        <v>477</v>
      </c>
      <c r="AN86" s="652"/>
      <c r="AO86" s="302" t="s">
        <v>482</v>
      </c>
      <c r="AP86" s="302" t="s">
        <v>483</v>
      </c>
      <c r="AQ86" s="302" t="s">
        <v>484</v>
      </c>
      <c r="AR86" s="302" t="s">
        <v>477</v>
      </c>
      <c r="AS86" s="652"/>
      <c r="AT86" s="302" t="s">
        <v>482</v>
      </c>
      <c r="AU86" s="302" t="s">
        <v>483</v>
      </c>
      <c r="AV86" s="302" t="s">
        <v>484</v>
      </c>
      <c r="AW86" s="302" t="s">
        <v>477</v>
      </c>
      <c r="AX86" s="652"/>
    </row>
    <row r="87" spans="2:50">
      <c r="B87" s="652" t="s">
        <v>488</v>
      </c>
      <c r="C87" s="301">
        <v>1</v>
      </c>
      <c r="D87" s="227"/>
      <c r="E87" s="182"/>
      <c r="F87" s="551"/>
      <c r="G87" s="552"/>
      <c r="H87" s="701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33" t="str">
        <f>IFERROR(AVERAGE(K87:K101),"-")</f>
        <v>-</v>
      </c>
      <c r="M87" s="201" t="e">
        <f>RANK(K87, K$87:$K$101)</f>
        <v>#DIV/0!</v>
      </c>
      <c r="N87" s="652"/>
      <c r="O87" s="652"/>
      <c r="P87" s="182"/>
      <c r="Q87" s="182"/>
      <c r="R87" s="182"/>
      <c r="S87" s="301" t="e">
        <f>RANK(R87, R$87:R$101)</f>
        <v>#N/A</v>
      </c>
      <c r="T87" s="701" t="e">
        <f>AVERAGE(R87:R101)</f>
        <v>#DIV/0!</v>
      </c>
      <c r="U87" s="182"/>
      <c r="V87" s="182"/>
      <c r="W87" s="182"/>
      <c r="X87" s="477" t="e">
        <f t="shared" ref="X87:X101" si="66">RANK(W87, W$87:W$101)</f>
        <v>#N/A</v>
      </c>
      <c r="Y87" s="701" t="e">
        <f t="shared" ref="Y87" si="67">AVERAGE(W87:W101)</f>
        <v>#DIV/0!</v>
      </c>
      <c r="Z87" s="182"/>
      <c r="AA87" s="182"/>
      <c r="AB87" s="182"/>
      <c r="AC87" s="477" t="e">
        <f t="shared" ref="AC87:AC101" si="68">RANK(AB87, AB$87:AB$101)</f>
        <v>#N/A</v>
      </c>
      <c r="AD87" s="701" t="e">
        <f t="shared" ref="AD87" si="69">AVERAGE(AB87:AB101)</f>
        <v>#DIV/0!</v>
      </c>
      <c r="AE87" s="182"/>
      <c r="AF87" s="182"/>
      <c r="AG87" s="182"/>
      <c r="AH87" s="477" t="e">
        <f t="shared" ref="AH87:AH101" si="70">RANK(AG87, AG$87:AG$101)</f>
        <v>#N/A</v>
      </c>
      <c r="AI87" s="701" t="e">
        <f t="shared" ref="AI87" si="71">AVERAGE(AG87:AG101)</f>
        <v>#DIV/0!</v>
      </c>
      <c r="AJ87" s="182"/>
      <c r="AK87" s="182"/>
      <c r="AL87" s="182"/>
      <c r="AM87" s="477" t="e">
        <f t="shared" ref="AM87:AM101" si="72">RANK(AL87, AL$87:AL$101)</f>
        <v>#N/A</v>
      </c>
      <c r="AN87" s="701" t="e">
        <f t="shared" ref="AN87" si="73">AVERAGE(AL87:AL101)</f>
        <v>#DIV/0!</v>
      </c>
      <c r="AO87" s="182"/>
      <c r="AP87" s="182"/>
      <c r="AQ87" s="182"/>
      <c r="AR87" s="477" t="e">
        <f t="shared" ref="AR87:AR101" si="74">RANK(AQ87, AQ$87:AQ$101)</f>
        <v>#N/A</v>
      </c>
      <c r="AS87" s="701" t="e">
        <f t="shared" ref="AS87" si="75">AVERAGE(AQ87:AQ101)</f>
        <v>#DIV/0!</v>
      </c>
      <c r="AT87" s="182"/>
      <c r="AU87" s="182"/>
      <c r="AV87" s="182"/>
      <c r="AW87" s="477" t="e">
        <f t="shared" ref="AW87:AW101" si="76">RANK(AV87, AV$87:AV$101)</f>
        <v>#N/A</v>
      </c>
      <c r="AX87" s="674" t="e">
        <f t="shared" ref="AX87" si="77">AVERAGE(AV87:AV101)</f>
        <v>#DIV/0!</v>
      </c>
    </row>
    <row r="88" spans="2:50">
      <c r="B88" s="660"/>
      <c r="C88" s="301">
        <v>2</v>
      </c>
      <c r="D88" s="227"/>
      <c r="E88" s="182"/>
      <c r="F88" s="551"/>
      <c r="G88" s="552"/>
      <c r="H88" s="702"/>
      <c r="I88" s="199" t="e">
        <f t="shared" ref="I88:K94" si="78">AVERAGE(P88,U88,Z88,AE88,AJ88,AO88,AT88)</f>
        <v>#DIV/0!</v>
      </c>
      <c r="J88" s="199" t="e">
        <f t="shared" si="78"/>
        <v>#DIV/0!</v>
      </c>
      <c r="K88" s="200" t="e">
        <f t="shared" si="78"/>
        <v>#DIV/0!</v>
      </c>
      <c r="L88" s="634"/>
      <c r="M88" s="201" t="e">
        <f>RANK(K88, K$87:$K$101)</f>
        <v>#DIV/0!</v>
      </c>
      <c r="N88" s="652"/>
      <c r="O88" s="652"/>
      <c r="P88" s="182"/>
      <c r="Q88" s="182"/>
      <c r="R88" s="182"/>
      <c r="S88" s="301" t="e">
        <f t="shared" ref="S88:S101" si="79">RANK(R88, R$87:R$101)</f>
        <v>#N/A</v>
      </c>
      <c r="T88" s="702"/>
      <c r="U88" s="182"/>
      <c r="V88" s="182"/>
      <c r="W88" s="182"/>
      <c r="X88" s="477" t="e">
        <f t="shared" si="66"/>
        <v>#N/A</v>
      </c>
      <c r="Y88" s="702"/>
      <c r="Z88" s="182"/>
      <c r="AA88" s="182"/>
      <c r="AB88" s="182"/>
      <c r="AC88" s="477" t="e">
        <f t="shared" si="68"/>
        <v>#N/A</v>
      </c>
      <c r="AD88" s="702"/>
      <c r="AE88" s="182"/>
      <c r="AF88" s="182"/>
      <c r="AG88" s="182"/>
      <c r="AH88" s="477" t="e">
        <f t="shared" si="70"/>
        <v>#N/A</v>
      </c>
      <c r="AI88" s="702"/>
      <c r="AJ88" s="182"/>
      <c r="AK88" s="182"/>
      <c r="AL88" s="182"/>
      <c r="AM88" s="477" t="e">
        <f t="shared" si="72"/>
        <v>#N/A</v>
      </c>
      <c r="AN88" s="702"/>
      <c r="AO88" s="182"/>
      <c r="AP88" s="182"/>
      <c r="AQ88" s="182"/>
      <c r="AR88" s="477" t="e">
        <f t="shared" si="74"/>
        <v>#N/A</v>
      </c>
      <c r="AS88" s="702"/>
      <c r="AT88" s="182"/>
      <c r="AU88" s="182"/>
      <c r="AV88" s="182"/>
      <c r="AW88" s="477" t="e">
        <f t="shared" si="76"/>
        <v>#N/A</v>
      </c>
      <c r="AX88" s="674"/>
    </row>
    <row r="89" spans="2:50">
      <c r="B89" s="660"/>
      <c r="C89" s="301">
        <v>3</v>
      </c>
      <c r="D89" s="227"/>
      <c r="E89" s="182"/>
      <c r="F89" s="551"/>
      <c r="G89" s="552"/>
      <c r="H89" s="702"/>
      <c r="I89" s="199" t="e">
        <f t="shared" si="78"/>
        <v>#DIV/0!</v>
      </c>
      <c r="J89" s="199" t="e">
        <f t="shared" si="78"/>
        <v>#DIV/0!</v>
      </c>
      <c r="K89" s="200" t="e">
        <f t="shared" si="78"/>
        <v>#DIV/0!</v>
      </c>
      <c r="L89" s="634"/>
      <c r="M89" s="201" t="e">
        <f>RANK(K89, K$87:$K$101)</f>
        <v>#DIV/0!</v>
      </c>
      <c r="N89" s="652"/>
      <c r="O89" s="652"/>
      <c r="P89" s="182"/>
      <c r="Q89" s="182"/>
      <c r="R89" s="182"/>
      <c r="S89" s="301" t="e">
        <f t="shared" si="79"/>
        <v>#N/A</v>
      </c>
      <c r="T89" s="702"/>
      <c r="U89" s="182"/>
      <c r="V89" s="182"/>
      <c r="W89" s="182"/>
      <c r="X89" s="477" t="e">
        <f t="shared" si="66"/>
        <v>#N/A</v>
      </c>
      <c r="Y89" s="702"/>
      <c r="Z89" s="182"/>
      <c r="AA89" s="182"/>
      <c r="AB89" s="182"/>
      <c r="AC89" s="477" t="e">
        <f t="shared" si="68"/>
        <v>#N/A</v>
      </c>
      <c r="AD89" s="702"/>
      <c r="AE89" s="182"/>
      <c r="AF89" s="182"/>
      <c r="AG89" s="182"/>
      <c r="AH89" s="477" t="e">
        <f t="shared" si="70"/>
        <v>#N/A</v>
      </c>
      <c r="AI89" s="702"/>
      <c r="AJ89" s="182"/>
      <c r="AK89" s="182"/>
      <c r="AL89" s="182"/>
      <c r="AM89" s="477" t="e">
        <f t="shared" si="72"/>
        <v>#N/A</v>
      </c>
      <c r="AN89" s="702"/>
      <c r="AO89" s="182"/>
      <c r="AP89" s="182"/>
      <c r="AQ89" s="182"/>
      <c r="AR89" s="477" t="e">
        <f t="shared" si="74"/>
        <v>#N/A</v>
      </c>
      <c r="AS89" s="702"/>
      <c r="AT89" s="182"/>
      <c r="AU89" s="182"/>
      <c r="AV89" s="182"/>
      <c r="AW89" s="477" t="e">
        <f t="shared" si="76"/>
        <v>#N/A</v>
      </c>
      <c r="AX89" s="674"/>
    </row>
    <row r="90" spans="2:50">
      <c r="B90" s="660"/>
      <c r="C90" s="301">
        <v>4</v>
      </c>
      <c r="D90" s="227"/>
      <c r="E90" s="182"/>
      <c r="F90" s="551"/>
      <c r="G90" s="552"/>
      <c r="H90" s="702"/>
      <c r="I90" s="199" t="e">
        <f t="shared" si="78"/>
        <v>#DIV/0!</v>
      </c>
      <c r="J90" s="199" t="e">
        <f t="shared" si="78"/>
        <v>#DIV/0!</v>
      </c>
      <c r="K90" s="200" t="e">
        <f t="shared" si="78"/>
        <v>#DIV/0!</v>
      </c>
      <c r="L90" s="634"/>
      <c r="M90" s="201" t="e">
        <f>RANK(K90, K$87:$K$101)</f>
        <v>#DIV/0!</v>
      </c>
      <c r="N90" s="652"/>
      <c r="O90" s="652"/>
      <c r="P90" s="182"/>
      <c r="Q90" s="182"/>
      <c r="R90" s="182"/>
      <c r="S90" s="301" t="e">
        <f t="shared" si="79"/>
        <v>#N/A</v>
      </c>
      <c r="T90" s="702"/>
      <c r="U90" s="182"/>
      <c r="V90" s="182"/>
      <c r="W90" s="182"/>
      <c r="X90" s="477" t="e">
        <f t="shared" si="66"/>
        <v>#N/A</v>
      </c>
      <c r="Y90" s="702"/>
      <c r="Z90" s="182"/>
      <c r="AA90" s="182"/>
      <c r="AB90" s="182"/>
      <c r="AC90" s="477" t="e">
        <f t="shared" si="68"/>
        <v>#N/A</v>
      </c>
      <c r="AD90" s="702"/>
      <c r="AE90" s="182"/>
      <c r="AF90" s="182"/>
      <c r="AG90" s="182"/>
      <c r="AH90" s="477" t="e">
        <f t="shared" si="70"/>
        <v>#N/A</v>
      </c>
      <c r="AI90" s="702"/>
      <c r="AJ90" s="182"/>
      <c r="AK90" s="182"/>
      <c r="AL90" s="182"/>
      <c r="AM90" s="477" t="e">
        <f t="shared" si="72"/>
        <v>#N/A</v>
      </c>
      <c r="AN90" s="702"/>
      <c r="AO90" s="182"/>
      <c r="AP90" s="182"/>
      <c r="AQ90" s="182"/>
      <c r="AR90" s="477" t="e">
        <f t="shared" si="74"/>
        <v>#N/A</v>
      </c>
      <c r="AS90" s="702"/>
      <c r="AT90" s="182"/>
      <c r="AU90" s="182"/>
      <c r="AV90" s="182"/>
      <c r="AW90" s="477" t="e">
        <f t="shared" si="76"/>
        <v>#N/A</v>
      </c>
      <c r="AX90" s="674"/>
    </row>
    <row r="91" spans="2:50">
      <c r="B91" s="660"/>
      <c r="C91" s="301">
        <v>5</v>
      </c>
      <c r="D91" s="227"/>
      <c r="E91" s="182"/>
      <c r="F91" s="551"/>
      <c r="G91" s="552"/>
      <c r="H91" s="702"/>
      <c r="I91" s="199" t="e">
        <f t="shared" si="78"/>
        <v>#DIV/0!</v>
      </c>
      <c r="J91" s="199" t="e">
        <f t="shared" si="78"/>
        <v>#DIV/0!</v>
      </c>
      <c r="K91" s="200" t="e">
        <f t="shared" si="78"/>
        <v>#DIV/0!</v>
      </c>
      <c r="L91" s="634"/>
      <c r="M91" s="201" t="e">
        <f>RANK(K91, K$87:$K$101)</f>
        <v>#DIV/0!</v>
      </c>
      <c r="N91" s="652"/>
      <c r="O91" s="652"/>
      <c r="P91" s="182"/>
      <c r="Q91" s="182"/>
      <c r="R91" s="182"/>
      <c r="S91" s="301" t="e">
        <f t="shared" si="79"/>
        <v>#N/A</v>
      </c>
      <c r="T91" s="702"/>
      <c r="U91" s="182"/>
      <c r="V91" s="182"/>
      <c r="W91" s="182"/>
      <c r="X91" s="477" t="e">
        <f t="shared" si="66"/>
        <v>#N/A</v>
      </c>
      <c r="Y91" s="702"/>
      <c r="Z91" s="182"/>
      <c r="AA91" s="182"/>
      <c r="AB91" s="182"/>
      <c r="AC91" s="477" t="e">
        <f t="shared" si="68"/>
        <v>#N/A</v>
      </c>
      <c r="AD91" s="702"/>
      <c r="AE91" s="182"/>
      <c r="AF91" s="182"/>
      <c r="AG91" s="182"/>
      <c r="AH91" s="477" t="e">
        <f t="shared" si="70"/>
        <v>#N/A</v>
      </c>
      <c r="AI91" s="702"/>
      <c r="AJ91" s="182"/>
      <c r="AK91" s="182"/>
      <c r="AL91" s="182"/>
      <c r="AM91" s="477" t="e">
        <f t="shared" si="72"/>
        <v>#N/A</v>
      </c>
      <c r="AN91" s="702"/>
      <c r="AO91" s="182"/>
      <c r="AP91" s="182"/>
      <c r="AQ91" s="182"/>
      <c r="AR91" s="477" t="e">
        <f t="shared" si="74"/>
        <v>#N/A</v>
      </c>
      <c r="AS91" s="702"/>
      <c r="AT91" s="182"/>
      <c r="AU91" s="182"/>
      <c r="AV91" s="182"/>
      <c r="AW91" s="477" t="e">
        <f t="shared" si="76"/>
        <v>#N/A</v>
      </c>
      <c r="AX91" s="674"/>
    </row>
    <row r="92" spans="2:50">
      <c r="B92" s="660"/>
      <c r="C92" s="301">
        <v>6</v>
      </c>
      <c r="D92" s="227"/>
      <c r="E92" s="182"/>
      <c r="F92" s="551"/>
      <c r="G92" s="552"/>
      <c r="H92" s="702"/>
      <c r="I92" s="199" t="e">
        <f t="shared" si="78"/>
        <v>#DIV/0!</v>
      </c>
      <c r="J92" s="199" t="e">
        <f t="shared" si="78"/>
        <v>#DIV/0!</v>
      </c>
      <c r="K92" s="200" t="e">
        <f t="shared" si="78"/>
        <v>#DIV/0!</v>
      </c>
      <c r="L92" s="634"/>
      <c r="M92" s="201" t="e">
        <f>RANK(K92, K$87:$K$101)</f>
        <v>#DIV/0!</v>
      </c>
      <c r="N92" s="652"/>
      <c r="O92" s="652"/>
      <c r="P92" s="182"/>
      <c r="Q92" s="182"/>
      <c r="R92" s="182"/>
      <c r="S92" s="301" t="e">
        <f t="shared" si="79"/>
        <v>#N/A</v>
      </c>
      <c r="T92" s="702"/>
      <c r="U92" s="182"/>
      <c r="V92" s="182"/>
      <c r="W92" s="182"/>
      <c r="X92" s="477" t="e">
        <f t="shared" si="66"/>
        <v>#N/A</v>
      </c>
      <c r="Y92" s="702"/>
      <c r="Z92" s="182"/>
      <c r="AA92" s="182"/>
      <c r="AB92" s="182"/>
      <c r="AC92" s="477" t="e">
        <f t="shared" si="68"/>
        <v>#N/A</v>
      </c>
      <c r="AD92" s="702"/>
      <c r="AE92" s="182"/>
      <c r="AF92" s="182"/>
      <c r="AG92" s="182"/>
      <c r="AH92" s="477" t="e">
        <f t="shared" si="70"/>
        <v>#N/A</v>
      </c>
      <c r="AI92" s="702"/>
      <c r="AJ92" s="182"/>
      <c r="AK92" s="182"/>
      <c r="AL92" s="182"/>
      <c r="AM92" s="477" t="e">
        <f t="shared" si="72"/>
        <v>#N/A</v>
      </c>
      <c r="AN92" s="702"/>
      <c r="AO92" s="182"/>
      <c r="AP92" s="182"/>
      <c r="AQ92" s="182"/>
      <c r="AR92" s="477" t="e">
        <f t="shared" si="74"/>
        <v>#N/A</v>
      </c>
      <c r="AS92" s="702"/>
      <c r="AT92" s="182"/>
      <c r="AU92" s="182"/>
      <c r="AV92" s="182"/>
      <c r="AW92" s="477" t="e">
        <f t="shared" si="76"/>
        <v>#N/A</v>
      </c>
      <c r="AX92" s="674"/>
    </row>
    <row r="93" spans="2:50">
      <c r="B93" s="660"/>
      <c r="C93" s="301">
        <v>7</v>
      </c>
      <c r="D93" s="227"/>
      <c r="E93" s="182"/>
      <c r="F93" s="551"/>
      <c r="G93" s="552"/>
      <c r="H93" s="702"/>
      <c r="I93" s="199" t="e">
        <f t="shared" si="78"/>
        <v>#DIV/0!</v>
      </c>
      <c r="J93" s="199" t="e">
        <f t="shared" si="78"/>
        <v>#DIV/0!</v>
      </c>
      <c r="K93" s="200" t="e">
        <f t="shared" si="78"/>
        <v>#DIV/0!</v>
      </c>
      <c r="L93" s="634"/>
      <c r="M93" s="201" t="e">
        <f>RANK(K93, K$87:$K$101)</f>
        <v>#DIV/0!</v>
      </c>
      <c r="N93" s="652"/>
      <c r="O93" s="652"/>
      <c r="P93" s="182"/>
      <c r="Q93" s="182"/>
      <c r="R93" s="182"/>
      <c r="S93" s="301" t="e">
        <f t="shared" si="79"/>
        <v>#N/A</v>
      </c>
      <c r="T93" s="702"/>
      <c r="U93" s="182"/>
      <c r="V93" s="182"/>
      <c r="W93" s="182"/>
      <c r="X93" s="477" t="e">
        <f t="shared" si="66"/>
        <v>#N/A</v>
      </c>
      <c r="Y93" s="702"/>
      <c r="Z93" s="182"/>
      <c r="AA93" s="182"/>
      <c r="AB93" s="182"/>
      <c r="AC93" s="477" t="e">
        <f t="shared" si="68"/>
        <v>#N/A</v>
      </c>
      <c r="AD93" s="702"/>
      <c r="AE93" s="182"/>
      <c r="AF93" s="182"/>
      <c r="AG93" s="182"/>
      <c r="AH93" s="477" t="e">
        <f t="shared" si="70"/>
        <v>#N/A</v>
      </c>
      <c r="AI93" s="702"/>
      <c r="AJ93" s="182"/>
      <c r="AK93" s="182"/>
      <c r="AL93" s="182"/>
      <c r="AM93" s="477" t="e">
        <f t="shared" si="72"/>
        <v>#N/A</v>
      </c>
      <c r="AN93" s="702"/>
      <c r="AO93" s="182"/>
      <c r="AP93" s="182"/>
      <c r="AQ93" s="182"/>
      <c r="AR93" s="477" t="e">
        <f t="shared" si="74"/>
        <v>#N/A</v>
      </c>
      <c r="AS93" s="702"/>
      <c r="AT93" s="182"/>
      <c r="AU93" s="182"/>
      <c r="AV93" s="182"/>
      <c r="AW93" s="477" t="e">
        <f t="shared" si="76"/>
        <v>#N/A</v>
      </c>
      <c r="AX93" s="674"/>
    </row>
    <row r="94" spans="2:50">
      <c r="B94" s="660"/>
      <c r="C94" s="301">
        <v>8</v>
      </c>
      <c r="D94" s="227"/>
      <c r="E94" s="182"/>
      <c r="F94" s="551"/>
      <c r="G94" s="552"/>
      <c r="H94" s="702"/>
      <c r="I94" s="199" t="e">
        <f t="shared" si="78"/>
        <v>#DIV/0!</v>
      </c>
      <c r="J94" s="199" t="e">
        <f t="shared" si="78"/>
        <v>#DIV/0!</v>
      </c>
      <c r="K94" s="200" t="e">
        <f t="shared" si="78"/>
        <v>#DIV/0!</v>
      </c>
      <c r="L94" s="634"/>
      <c r="M94" s="201" t="e">
        <f>RANK(K94, K$87:$K$101)</f>
        <v>#DIV/0!</v>
      </c>
      <c r="N94" s="652"/>
      <c r="O94" s="652"/>
      <c r="P94" s="182"/>
      <c r="Q94" s="182"/>
      <c r="R94" s="182"/>
      <c r="S94" s="301" t="e">
        <f t="shared" si="79"/>
        <v>#N/A</v>
      </c>
      <c r="T94" s="702"/>
      <c r="U94" s="182"/>
      <c r="V94" s="182"/>
      <c r="W94" s="182"/>
      <c r="X94" s="477" t="e">
        <f t="shared" si="66"/>
        <v>#N/A</v>
      </c>
      <c r="Y94" s="702"/>
      <c r="Z94" s="182"/>
      <c r="AA94" s="182"/>
      <c r="AB94" s="182"/>
      <c r="AC94" s="477" t="e">
        <f t="shared" si="68"/>
        <v>#N/A</v>
      </c>
      <c r="AD94" s="702"/>
      <c r="AE94" s="182"/>
      <c r="AF94" s="182"/>
      <c r="AG94" s="182"/>
      <c r="AH94" s="477" t="e">
        <f t="shared" si="70"/>
        <v>#N/A</v>
      </c>
      <c r="AI94" s="702"/>
      <c r="AJ94" s="182"/>
      <c r="AK94" s="182"/>
      <c r="AL94" s="182"/>
      <c r="AM94" s="477" t="e">
        <f t="shared" si="72"/>
        <v>#N/A</v>
      </c>
      <c r="AN94" s="702"/>
      <c r="AO94" s="182"/>
      <c r="AP94" s="182"/>
      <c r="AQ94" s="182"/>
      <c r="AR94" s="477" t="e">
        <f t="shared" si="74"/>
        <v>#N/A</v>
      </c>
      <c r="AS94" s="702"/>
      <c r="AT94" s="182"/>
      <c r="AU94" s="182"/>
      <c r="AV94" s="182"/>
      <c r="AW94" s="477" t="e">
        <f t="shared" si="76"/>
        <v>#N/A</v>
      </c>
      <c r="AX94" s="674"/>
    </row>
    <row r="95" spans="2:50">
      <c r="B95" s="660"/>
      <c r="C95" s="301">
        <v>9</v>
      </c>
      <c r="D95" s="227"/>
      <c r="E95" s="182"/>
      <c r="F95" s="551"/>
      <c r="G95" s="552"/>
      <c r="H95" s="702"/>
      <c r="I95" s="447" t="e">
        <f t="shared" ref="I95:I97" si="80">AVERAGE(P95,U95,Z95,AE95,AJ95,AO95,AT95)</f>
        <v>#DIV/0!</v>
      </c>
      <c r="J95" s="447" t="e">
        <f t="shared" ref="J95:J97" si="81">AVERAGE(Q95,V95,AA95,AF95,AK95,AP95,AU95)</f>
        <v>#DIV/0!</v>
      </c>
      <c r="K95" s="200" t="e">
        <f t="shared" ref="K95:K97" si="82">AVERAGE(R95,W95,AB95,AG95,AL95,AQ95,AV95)</f>
        <v>#DIV/0!</v>
      </c>
      <c r="L95" s="634"/>
      <c r="M95" s="201" t="e">
        <f>RANK(K95, K$87:$K$101)</f>
        <v>#DIV/0!</v>
      </c>
      <c r="N95" s="652"/>
      <c r="O95" s="652"/>
      <c r="P95" s="182"/>
      <c r="Q95" s="182"/>
      <c r="R95" s="182"/>
      <c r="S95" s="301" t="e">
        <f t="shared" si="79"/>
        <v>#N/A</v>
      </c>
      <c r="T95" s="702"/>
      <c r="U95" s="182"/>
      <c r="V95" s="182"/>
      <c r="W95" s="182"/>
      <c r="X95" s="477" t="e">
        <f t="shared" si="66"/>
        <v>#N/A</v>
      </c>
      <c r="Y95" s="702"/>
      <c r="Z95" s="182"/>
      <c r="AA95" s="182"/>
      <c r="AB95" s="182"/>
      <c r="AC95" s="477" t="e">
        <f t="shared" si="68"/>
        <v>#N/A</v>
      </c>
      <c r="AD95" s="702"/>
      <c r="AE95" s="182"/>
      <c r="AF95" s="182"/>
      <c r="AG95" s="182"/>
      <c r="AH95" s="477" t="e">
        <f t="shared" si="70"/>
        <v>#N/A</v>
      </c>
      <c r="AI95" s="702"/>
      <c r="AJ95" s="182"/>
      <c r="AK95" s="182"/>
      <c r="AL95" s="182"/>
      <c r="AM95" s="477" t="e">
        <f t="shared" si="72"/>
        <v>#N/A</v>
      </c>
      <c r="AN95" s="702"/>
      <c r="AO95" s="182"/>
      <c r="AP95" s="182"/>
      <c r="AQ95" s="182"/>
      <c r="AR95" s="477" t="e">
        <f t="shared" si="74"/>
        <v>#N/A</v>
      </c>
      <c r="AS95" s="702"/>
      <c r="AT95" s="182"/>
      <c r="AU95" s="182"/>
      <c r="AV95" s="182"/>
      <c r="AW95" s="477" t="e">
        <f t="shared" si="76"/>
        <v>#N/A</v>
      </c>
      <c r="AX95" s="674"/>
    </row>
    <row r="96" spans="2:50">
      <c r="B96" s="660"/>
      <c r="C96" s="301">
        <v>10</v>
      </c>
      <c r="D96" s="227"/>
      <c r="E96" s="182"/>
      <c r="F96" s="551"/>
      <c r="G96" s="552"/>
      <c r="H96" s="702"/>
      <c r="I96" s="447" t="e">
        <f t="shared" si="80"/>
        <v>#DIV/0!</v>
      </c>
      <c r="J96" s="447" t="e">
        <f t="shared" si="81"/>
        <v>#DIV/0!</v>
      </c>
      <c r="K96" s="200" t="e">
        <f t="shared" si="82"/>
        <v>#DIV/0!</v>
      </c>
      <c r="L96" s="634"/>
      <c r="M96" s="201" t="e">
        <f>RANK(K96, K$87:$K$101)</f>
        <v>#DIV/0!</v>
      </c>
      <c r="N96" s="652"/>
      <c r="O96" s="652"/>
      <c r="P96" s="182"/>
      <c r="Q96" s="182"/>
      <c r="R96" s="182"/>
      <c r="S96" s="301" t="e">
        <f t="shared" si="79"/>
        <v>#N/A</v>
      </c>
      <c r="T96" s="702"/>
      <c r="U96" s="182"/>
      <c r="V96" s="182"/>
      <c r="W96" s="182"/>
      <c r="X96" s="477" t="e">
        <f t="shared" si="66"/>
        <v>#N/A</v>
      </c>
      <c r="Y96" s="702"/>
      <c r="Z96" s="182"/>
      <c r="AA96" s="182"/>
      <c r="AB96" s="182"/>
      <c r="AC96" s="477" t="e">
        <f t="shared" si="68"/>
        <v>#N/A</v>
      </c>
      <c r="AD96" s="702"/>
      <c r="AE96" s="182"/>
      <c r="AF96" s="182"/>
      <c r="AG96" s="182"/>
      <c r="AH96" s="477" t="e">
        <f t="shared" si="70"/>
        <v>#N/A</v>
      </c>
      <c r="AI96" s="702"/>
      <c r="AJ96" s="182"/>
      <c r="AK96" s="182"/>
      <c r="AL96" s="182"/>
      <c r="AM96" s="477" t="e">
        <f t="shared" si="72"/>
        <v>#N/A</v>
      </c>
      <c r="AN96" s="702"/>
      <c r="AO96" s="182"/>
      <c r="AP96" s="182"/>
      <c r="AQ96" s="182"/>
      <c r="AR96" s="477" t="e">
        <f t="shared" si="74"/>
        <v>#N/A</v>
      </c>
      <c r="AS96" s="702"/>
      <c r="AT96" s="182"/>
      <c r="AU96" s="182"/>
      <c r="AV96" s="182"/>
      <c r="AW96" s="477" t="e">
        <f t="shared" si="76"/>
        <v>#N/A</v>
      </c>
      <c r="AX96" s="674"/>
    </row>
    <row r="97" spans="2:50">
      <c r="B97" s="660"/>
      <c r="C97" s="301">
        <v>11</v>
      </c>
      <c r="D97" s="227"/>
      <c r="E97" s="182"/>
      <c r="F97" s="551"/>
      <c r="G97" s="552"/>
      <c r="H97" s="702"/>
      <c r="I97" s="447" t="e">
        <f t="shared" si="80"/>
        <v>#DIV/0!</v>
      </c>
      <c r="J97" s="447" t="e">
        <f t="shared" si="81"/>
        <v>#DIV/0!</v>
      </c>
      <c r="K97" s="200" t="e">
        <f t="shared" si="82"/>
        <v>#DIV/0!</v>
      </c>
      <c r="L97" s="634"/>
      <c r="M97" s="201" t="e">
        <f>RANK(K97, K$87:$K$101)</f>
        <v>#DIV/0!</v>
      </c>
      <c r="N97" s="652"/>
      <c r="O97" s="652"/>
      <c r="P97" s="551"/>
      <c r="Q97" s="552"/>
      <c r="R97" s="552"/>
      <c r="S97" s="301" t="e">
        <f t="shared" si="79"/>
        <v>#N/A</v>
      </c>
      <c r="T97" s="702"/>
      <c r="U97" s="551"/>
      <c r="V97" s="552"/>
      <c r="W97" s="552"/>
      <c r="X97" s="477" t="e">
        <f t="shared" si="66"/>
        <v>#N/A</v>
      </c>
      <c r="Y97" s="702"/>
      <c r="Z97" s="551"/>
      <c r="AA97" s="552"/>
      <c r="AB97" s="552"/>
      <c r="AC97" s="477" t="e">
        <f t="shared" si="68"/>
        <v>#N/A</v>
      </c>
      <c r="AD97" s="702"/>
      <c r="AE97" s="551"/>
      <c r="AF97" s="552"/>
      <c r="AG97" s="552"/>
      <c r="AH97" s="477" t="e">
        <f t="shared" si="70"/>
        <v>#N/A</v>
      </c>
      <c r="AI97" s="702"/>
      <c r="AJ97" s="551"/>
      <c r="AK97" s="552"/>
      <c r="AL97" s="552"/>
      <c r="AM97" s="477" t="e">
        <f t="shared" si="72"/>
        <v>#N/A</v>
      </c>
      <c r="AN97" s="702"/>
      <c r="AO97" s="551"/>
      <c r="AP97" s="552"/>
      <c r="AQ97" s="552"/>
      <c r="AR97" s="477" t="e">
        <f t="shared" si="74"/>
        <v>#N/A</v>
      </c>
      <c r="AS97" s="702"/>
      <c r="AT97" s="514"/>
      <c r="AU97" s="515"/>
      <c r="AV97" s="515"/>
      <c r="AW97" s="477" t="e">
        <f t="shared" si="76"/>
        <v>#N/A</v>
      </c>
      <c r="AX97" s="674"/>
    </row>
    <row r="98" spans="2:50">
      <c r="B98" s="660"/>
      <c r="C98" s="301">
        <v>12</v>
      </c>
      <c r="D98" s="227"/>
      <c r="E98" s="182"/>
      <c r="F98" s="551"/>
      <c r="G98" s="552"/>
      <c r="H98" s="702"/>
      <c r="I98" s="471"/>
      <c r="J98" s="471"/>
      <c r="K98" s="200"/>
      <c r="L98" s="634"/>
      <c r="M98" s="201" t="e">
        <f>RANK(K98, K$87:$K$101)</f>
        <v>#DIV/0!</v>
      </c>
      <c r="N98" s="652"/>
      <c r="O98" s="652"/>
      <c r="P98" s="551"/>
      <c r="Q98" s="552"/>
      <c r="R98" s="552"/>
      <c r="S98" s="301" t="e">
        <f t="shared" si="79"/>
        <v>#N/A</v>
      </c>
      <c r="T98" s="702"/>
      <c r="U98" s="551"/>
      <c r="V98" s="552"/>
      <c r="W98" s="552"/>
      <c r="X98" s="477" t="e">
        <f t="shared" si="66"/>
        <v>#N/A</v>
      </c>
      <c r="Y98" s="702"/>
      <c r="Z98" s="551"/>
      <c r="AA98" s="552"/>
      <c r="AB98" s="552"/>
      <c r="AC98" s="477" t="e">
        <f t="shared" si="68"/>
        <v>#N/A</v>
      </c>
      <c r="AD98" s="702"/>
      <c r="AE98" s="551"/>
      <c r="AF98" s="552"/>
      <c r="AG98" s="552"/>
      <c r="AH98" s="477" t="e">
        <f t="shared" si="70"/>
        <v>#N/A</v>
      </c>
      <c r="AI98" s="702"/>
      <c r="AJ98" s="551"/>
      <c r="AK98" s="552"/>
      <c r="AL98" s="552"/>
      <c r="AM98" s="477" t="e">
        <f t="shared" si="72"/>
        <v>#N/A</v>
      </c>
      <c r="AN98" s="702"/>
      <c r="AO98" s="551"/>
      <c r="AP98" s="552"/>
      <c r="AQ98" s="552"/>
      <c r="AR98" s="477" t="e">
        <f t="shared" si="74"/>
        <v>#N/A</v>
      </c>
      <c r="AS98" s="702"/>
      <c r="AT98" s="514"/>
      <c r="AU98" s="515"/>
      <c r="AV98" s="515"/>
      <c r="AW98" s="477" t="e">
        <f t="shared" si="76"/>
        <v>#N/A</v>
      </c>
      <c r="AX98" s="674"/>
    </row>
    <row r="99" spans="2:50">
      <c r="B99" s="660"/>
      <c r="C99" s="301">
        <v>13</v>
      </c>
      <c r="D99" s="227"/>
      <c r="E99" s="182"/>
      <c r="F99" s="551"/>
      <c r="G99" s="552"/>
      <c r="H99" s="702"/>
      <c r="I99" s="202"/>
      <c r="J99" s="202"/>
      <c r="K99" s="202"/>
      <c r="L99" s="634"/>
      <c r="M99" s="201" t="e">
        <f>RANK(K99, K$87:$K$101)</f>
        <v>#DIV/0!</v>
      </c>
      <c r="N99" s="652"/>
      <c r="O99" s="652"/>
      <c r="P99" s="551"/>
      <c r="Q99" s="552"/>
      <c r="R99" s="552"/>
      <c r="S99" s="301" t="e">
        <f t="shared" si="79"/>
        <v>#N/A</v>
      </c>
      <c r="T99" s="702"/>
      <c r="U99" s="551"/>
      <c r="V99" s="552"/>
      <c r="W99" s="552"/>
      <c r="X99" s="477" t="e">
        <f t="shared" si="66"/>
        <v>#N/A</v>
      </c>
      <c r="Y99" s="702"/>
      <c r="Z99" s="551"/>
      <c r="AA99" s="552"/>
      <c r="AB99" s="552"/>
      <c r="AC99" s="477" t="e">
        <f t="shared" si="68"/>
        <v>#N/A</v>
      </c>
      <c r="AD99" s="702"/>
      <c r="AE99" s="551"/>
      <c r="AF99" s="552"/>
      <c r="AG99" s="552"/>
      <c r="AH99" s="477" t="e">
        <f t="shared" si="70"/>
        <v>#N/A</v>
      </c>
      <c r="AI99" s="702"/>
      <c r="AJ99" s="551"/>
      <c r="AK99" s="552"/>
      <c r="AL99" s="552"/>
      <c r="AM99" s="477" t="e">
        <f t="shared" si="72"/>
        <v>#N/A</v>
      </c>
      <c r="AN99" s="702"/>
      <c r="AO99" s="551"/>
      <c r="AP99" s="552"/>
      <c r="AQ99" s="552"/>
      <c r="AR99" s="477" t="e">
        <f t="shared" si="74"/>
        <v>#N/A</v>
      </c>
      <c r="AS99" s="702"/>
      <c r="AT99" s="514"/>
      <c r="AU99" s="515"/>
      <c r="AV99" s="515"/>
      <c r="AW99" s="477" t="e">
        <f t="shared" si="76"/>
        <v>#N/A</v>
      </c>
      <c r="AX99" s="674"/>
    </row>
    <row r="100" spans="2:50">
      <c r="B100" s="660"/>
      <c r="C100" s="301">
        <v>14</v>
      </c>
      <c r="D100" s="227"/>
      <c r="E100" s="182"/>
      <c r="F100" s="551"/>
      <c r="G100" s="552"/>
      <c r="H100" s="702"/>
      <c r="I100" s="202"/>
      <c r="J100" s="202"/>
      <c r="K100" s="202"/>
      <c r="L100" s="634"/>
      <c r="M100" s="201" t="e">
        <f>RANK(K100, K$87:$K$101)</f>
        <v>#DIV/0!</v>
      </c>
      <c r="N100" s="652"/>
      <c r="O100" s="652"/>
      <c r="P100" s="551"/>
      <c r="Q100" s="552"/>
      <c r="R100" s="552"/>
      <c r="S100" s="301" t="e">
        <f t="shared" si="79"/>
        <v>#N/A</v>
      </c>
      <c r="T100" s="702"/>
      <c r="U100" s="551"/>
      <c r="V100" s="552"/>
      <c r="W100" s="552"/>
      <c r="X100" s="477" t="e">
        <f t="shared" si="66"/>
        <v>#N/A</v>
      </c>
      <c r="Y100" s="702"/>
      <c r="Z100" s="551"/>
      <c r="AA100" s="552"/>
      <c r="AB100" s="552"/>
      <c r="AC100" s="477" t="e">
        <f t="shared" si="68"/>
        <v>#N/A</v>
      </c>
      <c r="AD100" s="702"/>
      <c r="AE100" s="551"/>
      <c r="AF100" s="552"/>
      <c r="AG100" s="552"/>
      <c r="AH100" s="477" t="e">
        <f t="shared" si="70"/>
        <v>#N/A</v>
      </c>
      <c r="AI100" s="702"/>
      <c r="AJ100" s="551"/>
      <c r="AK100" s="552"/>
      <c r="AL100" s="552"/>
      <c r="AM100" s="477" t="e">
        <f t="shared" si="72"/>
        <v>#N/A</v>
      </c>
      <c r="AN100" s="702"/>
      <c r="AO100" s="551"/>
      <c r="AP100" s="552"/>
      <c r="AQ100" s="552"/>
      <c r="AR100" s="477" t="e">
        <f t="shared" si="74"/>
        <v>#N/A</v>
      </c>
      <c r="AS100" s="702"/>
      <c r="AT100" s="514"/>
      <c r="AU100" s="515"/>
      <c r="AV100" s="515"/>
      <c r="AW100" s="477" t="e">
        <f t="shared" si="76"/>
        <v>#N/A</v>
      </c>
      <c r="AX100" s="674"/>
    </row>
    <row r="101" spans="2:50">
      <c r="B101" s="660"/>
      <c r="C101" s="301">
        <v>15</v>
      </c>
      <c r="D101" s="227"/>
      <c r="E101" s="182"/>
      <c r="F101" s="551"/>
      <c r="G101" s="552"/>
      <c r="H101" s="703"/>
      <c r="I101" s="202"/>
      <c r="J101" s="202"/>
      <c r="K101" s="202"/>
      <c r="L101" s="635"/>
      <c r="M101" s="199" t="e">
        <f>RANK(K101, K$87:$K$101)</f>
        <v>#DIV/0!</v>
      </c>
      <c r="N101" s="652"/>
      <c r="O101" s="652"/>
      <c r="P101" s="551"/>
      <c r="Q101" s="552"/>
      <c r="R101" s="552"/>
      <c r="S101" s="301" t="e">
        <f t="shared" si="79"/>
        <v>#N/A</v>
      </c>
      <c r="T101" s="703"/>
      <c r="U101" s="551"/>
      <c r="V101" s="552"/>
      <c r="W101" s="552"/>
      <c r="X101" s="477" t="e">
        <f t="shared" si="66"/>
        <v>#N/A</v>
      </c>
      <c r="Y101" s="703"/>
      <c r="Z101" s="551"/>
      <c r="AA101" s="552"/>
      <c r="AB101" s="552"/>
      <c r="AC101" s="477" t="e">
        <f t="shared" si="68"/>
        <v>#N/A</v>
      </c>
      <c r="AD101" s="703"/>
      <c r="AE101" s="551"/>
      <c r="AF101" s="552"/>
      <c r="AG101" s="552"/>
      <c r="AH101" s="477" t="e">
        <f t="shared" si="70"/>
        <v>#N/A</v>
      </c>
      <c r="AI101" s="703"/>
      <c r="AJ101" s="551"/>
      <c r="AK101" s="552"/>
      <c r="AL101" s="552"/>
      <c r="AM101" s="477" t="e">
        <f t="shared" si="72"/>
        <v>#N/A</v>
      </c>
      <c r="AN101" s="703"/>
      <c r="AO101" s="551"/>
      <c r="AP101" s="552"/>
      <c r="AQ101" s="552"/>
      <c r="AR101" s="477" t="e">
        <f t="shared" si="74"/>
        <v>#N/A</v>
      </c>
      <c r="AS101" s="703"/>
      <c r="AT101" s="514"/>
      <c r="AU101" s="515"/>
      <c r="AV101" s="515"/>
      <c r="AW101" s="477" t="e">
        <f t="shared" si="76"/>
        <v>#N/A</v>
      </c>
      <c r="AX101" s="674"/>
    </row>
    <row r="102" spans="2:50" ht="15.75">
      <c r="B102" s="664" t="s">
        <v>163</v>
      </c>
      <c r="C102" s="665"/>
      <c r="D102" s="665"/>
      <c r="E102" s="665"/>
      <c r="F102" s="665"/>
      <c r="G102" s="665"/>
      <c r="H102" s="666"/>
      <c r="I102" s="208"/>
      <c r="J102" s="208"/>
      <c r="K102" s="208"/>
      <c r="L102" s="208"/>
      <c r="M102" s="207"/>
      <c r="N102" s="653" t="s">
        <v>156</v>
      </c>
      <c r="O102" s="653" t="s">
        <v>105</v>
      </c>
      <c r="P102" s="659">
        <f>P82+7</f>
        <v>46084</v>
      </c>
      <c r="Q102" s="660"/>
      <c r="R102" s="660"/>
      <c r="S102" s="660"/>
      <c r="T102" s="660"/>
      <c r="U102" s="656">
        <f>P102+1</f>
        <v>46085</v>
      </c>
      <c r="V102" s="657"/>
      <c r="W102" s="657"/>
      <c r="X102" s="657"/>
      <c r="Y102" s="658"/>
      <c r="Z102" s="656">
        <f>U102+1</f>
        <v>46086</v>
      </c>
      <c r="AA102" s="657"/>
      <c r="AB102" s="657"/>
      <c r="AC102" s="657"/>
      <c r="AD102" s="658"/>
      <c r="AE102" s="656">
        <f>Z102+1</f>
        <v>46087</v>
      </c>
      <c r="AF102" s="657"/>
      <c r="AG102" s="657"/>
      <c r="AH102" s="657"/>
      <c r="AI102" s="658"/>
      <c r="AJ102" s="656">
        <f>AE102+1</f>
        <v>46088</v>
      </c>
      <c r="AK102" s="657"/>
      <c r="AL102" s="657"/>
      <c r="AM102" s="657"/>
      <c r="AN102" s="658"/>
      <c r="AO102" s="656">
        <f>AJ102+1</f>
        <v>46089</v>
      </c>
      <c r="AP102" s="657"/>
      <c r="AQ102" s="657"/>
      <c r="AR102" s="657"/>
      <c r="AS102" s="658"/>
      <c r="AT102" s="656">
        <f>AO102+1</f>
        <v>46090</v>
      </c>
      <c r="AU102" s="657"/>
      <c r="AV102" s="657"/>
      <c r="AW102" s="657"/>
      <c r="AX102" s="658"/>
    </row>
    <row r="103" spans="2:50" ht="15.75">
      <c r="B103" s="667"/>
      <c r="C103" s="667"/>
      <c r="D103" s="667"/>
      <c r="E103" s="667"/>
      <c r="F103" s="667"/>
      <c r="G103" s="667"/>
      <c r="H103" s="667"/>
      <c r="I103" s="205"/>
      <c r="J103" s="205"/>
      <c r="K103" s="205"/>
      <c r="L103" s="205"/>
      <c r="M103" s="206"/>
      <c r="N103" s="655"/>
      <c r="O103" s="655"/>
      <c r="P103" s="659" t="s">
        <v>158</v>
      </c>
      <c r="Q103" s="660"/>
      <c r="R103" s="660"/>
      <c r="S103" s="660"/>
      <c r="T103" s="660"/>
      <c r="U103" s="659" t="s">
        <v>114</v>
      </c>
      <c r="V103" s="660"/>
      <c r="W103" s="660"/>
      <c r="X103" s="660"/>
      <c r="Y103" s="660"/>
      <c r="Z103" s="659" t="s">
        <v>159</v>
      </c>
      <c r="AA103" s="660"/>
      <c r="AB103" s="660"/>
      <c r="AC103" s="660"/>
      <c r="AD103" s="660"/>
      <c r="AE103" s="659" t="s">
        <v>157</v>
      </c>
      <c r="AF103" s="660"/>
      <c r="AG103" s="660"/>
      <c r="AH103" s="660"/>
      <c r="AI103" s="660"/>
      <c r="AJ103" s="659" t="s">
        <v>160</v>
      </c>
      <c r="AK103" s="660"/>
      <c r="AL103" s="660"/>
      <c r="AM103" s="660"/>
      <c r="AN103" s="660"/>
      <c r="AO103" s="659" t="s">
        <v>115</v>
      </c>
      <c r="AP103" s="660"/>
      <c r="AQ103" s="660"/>
      <c r="AR103" s="660"/>
      <c r="AS103" s="660"/>
      <c r="AT103" s="659" t="s">
        <v>162</v>
      </c>
      <c r="AU103" s="660"/>
      <c r="AV103" s="660"/>
      <c r="AW103" s="660"/>
      <c r="AX103" s="660"/>
    </row>
    <row r="104" spans="2:50">
      <c r="B104" s="652" t="s">
        <v>154</v>
      </c>
      <c r="C104" s="652" t="s">
        <v>441</v>
      </c>
      <c r="D104" s="652"/>
      <c r="E104" s="652" t="s">
        <v>432</v>
      </c>
      <c r="F104" s="652"/>
      <c r="G104" s="652"/>
      <c r="H104" s="668" t="s">
        <v>428</v>
      </c>
      <c r="I104" s="636" t="s">
        <v>433</v>
      </c>
      <c r="J104" s="636"/>
      <c r="K104" s="636"/>
      <c r="L104" s="637" t="s">
        <v>428</v>
      </c>
      <c r="M104" s="643" t="s">
        <v>429</v>
      </c>
      <c r="N104" s="652"/>
      <c r="O104" s="652" t="s">
        <v>434</v>
      </c>
      <c r="P104" s="649" t="s">
        <v>430</v>
      </c>
      <c r="Q104" s="650"/>
      <c r="R104" s="650"/>
      <c r="S104" s="651"/>
      <c r="T104" s="652" t="s">
        <v>428</v>
      </c>
      <c r="U104" s="649" t="s">
        <v>430</v>
      </c>
      <c r="V104" s="650"/>
      <c r="W104" s="650"/>
      <c r="X104" s="651"/>
      <c r="Y104" s="652" t="s">
        <v>428</v>
      </c>
      <c r="Z104" s="649" t="s">
        <v>430</v>
      </c>
      <c r="AA104" s="650"/>
      <c r="AB104" s="650"/>
      <c r="AC104" s="651"/>
      <c r="AD104" s="652" t="s">
        <v>428</v>
      </c>
      <c r="AE104" s="649" t="s">
        <v>430</v>
      </c>
      <c r="AF104" s="650"/>
      <c r="AG104" s="650"/>
      <c r="AH104" s="651"/>
      <c r="AI104" s="652" t="s">
        <v>428</v>
      </c>
      <c r="AJ104" s="649" t="s">
        <v>430</v>
      </c>
      <c r="AK104" s="650"/>
      <c r="AL104" s="650"/>
      <c r="AM104" s="651"/>
      <c r="AN104" s="652" t="s">
        <v>428</v>
      </c>
      <c r="AO104" s="649" t="s">
        <v>430</v>
      </c>
      <c r="AP104" s="650"/>
      <c r="AQ104" s="650"/>
      <c r="AR104" s="651"/>
      <c r="AS104" s="652" t="s">
        <v>428</v>
      </c>
      <c r="AT104" s="649" t="s">
        <v>430</v>
      </c>
      <c r="AU104" s="650"/>
      <c r="AV104" s="650"/>
      <c r="AW104" s="651"/>
      <c r="AX104" s="652" t="s">
        <v>428</v>
      </c>
    </row>
    <row r="105" spans="2:50">
      <c r="B105" s="652"/>
      <c r="C105" s="652"/>
      <c r="D105" s="652"/>
      <c r="E105" s="652" t="s">
        <v>435</v>
      </c>
      <c r="F105" s="652"/>
      <c r="G105" s="652"/>
      <c r="H105" s="669"/>
      <c r="I105" s="636" t="s">
        <v>435</v>
      </c>
      <c r="J105" s="636"/>
      <c r="K105" s="636"/>
      <c r="L105" s="638"/>
      <c r="M105" s="644"/>
      <c r="N105" s="652"/>
      <c r="O105" s="652"/>
      <c r="P105" s="649" t="s">
        <v>436</v>
      </c>
      <c r="Q105" s="650"/>
      <c r="R105" s="650"/>
      <c r="S105" s="651"/>
      <c r="T105" s="652"/>
      <c r="U105" s="649" t="s">
        <v>436</v>
      </c>
      <c r="V105" s="650"/>
      <c r="W105" s="650"/>
      <c r="X105" s="651"/>
      <c r="Y105" s="652"/>
      <c r="Z105" s="649" t="s">
        <v>436</v>
      </c>
      <c r="AA105" s="650"/>
      <c r="AB105" s="650"/>
      <c r="AC105" s="651"/>
      <c r="AD105" s="652"/>
      <c r="AE105" s="649" t="s">
        <v>436</v>
      </c>
      <c r="AF105" s="650"/>
      <c r="AG105" s="650"/>
      <c r="AH105" s="651"/>
      <c r="AI105" s="652"/>
      <c r="AJ105" s="649" t="s">
        <v>436</v>
      </c>
      <c r="AK105" s="650"/>
      <c r="AL105" s="650"/>
      <c r="AM105" s="651"/>
      <c r="AN105" s="652"/>
      <c r="AO105" s="649" t="s">
        <v>436</v>
      </c>
      <c r="AP105" s="650"/>
      <c r="AQ105" s="650"/>
      <c r="AR105" s="651"/>
      <c r="AS105" s="652"/>
      <c r="AT105" s="649" t="s">
        <v>436</v>
      </c>
      <c r="AU105" s="650"/>
      <c r="AV105" s="650"/>
      <c r="AW105" s="651"/>
      <c r="AX105" s="652"/>
    </row>
    <row r="106" spans="2:50">
      <c r="B106" s="652"/>
      <c r="C106" s="652"/>
      <c r="D106" s="652"/>
      <c r="E106" s="345" t="s">
        <v>437</v>
      </c>
      <c r="F106" s="345" t="s">
        <v>438</v>
      </c>
      <c r="G106" s="345" t="s">
        <v>439</v>
      </c>
      <c r="H106" s="670"/>
      <c r="I106" s="346" t="s">
        <v>437</v>
      </c>
      <c r="J106" s="346" t="s">
        <v>438</v>
      </c>
      <c r="K106" s="346" t="s">
        <v>439</v>
      </c>
      <c r="L106" s="639"/>
      <c r="M106" s="645"/>
      <c r="N106" s="652"/>
      <c r="O106" s="652"/>
      <c r="P106" s="345" t="s">
        <v>437</v>
      </c>
      <c r="Q106" s="345" t="s">
        <v>438</v>
      </c>
      <c r="R106" s="345" t="s">
        <v>439</v>
      </c>
      <c r="S106" s="345" t="s">
        <v>429</v>
      </c>
      <c r="T106" s="652"/>
      <c r="U106" s="345" t="s">
        <v>437</v>
      </c>
      <c r="V106" s="345" t="s">
        <v>438</v>
      </c>
      <c r="W106" s="345" t="s">
        <v>439</v>
      </c>
      <c r="X106" s="345" t="s">
        <v>429</v>
      </c>
      <c r="Y106" s="652"/>
      <c r="Z106" s="345" t="s">
        <v>437</v>
      </c>
      <c r="AA106" s="345" t="s">
        <v>438</v>
      </c>
      <c r="AB106" s="345" t="s">
        <v>439</v>
      </c>
      <c r="AC106" s="345" t="s">
        <v>429</v>
      </c>
      <c r="AD106" s="652"/>
      <c r="AE106" s="345" t="s">
        <v>437</v>
      </c>
      <c r="AF106" s="345" t="s">
        <v>438</v>
      </c>
      <c r="AG106" s="345" t="s">
        <v>439</v>
      </c>
      <c r="AH106" s="345" t="s">
        <v>429</v>
      </c>
      <c r="AI106" s="652"/>
      <c r="AJ106" s="345" t="s">
        <v>437</v>
      </c>
      <c r="AK106" s="345" t="s">
        <v>438</v>
      </c>
      <c r="AL106" s="345" t="s">
        <v>439</v>
      </c>
      <c r="AM106" s="345" t="s">
        <v>429</v>
      </c>
      <c r="AN106" s="652"/>
      <c r="AO106" s="345" t="s">
        <v>437</v>
      </c>
      <c r="AP106" s="345" t="s">
        <v>438</v>
      </c>
      <c r="AQ106" s="345" t="s">
        <v>439</v>
      </c>
      <c r="AR106" s="345" t="s">
        <v>429</v>
      </c>
      <c r="AS106" s="652"/>
      <c r="AT106" s="345" t="s">
        <v>437</v>
      </c>
      <c r="AU106" s="345" t="s">
        <v>438</v>
      </c>
      <c r="AV106" s="345" t="s">
        <v>439</v>
      </c>
      <c r="AW106" s="345" t="s">
        <v>429</v>
      </c>
      <c r="AX106" s="652"/>
    </row>
    <row r="107" spans="2:50">
      <c r="B107" s="652" t="s">
        <v>132</v>
      </c>
      <c r="C107" s="344">
        <v>1</v>
      </c>
      <c r="D107" s="227"/>
      <c r="E107" s="182"/>
      <c r="F107" s="514"/>
      <c r="G107" s="515"/>
      <c r="H107" s="701" t="e">
        <f>AVERAGE(G107:G121)</f>
        <v>#DIV/0!</v>
      </c>
      <c r="I107" s="199" t="e">
        <f>AVERAGE(P107,U107,Z107,AE107,AJ107,AO107,AT107)</f>
        <v>#DIV/0!</v>
      </c>
      <c r="J107" s="199" t="e">
        <f>AVERAGE(Q107,V107,AA107,AF107,AK107,AP107,AU107)</f>
        <v>#DIV/0!</v>
      </c>
      <c r="K107" s="200" t="e">
        <f>AVERAGE(R107,W107,AB107,AG107,AL107,AQ107,AV107)</f>
        <v>#DIV/0!</v>
      </c>
      <c r="L107" s="633" t="str">
        <f>IFERROR(AVERAGE(K107:K121),"-")</f>
        <v>-</v>
      </c>
      <c r="M107" s="201" t="e">
        <f>RANK(K107, K$107:$K$121)</f>
        <v>#DIV/0!</v>
      </c>
      <c r="N107" s="652"/>
      <c r="O107" s="652"/>
      <c r="P107" s="182"/>
      <c r="Q107" s="347"/>
      <c r="R107" s="347"/>
      <c r="S107" s="344" t="e">
        <f>RANK(R107, R$107:R$121)</f>
        <v>#N/A</v>
      </c>
      <c r="T107" s="701" t="e">
        <f>AVERAGE(R107:R121)</f>
        <v>#DIV/0!</v>
      </c>
      <c r="U107" s="182"/>
      <c r="V107" s="515"/>
      <c r="W107" s="515"/>
      <c r="X107" s="344" t="e">
        <f>RANK(W107, W$107:W$121)</f>
        <v>#N/A</v>
      </c>
      <c r="Y107" s="701" t="e">
        <f>AVERAGE(W107:W121)</f>
        <v>#DIV/0!</v>
      </c>
      <c r="Z107" s="182"/>
      <c r="AA107" s="515"/>
      <c r="AB107" s="515"/>
      <c r="AC107" s="344" t="e">
        <f>RANK(AB107, AB$107:AB$121)</f>
        <v>#N/A</v>
      </c>
      <c r="AD107" s="701" t="e">
        <f>AVERAGE(AB107:AB121)</f>
        <v>#DIV/0!</v>
      </c>
      <c r="AE107" s="182"/>
      <c r="AF107" s="515"/>
      <c r="AG107" s="515"/>
      <c r="AH107" s="344" t="e">
        <f>RANK(AG107, AG$107:AG$121)</f>
        <v>#N/A</v>
      </c>
      <c r="AI107" s="701" t="e">
        <f>AVERAGE(AG107:AG121)</f>
        <v>#DIV/0!</v>
      </c>
      <c r="AJ107" s="182"/>
      <c r="AK107" s="515"/>
      <c r="AL107" s="515"/>
      <c r="AM107" s="344" t="e">
        <f>RANK(AL107, AL$107:AL$121)</f>
        <v>#N/A</v>
      </c>
      <c r="AN107" s="701" t="e">
        <f>AVERAGE(AL107:AL121)</f>
        <v>#DIV/0!</v>
      </c>
      <c r="AO107" s="182"/>
      <c r="AP107" s="515"/>
      <c r="AQ107" s="515"/>
      <c r="AR107" s="344" t="e">
        <f>RANK(AQ107, AQ$107:AQ$121)</f>
        <v>#N/A</v>
      </c>
      <c r="AS107" s="701" t="e">
        <f>AVERAGE(AQ107:AQ121)</f>
        <v>#DIV/0!</v>
      </c>
      <c r="AT107" s="182"/>
      <c r="AU107" s="515"/>
      <c r="AV107" s="515"/>
      <c r="AW107" s="344" t="e">
        <f>RANK(AV107, AV$107:AV$121)</f>
        <v>#N/A</v>
      </c>
      <c r="AX107" s="674" t="e">
        <f>AVERAGE(AV107:AV121)</f>
        <v>#DIV/0!</v>
      </c>
    </row>
    <row r="108" spans="2:50">
      <c r="B108" s="660"/>
      <c r="C108" s="344">
        <v>2</v>
      </c>
      <c r="D108" s="227"/>
      <c r="E108" s="182"/>
      <c r="F108" s="514"/>
      <c r="G108" s="515"/>
      <c r="H108" s="702"/>
      <c r="I108" s="199" t="e">
        <f t="shared" ref="I108:I114" si="83">AVERAGE(P108,U108,Z108,AE108,AJ108,AO108,AT108)</f>
        <v>#DIV/0!</v>
      </c>
      <c r="J108" s="199" t="e">
        <f t="shared" ref="J108:J114" si="84">AVERAGE(Q108,V108,AA108,AF108,AK108,AP108,AU108)</f>
        <v>#DIV/0!</v>
      </c>
      <c r="K108" s="200" t="e">
        <f t="shared" ref="K108:K114" si="85">AVERAGE(R108,W108,AB108,AG108,AL108,AQ108,AV108)</f>
        <v>#DIV/0!</v>
      </c>
      <c r="L108" s="634"/>
      <c r="M108" s="359" t="e">
        <f>RANK(K108, K$107:$K$121)</f>
        <v>#DIV/0!</v>
      </c>
      <c r="N108" s="652"/>
      <c r="O108" s="652"/>
      <c r="P108" s="344"/>
      <c r="Q108" s="347"/>
      <c r="R108" s="347"/>
      <c r="S108" s="356" t="e">
        <f t="shared" ref="S108:S121" si="86">RANK(R108, R$107:R$121)</f>
        <v>#N/A</v>
      </c>
      <c r="T108" s="702"/>
      <c r="U108" s="514"/>
      <c r="V108" s="515"/>
      <c r="W108" s="515"/>
      <c r="X108" s="344" t="e">
        <f t="shared" ref="X108:X121" si="87">RANK(W108, W$107:W$121)</f>
        <v>#N/A</v>
      </c>
      <c r="Y108" s="702"/>
      <c r="Z108" s="514"/>
      <c r="AA108" s="515"/>
      <c r="AB108" s="515"/>
      <c r="AC108" s="344" t="e">
        <f t="shared" ref="AC108:AC121" si="88">RANK(AB108, AB$107:AB$121)</f>
        <v>#N/A</v>
      </c>
      <c r="AD108" s="702"/>
      <c r="AE108" s="514"/>
      <c r="AF108" s="515"/>
      <c r="AG108" s="515"/>
      <c r="AH108" s="344" t="e">
        <f t="shared" ref="AH108:AH121" si="89">RANK(AG108, AG$107:AG$121)</f>
        <v>#N/A</v>
      </c>
      <c r="AI108" s="702"/>
      <c r="AJ108" s="514"/>
      <c r="AK108" s="515"/>
      <c r="AL108" s="515"/>
      <c r="AM108" s="344" t="e">
        <f t="shared" ref="AM108:AM121" si="90">RANK(AL108, AL$107:AL$121)</f>
        <v>#N/A</v>
      </c>
      <c r="AN108" s="702"/>
      <c r="AO108" s="514"/>
      <c r="AP108" s="515"/>
      <c r="AQ108" s="515"/>
      <c r="AR108" s="344" t="e">
        <f t="shared" ref="AR108:AR121" si="91">RANK(AQ108, AQ$107:AQ$121)</f>
        <v>#N/A</v>
      </c>
      <c r="AS108" s="702"/>
      <c r="AT108" s="514"/>
      <c r="AU108" s="515"/>
      <c r="AV108" s="515"/>
      <c r="AW108" s="344" t="e">
        <f t="shared" ref="AW108:AW121" si="92">RANK(AV108, AV$107:AV$121)</f>
        <v>#N/A</v>
      </c>
      <c r="AX108" s="674"/>
    </row>
    <row r="109" spans="2:50">
      <c r="B109" s="660"/>
      <c r="C109" s="344">
        <v>3</v>
      </c>
      <c r="D109" s="227"/>
      <c r="E109" s="182"/>
      <c r="F109" s="514"/>
      <c r="G109" s="515"/>
      <c r="H109" s="702"/>
      <c r="I109" s="199" t="e">
        <f t="shared" si="83"/>
        <v>#DIV/0!</v>
      </c>
      <c r="J109" s="199" t="e">
        <f t="shared" si="84"/>
        <v>#DIV/0!</v>
      </c>
      <c r="K109" s="200" t="e">
        <f t="shared" si="85"/>
        <v>#DIV/0!</v>
      </c>
      <c r="L109" s="634"/>
      <c r="M109" s="359" t="e">
        <f>RANK(K109, K$107:$K$121)</f>
        <v>#DIV/0!</v>
      </c>
      <c r="N109" s="652"/>
      <c r="O109" s="652"/>
      <c r="P109" s="344"/>
      <c r="Q109" s="347"/>
      <c r="R109" s="347"/>
      <c r="S109" s="356" t="e">
        <f t="shared" si="86"/>
        <v>#N/A</v>
      </c>
      <c r="T109" s="702"/>
      <c r="U109" s="514"/>
      <c r="V109" s="515"/>
      <c r="W109" s="515"/>
      <c r="X109" s="344" t="e">
        <f t="shared" si="87"/>
        <v>#N/A</v>
      </c>
      <c r="Y109" s="702"/>
      <c r="Z109" s="514"/>
      <c r="AA109" s="515"/>
      <c r="AB109" s="515"/>
      <c r="AC109" s="344" t="e">
        <f t="shared" si="88"/>
        <v>#N/A</v>
      </c>
      <c r="AD109" s="702"/>
      <c r="AE109" s="514"/>
      <c r="AF109" s="515"/>
      <c r="AG109" s="515"/>
      <c r="AH109" s="344" t="e">
        <f t="shared" si="89"/>
        <v>#N/A</v>
      </c>
      <c r="AI109" s="702"/>
      <c r="AJ109" s="514"/>
      <c r="AK109" s="515"/>
      <c r="AL109" s="515"/>
      <c r="AM109" s="344" t="e">
        <f t="shared" si="90"/>
        <v>#N/A</v>
      </c>
      <c r="AN109" s="702"/>
      <c r="AO109" s="514"/>
      <c r="AP109" s="515"/>
      <c r="AQ109" s="515"/>
      <c r="AR109" s="344" t="e">
        <f t="shared" si="91"/>
        <v>#N/A</v>
      </c>
      <c r="AS109" s="702"/>
      <c r="AT109" s="514"/>
      <c r="AU109" s="515"/>
      <c r="AV109" s="515"/>
      <c r="AW109" s="344" t="e">
        <f t="shared" si="92"/>
        <v>#N/A</v>
      </c>
      <c r="AX109" s="674"/>
    </row>
    <row r="110" spans="2:50">
      <c r="B110" s="660"/>
      <c r="C110" s="344">
        <v>4</v>
      </c>
      <c r="D110" s="227"/>
      <c r="E110" s="182"/>
      <c r="F110" s="514"/>
      <c r="G110" s="515"/>
      <c r="H110" s="702"/>
      <c r="I110" s="199" t="e">
        <f t="shared" si="83"/>
        <v>#DIV/0!</v>
      </c>
      <c r="J110" s="199" t="e">
        <f t="shared" si="84"/>
        <v>#DIV/0!</v>
      </c>
      <c r="K110" s="200" t="e">
        <f t="shared" si="85"/>
        <v>#DIV/0!</v>
      </c>
      <c r="L110" s="634"/>
      <c r="M110" s="359" t="e">
        <f>RANK(K110, K$107:$K$121)</f>
        <v>#DIV/0!</v>
      </c>
      <c r="N110" s="652"/>
      <c r="O110" s="652"/>
      <c r="P110" s="344"/>
      <c r="Q110" s="347"/>
      <c r="R110" s="347"/>
      <c r="S110" s="356" t="e">
        <f t="shared" si="86"/>
        <v>#N/A</v>
      </c>
      <c r="T110" s="702"/>
      <c r="U110" s="514"/>
      <c r="V110" s="515"/>
      <c r="W110" s="515"/>
      <c r="X110" s="344" t="e">
        <f t="shared" si="87"/>
        <v>#N/A</v>
      </c>
      <c r="Y110" s="702"/>
      <c r="Z110" s="514"/>
      <c r="AA110" s="515"/>
      <c r="AB110" s="515"/>
      <c r="AC110" s="344" t="e">
        <f t="shared" si="88"/>
        <v>#N/A</v>
      </c>
      <c r="AD110" s="702"/>
      <c r="AE110" s="514"/>
      <c r="AF110" s="515"/>
      <c r="AG110" s="515"/>
      <c r="AH110" s="344" t="e">
        <f t="shared" si="89"/>
        <v>#N/A</v>
      </c>
      <c r="AI110" s="702"/>
      <c r="AJ110" s="514"/>
      <c r="AK110" s="515"/>
      <c r="AL110" s="515"/>
      <c r="AM110" s="344" t="e">
        <f t="shared" si="90"/>
        <v>#N/A</v>
      </c>
      <c r="AN110" s="702"/>
      <c r="AO110" s="514"/>
      <c r="AP110" s="515"/>
      <c r="AQ110" s="515"/>
      <c r="AR110" s="344" t="e">
        <f t="shared" si="91"/>
        <v>#N/A</v>
      </c>
      <c r="AS110" s="702"/>
      <c r="AT110" s="514"/>
      <c r="AU110" s="515"/>
      <c r="AV110" s="515"/>
      <c r="AW110" s="344" t="e">
        <f t="shared" si="92"/>
        <v>#N/A</v>
      </c>
      <c r="AX110" s="674"/>
    </row>
    <row r="111" spans="2:50">
      <c r="B111" s="660"/>
      <c r="C111" s="344">
        <v>5</v>
      </c>
      <c r="D111" s="227"/>
      <c r="E111" s="182"/>
      <c r="F111" s="514"/>
      <c r="G111" s="515"/>
      <c r="H111" s="702"/>
      <c r="I111" s="199" t="e">
        <f t="shared" si="83"/>
        <v>#DIV/0!</v>
      </c>
      <c r="J111" s="199" t="e">
        <f t="shared" si="84"/>
        <v>#DIV/0!</v>
      </c>
      <c r="K111" s="200" t="e">
        <f t="shared" si="85"/>
        <v>#DIV/0!</v>
      </c>
      <c r="L111" s="634"/>
      <c r="M111" s="359" t="e">
        <f>RANK(K111, K$107:$K$121)</f>
        <v>#DIV/0!</v>
      </c>
      <c r="N111" s="652"/>
      <c r="O111" s="652"/>
      <c r="P111" s="344"/>
      <c r="Q111" s="347"/>
      <c r="R111" s="347"/>
      <c r="S111" s="356" t="e">
        <f t="shared" si="86"/>
        <v>#N/A</v>
      </c>
      <c r="T111" s="702"/>
      <c r="U111" s="514"/>
      <c r="V111" s="515"/>
      <c r="W111" s="515"/>
      <c r="X111" s="344" t="e">
        <f t="shared" si="87"/>
        <v>#N/A</v>
      </c>
      <c r="Y111" s="702"/>
      <c r="Z111" s="514"/>
      <c r="AA111" s="515"/>
      <c r="AB111" s="515"/>
      <c r="AC111" s="344" t="e">
        <f t="shared" si="88"/>
        <v>#N/A</v>
      </c>
      <c r="AD111" s="702"/>
      <c r="AE111" s="514"/>
      <c r="AF111" s="515"/>
      <c r="AG111" s="515"/>
      <c r="AH111" s="344" t="e">
        <f t="shared" si="89"/>
        <v>#N/A</v>
      </c>
      <c r="AI111" s="702"/>
      <c r="AJ111" s="514"/>
      <c r="AK111" s="515"/>
      <c r="AL111" s="515"/>
      <c r="AM111" s="344" t="e">
        <f t="shared" si="90"/>
        <v>#N/A</v>
      </c>
      <c r="AN111" s="702"/>
      <c r="AO111" s="514"/>
      <c r="AP111" s="515"/>
      <c r="AQ111" s="515"/>
      <c r="AR111" s="344" t="e">
        <f t="shared" si="91"/>
        <v>#N/A</v>
      </c>
      <c r="AS111" s="702"/>
      <c r="AT111" s="514"/>
      <c r="AU111" s="515"/>
      <c r="AV111" s="515"/>
      <c r="AW111" s="344" t="e">
        <f t="shared" si="92"/>
        <v>#N/A</v>
      </c>
      <c r="AX111" s="674"/>
    </row>
    <row r="112" spans="2:50">
      <c r="B112" s="660"/>
      <c r="C112" s="344">
        <v>6</v>
      </c>
      <c r="D112" s="227"/>
      <c r="E112" s="182"/>
      <c r="F112" s="514"/>
      <c r="G112" s="515"/>
      <c r="H112" s="702"/>
      <c r="I112" s="199" t="e">
        <f t="shared" si="83"/>
        <v>#DIV/0!</v>
      </c>
      <c r="J112" s="199" t="e">
        <f t="shared" si="84"/>
        <v>#DIV/0!</v>
      </c>
      <c r="K112" s="200" t="e">
        <f t="shared" si="85"/>
        <v>#DIV/0!</v>
      </c>
      <c r="L112" s="634"/>
      <c r="M112" s="359" t="e">
        <f>RANK(K112, K$107:$K$121)</f>
        <v>#DIV/0!</v>
      </c>
      <c r="N112" s="652"/>
      <c r="O112" s="652"/>
      <c r="P112" s="344"/>
      <c r="Q112" s="347"/>
      <c r="R112" s="347"/>
      <c r="S112" s="356" t="e">
        <f t="shared" si="86"/>
        <v>#N/A</v>
      </c>
      <c r="T112" s="702"/>
      <c r="U112" s="514"/>
      <c r="V112" s="515"/>
      <c r="W112" s="515"/>
      <c r="X112" s="344" t="e">
        <f t="shared" si="87"/>
        <v>#N/A</v>
      </c>
      <c r="Y112" s="702"/>
      <c r="Z112" s="514"/>
      <c r="AA112" s="515"/>
      <c r="AB112" s="515"/>
      <c r="AC112" s="344" t="e">
        <f t="shared" si="88"/>
        <v>#N/A</v>
      </c>
      <c r="AD112" s="702"/>
      <c r="AE112" s="514"/>
      <c r="AF112" s="515"/>
      <c r="AG112" s="515"/>
      <c r="AH112" s="344" t="e">
        <f t="shared" si="89"/>
        <v>#N/A</v>
      </c>
      <c r="AI112" s="702"/>
      <c r="AJ112" s="514"/>
      <c r="AK112" s="515"/>
      <c r="AL112" s="515"/>
      <c r="AM112" s="344" t="e">
        <f t="shared" si="90"/>
        <v>#N/A</v>
      </c>
      <c r="AN112" s="702"/>
      <c r="AO112" s="514"/>
      <c r="AP112" s="515"/>
      <c r="AQ112" s="515"/>
      <c r="AR112" s="344" t="e">
        <f t="shared" si="91"/>
        <v>#N/A</v>
      </c>
      <c r="AS112" s="702"/>
      <c r="AT112" s="514"/>
      <c r="AU112" s="515"/>
      <c r="AV112" s="515"/>
      <c r="AW112" s="344" t="e">
        <f t="shared" si="92"/>
        <v>#N/A</v>
      </c>
      <c r="AX112" s="674"/>
    </row>
    <row r="113" spans="2:50">
      <c r="B113" s="660"/>
      <c r="C113" s="344">
        <v>7</v>
      </c>
      <c r="D113" s="227"/>
      <c r="E113" s="182"/>
      <c r="F113" s="514"/>
      <c r="G113" s="515"/>
      <c r="H113" s="702"/>
      <c r="I113" s="199" t="e">
        <f t="shared" si="83"/>
        <v>#DIV/0!</v>
      </c>
      <c r="J113" s="199" t="e">
        <f t="shared" si="84"/>
        <v>#DIV/0!</v>
      </c>
      <c r="K113" s="200" t="e">
        <f t="shared" si="85"/>
        <v>#DIV/0!</v>
      </c>
      <c r="L113" s="634"/>
      <c r="M113" s="359" t="e">
        <f>RANK(K113, K$107:$K$121)</f>
        <v>#DIV/0!</v>
      </c>
      <c r="N113" s="652"/>
      <c r="O113" s="652"/>
      <c r="P113" s="344"/>
      <c r="Q113" s="347"/>
      <c r="R113" s="347"/>
      <c r="S113" s="356" t="e">
        <f t="shared" si="86"/>
        <v>#N/A</v>
      </c>
      <c r="T113" s="702"/>
      <c r="U113" s="514"/>
      <c r="V113" s="515"/>
      <c r="W113" s="515"/>
      <c r="X113" s="344" t="e">
        <f t="shared" si="87"/>
        <v>#N/A</v>
      </c>
      <c r="Y113" s="702"/>
      <c r="Z113" s="514"/>
      <c r="AA113" s="515"/>
      <c r="AB113" s="515"/>
      <c r="AC113" s="344" t="e">
        <f t="shared" si="88"/>
        <v>#N/A</v>
      </c>
      <c r="AD113" s="702"/>
      <c r="AE113" s="514"/>
      <c r="AF113" s="515"/>
      <c r="AG113" s="515"/>
      <c r="AH113" s="344" t="e">
        <f t="shared" si="89"/>
        <v>#N/A</v>
      </c>
      <c r="AI113" s="702"/>
      <c r="AJ113" s="514"/>
      <c r="AK113" s="515"/>
      <c r="AL113" s="515"/>
      <c r="AM113" s="344" t="e">
        <f t="shared" si="90"/>
        <v>#N/A</v>
      </c>
      <c r="AN113" s="702"/>
      <c r="AO113" s="514"/>
      <c r="AP113" s="515"/>
      <c r="AQ113" s="515"/>
      <c r="AR113" s="344" t="e">
        <f t="shared" si="91"/>
        <v>#N/A</v>
      </c>
      <c r="AS113" s="702"/>
      <c r="AT113" s="514"/>
      <c r="AU113" s="515"/>
      <c r="AV113" s="515"/>
      <c r="AW113" s="344" t="e">
        <f t="shared" si="92"/>
        <v>#N/A</v>
      </c>
      <c r="AX113" s="674"/>
    </row>
    <row r="114" spans="2:50">
      <c r="B114" s="660"/>
      <c r="C114" s="344">
        <v>8</v>
      </c>
      <c r="D114" s="227"/>
      <c r="E114" s="182"/>
      <c r="F114" s="514"/>
      <c r="G114" s="515"/>
      <c r="H114" s="702"/>
      <c r="I114" s="199" t="e">
        <f t="shared" si="83"/>
        <v>#DIV/0!</v>
      </c>
      <c r="J114" s="199" t="e">
        <f t="shared" si="84"/>
        <v>#DIV/0!</v>
      </c>
      <c r="K114" s="200" t="e">
        <f t="shared" si="85"/>
        <v>#DIV/0!</v>
      </c>
      <c r="L114" s="634"/>
      <c r="M114" s="359" t="e">
        <f>RANK(K114, K$107:$K$121)</f>
        <v>#DIV/0!</v>
      </c>
      <c r="N114" s="652"/>
      <c r="O114" s="652"/>
      <c r="P114" s="344"/>
      <c r="Q114" s="347"/>
      <c r="R114" s="347"/>
      <c r="S114" s="356" t="e">
        <f t="shared" si="86"/>
        <v>#N/A</v>
      </c>
      <c r="T114" s="702"/>
      <c r="U114" s="514"/>
      <c r="V114" s="515"/>
      <c r="W114" s="515"/>
      <c r="X114" s="344" t="e">
        <f t="shared" si="87"/>
        <v>#N/A</v>
      </c>
      <c r="Y114" s="702"/>
      <c r="Z114" s="514"/>
      <c r="AA114" s="515"/>
      <c r="AB114" s="515"/>
      <c r="AC114" s="344" t="e">
        <f t="shared" si="88"/>
        <v>#N/A</v>
      </c>
      <c r="AD114" s="702"/>
      <c r="AE114" s="514"/>
      <c r="AF114" s="515"/>
      <c r="AG114" s="515"/>
      <c r="AH114" s="344" t="e">
        <f t="shared" si="89"/>
        <v>#N/A</v>
      </c>
      <c r="AI114" s="702"/>
      <c r="AJ114" s="514"/>
      <c r="AK114" s="515"/>
      <c r="AL114" s="515"/>
      <c r="AM114" s="344" t="e">
        <f t="shared" si="90"/>
        <v>#N/A</v>
      </c>
      <c r="AN114" s="702"/>
      <c r="AO114" s="514"/>
      <c r="AP114" s="515"/>
      <c r="AQ114" s="515"/>
      <c r="AR114" s="344" t="e">
        <f t="shared" si="91"/>
        <v>#N/A</v>
      </c>
      <c r="AS114" s="702"/>
      <c r="AT114" s="514"/>
      <c r="AU114" s="515"/>
      <c r="AV114" s="515"/>
      <c r="AW114" s="344" t="e">
        <f t="shared" si="92"/>
        <v>#N/A</v>
      </c>
      <c r="AX114" s="674"/>
    </row>
    <row r="115" spans="2:50">
      <c r="B115" s="660"/>
      <c r="C115" s="344">
        <v>9</v>
      </c>
      <c r="D115" s="227"/>
      <c r="E115" s="182"/>
      <c r="F115" s="514"/>
      <c r="G115" s="515"/>
      <c r="H115" s="702"/>
      <c r="I115" s="358" t="e">
        <f t="shared" ref="I115:I116" si="93">AVERAGE(P115,U115,Z115,AE115,AJ115,AO115,AT115)</f>
        <v>#DIV/0!</v>
      </c>
      <c r="J115" s="358" t="e">
        <f t="shared" ref="J115:J116" si="94">AVERAGE(Q115,V115,AA115,AF115,AK115,AP115,AU115)</f>
        <v>#DIV/0!</v>
      </c>
      <c r="K115" s="200" t="e">
        <f t="shared" ref="K115:K116" si="95">AVERAGE(R115,W115,AB115,AG115,AL115,AQ115,AV115)</f>
        <v>#DIV/0!</v>
      </c>
      <c r="L115" s="634"/>
      <c r="M115" s="359" t="e">
        <f>RANK(K115, K$107:$K$121)</f>
        <v>#DIV/0!</v>
      </c>
      <c r="N115" s="652"/>
      <c r="O115" s="652"/>
      <c r="P115" s="344"/>
      <c r="Q115" s="347"/>
      <c r="R115" s="347"/>
      <c r="S115" s="356" t="e">
        <f t="shared" si="86"/>
        <v>#N/A</v>
      </c>
      <c r="T115" s="702"/>
      <c r="U115" s="514"/>
      <c r="V115" s="515"/>
      <c r="W115" s="515"/>
      <c r="X115" s="344" t="e">
        <f t="shared" si="87"/>
        <v>#N/A</v>
      </c>
      <c r="Y115" s="702"/>
      <c r="Z115" s="514"/>
      <c r="AA115" s="515"/>
      <c r="AB115" s="515"/>
      <c r="AC115" s="344" t="e">
        <f t="shared" si="88"/>
        <v>#N/A</v>
      </c>
      <c r="AD115" s="702"/>
      <c r="AE115" s="514"/>
      <c r="AF115" s="515"/>
      <c r="AG115" s="515"/>
      <c r="AH115" s="344" t="e">
        <f t="shared" si="89"/>
        <v>#N/A</v>
      </c>
      <c r="AI115" s="702"/>
      <c r="AJ115" s="514"/>
      <c r="AK115" s="515"/>
      <c r="AL115" s="515"/>
      <c r="AM115" s="344" t="e">
        <f t="shared" si="90"/>
        <v>#N/A</v>
      </c>
      <c r="AN115" s="702"/>
      <c r="AO115" s="514"/>
      <c r="AP115" s="515"/>
      <c r="AQ115" s="515"/>
      <c r="AR115" s="344" t="e">
        <f t="shared" si="91"/>
        <v>#N/A</v>
      </c>
      <c r="AS115" s="702"/>
      <c r="AT115" s="514"/>
      <c r="AU115" s="515"/>
      <c r="AV115" s="515"/>
      <c r="AW115" s="344" t="e">
        <f t="shared" si="92"/>
        <v>#N/A</v>
      </c>
      <c r="AX115" s="674"/>
    </row>
    <row r="116" spans="2:50">
      <c r="B116" s="660"/>
      <c r="C116" s="344">
        <v>10</v>
      </c>
      <c r="D116" s="227"/>
      <c r="E116" s="182"/>
      <c r="F116" s="514"/>
      <c r="G116" s="515"/>
      <c r="H116" s="702"/>
      <c r="I116" s="358" t="e">
        <f t="shared" si="93"/>
        <v>#DIV/0!</v>
      </c>
      <c r="J116" s="358" t="e">
        <f t="shared" si="94"/>
        <v>#DIV/0!</v>
      </c>
      <c r="K116" s="200" t="e">
        <f t="shared" si="95"/>
        <v>#DIV/0!</v>
      </c>
      <c r="L116" s="634"/>
      <c r="M116" s="359" t="e">
        <f>RANK(K116, K$107:$K$121)</f>
        <v>#DIV/0!</v>
      </c>
      <c r="N116" s="652"/>
      <c r="O116" s="652"/>
      <c r="P116" s="344"/>
      <c r="Q116" s="347"/>
      <c r="R116" s="347"/>
      <c r="S116" s="356" t="e">
        <f t="shared" si="86"/>
        <v>#N/A</v>
      </c>
      <c r="T116" s="702"/>
      <c r="U116" s="514"/>
      <c r="V116" s="515"/>
      <c r="W116" s="515"/>
      <c r="X116" s="344" t="e">
        <f t="shared" si="87"/>
        <v>#N/A</v>
      </c>
      <c r="Y116" s="702"/>
      <c r="Z116" s="514"/>
      <c r="AA116" s="515"/>
      <c r="AB116" s="515"/>
      <c r="AC116" s="344" t="e">
        <f t="shared" si="88"/>
        <v>#N/A</v>
      </c>
      <c r="AD116" s="702"/>
      <c r="AE116" s="514"/>
      <c r="AF116" s="515"/>
      <c r="AG116" s="515"/>
      <c r="AH116" s="344" t="e">
        <f t="shared" si="89"/>
        <v>#N/A</v>
      </c>
      <c r="AI116" s="702"/>
      <c r="AJ116" s="514"/>
      <c r="AK116" s="515"/>
      <c r="AL116" s="515"/>
      <c r="AM116" s="344" t="e">
        <f t="shared" si="90"/>
        <v>#N/A</v>
      </c>
      <c r="AN116" s="702"/>
      <c r="AO116" s="514"/>
      <c r="AP116" s="515"/>
      <c r="AQ116" s="515"/>
      <c r="AR116" s="344" t="e">
        <f t="shared" si="91"/>
        <v>#N/A</v>
      </c>
      <c r="AS116" s="702"/>
      <c r="AT116" s="514"/>
      <c r="AU116" s="515"/>
      <c r="AV116" s="515"/>
      <c r="AW116" s="344" t="e">
        <f t="shared" si="92"/>
        <v>#N/A</v>
      </c>
      <c r="AX116" s="674"/>
    </row>
    <row r="117" spans="2:50">
      <c r="B117" s="660"/>
      <c r="C117" s="344">
        <v>11</v>
      </c>
      <c r="D117" s="227"/>
      <c r="E117" s="182"/>
      <c r="F117" s="514"/>
      <c r="G117" s="515"/>
      <c r="H117" s="702"/>
      <c r="I117" s="202"/>
      <c r="J117" s="202"/>
      <c r="K117" s="202"/>
      <c r="L117" s="634"/>
      <c r="M117" s="359" t="e">
        <f>RANK(K117, K$107:$K$121)</f>
        <v>#DIV/0!</v>
      </c>
      <c r="N117" s="652"/>
      <c r="O117" s="652"/>
      <c r="P117" s="344"/>
      <c r="Q117" s="347"/>
      <c r="R117" s="347"/>
      <c r="S117" s="356" t="e">
        <f t="shared" si="86"/>
        <v>#N/A</v>
      </c>
      <c r="T117" s="702"/>
      <c r="U117" s="514"/>
      <c r="V117" s="515"/>
      <c r="W117" s="515"/>
      <c r="X117" s="344" t="e">
        <f t="shared" si="87"/>
        <v>#N/A</v>
      </c>
      <c r="Y117" s="702"/>
      <c r="Z117" s="514"/>
      <c r="AA117" s="515"/>
      <c r="AB117" s="515"/>
      <c r="AC117" s="344" t="e">
        <f t="shared" si="88"/>
        <v>#N/A</v>
      </c>
      <c r="AD117" s="702"/>
      <c r="AE117" s="514"/>
      <c r="AF117" s="515"/>
      <c r="AG117" s="515"/>
      <c r="AH117" s="344" t="e">
        <f t="shared" si="89"/>
        <v>#N/A</v>
      </c>
      <c r="AI117" s="702"/>
      <c r="AJ117" s="514"/>
      <c r="AK117" s="515"/>
      <c r="AL117" s="515"/>
      <c r="AM117" s="344" t="e">
        <f t="shared" si="90"/>
        <v>#N/A</v>
      </c>
      <c r="AN117" s="702"/>
      <c r="AO117" s="514"/>
      <c r="AP117" s="515"/>
      <c r="AQ117" s="515"/>
      <c r="AR117" s="344" t="e">
        <f t="shared" si="91"/>
        <v>#N/A</v>
      </c>
      <c r="AS117" s="702"/>
      <c r="AT117" s="514"/>
      <c r="AU117" s="515"/>
      <c r="AV117" s="515"/>
      <c r="AW117" s="344" t="e">
        <f t="shared" si="92"/>
        <v>#N/A</v>
      </c>
      <c r="AX117" s="674"/>
    </row>
    <row r="118" spans="2:50">
      <c r="B118" s="660"/>
      <c r="C118" s="344">
        <v>12</v>
      </c>
      <c r="D118" s="227"/>
      <c r="E118" s="182"/>
      <c r="F118" s="514"/>
      <c r="G118" s="515"/>
      <c r="H118" s="702"/>
      <c r="I118" s="202"/>
      <c r="J118" s="202"/>
      <c r="K118" s="202"/>
      <c r="L118" s="634"/>
      <c r="M118" s="359" t="e">
        <f>RANK(K118, K$107:$K$121)</f>
        <v>#DIV/0!</v>
      </c>
      <c r="N118" s="652"/>
      <c r="O118" s="652"/>
      <c r="P118" s="344"/>
      <c r="Q118" s="347"/>
      <c r="R118" s="347"/>
      <c r="S118" s="356" t="e">
        <f t="shared" si="86"/>
        <v>#N/A</v>
      </c>
      <c r="T118" s="702"/>
      <c r="U118" s="514"/>
      <c r="V118" s="515"/>
      <c r="W118" s="515"/>
      <c r="X118" s="344" t="e">
        <f t="shared" si="87"/>
        <v>#N/A</v>
      </c>
      <c r="Y118" s="702"/>
      <c r="Z118" s="514"/>
      <c r="AA118" s="515"/>
      <c r="AB118" s="515"/>
      <c r="AC118" s="344" t="e">
        <f t="shared" si="88"/>
        <v>#N/A</v>
      </c>
      <c r="AD118" s="702"/>
      <c r="AE118" s="514"/>
      <c r="AF118" s="515"/>
      <c r="AG118" s="515"/>
      <c r="AH118" s="344" t="e">
        <f t="shared" si="89"/>
        <v>#N/A</v>
      </c>
      <c r="AI118" s="702"/>
      <c r="AJ118" s="514"/>
      <c r="AK118" s="515"/>
      <c r="AL118" s="515"/>
      <c r="AM118" s="344" t="e">
        <f t="shared" si="90"/>
        <v>#N/A</v>
      </c>
      <c r="AN118" s="702"/>
      <c r="AO118" s="514"/>
      <c r="AP118" s="515"/>
      <c r="AQ118" s="515"/>
      <c r="AR118" s="344" t="e">
        <f t="shared" si="91"/>
        <v>#N/A</v>
      </c>
      <c r="AS118" s="702"/>
      <c r="AT118" s="514"/>
      <c r="AU118" s="515"/>
      <c r="AV118" s="515"/>
      <c r="AW118" s="344" t="e">
        <f t="shared" si="92"/>
        <v>#N/A</v>
      </c>
      <c r="AX118" s="674"/>
    </row>
    <row r="119" spans="2:50">
      <c r="B119" s="660"/>
      <c r="C119" s="344">
        <v>13</v>
      </c>
      <c r="D119" s="227"/>
      <c r="E119" s="182"/>
      <c r="F119" s="514"/>
      <c r="G119" s="515"/>
      <c r="H119" s="702"/>
      <c r="I119" s="202"/>
      <c r="J119" s="202"/>
      <c r="K119" s="202"/>
      <c r="L119" s="634"/>
      <c r="M119" s="359" t="e">
        <f>RANK(K119, K$107:$K$121)</f>
        <v>#DIV/0!</v>
      </c>
      <c r="N119" s="652"/>
      <c r="O119" s="652"/>
      <c r="P119" s="344"/>
      <c r="Q119" s="347"/>
      <c r="R119" s="347"/>
      <c r="S119" s="356" t="e">
        <f t="shared" si="86"/>
        <v>#N/A</v>
      </c>
      <c r="T119" s="702"/>
      <c r="U119" s="514"/>
      <c r="V119" s="515"/>
      <c r="W119" s="515"/>
      <c r="X119" s="344" t="e">
        <f t="shared" si="87"/>
        <v>#N/A</v>
      </c>
      <c r="Y119" s="702"/>
      <c r="Z119" s="514"/>
      <c r="AA119" s="515"/>
      <c r="AB119" s="515"/>
      <c r="AC119" s="344" t="e">
        <f t="shared" si="88"/>
        <v>#N/A</v>
      </c>
      <c r="AD119" s="702"/>
      <c r="AE119" s="514"/>
      <c r="AF119" s="515"/>
      <c r="AG119" s="515"/>
      <c r="AH119" s="344" t="e">
        <f t="shared" si="89"/>
        <v>#N/A</v>
      </c>
      <c r="AI119" s="702"/>
      <c r="AJ119" s="514"/>
      <c r="AK119" s="515"/>
      <c r="AL119" s="515"/>
      <c r="AM119" s="344" t="e">
        <f t="shared" si="90"/>
        <v>#N/A</v>
      </c>
      <c r="AN119" s="702"/>
      <c r="AO119" s="514"/>
      <c r="AP119" s="515"/>
      <c r="AQ119" s="515"/>
      <c r="AR119" s="344" t="e">
        <f t="shared" si="91"/>
        <v>#N/A</v>
      </c>
      <c r="AS119" s="702"/>
      <c r="AT119" s="514"/>
      <c r="AU119" s="515"/>
      <c r="AV119" s="515"/>
      <c r="AW119" s="344" t="e">
        <f t="shared" si="92"/>
        <v>#N/A</v>
      </c>
      <c r="AX119" s="674"/>
    </row>
    <row r="120" spans="2:50">
      <c r="B120" s="660"/>
      <c r="C120" s="344">
        <v>14</v>
      </c>
      <c r="D120" s="227"/>
      <c r="E120" s="182"/>
      <c r="F120" s="514"/>
      <c r="G120" s="515"/>
      <c r="H120" s="702"/>
      <c r="I120" s="202"/>
      <c r="J120" s="202"/>
      <c r="K120" s="202"/>
      <c r="L120" s="634"/>
      <c r="M120" s="359" t="e">
        <f>RANK(K120, K$107:$K$121)</f>
        <v>#DIV/0!</v>
      </c>
      <c r="N120" s="652"/>
      <c r="O120" s="652"/>
      <c r="P120" s="344"/>
      <c r="Q120" s="347"/>
      <c r="R120" s="347"/>
      <c r="S120" s="356" t="e">
        <f t="shared" si="86"/>
        <v>#N/A</v>
      </c>
      <c r="T120" s="702"/>
      <c r="U120" s="514"/>
      <c r="V120" s="515"/>
      <c r="W120" s="515"/>
      <c r="X120" s="344" t="e">
        <f t="shared" si="87"/>
        <v>#N/A</v>
      </c>
      <c r="Y120" s="702"/>
      <c r="Z120" s="514"/>
      <c r="AA120" s="515"/>
      <c r="AB120" s="515"/>
      <c r="AC120" s="344" t="e">
        <f t="shared" si="88"/>
        <v>#N/A</v>
      </c>
      <c r="AD120" s="702"/>
      <c r="AE120" s="514"/>
      <c r="AF120" s="515"/>
      <c r="AG120" s="515"/>
      <c r="AH120" s="344" t="e">
        <f t="shared" si="89"/>
        <v>#N/A</v>
      </c>
      <c r="AI120" s="702"/>
      <c r="AJ120" s="514"/>
      <c r="AK120" s="515"/>
      <c r="AL120" s="515"/>
      <c r="AM120" s="344" t="e">
        <f t="shared" si="90"/>
        <v>#N/A</v>
      </c>
      <c r="AN120" s="702"/>
      <c r="AO120" s="514"/>
      <c r="AP120" s="515"/>
      <c r="AQ120" s="515"/>
      <c r="AR120" s="344" t="e">
        <f t="shared" si="91"/>
        <v>#N/A</v>
      </c>
      <c r="AS120" s="702"/>
      <c r="AT120" s="514"/>
      <c r="AU120" s="515"/>
      <c r="AV120" s="515"/>
      <c r="AW120" s="344" t="e">
        <f t="shared" si="92"/>
        <v>#N/A</v>
      </c>
      <c r="AX120" s="674"/>
    </row>
    <row r="121" spans="2:50">
      <c r="B121" s="660"/>
      <c r="C121" s="344">
        <v>15</v>
      </c>
      <c r="D121" s="227"/>
      <c r="E121" s="182"/>
      <c r="F121" s="514"/>
      <c r="G121" s="515"/>
      <c r="H121" s="703"/>
      <c r="I121" s="202"/>
      <c r="J121" s="202"/>
      <c r="K121" s="202"/>
      <c r="L121" s="635"/>
      <c r="M121" s="359" t="e">
        <f>RANK(K121, K$107:$K$121)</f>
        <v>#DIV/0!</v>
      </c>
      <c r="N121" s="652"/>
      <c r="O121" s="652"/>
      <c r="P121" s="344"/>
      <c r="Q121" s="347"/>
      <c r="R121" s="347"/>
      <c r="S121" s="356" t="e">
        <f t="shared" si="86"/>
        <v>#N/A</v>
      </c>
      <c r="T121" s="703"/>
      <c r="U121" s="514"/>
      <c r="V121" s="515"/>
      <c r="W121" s="515"/>
      <c r="X121" s="344" t="e">
        <f t="shared" si="87"/>
        <v>#N/A</v>
      </c>
      <c r="Y121" s="703"/>
      <c r="Z121" s="514"/>
      <c r="AA121" s="515"/>
      <c r="AB121" s="515"/>
      <c r="AC121" s="344" t="e">
        <f t="shared" si="88"/>
        <v>#N/A</v>
      </c>
      <c r="AD121" s="703"/>
      <c r="AE121" s="514"/>
      <c r="AF121" s="515"/>
      <c r="AG121" s="515"/>
      <c r="AH121" s="344" t="e">
        <f t="shared" si="89"/>
        <v>#N/A</v>
      </c>
      <c r="AI121" s="703"/>
      <c r="AJ121" s="514"/>
      <c r="AK121" s="515"/>
      <c r="AL121" s="515"/>
      <c r="AM121" s="344" t="e">
        <f t="shared" si="90"/>
        <v>#N/A</v>
      </c>
      <c r="AN121" s="703"/>
      <c r="AO121" s="514"/>
      <c r="AP121" s="515"/>
      <c r="AQ121" s="515"/>
      <c r="AR121" s="344" t="e">
        <f t="shared" si="91"/>
        <v>#N/A</v>
      </c>
      <c r="AS121" s="703"/>
      <c r="AT121" s="514"/>
      <c r="AU121" s="515"/>
      <c r="AV121" s="515"/>
      <c r="AW121" s="344" t="e">
        <f t="shared" si="92"/>
        <v>#N/A</v>
      </c>
      <c r="AX121" s="674"/>
    </row>
    <row r="123" spans="2:50" ht="15.75">
      <c r="B123" s="691" t="s">
        <v>674</v>
      </c>
      <c r="C123" s="692"/>
      <c r="D123" s="692"/>
      <c r="E123" s="692"/>
      <c r="F123" s="692"/>
      <c r="G123" s="692"/>
      <c r="H123" s="693"/>
      <c r="I123" s="348"/>
      <c r="J123" s="348"/>
      <c r="K123" s="348"/>
      <c r="L123" s="348"/>
      <c r="M123" s="349"/>
    </row>
    <row r="124" spans="2:50" ht="15.75">
      <c r="B124" s="694"/>
      <c r="C124" s="694"/>
      <c r="D124" s="694"/>
      <c r="E124" s="694"/>
      <c r="F124" s="694"/>
      <c r="G124" s="694"/>
      <c r="H124" s="694"/>
      <c r="I124" s="350"/>
      <c r="J124" s="350"/>
      <c r="K124" s="350"/>
      <c r="L124" s="350"/>
      <c r="M124" s="351"/>
    </row>
    <row r="125" spans="2:50">
      <c r="B125" s="652" t="s">
        <v>675</v>
      </c>
      <c r="C125" s="652" t="s">
        <v>676</v>
      </c>
      <c r="D125" s="652"/>
      <c r="E125" s="652" t="s">
        <v>677</v>
      </c>
      <c r="F125" s="652"/>
      <c r="G125" s="652"/>
      <c r="H125" s="668" t="s">
        <v>678</v>
      </c>
      <c r="I125" s="695" t="s">
        <v>679</v>
      </c>
      <c r="J125" s="695"/>
      <c r="K125" s="695"/>
      <c r="L125" s="716" t="s">
        <v>678</v>
      </c>
      <c r="M125" s="719" t="s">
        <v>680</v>
      </c>
    </row>
    <row r="126" spans="2:50">
      <c r="B126" s="652"/>
      <c r="C126" s="652"/>
      <c r="D126" s="652"/>
      <c r="E126" s="652" t="s">
        <v>681</v>
      </c>
      <c r="F126" s="652"/>
      <c r="G126" s="652"/>
      <c r="H126" s="669"/>
      <c r="I126" s="695" t="s">
        <v>681</v>
      </c>
      <c r="J126" s="695"/>
      <c r="K126" s="695"/>
      <c r="L126" s="717"/>
      <c r="M126" s="720"/>
    </row>
    <row r="127" spans="2:50">
      <c r="B127" s="652"/>
      <c r="C127" s="652"/>
      <c r="D127" s="652"/>
      <c r="E127" s="345" t="s">
        <v>682</v>
      </c>
      <c r="F127" s="345" t="s">
        <v>683</v>
      </c>
      <c r="G127" s="345" t="s">
        <v>684</v>
      </c>
      <c r="H127" s="670"/>
      <c r="I127" s="352" t="s">
        <v>682</v>
      </c>
      <c r="J127" s="352" t="s">
        <v>683</v>
      </c>
      <c r="K127" s="352" t="s">
        <v>684</v>
      </c>
      <c r="L127" s="718"/>
      <c r="M127" s="721"/>
    </row>
    <row r="128" spans="2:50">
      <c r="B128" s="652" t="s">
        <v>690</v>
      </c>
      <c r="C128" s="344">
        <v>1</v>
      </c>
      <c r="D128" s="227"/>
      <c r="E128" s="182"/>
      <c r="F128" s="344"/>
      <c r="G128" s="347"/>
      <c r="H128" s="701" t="e">
        <f>AVERAGE(G128:G142)</f>
        <v>#DIV/0!</v>
      </c>
      <c r="I128" s="199" t="e">
        <f t="shared" ref="I128:J135" si="96">AVERAGEIF($D$7:$D$121,$D128,I$7:I$121)</f>
        <v>#DIV/0!</v>
      </c>
      <c r="J128" s="199" t="e">
        <f t="shared" si="96"/>
        <v>#DIV/0!</v>
      </c>
      <c r="K128" s="199" t="e">
        <f t="shared" ref="K128:K135" si="97">AVERAGEIF($D$7:$D$121,$D128,K$7:K$121)</f>
        <v>#DIV/0!</v>
      </c>
      <c r="L128" s="713" t="e">
        <f>AVERAGE(K128:K142)</f>
        <v>#DIV/0!</v>
      </c>
      <c r="M128" s="199" t="e">
        <f>RANK(K128, K$128:$K$142)</f>
        <v>#DIV/0!</v>
      </c>
    </row>
    <row r="129" spans="2:13">
      <c r="B129" s="660"/>
      <c r="C129" s="344">
        <v>2</v>
      </c>
      <c r="D129" s="227"/>
      <c r="E129" s="182"/>
      <c r="F129" s="344"/>
      <c r="G129" s="347"/>
      <c r="H129" s="702"/>
      <c r="I129" s="199" t="e">
        <f t="shared" si="96"/>
        <v>#DIV/0!</v>
      </c>
      <c r="J129" s="199" t="e">
        <f t="shared" si="96"/>
        <v>#DIV/0!</v>
      </c>
      <c r="K129" s="199" t="e">
        <f t="shared" si="97"/>
        <v>#DIV/0!</v>
      </c>
      <c r="L129" s="714"/>
      <c r="M129" s="199" t="e">
        <f>RANK(K129, K$128:$K$142)</f>
        <v>#DIV/0!</v>
      </c>
    </row>
    <row r="130" spans="2:13">
      <c r="B130" s="660"/>
      <c r="C130" s="344">
        <v>3</v>
      </c>
      <c r="D130" s="227"/>
      <c r="E130" s="182"/>
      <c r="F130" s="344"/>
      <c r="G130" s="347"/>
      <c r="H130" s="702"/>
      <c r="I130" s="199" t="e">
        <f t="shared" si="96"/>
        <v>#DIV/0!</v>
      </c>
      <c r="J130" s="199" t="e">
        <f t="shared" si="96"/>
        <v>#DIV/0!</v>
      </c>
      <c r="K130" s="199" t="e">
        <f t="shared" si="97"/>
        <v>#DIV/0!</v>
      </c>
      <c r="L130" s="714"/>
      <c r="M130" s="199" t="e">
        <f>RANK(K130, K$128:$K$142)</f>
        <v>#DIV/0!</v>
      </c>
    </row>
    <row r="131" spans="2:13">
      <c r="B131" s="660"/>
      <c r="C131" s="344">
        <v>4</v>
      </c>
      <c r="D131" s="227"/>
      <c r="E131" s="182"/>
      <c r="F131" s="344"/>
      <c r="G131" s="347"/>
      <c r="H131" s="702"/>
      <c r="I131" s="199" t="e">
        <f t="shared" si="96"/>
        <v>#DIV/0!</v>
      </c>
      <c r="J131" s="199" t="e">
        <f t="shared" si="96"/>
        <v>#DIV/0!</v>
      </c>
      <c r="K131" s="199" t="e">
        <f t="shared" si="97"/>
        <v>#DIV/0!</v>
      </c>
      <c r="L131" s="714"/>
      <c r="M131" s="199" t="e">
        <f>RANK(K131, K$128:$K$142)</f>
        <v>#DIV/0!</v>
      </c>
    </row>
    <row r="132" spans="2:13">
      <c r="B132" s="660"/>
      <c r="C132" s="344">
        <v>5</v>
      </c>
      <c r="D132" s="227"/>
      <c r="E132" s="182"/>
      <c r="F132" s="344"/>
      <c r="G132" s="347"/>
      <c r="H132" s="702"/>
      <c r="I132" s="199" t="e">
        <f t="shared" si="96"/>
        <v>#DIV/0!</v>
      </c>
      <c r="J132" s="199" t="e">
        <f t="shared" si="96"/>
        <v>#DIV/0!</v>
      </c>
      <c r="K132" s="199" t="e">
        <f t="shared" si="97"/>
        <v>#DIV/0!</v>
      </c>
      <c r="L132" s="714"/>
      <c r="M132" s="199" t="e">
        <f>RANK(K132, K$128:$K$142)</f>
        <v>#DIV/0!</v>
      </c>
    </row>
    <row r="133" spans="2:13">
      <c r="B133" s="660"/>
      <c r="C133" s="344">
        <v>6</v>
      </c>
      <c r="D133" s="353"/>
      <c r="E133" s="182"/>
      <c r="F133" s="344"/>
      <c r="G133" s="347"/>
      <c r="H133" s="702"/>
      <c r="I133" s="199" t="e">
        <f t="shared" si="96"/>
        <v>#DIV/0!</v>
      </c>
      <c r="J133" s="199" t="e">
        <f t="shared" si="96"/>
        <v>#DIV/0!</v>
      </c>
      <c r="K133" s="199" t="e">
        <f t="shared" si="97"/>
        <v>#DIV/0!</v>
      </c>
      <c r="L133" s="714"/>
      <c r="M133" s="199" t="e">
        <f>RANK(K133, K$128:$K$142)</f>
        <v>#DIV/0!</v>
      </c>
    </row>
    <row r="134" spans="2:13">
      <c r="B134" s="660"/>
      <c r="C134" s="344">
        <v>7</v>
      </c>
      <c r="D134" s="227"/>
      <c r="E134" s="182"/>
      <c r="F134" s="344"/>
      <c r="G134" s="347"/>
      <c r="H134" s="702"/>
      <c r="I134" s="199" t="e">
        <f t="shared" si="96"/>
        <v>#DIV/0!</v>
      </c>
      <c r="J134" s="199" t="e">
        <f t="shared" si="96"/>
        <v>#DIV/0!</v>
      </c>
      <c r="K134" s="199" t="e">
        <f t="shared" si="97"/>
        <v>#DIV/0!</v>
      </c>
      <c r="L134" s="714"/>
      <c r="M134" s="199" t="e">
        <f>RANK(K134, K$128:$K$142)</f>
        <v>#DIV/0!</v>
      </c>
    </row>
    <row r="135" spans="2:13">
      <c r="B135" s="660"/>
      <c r="C135" s="344">
        <v>8</v>
      </c>
      <c r="D135" s="227"/>
      <c r="E135" s="182"/>
      <c r="F135" s="344"/>
      <c r="G135" s="347"/>
      <c r="H135" s="702"/>
      <c r="I135" s="199" t="e">
        <f t="shared" si="96"/>
        <v>#DIV/0!</v>
      </c>
      <c r="J135" s="199" t="e">
        <f t="shared" si="96"/>
        <v>#DIV/0!</v>
      </c>
      <c r="K135" s="199" t="e">
        <f t="shared" si="97"/>
        <v>#DIV/0!</v>
      </c>
      <c r="L135" s="714"/>
      <c r="M135" s="199" t="e">
        <f>RANK(K135, K$128:$K$142)</f>
        <v>#DIV/0!</v>
      </c>
    </row>
    <row r="136" spans="2:13">
      <c r="B136" s="660"/>
      <c r="C136" s="344">
        <v>9</v>
      </c>
      <c r="D136" s="227"/>
      <c r="E136" s="344"/>
      <c r="F136" s="344"/>
      <c r="G136" s="344"/>
      <c r="H136" s="702"/>
      <c r="I136" s="199"/>
      <c r="J136" s="199"/>
      <c r="K136" s="199"/>
      <c r="L136" s="714"/>
      <c r="M136" s="199" t="e">
        <f>RANK(K136, K$128:$K$142)</f>
        <v>#DIV/0!</v>
      </c>
    </row>
    <row r="137" spans="2:13">
      <c r="B137" s="660"/>
      <c r="C137" s="344">
        <v>10</v>
      </c>
      <c r="D137" s="227"/>
      <c r="E137" s="344"/>
      <c r="F137" s="344"/>
      <c r="G137" s="344"/>
      <c r="H137" s="702"/>
      <c r="I137" s="199"/>
      <c r="J137" s="199"/>
      <c r="K137" s="199"/>
      <c r="L137" s="714"/>
      <c r="M137" s="199" t="e">
        <f>RANK(K137, K$128:$K$142)</f>
        <v>#DIV/0!</v>
      </c>
    </row>
    <row r="138" spans="2:13">
      <c r="B138" s="660"/>
      <c r="C138" s="344">
        <v>11</v>
      </c>
      <c r="D138" s="227"/>
      <c r="E138" s="344"/>
      <c r="F138" s="344"/>
      <c r="G138" s="344"/>
      <c r="H138" s="702"/>
      <c r="I138" s="199"/>
      <c r="J138" s="199"/>
      <c r="K138" s="199"/>
      <c r="L138" s="714"/>
      <c r="M138" s="199" t="e">
        <f>RANK(K138, K$128:$K$142)</f>
        <v>#DIV/0!</v>
      </c>
    </row>
    <row r="139" spans="2:13">
      <c r="B139" s="660"/>
      <c r="C139" s="344">
        <v>12</v>
      </c>
      <c r="D139" s="227"/>
      <c r="E139" s="344"/>
      <c r="F139" s="344"/>
      <c r="G139" s="344"/>
      <c r="H139" s="702"/>
      <c r="I139" s="199"/>
      <c r="J139" s="199"/>
      <c r="K139" s="199"/>
      <c r="L139" s="714"/>
      <c r="M139" s="199" t="e">
        <f>RANK(K139, K$128:$K$142)</f>
        <v>#DIV/0!</v>
      </c>
    </row>
    <row r="140" spans="2:13">
      <c r="B140" s="660"/>
      <c r="C140" s="344">
        <v>13</v>
      </c>
      <c r="D140" s="227"/>
      <c r="E140" s="344"/>
      <c r="F140" s="344"/>
      <c r="G140" s="344"/>
      <c r="H140" s="702"/>
      <c r="I140" s="199"/>
      <c r="J140" s="199"/>
      <c r="K140" s="199"/>
      <c r="L140" s="714"/>
      <c r="M140" s="199" t="e">
        <f>RANK(K140, K$128:$K$142)</f>
        <v>#DIV/0!</v>
      </c>
    </row>
    <row r="141" spans="2:13">
      <c r="B141" s="660"/>
      <c r="C141" s="344">
        <v>14</v>
      </c>
      <c r="D141" s="227"/>
      <c r="E141" s="344"/>
      <c r="F141" s="344"/>
      <c r="G141" s="344"/>
      <c r="H141" s="702"/>
      <c r="I141" s="199"/>
      <c r="J141" s="199"/>
      <c r="K141" s="199"/>
      <c r="L141" s="714"/>
      <c r="M141" s="199" t="e">
        <f>RANK(K141, K$128:$K$142)</f>
        <v>#DIV/0!</v>
      </c>
    </row>
    <row r="142" spans="2:13">
      <c r="B142" s="660"/>
      <c r="C142" s="344">
        <v>15</v>
      </c>
      <c r="D142" s="227"/>
      <c r="E142" s="344"/>
      <c r="F142" s="344"/>
      <c r="G142" s="344"/>
      <c r="H142" s="703"/>
      <c r="I142" s="199"/>
      <c r="J142" s="199"/>
      <c r="K142" s="199"/>
      <c r="L142" s="715"/>
      <c r="M142" s="19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19" zoomScale="60" zoomScaleNormal="60" workbookViewId="0">
      <pane xSplit="15" topLeftCell="AC1" activePane="topRight" state="frozen"/>
      <selection activeCell="P2" sqref="P2:AN2"/>
      <selection pane="topRight" activeCell="AX47" sqref="AX47:AX6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22" t="s">
        <v>332</v>
      </c>
      <c r="C1" s="221">
        <f>AVERAGE(L7,L27,L47,L67,L87,L107)</f>
        <v>73.961937239024678</v>
      </c>
    </row>
    <row r="2" spans="1:54" ht="15.75">
      <c r="A2" s="81"/>
      <c r="B2" s="664" t="s">
        <v>163</v>
      </c>
      <c r="C2" s="664"/>
      <c r="D2" s="664"/>
      <c r="E2" s="664"/>
      <c r="F2" s="664"/>
      <c r="G2" s="664"/>
      <c r="H2" s="664"/>
      <c r="I2" s="310"/>
      <c r="J2" s="310"/>
      <c r="K2" s="310"/>
      <c r="L2" s="310"/>
      <c r="M2" s="197"/>
      <c r="N2" s="653" t="s">
        <v>156</v>
      </c>
      <c r="O2" s="653" t="s">
        <v>155</v>
      </c>
      <c r="P2" s="710"/>
      <c r="Q2" s="711"/>
      <c r="R2" s="711"/>
      <c r="S2" s="711"/>
      <c r="T2" s="712"/>
      <c r="U2" s="659"/>
      <c r="V2" s="660"/>
      <c r="W2" s="660"/>
      <c r="X2" s="660"/>
      <c r="Y2" s="660"/>
      <c r="Z2" s="659"/>
      <c r="AA2" s="660"/>
      <c r="AB2" s="660"/>
      <c r="AC2" s="660"/>
      <c r="AD2" s="660"/>
      <c r="AE2" s="659"/>
      <c r="AF2" s="660"/>
      <c r="AG2" s="660"/>
      <c r="AH2" s="660"/>
      <c r="AI2" s="660"/>
      <c r="AJ2" s="659"/>
      <c r="AK2" s="660"/>
      <c r="AL2" s="660"/>
      <c r="AM2" s="660"/>
      <c r="AN2" s="660"/>
      <c r="AO2" s="659">
        <v>46054</v>
      </c>
      <c r="AP2" s="660"/>
      <c r="AQ2" s="660"/>
      <c r="AR2" s="660"/>
      <c r="AS2" s="660"/>
      <c r="AT2" s="659">
        <f t="shared" ref="AT2" si="0">AO2+1</f>
        <v>46055</v>
      </c>
      <c r="AU2" s="660"/>
      <c r="AV2" s="660"/>
      <c r="AW2" s="660"/>
      <c r="AX2" s="660"/>
    </row>
    <row r="3" spans="1:54" ht="15.75">
      <c r="A3" s="81"/>
      <c r="B3" s="683"/>
      <c r="C3" s="683"/>
      <c r="D3" s="683"/>
      <c r="E3" s="683"/>
      <c r="F3" s="683"/>
      <c r="G3" s="683"/>
      <c r="H3" s="683"/>
      <c r="I3" s="311"/>
      <c r="J3" s="311"/>
      <c r="K3" s="311"/>
      <c r="L3" s="311"/>
      <c r="M3" s="198"/>
      <c r="N3" s="655"/>
      <c r="O3" s="655"/>
      <c r="P3" s="656" t="s">
        <v>158</v>
      </c>
      <c r="Q3" s="657"/>
      <c r="R3" s="657"/>
      <c r="S3" s="657"/>
      <c r="T3" s="658"/>
      <c r="U3" s="656" t="s">
        <v>114</v>
      </c>
      <c r="V3" s="657"/>
      <c r="W3" s="657"/>
      <c r="X3" s="657"/>
      <c r="Y3" s="658"/>
      <c r="Z3" s="656" t="s">
        <v>159</v>
      </c>
      <c r="AA3" s="657"/>
      <c r="AB3" s="657"/>
      <c r="AC3" s="657"/>
      <c r="AD3" s="658"/>
      <c r="AE3" s="656" t="s">
        <v>157</v>
      </c>
      <c r="AF3" s="657"/>
      <c r="AG3" s="657"/>
      <c r="AH3" s="657"/>
      <c r="AI3" s="658"/>
      <c r="AJ3" s="656" t="s">
        <v>160</v>
      </c>
      <c r="AK3" s="657"/>
      <c r="AL3" s="657"/>
      <c r="AM3" s="657"/>
      <c r="AN3" s="658"/>
      <c r="AO3" s="656" t="s">
        <v>161</v>
      </c>
      <c r="AP3" s="657"/>
      <c r="AQ3" s="657"/>
      <c r="AR3" s="657"/>
      <c r="AS3" s="658"/>
      <c r="AT3" s="656" t="s">
        <v>162</v>
      </c>
      <c r="AU3" s="657"/>
      <c r="AV3" s="657"/>
      <c r="AW3" s="657"/>
      <c r="AX3" s="658"/>
    </row>
    <row r="4" spans="1:54">
      <c r="A4" s="81"/>
      <c r="B4" s="652" t="s">
        <v>859</v>
      </c>
      <c r="C4" s="652" t="s">
        <v>860</v>
      </c>
      <c r="D4" s="652"/>
      <c r="E4" s="652" t="s">
        <v>861</v>
      </c>
      <c r="F4" s="652"/>
      <c r="G4" s="652"/>
      <c r="H4" s="668" t="s">
        <v>862</v>
      </c>
      <c r="I4" s="652" t="s">
        <v>863</v>
      </c>
      <c r="J4" s="652"/>
      <c r="K4" s="652"/>
      <c r="L4" s="668" t="s">
        <v>862</v>
      </c>
      <c r="M4" s="653" t="s">
        <v>864</v>
      </c>
      <c r="N4" s="652"/>
      <c r="O4" s="652" t="s">
        <v>865</v>
      </c>
      <c r="P4" s="649" t="s">
        <v>430</v>
      </c>
      <c r="Q4" s="650"/>
      <c r="R4" s="650"/>
      <c r="S4" s="651"/>
      <c r="T4" s="652" t="s">
        <v>428</v>
      </c>
      <c r="U4" s="649" t="s">
        <v>430</v>
      </c>
      <c r="V4" s="650"/>
      <c r="W4" s="650"/>
      <c r="X4" s="651"/>
      <c r="Y4" s="652" t="s">
        <v>428</v>
      </c>
      <c r="Z4" s="649" t="s">
        <v>430</v>
      </c>
      <c r="AA4" s="650"/>
      <c r="AB4" s="650"/>
      <c r="AC4" s="651"/>
      <c r="AD4" s="652" t="s">
        <v>428</v>
      </c>
      <c r="AE4" s="649" t="s">
        <v>430</v>
      </c>
      <c r="AF4" s="650"/>
      <c r="AG4" s="650"/>
      <c r="AH4" s="651"/>
      <c r="AI4" s="652" t="s">
        <v>428</v>
      </c>
      <c r="AJ4" s="649" t="s">
        <v>430</v>
      </c>
      <c r="AK4" s="650"/>
      <c r="AL4" s="650"/>
      <c r="AM4" s="651"/>
      <c r="AN4" s="652" t="s">
        <v>428</v>
      </c>
      <c r="AO4" s="649" t="s">
        <v>430</v>
      </c>
      <c r="AP4" s="650"/>
      <c r="AQ4" s="650"/>
      <c r="AR4" s="651"/>
      <c r="AS4" s="652" t="s">
        <v>428</v>
      </c>
      <c r="AT4" s="649" t="s">
        <v>430</v>
      </c>
      <c r="AU4" s="650"/>
      <c r="AV4" s="650"/>
      <c r="AW4" s="651"/>
      <c r="AX4" s="652" t="s">
        <v>428</v>
      </c>
    </row>
    <row r="5" spans="1:54">
      <c r="A5" s="81"/>
      <c r="B5" s="652"/>
      <c r="C5" s="652"/>
      <c r="D5" s="652"/>
      <c r="E5" s="652" t="s">
        <v>866</v>
      </c>
      <c r="F5" s="652"/>
      <c r="G5" s="652"/>
      <c r="H5" s="669"/>
      <c r="I5" s="652" t="s">
        <v>866</v>
      </c>
      <c r="J5" s="652"/>
      <c r="K5" s="652"/>
      <c r="L5" s="669"/>
      <c r="M5" s="654"/>
      <c r="N5" s="652"/>
      <c r="O5" s="652"/>
      <c r="P5" s="649" t="s">
        <v>853</v>
      </c>
      <c r="Q5" s="650"/>
      <c r="R5" s="650"/>
      <c r="S5" s="651"/>
      <c r="T5" s="652"/>
      <c r="U5" s="649" t="s">
        <v>853</v>
      </c>
      <c r="V5" s="650"/>
      <c r="W5" s="650"/>
      <c r="X5" s="651"/>
      <c r="Y5" s="652"/>
      <c r="Z5" s="649" t="s">
        <v>853</v>
      </c>
      <c r="AA5" s="650"/>
      <c r="AB5" s="650"/>
      <c r="AC5" s="651"/>
      <c r="AD5" s="652"/>
      <c r="AE5" s="649" t="s">
        <v>853</v>
      </c>
      <c r="AF5" s="650"/>
      <c r="AG5" s="650"/>
      <c r="AH5" s="651"/>
      <c r="AI5" s="652"/>
      <c r="AJ5" s="649" t="s">
        <v>853</v>
      </c>
      <c r="AK5" s="650"/>
      <c r="AL5" s="650"/>
      <c r="AM5" s="651"/>
      <c r="AN5" s="652"/>
      <c r="AO5" s="649" t="s">
        <v>853</v>
      </c>
      <c r="AP5" s="650"/>
      <c r="AQ5" s="650"/>
      <c r="AR5" s="651"/>
      <c r="AS5" s="652"/>
      <c r="AT5" s="649" t="s">
        <v>853</v>
      </c>
      <c r="AU5" s="650"/>
      <c r="AV5" s="650"/>
      <c r="AW5" s="651"/>
      <c r="AX5" s="652"/>
    </row>
    <row r="6" spans="1:54">
      <c r="A6" s="79"/>
      <c r="B6" s="652"/>
      <c r="C6" s="652"/>
      <c r="D6" s="652"/>
      <c r="E6" s="518" t="s">
        <v>867</v>
      </c>
      <c r="F6" s="518" t="s">
        <v>868</v>
      </c>
      <c r="G6" s="518" t="s">
        <v>869</v>
      </c>
      <c r="H6" s="670"/>
      <c r="I6" s="518" t="s">
        <v>867</v>
      </c>
      <c r="J6" s="518" t="s">
        <v>868</v>
      </c>
      <c r="K6" s="518" t="s">
        <v>869</v>
      </c>
      <c r="L6" s="670"/>
      <c r="M6" s="655"/>
      <c r="N6" s="652"/>
      <c r="O6" s="652"/>
      <c r="P6" s="518" t="s">
        <v>437</v>
      </c>
      <c r="Q6" s="518" t="s">
        <v>855</v>
      </c>
      <c r="R6" s="518" t="s">
        <v>856</v>
      </c>
      <c r="S6" s="518" t="s">
        <v>429</v>
      </c>
      <c r="T6" s="652"/>
      <c r="U6" s="518" t="s">
        <v>437</v>
      </c>
      <c r="V6" s="518" t="s">
        <v>855</v>
      </c>
      <c r="W6" s="518" t="s">
        <v>856</v>
      </c>
      <c r="X6" s="518" t="s">
        <v>429</v>
      </c>
      <c r="Y6" s="652"/>
      <c r="Z6" s="518" t="s">
        <v>437</v>
      </c>
      <c r="AA6" s="518" t="s">
        <v>855</v>
      </c>
      <c r="AB6" s="518" t="s">
        <v>856</v>
      </c>
      <c r="AC6" s="518" t="s">
        <v>429</v>
      </c>
      <c r="AD6" s="652"/>
      <c r="AE6" s="518" t="s">
        <v>437</v>
      </c>
      <c r="AF6" s="518" t="s">
        <v>855</v>
      </c>
      <c r="AG6" s="518" t="s">
        <v>856</v>
      </c>
      <c r="AH6" s="518" t="s">
        <v>429</v>
      </c>
      <c r="AI6" s="652"/>
      <c r="AJ6" s="518" t="s">
        <v>437</v>
      </c>
      <c r="AK6" s="518" t="s">
        <v>855</v>
      </c>
      <c r="AL6" s="518" t="s">
        <v>856</v>
      </c>
      <c r="AM6" s="518" t="s">
        <v>429</v>
      </c>
      <c r="AN6" s="652"/>
      <c r="AO6" s="518" t="s">
        <v>437</v>
      </c>
      <c r="AP6" s="518" t="s">
        <v>855</v>
      </c>
      <c r="AQ6" s="518" t="s">
        <v>856</v>
      </c>
      <c r="AR6" s="518" t="s">
        <v>429</v>
      </c>
      <c r="AS6" s="652"/>
      <c r="AT6" s="518" t="s">
        <v>437</v>
      </c>
      <c r="AU6" s="518" t="s">
        <v>855</v>
      </c>
      <c r="AV6" s="518" t="s">
        <v>856</v>
      </c>
      <c r="AW6" s="518" t="s">
        <v>429</v>
      </c>
      <c r="AX6" s="652"/>
    </row>
    <row r="7" spans="1:54">
      <c r="A7" s="81"/>
      <c r="B7" s="652" t="s">
        <v>135</v>
      </c>
      <c r="C7" s="519">
        <v>1</v>
      </c>
      <c r="D7" s="227" t="s">
        <v>774</v>
      </c>
      <c r="E7" s="182">
        <v>14</v>
      </c>
      <c r="F7" s="551">
        <v>1500</v>
      </c>
      <c r="G7" s="552">
        <v>107.14285714285714</v>
      </c>
      <c r="H7" s="696">
        <f>AVERAGE(G7:G21)</f>
        <v>90.605394204465412</v>
      </c>
      <c r="I7" s="522">
        <f>AVERAGE(P7,U7,Z7,AE7,AJ7,AO7,AT7)</f>
        <v>12.5</v>
      </c>
      <c r="J7" s="522">
        <f>AVERAGE(Q7,V7,AA7,AF7,AK7,AP7,AU7)</f>
        <v>1121.076923076924</v>
      </c>
      <c r="K7" s="517">
        <f>AVERAGE(R7,W7,AB7,AG7,AL7,AQ7,AV7)</f>
        <v>89.813609467455706</v>
      </c>
      <c r="L7" s="696">
        <f>AVERAGE(K7:K21)</f>
        <v>74.743239115253701</v>
      </c>
      <c r="M7" s="521">
        <f>RANK(K7, K$7:$K$21)</f>
        <v>1</v>
      </c>
      <c r="N7" s="652"/>
      <c r="O7" s="652"/>
      <c r="P7" s="519"/>
      <c r="Q7" s="522"/>
      <c r="R7" s="522"/>
      <c r="S7" s="522" t="e">
        <f>RANK(R7, R$7:R$21)</f>
        <v>#N/A</v>
      </c>
      <c r="T7" s="723" t="e">
        <f>AVERAGE(R7:R21)</f>
        <v>#DIV/0!</v>
      </c>
      <c r="U7" s="556"/>
      <c r="V7" s="558"/>
      <c r="W7" s="558"/>
      <c r="X7" s="522" t="e">
        <f>RANK(W7, W$7:W$21)</f>
        <v>#N/A</v>
      </c>
      <c r="Y7" s="699" t="e">
        <f>AVERAGE(W7:W21)</f>
        <v>#DIV/0!</v>
      </c>
      <c r="Z7" s="556"/>
      <c r="AA7" s="558"/>
      <c r="AB7" s="558"/>
      <c r="AC7" s="522" t="e">
        <f>RANK(AB7, AB$7:AB$21)</f>
        <v>#N/A</v>
      </c>
      <c r="AD7" s="699" t="e">
        <f>AVERAGE(AB7:AB21)</f>
        <v>#DIV/0!</v>
      </c>
      <c r="AE7" s="556"/>
      <c r="AF7" s="558"/>
      <c r="AG7" s="558"/>
      <c r="AH7" s="522" t="e">
        <f>RANK(AG7, AG$7:AG$21)</f>
        <v>#N/A</v>
      </c>
      <c r="AI7" s="699" t="e">
        <f>AVERAGE(AG7:AG21)</f>
        <v>#DIV/0!</v>
      </c>
      <c r="AJ7" s="556"/>
      <c r="AK7" s="558"/>
      <c r="AL7" s="558"/>
      <c r="AM7" s="522" t="e">
        <f>RANK(AL7, AL$7:AL$21)</f>
        <v>#N/A</v>
      </c>
      <c r="AN7" s="699" t="e">
        <f>AVERAGE(AL7:AL21)</f>
        <v>#DIV/0!</v>
      </c>
      <c r="AO7" s="182">
        <v>13</v>
      </c>
      <c r="AP7" s="182">
        <v>1126.1538461538469</v>
      </c>
      <c r="AQ7" s="182">
        <v>86.627218934911298</v>
      </c>
      <c r="AR7" s="522">
        <f>RANK(AQ7, AQ$7:AQ$21)</f>
        <v>1</v>
      </c>
      <c r="AS7" s="723">
        <f>AVERAGE(AQ7:AQ21)</f>
        <v>74.164335852105154</v>
      </c>
      <c r="AT7" s="182">
        <v>12</v>
      </c>
      <c r="AU7" s="182">
        <v>1116.0000000000011</v>
      </c>
      <c r="AV7" s="182">
        <v>93.000000000000099</v>
      </c>
      <c r="AW7" s="522">
        <f>RANK(AV7, AV$7:AV$21)</f>
        <v>1</v>
      </c>
      <c r="AX7" s="722">
        <f>AVERAGE(AV7:AV21)</f>
        <v>75.322142378402233</v>
      </c>
      <c r="AZ7" s="363" t="e">
        <f>RANK(AX7, $K$7:AX$21)</f>
        <v>#N/A</v>
      </c>
      <c r="BB7" s="360" t="e">
        <f>RANK(BA7, BA$7:BA$21)</f>
        <v>#N/A</v>
      </c>
    </row>
    <row r="8" spans="1:54" ht="15" customHeight="1">
      <c r="A8" s="81"/>
      <c r="B8" s="685"/>
      <c r="C8" s="519">
        <v>2</v>
      </c>
      <c r="D8" s="227" t="s">
        <v>830</v>
      </c>
      <c r="E8" s="182">
        <v>17</v>
      </c>
      <c r="F8" s="551">
        <v>1636</v>
      </c>
      <c r="G8" s="552">
        <v>96.235294117647058</v>
      </c>
      <c r="H8" s="697"/>
      <c r="I8" s="522">
        <f t="shared" ref="I8:I12" si="1">AVERAGE(P8,U8,Z8,AE8,AJ8,AO8,AT8)</f>
        <v>17</v>
      </c>
      <c r="J8" s="522">
        <f t="shared" ref="J8:J12" si="2">AVERAGE(Q8,V8,AA8,AF8,AK8,AP8,AU8)</f>
        <v>1341.7072552004061</v>
      </c>
      <c r="K8" s="517">
        <f t="shared" ref="K8:K12" si="3">AVERAGE(R8,W8,AB8,AG8,AL8,AQ8,AV8)</f>
        <v>78.923956188259183</v>
      </c>
      <c r="L8" s="697"/>
      <c r="M8" s="521">
        <f>RANK(K8, K$7:$K$21)</f>
        <v>2</v>
      </c>
      <c r="N8" s="652"/>
      <c r="O8" s="652"/>
      <c r="P8" s="519"/>
      <c r="Q8" s="522"/>
      <c r="R8" s="522"/>
      <c r="S8" s="522" t="e">
        <f t="shared" ref="S8:S21" si="4">RANK(R8, R$7:R$21)</f>
        <v>#N/A</v>
      </c>
      <c r="T8" s="723"/>
      <c r="U8" s="556"/>
      <c r="V8" s="558"/>
      <c r="W8" s="558"/>
      <c r="X8" s="522" t="e">
        <f t="shared" ref="X8:X21" si="5">RANK(W8, W$7:W$21)</f>
        <v>#N/A</v>
      </c>
      <c r="Y8" s="699"/>
      <c r="Z8" s="556"/>
      <c r="AA8" s="558"/>
      <c r="AB8" s="558"/>
      <c r="AC8" s="522" t="e">
        <f t="shared" ref="AC8:AC21" si="6">RANK(AB8, AB$7:AB$21)</f>
        <v>#N/A</v>
      </c>
      <c r="AD8" s="699"/>
      <c r="AE8" s="556"/>
      <c r="AF8" s="558"/>
      <c r="AG8" s="558"/>
      <c r="AH8" s="522" t="e">
        <f t="shared" ref="AH8:AH21" si="7">RANK(AG8, AG$7:AG$21)</f>
        <v>#N/A</v>
      </c>
      <c r="AI8" s="699"/>
      <c r="AJ8" s="556"/>
      <c r="AK8" s="558"/>
      <c r="AL8" s="558"/>
      <c r="AM8" s="522" t="e">
        <f t="shared" ref="AM8:AM21" si="8">RANK(AL8, AL$7:AL$21)</f>
        <v>#N/A</v>
      </c>
      <c r="AN8" s="699"/>
      <c r="AO8" s="182">
        <v>17</v>
      </c>
      <c r="AP8" s="182">
        <v>1332.5925925925928</v>
      </c>
      <c r="AQ8" s="182">
        <v>78.387799564270168</v>
      </c>
      <c r="AR8" s="522">
        <f t="shared" ref="AR8:AR21" si="9">RANK(AQ8, AQ$7:AQ$21)</f>
        <v>2</v>
      </c>
      <c r="AS8" s="723"/>
      <c r="AT8" s="182">
        <v>17</v>
      </c>
      <c r="AU8" s="182">
        <v>1350.821917808219</v>
      </c>
      <c r="AV8" s="182">
        <v>79.460112812248184</v>
      </c>
      <c r="AW8" s="522">
        <f t="shared" ref="AW8:AW21" si="10">RANK(AV8, AV$7:AV$21)</f>
        <v>2</v>
      </c>
      <c r="AX8" s="722"/>
      <c r="AZ8" s="363" t="e">
        <f>RANK(AX8, $K$7:AX$21)</f>
        <v>#N/A</v>
      </c>
      <c r="BB8" s="360" t="e">
        <f t="shared" ref="BB8:BB21" si="11">RANK(BA8, BA$7:BA$21)</f>
        <v>#N/A</v>
      </c>
    </row>
    <row r="9" spans="1:54">
      <c r="A9" s="81"/>
      <c r="B9" s="685"/>
      <c r="C9" s="519">
        <v>3</v>
      </c>
      <c r="D9" s="227" t="s">
        <v>809</v>
      </c>
      <c r="E9" s="182">
        <v>17</v>
      </c>
      <c r="F9" s="551">
        <v>1500</v>
      </c>
      <c r="G9" s="552">
        <v>88.235294117647058</v>
      </c>
      <c r="H9" s="697"/>
      <c r="I9" s="522">
        <f t="shared" si="1"/>
        <v>18</v>
      </c>
      <c r="J9" s="522">
        <f t="shared" si="2"/>
        <v>1333.5661016949152</v>
      </c>
      <c r="K9" s="517">
        <f t="shared" si="3"/>
        <v>74.087005649717511</v>
      </c>
      <c r="L9" s="697"/>
      <c r="M9" s="521">
        <f>RANK(K9, K$7:$K$21)</f>
        <v>5</v>
      </c>
      <c r="N9" s="652"/>
      <c r="O9" s="652"/>
      <c r="P9" s="519"/>
      <c r="Q9" s="522"/>
      <c r="R9" s="522"/>
      <c r="S9" s="522" t="e">
        <f t="shared" si="4"/>
        <v>#N/A</v>
      </c>
      <c r="T9" s="723"/>
      <c r="U9" s="556"/>
      <c r="V9" s="558"/>
      <c r="W9" s="558"/>
      <c r="X9" s="522" t="e">
        <f t="shared" si="5"/>
        <v>#N/A</v>
      </c>
      <c r="Y9" s="699"/>
      <c r="Z9" s="556"/>
      <c r="AA9" s="558"/>
      <c r="AB9" s="558"/>
      <c r="AC9" s="522" t="e">
        <f t="shared" si="6"/>
        <v>#N/A</v>
      </c>
      <c r="AD9" s="699"/>
      <c r="AE9" s="556"/>
      <c r="AF9" s="558"/>
      <c r="AG9" s="558"/>
      <c r="AH9" s="522" t="e">
        <f t="shared" si="7"/>
        <v>#N/A</v>
      </c>
      <c r="AI9" s="699"/>
      <c r="AJ9" s="556"/>
      <c r="AK9" s="558"/>
      <c r="AL9" s="558"/>
      <c r="AM9" s="522" t="e">
        <f t="shared" si="8"/>
        <v>#N/A</v>
      </c>
      <c r="AN9" s="699"/>
      <c r="AO9" s="182">
        <v>18</v>
      </c>
      <c r="AP9" s="182">
        <v>1351.2000000000005</v>
      </c>
      <c r="AQ9" s="182">
        <v>75.066666666666691</v>
      </c>
      <c r="AR9" s="522">
        <f t="shared" si="9"/>
        <v>4</v>
      </c>
      <c r="AS9" s="723"/>
      <c r="AT9" s="182">
        <v>18</v>
      </c>
      <c r="AU9" s="182">
        <v>1315.93220338983</v>
      </c>
      <c r="AV9" s="182">
        <v>73.107344632768331</v>
      </c>
      <c r="AW9" s="522">
        <f t="shared" si="10"/>
        <v>5</v>
      </c>
      <c r="AX9" s="722"/>
      <c r="AZ9" s="363" t="e">
        <f>RANK(AX9, $K$7:AX$21)</f>
        <v>#N/A</v>
      </c>
      <c r="BB9" s="360" t="e">
        <f t="shared" si="11"/>
        <v>#N/A</v>
      </c>
    </row>
    <row r="10" spans="1:54">
      <c r="A10" s="81"/>
      <c r="B10" s="685"/>
      <c r="C10" s="519">
        <v>4</v>
      </c>
      <c r="D10" s="227" t="s">
        <v>816</v>
      </c>
      <c r="E10" s="182">
        <v>17</v>
      </c>
      <c r="F10" s="551">
        <v>1500</v>
      </c>
      <c r="G10" s="552">
        <v>88.235294117647058</v>
      </c>
      <c r="H10" s="697"/>
      <c r="I10" s="522">
        <f t="shared" si="1"/>
        <v>18</v>
      </c>
      <c r="J10" s="522">
        <f t="shared" si="2"/>
        <v>1336.25</v>
      </c>
      <c r="K10" s="517">
        <f t="shared" si="3"/>
        <v>74.236111111111114</v>
      </c>
      <c r="L10" s="697"/>
      <c r="M10" s="521">
        <f>RANK(K10, K$7:$K$21)</f>
        <v>4</v>
      </c>
      <c r="N10" s="652"/>
      <c r="O10" s="652"/>
      <c r="P10" s="519"/>
      <c r="Q10" s="522"/>
      <c r="R10" s="522"/>
      <c r="S10" s="522" t="e">
        <f t="shared" si="4"/>
        <v>#N/A</v>
      </c>
      <c r="T10" s="723"/>
      <c r="U10" s="556"/>
      <c r="V10" s="558"/>
      <c r="W10" s="558"/>
      <c r="X10" s="522" t="e">
        <f t="shared" si="5"/>
        <v>#N/A</v>
      </c>
      <c r="Y10" s="699"/>
      <c r="Z10" s="556"/>
      <c r="AA10" s="558"/>
      <c r="AB10" s="558"/>
      <c r="AC10" s="522" t="e">
        <f t="shared" si="6"/>
        <v>#N/A</v>
      </c>
      <c r="AD10" s="699"/>
      <c r="AE10" s="556"/>
      <c r="AF10" s="558"/>
      <c r="AG10" s="558"/>
      <c r="AH10" s="522" t="e">
        <f t="shared" si="7"/>
        <v>#N/A</v>
      </c>
      <c r="AI10" s="699"/>
      <c r="AJ10" s="556"/>
      <c r="AK10" s="558"/>
      <c r="AL10" s="558"/>
      <c r="AM10" s="522" t="e">
        <f t="shared" si="8"/>
        <v>#N/A</v>
      </c>
      <c r="AN10" s="699"/>
      <c r="AO10" s="182">
        <v>18</v>
      </c>
      <c r="AP10" s="182">
        <v>1342.5</v>
      </c>
      <c r="AQ10" s="182">
        <v>74.583333333333329</v>
      </c>
      <c r="AR10" s="522">
        <f t="shared" si="9"/>
        <v>5</v>
      </c>
      <c r="AS10" s="723"/>
      <c r="AT10" s="182">
        <v>18</v>
      </c>
      <c r="AU10" s="182">
        <v>1330.0000000000002</v>
      </c>
      <c r="AV10" s="182">
        <v>73.8888888888889</v>
      </c>
      <c r="AW10" s="522">
        <f t="shared" si="10"/>
        <v>4</v>
      </c>
      <c r="AX10" s="722"/>
      <c r="AZ10" s="363" t="e">
        <f>RANK(AX10, $K$7:AX$21)</f>
        <v>#N/A</v>
      </c>
      <c r="BB10" s="360" t="e">
        <f t="shared" si="11"/>
        <v>#N/A</v>
      </c>
    </row>
    <row r="11" spans="1:54">
      <c r="A11" s="81"/>
      <c r="B11" s="685"/>
      <c r="C11" s="519">
        <v>5</v>
      </c>
      <c r="D11" s="227" t="s">
        <v>945</v>
      </c>
      <c r="E11" s="182">
        <v>18</v>
      </c>
      <c r="F11" s="551">
        <v>1636</v>
      </c>
      <c r="G11" s="552">
        <v>90.888888888888886</v>
      </c>
      <c r="H11" s="697"/>
      <c r="I11" s="522">
        <f t="shared" si="1"/>
        <v>18</v>
      </c>
      <c r="J11" s="522">
        <f t="shared" si="2"/>
        <v>1385.2021563342319</v>
      </c>
      <c r="K11" s="517">
        <f t="shared" si="3"/>
        <v>76.955675351901775</v>
      </c>
      <c r="L11" s="697"/>
      <c r="M11" s="521">
        <f>RANK(K11, K$7:$K$21)</f>
        <v>3</v>
      </c>
      <c r="N11" s="652"/>
      <c r="O11" s="652"/>
      <c r="P11" s="519"/>
      <c r="Q11" s="522"/>
      <c r="R11" s="522"/>
      <c r="S11" s="522" t="e">
        <f t="shared" si="4"/>
        <v>#N/A</v>
      </c>
      <c r="T11" s="723"/>
      <c r="U11" s="556"/>
      <c r="V11" s="558"/>
      <c r="W11" s="558"/>
      <c r="X11" s="522" t="e">
        <f t="shared" si="5"/>
        <v>#N/A</v>
      </c>
      <c r="Y11" s="699"/>
      <c r="Z11" s="556"/>
      <c r="AA11" s="558"/>
      <c r="AB11" s="558"/>
      <c r="AC11" s="522" t="e">
        <f t="shared" si="6"/>
        <v>#N/A</v>
      </c>
      <c r="AD11" s="699"/>
      <c r="AE11" s="556"/>
      <c r="AF11" s="558"/>
      <c r="AG11" s="558"/>
      <c r="AH11" s="522" t="e">
        <f t="shared" si="7"/>
        <v>#N/A</v>
      </c>
      <c r="AI11" s="699"/>
      <c r="AJ11" s="556"/>
      <c r="AK11" s="558"/>
      <c r="AL11" s="558"/>
      <c r="AM11" s="522" t="e">
        <f t="shared" si="8"/>
        <v>#N/A</v>
      </c>
      <c r="AN11" s="699"/>
      <c r="AO11" s="182">
        <v>18</v>
      </c>
      <c r="AP11" s="182">
        <v>1367.5471698113215</v>
      </c>
      <c r="AQ11" s="182">
        <v>75.974842767295641</v>
      </c>
      <c r="AR11" s="522">
        <f t="shared" si="9"/>
        <v>3</v>
      </c>
      <c r="AS11" s="723"/>
      <c r="AT11" s="182">
        <v>18</v>
      </c>
      <c r="AU11" s="182">
        <v>1402.8571428571424</v>
      </c>
      <c r="AV11" s="182">
        <v>77.936507936507908</v>
      </c>
      <c r="AW11" s="522">
        <f t="shared" si="10"/>
        <v>3</v>
      </c>
      <c r="AX11" s="722"/>
      <c r="AZ11" s="363" t="e">
        <f>RANK(AX11, $K$7:AX$21)</f>
        <v>#N/A</v>
      </c>
      <c r="BB11" s="360" t="e">
        <f t="shared" si="11"/>
        <v>#N/A</v>
      </c>
    </row>
    <row r="12" spans="1:54">
      <c r="A12" s="81"/>
      <c r="B12" s="685"/>
      <c r="C12" s="519">
        <v>6</v>
      </c>
      <c r="D12" s="227" t="s">
        <v>946</v>
      </c>
      <c r="E12" s="182">
        <v>19</v>
      </c>
      <c r="F12" s="551">
        <v>1385</v>
      </c>
      <c r="G12" s="552">
        <v>72.89473684210526</v>
      </c>
      <c r="H12" s="697"/>
      <c r="I12" s="522">
        <f t="shared" si="1"/>
        <v>20</v>
      </c>
      <c r="J12" s="522">
        <f t="shared" si="2"/>
        <v>1088.8615384615373</v>
      </c>
      <c r="K12" s="517">
        <f t="shared" si="3"/>
        <v>54.443076923076866</v>
      </c>
      <c r="L12" s="697"/>
      <c r="M12" s="521">
        <f>RANK(K12, K$7:$K$21)</f>
        <v>6</v>
      </c>
      <c r="N12" s="652"/>
      <c r="O12" s="652"/>
      <c r="P12" s="519"/>
      <c r="Q12" s="522"/>
      <c r="R12" s="522"/>
      <c r="S12" s="522" t="e">
        <f t="shared" si="4"/>
        <v>#N/A</v>
      </c>
      <c r="T12" s="723"/>
      <c r="U12" s="556"/>
      <c r="V12" s="558"/>
      <c r="W12" s="558"/>
      <c r="X12" s="522" t="e">
        <f t="shared" si="5"/>
        <v>#N/A</v>
      </c>
      <c r="Y12" s="699"/>
      <c r="Z12" s="556"/>
      <c r="AA12" s="558"/>
      <c r="AB12" s="558"/>
      <c r="AC12" s="522" t="e">
        <f t="shared" si="6"/>
        <v>#N/A</v>
      </c>
      <c r="AD12" s="699"/>
      <c r="AE12" s="556"/>
      <c r="AF12" s="558"/>
      <c r="AG12" s="558"/>
      <c r="AH12" s="522" t="e">
        <f t="shared" si="7"/>
        <v>#N/A</v>
      </c>
      <c r="AI12" s="699"/>
      <c r="AJ12" s="556"/>
      <c r="AK12" s="558"/>
      <c r="AL12" s="558"/>
      <c r="AM12" s="522" t="e">
        <f t="shared" si="8"/>
        <v>#N/A</v>
      </c>
      <c r="AN12" s="699"/>
      <c r="AO12" s="182">
        <v>20</v>
      </c>
      <c r="AP12" s="182">
        <v>1086.9230769230758</v>
      </c>
      <c r="AQ12" s="182">
        <v>54.34615384615379</v>
      </c>
      <c r="AR12" s="522">
        <f t="shared" si="9"/>
        <v>6</v>
      </c>
      <c r="AS12" s="723"/>
      <c r="AT12" s="182">
        <v>20</v>
      </c>
      <c r="AU12" s="182">
        <v>1090.7999999999988</v>
      </c>
      <c r="AV12" s="182">
        <v>54.539999999999942</v>
      </c>
      <c r="AW12" s="522">
        <f t="shared" si="10"/>
        <v>6</v>
      </c>
      <c r="AX12" s="722"/>
      <c r="AZ12" s="363" t="e">
        <f>RANK(AX12, $K$7:AX$21)</f>
        <v>#N/A</v>
      </c>
      <c r="BB12" s="360" t="e">
        <f t="shared" si="11"/>
        <v>#N/A</v>
      </c>
    </row>
    <row r="13" spans="1:54">
      <c r="A13" s="81"/>
      <c r="B13" s="685"/>
      <c r="C13" s="519">
        <v>7</v>
      </c>
      <c r="D13" s="502"/>
      <c r="E13" s="522"/>
      <c r="F13" s="522"/>
      <c r="G13" s="522"/>
      <c r="H13" s="697"/>
      <c r="I13" s="522"/>
      <c r="J13" s="522"/>
      <c r="K13" s="517"/>
      <c r="L13" s="697"/>
      <c r="M13" s="521" t="e">
        <f>RANK(K13, K$7:$K$21)</f>
        <v>#N/A</v>
      </c>
      <c r="N13" s="652"/>
      <c r="O13" s="652"/>
      <c r="P13" s="519"/>
      <c r="Q13" s="522"/>
      <c r="R13" s="522"/>
      <c r="S13" s="522" t="e">
        <f t="shared" si="4"/>
        <v>#N/A</v>
      </c>
      <c r="T13" s="723"/>
      <c r="U13" s="556"/>
      <c r="V13" s="558"/>
      <c r="W13" s="558"/>
      <c r="X13" s="522" t="e">
        <f t="shared" si="5"/>
        <v>#N/A</v>
      </c>
      <c r="Y13" s="699"/>
      <c r="Z13" s="556"/>
      <c r="AA13" s="558"/>
      <c r="AB13" s="558"/>
      <c r="AC13" s="522" t="e">
        <f t="shared" si="6"/>
        <v>#N/A</v>
      </c>
      <c r="AD13" s="699"/>
      <c r="AE13" s="556"/>
      <c r="AF13" s="558"/>
      <c r="AG13" s="558"/>
      <c r="AH13" s="522" t="e">
        <f t="shared" si="7"/>
        <v>#N/A</v>
      </c>
      <c r="AI13" s="699"/>
      <c r="AJ13" s="556"/>
      <c r="AK13" s="558"/>
      <c r="AL13" s="558"/>
      <c r="AM13" s="522" t="e">
        <f t="shared" si="8"/>
        <v>#N/A</v>
      </c>
      <c r="AN13" s="699"/>
      <c r="AO13" s="556"/>
      <c r="AP13" s="558"/>
      <c r="AQ13" s="558"/>
      <c r="AR13" s="522" t="e">
        <f t="shared" si="9"/>
        <v>#N/A</v>
      </c>
      <c r="AS13" s="723"/>
      <c r="AT13" s="556"/>
      <c r="AU13" s="558"/>
      <c r="AV13" s="558"/>
      <c r="AW13" s="522" t="e">
        <f t="shared" si="10"/>
        <v>#N/A</v>
      </c>
      <c r="AX13" s="722"/>
      <c r="AZ13" s="363" t="e">
        <f>RANK(AX13, $K$7:AX$21)</f>
        <v>#N/A</v>
      </c>
      <c r="BB13" s="360" t="e">
        <f t="shared" si="11"/>
        <v>#N/A</v>
      </c>
    </row>
    <row r="14" spans="1:54">
      <c r="A14" s="81"/>
      <c r="B14" s="685"/>
      <c r="C14" s="519">
        <v>8</v>
      </c>
      <c r="D14" s="502"/>
      <c r="E14" s="522"/>
      <c r="F14" s="522"/>
      <c r="G14" s="522"/>
      <c r="H14" s="697"/>
      <c r="I14" s="522"/>
      <c r="J14" s="522"/>
      <c r="K14" s="517"/>
      <c r="L14" s="697"/>
      <c r="M14" s="521" t="e">
        <f>RANK(K14, K$7:$K$21)</f>
        <v>#N/A</v>
      </c>
      <c r="N14" s="652"/>
      <c r="O14" s="652"/>
      <c r="P14" s="519"/>
      <c r="Q14" s="522"/>
      <c r="R14" s="522"/>
      <c r="S14" s="522" t="e">
        <f t="shared" si="4"/>
        <v>#N/A</v>
      </c>
      <c r="T14" s="723"/>
      <c r="U14" s="556"/>
      <c r="V14" s="558"/>
      <c r="W14" s="558"/>
      <c r="X14" s="522" t="e">
        <f t="shared" si="5"/>
        <v>#N/A</v>
      </c>
      <c r="Y14" s="699"/>
      <c r="Z14" s="556"/>
      <c r="AA14" s="558"/>
      <c r="AB14" s="558"/>
      <c r="AC14" s="522" t="e">
        <f t="shared" si="6"/>
        <v>#N/A</v>
      </c>
      <c r="AD14" s="699"/>
      <c r="AE14" s="556"/>
      <c r="AF14" s="558"/>
      <c r="AG14" s="558"/>
      <c r="AH14" s="522" t="e">
        <f t="shared" si="7"/>
        <v>#N/A</v>
      </c>
      <c r="AI14" s="699"/>
      <c r="AJ14" s="556"/>
      <c r="AK14" s="558"/>
      <c r="AL14" s="558"/>
      <c r="AM14" s="522" t="e">
        <f t="shared" si="8"/>
        <v>#N/A</v>
      </c>
      <c r="AN14" s="699"/>
      <c r="AO14" s="556"/>
      <c r="AP14" s="558"/>
      <c r="AQ14" s="558"/>
      <c r="AR14" s="522" t="e">
        <f t="shared" si="9"/>
        <v>#N/A</v>
      </c>
      <c r="AS14" s="723"/>
      <c r="AT14" s="556"/>
      <c r="AU14" s="558"/>
      <c r="AV14" s="558"/>
      <c r="AW14" s="522" t="e">
        <f t="shared" si="10"/>
        <v>#N/A</v>
      </c>
      <c r="AX14" s="722"/>
      <c r="AZ14" s="363" t="e">
        <f>RANK(AX14, $K$7:AX$21)</f>
        <v>#N/A</v>
      </c>
      <c r="BB14" s="360" t="e">
        <f t="shared" si="11"/>
        <v>#N/A</v>
      </c>
    </row>
    <row r="15" spans="1:54">
      <c r="A15" s="81"/>
      <c r="B15" s="685"/>
      <c r="C15" s="519">
        <v>9</v>
      </c>
      <c r="D15" s="502"/>
      <c r="E15" s="522"/>
      <c r="F15" s="522"/>
      <c r="G15" s="522"/>
      <c r="H15" s="697"/>
      <c r="I15" s="522"/>
      <c r="J15" s="522"/>
      <c r="K15" s="517"/>
      <c r="L15" s="697"/>
      <c r="M15" s="521" t="e">
        <f>RANK(K15, K$7:$K$21)</f>
        <v>#N/A</v>
      </c>
      <c r="N15" s="652"/>
      <c r="O15" s="652"/>
      <c r="P15" s="519"/>
      <c r="Q15" s="522"/>
      <c r="R15" s="522"/>
      <c r="S15" s="522" t="e">
        <f t="shared" si="4"/>
        <v>#N/A</v>
      </c>
      <c r="T15" s="723"/>
      <c r="U15" s="556"/>
      <c r="V15" s="558"/>
      <c r="W15" s="558"/>
      <c r="X15" s="522" t="e">
        <f t="shared" si="5"/>
        <v>#N/A</v>
      </c>
      <c r="Y15" s="699"/>
      <c r="Z15" s="556"/>
      <c r="AA15" s="558"/>
      <c r="AB15" s="558"/>
      <c r="AC15" s="522" t="e">
        <f t="shared" si="6"/>
        <v>#N/A</v>
      </c>
      <c r="AD15" s="699"/>
      <c r="AE15" s="556"/>
      <c r="AF15" s="558"/>
      <c r="AG15" s="558"/>
      <c r="AH15" s="522" t="e">
        <f t="shared" si="7"/>
        <v>#N/A</v>
      </c>
      <c r="AI15" s="699"/>
      <c r="AJ15" s="556"/>
      <c r="AK15" s="558"/>
      <c r="AL15" s="558"/>
      <c r="AM15" s="522" t="e">
        <f t="shared" si="8"/>
        <v>#N/A</v>
      </c>
      <c r="AN15" s="699"/>
      <c r="AO15" s="556"/>
      <c r="AP15" s="558"/>
      <c r="AQ15" s="558"/>
      <c r="AR15" s="522" t="e">
        <f t="shared" si="9"/>
        <v>#N/A</v>
      </c>
      <c r="AS15" s="723"/>
      <c r="AT15" s="556"/>
      <c r="AU15" s="558"/>
      <c r="AV15" s="558"/>
      <c r="AW15" s="522" t="e">
        <f t="shared" si="10"/>
        <v>#N/A</v>
      </c>
      <c r="AX15" s="722"/>
      <c r="AZ15" s="363" t="e">
        <f>RANK(AX15, $K$7:AX$21)</f>
        <v>#N/A</v>
      </c>
      <c r="BB15" s="360" t="e">
        <f t="shared" si="11"/>
        <v>#N/A</v>
      </c>
    </row>
    <row r="16" spans="1:54">
      <c r="A16" s="81"/>
      <c r="B16" s="685"/>
      <c r="C16" s="519">
        <v>10</v>
      </c>
      <c r="D16" s="502"/>
      <c r="E16" s="522" t="s">
        <v>779</v>
      </c>
      <c r="F16" s="522" t="s">
        <v>779</v>
      </c>
      <c r="G16" s="522" t="s">
        <v>779</v>
      </c>
      <c r="H16" s="697"/>
      <c r="I16" s="522"/>
      <c r="J16" s="522"/>
      <c r="K16" s="517"/>
      <c r="L16" s="697"/>
      <c r="M16" s="521" t="e">
        <f>RANK(K16, K$7:$K$21)</f>
        <v>#N/A</v>
      </c>
      <c r="N16" s="652"/>
      <c r="O16" s="652"/>
      <c r="P16" s="519"/>
      <c r="Q16" s="522"/>
      <c r="R16" s="522"/>
      <c r="S16" s="522" t="e">
        <f t="shared" si="4"/>
        <v>#N/A</v>
      </c>
      <c r="T16" s="723"/>
      <c r="U16" s="556"/>
      <c r="V16" s="558"/>
      <c r="W16" s="558"/>
      <c r="X16" s="522" t="e">
        <f t="shared" si="5"/>
        <v>#N/A</v>
      </c>
      <c r="Y16" s="699"/>
      <c r="Z16" s="556"/>
      <c r="AA16" s="558"/>
      <c r="AB16" s="558"/>
      <c r="AC16" s="522" t="e">
        <f t="shared" si="6"/>
        <v>#N/A</v>
      </c>
      <c r="AD16" s="699"/>
      <c r="AE16" s="556"/>
      <c r="AF16" s="558"/>
      <c r="AG16" s="558"/>
      <c r="AH16" s="522" t="e">
        <f t="shared" si="7"/>
        <v>#N/A</v>
      </c>
      <c r="AI16" s="699"/>
      <c r="AJ16" s="556"/>
      <c r="AK16" s="558"/>
      <c r="AL16" s="558"/>
      <c r="AM16" s="522" t="e">
        <f t="shared" si="8"/>
        <v>#N/A</v>
      </c>
      <c r="AN16" s="699"/>
      <c r="AO16" s="556"/>
      <c r="AP16" s="558"/>
      <c r="AQ16" s="558"/>
      <c r="AR16" s="522" t="e">
        <f t="shared" si="9"/>
        <v>#N/A</v>
      </c>
      <c r="AS16" s="723"/>
      <c r="AT16" s="556"/>
      <c r="AU16" s="558"/>
      <c r="AV16" s="558"/>
      <c r="AW16" s="522" t="e">
        <f t="shared" si="10"/>
        <v>#N/A</v>
      </c>
      <c r="AX16" s="722"/>
      <c r="AZ16" s="363" t="e">
        <f>RANK(AX16, $K$7:AX$21)</f>
        <v>#N/A</v>
      </c>
      <c r="BB16" s="360" t="e">
        <f t="shared" si="11"/>
        <v>#N/A</v>
      </c>
    </row>
    <row r="17" spans="2:54">
      <c r="B17" s="685"/>
      <c r="C17" s="519">
        <v>11</v>
      </c>
      <c r="D17" s="502"/>
      <c r="E17" s="522" t="s">
        <v>779</v>
      </c>
      <c r="F17" s="522" t="s">
        <v>779</v>
      </c>
      <c r="G17" s="522" t="s">
        <v>779</v>
      </c>
      <c r="H17" s="697"/>
      <c r="I17" s="522"/>
      <c r="J17" s="522"/>
      <c r="K17" s="517"/>
      <c r="L17" s="697"/>
      <c r="M17" s="521" t="e">
        <f>RANK(K17, K$7:$K$21)</f>
        <v>#N/A</v>
      </c>
      <c r="N17" s="652"/>
      <c r="O17" s="652"/>
      <c r="P17" s="519"/>
      <c r="Q17" s="522"/>
      <c r="R17" s="522"/>
      <c r="S17" s="522" t="e">
        <f t="shared" si="4"/>
        <v>#N/A</v>
      </c>
      <c r="T17" s="723"/>
      <c r="U17" s="556"/>
      <c r="V17" s="558"/>
      <c r="W17" s="558"/>
      <c r="X17" s="522" t="e">
        <f t="shared" si="5"/>
        <v>#N/A</v>
      </c>
      <c r="Y17" s="699"/>
      <c r="Z17" s="556"/>
      <c r="AA17" s="558"/>
      <c r="AB17" s="558"/>
      <c r="AC17" s="522" t="e">
        <f t="shared" si="6"/>
        <v>#N/A</v>
      </c>
      <c r="AD17" s="699"/>
      <c r="AE17" s="556"/>
      <c r="AF17" s="558"/>
      <c r="AG17" s="558"/>
      <c r="AH17" s="522" t="e">
        <f t="shared" si="7"/>
        <v>#N/A</v>
      </c>
      <c r="AI17" s="699"/>
      <c r="AJ17" s="556"/>
      <c r="AK17" s="558"/>
      <c r="AL17" s="558"/>
      <c r="AM17" s="522" t="e">
        <f t="shared" si="8"/>
        <v>#N/A</v>
      </c>
      <c r="AN17" s="699"/>
      <c r="AO17" s="556"/>
      <c r="AP17" s="558"/>
      <c r="AQ17" s="558"/>
      <c r="AR17" s="522" t="e">
        <f t="shared" si="9"/>
        <v>#N/A</v>
      </c>
      <c r="AS17" s="723"/>
      <c r="AT17" s="556"/>
      <c r="AU17" s="558"/>
      <c r="AV17" s="558"/>
      <c r="AW17" s="522" t="e">
        <f t="shared" si="10"/>
        <v>#N/A</v>
      </c>
      <c r="AX17" s="722"/>
      <c r="AZ17" s="363" t="e">
        <f>RANK(AX17, $K$7:AX$21)</f>
        <v>#N/A</v>
      </c>
      <c r="BB17" s="360" t="e">
        <f t="shared" si="11"/>
        <v>#N/A</v>
      </c>
    </row>
    <row r="18" spans="2:54">
      <c r="B18" s="685"/>
      <c r="C18" s="519">
        <v>12</v>
      </c>
      <c r="D18" s="502"/>
      <c r="E18" s="522" t="s">
        <v>779</v>
      </c>
      <c r="F18" s="522" t="s">
        <v>779</v>
      </c>
      <c r="G18" s="522" t="s">
        <v>779</v>
      </c>
      <c r="H18" s="697"/>
      <c r="I18" s="522"/>
      <c r="J18" s="522"/>
      <c r="K18" s="517"/>
      <c r="L18" s="697"/>
      <c r="M18" s="521" t="e">
        <f>RANK(K18, K$7:$K$21)</f>
        <v>#N/A</v>
      </c>
      <c r="N18" s="652"/>
      <c r="O18" s="652"/>
      <c r="P18" s="519"/>
      <c r="Q18" s="522"/>
      <c r="R18" s="522"/>
      <c r="S18" s="522" t="e">
        <f t="shared" si="4"/>
        <v>#N/A</v>
      </c>
      <c r="T18" s="723"/>
      <c r="U18" s="556"/>
      <c r="V18" s="558"/>
      <c r="W18" s="558"/>
      <c r="X18" s="522" t="e">
        <f t="shared" si="5"/>
        <v>#N/A</v>
      </c>
      <c r="Y18" s="699"/>
      <c r="Z18" s="556"/>
      <c r="AA18" s="558"/>
      <c r="AB18" s="558"/>
      <c r="AC18" s="522" t="e">
        <f t="shared" si="6"/>
        <v>#N/A</v>
      </c>
      <c r="AD18" s="699"/>
      <c r="AE18" s="556"/>
      <c r="AF18" s="558"/>
      <c r="AG18" s="558"/>
      <c r="AH18" s="522" t="e">
        <f t="shared" si="7"/>
        <v>#N/A</v>
      </c>
      <c r="AI18" s="699"/>
      <c r="AJ18" s="556"/>
      <c r="AK18" s="558"/>
      <c r="AL18" s="558"/>
      <c r="AM18" s="522" t="e">
        <f t="shared" si="8"/>
        <v>#N/A</v>
      </c>
      <c r="AN18" s="699"/>
      <c r="AO18" s="556"/>
      <c r="AP18" s="558"/>
      <c r="AQ18" s="558"/>
      <c r="AR18" s="522" t="e">
        <f t="shared" si="9"/>
        <v>#N/A</v>
      </c>
      <c r="AS18" s="723"/>
      <c r="AT18" s="556"/>
      <c r="AU18" s="558"/>
      <c r="AV18" s="558"/>
      <c r="AW18" s="522" t="e">
        <f t="shared" si="10"/>
        <v>#N/A</v>
      </c>
      <c r="AX18" s="722"/>
      <c r="AZ18" s="363" t="e">
        <f>RANK(AX18, $K$7:AX$21)</f>
        <v>#N/A</v>
      </c>
      <c r="BB18" s="360" t="e">
        <f t="shared" si="11"/>
        <v>#N/A</v>
      </c>
    </row>
    <row r="19" spans="2:54">
      <c r="B19" s="685"/>
      <c r="C19" s="519">
        <v>13</v>
      </c>
      <c r="D19" s="502"/>
      <c r="E19" s="522" t="s">
        <v>779</v>
      </c>
      <c r="F19" s="522" t="s">
        <v>779</v>
      </c>
      <c r="G19" s="522" t="s">
        <v>779</v>
      </c>
      <c r="H19" s="697"/>
      <c r="I19" s="519"/>
      <c r="J19" s="519"/>
      <c r="K19" s="519"/>
      <c r="L19" s="697"/>
      <c r="M19" s="521" t="e">
        <f>RANK(K19, K$7:$K$21)</f>
        <v>#N/A</v>
      </c>
      <c r="N19" s="652"/>
      <c r="O19" s="652"/>
      <c r="P19" s="519"/>
      <c r="Q19" s="522"/>
      <c r="R19" s="522"/>
      <c r="S19" s="522" t="e">
        <f t="shared" si="4"/>
        <v>#N/A</v>
      </c>
      <c r="T19" s="723"/>
      <c r="U19" s="556"/>
      <c r="V19" s="558"/>
      <c r="W19" s="558"/>
      <c r="X19" s="522" t="e">
        <f t="shared" si="5"/>
        <v>#N/A</v>
      </c>
      <c r="Y19" s="699"/>
      <c r="Z19" s="556"/>
      <c r="AA19" s="558"/>
      <c r="AB19" s="558"/>
      <c r="AC19" s="522" t="e">
        <f t="shared" si="6"/>
        <v>#N/A</v>
      </c>
      <c r="AD19" s="699"/>
      <c r="AE19" s="556"/>
      <c r="AF19" s="558"/>
      <c r="AG19" s="558"/>
      <c r="AH19" s="522" t="e">
        <f t="shared" si="7"/>
        <v>#N/A</v>
      </c>
      <c r="AI19" s="699"/>
      <c r="AJ19" s="556"/>
      <c r="AK19" s="558"/>
      <c r="AL19" s="558"/>
      <c r="AM19" s="522" t="e">
        <f t="shared" si="8"/>
        <v>#N/A</v>
      </c>
      <c r="AN19" s="699"/>
      <c r="AO19" s="556"/>
      <c r="AP19" s="558"/>
      <c r="AQ19" s="558"/>
      <c r="AR19" s="522" t="e">
        <f t="shared" si="9"/>
        <v>#N/A</v>
      </c>
      <c r="AS19" s="723"/>
      <c r="AT19" s="556"/>
      <c r="AU19" s="558"/>
      <c r="AV19" s="558"/>
      <c r="AW19" s="522" t="e">
        <f t="shared" si="10"/>
        <v>#N/A</v>
      </c>
      <c r="AX19" s="722"/>
      <c r="AZ19" s="363" t="e">
        <f>RANK(AX19, $K$7:AX$21)</f>
        <v>#N/A</v>
      </c>
      <c r="BB19" s="360" t="e">
        <f t="shared" si="11"/>
        <v>#N/A</v>
      </c>
    </row>
    <row r="20" spans="2:54">
      <c r="B20" s="685"/>
      <c r="C20" s="519">
        <v>14</v>
      </c>
      <c r="D20" s="502"/>
      <c r="E20" s="522" t="s">
        <v>779</v>
      </c>
      <c r="F20" s="522" t="s">
        <v>779</v>
      </c>
      <c r="G20" s="522" t="s">
        <v>779</v>
      </c>
      <c r="H20" s="697"/>
      <c r="I20" s="519"/>
      <c r="J20" s="519"/>
      <c r="K20" s="519"/>
      <c r="L20" s="697"/>
      <c r="M20" s="521" t="e">
        <f>RANK(K20, K$7:$K$21)</f>
        <v>#N/A</v>
      </c>
      <c r="N20" s="652"/>
      <c r="O20" s="652"/>
      <c r="P20" s="519"/>
      <c r="Q20" s="522"/>
      <c r="R20" s="522"/>
      <c r="S20" s="522" t="e">
        <f t="shared" si="4"/>
        <v>#N/A</v>
      </c>
      <c r="T20" s="723"/>
      <c r="U20" s="556"/>
      <c r="V20" s="558"/>
      <c r="W20" s="558"/>
      <c r="X20" s="522" t="e">
        <f t="shared" si="5"/>
        <v>#N/A</v>
      </c>
      <c r="Y20" s="699"/>
      <c r="Z20" s="556"/>
      <c r="AA20" s="558"/>
      <c r="AB20" s="558"/>
      <c r="AC20" s="522" t="e">
        <f t="shared" si="6"/>
        <v>#N/A</v>
      </c>
      <c r="AD20" s="699"/>
      <c r="AE20" s="556"/>
      <c r="AF20" s="558"/>
      <c r="AG20" s="558"/>
      <c r="AH20" s="522" t="e">
        <f t="shared" si="7"/>
        <v>#N/A</v>
      </c>
      <c r="AI20" s="699"/>
      <c r="AJ20" s="556"/>
      <c r="AK20" s="558"/>
      <c r="AL20" s="558"/>
      <c r="AM20" s="522" t="e">
        <f t="shared" si="8"/>
        <v>#N/A</v>
      </c>
      <c r="AN20" s="699"/>
      <c r="AO20" s="556"/>
      <c r="AP20" s="558"/>
      <c r="AQ20" s="558"/>
      <c r="AR20" s="522" t="e">
        <f t="shared" si="9"/>
        <v>#N/A</v>
      </c>
      <c r="AS20" s="723"/>
      <c r="AT20" s="556"/>
      <c r="AU20" s="558"/>
      <c r="AV20" s="558"/>
      <c r="AW20" s="522" t="e">
        <f t="shared" si="10"/>
        <v>#N/A</v>
      </c>
      <c r="AX20" s="722"/>
      <c r="AZ20" s="363" t="e">
        <f>RANK(AX20, $K$7:AX$21)</f>
        <v>#N/A</v>
      </c>
      <c r="BB20" s="360" t="e">
        <f t="shared" si="11"/>
        <v>#N/A</v>
      </c>
    </row>
    <row r="21" spans="2:54">
      <c r="B21" s="685"/>
      <c r="C21" s="519">
        <v>15</v>
      </c>
      <c r="D21" s="502"/>
      <c r="E21" s="522" t="s">
        <v>779</v>
      </c>
      <c r="F21" s="522" t="s">
        <v>779</v>
      </c>
      <c r="G21" s="522" t="s">
        <v>779</v>
      </c>
      <c r="H21" s="709"/>
      <c r="I21" s="519"/>
      <c r="J21" s="519"/>
      <c r="K21" s="519"/>
      <c r="L21" s="709"/>
      <c r="M21" s="521" t="e">
        <f>RANK(K21, K$7:$K$21)</f>
        <v>#N/A</v>
      </c>
      <c r="N21" s="652"/>
      <c r="O21" s="652"/>
      <c r="P21" s="519"/>
      <c r="Q21" s="522"/>
      <c r="R21" s="522"/>
      <c r="S21" s="522" t="e">
        <f t="shared" si="4"/>
        <v>#N/A</v>
      </c>
      <c r="T21" s="723"/>
      <c r="U21" s="556"/>
      <c r="V21" s="558"/>
      <c r="W21" s="558"/>
      <c r="X21" s="522" t="e">
        <f t="shared" si="5"/>
        <v>#N/A</v>
      </c>
      <c r="Y21" s="699"/>
      <c r="Z21" s="556"/>
      <c r="AA21" s="558"/>
      <c r="AB21" s="558"/>
      <c r="AC21" s="522" t="e">
        <f t="shared" si="6"/>
        <v>#N/A</v>
      </c>
      <c r="AD21" s="699"/>
      <c r="AE21" s="556"/>
      <c r="AF21" s="558"/>
      <c r="AG21" s="558"/>
      <c r="AH21" s="522" t="e">
        <f t="shared" si="7"/>
        <v>#N/A</v>
      </c>
      <c r="AI21" s="699"/>
      <c r="AJ21" s="556"/>
      <c r="AK21" s="558"/>
      <c r="AL21" s="558"/>
      <c r="AM21" s="522" t="e">
        <f t="shared" si="8"/>
        <v>#N/A</v>
      </c>
      <c r="AN21" s="699"/>
      <c r="AO21" s="556"/>
      <c r="AP21" s="558"/>
      <c r="AQ21" s="558"/>
      <c r="AR21" s="522" t="e">
        <f t="shared" si="9"/>
        <v>#N/A</v>
      </c>
      <c r="AS21" s="723"/>
      <c r="AT21" s="556"/>
      <c r="AU21" s="558"/>
      <c r="AV21" s="558"/>
      <c r="AW21" s="522" t="e">
        <f t="shared" si="10"/>
        <v>#N/A</v>
      </c>
      <c r="AX21" s="722"/>
      <c r="AZ21" s="362" t="e">
        <f>RANK(AX21, $K$7:AX$21)</f>
        <v>#N/A</v>
      </c>
      <c r="BB21" s="360" t="e">
        <f t="shared" si="11"/>
        <v>#N/A</v>
      </c>
    </row>
    <row r="22" spans="2:54" ht="15.75">
      <c r="B22" s="678" t="s">
        <v>163</v>
      </c>
      <c r="C22" s="679"/>
      <c r="D22" s="679"/>
      <c r="E22" s="679"/>
      <c r="F22" s="679"/>
      <c r="G22" s="679"/>
      <c r="H22" s="679"/>
      <c r="I22" s="203"/>
      <c r="J22" s="203"/>
      <c r="K22" s="203"/>
      <c r="L22" s="203"/>
      <c r="M22" s="204"/>
      <c r="N22" s="653" t="s">
        <v>156</v>
      </c>
      <c r="O22" s="653" t="s">
        <v>105</v>
      </c>
      <c r="P22" s="659">
        <f>AT2+1</f>
        <v>46056</v>
      </c>
      <c r="Q22" s="660"/>
      <c r="R22" s="660"/>
      <c r="S22" s="660"/>
      <c r="T22" s="660"/>
      <c r="U22" s="659">
        <f>P22+1</f>
        <v>46057</v>
      </c>
      <c r="V22" s="660"/>
      <c r="W22" s="660"/>
      <c r="X22" s="660"/>
      <c r="Y22" s="660"/>
      <c r="Z22" s="659">
        <f>U22+1</f>
        <v>46058</v>
      </c>
      <c r="AA22" s="660"/>
      <c r="AB22" s="660"/>
      <c r="AC22" s="660"/>
      <c r="AD22" s="660"/>
      <c r="AE22" s="659">
        <f>Z22+1</f>
        <v>46059</v>
      </c>
      <c r="AF22" s="660"/>
      <c r="AG22" s="660"/>
      <c r="AH22" s="660"/>
      <c r="AI22" s="660"/>
      <c r="AJ22" s="659">
        <f>AE22+1</f>
        <v>46060</v>
      </c>
      <c r="AK22" s="660"/>
      <c r="AL22" s="660"/>
      <c r="AM22" s="660"/>
      <c r="AN22" s="660"/>
      <c r="AO22" s="659">
        <f>AJ22+1</f>
        <v>46061</v>
      </c>
      <c r="AP22" s="660"/>
      <c r="AQ22" s="660"/>
      <c r="AR22" s="660"/>
      <c r="AS22" s="660"/>
      <c r="AT22" s="659">
        <f>AO22+1</f>
        <v>46062</v>
      </c>
      <c r="AU22" s="660"/>
      <c r="AV22" s="660"/>
      <c r="AW22" s="660"/>
      <c r="AX22" s="660"/>
    </row>
    <row r="23" spans="2:54" ht="15.75">
      <c r="B23" s="667"/>
      <c r="C23" s="667"/>
      <c r="D23" s="667"/>
      <c r="E23" s="667"/>
      <c r="F23" s="667"/>
      <c r="G23" s="667"/>
      <c r="H23" s="667"/>
      <c r="I23" s="205"/>
      <c r="J23" s="205"/>
      <c r="K23" s="205"/>
      <c r="L23" s="205"/>
      <c r="M23" s="206"/>
      <c r="N23" s="655"/>
      <c r="O23" s="655"/>
      <c r="P23" s="659" t="s">
        <v>336</v>
      </c>
      <c r="Q23" s="660"/>
      <c r="R23" s="660"/>
      <c r="S23" s="660"/>
      <c r="T23" s="660"/>
      <c r="U23" s="659" t="s">
        <v>337</v>
      </c>
      <c r="V23" s="660"/>
      <c r="W23" s="660"/>
      <c r="X23" s="660"/>
      <c r="Y23" s="660"/>
      <c r="Z23" s="659" t="s">
        <v>338</v>
      </c>
      <c r="AA23" s="660"/>
      <c r="AB23" s="660"/>
      <c r="AC23" s="660"/>
      <c r="AD23" s="660"/>
      <c r="AE23" s="659" t="s">
        <v>339</v>
      </c>
      <c r="AF23" s="660"/>
      <c r="AG23" s="660"/>
      <c r="AH23" s="660"/>
      <c r="AI23" s="660"/>
      <c r="AJ23" s="659" t="s">
        <v>340</v>
      </c>
      <c r="AK23" s="660"/>
      <c r="AL23" s="660"/>
      <c r="AM23" s="660"/>
      <c r="AN23" s="660"/>
      <c r="AO23" s="659" t="s">
        <v>341</v>
      </c>
      <c r="AP23" s="660"/>
      <c r="AQ23" s="660"/>
      <c r="AR23" s="660"/>
      <c r="AS23" s="660"/>
      <c r="AT23" s="659" t="s">
        <v>342</v>
      </c>
      <c r="AU23" s="660"/>
      <c r="AV23" s="660"/>
      <c r="AW23" s="660"/>
      <c r="AX23" s="660"/>
    </row>
    <row r="24" spans="2:54">
      <c r="B24" s="652" t="s">
        <v>431</v>
      </c>
      <c r="C24" s="652" t="s">
        <v>441</v>
      </c>
      <c r="D24" s="652"/>
      <c r="E24" s="652" t="s">
        <v>432</v>
      </c>
      <c r="F24" s="652"/>
      <c r="G24" s="652"/>
      <c r="H24" s="668" t="s">
        <v>428</v>
      </c>
      <c r="I24" s="636" t="s">
        <v>433</v>
      </c>
      <c r="J24" s="636"/>
      <c r="K24" s="636"/>
      <c r="L24" s="637" t="s">
        <v>428</v>
      </c>
      <c r="M24" s="643" t="s">
        <v>429</v>
      </c>
      <c r="N24" s="652"/>
      <c r="O24" s="652" t="s">
        <v>434</v>
      </c>
      <c r="P24" s="649" t="s">
        <v>430</v>
      </c>
      <c r="Q24" s="650"/>
      <c r="R24" s="650"/>
      <c r="S24" s="651"/>
      <c r="T24" s="652" t="s">
        <v>428</v>
      </c>
      <c r="U24" s="649" t="s">
        <v>430</v>
      </c>
      <c r="V24" s="650"/>
      <c r="W24" s="650"/>
      <c r="X24" s="651"/>
      <c r="Y24" s="652" t="s">
        <v>428</v>
      </c>
      <c r="Z24" s="649" t="s">
        <v>430</v>
      </c>
      <c r="AA24" s="650"/>
      <c r="AB24" s="650"/>
      <c r="AC24" s="651"/>
      <c r="AD24" s="652" t="s">
        <v>428</v>
      </c>
      <c r="AE24" s="649" t="s">
        <v>430</v>
      </c>
      <c r="AF24" s="650"/>
      <c r="AG24" s="650"/>
      <c r="AH24" s="651"/>
      <c r="AI24" s="652" t="s">
        <v>428</v>
      </c>
      <c r="AJ24" s="649" t="s">
        <v>430</v>
      </c>
      <c r="AK24" s="650"/>
      <c r="AL24" s="650"/>
      <c r="AM24" s="651"/>
      <c r="AN24" s="652" t="s">
        <v>428</v>
      </c>
      <c r="AO24" s="649" t="s">
        <v>430</v>
      </c>
      <c r="AP24" s="650"/>
      <c r="AQ24" s="650"/>
      <c r="AR24" s="651"/>
      <c r="AS24" s="652" t="s">
        <v>428</v>
      </c>
      <c r="AT24" s="649" t="s">
        <v>430</v>
      </c>
      <c r="AU24" s="650"/>
      <c r="AV24" s="650"/>
      <c r="AW24" s="651"/>
      <c r="AX24" s="652" t="s">
        <v>428</v>
      </c>
    </row>
    <row r="25" spans="2:54">
      <c r="B25" s="652"/>
      <c r="C25" s="652"/>
      <c r="D25" s="652"/>
      <c r="E25" s="652" t="s">
        <v>435</v>
      </c>
      <c r="F25" s="652"/>
      <c r="G25" s="652"/>
      <c r="H25" s="669"/>
      <c r="I25" s="636" t="s">
        <v>435</v>
      </c>
      <c r="J25" s="636"/>
      <c r="K25" s="636"/>
      <c r="L25" s="638"/>
      <c r="M25" s="644"/>
      <c r="N25" s="652"/>
      <c r="O25" s="652"/>
      <c r="P25" s="649" t="s">
        <v>436</v>
      </c>
      <c r="Q25" s="650"/>
      <c r="R25" s="650"/>
      <c r="S25" s="651"/>
      <c r="T25" s="652"/>
      <c r="U25" s="649" t="s">
        <v>436</v>
      </c>
      <c r="V25" s="650"/>
      <c r="W25" s="650"/>
      <c r="X25" s="651"/>
      <c r="Y25" s="652"/>
      <c r="Z25" s="649" t="s">
        <v>436</v>
      </c>
      <c r="AA25" s="650"/>
      <c r="AB25" s="650"/>
      <c r="AC25" s="651"/>
      <c r="AD25" s="652"/>
      <c r="AE25" s="649" t="s">
        <v>436</v>
      </c>
      <c r="AF25" s="650"/>
      <c r="AG25" s="650"/>
      <c r="AH25" s="651"/>
      <c r="AI25" s="652"/>
      <c r="AJ25" s="649" t="s">
        <v>436</v>
      </c>
      <c r="AK25" s="650"/>
      <c r="AL25" s="650"/>
      <c r="AM25" s="651"/>
      <c r="AN25" s="652"/>
      <c r="AO25" s="649" t="s">
        <v>436</v>
      </c>
      <c r="AP25" s="650"/>
      <c r="AQ25" s="650"/>
      <c r="AR25" s="651"/>
      <c r="AS25" s="652"/>
      <c r="AT25" s="649" t="s">
        <v>436</v>
      </c>
      <c r="AU25" s="650"/>
      <c r="AV25" s="650"/>
      <c r="AW25" s="651"/>
      <c r="AX25" s="652"/>
    </row>
    <row r="26" spans="2:54">
      <c r="B26" s="652"/>
      <c r="C26" s="652"/>
      <c r="D26" s="652"/>
      <c r="E26" s="308" t="s">
        <v>437</v>
      </c>
      <c r="F26" s="308" t="s">
        <v>438</v>
      </c>
      <c r="G26" s="308" t="s">
        <v>439</v>
      </c>
      <c r="H26" s="670"/>
      <c r="I26" s="307" t="s">
        <v>437</v>
      </c>
      <c r="J26" s="307" t="s">
        <v>438</v>
      </c>
      <c r="K26" s="307" t="s">
        <v>439</v>
      </c>
      <c r="L26" s="639"/>
      <c r="M26" s="645"/>
      <c r="N26" s="652"/>
      <c r="O26" s="652"/>
      <c r="P26" s="308" t="s">
        <v>437</v>
      </c>
      <c r="Q26" s="308" t="s">
        <v>438</v>
      </c>
      <c r="R26" s="308" t="s">
        <v>439</v>
      </c>
      <c r="S26" s="308" t="s">
        <v>429</v>
      </c>
      <c r="T26" s="652"/>
      <c r="U26" s="308" t="s">
        <v>437</v>
      </c>
      <c r="V26" s="308" t="s">
        <v>438</v>
      </c>
      <c r="W26" s="308" t="s">
        <v>439</v>
      </c>
      <c r="X26" s="308" t="s">
        <v>429</v>
      </c>
      <c r="Y26" s="652"/>
      <c r="Z26" s="308" t="s">
        <v>437</v>
      </c>
      <c r="AA26" s="308" t="s">
        <v>438</v>
      </c>
      <c r="AB26" s="308" t="s">
        <v>439</v>
      </c>
      <c r="AC26" s="308" t="s">
        <v>429</v>
      </c>
      <c r="AD26" s="652"/>
      <c r="AE26" s="308" t="s">
        <v>437</v>
      </c>
      <c r="AF26" s="308" t="s">
        <v>438</v>
      </c>
      <c r="AG26" s="308" t="s">
        <v>439</v>
      </c>
      <c r="AH26" s="308" t="s">
        <v>429</v>
      </c>
      <c r="AI26" s="652"/>
      <c r="AJ26" s="308" t="s">
        <v>437</v>
      </c>
      <c r="AK26" s="308" t="s">
        <v>438</v>
      </c>
      <c r="AL26" s="308" t="s">
        <v>439</v>
      </c>
      <c r="AM26" s="308" t="s">
        <v>429</v>
      </c>
      <c r="AN26" s="652"/>
      <c r="AO26" s="308" t="s">
        <v>437</v>
      </c>
      <c r="AP26" s="308" t="s">
        <v>438</v>
      </c>
      <c r="AQ26" s="308" t="s">
        <v>439</v>
      </c>
      <c r="AR26" s="308" t="s">
        <v>429</v>
      </c>
      <c r="AS26" s="652"/>
      <c r="AT26" s="308" t="s">
        <v>437</v>
      </c>
      <c r="AU26" s="308" t="s">
        <v>438</v>
      </c>
      <c r="AV26" s="308" t="s">
        <v>439</v>
      </c>
      <c r="AW26" s="308" t="s">
        <v>429</v>
      </c>
      <c r="AX26" s="652"/>
    </row>
    <row r="27" spans="2:54">
      <c r="B27" s="652" t="s">
        <v>443</v>
      </c>
      <c r="C27" s="309">
        <v>1</v>
      </c>
      <c r="D27" s="227" t="s">
        <v>774</v>
      </c>
      <c r="E27" s="182">
        <v>14</v>
      </c>
      <c r="F27" s="309">
        <v>1500</v>
      </c>
      <c r="G27" s="312">
        <v>107.14285714285714</v>
      </c>
      <c r="H27" s="701">
        <f>AVERAGE(G27:G41)</f>
        <v>90.605394204465412</v>
      </c>
      <c r="I27" s="199">
        <f>AVERAGE(P27,U27,Z27,AE27,AJ27,AO27,AT27)</f>
        <v>13</v>
      </c>
      <c r="J27" s="199">
        <f>AVERAGE(Q27,V27,AA27,AF27,AK27,AP27,AU27)</f>
        <v>1119.0009070294789</v>
      </c>
      <c r="K27" s="200">
        <f>AVERAGE(R27,W27,AB27,AG27,AL27,AQ27,AV27)</f>
        <v>86.076992848421455</v>
      </c>
      <c r="L27" s="633">
        <f>IFERROR(AVERAGE(K27:K41),"-")</f>
        <v>73.989565548759813</v>
      </c>
      <c r="M27" s="201">
        <f>RANK(K27, K$27:$K$41)</f>
        <v>1</v>
      </c>
      <c r="N27" s="652"/>
      <c r="O27" s="652"/>
      <c r="P27" s="182">
        <v>13</v>
      </c>
      <c r="Q27" s="182">
        <v>1101.4285714285722</v>
      </c>
      <c r="R27" s="182">
        <v>84.725274725274787</v>
      </c>
      <c r="S27" s="309">
        <f t="shared" ref="S27:S41" si="12">RANK(R27, R$27:R$41)</f>
        <v>1</v>
      </c>
      <c r="T27" s="674">
        <f>AVERAGE(R27:R41)</f>
        <v>75.105434816878486</v>
      </c>
      <c r="U27" s="182">
        <v>13</v>
      </c>
      <c r="V27" s="182">
        <v>1130.4000000000003</v>
      </c>
      <c r="W27" s="182">
        <v>86.953846153846172</v>
      </c>
      <c r="X27" s="477">
        <f t="shared" ref="X27:X41" si="13">RANK(W27, W$27:W$41)</f>
        <v>1</v>
      </c>
      <c r="Y27" s="674">
        <f t="shared" ref="Y27" si="14">AVERAGE(W27:W41)</f>
        <v>74.349677153126052</v>
      </c>
      <c r="Z27" s="182">
        <v>13</v>
      </c>
      <c r="AA27" s="182">
        <v>1117.7777777777785</v>
      </c>
      <c r="AB27" s="182">
        <v>85.982905982906033</v>
      </c>
      <c r="AC27" s="477">
        <f t="shared" ref="AC27:AC41" si="15">RANK(AB27, AB$27:AB$41)</f>
        <v>1</v>
      </c>
      <c r="AD27" s="674">
        <f t="shared" ref="AD27" si="16">AVERAGE(AB27:AB41)</f>
        <v>74.000543514647191</v>
      </c>
      <c r="AE27" s="182">
        <v>13</v>
      </c>
      <c r="AF27" s="182">
        <v>1094.9999999999995</v>
      </c>
      <c r="AG27" s="182">
        <v>84.230769230769198</v>
      </c>
      <c r="AH27" s="477">
        <f t="shared" ref="AH27:AH41" si="17">RANK(AG27, AG$27:AG$41)</f>
        <v>1</v>
      </c>
      <c r="AI27" s="674">
        <f t="shared" ref="AI27" si="18">AVERAGE(AG27:AG41)</f>
        <v>73.250921682601245</v>
      </c>
      <c r="AJ27" s="182">
        <v>13</v>
      </c>
      <c r="AK27" s="182">
        <v>1128.0000000000002</v>
      </c>
      <c r="AL27" s="182">
        <v>86.769230769230788</v>
      </c>
      <c r="AM27" s="477">
        <f t="shared" ref="AM27:AM41" si="19">RANK(AL27, AL$27:AL$41)</f>
        <v>1</v>
      </c>
      <c r="AN27" s="674">
        <f t="shared" ref="AN27" si="20">AVERAGE(AL27:AL41)</f>
        <v>73.836690832234382</v>
      </c>
      <c r="AO27" s="182">
        <v>13</v>
      </c>
      <c r="AP27" s="182">
        <v>1118.4000000000003</v>
      </c>
      <c r="AQ27" s="182">
        <v>86.030769230769252</v>
      </c>
      <c r="AR27" s="477">
        <f t="shared" ref="AR27:AR41" si="21">RANK(AQ27, AQ$27:AQ$41)</f>
        <v>1</v>
      </c>
      <c r="AS27" s="674">
        <f t="shared" ref="AS27" si="22">AVERAGE(AQ27:AQ41)</f>
        <v>73.685605020148543</v>
      </c>
      <c r="AT27" s="182">
        <v>13</v>
      </c>
      <c r="AU27" s="182">
        <v>1142.0000000000011</v>
      </c>
      <c r="AV27" s="182">
        <v>87.846153846153939</v>
      </c>
      <c r="AW27" s="477">
        <f t="shared" ref="AW27:AW41" si="23">RANK(AV27, AV$27:AV$41)</f>
        <v>1</v>
      </c>
      <c r="AX27" s="674">
        <f t="shared" ref="AX27" si="24">AVERAGE(AV27:AV41)</f>
        <v>73.698085821682795</v>
      </c>
    </row>
    <row r="28" spans="2:54">
      <c r="B28" s="660"/>
      <c r="C28" s="309">
        <v>2</v>
      </c>
      <c r="D28" s="227" t="s">
        <v>830</v>
      </c>
      <c r="E28" s="182">
        <v>17</v>
      </c>
      <c r="F28" s="309">
        <v>1636</v>
      </c>
      <c r="G28" s="312">
        <v>96.235294117647058</v>
      </c>
      <c r="H28" s="702"/>
      <c r="I28" s="199">
        <f t="shared" ref="I28:I32" si="25">AVERAGE(P28,U28,Z28,AE28,AJ28,AO28,AT28)</f>
        <v>18</v>
      </c>
      <c r="J28" s="199">
        <f t="shared" ref="J28:J32" si="26">AVERAGE(Q28,V28,AA28,AF28,AK28,AP28,AU28)</f>
        <v>1317.1369586674077</v>
      </c>
      <c r="K28" s="200">
        <f t="shared" ref="K28:K32" si="27">AVERAGE(R28,W28,AB28,AG28,AL28,AQ28,AV28)</f>
        <v>73.174275481522642</v>
      </c>
      <c r="L28" s="634"/>
      <c r="M28" s="201">
        <f>RANK(K28, K$27:$K$41)</f>
        <v>4</v>
      </c>
      <c r="N28" s="652"/>
      <c r="O28" s="652"/>
      <c r="P28" s="182">
        <v>18</v>
      </c>
      <c r="Q28" s="182">
        <v>1328.0281690140846</v>
      </c>
      <c r="R28" s="182">
        <v>73.779342723004703</v>
      </c>
      <c r="S28" s="309">
        <f t="shared" si="12"/>
        <v>4</v>
      </c>
      <c r="T28" s="674"/>
      <c r="U28" s="182">
        <v>18</v>
      </c>
      <c r="V28" s="182">
        <v>1345.1470588235286</v>
      </c>
      <c r="W28" s="182">
        <v>74.730392156862706</v>
      </c>
      <c r="X28" s="477">
        <f t="shared" si="13"/>
        <v>4</v>
      </c>
      <c r="Y28" s="674"/>
      <c r="Z28" s="182">
        <v>18</v>
      </c>
      <c r="AA28" s="182">
        <v>1302.3255813953494</v>
      </c>
      <c r="AB28" s="182">
        <v>72.351421188630525</v>
      </c>
      <c r="AC28" s="477">
        <f t="shared" si="15"/>
        <v>5</v>
      </c>
      <c r="AD28" s="674"/>
      <c r="AE28" s="182">
        <v>18</v>
      </c>
      <c r="AF28" s="182">
        <v>1306.5517241379307</v>
      </c>
      <c r="AG28" s="182">
        <v>72.586206896551701</v>
      </c>
      <c r="AH28" s="477">
        <f t="shared" si="17"/>
        <v>4</v>
      </c>
      <c r="AI28" s="674"/>
      <c r="AJ28" s="182">
        <v>18</v>
      </c>
      <c r="AK28" s="182">
        <v>1299.8399999999997</v>
      </c>
      <c r="AL28" s="182">
        <v>72.21333333333331</v>
      </c>
      <c r="AM28" s="477">
        <f t="shared" si="19"/>
        <v>5</v>
      </c>
      <c r="AN28" s="674"/>
      <c r="AO28" s="182">
        <v>18</v>
      </c>
      <c r="AP28" s="182">
        <v>1320.7792207792206</v>
      </c>
      <c r="AQ28" s="182">
        <v>73.376623376623371</v>
      </c>
      <c r="AR28" s="477">
        <f t="shared" si="21"/>
        <v>4</v>
      </c>
      <c r="AS28" s="674"/>
      <c r="AT28" s="182">
        <v>18</v>
      </c>
      <c r="AU28" s="182">
        <v>1317.2869565217393</v>
      </c>
      <c r="AV28" s="182">
        <v>73.182608695652178</v>
      </c>
      <c r="AW28" s="477">
        <f t="shared" si="23"/>
        <v>4</v>
      </c>
      <c r="AX28" s="674"/>
    </row>
    <row r="29" spans="2:54">
      <c r="B29" s="660"/>
      <c r="C29" s="309">
        <v>3</v>
      </c>
      <c r="D29" s="227" t="s">
        <v>809</v>
      </c>
      <c r="E29" s="182">
        <v>17</v>
      </c>
      <c r="F29" s="309">
        <v>1500</v>
      </c>
      <c r="G29" s="312">
        <v>88.235294117647058</v>
      </c>
      <c r="H29" s="702"/>
      <c r="I29" s="199">
        <f t="shared" si="25"/>
        <v>16.857142857142858</v>
      </c>
      <c r="J29" s="199">
        <f t="shared" si="26"/>
        <v>1307.2810562281593</v>
      </c>
      <c r="K29" s="200">
        <f t="shared" si="27"/>
        <v>77.595799041216878</v>
      </c>
      <c r="L29" s="634"/>
      <c r="M29" s="201">
        <f>RANK(K29, K$27:$K$41)</f>
        <v>2</v>
      </c>
      <c r="N29" s="652"/>
      <c r="O29" s="652"/>
      <c r="P29" s="182">
        <v>16</v>
      </c>
      <c r="Q29" s="182">
        <v>1326.9230769230767</v>
      </c>
      <c r="R29" s="182">
        <v>82.932692307692292</v>
      </c>
      <c r="S29" s="309">
        <f t="shared" si="12"/>
        <v>2</v>
      </c>
      <c r="T29" s="674"/>
      <c r="U29" s="182">
        <v>17</v>
      </c>
      <c r="V29" s="182">
        <v>1302.1052631578957</v>
      </c>
      <c r="W29" s="182">
        <v>76.594427244582107</v>
      </c>
      <c r="X29" s="477">
        <f t="shared" si="13"/>
        <v>2</v>
      </c>
      <c r="Y29" s="674"/>
      <c r="Z29" s="182">
        <v>17</v>
      </c>
      <c r="AA29" s="182">
        <v>1327.2000000000003</v>
      </c>
      <c r="AB29" s="182">
        <v>78.070588235294139</v>
      </c>
      <c r="AC29" s="477">
        <f t="shared" si="15"/>
        <v>2</v>
      </c>
      <c r="AD29" s="674"/>
      <c r="AE29" s="182">
        <v>17</v>
      </c>
      <c r="AF29" s="182">
        <v>1275.7894736842095</v>
      </c>
      <c r="AG29" s="182">
        <v>75.046439628482915</v>
      </c>
      <c r="AH29" s="477">
        <f t="shared" si="17"/>
        <v>3</v>
      </c>
      <c r="AI29" s="674"/>
      <c r="AJ29" s="182">
        <v>17</v>
      </c>
      <c r="AK29" s="182">
        <v>1324.9999999999993</v>
      </c>
      <c r="AL29" s="182">
        <v>77.941176470588189</v>
      </c>
      <c r="AM29" s="477">
        <f t="shared" si="19"/>
        <v>2</v>
      </c>
      <c r="AN29" s="674"/>
      <c r="AO29" s="182">
        <v>17</v>
      </c>
      <c r="AP29" s="182">
        <v>1308.2352941176475</v>
      </c>
      <c r="AQ29" s="182">
        <v>76.955017301038083</v>
      </c>
      <c r="AR29" s="477">
        <f t="shared" si="21"/>
        <v>2</v>
      </c>
      <c r="AS29" s="674"/>
      <c r="AT29" s="182">
        <v>17</v>
      </c>
      <c r="AU29" s="182">
        <v>1285.7142857142867</v>
      </c>
      <c r="AV29" s="182">
        <v>75.630252100840394</v>
      </c>
      <c r="AW29" s="477">
        <f t="shared" si="23"/>
        <v>3</v>
      </c>
      <c r="AX29" s="674"/>
    </row>
    <row r="30" spans="2:54">
      <c r="B30" s="660"/>
      <c r="C30" s="309">
        <v>4</v>
      </c>
      <c r="D30" s="227" t="s">
        <v>816</v>
      </c>
      <c r="E30" s="182">
        <v>17</v>
      </c>
      <c r="F30" s="309">
        <v>1500</v>
      </c>
      <c r="G30" s="312">
        <v>88.235294117647058</v>
      </c>
      <c r="H30" s="702"/>
      <c r="I30" s="199">
        <f t="shared" si="25"/>
        <v>18</v>
      </c>
      <c r="J30" s="199">
        <f t="shared" si="26"/>
        <v>1312.2330915093669</v>
      </c>
      <c r="K30" s="200">
        <f t="shared" si="27"/>
        <v>72.901838417187065</v>
      </c>
      <c r="L30" s="634"/>
      <c r="M30" s="201">
        <f>RANK(K30, K$27:$K$41)</f>
        <v>5</v>
      </c>
      <c r="N30" s="652"/>
      <c r="O30" s="652"/>
      <c r="P30" s="182">
        <v>18</v>
      </c>
      <c r="Q30" s="182">
        <v>1324.5000000000005</v>
      </c>
      <c r="R30" s="182">
        <v>73.583333333333357</v>
      </c>
      <c r="S30" s="309">
        <f t="shared" si="12"/>
        <v>5</v>
      </c>
      <c r="T30" s="674"/>
      <c r="U30" s="182">
        <v>18</v>
      </c>
      <c r="V30" s="182">
        <v>1288.8000000000004</v>
      </c>
      <c r="W30" s="182">
        <v>71.600000000000023</v>
      </c>
      <c r="X30" s="477">
        <f t="shared" si="13"/>
        <v>5</v>
      </c>
      <c r="Y30" s="674"/>
      <c r="Z30" s="182">
        <v>18</v>
      </c>
      <c r="AA30" s="182">
        <v>1305.3846153846162</v>
      </c>
      <c r="AB30" s="182">
        <v>72.521367521367566</v>
      </c>
      <c r="AC30" s="477">
        <f t="shared" si="15"/>
        <v>4</v>
      </c>
      <c r="AD30" s="674"/>
      <c r="AE30" s="182">
        <v>18</v>
      </c>
      <c r="AF30" s="182">
        <v>1305.2631578947369</v>
      </c>
      <c r="AG30" s="182">
        <v>72.514619883040936</v>
      </c>
      <c r="AH30" s="477">
        <f t="shared" si="17"/>
        <v>5</v>
      </c>
      <c r="AI30" s="674"/>
      <c r="AJ30" s="182">
        <v>18</v>
      </c>
      <c r="AK30" s="182">
        <v>1330.5957446808511</v>
      </c>
      <c r="AL30" s="182">
        <v>73.921985815602838</v>
      </c>
      <c r="AM30" s="477">
        <f t="shared" si="19"/>
        <v>4</v>
      </c>
      <c r="AN30" s="674"/>
      <c r="AO30" s="182">
        <v>18</v>
      </c>
      <c r="AP30" s="182">
        <v>1316.7777777777776</v>
      </c>
      <c r="AQ30" s="182">
        <v>73.154320987654316</v>
      </c>
      <c r="AR30" s="477">
        <f t="shared" si="21"/>
        <v>5</v>
      </c>
      <c r="AS30" s="674"/>
      <c r="AT30" s="182">
        <v>18</v>
      </c>
      <c r="AU30" s="182">
        <v>1314.3103448275865</v>
      </c>
      <c r="AV30" s="182">
        <v>73.017241379310363</v>
      </c>
      <c r="AW30" s="477">
        <f t="shared" si="23"/>
        <v>5</v>
      </c>
      <c r="AX30" s="674"/>
    </row>
    <row r="31" spans="2:54">
      <c r="B31" s="660"/>
      <c r="C31" s="309">
        <v>5</v>
      </c>
      <c r="D31" s="227" t="s">
        <v>945</v>
      </c>
      <c r="E31" s="182">
        <v>18</v>
      </c>
      <c r="F31" s="309">
        <v>1636</v>
      </c>
      <c r="G31" s="312">
        <v>90.888888888888886</v>
      </c>
      <c r="H31" s="702"/>
      <c r="I31" s="199">
        <f t="shared" si="25"/>
        <v>18</v>
      </c>
      <c r="J31" s="199">
        <f t="shared" si="26"/>
        <v>1361.4842181393719</v>
      </c>
      <c r="K31" s="200">
        <f t="shared" si="27"/>
        <v>75.638012118853993</v>
      </c>
      <c r="L31" s="634"/>
      <c r="M31" s="201">
        <f>RANK(K31, K$27:$K$41)</f>
        <v>3</v>
      </c>
      <c r="N31" s="652"/>
      <c r="O31" s="652"/>
      <c r="P31" s="182">
        <v>18</v>
      </c>
      <c r="Q31" s="182">
        <v>1364.6153846153838</v>
      </c>
      <c r="R31" s="182">
        <v>75.811965811965763</v>
      </c>
      <c r="S31" s="309">
        <f t="shared" si="12"/>
        <v>3</v>
      </c>
      <c r="T31" s="674"/>
      <c r="U31" s="182">
        <v>18</v>
      </c>
      <c r="V31" s="182">
        <v>1375.0000000000002</v>
      </c>
      <c r="W31" s="182">
        <v>76.3888888888889</v>
      </c>
      <c r="X31" s="477">
        <f t="shared" si="13"/>
        <v>3</v>
      </c>
      <c r="Y31" s="674"/>
      <c r="Z31" s="182">
        <v>18</v>
      </c>
      <c r="AA31" s="182">
        <v>1345.263157894736</v>
      </c>
      <c r="AB31" s="182">
        <v>74.736842105263108</v>
      </c>
      <c r="AC31" s="477">
        <f t="shared" si="15"/>
        <v>3</v>
      </c>
      <c r="AD31" s="674"/>
      <c r="AE31" s="182">
        <v>18</v>
      </c>
      <c r="AF31" s="182">
        <v>1378.6363636363635</v>
      </c>
      <c r="AG31" s="182">
        <v>76.590909090909079</v>
      </c>
      <c r="AH31" s="477">
        <f t="shared" si="17"/>
        <v>2</v>
      </c>
      <c r="AI31" s="674"/>
      <c r="AJ31" s="182">
        <v>18</v>
      </c>
      <c r="AK31" s="182">
        <v>1340.9999999999995</v>
      </c>
      <c r="AL31" s="182">
        <v>74.499999999999972</v>
      </c>
      <c r="AM31" s="477">
        <f t="shared" si="19"/>
        <v>3</v>
      </c>
      <c r="AN31" s="674"/>
      <c r="AO31" s="182">
        <v>18</v>
      </c>
      <c r="AP31" s="182">
        <v>1336.7441860465115</v>
      </c>
      <c r="AQ31" s="182">
        <v>74.263565891472865</v>
      </c>
      <c r="AR31" s="477">
        <f t="shared" si="21"/>
        <v>3</v>
      </c>
      <c r="AS31" s="674"/>
      <c r="AT31" s="182">
        <v>18</v>
      </c>
      <c r="AU31" s="182">
        <v>1389.1304347826085</v>
      </c>
      <c r="AV31" s="182">
        <v>77.173913043478251</v>
      </c>
      <c r="AW31" s="477">
        <f t="shared" si="23"/>
        <v>2</v>
      </c>
      <c r="AX31" s="674"/>
    </row>
    <row r="32" spans="2:54">
      <c r="B32" s="660"/>
      <c r="C32" s="309">
        <v>6</v>
      </c>
      <c r="D32" s="227" t="s">
        <v>946</v>
      </c>
      <c r="E32" s="182">
        <v>19</v>
      </c>
      <c r="F32" s="309">
        <v>1385</v>
      </c>
      <c r="G32" s="312">
        <v>72.89473684210526</v>
      </c>
      <c r="H32" s="702"/>
      <c r="I32" s="199">
        <f t="shared" si="25"/>
        <v>18.142857142857142</v>
      </c>
      <c r="J32" s="199">
        <f t="shared" si="26"/>
        <v>1061.8140349170892</v>
      </c>
      <c r="K32" s="200">
        <f t="shared" si="27"/>
        <v>58.55047538535684</v>
      </c>
      <c r="L32" s="634"/>
      <c r="M32" s="201">
        <f>RANK(K32, K$27:$K$41)</f>
        <v>6</v>
      </c>
      <c r="N32" s="652"/>
      <c r="O32" s="652"/>
      <c r="P32" s="182">
        <v>18</v>
      </c>
      <c r="Q32" s="182">
        <v>1076.4000000000003</v>
      </c>
      <c r="R32" s="182">
        <v>59.800000000000018</v>
      </c>
      <c r="S32" s="309">
        <f t="shared" si="12"/>
        <v>6</v>
      </c>
      <c r="T32" s="674"/>
      <c r="U32" s="182">
        <v>18</v>
      </c>
      <c r="V32" s="182">
        <v>1076.9491525423739</v>
      </c>
      <c r="W32" s="182">
        <v>59.830508474576327</v>
      </c>
      <c r="X32" s="477">
        <f t="shared" si="13"/>
        <v>6</v>
      </c>
      <c r="Y32" s="674"/>
      <c r="Z32" s="182">
        <v>18</v>
      </c>
      <c r="AA32" s="182">
        <v>1086.1224489795923</v>
      </c>
      <c r="AB32" s="182">
        <v>60.340136054421791</v>
      </c>
      <c r="AC32" s="477">
        <f t="shared" si="15"/>
        <v>6</v>
      </c>
      <c r="AD32" s="674"/>
      <c r="AE32" s="182">
        <v>18</v>
      </c>
      <c r="AF32" s="182">
        <v>1053.6585365853655</v>
      </c>
      <c r="AG32" s="182">
        <v>58.536585365853639</v>
      </c>
      <c r="AH32" s="477">
        <f t="shared" si="17"/>
        <v>6</v>
      </c>
      <c r="AI32" s="674"/>
      <c r="AJ32" s="182">
        <v>18</v>
      </c>
      <c r="AK32" s="182">
        <v>1038.1395348837209</v>
      </c>
      <c r="AL32" s="182">
        <v>57.674418604651159</v>
      </c>
      <c r="AM32" s="477">
        <f t="shared" si="19"/>
        <v>6</v>
      </c>
      <c r="AN32" s="674"/>
      <c r="AO32" s="182">
        <v>18</v>
      </c>
      <c r="AP32" s="182">
        <v>1049.9999999999995</v>
      </c>
      <c r="AQ32" s="182">
        <v>58.333333333333307</v>
      </c>
      <c r="AR32" s="477">
        <f t="shared" si="21"/>
        <v>6</v>
      </c>
      <c r="AS32" s="674"/>
      <c r="AT32" s="182">
        <v>19</v>
      </c>
      <c r="AU32" s="182">
        <v>1051.4285714285711</v>
      </c>
      <c r="AV32" s="182">
        <v>55.33834586466164</v>
      </c>
      <c r="AW32" s="477">
        <f t="shared" si="23"/>
        <v>6</v>
      </c>
      <c r="AX32" s="674"/>
    </row>
    <row r="33" spans="2:50">
      <c r="B33" s="660"/>
      <c r="C33" s="309">
        <v>7</v>
      </c>
      <c r="D33" s="227"/>
      <c r="E33" s="182"/>
      <c r="F33" s="309"/>
      <c r="G33" s="312"/>
      <c r="H33" s="702"/>
      <c r="I33" s="199"/>
      <c r="J33" s="199"/>
      <c r="K33" s="200"/>
      <c r="L33" s="634"/>
      <c r="M33" s="201" t="e">
        <f>RANK(K33, K$27:$K$41)</f>
        <v>#N/A</v>
      </c>
      <c r="N33" s="652"/>
      <c r="O33" s="652"/>
      <c r="P33" s="182"/>
      <c r="Q33" s="182"/>
      <c r="R33" s="182"/>
      <c r="S33" s="309" t="e">
        <f t="shared" si="12"/>
        <v>#N/A</v>
      </c>
      <c r="T33" s="674"/>
      <c r="U33" s="182"/>
      <c r="V33" s="182"/>
      <c r="W33" s="182"/>
      <c r="X33" s="477" t="e">
        <f t="shared" si="13"/>
        <v>#N/A</v>
      </c>
      <c r="Y33" s="674"/>
      <c r="Z33" s="182"/>
      <c r="AA33" s="182"/>
      <c r="AB33" s="182"/>
      <c r="AC33" s="477" t="e">
        <f t="shared" si="15"/>
        <v>#N/A</v>
      </c>
      <c r="AD33" s="674"/>
      <c r="AE33" s="182"/>
      <c r="AF33" s="182"/>
      <c r="AG33" s="182"/>
      <c r="AH33" s="477" t="e">
        <f t="shared" si="17"/>
        <v>#N/A</v>
      </c>
      <c r="AI33" s="674"/>
      <c r="AJ33" s="182"/>
      <c r="AK33" s="182"/>
      <c r="AL33" s="182"/>
      <c r="AM33" s="477" t="e">
        <f t="shared" si="19"/>
        <v>#N/A</v>
      </c>
      <c r="AN33" s="674"/>
      <c r="AO33" s="182"/>
      <c r="AP33" s="182"/>
      <c r="AQ33" s="182"/>
      <c r="AR33" s="477" t="e">
        <f t="shared" si="21"/>
        <v>#N/A</v>
      </c>
      <c r="AS33" s="674"/>
      <c r="AT33" s="182"/>
      <c r="AU33" s="182"/>
      <c r="AV33" s="182"/>
      <c r="AW33" s="477" t="e">
        <f t="shared" si="23"/>
        <v>#N/A</v>
      </c>
      <c r="AX33" s="674"/>
    </row>
    <row r="34" spans="2:50">
      <c r="B34" s="660"/>
      <c r="C34" s="309">
        <v>8</v>
      </c>
      <c r="D34" s="227"/>
      <c r="E34" s="182"/>
      <c r="F34" s="309"/>
      <c r="G34" s="312"/>
      <c r="H34" s="702"/>
      <c r="I34" s="425"/>
      <c r="J34" s="425"/>
      <c r="K34" s="200"/>
      <c r="L34" s="634"/>
      <c r="M34" s="201" t="e">
        <f>RANK(K34, K$27:$K$41)</f>
        <v>#N/A</v>
      </c>
      <c r="N34" s="652"/>
      <c r="O34" s="652"/>
      <c r="P34" s="182"/>
      <c r="Q34" s="182"/>
      <c r="R34" s="182"/>
      <c r="S34" s="309" t="e">
        <f t="shared" si="12"/>
        <v>#N/A</v>
      </c>
      <c r="T34" s="674"/>
      <c r="U34" s="182"/>
      <c r="V34" s="182"/>
      <c r="W34" s="182"/>
      <c r="X34" s="477" t="e">
        <f t="shared" si="13"/>
        <v>#N/A</v>
      </c>
      <c r="Y34" s="674"/>
      <c r="Z34" s="182"/>
      <c r="AA34" s="182"/>
      <c r="AB34" s="182"/>
      <c r="AC34" s="477" t="e">
        <f t="shared" si="15"/>
        <v>#N/A</v>
      </c>
      <c r="AD34" s="674"/>
      <c r="AE34" s="182"/>
      <c r="AF34" s="182"/>
      <c r="AG34" s="182"/>
      <c r="AH34" s="477" t="e">
        <f t="shared" si="17"/>
        <v>#N/A</v>
      </c>
      <c r="AI34" s="674"/>
      <c r="AJ34" s="182"/>
      <c r="AK34" s="182"/>
      <c r="AL34" s="182"/>
      <c r="AM34" s="477" t="e">
        <f t="shared" si="19"/>
        <v>#N/A</v>
      </c>
      <c r="AN34" s="674"/>
      <c r="AO34" s="182"/>
      <c r="AP34" s="182"/>
      <c r="AQ34" s="182"/>
      <c r="AR34" s="477" t="e">
        <f t="shared" si="21"/>
        <v>#N/A</v>
      </c>
      <c r="AS34" s="674"/>
      <c r="AT34" s="182"/>
      <c r="AU34" s="182"/>
      <c r="AV34" s="182"/>
      <c r="AW34" s="477" t="e">
        <f t="shared" si="23"/>
        <v>#N/A</v>
      </c>
      <c r="AX34" s="674"/>
    </row>
    <row r="35" spans="2:50">
      <c r="B35" s="660"/>
      <c r="C35" s="309">
        <v>9</v>
      </c>
      <c r="D35" s="227"/>
      <c r="E35" s="182"/>
      <c r="F35" s="309"/>
      <c r="G35" s="312"/>
      <c r="H35" s="702"/>
      <c r="I35" s="481"/>
      <c r="J35" s="481"/>
      <c r="K35" s="200"/>
      <c r="L35" s="634"/>
      <c r="M35" s="201" t="e">
        <f>RANK(K35, K$27:$K$41)</f>
        <v>#N/A</v>
      </c>
      <c r="N35" s="652"/>
      <c r="O35" s="652"/>
      <c r="P35" s="182"/>
      <c r="Q35" s="182"/>
      <c r="R35" s="182"/>
      <c r="S35" s="309" t="e">
        <f t="shared" si="12"/>
        <v>#N/A</v>
      </c>
      <c r="T35" s="674"/>
      <c r="U35" s="182"/>
      <c r="V35" s="182"/>
      <c r="W35" s="182"/>
      <c r="X35" s="477" t="e">
        <f t="shared" si="13"/>
        <v>#N/A</v>
      </c>
      <c r="Y35" s="674"/>
      <c r="Z35" s="182"/>
      <c r="AA35" s="182"/>
      <c r="AB35" s="182"/>
      <c r="AC35" s="477" t="e">
        <f t="shared" si="15"/>
        <v>#N/A</v>
      </c>
      <c r="AD35" s="674"/>
      <c r="AE35" s="182"/>
      <c r="AF35" s="182"/>
      <c r="AG35" s="182"/>
      <c r="AH35" s="477" t="e">
        <f t="shared" si="17"/>
        <v>#N/A</v>
      </c>
      <c r="AI35" s="674"/>
      <c r="AJ35" s="182"/>
      <c r="AK35" s="182"/>
      <c r="AL35" s="182"/>
      <c r="AM35" s="477" t="e">
        <f t="shared" si="19"/>
        <v>#N/A</v>
      </c>
      <c r="AN35" s="674"/>
      <c r="AO35" s="182"/>
      <c r="AP35" s="182"/>
      <c r="AQ35" s="182"/>
      <c r="AR35" s="477" t="e">
        <f t="shared" si="21"/>
        <v>#N/A</v>
      </c>
      <c r="AS35" s="674"/>
      <c r="AT35" s="182"/>
      <c r="AU35" s="182"/>
      <c r="AV35" s="182"/>
      <c r="AW35" s="477" t="e">
        <f t="shared" si="23"/>
        <v>#N/A</v>
      </c>
      <c r="AX35" s="674"/>
    </row>
    <row r="36" spans="2:50">
      <c r="B36" s="660"/>
      <c r="C36" s="309">
        <v>10</v>
      </c>
      <c r="D36" s="227"/>
      <c r="E36" s="182"/>
      <c r="F36" s="309"/>
      <c r="G36" s="312"/>
      <c r="H36" s="702"/>
      <c r="I36" s="481"/>
      <c r="J36" s="481"/>
      <c r="K36" s="200"/>
      <c r="L36" s="634"/>
      <c r="M36" s="201" t="e">
        <f>RANK(K36, K$27:$K$41)</f>
        <v>#N/A</v>
      </c>
      <c r="N36" s="652"/>
      <c r="O36" s="652"/>
      <c r="P36" s="182"/>
      <c r="Q36" s="182"/>
      <c r="R36" s="182"/>
      <c r="S36" s="309" t="e">
        <f t="shared" si="12"/>
        <v>#N/A</v>
      </c>
      <c r="T36" s="674"/>
      <c r="U36" s="182"/>
      <c r="V36" s="182"/>
      <c r="W36" s="182"/>
      <c r="X36" s="477" t="e">
        <f t="shared" si="13"/>
        <v>#N/A</v>
      </c>
      <c r="Y36" s="674"/>
      <c r="Z36" s="182"/>
      <c r="AA36" s="182"/>
      <c r="AB36" s="182"/>
      <c r="AC36" s="477" t="e">
        <f t="shared" si="15"/>
        <v>#N/A</v>
      </c>
      <c r="AD36" s="674"/>
      <c r="AE36" s="182"/>
      <c r="AF36" s="182"/>
      <c r="AG36" s="182"/>
      <c r="AH36" s="477" t="e">
        <f t="shared" si="17"/>
        <v>#N/A</v>
      </c>
      <c r="AI36" s="674"/>
      <c r="AJ36" s="182"/>
      <c r="AK36" s="182"/>
      <c r="AL36" s="182"/>
      <c r="AM36" s="477" t="e">
        <f t="shared" si="19"/>
        <v>#N/A</v>
      </c>
      <c r="AN36" s="674"/>
      <c r="AO36" s="182"/>
      <c r="AP36" s="182"/>
      <c r="AQ36" s="182"/>
      <c r="AR36" s="477" t="e">
        <f t="shared" si="21"/>
        <v>#N/A</v>
      </c>
      <c r="AS36" s="674"/>
      <c r="AT36" s="182"/>
      <c r="AU36" s="182"/>
      <c r="AV36" s="182"/>
      <c r="AW36" s="477" t="e">
        <f t="shared" si="23"/>
        <v>#N/A</v>
      </c>
      <c r="AX36" s="674"/>
    </row>
    <row r="37" spans="2:50">
      <c r="B37" s="660"/>
      <c r="C37" s="309">
        <v>11</v>
      </c>
      <c r="D37" s="227"/>
      <c r="E37" s="182"/>
      <c r="F37" s="309"/>
      <c r="G37" s="312"/>
      <c r="H37" s="702"/>
      <c r="I37" s="481"/>
      <c r="J37" s="481"/>
      <c r="K37" s="200"/>
      <c r="L37" s="634"/>
      <c r="M37" s="201" t="e">
        <f>RANK(K37, K$27:$K$41)</f>
        <v>#N/A</v>
      </c>
      <c r="N37" s="652"/>
      <c r="O37" s="652"/>
      <c r="P37" s="182"/>
      <c r="Q37" s="182"/>
      <c r="R37" s="182"/>
      <c r="S37" s="309" t="e">
        <f t="shared" si="12"/>
        <v>#N/A</v>
      </c>
      <c r="T37" s="674"/>
      <c r="U37" s="182"/>
      <c r="V37" s="182"/>
      <c r="W37" s="182"/>
      <c r="X37" s="477" t="e">
        <f t="shared" si="13"/>
        <v>#N/A</v>
      </c>
      <c r="Y37" s="674"/>
      <c r="Z37" s="182"/>
      <c r="AA37" s="182"/>
      <c r="AB37" s="182"/>
      <c r="AC37" s="477" t="e">
        <f t="shared" si="15"/>
        <v>#N/A</v>
      </c>
      <c r="AD37" s="674"/>
      <c r="AE37" s="182"/>
      <c r="AF37" s="182"/>
      <c r="AG37" s="182"/>
      <c r="AH37" s="477" t="e">
        <f t="shared" si="17"/>
        <v>#N/A</v>
      </c>
      <c r="AI37" s="674"/>
      <c r="AJ37" s="182"/>
      <c r="AK37" s="182"/>
      <c r="AL37" s="182"/>
      <c r="AM37" s="477" t="e">
        <f t="shared" si="19"/>
        <v>#N/A</v>
      </c>
      <c r="AN37" s="674"/>
      <c r="AO37" s="182"/>
      <c r="AP37" s="182"/>
      <c r="AQ37" s="182"/>
      <c r="AR37" s="477" t="e">
        <f t="shared" si="21"/>
        <v>#N/A</v>
      </c>
      <c r="AS37" s="674"/>
      <c r="AT37" s="182"/>
      <c r="AU37" s="182"/>
      <c r="AV37" s="182"/>
      <c r="AW37" s="477" t="e">
        <f t="shared" si="23"/>
        <v>#N/A</v>
      </c>
      <c r="AX37" s="674"/>
    </row>
    <row r="38" spans="2:50">
      <c r="B38" s="660"/>
      <c r="C38" s="309">
        <v>12</v>
      </c>
      <c r="D38" s="227"/>
      <c r="E38" s="182"/>
      <c r="F38" s="309"/>
      <c r="G38" s="312"/>
      <c r="H38" s="702"/>
      <c r="I38" s="481"/>
      <c r="J38" s="481"/>
      <c r="K38" s="200"/>
      <c r="L38" s="634"/>
      <c r="M38" s="201" t="e">
        <f>RANK(K38, K$27:$K$41)</f>
        <v>#N/A</v>
      </c>
      <c r="N38" s="652"/>
      <c r="O38" s="652"/>
      <c r="P38" s="182"/>
      <c r="Q38" s="182"/>
      <c r="R38" s="182"/>
      <c r="S38" s="309" t="e">
        <f t="shared" si="12"/>
        <v>#N/A</v>
      </c>
      <c r="T38" s="674"/>
      <c r="U38" s="182"/>
      <c r="V38" s="182"/>
      <c r="W38" s="182"/>
      <c r="X38" s="477" t="e">
        <f t="shared" si="13"/>
        <v>#N/A</v>
      </c>
      <c r="Y38" s="674"/>
      <c r="Z38" s="182"/>
      <c r="AA38" s="182"/>
      <c r="AB38" s="182"/>
      <c r="AC38" s="477" t="e">
        <f t="shared" si="15"/>
        <v>#N/A</v>
      </c>
      <c r="AD38" s="674"/>
      <c r="AE38" s="182"/>
      <c r="AF38" s="182"/>
      <c r="AG38" s="182"/>
      <c r="AH38" s="477" t="e">
        <f t="shared" si="17"/>
        <v>#N/A</v>
      </c>
      <c r="AI38" s="674"/>
      <c r="AJ38" s="182"/>
      <c r="AK38" s="182"/>
      <c r="AL38" s="182"/>
      <c r="AM38" s="477" t="e">
        <f t="shared" si="19"/>
        <v>#N/A</v>
      </c>
      <c r="AN38" s="674"/>
      <c r="AO38" s="182"/>
      <c r="AP38" s="182"/>
      <c r="AQ38" s="182"/>
      <c r="AR38" s="477" t="e">
        <f t="shared" si="21"/>
        <v>#N/A</v>
      </c>
      <c r="AS38" s="674"/>
      <c r="AT38" s="182"/>
      <c r="AU38" s="182"/>
      <c r="AV38" s="182"/>
      <c r="AW38" s="477" t="e">
        <f t="shared" si="23"/>
        <v>#N/A</v>
      </c>
      <c r="AX38" s="674"/>
    </row>
    <row r="39" spans="2:50">
      <c r="B39" s="660"/>
      <c r="C39" s="309">
        <v>13</v>
      </c>
      <c r="D39" s="227"/>
      <c r="E39" s="182"/>
      <c r="F39" s="309"/>
      <c r="G39" s="312"/>
      <c r="H39" s="702"/>
      <c r="I39" s="202"/>
      <c r="J39" s="202"/>
      <c r="K39" s="202"/>
      <c r="L39" s="634"/>
      <c r="M39" s="201" t="e">
        <f>RANK(K39, K$27:$K$41)</f>
        <v>#N/A</v>
      </c>
      <c r="N39" s="652"/>
      <c r="O39" s="652"/>
      <c r="P39" s="182"/>
      <c r="Q39" s="182"/>
      <c r="R39" s="182"/>
      <c r="S39" s="309" t="e">
        <f t="shared" si="12"/>
        <v>#N/A</v>
      </c>
      <c r="T39" s="674"/>
      <c r="U39" s="182"/>
      <c r="V39" s="182"/>
      <c r="W39" s="182"/>
      <c r="X39" s="477" t="e">
        <f t="shared" si="13"/>
        <v>#N/A</v>
      </c>
      <c r="Y39" s="674"/>
      <c r="Z39" s="182"/>
      <c r="AA39" s="182"/>
      <c r="AB39" s="182"/>
      <c r="AC39" s="477" t="e">
        <f t="shared" si="15"/>
        <v>#N/A</v>
      </c>
      <c r="AD39" s="674"/>
      <c r="AE39" s="182"/>
      <c r="AF39" s="182"/>
      <c r="AG39" s="182"/>
      <c r="AH39" s="477" t="e">
        <f t="shared" si="17"/>
        <v>#N/A</v>
      </c>
      <c r="AI39" s="674"/>
      <c r="AJ39" s="182"/>
      <c r="AK39" s="182"/>
      <c r="AL39" s="182"/>
      <c r="AM39" s="477" t="e">
        <f t="shared" si="19"/>
        <v>#N/A</v>
      </c>
      <c r="AN39" s="674"/>
      <c r="AO39" s="182"/>
      <c r="AP39" s="182"/>
      <c r="AQ39" s="182"/>
      <c r="AR39" s="477" t="e">
        <f t="shared" si="21"/>
        <v>#N/A</v>
      </c>
      <c r="AS39" s="674"/>
      <c r="AT39" s="182"/>
      <c r="AU39" s="182"/>
      <c r="AV39" s="182"/>
      <c r="AW39" s="477" t="e">
        <f t="shared" si="23"/>
        <v>#N/A</v>
      </c>
      <c r="AX39" s="674"/>
    </row>
    <row r="40" spans="2:50">
      <c r="B40" s="660"/>
      <c r="C40" s="309">
        <v>14</v>
      </c>
      <c r="D40" s="227"/>
      <c r="E40" s="182"/>
      <c r="F40" s="309"/>
      <c r="G40" s="312"/>
      <c r="H40" s="702"/>
      <c r="I40" s="202"/>
      <c r="J40" s="202"/>
      <c r="K40" s="202"/>
      <c r="L40" s="634"/>
      <c r="M40" s="201" t="e">
        <f>RANK(K40, K$27:$K$41)</f>
        <v>#N/A</v>
      </c>
      <c r="N40" s="652"/>
      <c r="O40" s="652"/>
      <c r="P40" s="182"/>
      <c r="Q40" s="182"/>
      <c r="R40" s="182"/>
      <c r="S40" s="309" t="e">
        <f t="shared" si="12"/>
        <v>#N/A</v>
      </c>
      <c r="T40" s="674"/>
      <c r="U40" s="182"/>
      <c r="V40" s="182"/>
      <c r="W40" s="182"/>
      <c r="X40" s="477" t="e">
        <f t="shared" si="13"/>
        <v>#N/A</v>
      </c>
      <c r="Y40" s="674"/>
      <c r="Z40" s="182"/>
      <c r="AA40" s="182"/>
      <c r="AB40" s="182"/>
      <c r="AC40" s="477" t="e">
        <f t="shared" si="15"/>
        <v>#N/A</v>
      </c>
      <c r="AD40" s="674"/>
      <c r="AE40" s="182"/>
      <c r="AF40" s="182"/>
      <c r="AG40" s="182"/>
      <c r="AH40" s="477" t="e">
        <f t="shared" si="17"/>
        <v>#N/A</v>
      </c>
      <c r="AI40" s="674"/>
      <c r="AJ40" s="182"/>
      <c r="AK40" s="182"/>
      <c r="AL40" s="182"/>
      <c r="AM40" s="477" t="e">
        <f t="shared" si="19"/>
        <v>#N/A</v>
      </c>
      <c r="AN40" s="674"/>
      <c r="AO40" s="182"/>
      <c r="AP40" s="182"/>
      <c r="AQ40" s="182"/>
      <c r="AR40" s="477" t="e">
        <f t="shared" si="21"/>
        <v>#N/A</v>
      </c>
      <c r="AS40" s="674"/>
      <c r="AT40" s="182"/>
      <c r="AU40" s="182"/>
      <c r="AV40" s="182"/>
      <c r="AW40" s="477" t="e">
        <f t="shared" si="23"/>
        <v>#N/A</v>
      </c>
      <c r="AX40" s="674"/>
    </row>
    <row r="41" spans="2:50">
      <c r="B41" s="660"/>
      <c r="C41" s="309">
        <v>15</v>
      </c>
      <c r="D41" s="227"/>
      <c r="E41" s="182"/>
      <c r="F41" s="309"/>
      <c r="G41" s="312"/>
      <c r="H41" s="703"/>
      <c r="I41" s="202"/>
      <c r="J41" s="202"/>
      <c r="K41" s="202"/>
      <c r="L41" s="635"/>
      <c r="M41" s="199" t="e">
        <f>RANK(K41, K$27:$K$41)</f>
        <v>#N/A</v>
      </c>
      <c r="N41" s="652"/>
      <c r="O41" s="652"/>
      <c r="P41" s="182"/>
      <c r="Q41" s="182"/>
      <c r="R41" s="182"/>
      <c r="S41" s="309" t="e">
        <f t="shared" si="12"/>
        <v>#N/A</v>
      </c>
      <c r="T41" s="674"/>
      <c r="U41" s="182"/>
      <c r="V41" s="182"/>
      <c r="W41" s="182"/>
      <c r="X41" s="477" t="e">
        <f t="shared" si="13"/>
        <v>#N/A</v>
      </c>
      <c r="Y41" s="674"/>
      <c r="Z41" s="182"/>
      <c r="AA41" s="182"/>
      <c r="AB41" s="182"/>
      <c r="AC41" s="477" t="e">
        <f t="shared" si="15"/>
        <v>#N/A</v>
      </c>
      <c r="AD41" s="674"/>
      <c r="AE41" s="182"/>
      <c r="AF41" s="182"/>
      <c r="AG41" s="182"/>
      <c r="AH41" s="477" t="e">
        <f t="shared" si="17"/>
        <v>#N/A</v>
      </c>
      <c r="AI41" s="674"/>
      <c r="AJ41" s="182"/>
      <c r="AK41" s="182"/>
      <c r="AL41" s="182"/>
      <c r="AM41" s="477" t="e">
        <f t="shared" si="19"/>
        <v>#N/A</v>
      </c>
      <c r="AN41" s="674"/>
      <c r="AO41" s="182"/>
      <c r="AP41" s="182"/>
      <c r="AQ41" s="182"/>
      <c r="AR41" s="477" t="e">
        <f t="shared" si="21"/>
        <v>#N/A</v>
      </c>
      <c r="AS41" s="674"/>
      <c r="AT41" s="182"/>
      <c r="AU41" s="182"/>
      <c r="AV41" s="182"/>
      <c r="AW41" s="477" t="e">
        <f t="shared" si="23"/>
        <v>#N/A</v>
      </c>
      <c r="AX41" s="674"/>
    </row>
    <row r="42" spans="2:50" ht="15.75">
      <c r="B42" s="678" t="s">
        <v>163</v>
      </c>
      <c r="C42" s="679"/>
      <c r="D42" s="679"/>
      <c r="E42" s="679"/>
      <c r="F42" s="679"/>
      <c r="G42" s="679"/>
      <c r="H42" s="679"/>
      <c r="I42" s="208"/>
      <c r="J42" s="203"/>
      <c r="K42" s="208"/>
      <c r="L42" s="208"/>
      <c r="M42" s="204"/>
      <c r="N42" s="653" t="s">
        <v>156</v>
      </c>
      <c r="O42" s="653" t="s">
        <v>105</v>
      </c>
      <c r="P42" s="659">
        <f>P22+7</f>
        <v>46063</v>
      </c>
      <c r="Q42" s="660"/>
      <c r="R42" s="660"/>
      <c r="S42" s="660"/>
      <c r="T42" s="660"/>
      <c r="U42" s="656">
        <f>P42+1</f>
        <v>46064</v>
      </c>
      <c r="V42" s="657"/>
      <c r="W42" s="657"/>
      <c r="X42" s="657"/>
      <c r="Y42" s="658"/>
      <c r="Z42" s="656">
        <f>U42+1</f>
        <v>46065</v>
      </c>
      <c r="AA42" s="657"/>
      <c r="AB42" s="657"/>
      <c r="AC42" s="657"/>
      <c r="AD42" s="658"/>
      <c r="AE42" s="656">
        <f>Z42+1</f>
        <v>46066</v>
      </c>
      <c r="AF42" s="657"/>
      <c r="AG42" s="657"/>
      <c r="AH42" s="657"/>
      <c r="AI42" s="658"/>
      <c r="AJ42" s="656">
        <f>AE42+1</f>
        <v>46067</v>
      </c>
      <c r="AK42" s="657"/>
      <c r="AL42" s="657"/>
      <c r="AM42" s="657"/>
      <c r="AN42" s="658"/>
      <c r="AO42" s="656">
        <f>AJ42+1</f>
        <v>46068</v>
      </c>
      <c r="AP42" s="657"/>
      <c r="AQ42" s="657"/>
      <c r="AR42" s="657"/>
      <c r="AS42" s="658"/>
      <c r="AT42" s="656">
        <f>AO42+1</f>
        <v>46069</v>
      </c>
      <c r="AU42" s="657"/>
      <c r="AV42" s="657"/>
      <c r="AW42" s="657"/>
      <c r="AX42" s="658"/>
    </row>
    <row r="43" spans="2:50" ht="15.75">
      <c r="B43" s="667"/>
      <c r="C43" s="667"/>
      <c r="D43" s="667"/>
      <c r="E43" s="667"/>
      <c r="F43" s="667"/>
      <c r="G43" s="667"/>
      <c r="H43" s="667"/>
      <c r="I43" s="205"/>
      <c r="J43" s="205"/>
      <c r="K43" s="205"/>
      <c r="L43" s="205"/>
      <c r="M43" s="206"/>
      <c r="N43" s="655"/>
      <c r="O43" s="655"/>
      <c r="P43" s="659" t="s">
        <v>336</v>
      </c>
      <c r="Q43" s="660"/>
      <c r="R43" s="660"/>
      <c r="S43" s="660"/>
      <c r="T43" s="660"/>
      <c r="U43" s="659" t="s">
        <v>337</v>
      </c>
      <c r="V43" s="660"/>
      <c r="W43" s="660"/>
      <c r="X43" s="660"/>
      <c r="Y43" s="660"/>
      <c r="Z43" s="659" t="s">
        <v>338</v>
      </c>
      <c r="AA43" s="660"/>
      <c r="AB43" s="660"/>
      <c r="AC43" s="660"/>
      <c r="AD43" s="660"/>
      <c r="AE43" s="659" t="s">
        <v>339</v>
      </c>
      <c r="AF43" s="660"/>
      <c r="AG43" s="660"/>
      <c r="AH43" s="660"/>
      <c r="AI43" s="660"/>
      <c r="AJ43" s="659" t="s">
        <v>340</v>
      </c>
      <c r="AK43" s="660"/>
      <c r="AL43" s="660"/>
      <c r="AM43" s="660"/>
      <c r="AN43" s="660"/>
      <c r="AO43" s="659" t="s">
        <v>341</v>
      </c>
      <c r="AP43" s="660"/>
      <c r="AQ43" s="660"/>
      <c r="AR43" s="660"/>
      <c r="AS43" s="660"/>
      <c r="AT43" s="659" t="s">
        <v>342</v>
      </c>
      <c r="AU43" s="660"/>
      <c r="AV43" s="660"/>
      <c r="AW43" s="660"/>
      <c r="AX43" s="660"/>
    </row>
    <row r="44" spans="2:50">
      <c r="B44" s="652" t="s">
        <v>431</v>
      </c>
      <c r="C44" s="652" t="s">
        <v>441</v>
      </c>
      <c r="D44" s="652"/>
      <c r="E44" s="652" t="s">
        <v>432</v>
      </c>
      <c r="F44" s="652"/>
      <c r="G44" s="652"/>
      <c r="H44" s="668" t="s">
        <v>428</v>
      </c>
      <c r="I44" s="636" t="s">
        <v>433</v>
      </c>
      <c r="J44" s="636"/>
      <c r="K44" s="636"/>
      <c r="L44" s="637" t="s">
        <v>428</v>
      </c>
      <c r="M44" s="643" t="s">
        <v>429</v>
      </c>
      <c r="N44" s="652"/>
      <c r="O44" s="652" t="s">
        <v>434</v>
      </c>
      <c r="P44" s="649" t="s">
        <v>935</v>
      </c>
      <c r="Q44" s="650"/>
      <c r="R44" s="650"/>
      <c r="S44" s="651"/>
      <c r="T44" s="652" t="s">
        <v>936</v>
      </c>
      <c r="U44" s="649" t="s">
        <v>935</v>
      </c>
      <c r="V44" s="650"/>
      <c r="W44" s="650"/>
      <c r="X44" s="651"/>
      <c r="Y44" s="652" t="s">
        <v>936</v>
      </c>
      <c r="Z44" s="649" t="s">
        <v>935</v>
      </c>
      <c r="AA44" s="650"/>
      <c r="AB44" s="650"/>
      <c r="AC44" s="651"/>
      <c r="AD44" s="652" t="s">
        <v>936</v>
      </c>
      <c r="AE44" s="649" t="s">
        <v>935</v>
      </c>
      <c r="AF44" s="650"/>
      <c r="AG44" s="650"/>
      <c r="AH44" s="651"/>
      <c r="AI44" s="652" t="s">
        <v>936</v>
      </c>
      <c r="AJ44" s="649" t="s">
        <v>935</v>
      </c>
      <c r="AK44" s="650"/>
      <c r="AL44" s="650"/>
      <c r="AM44" s="651"/>
      <c r="AN44" s="652" t="s">
        <v>936</v>
      </c>
      <c r="AO44" s="649" t="s">
        <v>935</v>
      </c>
      <c r="AP44" s="650"/>
      <c r="AQ44" s="650"/>
      <c r="AR44" s="651"/>
      <c r="AS44" s="652" t="s">
        <v>936</v>
      </c>
      <c r="AT44" s="649" t="s">
        <v>935</v>
      </c>
      <c r="AU44" s="650"/>
      <c r="AV44" s="650"/>
      <c r="AW44" s="651"/>
      <c r="AX44" s="652" t="s">
        <v>936</v>
      </c>
    </row>
    <row r="45" spans="2:50">
      <c r="B45" s="652"/>
      <c r="C45" s="652"/>
      <c r="D45" s="652"/>
      <c r="E45" s="652" t="s">
        <v>435</v>
      </c>
      <c r="F45" s="652"/>
      <c r="G45" s="652"/>
      <c r="H45" s="669"/>
      <c r="I45" s="636" t="s">
        <v>435</v>
      </c>
      <c r="J45" s="636"/>
      <c r="K45" s="636"/>
      <c r="L45" s="638"/>
      <c r="M45" s="644"/>
      <c r="N45" s="652"/>
      <c r="O45" s="652"/>
      <c r="P45" s="649" t="s">
        <v>937</v>
      </c>
      <c r="Q45" s="650"/>
      <c r="R45" s="650"/>
      <c r="S45" s="651"/>
      <c r="T45" s="652"/>
      <c r="U45" s="649" t="s">
        <v>937</v>
      </c>
      <c r="V45" s="650"/>
      <c r="W45" s="650"/>
      <c r="X45" s="651"/>
      <c r="Y45" s="652"/>
      <c r="Z45" s="649" t="s">
        <v>937</v>
      </c>
      <c r="AA45" s="650"/>
      <c r="AB45" s="650"/>
      <c r="AC45" s="651"/>
      <c r="AD45" s="652"/>
      <c r="AE45" s="649" t="s">
        <v>937</v>
      </c>
      <c r="AF45" s="650"/>
      <c r="AG45" s="650"/>
      <c r="AH45" s="651"/>
      <c r="AI45" s="652"/>
      <c r="AJ45" s="649" t="s">
        <v>937</v>
      </c>
      <c r="AK45" s="650"/>
      <c r="AL45" s="650"/>
      <c r="AM45" s="651"/>
      <c r="AN45" s="652"/>
      <c r="AO45" s="649" t="s">
        <v>937</v>
      </c>
      <c r="AP45" s="650"/>
      <c r="AQ45" s="650"/>
      <c r="AR45" s="651"/>
      <c r="AS45" s="652"/>
      <c r="AT45" s="649" t="s">
        <v>937</v>
      </c>
      <c r="AU45" s="650"/>
      <c r="AV45" s="650"/>
      <c r="AW45" s="651"/>
      <c r="AX45" s="652"/>
    </row>
    <row r="46" spans="2:50">
      <c r="B46" s="652"/>
      <c r="C46" s="652"/>
      <c r="D46" s="652"/>
      <c r="E46" s="308" t="s">
        <v>437</v>
      </c>
      <c r="F46" s="308" t="s">
        <v>438</v>
      </c>
      <c r="G46" s="308" t="s">
        <v>439</v>
      </c>
      <c r="H46" s="670"/>
      <c r="I46" s="307" t="s">
        <v>437</v>
      </c>
      <c r="J46" s="307" t="s">
        <v>438</v>
      </c>
      <c r="K46" s="307" t="s">
        <v>439</v>
      </c>
      <c r="L46" s="639"/>
      <c r="M46" s="645"/>
      <c r="N46" s="652"/>
      <c r="O46" s="652"/>
      <c r="P46" s="536" t="s">
        <v>938</v>
      </c>
      <c r="Q46" s="536" t="s">
        <v>939</v>
      </c>
      <c r="R46" s="536" t="s">
        <v>940</v>
      </c>
      <c r="S46" s="536" t="s">
        <v>941</v>
      </c>
      <c r="T46" s="652"/>
      <c r="U46" s="536" t="s">
        <v>938</v>
      </c>
      <c r="V46" s="536" t="s">
        <v>939</v>
      </c>
      <c r="W46" s="536" t="s">
        <v>940</v>
      </c>
      <c r="X46" s="536" t="s">
        <v>941</v>
      </c>
      <c r="Y46" s="652"/>
      <c r="Z46" s="536" t="s">
        <v>938</v>
      </c>
      <c r="AA46" s="536" t="s">
        <v>939</v>
      </c>
      <c r="AB46" s="536" t="s">
        <v>940</v>
      </c>
      <c r="AC46" s="536" t="s">
        <v>941</v>
      </c>
      <c r="AD46" s="652"/>
      <c r="AE46" s="536" t="s">
        <v>938</v>
      </c>
      <c r="AF46" s="536" t="s">
        <v>939</v>
      </c>
      <c r="AG46" s="536" t="s">
        <v>940</v>
      </c>
      <c r="AH46" s="536" t="s">
        <v>941</v>
      </c>
      <c r="AI46" s="652"/>
      <c r="AJ46" s="536" t="s">
        <v>938</v>
      </c>
      <c r="AK46" s="536" t="s">
        <v>939</v>
      </c>
      <c r="AL46" s="536" t="s">
        <v>940</v>
      </c>
      <c r="AM46" s="536" t="s">
        <v>941</v>
      </c>
      <c r="AN46" s="652"/>
      <c r="AO46" s="536" t="s">
        <v>938</v>
      </c>
      <c r="AP46" s="536" t="s">
        <v>939</v>
      </c>
      <c r="AQ46" s="536" t="s">
        <v>940</v>
      </c>
      <c r="AR46" s="536" t="s">
        <v>941</v>
      </c>
      <c r="AS46" s="652"/>
      <c r="AT46" s="536" t="s">
        <v>938</v>
      </c>
      <c r="AU46" s="536" t="s">
        <v>939</v>
      </c>
      <c r="AV46" s="536" t="s">
        <v>940</v>
      </c>
      <c r="AW46" s="536" t="s">
        <v>941</v>
      </c>
      <c r="AX46" s="652"/>
    </row>
    <row r="47" spans="2:50">
      <c r="B47" s="652" t="s">
        <v>443</v>
      </c>
      <c r="C47" s="309">
        <v>1</v>
      </c>
      <c r="D47" s="227" t="s">
        <v>774</v>
      </c>
      <c r="E47" s="182">
        <v>14</v>
      </c>
      <c r="F47" s="514">
        <v>1500</v>
      </c>
      <c r="G47" s="515">
        <v>107.14285714285714</v>
      </c>
      <c r="H47" s="701">
        <f>AVERAGE(G47:G61)</f>
        <v>90.605394204465412</v>
      </c>
      <c r="I47" s="199">
        <f>AVERAGE(P47,U47,Z47,AE47,AJ47,AO47,AT47)</f>
        <v>12.428571428571429</v>
      </c>
      <c r="J47" s="199">
        <f>AVERAGE(Q47,V47,AA47,AF47,AK47,AP47,AU47)</f>
        <v>1108.8475419317524</v>
      </c>
      <c r="K47" s="200">
        <f>AVERAGE(R47,W47,AB47,AG47,AL47,AQ47,AV47)</f>
        <v>89.306606753570307</v>
      </c>
      <c r="L47" s="633">
        <f>IFERROR(AVERAGE(K47:K61),"-")</f>
        <v>73.15300705306052</v>
      </c>
      <c r="M47" s="201">
        <f>RANK(K47, K$47:$K$61)</f>
        <v>1</v>
      </c>
      <c r="N47" s="652"/>
      <c r="O47" s="652"/>
      <c r="P47" s="182">
        <v>13</v>
      </c>
      <c r="Q47" s="182">
        <v>1126.1538461538469</v>
      </c>
      <c r="R47" s="182">
        <v>86.627218934911298</v>
      </c>
      <c r="S47" s="537">
        <f>RANK(R47, R$47:R$61)</f>
        <v>1</v>
      </c>
      <c r="T47" s="660">
        <f>AVERAGE(R47:R61)</f>
        <v>72.865582450952289</v>
      </c>
      <c r="U47" s="182">
        <v>12</v>
      </c>
      <c r="V47" s="182">
        <v>1077.6000000000004</v>
      </c>
      <c r="W47" s="182">
        <v>89.800000000000026</v>
      </c>
      <c r="X47" s="537">
        <f>RANK(W47, W$47:W$61)</f>
        <v>1</v>
      </c>
      <c r="Y47" s="660">
        <f>AVERAGE(W47:W61)</f>
        <v>73.469811250205666</v>
      </c>
      <c r="Z47" s="182">
        <v>12</v>
      </c>
      <c r="AA47" s="182">
        <v>1084.8000000000004</v>
      </c>
      <c r="AB47" s="182">
        <v>90.400000000000034</v>
      </c>
      <c r="AC47" s="537">
        <f>RANK(AB47, AB$47:AB$61)</f>
        <v>1</v>
      </c>
      <c r="AD47" s="660">
        <f>AVERAGE(AB47:AB61)</f>
        <v>74.735244802217878</v>
      </c>
      <c r="AE47" s="182">
        <v>13</v>
      </c>
      <c r="AF47" s="182">
        <v>1112.9999999999995</v>
      </c>
      <c r="AG47" s="182">
        <v>85.615384615384585</v>
      </c>
      <c r="AH47" s="537">
        <f>RANK(AG47, AG$47:AG$61)</f>
        <v>1</v>
      </c>
      <c r="AI47" s="660">
        <f>AVERAGE(AG47:AG61)</f>
        <v>74.026616647424362</v>
      </c>
      <c r="AJ47" s="182">
        <v>12</v>
      </c>
      <c r="AK47" s="182">
        <v>1108.8000000000002</v>
      </c>
      <c r="AL47" s="182">
        <v>92.40000000000002</v>
      </c>
      <c r="AM47" s="537">
        <f>RANK(AL47, AL$47:AL$61)</f>
        <v>1</v>
      </c>
      <c r="AN47" s="660">
        <f>AVERAGE(AL47:AL61)</f>
        <v>77.648901686548754</v>
      </c>
      <c r="AO47" s="182">
        <v>12</v>
      </c>
      <c r="AP47" s="182">
        <v>1108.421052631578</v>
      </c>
      <c r="AQ47" s="182">
        <v>92.368421052631504</v>
      </c>
      <c r="AR47" s="537">
        <f>RANK(AQ47, AQ$47:AQ$61)</f>
        <v>1</v>
      </c>
      <c r="AS47" s="660">
        <f>AVERAGE(AQ47:AQ61)</f>
        <v>77.61891400890012</v>
      </c>
      <c r="AT47" s="182">
        <v>13</v>
      </c>
      <c r="AU47" s="182">
        <v>1143.1578947368414</v>
      </c>
      <c r="AV47" s="182">
        <v>87.935222672064725</v>
      </c>
      <c r="AW47" s="537">
        <f>RANK(AV47, AV$47:AV$61)</f>
        <v>1</v>
      </c>
      <c r="AX47" s="660">
        <f>AVERAGE(AV47:AV61)</f>
        <v>75.493659963207477</v>
      </c>
    </row>
    <row r="48" spans="2:50">
      <c r="B48" s="660"/>
      <c r="C48" s="309">
        <v>2</v>
      </c>
      <c r="D48" s="227" t="s">
        <v>830</v>
      </c>
      <c r="E48" s="182">
        <v>17</v>
      </c>
      <c r="F48" s="514">
        <v>1636</v>
      </c>
      <c r="G48" s="515">
        <v>96.235294117647058</v>
      </c>
      <c r="H48" s="702"/>
      <c r="I48" s="199">
        <f t="shared" ref="I48:I52" si="28">AVERAGE(P48,U48,Z48,AE48,AJ48,AO48,AT48)</f>
        <v>17.857142857142858</v>
      </c>
      <c r="J48" s="199">
        <f t="shared" ref="J48:J52" si="29">AVERAGE(Q48,V48,AA48,AF48,AK48,AP48,AU48)</f>
        <v>1309.3650107679221</v>
      </c>
      <c r="K48" s="200">
        <f t="shared" ref="K48:K52" si="30">AVERAGE(R48,W48,AB48,AG48,AL48,AQ48,AV48)</f>
        <v>73.363914212207177</v>
      </c>
      <c r="L48" s="634"/>
      <c r="M48" s="201">
        <f>RANK(K48, K$47:$K$61)</f>
        <v>3</v>
      </c>
      <c r="N48" s="652"/>
      <c r="O48" s="652"/>
      <c r="P48" s="182">
        <v>18</v>
      </c>
      <c r="Q48" s="182">
        <v>1296.880733944954</v>
      </c>
      <c r="R48" s="182">
        <v>72.048929663608561</v>
      </c>
      <c r="S48" s="537">
        <f t="shared" ref="S48:S61" si="31">RANK(R48, R$47:R$61)</f>
        <v>5</v>
      </c>
      <c r="T48" s="660"/>
      <c r="U48" s="182">
        <v>18</v>
      </c>
      <c r="V48" s="182">
        <v>1309.9999999999998</v>
      </c>
      <c r="W48" s="182">
        <v>72.777777777777771</v>
      </c>
      <c r="X48" s="537">
        <f t="shared" ref="X48:X61" si="32">RANK(W48, W$47:W$61)</f>
        <v>5</v>
      </c>
      <c r="Y48" s="660"/>
      <c r="Z48" s="182">
        <v>18</v>
      </c>
      <c r="AA48" s="182">
        <v>1312.6315789473683</v>
      </c>
      <c r="AB48" s="182">
        <v>72.923976608187132</v>
      </c>
      <c r="AC48" s="537">
        <f t="shared" ref="AC48:AC61" si="33">RANK(AB48, AB$47:AB$61)</f>
        <v>5</v>
      </c>
      <c r="AD48" s="660"/>
      <c r="AE48" s="182">
        <v>18</v>
      </c>
      <c r="AF48" s="182">
        <v>1299.8059701492537</v>
      </c>
      <c r="AG48" s="182">
        <v>72.211442786069654</v>
      </c>
      <c r="AH48" s="537">
        <f t="shared" ref="AH48:AH61" si="34">RANK(AG48, AG$47:AG$61)</f>
        <v>3</v>
      </c>
      <c r="AI48" s="660"/>
      <c r="AJ48" s="182">
        <v>18</v>
      </c>
      <c r="AK48" s="182">
        <v>1289.4545454545453</v>
      </c>
      <c r="AL48" s="182">
        <v>71.636363636363626</v>
      </c>
      <c r="AM48" s="537">
        <f t="shared" ref="AM48:AM61" si="35">RANK(AL48, AL$47:AL$61)</f>
        <v>5</v>
      </c>
      <c r="AN48" s="660"/>
      <c r="AO48" s="182">
        <v>18</v>
      </c>
      <c r="AP48" s="182">
        <v>1325.7142857142853</v>
      </c>
      <c r="AQ48" s="182">
        <v>73.650793650793631</v>
      </c>
      <c r="AR48" s="537">
        <f t="shared" ref="AR48:AR61" si="36">RANK(AQ48, AQ$47:AQ$61)</f>
        <v>4</v>
      </c>
      <c r="AS48" s="660"/>
      <c r="AT48" s="182">
        <v>17</v>
      </c>
      <c r="AU48" s="182">
        <v>1331.0679611650482</v>
      </c>
      <c r="AV48" s="182">
        <v>78.298115362649895</v>
      </c>
      <c r="AW48" s="537">
        <f t="shared" ref="AW48:AW61" si="37">RANK(AV48, AV$47:AV$61)</f>
        <v>2</v>
      </c>
      <c r="AX48" s="660"/>
    </row>
    <row r="49" spans="2:50">
      <c r="B49" s="660"/>
      <c r="C49" s="309">
        <v>3</v>
      </c>
      <c r="D49" s="227" t="s">
        <v>809</v>
      </c>
      <c r="E49" s="182">
        <v>17</v>
      </c>
      <c r="F49" s="514">
        <v>1500</v>
      </c>
      <c r="G49" s="515">
        <v>88.235294117647058</v>
      </c>
      <c r="H49" s="702"/>
      <c r="I49" s="199">
        <f t="shared" si="28"/>
        <v>17</v>
      </c>
      <c r="J49" s="199">
        <f t="shared" si="29"/>
        <v>1303.1277058345379</v>
      </c>
      <c r="K49" s="200">
        <f t="shared" si="30"/>
        <v>76.654570931443388</v>
      </c>
      <c r="L49" s="634"/>
      <c r="M49" s="201">
        <f>RANK(K49, K$47:$K$61)</f>
        <v>2</v>
      </c>
      <c r="N49" s="652"/>
      <c r="O49" s="652"/>
      <c r="P49" s="182">
        <v>17</v>
      </c>
      <c r="Q49" s="182">
        <v>1292.4000000000003</v>
      </c>
      <c r="R49" s="182">
        <v>76.023529411764727</v>
      </c>
      <c r="S49" s="537">
        <f t="shared" si="31"/>
        <v>2</v>
      </c>
      <c r="T49" s="660"/>
      <c r="U49" s="182">
        <v>17</v>
      </c>
      <c r="V49" s="182">
        <v>1304.3478260869565</v>
      </c>
      <c r="W49" s="182">
        <v>76.726342710997443</v>
      </c>
      <c r="X49" s="537">
        <f t="shared" si="32"/>
        <v>2</v>
      </c>
      <c r="Y49" s="660"/>
      <c r="Z49" s="182">
        <v>17</v>
      </c>
      <c r="AA49" s="182">
        <v>1296.5217391304348</v>
      </c>
      <c r="AB49" s="182">
        <v>76.265984654731454</v>
      </c>
      <c r="AC49" s="537">
        <f t="shared" si="33"/>
        <v>3</v>
      </c>
      <c r="AD49" s="660"/>
      <c r="AE49" s="182">
        <v>17</v>
      </c>
      <c r="AF49" s="182">
        <v>1311.4285714285702</v>
      </c>
      <c r="AG49" s="182">
        <v>77.142857142857068</v>
      </c>
      <c r="AH49" s="537">
        <f t="shared" si="34"/>
        <v>2</v>
      </c>
      <c r="AI49" s="660"/>
      <c r="AJ49" s="182">
        <v>17</v>
      </c>
      <c r="AK49" s="182">
        <v>1332.2727272727273</v>
      </c>
      <c r="AL49" s="182">
        <v>78.368983957219257</v>
      </c>
      <c r="AM49" s="537">
        <f t="shared" si="35"/>
        <v>2</v>
      </c>
      <c r="AN49" s="660"/>
      <c r="AO49" s="182">
        <v>17</v>
      </c>
      <c r="AP49" s="182">
        <v>1276.9230769230762</v>
      </c>
      <c r="AQ49" s="182">
        <v>75.113122171945662</v>
      </c>
      <c r="AR49" s="537">
        <f t="shared" si="36"/>
        <v>3</v>
      </c>
      <c r="AS49" s="660"/>
      <c r="AT49" s="182">
        <v>17</v>
      </c>
      <c r="AU49" s="182">
        <v>1307.9999999999995</v>
      </c>
      <c r="AV49" s="182">
        <v>76.941176470588204</v>
      </c>
      <c r="AW49" s="537">
        <f t="shared" si="37"/>
        <v>3</v>
      </c>
      <c r="AX49" s="660"/>
    </row>
    <row r="50" spans="2:50">
      <c r="B50" s="660"/>
      <c r="C50" s="309">
        <v>4</v>
      </c>
      <c r="D50" s="227" t="s">
        <v>816</v>
      </c>
      <c r="E50" s="182">
        <v>17</v>
      </c>
      <c r="F50" s="514">
        <v>1500</v>
      </c>
      <c r="G50" s="515">
        <v>88.235294117647058</v>
      </c>
      <c r="H50" s="702"/>
      <c r="I50" s="199">
        <f t="shared" si="28"/>
        <v>17.857142857142858</v>
      </c>
      <c r="J50" s="199">
        <f t="shared" si="29"/>
        <v>1300.5427309490667</v>
      </c>
      <c r="K50" s="200">
        <f t="shared" si="30"/>
        <v>72.862903867871026</v>
      </c>
      <c r="L50" s="634"/>
      <c r="M50" s="201">
        <f>RANK(K50, K$47:$K$61)</f>
        <v>4</v>
      </c>
      <c r="N50" s="652"/>
      <c r="O50" s="652"/>
      <c r="P50" s="182">
        <v>18</v>
      </c>
      <c r="Q50" s="182">
        <v>1317.8571428571429</v>
      </c>
      <c r="R50" s="182">
        <v>73.214285714285722</v>
      </c>
      <c r="S50" s="537">
        <f t="shared" si="31"/>
        <v>4</v>
      </c>
      <c r="T50" s="660"/>
      <c r="U50" s="182">
        <v>18</v>
      </c>
      <c r="V50" s="182">
        <v>1320.0000000000002</v>
      </c>
      <c r="W50" s="182">
        <v>73.333333333333343</v>
      </c>
      <c r="X50" s="537">
        <f t="shared" si="32"/>
        <v>3</v>
      </c>
      <c r="Y50" s="660"/>
      <c r="Z50" s="182">
        <v>17</v>
      </c>
      <c r="AA50" s="182">
        <v>1307.7551020408168</v>
      </c>
      <c r="AB50" s="182">
        <v>76.926770708283343</v>
      </c>
      <c r="AC50" s="537">
        <f t="shared" si="33"/>
        <v>2</v>
      </c>
      <c r="AD50" s="660"/>
      <c r="AE50" s="182">
        <v>18</v>
      </c>
      <c r="AF50" s="182">
        <v>1292.9411764705887</v>
      </c>
      <c r="AG50" s="182">
        <v>71.830065359477146</v>
      </c>
      <c r="AH50" s="537">
        <f t="shared" si="34"/>
        <v>4</v>
      </c>
      <c r="AI50" s="660"/>
      <c r="AJ50" s="182">
        <v>18</v>
      </c>
      <c r="AK50" s="182">
        <v>1296.9230769230767</v>
      </c>
      <c r="AL50" s="182">
        <v>72.051282051282044</v>
      </c>
      <c r="AM50" s="537">
        <f t="shared" si="35"/>
        <v>4</v>
      </c>
      <c r="AN50" s="660"/>
      <c r="AO50" s="182">
        <v>18</v>
      </c>
      <c r="AP50" s="182">
        <v>1291.0344827586209</v>
      </c>
      <c r="AQ50" s="182">
        <v>71.724137931034491</v>
      </c>
      <c r="AR50" s="537">
        <f t="shared" si="36"/>
        <v>5</v>
      </c>
      <c r="AS50" s="660"/>
      <c r="AT50" s="182">
        <v>18</v>
      </c>
      <c r="AU50" s="182">
        <v>1277.2881355932207</v>
      </c>
      <c r="AV50" s="182">
        <v>70.960451977401149</v>
      </c>
      <c r="AW50" s="537">
        <f t="shared" si="37"/>
        <v>4</v>
      </c>
      <c r="AX50" s="660"/>
    </row>
    <row r="51" spans="2:50">
      <c r="B51" s="660"/>
      <c r="C51" s="309">
        <v>5</v>
      </c>
      <c r="D51" s="227" t="s">
        <v>945</v>
      </c>
      <c r="E51" s="182">
        <v>18</v>
      </c>
      <c r="F51" s="514">
        <v>1636</v>
      </c>
      <c r="G51" s="515">
        <v>90.888888888888886</v>
      </c>
      <c r="H51" s="702"/>
      <c r="I51" s="199">
        <f t="shared" si="28"/>
        <v>18</v>
      </c>
      <c r="J51" s="199">
        <f t="shared" si="29"/>
        <v>1281.8618214084056</v>
      </c>
      <c r="K51" s="200">
        <f t="shared" si="30"/>
        <v>71.214545633800313</v>
      </c>
      <c r="L51" s="634"/>
      <c r="M51" s="201">
        <f>RANK(K51, K$47:$K$61)</f>
        <v>5</v>
      </c>
      <c r="N51" s="652"/>
      <c r="O51" s="652"/>
      <c r="P51" s="182">
        <v>18</v>
      </c>
      <c r="Q51" s="182">
        <v>1339.5652173913043</v>
      </c>
      <c r="R51" s="182">
        <v>74.420289855072454</v>
      </c>
      <c r="S51" s="537">
        <f t="shared" si="31"/>
        <v>3</v>
      </c>
      <c r="T51" s="660"/>
      <c r="U51" s="182">
        <v>18</v>
      </c>
      <c r="V51" s="182">
        <v>1314.9999999999991</v>
      </c>
      <c r="W51" s="182">
        <v>73.0555555555555</v>
      </c>
      <c r="X51" s="537">
        <f t="shared" si="32"/>
        <v>4</v>
      </c>
      <c r="Y51" s="660"/>
      <c r="Z51" s="182">
        <v>18</v>
      </c>
      <c r="AA51" s="182">
        <v>1356.0000000000014</v>
      </c>
      <c r="AB51" s="182">
        <v>75.333333333333414</v>
      </c>
      <c r="AC51" s="537">
        <f t="shared" si="33"/>
        <v>4</v>
      </c>
      <c r="AD51" s="660"/>
      <c r="AE51" s="182">
        <v>18</v>
      </c>
      <c r="AF51" s="182">
        <v>1140.0000000000005</v>
      </c>
      <c r="AG51" s="182">
        <v>63.333333333333357</v>
      </c>
      <c r="AH51" s="537">
        <f t="shared" si="34"/>
        <v>5</v>
      </c>
      <c r="AI51" s="660"/>
      <c r="AJ51" s="182">
        <v>18</v>
      </c>
      <c r="AK51" s="182">
        <v>1328.1818181818182</v>
      </c>
      <c r="AL51" s="182">
        <v>73.787878787878796</v>
      </c>
      <c r="AM51" s="537">
        <f t="shared" si="35"/>
        <v>3</v>
      </c>
      <c r="AN51" s="660"/>
      <c r="AO51" s="182">
        <v>18</v>
      </c>
      <c r="AP51" s="182">
        <v>1354.2857142857151</v>
      </c>
      <c r="AQ51" s="182">
        <v>75.238095238095283</v>
      </c>
      <c r="AR51" s="537">
        <f t="shared" si="36"/>
        <v>2</v>
      </c>
      <c r="AS51" s="660"/>
      <c r="AT51" s="182">
        <v>18</v>
      </c>
      <c r="AU51" s="182">
        <v>1140.0000000000011</v>
      </c>
      <c r="AV51" s="182">
        <v>63.3333333333334</v>
      </c>
      <c r="AW51" s="537">
        <f t="shared" si="37"/>
        <v>5</v>
      </c>
      <c r="AX51" s="660"/>
    </row>
    <row r="52" spans="2:50">
      <c r="B52" s="660"/>
      <c r="C52" s="309">
        <v>6</v>
      </c>
      <c r="D52" s="227" t="s">
        <v>946</v>
      </c>
      <c r="E52" s="182">
        <v>19</v>
      </c>
      <c r="F52" s="514">
        <v>1385</v>
      </c>
      <c r="G52" s="515">
        <v>72.89473684210526</v>
      </c>
      <c r="H52" s="702"/>
      <c r="I52" s="199">
        <f t="shared" si="28"/>
        <v>19</v>
      </c>
      <c r="J52" s="199">
        <f t="shared" si="29"/>
        <v>1054.7945174699471</v>
      </c>
      <c r="K52" s="200">
        <f t="shared" si="30"/>
        <v>55.515500919470902</v>
      </c>
      <c r="L52" s="634"/>
      <c r="M52" s="201">
        <f>RANK(K52, K$47:$K$61)</f>
        <v>6</v>
      </c>
      <c r="N52" s="652"/>
      <c r="O52" s="652"/>
      <c r="P52" s="182">
        <v>19</v>
      </c>
      <c r="Q52" s="182">
        <v>1042.3255813953488</v>
      </c>
      <c r="R52" s="182">
        <v>54.859241126070991</v>
      </c>
      <c r="S52" s="537">
        <f t="shared" si="31"/>
        <v>6</v>
      </c>
      <c r="T52" s="660"/>
      <c r="U52" s="182">
        <v>19</v>
      </c>
      <c r="V52" s="182">
        <v>1047.3913043478278</v>
      </c>
      <c r="W52" s="182">
        <v>55.125858123569884</v>
      </c>
      <c r="X52" s="537">
        <f t="shared" si="32"/>
        <v>6</v>
      </c>
      <c r="Y52" s="660"/>
      <c r="Z52" s="182">
        <v>19</v>
      </c>
      <c r="AA52" s="182">
        <v>1074.6666666666647</v>
      </c>
      <c r="AB52" s="182">
        <v>56.561403508771825</v>
      </c>
      <c r="AC52" s="537">
        <f t="shared" si="33"/>
        <v>6</v>
      </c>
      <c r="AD52" s="660"/>
      <c r="AE52" s="182"/>
      <c r="AF52" s="182"/>
      <c r="AG52" s="182"/>
      <c r="AH52" s="537" t="e">
        <f t="shared" si="34"/>
        <v>#N/A</v>
      </c>
      <c r="AI52" s="660"/>
      <c r="AJ52" s="182"/>
      <c r="AK52" s="182"/>
      <c r="AL52" s="182"/>
      <c r="AM52" s="537" t="e">
        <f t="shared" si="35"/>
        <v>#N/A</v>
      </c>
      <c r="AN52" s="660"/>
      <c r="AO52" s="182"/>
      <c r="AP52" s="182"/>
      <c r="AQ52" s="182"/>
      <c r="AR52" s="537" t="e">
        <f t="shared" si="36"/>
        <v>#N/A</v>
      </c>
      <c r="AS52" s="660"/>
      <c r="AT52" s="182"/>
      <c r="AU52" s="182"/>
      <c r="AV52" s="182"/>
      <c r="AW52" s="537" t="e">
        <f t="shared" si="37"/>
        <v>#N/A</v>
      </c>
      <c r="AX52" s="660"/>
    </row>
    <row r="53" spans="2:50">
      <c r="B53" s="660"/>
      <c r="C53" s="309">
        <v>7</v>
      </c>
      <c r="D53" s="227"/>
      <c r="E53" s="182"/>
      <c r="F53" s="514"/>
      <c r="G53" s="515"/>
      <c r="H53" s="702"/>
      <c r="I53" s="199"/>
      <c r="J53" s="199"/>
      <c r="K53" s="200"/>
      <c r="L53" s="634"/>
      <c r="M53" s="201" t="e">
        <f>RANK(K53, K$47:$K$61)</f>
        <v>#N/A</v>
      </c>
      <c r="N53" s="652"/>
      <c r="O53" s="652"/>
      <c r="P53" s="182"/>
      <c r="Q53" s="182"/>
      <c r="R53" s="182"/>
      <c r="S53" s="537" t="e">
        <f t="shared" si="31"/>
        <v>#N/A</v>
      </c>
      <c r="T53" s="660"/>
      <c r="U53" s="182"/>
      <c r="V53" s="182"/>
      <c r="W53" s="182"/>
      <c r="X53" s="537" t="e">
        <f t="shared" si="32"/>
        <v>#N/A</v>
      </c>
      <c r="Y53" s="660"/>
      <c r="Z53" s="182"/>
      <c r="AA53" s="182"/>
      <c r="AB53" s="182"/>
      <c r="AC53" s="537" t="e">
        <f t="shared" si="33"/>
        <v>#N/A</v>
      </c>
      <c r="AD53" s="660"/>
      <c r="AE53" s="182"/>
      <c r="AF53" s="182"/>
      <c r="AG53" s="182"/>
      <c r="AH53" s="537" t="e">
        <f t="shared" si="34"/>
        <v>#N/A</v>
      </c>
      <c r="AI53" s="660"/>
      <c r="AJ53" s="182"/>
      <c r="AK53" s="182"/>
      <c r="AL53" s="182"/>
      <c r="AM53" s="537" t="e">
        <f t="shared" si="35"/>
        <v>#N/A</v>
      </c>
      <c r="AN53" s="660"/>
      <c r="AO53" s="182"/>
      <c r="AP53" s="182"/>
      <c r="AQ53" s="182"/>
      <c r="AR53" s="537" t="e">
        <f t="shared" si="36"/>
        <v>#N/A</v>
      </c>
      <c r="AS53" s="660"/>
      <c r="AT53" s="182"/>
      <c r="AU53" s="182"/>
      <c r="AV53" s="182"/>
      <c r="AW53" s="537" t="e">
        <f t="shared" si="37"/>
        <v>#N/A</v>
      </c>
      <c r="AX53" s="660"/>
    </row>
    <row r="54" spans="2:50">
      <c r="B54" s="660"/>
      <c r="C54" s="309">
        <v>8</v>
      </c>
      <c r="D54" s="227"/>
      <c r="E54" s="182"/>
      <c r="F54" s="514"/>
      <c r="G54" s="515"/>
      <c r="H54" s="702"/>
      <c r="I54" s="428"/>
      <c r="J54" s="428"/>
      <c r="K54" s="200"/>
      <c r="L54" s="634"/>
      <c r="M54" s="201" t="e">
        <f>RANK(K54, K$47:$K$61)</f>
        <v>#N/A</v>
      </c>
      <c r="N54" s="652"/>
      <c r="O54" s="652"/>
      <c r="P54" s="182"/>
      <c r="Q54" s="182"/>
      <c r="R54" s="182"/>
      <c r="S54" s="537" t="e">
        <f t="shared" si="31"/>
        <v>#N/A</v>
      </c>
      <c r="T54" s="660"/>
      <c r="U54" s="182"/>
      <c r="V54" s="182"/>
      <c r="W54" s="182"/>
      <c r="X54" s="537" t="e">
        <f t="shared" si="32"/>
        <v>#N/A</v>
      </c>
      <c r="Y54" s="660"/>
      <c r="Z54" s="182"/>
      <c r="AA54" s="182"/>
      <c r="AB54" s="182"/>
      <c r="AC54" s="537" t="e">
        <f t="shared" si="33"/>
        <v>#N/A</v>
      </c>
      <c r="AD54" s="660"/>
      <c r="AE54" s="182"/>
      <c r="AF54" s="182"/>
      <c r="AG54" s="182"/>
      <c r="AH54" s="537" t="e">
        <f t="shared" si="34"/>
        <v>#N/A</v>
      </c>
      <c r="AI54" s="660"/>
      <c r="AJ54" s="182"/>
      <c r="AK54" s="182"/>
      <c r="AL54" s="182"/>
      <c r="AM54" s="537" t="e">
        <f t="shared" si="35"/>
        <v>#N/A</v>
      </c>
      <c r="AN54" s="660"/>
      <c r="AO54" s="182"/>
      <c r="AP54" s="182"/>
      <c r="AQ54" s="182"/>
      <c r="AR54" s="537" t="e">
        <f t="shared" si="36"/>
        <v>#N/A</v>
      </c>
      <c r="AS54" s="660"/>
      <c r="AT54" s="182"/>
      <c r="AU54" s="182"/>
      <c r="AV54" s="182"/>
      <c r="AW54" s="537" t="e">
        <f t="shared" si="37"/>
        <v>#N/A</v>
      </c>
      <c r="AX54" s="660"/>
    </row>
    <row r="55" spans="2:50">
      <c r="B55" s="660"/>
      <c r="C55" s="309">
        <v>9</v>
      </c>
      <c r="D55" s="227"/>
      <c r="E55" s="182"/>
      <c r="F55" s="514"/>
      <c r="G55" s="515"/>
      <c r="H55" s="702"/>
      <c r="I55" s="483"/>
      <c r="J55" s="483"/>
      <c r="K55" s="200"/>
      <c r="L55" s="634"/>
      <c r="M55" s="201" t="e">
        <f>RANK(K55, K$47:$K$61)</f>
        <v>#N/A</v>
      </c>
      <c r="N55" s="652"/>
      <c r="O55" s="652"/>
      <c r="P55" s="182"/>
      <c r="Q55" s="182"/>
      <c r="R55" s="182"/>
      <c r="S55" s="537" t="e">
        <f t="shared" si="31"/>
        <v>#N/A</v>
      </c>
      <c r="T55" s="660"/>
      <c r="U55" s="182"/>
      <c r="V55" s="182"/>
      <c r="W55" s="182"/>
      <c r="X55" s="537" t="e">
        <f t="shared" si="32"/>
        <v>#N/A</v>
      </c>
      <c r="Y55" s="660"/>
      <c r="Z55" s="182"/>
      <c r="AA55" s="182"/>
      <c r="AB55" s="182"/>
      <c r="AC55" s="537" t="e">
        <f t="shared" si="33"/>
        <v>#N/A</v>
      </c>
      <c r="AD55" s="660"/>
      <c r="AE55" s="182"/>
      <c r="AF55" s="182"/>
      <c r="AG55" s="182"/>
      <c r="AH55" s="537" t="e">
        <f t="shared" si="34"/>
        <v>#N/A</v>
      </c>
      <c r="AI55" s="660"/>
      <c r="AJ55" s="182"/>
      <c r="AK55" s="182"/>
      <c r="AL55" s="182"/>
      <c r="AM55" s="537" t="e">
        <f t="shared" si="35"/>
        <v>#N/A</v>
      </c>
      <c r="AN55" s="660"/>
      <c r="AO55" s="182"/>
      <c r="AP55" s="182"/>
      <c r="AQ55" s="182"/>
      <c r="AR55" s="537" t="e">
        <f t="shared" si="36"/>
        <v>#N/A</v>
      </c>
      <c r="AS55" s="660"/>
      <c r="AT55" s="182"/>
      <c r="AU55" s="182"/>
      <c r="AV55" s="182"/>
      <c r="AW55" s="537" t="e">
        <f t="shared" si="37"/>
        <v>#N/A</v>
      </c>
      <c r="AX55" s="660"/>
    </row>
    <row r="56" spans="2:50">
      <c r="B56" s="660"/>
      <c r="C56" s="309">
        <v>10</v>
      </c>
      <c r="D56" s="227"/>
      <c r="E56" s="182"/>
      <c r="F56" s="514"/>
      <c r="G56" s="515"/>
      <c r="H56" s="702"/>
      <c r="I56" s="483"/>
      <c r="J56" s="483"/>
      <c r="K56" s="200"/>
      <c r="L56" s="634"/>
      <c r="M56" s="201" t="e">
        <f>RANK(K56, K$47:$K$61)</f>
        <v>#N/A</v>
      </c>
      <c r="N56" s="652"/>
      <c r="O56" s="652"/>
      <c r="P56" s="182"/>
      <c r="Q56" s="182"/>
      <c r="R56" s="182"/>
      <c r="S56" s="537" t="e">
        <f t="shared" si="31"/>
        <v>#N/A</v>
      </c>
      <c r="T56" s="660"/>
      <c r="U56" s="182"/>
      <c r="V56" s="182"/>
      <c r="W56" s="182"/>
      <c r="X56" s="537" t="e">
        <f t="shared" si="32"/>
        <v>#N/A</v>
      </c>
      <c r="Y56" s="660"/>
      <c r="Z56" s="182"/>
      <c r="AA56" s="182"/>
      <c r="AB56" s="182"/>
      <c r="AC56" s="537" t="e">
        <f t="shared" si="33"/>
        <v>#N/A</v>
      </c>
      <c r="AD56" s="660"/>
      <c r="AE56" s="182"/>
      <c r="AF56" s="182"/>
      <c r="AG56" s="182"/>
      <c r="AH56" s="537" t="e">
        <f t="shared" si="34"/>
        <v>#N/A</v>
      </c>
      <c r="AI56" s="660"/>
      <c r="AJ56" s="182"/>
      <c r="AK56" s="182"/>
      <c r="AL56" s="182"/>
      <c r="AM56" s="537" t="e">
        <f t="shared" si="35"/>
        <v>#N/A</v>
      </c>
      <c r="AN56" s="660"/>
      <c r="AO56" s="182"/>
      <c r="AP56" s="182"/>
      <c r="AQ56" s="182"/>
      <c r="AR56" s="537" t="e">
        <f t="shared" si="36"/>
        <v>#N/A</v>
      </c>
      <c r="AS56" s="660"/>
      <c r="AT56" s="182"/>
      <c r="AU56" s="182"/>
      <c r="AV56" s="182"/>
      <c r="AW56" s="537" t="e">
        <f t="shared" si="37"/>
        <v>#N/A</v>
      </c>
      <c r="AX56" s="660"/>
    </row>
    <row r="57" spans="2:50">
      <c r="B57" s="660"/>
      <c r="C57" s="309">
        <v>11</v>
      </c>
      <c r="D57" s="227"/>
      <c r="E57" s="182"/>
      <c r="F57" s="514"/>
      <c r="G57" s="515"/>
      <c r="H57" s="702"/>
      <c r="I57" s="483"/>
      <c r="J57" s="483"/>
      <c r="K57" s="200"/>
      <c r="L57" s="634"/>
      <c r="M57" s="201" t="e">
        <f>RANK(K57, K$47:$K$61)</f>
        <v>#N/A</v>
      </c>
      <c r="N57" s="652"/>
      <c r="O57" s="652"/>
      <c r="P57" s="182"/>
      <c r="Q57" s="182"/>
      <c r="R57" s="182"/>
      <c r="S57" s="537" t="e">
        <f t="shared" si="31"/>
        <v>#N/A</v>
      </c>
      <c r="T57" s="660"/>
      <c r="U57" s="182"/>
      <c r="V57" s="182"/>
      <c r="W57" s="182"/>
      <c r="X57" s="537" t="e">
        <f t="shared" si="32"/>
        <v>#N/A</v>
      </c>
      <c r="Y57" s="660"/>
      <c r="Z57" s="182"/>
      <c r="AA57" s="182"/>
      <c r="AB57" s="182"/>
      <c r="AC57" s="537" t="e">
        <f t="shared" si="33"/>
        <v>#N/A</v>
      </c>
      <c r="AD57" s="660"/>
      <c r="AE57" s="182"/>
      <c r="AF57" s="182"/>
      <c r="AG57" s="182"/>
      <c r="AH57" s="537" t="e">
        <f t="shared" si="34"/>
        <v>#N/A</v>
      </c>
      <c r="AI57" s="660"/>
      <c r="AJ57" s="182"/>
      <c r="AK57" s="182"/>
      <c r="AL57" s="182"/>
      <c r="AM57" s="537" t="e">
        <f t="shared" si="35"/>
        <v>#N/A</v>
      </c>
      <c r="AN57" s="660"/>
      <c r="AO57" s="182"/>
      <c r="AP57" s="182"/>
      <c r="AQ57" s="182"/>
      <c r="AR57" s="537" t="e">
        <f t="shared" si="36"/>
        <v>#N/A</v>
      </c>
      <c r="AS57" s="660"/>
      <c r="AT57" s="182"/>
      <c r="AU57" s="182"/>
      <c r="AV57" s="182"/>
      <c r="AW57" s="537" t="e">
        <f t="shared" si="37"/>
        <v>#N/A</v>
      </c>
      <c r="AX57" s="660"/>
    </row>
    <row r="58" spans="2:50">
      <c r="B58" s="660"/>
      <c r="C58" s="309">
        <v>12</v>
      </c>
      <c r="D58" s="227"/>
      <c r="E58" s="182"/>
      <c r="F58" s="514"/>
      <c r="G58" s="515"/>
      <c r="H58" s="702"/>
      <c r="I58" s="483"/>
      <c r="J58" s="483"/>
      <c r="K58" s="200"/>
      <c r="L58" s="634"/>
      <c r="M58" s="201" t="e">
        <f>RANK(K58, K$47:$K$61)</f>
        <v>#N/A</v>
      </c>
      <c r="N58" s="652"/>
      <c r="O58" s="652"/>
      <c r="P58" s="182"/>
      <c r="Q58" s="182"/>
      <c r="R58" s="182"/>
      <c r="S58" s="537" t="e">
        <f t="shared" si="31"/>
        <v>#N/A</v>
      </c>
      <c r="T58" s="660"/>
      <c r="U58" s="182"/>
      <c r="V58" s="182"/>
      <c r="W58" s="182"/>
      <c r="X58" s="537" t="e">
        <f t="shared" si="32"/>
        <v>#N/A</v>
      </c>
      <c r="Y58" s="660"/>
      <c r="Z58" s="182"/>
      <c r="AA58" s="182"/>
      <c r="AB58" s="182"/>
      <c r="AC58" s="537" t="e">
        <f t="shared" si="33"/>
        <v>#N/A</v>
      </c>
      <c r="AD58" s="660"/>
      <c r="AE58" s="182"/>
      <c r="AF58" s="182"/>
      <c r="AG58" s="182"/>
      <c r="AH58" s="537" t="e">
        <f t="shared" si="34"/>
        <v>#N/A</v>
      </c>
      <c r="AI58" s="660"/>
      <c r="AJ58" s="182"/>
      <c r="AK58" s="182"/>
      <c r="AL58" s="182"/>
      <c r="AM58" s="537" t="e">
        <f t="shared" si="35"/>
        <v>#N/A</v>
      </c>
      <c r="AN58" s="660"/>
      <c r="AO58" s="182"/>
      <c r="AP58" s="182"/>
      <c r="AQ58" s="182"/>
      <c r="AR58" s="537" t="e">
        <f t="shared" si="36"/>
        <v>#N/A</v>
      </c>
      <c r="AS58" s="660"/>
      <c r="AT58" s="182"/>
      <c r="AU58" s="182"/>
      <c r="AV58" s="182"/>
      <c r="AW58" s="537" t="e">
        <f t="shared" si="37"/>
        <v>#N/A</v>
      </c>
      <c r="AX58" s="660"/>
    </row>
    <row r="59" spans="2:50">
      <c r="B59" s="660"/>
      <c r="C59" s="309">
        <v>13</v>
      </c>
      <c r="D59" s="227"/>
      <c r="E59" s="182"/>
      <c r="F59" s="514"/>
      <c r="G59" s="515"/>
      <c r="H59" s="702"/>
      <c r="I59" s="202"/>
      <c r="J59" s="202"/>
      <c r="K59" s="202"/>
      <c r="L59" s="634"/>
      <c r="M59" s="201" t="e">
        <f>RANK(K59, K$47:$K$61)</f>
        <v>#N/A</v>
      </c>
      <c r="N59" s="652"/>
      <c r="O59" s="652"/>
      <c r="P59" s="182"/>
      <c r="Q59" s="182"/>
      <c r="R59" s="182"/>
      <c r="S59" s="537" t="e">
        <f t="shared" si="31"/>
        <v>#N/A</v>
      </c>
      <c r="T59" s="660"/>
      <c r="U59" s="182"/>
      <c r="V59" s="182"/>
      <c r="W59" s="182"/>
      <c r="X59" s="537" t="e">
        <f t="shared" si="32"/>
        <v>#N/A</v>
      </c>
      <c r="Y59" s="660"/>
      <c r="Z59" s="182"/>
      <c r="AA59" s="182"/>
      <c r="AB59" s="182"/>
      <c r="AC59" s="537" t="e">
        <f t="shared" si="33"/>
        <v>#N/A</v>
      </c>
      <c r="AD59" s="660"/>
      <c r="AE59" s="182"/>
      <c r="AF59" s="182"/>
      <c r="AG59" s="182"/>
      <c r="AH59" s="537" t="e">
        <f t="shared" si="34"/>
        <v>#N/A</v>
      </c>
      <c r="AI59" s="660"/>
      <c r="AJ59" s="182"/>
      <c r="AK59" s="182"/>
      <c r="AL59" s="182"/>
      <c r="AM59" s="537" t="e">
        <f t="shared" si="35"/>
        <v>#N/A</v>
      </c>
      <c r="AN59" s="660"/>
      <c r="AO59" s="182"/>
      <c r="AP59" s="182"/>
      <c r="AQ59" s="182"/>
      <c r="AR59" s="537" t="e">
        <f t="shared" si="36"/>
        <v>#N/A</v>
      </c>
      <c r="AS59" s="660"/>
      <c r="AT59" s="182"/>
      <c r="AU59" s="182"/>
      <c r="AV59" s="182"/>
      <c r="AW59" s="537" t="e">
        <f t="shared" si="37"/>
        <v>#N/A</v>
      </c>
      <c r="AX59" s="660"/>
    </row>
    <row r="60" spans="2:50">
      <c r="B60" s="660"/>
      <c r="C60" s="309">
        <v>14</v>
      </c>
      <c r="D60" s="227"/>
      <c r="E60" s="182"/>
      <c r="F60" s="514"/>
      <c r="G60" s="515"/>
      <c r="H60" s="702"/>
      <c r="I60" s="202"/>
      <c r="J60" s="202"/>
      <c r="K60" s="202"/>
      <c r="L60" s="634"/>
      <c r="M60" s="201" t="e">
        <f>RANK(K60, K$47:$K$61)</f>
        <v>#N/A</v>
      </c>
      <c r="N60" s="652"/>
      <c r="O60" s="652"/>
      <c r="P60" s="182"/>
      <c r="Q60" s="182"/>
      <c r="R60" s="182"/>
      <c r="S60" s="537" t="e">
        <f t="shared" si="31"/>
        <v>#N/A</v>
      </c>
      <c r="T60" s="660"/>
      <c r="U60" s="182"/>
      <c r="V60" s="182"/>
      <c r="W60" s="182"/>
      <c r="X60" s="537" t="e">
        <f t="shared" si="32"/>
        <v>#N/A</v>
      </c>
      <c r="Y60" s="660"/>
      <c r="Z60" s="182"/>
      <c r="AA60" s="182"/>
      <c r="AB60" s="182"/>
      <c r="AC60" s="537" t="e">
        <f t="shared" si="33"/>
        <v>#N/A</v>
      </c>
      <c r="AD60" s="660"/>
      <c r="AE60" s="182"/>
      <c r="AF60" s="182"/>
      <c r="AG60" s="182"/>
      <c r="AH60" s="537" t="e">
        <f t="shared" si="34"/>
        <v>#N/A</v>
      </c>
      <c r="AI60" s="660"/>
      <c r="AJ60" s="182"/>
      <c r="AK60" s="182"/>
      <c r="AL60" s="182"/>
      <c r="AM60" s="537" t="e">
        <f t="shared" si="35"/>
        <v>#N/A</v>
      </c>
      <c r="AN60" s="660"/>
      <c r="AO60" s="182"/>
      <c r="AP60" s="182"/>
      <c r="AQ60" s="182"/>
      <c r="AR60" s="537" t="e">
        <f t="shared" si="36"/>
        <v>#N/A</v>
      </c>
      <c r="AS60" s="660"/>
      <c r="AT60" s="182"/>
      <c r="AU60" s="182"/>
      <c r="AV60" s="182"/>
      <c r="AW60" s="537" t="e">
        <f t="shared" si="37"/>
        <v>#N/A</v>
      </c>
      <c r="AX60" s="660"/>
    </row>
    <row r="61" spans="2:50">
      <c r="B61" s="660"/>
      <c r="C61" s="309">
        <v>15</v>
      </c>
      <c r="D61" s="227"/>
      <c r="E61" s="182"/>
      <c r="F61" s="514"/>
      <c r="G61" s="515"/>
      <c r="H61" s="703"/>
      <c r="I61" s="202"/>
      <c r="J61" s="202"/>
      <c r="K61" s="202"/>
      <c r="L61" s="635"/>
      <c r="M61" s="201" t="e">
        <f>RANK(K61, K$47:$K$61)</f>
        <v>#N/A</v>
      </c>
      <c r="N61" s="652"/>
      <c r="O61" s="652"/>
      <c r="P61" s="182"/>
      <c r="Q61" s="182"/>
      <c r="R61" s="182"/>
      <c r="S61" s="537" t="e">
        <f t="shared" si="31"/>
        <v>#N/A</v>
      </c>
      <c r="T61" s="660"/>
      <c r="U61" s="182"/>
      <c r="V61" s="182"/>
      <c r="W61" s="182"/>
      <c r="X61" s="537" t="e">
        <f t="shared" si="32"/>
        <v>#N/A</v>
      </c>
      <c r="Y61" s="660"/>
      <c r="Z61" s="182"/>
      <c r="AA61" s="182"/>
      <c r="AB61" s="182"/>
      <c r="AC61" s="537" t="e">
        <f t="shared" si="33"/>
        <v>#N/A</v>
      </c>
      <c r="AD61" s="660"/>
      <c r="AE61" s="182"/>
      <c r="AF61" s="182"/>
      <c r="AG61" s="182"/>
      <c r="AH61" s="537" t="e">
        <f t="shared" si="34"/>
        <v>#N/A</v>
      </c>
      <c r="AI61" s="660"/>
      <c r="AJ61" s="182"/>
      <c r="AK61" s="182"/>
      <c r="AL61" s="182"/>
      <c r="AM61" s="537" t="e">
        <f t="shared" si="35"/>
        <v>#N/A</v>
      </c>
      <c r="AN61" s="660"/>
      <c r="AO61" s="182"/>
      <c r="AP61" s="182"/>
      <c r="AQ61" s="182"/>
      <c r="AR61" s="537" t="e">
        <f t="shared" si="36"/>
        <v>#N/A</v>
      </c>
      <c r="AS61" s="660"/>
      <c r="AT61" s="182"/>
      <c r="AU61" s="182"/>
      <c r="AV61" s="182"/>
      <c r="AW61" s="537" t="e">
        <f t="shared" si="37"/>
        <v>#N/A</v>
      </c>
      <c r="AX61" s="660"/>
    </row>
    <row r="62" spans="2:50" ht="15.75">
      <c r="B62" s="664" t="s">
        <v>163</v>
      </c>
      <c r="C62" s="665"/>
      <c r="D62" s="665"/>
      <c r="E62" s="665"/>
      <c r="F62" s="665"/>
      <c r="G62" s="665"/>
      <c r="H62" s="666"/>
      <c r="I62" s="208"/>
      <c r="J62" s="208"/>
      <c r="K62" s="208"/>
      <c r="L62" s="208"/>
      <c r="M62" s="207"/>
      <c r="N62" s="653" t="s">
        <v>156</v>
      </c>
      <c r="O62" s="653" t="s">
        <v>105</v>
      </c>
      <c r="P62" s="659">
        <f>P42+7</f>
        <v>46070</v>
      </c>
      <c r="Q62" s="660"/>
      <c r="R62" s="660"/>
      <c r="S62" s="660"/>
      <c r="T62" s="660"/>
      <c r="U62" s="656">
        <f>P62+1</f>
        <v>46071</v>
      </c>
      <c r="V62" s="657"/>
      <c r="W62" s="657"/>
      <c r="X62" s="657"/>
      <c r="Y62" s="658"/>
      <c r="Z62" s="656">
        <f>U62+1</f>
        <v>46072</v>
      </c>
      <c r="AA62" s="657"/>
      <c r="AB62" s="657"/>
      <c r="AC62" s="657"/>
      <c r="AD62" s="658"/>
      <c r="AE62" s="656">
        <f>Z62+1</f>
        <v>46073</v>
      </c>
      <c r="AF62" s="657"/>
      <c r="AG62" s="657"/>
      <c r="AH62" s="657"/>
      <c r="AI62" s="658"/>
      <c r="AJ62" s="656">
        <f>AE62+1</f>
        <v>46074</v>
      </c>
      <c r="AK62" s="657"/>
      <c r="AL62" s="657"/>
      <c r="AM62" s="657"/>
      <c r="AN62" s="658"/>
      <c r="AO62" s="656">
        <f>AJ62+1</f>
        <v>46075</v>
      </c>
      <c r="AP62" s="657"/>
      <c r="AQ62" s="657"/>
      <c r="AR62" s="657"/>
      <c r="AS62" s="658"/>
      <c r="AT62" s="656">
        <f>AO62+1</f>
        <v>46076</v>
      </c>
      <c r="AU62" s="657"/>
      <c r="AV62" s="657"/>
      <c r="AW62" s="657"/>
      <c r="AX62" s="658"/>
    </row>
    <row r="63" spans="2:50" ht="15.75">
      <c r="B63" s="667"/>
      <c r="C63" s="667"/>
      <c r="D63" s="667"/>
      <c r="E63" s="667"/>
      <c r="F63" s="667"/>
      <c r="G63" s="667"/>
      <c r="H63" s="667"/>
      <c r="I63" s="205"/>
      <c r="J63" s="205"/>
      <c r="K63" s="205"/>
      <c r="L63" s="205"/>
      <c r="M63" s="206"/>
      <c r="N63" s="655"/>
      <c r="O63" s="655"/>
      <c r="P63" s="659" t="s">
        <v>336</v>
      </c>
      <c r="Q63" s="660"/>
      <c r="R63" s="660"/>
      <c r="S63" s="660"/>
      <c r="T63" s="660"/>
      <c r="U63" s="659" t="s">
        <v>337</v>
      </c>
      <c r="V63" s="660"/>
      <c r="W63" s="660"/>
      <c r="X63" s="660"/>
      <c r="Y63" s="660"/>
      <c r="Z63" s="659" t="s">
        <v>338</v>
      </c>
      <c r="AA63" s="660"/>
      <c r="AB63" s="660"/>
      <c r="AC63" s="660"/>
      <c r="AD63" s="660"/>
      <c r="AE63" s="659" t="s">
        <v>339</v>
      </c>
      <c r="AF63" s="660"/>
      <c r="AG63" s="660"/>
      <c r="AH63" s="660"/>
      <c r="AI63" s="660"/>
      <c r="AJ63" s="659" t="s">
        <v>340</v>
      </c>
      <c r="AK63" s="660"/>
      <c r="AL63" s="660"/>
      <c r="AM63" s="660"/>
      <c r="AN63" s="660"/>
      <c r="AO63" s="659" t="s">
        <v>341</v>
      </c>
      <c r="AP63" s="660"/>
      <c r="AQ63" s="660"/>
      <c r="AR63" s="660"/>
      <c r="AS63" s="660"/>
      <c r="AT63" s="659" t="s">
        <v>342</v>
      </c>
      <c r="AU63" s="660"/>
      <c r="AV63" s="660"/>
      <c r="AW63" s="660"/>
      <c r="AX63" s="660"/>
    </row>
    <row r="64" spans="2:50">
      <c r="B64" s="652" t="s">
        <v>431</v>
      </c>
      <c r="C64" s="652" t="s">
        <v>441</v>
      </c>
      <c r="D64" s="652"/>
      <c r="E64" s="652" t="s">
        <v>432</v>
      </c>
      <c r="F64" s="652"/>
      <c r="G64" s="652"/>
      <c r="H64" s="668" t="s">
        <v>428</v>
      </c>
      <c r="I64" s="636" t="s">
        <v>433</v>
      </c>
      <c r="J64" s="636"/>
      <c r="K64" s="636"/>
      <c r="L64" s="637" t="s">
        <v>428</v>
      </c>
      <c r="M64" s="643" t="s">
        <v>429</v>
      </c>
      <c r="N64" s="652"/>
      <c r="O64" s="652" t="s">
        <v>434</v>
      </c>
      <c r="P64" s="649" t="s">
        <v>430</v>
      </c>
      <c r="Q64" s="650"/>
      <c r="R64" s="650"/>
      <c r="S64" s="651"/>
      <c r="T64" s="652" t="s">
        <v>428</v>
      </c>
      <c r="U64" s="649" t="s">
        <v>430</v>
      </c>
      <c r="V64" s="650"/>
      <c r="W64" s="650"/>
      <c r="X64" s="651"/>
      <c r="Y64" s="652" t="s">
        <v>428</v>
      </c>
      <c r="Z64" s="649" t="s">
        <v>430</v>
      </c>
      <c r="AA64" s="650"/>
      <c r="AB64" s="650"/>
      <c r="AC64" s="651"/>
      <c r="AD64" s="652" t="s">
        <v>428</v>
      </c>
      <c r="AE64" s="649" t="s">
        <v>430</v>
      </c>
      <c r="AF64" s="650"/>
      <c r="AG64" s="650"/>
      <c r="AH64" s="651"/>
      <c r="AI64" s="652" t="s">
        <v>428</v>
      </c>
      <c r="AJ64" s="649" t="s">
        <v>430</v>
      </c>
      <c r="AK64" s="650"/>
      <c r="AL64" s="650"/>
      <c r="AM64" s="651"/>
      <c r="AN64" s="652" t="s">
        <v>428</v>
      </c>
      <c r="AO64" s="649" t="s">
        <v>430</v>
      </c>
      <c r="AP64" s="650"/>
      <c r="AQ64" s="650"/>
      <c r="AR64" s="651"/>
      <c r="AS64" s="652" t="s">
        <v>428</v>
      </c>
      <c r="AT64" s="649" t="s">
        <v>430</v>
      </c>
      <c r="AU64" s="650"/>
      <c r="AV64" s="650"/>
      <c r="AW64" s="651"/>
      <c r="AX64" s="652" t="s">
        <v>428</v>
      </c>
    </row>
    <row r="65" spans="2:50">
      <c r="B65" s="652"/>
      <c r="C65" s="652"/>
      <c r="D65" s="652"/>
      <c r="E65" s="652" t="s">
        <v>435</v>
      </c>
      <c r="F65" s="652"/>
      <c r="G65" s="652"/>
      <c r="H65" s="669"/>
      <c r="I65" s="636" t="s">
        <v>435</v>
      </c>
      <c r="J65" s="636"/>
      <c r="K65" s="636"/>
      <c r="L65" s="638"/>
      <c r="M65" s="644"/>
      <c r="N65" s="652"/>
      <c r="O65" s="652"/>
      <c r="P65" s="649" t="s">
        <v>436</v>
      </c>
      <c r="Q65" s="650"/>
      <c r="R65" s="650"/>
      <c r="S65" s="651"/>
      <c r="T65" s="652"/>
      <c r="U65" s="649" t="s">
        <v>436</v>
      </c>
      <c r="V65" s="650"/>
      <c r="W65" s="650"/>
      <c r="X65" s="651"/>
      <c r="Y65" s="652"/>
      <c r="Z65" s="649" t="s">
        <v>436</v>
      </c>
      <c r="AA65" s="650"/>
      <c r="AB65" s="650"/>
      <c r="AC65" s="651"/>
      <c r="AD65" s="652"/>
      <c r="AE65" s="649" t="s">
        <v>436</v>
      </c>
      <c r="AF65" s="650"/>
      <c r="AG65" s="650"/>
      <c r="AH65" s="651"/>
      <c r="AI65" s="652"/>
      <c r="AJ65" s="649" t="s">
        <v>436</v>
      </c>
      <c r="AK65" s="650"/>
      <c r="AL65" s="650"/>
      <c r="AM65" s="651"/>
      <c r="AN65" s="652"/>
      <c r="AO65" s="649" t="s">
        <v>436</v>
      </c>
      <c r="AP65" s="650"/>
      <c r="AQ65" s="650"/>
      <c r="AR65" s="651"/>
      <c r="AS65" s="652"/>
      <c r="AT65" s="649" t="s">
        <v>436</v>
      </c>
      <c r="AU65" s="650"/>
      <c r="AV65" s="650"/>
      <c r="AW65" s="651"/>
      <c r="AX65" s="652"/>
    </row>
    <row r="66" spans="2:50">
      <c r="B66" s="652"/>
      <c r="C66" s="652"/>
      <c r="D66" s="652"/>
      <c r="E66" s="308" t="s">
        <v>437</v>
      </c>
      <c r="F66" s="308" t="s">
        <v>438</v>
      </c>
      <c r="G66" s="308" t="s">
        <v>439</v>
      </c>
      <c r="H66" s="670"/>
      <c r="I66" s="307" t="s">
        <v>437</v>
      </c>
      <c r="J66" s="307" t="s">
        <v>438</v>
      </c>
      <c r="K66" s="307" t="s">
        <v>439</v>
      </c>
      <c r="L66" s="639"/>
      <c r="M66" s="645"/>
      <c r="N66" s="652"/>
      <c r="O66" s="652"/>
      <c r="P66" s="308" t="s">
        <v>437</v>
      </c>
      <c r="Q66" s="308" t="s">
        <v>438</v>
      </c>
      <c r="R66" s="308" t="s">
        <v>439</v>
      </c>
      <c r="S66" s="308" t="s">
        <v>429</v>
      </c>
      <c r="T66" s="652"/>
      <c r="U66" s="308" t="s">
        <v>437</v>
      </c>
      <c r="V66" s="308" t="s">
        <v>438</v>
      </c>
      <c r="W66" s="308" t="s">
        <v>439</v>
      </c>
      <c r="X66" s="308" t="s">
        <v>429</v>
      </c>
      <c r="Y66" s="652"/>
      <c r="Z66" s="308" t="s">
        <v>437</v>
      </c>
      <c r="AA66" s="308" t="s">
        <v>438</v>
      </c>
      <c r="AB66" s="308" t="s">
        <v>439</v>
      </c>
      <c r="AC66" s="308" t="s">
        <v>429</v>
      </c>
      <c r="AD66" s="652"/>
      <c r="AE66" s="308" t="s">
        <v>437</v>
      </c>
      <c r="AF66" s="308" t="s">
        <v>438</v>
      </c>
      <c r="AG66" s="308" t="s">
        <v>439</v>
      </c>
      <c r="AH66" s="308" t="s">
        <v>429</v>
      </c>
      <c r="AI66" s="652"/>
      <c r="AJ66" s="308" t="s">
        <v>437</v>
      </c>
      <c r="AK66" s="308" t="s">
        <v>438</v>
      </c>
      <c r="AL66" s="308" t="s">
        <v>439</v>
      </c>
      <c r="AM66" s="308" t="s">
        <v>429</v>
      </c>
      <c r="AN66" s="652"/>
      <c r="AO66" s="308" t="s">
        <v>437</v>
      </c>
      <c r="AP66" s="308" t="s">
        <v>438</v>
      </c>
      <c r="AQ66" s="308" t="s">
        <v>439</v>
      </c>
      <c r="AR66" s="308" t="s">
        <v>429</v>
      </c>
      <c r="AS66" s="652"/>
      <c r="AT66" s="308" t="s">
        <v>437</v>
      </c>
      <c r="AU66" s="308" t="s">
        <v>438</v>
      </c>
      <c r="AV66" s="308" t="s">
        <v>439</v>
      </c>
      <c r="AW66" s="308" t="s">
        <v>429</v>
      </c>
      <c r="AX66" s="652"/>
    </row>
    <row r="67" spans="2:50">
      <c r="B67" s="652" t="s">
        <v>443</v>
      </c>
      <c r="C67" s="309">
        <v>1</v>
      </c>
      <c r="D67" s="227"/>
      <c r="E67" s="182"/>
      <c r="F67" s="514"/>
      <c r="G67" s="515"/>
      <c r="H67" s="701" t="e">
        <f>AVERAGE(G67:G81)</f>
        <v>#DIV/0!</v>
      </c>
      <c r="I67" s="199" t="e">
        <f>AVERAGE(P67,U67,Z67,AE67,AJ67,AO67,AT67)</f>
        <v>#DIV/0!</v>
      </c>
      <c r="J67" s="199" t="e">
        <f>AVERAGE(Q67,V67,AA67,AF67,AK67,AP67,AU67)</f>
        <v>#DIV/0!</v>
      </c>
      <c r="K67" s="200" t="e">
        <f>AVERAGE(R67,W67,AB67,AG67,AL67,AQ67,AV67)</f>
        <v>#DIV/0!</v>
      </c>
      <c r="L67" s="633" t="str">
        <f>IFERROR(AVERAGE(K67:K81),"-")</f>
        <v>-</v>
      </c>
      <c r="M67" s="201" t="e">
        <f>RANK(K67, K$67:$K$81)</f>
        <v>#DIV/0!</v>
      </c>
      <c r="N67" s="652"/>
      <c r="O67" s="652"/>
      <c r="P67" s="182"/>
      <c r="Q67" s="182"/>
      <c r="R67" s="182"/>
      <c r="S67" s="309" t="e">
        <f>RANK(R67, R$67:R$81)</f>
        <v>#N/A</v>
      </c>
      <c r="T67" s="674" t="e">
        <f>AVERAGE(R67:R81)</f>
        <v>#DIV/0!</v>
      </c>
      <c r="U67" s="182"/>
      <c r="V67" s="182"/>
      <c r="W67" s="182"/>
      <c r="X67" s="477" t="e">
        <f t="shared" ref="X67:X81" si="38">RANK(W67, W$67:W$81)</f>
        <v>#N/A</v>
      </c>
      <c r="Y67" s="674" t="e">
        <f t="shared" ref="Y67" si="39">AVERAGE(W67:W81)</f>
        <v>#DIV/0!</v>
      </c>
      <c r="Z67" s="182"/>
      <c r="AA67" s="182"/>
      <c r="AB67" s="182"/>
      <c r="AC67" s="477" t="e">
        <f t="shared" ref="AC67:AC81" si="40">RANK(AB67, AB$67:AB$81)</f>
        <v>#N/A</v>
      </c>
      <c r="AD67" s="674" t="e">
        <f t="shared" ref="AD67" si="41">AVERAGE(AB67:AB81)</f>
        <v>#DIV/0!</v>
      </c>
      <c r="AE67" s="182"/>
      <c r="AF67" s="182"/>
      <c r="AG67" s="182"/>
      <c r="AH67" s="477" t="e">
        <f t="shared" ref="AH67:AH81" si="42">RANK(AG67, AG$67:AG$81)</f>
        <v>#N/A</v>
      </c>
      <c r="AI67" s="674" t="e">
        <f t="shared" ref="AI67" si="43">AVERAGE(AG67:AG81)</f>
        <v>#DIV/0!</v>
      </c>
      <c r="AJ67" s="182"/>
      <c r="AK67" s="182"/>
      <c r="AL67" s="182"/>
      <c r="AM67" s="477" t="e">
        <f t="shared" ref="AM67:AM81" si="44">RANK(AL67, AL$67:AL$81)</f>
        <v>#N/A</v>
      </c>
      <c r="AN67" s="674" t="e">
        <f t="shared" ref="AN67" si="45">AVERAGE(AL67:AL81)</f>
        <v>#DIV/0!</v>
      </c>
      <c r="AO67" s="182"/>
      <c r="AP67" s="182"/>
      <c r="AQ67" s="182"/>
      <c r="AR67" s="477" t="e">
        <f t="shared" ref="AR67:AR81" si="46">RANK(AQ67, AQ$67:AQ$81)</f>
        <v>#N/A</v>
      </c>
      <c r="AS67" s="674" t="e">
        <f t="shared" ref="AS67" si="47">AVERAGE(AQ67:AQ81)</f>
        <v>#DIV/0!</v>
      </c>
      <c r="AT67" s="182"/>
      <c r="AU67" s="182"/>
      <c r="AV67" s="182"/>
      <c r="AW67" s="477" t="e">
        <f t="shared" ref="AW67:AW81" si="48">RANK(AV67, AV$67:AV$81)</f>
        <v>#N/A</v>
      </c>
      <c r="AX67" s="674" t="e">
        <f t="shared" ref="AX67" si="49">AVERAGE(AV67:AV81)</f>
        <v>#DIV/0!</v>
      </c>
    </row>
    <row r="68" spans="2:50">
      <c r="B68" s="660"/>
      <c r="C68" s="309">
        <v>2</v>
      </c>
      <c r="D68" s="227"/>
      <c r="E68" s="182"/>
      <c r="F68" s="514"/>
      <c r="G68" s="515"/>
      <c r="H68" s="702"/>
      <c r="I68" s="199" t="e">
        <f t="shared" ref="I68:I72" si="50">AVERAGE(P68,U68,Z68,AE68,AJ68,AO68,AT68)</f>
        <v>#DIV/0!</v>
      </c>
      <c r="J68" s="199" t="e">
        <f t="shared" ref="J68:J72" si="51">AVERAGE(Q68,V68,AA68,AF68,AK68,AP68,AU68)</f>
        <v>#DIV/0!</v>
      </c>
      <c r="K68" s="200" t="e">
        <f t="shared" ref="K68:K72" si="52">AVERAGE(R68,W68,AB68,AG68,AL68,AQ68,AV68)</f>
        <v>#DIV/0!</v>
      </c>
      <c r="L68" s="634"/>
      <c r="M68" s="201" t="e">
        <f>RANK(K68, K$67:$K$81)</f>
        <v>#DIV/0!</v>
      </c>
      <c r="N68" s="652"/>
      <c r="O68" s="652"/>
      <c r="P68" s="182"/>
      <c r="Q68" s="182"/>
      <c r="R68" s="182"/>
      <c r="S68" s="340" t="e">
        <f t="shared" ref="S68:S81" si="53">RANK(R68, R$67:R$81)</f>
        <v>#N/A</v>
      </c>
      <c r="T68" s="674"/>
      <c r="U68" s="182"/>
      <c r="V68" s="182"/>
      <c r="W68" s="182"/>
      <c r="X68" s="477" t="e">
        <f t="shared" si="38"/>
        <v>#N/A</v>
      </c>
      <c r="Y68" s="674"/>
      <c r="Z68" s="182"/>
      <c r="AA68" s="182"/>
      <c r="AB68" s="182"/>
      <c r="AC68" s="477" t="e">
        <f t="shared" si="40"/>
        <v>#N/A</v>
      </c>
      <c r="AD68" s="674"/>
      <c r="AE68" s="182"/>
      <c r="AF68" s="182"/>
      <c r="AG68" s="182"/>
      <c r="AH68" s="477" t="e">
        <f t="shared" si="42"/>
        <v>#N/A</v>
      </c>
      <c r="AI68" s="674"/>
      <c r="AJ68" s="182"/>
      <c r="AK68" s="182"/>
      <c r="AL68" s="182"/>
      <c r="AM68" s="477" t="e">
        <f t="shared" si="44"/>
        <v>#N/A</v>
      </c>
      <c r="AN68" s="674"/>
      <c r="AO68" s="182"/>
      <c r="AP68" s="182"/>
      <c r="AQ68" s="182"/>
      <c r="AR68" s="477" t="e">
        <f t="shared" si="46"/>
        <v>#N/A</v>
      </c>
      <c r="AS68" s="674"/>
      <c r="AT68" s="182"/>
      <c r="AU68" s="182"/>
      <c r="AV68" s="182"/>
      <c r="AW68" s="477" t="e">
        <f t="shared" si="48"/>
        <v>#N/A</v>
      </c>
      <c r="AX68" s="674"/>
    </row>
    <row r="69" spans="2:50">
      <c r="B69" s="660"/>
      <c r="C69" s="309">
        <v>3</v>
      </c>
      <c r="D69" s="227"/>
      <c r="E69" s="182"/>
      <c r="F69" s="514"/>
      <c r="G69" s="515"/>
      <c r="H69" s="702"/>
      <c r="I69" s="199" t="e">
        <f t="shared" si="50"/>
        <v>#DIV/0!</v>
      </c>
      <c r="J69" s="199" t="e">
        <f t="shared" si="51"/>
        <v>#DIV/0!</v>
      </c>
      <c r="K69" s="200" t="e">
        <f t="shared" si="52"/>
        <v>#DIV/0!</v>
      </c>
      <c r="L69" s="634"/>
      <c r="M69" s="201" t="e">
        <f>RANK(K69, K$67:$K$81)</f>
        <v>#DIV/0!</v>
      </c>
      <c r="N69" s="652"/>
      <c r="O69" s="652"/>
      <c r="P69" s="182"/>
      <c r="Q69" s="182"/>
      <c r="R69" s="182"/>
      <c r="S69" s="340" t="e">
        <f t="shared" si="53"/>
        <v>#N/A</v>
      </c>
      <c r="T69" s="674"/>
      <c r="U69" s="182"/>
      <c r="V69" s="182"/>
      <c r="W69" s="182"/>
      <c r="X69" s="477" t="e">
        <f t="shared" si="38"/>
        <v>#N/A</v>
      </c>
      <c r="Y69" s="674"/>
      <c r="Z69" s="182"/>
      <c r="AA69" s="182"/>
      <c r="AB69" s="182"/>
      <c r="AC69" s="477" t="e">
        <f t="shared" si="40"/>
        <v>#N/A</v>
      </c>
      <c r="AD69" s="674"/>
      <c r="AE69" s="182"/>
      <c r="AF69" s="182"/>
      <c r="AG69" s="182"/>
      <c r="AH69" s="477" t="e">
        <f t="shared" si="42"/>
        <v>#N/A</v>
      </c>
      <c r="AI69" s="674"/>
      <c r="AJ69" s="182"/>
      <c r="AK69" s="182"/>
      <c r="AL69" s="182"/>
      <c r="AM69" s="477" t="e">
        <f t="shared" si="44"/>
        <v>#N/A</v>
      </c>
      <c r="AN69" s="674"/>
      <c r="AO69" s="182"/>
      <c r="AP69" s="182"/>
      <c r="AQ69" s="182"/>
      <c r="AR69" s="477" t="e">
        <f t="shared" si="46"/>
        <v>#N/A</v>
      </c>
      <c r="AS69" s="674"/>
      <c r="AT69" s="182"/>
      <c r="AU69" s="182"/>
      <c r="AV69" s="182"/>
      <c r="AW69" s="477" t="e">
        <f t="shared" si="48"/>
        <v>#N/A</v>
      </c>
      <c r="AX69" s="674"/>
    </row>
    <row r="70" spans="2:50">
      <c r="B70" s="660"/>
      <c r="C70" s="309">
        <v>4</v>
      </c>
      <c r="D70" s="227"/>
      <c r="E70" s="182"/>
      <c r="F70" s="514"/>
      <c r="G70" s="515"/>
      <c r="H70" s="702"/>
      <c r="I70" s="199" t="e">
        <f t="shared" si="50"/>
        <v>#DIV/0!</v>
      </c>
      <c r="J70" s="199" t="e">
        <f t="shared" si="51"/>
        <v>#DIV/0!</v>
      </c>
      <c r="K70" s="200" t="e">
        <f t="shared" si="52"/>
        <v>#DIV/0!</v>
      </c>
      <c r="L70" s="634"/>
      <c r="M70" s="201" t="e">
        <f>RANK(K70, K$67:$K$81)</f>
        <v>#DIV/0!</v>
      </c>
      <c r="N70" s="652"/>
      <c r="O70" s="652"/>
      <c r="P70" s="182"/>
      <c r="Q70" s="182"/>
      <c r="R70" s="182"/>
      <c r="S70" s="340" t="e">
        <f t="shared" si="53"/>
        <v>#N/A</v>
      </c>
      <c r="T70" s="674"/>
      <c r="U70" s="182"/>
      <c r="V70" s="182"/>
      <c r="W70" s="182"/>
      <c r="X70" s="477" t="e">
        <f t="shared" si="38"/>
        <v>#N/A</v>
      </c>
      <c r="Y70" s="674"/>
      <c r="Z70" s="182"/>
      <c r="AA70" s="182"/>
      <c r="AB70" s="182"/>
      <c r="AC70" s="477" t="e">
        <f t="shared" si="40"/>
        <v>#N/A</v>
      </c>
      <c r="AD70" s="674"/>
      <c r="AE70" s="182"/>
      <c r="AF70" s="182"/>
      <c r="AG70" s="182"/>
      <c r="AH70" s="477" t="e">
        <f t="shared" si="42"/>
        <v>#N/A</v>
      </c>
      <c r="AI70" s="674"/>
      <c r="AJ70" s="182"/>
      <c r="AK70" s="182"/>
      <c r="AL70" s="182"/>
      <c r="AM70" s="477" t="e">
        <f t="shared" si="44"/>
        <v>#N/A</v>
      </c>
      <c r="AN70" s="674"/>
      <c r="AO70" s="182"/>
      <c r="AP70" s="182"/>
      <c r="AQ70" s="182"/>
      <c r="AR70" s="477" t="e">
        <f t="shared" si="46"/>
        <v>#N/A</v>
      </c>
      <c r="AS70" s="674"/>
      <c r="AT70" s="182"/>
      <c r="AU70" s="182"/>
      <c r="AV70" s="182"/>
      <c r="AW70" s="477" t="e">
        <f t="shared" si="48"/>
        <v>#N/A</v>
      </c>
      <c r="AX70" s="674"/>
    </row>
    <row r="71" spans="2:50">
      <c r="B71" s="660"/>
      <c r="C71" s="309">
        <v>5</v>
      </c>
      <c r="D71" s="227"/>
      <c r="E71" s="182"/>
      <c r="F71" s="514"/>
      <c r="G71" s="515"/>
      <c r="H71" s="702"/>
      <c r="I71" s="199" t="e">
        <f t="shared" si="50"/>
        <v>#DIV/0!</v>
      </c>
      <c r="J71" s="199" t="e">
        <f t="shared" si="51"/>
        <v>#DIV/0!</v>
      </c>
      <c r="K71" s="200" t="e">
        <f t="shared" si="52"/>
        <v>#DIV/0!</v>
      </c>
      <c r="L71" s="634"/>
      <c r="M71" s="201" t="e">
        <f>RANK(K71, K$67:$K$81)</f>
        <v>#DIV/0!</v>
      </c>
      <c r="N71" s="652"/>
      <c r="O71" s="652"/>
      <c r="P71" s="182"/>
      <c r="Q71" s="182"/>
      <c r="R71" s="182"/>
      <c r="S71" s="340" t="e">
        <f t="shared" si="53"/>
        <v>#N/A</v>
      </c>
      <c r="T71" s="674"/>
      <c r="U71" s="182"/>
      <c r="V71" s="182"/>
      <c r="W71" s="182"/>
      <c r="X71" s="477" t="e">
        <f t="shared" si="38"/>
        <v>#N/A</v>
      </c>
      <c r="Y71" s="674"/>
      <c r="Z71" s="182"/>
      <c r="AA71" s="182"/>
      <c r="AB71" s="182"/>
      <c r="AC71" s="477" t="e">
        <f t="shared" si="40"/>
        <v>#N/A</v>
      </c>
      <c r="AD71" s="674"/>
      <c r="AE71" s="182"/>
      <c r="AF71" s="182"/>
      <c r="AG71" s="182"/>
      <c r="AH71" s="477" t="e">
        <f t="shared" si="42"/>
        <v>#N/A</v>
      </c>
      <c r="AI71" s="674"/>
      <c r="AJ71" s="182"/>
      <c r="AK71" s="182"/>
      <c r="AL71" s="182"/>
      <c r="AM71" s="477" t="e">
        <f t="shared" si="44"/>
        <v>#N/A</v>
      </c>
      <c r="AN71" s="674"/>
      <c r="AO71" s="182"/>
      <c r="AP71" s="182"/>
      <c r="AQ71" s="182"/>
      <c r="AR71" s="477" t="e">
        <f t="shared" si="46"/>
        <v>#N/A</v>
      </c>
      <c r="AS71" s="674"/>
      <c r="AT71" s="182"/>
      <c r="AU71" s="182"/>
      <c r="AV71" s="182"/>
      <c r="AW71" s="477" t="e">
        <f t="shared" si="48"/>
        <v>#N/A</v>
      </c>
      <c r="AX71" s="674"/>
    </row>
    <row r="72" spans="2:50">
      <c r="B72" s="660"/>
      <c r="C72" s="309">
        <v>6</v>
      </c>
      <c r="D72" s="227"/>
      <c r="E72" s="182"/>
      <c r="F72" s="514"/>
      <c r="G72" s="515"/>
      <c r="H72" s="702"/>
      <c r="I72" s="199" t="e">
        <f t="shared" si="50"/>
        <v>#DIV/0!</v>
      </c>
      <c r="J72" s="199" t="e">
        <f t="shared" si="51"/>
        <v>#DIV/0!</v>
      </c>
      <c r="K72" s="200" t="e">
        <f t="shared" si="52"/>
        <v>#DIV/0!</v>
      </c>
      <c r="L72" s="634"/>
      <c r="M72" s="201" t="e">
        <f>RANK(K72, K$67:$K$81)</f>
        <v>#DIV/0!</v>
      </c>
      <c r="N72" s="652"/>
      <c r="O72" s="652"/>
      <c r="P72" s="182"/>
      <c r="Q72" s="182"/>
      <c r="R72" s="182"/>
      <c r="S72" s="340" t="e">
        <f t="shared" si="53"/>
        <v>#N/A</v>
      </c>
      <c r="T72" s="674"/>
      <c r="U72" s="182"/>
      <c r="V72" s="182"/>
      <c r="W72" s="182"/>
      <c r="X72" s="477" t="e">
        <f t="shared" si="38"/>
        <v>#N/A</v>
      </c>
      <c r="Y72" s="674"/>
      <c r="Z72" s="182"/>
      <c r="AA72" s="182"/>
      <c r="AB72" s="182"/>
      <c r="AC72" s="477" t="e">
        <f t="shared" si="40"/>
        <v>#N/A</v>
      </c>
      <c r="AD72" s="674"/>
      <c r="AE72" s="182"/>
      <c r="AF72" s="182"/>
      <c r="AG72" s="182"/>
      <c r="AH72" s="477" t="e">
        <f t="shared" si="42"/>
        <v>#N/A</v>
      </c>
      <c r="AI72" s="674"/>
      <c r="AJ72" s="182"/>
      <c r="AK72" s="182"/>
      <c r="AL72" s="182"/>
      <c r="AM72" s="477" t="e">
        <f t="shared" si="44"/>
        <v>#N/A</v>
      </c>
      <c r="AN72" s="674"/>
      <c r="AO72" s="182"/>
      <c r="AP72" s="182"/>
      <c r="AQ72" s="182"/>
      <c r="AR72" s="477" t="e">
        <f t="shared" si="46"/>
        <v>#N/A</v>
      </c>
      <c r="AS72" s="674"/>
      <c r="AT72" s="182"/>
      <c r="AU72" s="182"/>
      <c r="AV72" s="182"/>
      <c r="AW72" s="477" t="e">
        <f t="shared" si="48"/>
        <v>#N/A</v>
      </c>
      <c r="AX72" s="674"/>
    </row>
    <row r="73" spans="2:50">
      <c r="B73" s="660"/>
      <c r="C73" s="309">
        <v>7</v>
      </c>
      <c r="D73" s="227"/>
      <c r="E73" s="182"/>
      <c r="F73" s="514"/>
      <c r="G73" s="515"/>
      <c r="H73" s="702"/>
      <c r="I73" s="199"/>
      <c r="J73" s="199"/>
      <c r="K73" s="200"/>
      <c r="L73" s="634"/>
      <c r="M73" s="201" t="e">
        <f>RANK(K73, K$67:$K$81)</f>
        <v>#DIV/0!</v>
      </c>
      <c r="N73" s="652"/>
      <c r="O73" s="652"/>
      <c r="P73" s="182"/>
      <c r="Q73" s="182"/>
      <c r="R73" s="182"/>
      <c r="S73" s="340" t="e">
        <f t="shared" si="53"/>
        <v>#N/A</v>
      </c>
      <c r="T73" s="674"/>
      <c r="U73" s="182"/>
      <c r="V73" s="182"/>
      <c r="W73" s="182"/>
      <c r="X73" s="477" t="e">
        <f t="shared" si="38"/>
        <v>#N/A</v>
      </c>
      <c r="Y73" s="674"/>
      <c r="Z73" s="182"/>
      <c r="AA73" s="182"/>
      <c r="AB73" s="182"/>
      <c r="AC73" s="477" t="e">
        <f t="shared" si="40"/>
        <v>#N/A</v>
      </c>
      <c r="AD73" s="674"/>
      <c r="AE73" s="182"/>
      <c r="AF73" s="182"/>
      <c r="AG73" s="182"/>
      <c r="AH73" s="477" t="e">
        <f t="shared" si="42"/>
        <v>#N/A</v>
      </c>
      <c r="AI73" s="674"/>
      <c r="AJ73" s="182"/>
      <c r="AK73" s="182"/>
      <c r="AL73" s="182"/>
      <c r="AM73" s="477" t="e">
        <f t="shared" si="44"/>
        <v>#N/A</v>
      </c>
      <c r="AN73" s="674"/>
      <c r="AO73" s="182"/>
      <c r="AP73" s="182"/>
      <c r="AQ73" s="182"/>
      <c r="AR73" s="477" t="e">
        <f t="shared" si="46"/>
        <v>#N/A</v>
      </c>
      <c r="AS73" s="674"/>
      <c r="AT73" s="182"/>
      <c r="AU73" s="182"/>
      <c r="AV73" s="182"/>
      <c r="AW73" s="477" t="e">
        <f t="shared" si="48"/>
        <v>#N/A</v>
      </c>
      <c r="AX73" s="674"/>
    </row>
    <row r="74" spans="2:50">
      <c r="B74" s="660"/>
      <c r="C74" s="309">
        <v>8</v>
      </c>
      <c r="D74" s="227"/>
      <c r="E74" s="182"/>
      <c r="F74" s="514"/>
      <c r="G74" s="515"/>
      <c r="H74" s="702"/>
      <c r="I74" s="199"/>
      <c r="J74" s="199"/>
      <c r="K74" s="200"/>
      <c r="L74" s="634"/>
      <c r="M74" s="201" t="e">
        <f>RANK(K74, K$67:$K$81)</f>
        <v>#DIV/0!</v>
      </c>
      <c r="N74" s="652"/>
      <c r="O74" s="652"/>
      <c r="P74" s="182"/>
      <c r="Q74" s="182"/>
      <c r="R74" s="182"/>
      <c r="S74" s="340" t="e">
        <f t="shared" si="53"/>
        <v>#N/A</v>
      </c>
      <c r="T74" s="674"/>
      <c r="U74" s="182"/>
      <c r="V74" s="182"/>
      <c r="W74" s="182"/>
      <c r="X74" s="477" t="e">
        <f t="shared" si="38"/>
        <v>#N/A</v>
      </c>
      <c r="Y74" s="674"/>
      <c r="Z74" s="182"/>
      <c r="AA74" s="182"/>
      <c r="AB74" s="182"/>
      <c r="AC74" s="477" t="e">
        <f t="shared" si="40"/>
        <v>#N/A</v>
      </c>
      <c r="AD74" s="674"/>
      <c r="AE74" s="182"/>
      <c r="AF74" s="182"/>
      <c r="AG74" s="182"/>
      <c r="AH74" s="477" t="e">
        <f t="shared" si="42"/>
        <v>#N/A</v>
      </c>
      <c r="AI74" s="674"/>
      <c r="AJ74" s="182"/>
      <c r="AK74" s="182"/>
      <c r="AL74" s="182"/>
      <c r="AM74" s="477" t="e">
        <f t="shared" si="44"/>
        <v>#N/A</v>
      </c>
      <c r="AN74" s="674"/>
      <c r="AO74" s="182"/>
      <c r="AP74" s="182"/>
      <c r="AQ74" s="182"/>
      <c r="AR74" s="477" t="e">
        <f t="shared" si="46"/>
        <v>#N/A</v>
      </c>
      <c r="AS74" s="674"/>
      <c r="AT74" s="182"/>
      <c r="AU74" s="182"/>
      <c r="AV74" s="182"/>
      <c r="AW74" s="477" t="e">
        <f t="shared" si="48"/>
        <v>#N/A</v>
      </c>
      <c r="AX74" s="674"/>
    </row>
    <row r="75" spans="2:50">
      <c r="B75" s="660"/>
      <c r="C75" s="309">
        <v>9</v>
      </c>
      <c r="D75" s="227"/>
      <c r="E75" s="182"/>
      <c r="F75" s="514"/>
      <c r="G75" s="515"/>
      <c r="H75" s="702"/>
      <c r="I75" s="488"/>
      <c r="J75" s="488"/>
      <c r="K75" s="200"/>
      <c r="L75" s="634"/>
      <c r="M75" s="201" t="e">
        <f>RANK(K75, K$67:$K$81)</f>
        <v>#DIV/0!</v>
      </c>
      <c r="N75" s="652"/>
      <c r="O75" s="652"/>
      <c r="P75" s="182"/>
      <c r="Q75" s="182"/>
      <c r="R75" s="182"/>
      <c r="S75" s="340" t="e">
        <f t="shared" si="53"/>
        <v>#N/A</v>
      </c>
      <c r="T75" s="674"/>
      <c r="U75" s="182"/>
      <c r="V75" s="182"/>
      <c r="W75" s="182"/>
      <c r="X75" s="477" t="e">
        <f t="shared" si="38"/>
        <v>#N/A</v>
      </c>
      <c r="Y75" s="674"/>
      <c r="Z75" s="182"/>
      <c r="AA75" s="182"/>
      <c r="AB75" s="182"/>
      <c r="AC75" s="477" t="e">
        <f t="shared" si="40"/>
        <v>#N/A</v>
      </c>
      <c r="AD75" s="674"/>
      <c r="AE75" s="182"/>
      <c r="AF75" s="182"/>
      <c r="AG75" s="182"/>
      <c r="AH75" s="477" t="e">
        <f t="shared" si="42"/>
        <v>#N/A</v>
      </c>
      <c r="AI75" s="674"/>
      <c r="AJ75" s="182"/>
      <c r="AK75" s="182"/>
      <c r="AL75" s="182"/>
      <c r="AM75" s="477" t="e">
        <f t="shared" si="44"/>
        <v>#N/A</v>
      </c>
      <c r="AN75" s="674"/>
      <c r="AO75" s="182"/>
      <c r="AP75" s="182"/>
      <c r="AQ75" s="182"/>
      <c r="AR75" s="477" t="e">
        <f t="shared" si="46"/>
        <v>#N/A</v>
      </c>
      <c r="AS75" s="674"/>
      <c r="AT75" s="182"/>
      <c r="AU75" s="182"/>
      <c r="AV75" s="182"/>
      <c r="AW75" s="477" t="e">
        <f t="shared" si="48"/>
        <v>#N/A</v>
      </c>
      <c r="AX75" s="674"/>
    </row>
    <row r="76" spans="2:50">
      <c r="B76" s="660"/>
      <c r="C76" s="309">
        <v>10</v>
      </c>
      <c r="D76" s="227"/>
      <c r="E76" s="182"/>
      <c r="F76" s="514"/>
      <c r="G76" s="515"/>
      <c r="H76" s="702"/>
      <c r="I76" s="488"/>
      <c r="J76" s="488"/>
      <c r="K76" s="200"/>
      <c r="L76" s="634"/>
      <c r="M76" s="201" t="e">
        <f>RANK(K76, K$67:$K$81)</f>
        <v>#DIV/0!</v>
      </c>
      <c r="N76" s="652"/>
      <c r="O76" s="652"/>
      <c r="P76" s="182"/>
      <c r="Q76" s="182"/>
      <c r="R76" s="182"/>
      <c r="S76" s="340" t="e">
        <f t="shared" si="53"/>
        <v>#N/A</v>
      </c>
      <c r="T76" s="674"/>
      <c r="U76" s="182"/>
      <c r="V76" s="182"/>
      <c r="W76" s="182"/>
      <c r="X76" s="477" t="e">
        <f t="shared" si="38"/>
        <v>#N/A</v>
      </c>
      <c r="Y76" s="674"/>
      <c r="Z76" s="182"/>
      <c r="AA76" s="182"/>
      <c r="AB76" s="182"/>
      <c r="AC76" s="477" t="e">
        <f t="shared" si="40"/>
        <v>#N/A</v>
      </c>
      <c r="AD76" s="674"/>
      <c r="AE76" s="182"/>
      <c r="AF76" s="182"/>
      <c r="AG76" s="182"/>
      <c r="AH76" s="477" t="e">
        <f t="shared" si="42"/>
        <v>#N/A</v>
      </c>
      <c r="AI76" s="674"/>
      <c r="AJ76" s="182"/>
      <c r="AK76" s="182"/>
      <c r="AL76" s="182"/>
      <c r="AM76" s="477" t="e">
        <f t="shared" si="44"/>
        <v>#N/A</v>
      </c>
      <c r="AN76" s="674"/>
      <c r="AO76" s="182"/>
      <c r="AP76" s="182"/>
      <c r="AQ76" s="182"/>
      <c r="AR76" s="477" t="e">
        <f t="shared" si="46"/>
        <v>#N/A</v>
      </c>
      <c r="AS76" s="674"/>
      <c r="AT76" s="182"/>
      <c r="AU76" s="182"/>
      <c r="AV76" s="182"/>
      <c r="AW76" s="477" t="e">
        <f t="shared" si="48"/>
        <v>#N/A</v>
      </c>
      <c r="AX76" s="674"/>
    </row>
    <row r="77" spans="2:50">
      <c r="B77" s="660"/>
      <c r="C77" s="309">
        <v>11</v>
      </c>
      <c r="D77" s="227"/>
      <c r="E77" s="182"/>
      <c r="F77" s="514"/>
      <c r="G77" s="515"/>
      <c r="H77" s="702"/>
      <c r="I77" s="202"/>
      <c r="J77" s="202"/>
      <c r="K77" s="202"/>
      <c r="L77" s="634"/>
      <c r="M77" s="201" t="e">
        <f>RANK(K77, K$67:$K$81)</f>
        <v>#DIV/0!</v>
      </c>
      <c r="N77" s="652"/>
      <c r="O77" s="652"/>
      <c r="P77" s="182"/>
      <c r="Q77" s="182"/>
      <c r="R77" s="182"/>
      <c r="S77" s="340" t="e">
        <f t="shared" si="53"/>
        <v>#N/A</v>
      </c>
      <c r="T77" s="674"/>
      <c r="U77" s="182"/>
      <c r="V77" s="182"/>
      <c r="W77" s="182"/>
      <c r="X77" s="477" t="e">
        <f t="shared" si="38"/>
        <v>#N/A</v>
      </c>
      <c r="Y77" s="674"/>
      <c r="Z77" s="182"/>
      <c r="AA77" s="182"/>
      <c r="AB77" s="182"/>
      <c r="AC77" s="477" t="e">
        <f t="shared" si="40"/>
        <v>#N/A</v>
      </c>
      <c r="AD77" s="674"/>
      <c r="AE77" s="182"/>
      <c r="AF77" s="182"/>
      <c r="AG77" s="182"/>
      <c r="AH77" s="477" t="e">
        <f t="shared" si="42"/>
        <v>#N/A</v>
      </c>
      <c r="AI77" s="674"/>
      <c r="AJ77" s="182"/>
      <c r="AK77" s="182"/>
      <c r="AL77" s="182"/>
      <c r="AM77" s="477" t="e">
        <f t="shared" si="44"/>
        <v>#N/A</v>
      </c>
      <c r="AN77" s="674"/>
      <c r="AO77" s="182"/>
      <c r="AP77" s="182"/>
      <c r="AQ77" s="182"/>
      <c r="AR77" s="477" t="e">
        <f t="shared" si="46"/>
        <v>#N/A</v>
      </c>
      <c r="AS77" s="674"/>
      <c r="AT77" s="182"/>
      <c r="AU77" s="182"/>
      <c r="AV77" s="182"/>
      <c r="AW77" s="477" t="e">
        <f t="shared" si="48"/>
        <v>#N/A</v>
      </c>
      <c r="AX77" s="674"/>
    </row>
    <row r="78" spans="2:50">
      <c r="B78" s="660"/>
      <c r="C78" s="309">
        <v>12</v>
      </c>
      <c r="D78" s="227"/>
      <c r="E78" s="182"/>
      <c r="F78" s="514"/>
      <c r="G78" s="515"/>
      <c r="H78" s="702"/>
      <c r="I78" s="202"/>
      <c r="J78" s="202"/>
      <c r="K78" s="202"/>
      <c r="L78" s="634"/>
      <c r="M78" s="201" t="e">
        <f>RANK(K78, K$67:$K$81)</f>
        <v>#DIV/0!</v>
      </c>
      <c r="N78" s="652"/>
      <c r="O78" s="652"/>
      <c r="P78" s="182"/>
      <c r="Q78" s="182"/>
      <c r="R78" s="182"/>
      <c r="S78" s="340" t="e">
        <f t="shared" si="53"/>
        <v>#N/A</v>
      </c>
      <c r="T78" s="674"/>
      <c r="U78" s="182"/>
      <c r="V78" s="182"/>
      <c r="W78" s="182"/>
      <c r="X78" s="477" t="e">
        <f t="shared" si="38"/>
        <v>#N/A</v>
      </c>
      <c r="Y78" s="674"/>
      <c r="Z78" s="182"/>
      <c r="AA78" s="182"/>
      <c r="AB78" s="182"/>
      <c r="AC78" s="477" t="e">
        <f t="shared" si="40"/>
        <v>#N/A</v>
      </c>
      <c r="AD78" s="674"/>
      <c r="AE78" s="182"/>
      <c r="AF78" s="182"/>
      <c r="AG78" s="182"/>
      <c r="AH78" s="477" t="e">
        <f t="shared" si="42"/>
        <v>#N/A</v>
      </c>
      <c r="AI78" s="674"/>
      <c r="AJ78" s="182"/>
      <c r="AK78" s="182"/>
      <c r="AL78" s="182"/>
      <c r="AM78" s="477" t="e">
        <f t="shared" si="44"/>
        <v>#N/A</v>
      </c>
      <c r="AN78" s="674"/>
      <c r="AO78" s="182"/>
      <c r="AP78" s="182"/>
      <c r="AQ78" s="182"/>
      <c r="AR78" s="477" t="e">
        <f t="shared" si="46"/>
        <v>#N/A</v>
      </c>
      <c r="AS78" s="674"/>
      <c r="AT78" s="182"/>
      <c r="AU78" s="182"/>
      <c r="AV78" s="182"/>
      <c r="AW78" s="477" t="e">
        <f t="shared" si="48"/>
        <v>#N/A</v>
      </c>
      <c r="AX78" s="674"/>
    </row>
    <row r="79" spans="2:50">
      <c r="B79" s="660"/>
      <c r="C79" s="309">
        <v>13</v>
      </c>
      <c r="D79" s="227"/>
      <c r="E79" s="182"/>
      <c r="F79" s="514"/>
      <c r="G79" s="515"/>
      <c r="H79" s="702"/>
      <c r="I79" s="202"/>
      <c r="J79" s="202"/>
      <c r="K79" s="202"/>
      <c r="L79" s="634"/>
      <c r="M79" s="201" t="e">
        <f>RANK(K79, K$67:$K$81)</f>
        <v>#DIV/0!</v>
      </c>
      <c r="N79" s="652"/>
      <c r="O79" s="652"/>
      <c r="P79" s="182"/>
      <c r="Q79" s="182"/>
      <c r="R79" s="182"/>
      <c r="S79" s="340" t="e">
        <f t="shared" si="53"/>
        <v>#N/A</v>
      </c>
      <c r="T79" s="674"/>
      <c r="U79" s="182"/>
      <c r="V79" s="182"/>
      <c r="W79" s="182"/>
      <c r="X79" s="477" t="e">
        <f t="shared" si="38"/>
        <v>#N/A</v>
      </c>
      <c r="Y79" s="674"/>
      <c r="Z79" s="182"/>
      <c r="AA79" s="182"/>
      <c r="AB79" s="182"/>
      <c r="AC79" s="477" t="e">
        <f t="shared" si="40"/>
        <v>#N/A</v>
      </c>
      <c r="AD79" s="674"/>
      <c r="AE79" s="182"/>
      <c r="AF79" s="182"/>
      <c r="AG79" s="182"/>
      <c r="AH79" s="477" t="e">
        <f t="shared" si="42"/>
        <v>#N/A</v>
      </c>
      <c r="AI79" s="674"/>
      <c r="AJ79" s="182"/>
      <c r="AK79" s="182"/>
      <c r="AL79" s="182"/>
      <c r="AM79" s="477" t="e">
        <f t="shared" si="44"/>
        <v>#N/A</v>
      </c>
      <c r="AN79" s="674"/>
      <c r="AO79" s="182"/>
      <c r="AP79" s="182"/>
      <c r="AQ79" s="182"/>
      <c r="AR79" s="477" t="e">
        <f t="shared" si="46"/>
        <v>#N/A</v>
      </c>
      <c r="AS79" s="674"/>
      <c r="AT79" s="182"/>
      <c r="AU79" s="182"/>
      <c r="AV79" s="182"/>
      <c r="AW79" s="477" t="e">
        <f t="shared" si="48"/>
        <v>#N/A</v>
      </c>
      <c r="AX79" s="674"/>
    </row>
    <row r="80" spans="2:50">
      <c r="B80" s="660"/>
      <c r="C80" s="309">
        <v>14</v>
      </c>
      <c r="D80" s="227"/>
      <c r="E80" s="182"/>
      <c r="F80" s="514"/>
      <c r="G80" s="515"/>
      <c r="H80" s="702"/>
      <c r="I80" s="202"/>
      <c r="J80" s="202"/>
      <c r="K80" s="202"/>
      <c r="L80" s="634"/>
      <c r="M80" s="201" t="e">
        <f>RANK(K80, K$67:$K$81)</f>
        <v>#DIV/0!</v>
      </c>
      <c r="N80" s="652"/>
      <c r="O80" s="652"/>
      <c r="P80" s="182"/>
      <c r="Q80" s="182"/>
      <c r="R80" s="182"/>
      <c r="S80" s="340" t="e">
        <f t="shared" si="53"/>
        <v>#N/A</v>
      </c>
      <c r="T80" s="674"/>
      <c r="U80" s="182"/>
      <c r="V80" s="182"/>
      <c r="W80" s="182"/>
      <c r="X80" s="477" t="e">
        <f t="shared" si="38"/>
        <v>#N/A</v>
      </c>
      <c r="Y80" s="674"/>
      <c r="Z80" s="182"/>
      <c r="AA80" s="182"/>
      <c r="AB80" s="182"/>
      <c r="AC80" s="477" t="e">
        <f t="shared" si="40"/>
        <v>#N/A</v>
      </c>
      <c r="AD80" s="674"/>
      <c r="AE80" s="182"/>
      <c r="AF80" s="182"/>
      <c r="AG80" s="182"/>
      <c r="AH80" s="477" t="e">
        <f t="shared" si="42"/>
        <v>#N/A</v>
      </c>
      <c r="AI80" s="674"/>
      <c r="AJ80" s="182"/>
      <c r="AK80" s="182"/>
      <c r="AL80" s="182"/>
      <c r="AM80" s="477" t="e">
        <f t="shared" si="44"/>
        <v>#N/A</v>
      </c>
      <c r="AN80" s="674"/>
      <c r="AO80" s="182"/>
      <c r="AP80" s="182"/>
      <c r="AQ80" s="182"/>
      <c r="AR80" s="477" t="e">
        <f t="shared" si="46"/>
        <v>#N/A</v>
      </c>
      <c r="AS80" s="674"/>
      <c r="AT80" s="182"/>
      <c r="AU80" s="182"/>
      <c r="AV80" s="182"/>
      <c r="AW80" s="477" t="e">
        <f t="shared" si="48"/>
        <v>#N/A</v>
      </c>
      <c r="AX80" s="674"/>
    </row>
    <row r="81" spans="2:50">
      <c r="B81" s="660"/>
      <c r="C81" s="309">
        <v>15</v>
      </c>
      <c r="D81" s="227"/>
      <c r="E81" s="182"/>
      <c r="F81" s="514"/>
      <c r="G81" s="515"/>
      <c r="H81" s="703"/>
      <c r="I81" s="202"/>
      <c r="J81" s="202"/>
      <c r="K81" s="202"/>
      <c r="L81" s="635"/>
      <c r="M81" s="201" t="e">
        <f>RANK(K81, K$67:$K$81)</f>
        <v>#DIV/0!</v>
      </c>
      <c r="N81" s="652"/>
      <c r="O81" s="652"/>
      <c r="P81" s="182"/>
      <c r="Q81" s="182"/>
      <c r="R81" s="182"/>
      <c r="S81" s="340" t="e">
        <f t="shared" si="53"/>
        <v>#N/A</v>
      </c>
      <c r="T81" s="674"/>
      <c r="U81" s="182"/>
      <c r="V81" s="182"/>
      <c r="W81" s="182"/>
      <c r="X81" s="477" t="e">
        <f t="shared" si="38"/>
        <v>#N/A</v>
      </c>
      <c r="Y81" s="674"/>
      <c r="Z81" s="182"/>
      <c r="AA81" s="182"/>
      <c r="AB81" s="182"/>
      <c r="AC81" s="477" t="e">
        <f t="shared" si="40"/>
        <v>#N/A</v>
      </c>
      <c r="AD81" s="674"/>
      <c r="AE81" s="182"/>
      <c r="AF81" s="182"/>
      <c r="AG81" s="182"/>
      <c r="AH81" s="477" t="e">
        <f t="shared" si="42"/>
        <v>#N/A</v>
      </c>
      <c r="AI81" s="674"/>
      <c r="AJ81" s="182"/>
      <c r="AK81" s="182"/>
      <c r="AL81" s="182"/>
      <c r="AM81" s="477" t="e">
        <f t="shared" si="44"/>
        <v>#N/A</v>
      </c>
      <c r="AN81" s="674"/>
      <c r="AO81" s="182"/>
      <c r="AP81" s="182"/>
      <c r="AQ81" s="182"/>
      <c r="AR81" s="477" t="e">
        <f t="shared" si="46"/>
        <v>#N/A</v>
      </c>
      <c r="AS81" s="674"/>
      <c r="AT81" s="182"/>
      <c r="AU81" s="182"/>
      <c r="AV81" s="182"/>
      <c r="AW81" s="477" t="e">
        <f t="shared" si="48"/>
        <v>#N/A</v>
      </c>
      <c r="AX81" s="674"/>
    </row>
    <row r="82" spans="2:50" ht="15.75">
      <c r="B82" s="664" t="s">
        <v>163</v>
      </c>
      <c r="C82" s="665"/>
      <c r="D82" s="665"/>
      <c r="E82" s="665"/>
      <c r="F82" s="665"/>
      <c r="G82" s="665"/>
      <c r="H82" s="666"/>
      <c r="I82" s="208"/>
      <c r="J82" s="208"/>
      <c r="K82" s="208"/>
      <c r="L82" s="208"/>
      <c r="M82" s="207"/>
      <c r="N82" s="653" t="s">
        <v>156</v>
      </c>
      <c r="O82" s="653" t="s">
        <v>105</v>
      </c>
      <c r="P82" s="659">
        <f>P62+7</f>
        <v>46077</v>
      </c>
      <c r="Q82" s="660"/>
      <c r="R82" s="660"/>
      <c r="S82" s="660"/>
      <c r="T82" s="660"/>
      <c r="U82" s="656">
        <f>P82+1</f>
        <v>46078</v>
      </c>
      <c r="V82" s="657"/>
      <c r="W82" s="657"/>
      <c r="X82" s="657"/>
      <c r="Y82" s="658"/>
      <c r="Z82" s="656">
        <f>U82+1</f>
        <v>46079</v>
      </c>
      <c r="AA82" s="657"/>
      <c r="AB82" s="657"/>
      <c r="AC82" s="657"/>
      <c r="AD82" s="658"/>
      <c r="AE82" s="656">
        <f>Z82+1</f>
        <v>46080</v>
      </c>
      <c r="AF82" s="657"/>
      <c r="AG82" s="657"/>
      <c r="AH82" s="657"/>
      <c r="AI82" s="658"/>
      <c r="AJ82" s="656">
        <f>AE82+1</f>
        <v>46081</v>
      </c>
      <c r="AK82" s="657"/>
      <c r="AL82" s="657"/>
      <c r="AM82" s="657"/>
      <c r="AN82" s="658"/>
      <c r="AO82" s="656">
        <f>AJ82+1</f>
        <v>46082</v>
      </c>
      <c r="AP82" s="657"/>
      <c r="AQ82" s="657"/>
      <c r="AR82" s="657"/>
      <c r="AS82" s="658"/>
      <c r="AT82" s="656">
        <f>AO82+1</f>
        <v>46083</v>
      </c>
      <c r="AU82" s="657"/>
      <c r="AV82" s="657"/>
      <c r="AW82" s="657"/>
      <c r="AX82" s="658"/>
    </row>
    <row r="83" spans="2:50" ht="15.75">
      <c r="B83" s="667"/>
      <c r="C83" s="667"/>
      <c r="D83" s="667"/>
      <c r="E83" s="667"/>
      <c r="F83" s="667"/>
      <c r="G83" s="667"/>
      <c r="H83" s="667"/>
      <c r="I83" s="205"/>
      <c r="J83" s="205"/>
      <c r="K83" s="205"/>
      <c r="L83" s="205"/>
      <c r="M83" s="206"/>
      <c r="N83" s="655"/>
      <c r="O83" s="655"/>
      <c r="P83" s="659" t="s">
        <v>336</v>
      </c>
      <c r="Q83" s="660"/>
      <c r="R83" s="660"/>
      <c r="S83" s="660"/>
      <c r="T83" s="660"/>
      <c r="U83" s="659" t="s">
        <v>337</v>
      </c>
      <c r="V83" s="660"/>
      <c r="W83" s="660"/>
      <c r="X83" s="660"/>
      <c r="Y83" s="660"/>
      <c r="Z83" s="659" t="s">
        <v>338</v>
      </c>
      <c r="AA83" s="660"/>
      <c r="AB83" s="660"/>
      <c r="AC83" s="660"/>
      <c r="AD83" s="660"/>
      <c r="AE83" s="659" t="s">
        <v>339</v>
      </c>
      <c r="AF83" s="660"/>
      <c r="AG83" s="660"/>
      <c r="AH83" s="660"/>
      <c r="AI83" s="660"/>
      <c r="AJ83" s="659" t="s">
        <v>340</v>
      </c>
      <c r="AK83" s="660"/>
      <c r="AL83" s="660"/>
      <c r="AM83" s="660"/>
      <c r="AN83" s="660"/>
      <c r="AO83" s="659" t="s">
        <v>341</v>
      </c>
      <c r="AP83" s="660"/>
      <c r="AQ83" s="660"/>
      <c r="AR83" s="660"/>
      <c r="AS83" s="660"/>
      <c r="AT83" s="659" t="s">
        <v>342</v>
      </c>
      <c r="AU83" s="660"/>
      <c r="AV83" s="660"/>
      <c r="AW83" s="660"/>
      <c r="AX83" s="660"/>
    </row>
    <row r="84" spans="2:50">
      <c r="B84" s="652" t="s">
        <v>472</v>
      </c>
      <c r="C84" s="652" t="s">
        <v>473</v>
      </c>
      <c r="D84" s="652"/>
      <c r="E84" s="652" t="s">
        <v>474</v>
      </c>
      <c r="F84" s="652"/>
      <c r="G84" s="652"/>
      <c r="H84" s="668" t="s">
        <v>475</v>
      </c>
      <c r="I84" s="636" t="s">
        <v>476</v>
      </c>
      <c r="J84" s="636"/>
      <c r="K84" s="636"/>
      <c r="L84" s="637" t="s">
        <v>475</v>
      </c>
      <c r="M84" s="643" t="s">
        <v>477</v>
      </c>
      <c r="N84" s="652"/>
      <c r="O84" s="652" t="s">
        <v>478</v>
      </c>
      <c r="P84" s="649" t="s">
        <v>479</v>
      </c>
      <c r="Q84" s="650"/>
      <c r="R84" s="650"/>
      <c r="S84" s="651"/>
      <c r="T84" s="652" t="s">
        <v>475</v>
      </c>
      <c r="U84" s="649" t="s">
        <v>479</v>
      </c>
      <c r="V84" s="650"/>
      <c r="W84" s="650"/>
      <c r="X84" s="651"/>
      <c r="Y84" s="652" t="s">
        <v>475</v>
      </c>
      <c r="Z84" s="649" t="s">
        <v>479</v>
      </c>
      <c r="AA84" s="650"/>
      <c r="AB84" s="650"/>
      <c r="AC84" s="651"/>
      <c r="AD84" s="652" t="s">
        <v>475</v>
      </c>
      <c r="AE84" s="649" t="s">
        <v>479</v>
      </c>
      <c r="AF84" s="650"/>
      <c r="AG84" s="650"/>
      <c r="AH84" s="651"/>
      <c r="AI84" s="652" t="s">
        <v>475</v>
      </c>
      <c r="AJ84" s="649" t="s">
        <v>479</v>
      </c>
      <c r="AK84" s="650"/>
      <c r="AL84" s="650"/>
      <c r="AM84" s="651"/>
      <c r="AN84" s="652" t="s">
        <v>475</v>
      </c>
      <c r="AO84" s="649" t="s">
        <v>479</v>
      </c>
      <c r="AP84" s="650"/>
      <c r="AQ84" s="650"/>
      <c r="AR84" s="651"/>
      <c r="AS84" s="652" t="s">
        <v>475</v>
      </c>
      <c r="AT84" s="649" t="s">
        <v>479</v>
      </c>
      <c r="AU84" s="650"/>
      <c r="AV84" s="650"/>
      <c r="AW84" s="651"/>
      <c r="AX84" s="652" t="s">
        <v>475</v>
      </c>
    </row>
    <row r="85" spans="2:50">
      <c r="B85" s="652"/>
      <c r="C85" s="652"/>
      <c r="D85" s="652"/>
      <c r="E85" s="652" t="s">
        <v>480</v>
      </c>
      <c r="F85" s="652"/>
      <c r="G85" s="652"/>
      <c r="H85" s="669"/>
      <c r="I85" s="636" t="s">
        <v>480</v>
      </c>
      <c r="J85" s="636"/>
      <c r="K85" s="636"/>
      <c r="L85" s="638"/>
      <c r="M85" s="644"/>
      <c r="N85" s="652"/>
      <c r="O85" s="652"/>
      <c r="P85" s="649" t="s">
        <v>481</v>
      </c>
      <c r="Q85" s="650"/>
      <c r="R85" s="650"/>
      <c r="S85" s="651"/>
      <c r="T85" s="652"/>
      <c r="U85" s="649" t="s">
        <v>481</v>
      </c>
      <c r="V85" s="650"/>
      <c r="W85" s="650"/>
      <c r="X85" s="651"/>
      <c r="Y85" s="652"/>
      <c r="Z85" s="649" t="s">
        <v>481</v>
      </c>
      <c r="AA85" s="650"/>
      <c r="AB85" s="650"/>
      <c r="AC85" s="651"/>
      <c r="AD85" s="652"/>
      <c r="AE85" s="649" t="s">
        <v>481</v>
      </c>
      <c r="AF85" s="650"/>
      <c r="AG85" s="650"/>
      <c r="AH85" s="651"/>
      <c r="AI85" s="652"/>
      <c r="AJ85" s="649" t="s">
        <v>481</v>
      </c>
      <c r="AK85" s="650"/>
      <c r="AL85" s="650"/>
      <c r="AM85" s="651"/>
      <c r="AN85" s="652"/>
      <c r="AO85" s="649" t="s">
        <v>481</v>
      </c>
      <c r="AP85" s="650"/>
      <c r="AQ85" s="650"/>
      <c r="AR85" s="651"/>
      <c r="AS85" s="652"/>
      <c r="AT85" s="649" t="s">
        <v>481</v>
      </c>
      <c r="AU85" s="650"/>
      <c r="AV85" s="650"/>
      <c r="AW85" s="651"/>
      <c r="AX85" s="652"/>
    </row>
    <row r="86" spans="2:50">
      <c r="B86" s="652"/>
      <c r="C86" s="652"/>
      <c r="D86" s="652"/>
      <c r="E86" s="302" t="s">
        <v>482</v>
      </c>
      <c r="F86" s="302" t="s">
        <v>483</v>
      </c>
      <c r="G86" s="302" t="s">
        <v>484</v>
      </c>
      <c r="H86" s="670"/>
      <c r="I86" s="303" t="s">
        <v>482</v>
      </c>
      <c r="J86" s="303" t="s">
        <v>483</v>
      </c>
      <c r="K86" s="303" t="s">
        <v>484</v>
      </c>
      <c r="L86" s="639"/>
      <c r="M86" s="645"/>
      <c r="N86" s="652"/>
      <c r="O86" s="652"/>
      <c r="P86" s="302" t="s">
        <v>482</v>
      </c>
      <c r="Q86" s="302" t="s">
        <v>483</v>
      </c>
      <c r="R86" s="302" t="s">
        <v>484</v>
      </c>
      <c r="S86" s="302" t="s">
        <v>477</v>
      </c>
      <c r="T86" s="652"/>
      <c r="U86" s="302" t="s">
        <v>482</v>
      </c>
      <c r="V86" s="302" t="s">
        <v>483</v>
      </c>
      <c r="W86" s="302" t="s">
        <v>484</v>
      </c>
      <c r="X86" s="302" t="s">
        <v>477</v>
      </c>
      <c r="Y86" s="652"/>
      <c r="Z86" s="302" t="s">
        <v>482</v>
      </c>
      <c r="AA86" s="302" t="s">
        <v>483</v>
      </c>
      <c r="AB86" s="302" t="s">
        <v>484</v>
      </c>
      <c r="AC86" s="302" t="s">
        <v>477</v>
      </c>
      <c r="AD86" s="652"/>
      <c r="AE86" s="302" t="s">
        <v>482</v>
      </c>
      <c r="AF86" s="302" t="s">
        <v>483</v>
      </c>
      <c r="AG86" s="302" t="s">
        <v>484</v>
      </c>
      <c r="AH86" s="302" t="s">
        <v>477</v>
      </c>
      <c r="AI86" s="652"/>
      <c r="AJ86" s="302" t="s">
        <v>482</v>
      </c>
      <c r="AK86" s="302" t="s">
        <v>483</v>
      </c>
      <c r="AL86" s="302" t="s">
        <v>484</v>
      </c>
      <c r="AM86" s="302" t="s">
        <v>477</v>
      </c>
      <c r="AN86" s="652"/>
      <c r="AO86" s="302" t="s">
        <v>482</v>
      </c>
      <c r="AP86" s="302" t="s">
        <v>483</v>
      </c>
      <c r="AQ86" s="302" t="s">
        <v>484</v>
      </c>
      <c r="AR86" s="302" t="s">
        <v>477</v>
      </c>
      <c r="AS86" s="652"/>
      <c r="AT86" s="302" t="s">
        <v>482</v>
      </c>
      <c r="AU86" s="302" t="s">
        <v>483</v>
      </c>
      <c r="AV86" s="302" t="s">
        <v>484</v>
      </c>
      <c r="AW86" s="302" t="s">
        <v>477</v>
      </c>
      <c r="AX86" s="652"/>
    </row>
    <row r="87" spans="2:50">
      <c r="B87" s="652" t="s">
        <v>489</v>
      </c>
      <c r="C87" s="301">
        <v>1</v>
      </c>
      <c r="D87" s="227"/>
      <c r="E87" s="182"/>
      <c r="F87" s="514"/>
      <c r="G87" s="515"/>
      <c r="H87" s="701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33" t="str">
        <f>IFERROR(AVERAGE(K87:K101),"-")</f>
        <v>-</v>
      </c>
      <c r="M87" s="201" t="e">
        <f>RANK(K87, K$87:$K$101)</f>
        <v>#DIV/0!</v>
      </c>
      <c r="N87" s="652"/>
      <c r="O87" s="652"/>
      <c r="P87" s="182"/>
      <c r="Q87" s="182"/>
      <c r="R87" s="182"/>
      <c r="S87" s="301" t="e">
        <f>RANK(R87, R$87:R$101)</f>
        <v>#N/A</v>
      </c>
      <c r="T87" s="674" t="e">
        <f>AVERAGE(R87:R101)</f>
        <v>#DIV/0!</v>
      </c>
      <c r="U87" s="182"/>
      <c r="V87" s="182"/>
      <c r="W87" s="182"/>
      <c r="X87" s="477" t="e">
        <f t="shared" ref="X87:X101" si="54">RANK(W87, W$87:W$101)</f>
        <v>#N/A</v>
      </c>
      <c r="Y87" s="674" t="e">
        <f t="shared" ref="Y87" si="55">AVERAGE(W87:W101)</f>
        <v>#DIV/0!</v>
      </c>
      <c r="Z87" s="182"/>
      <c r="AA87" s="182"/>
      <c r="AB87" s="182"/>
      <c r="AC87" s="477" t="e">
        <f t="shared" ref="AC87:AC101" si="56">RANK(AB87, AB$87:AB$101)</f>
        <v>#N/A</v>
      </c>
      <c r="AD87" s="674" t="e">
        <f t="shared" ref="AD87" si="57">AVERAGE(AB87:AB101)</f>
        <v>#DIV/0!</v>
      </c>
      <c r="AE87" s="182"/>
      <c r="AF87" s="182"/>
      <c r="AG87" s="182"/>
      <c r="AH87" s="477" t="e">
        <f t="shared" ref="AH87:AH101" si="58">RANK(AG87, AG$87:AG$101)</f>
        <v>#N/A</v>
      </c>
      <c r="AI87" s="674" t="e">
        <f t="shared" ref="AI87" si="59">AVERAGE(AG87:AG101)</f>
        <v>#DIV/0!</v>
      </c>
      <c r="AJ87" s="182"/>
      <c r="AK87" s="182"/>
      <c r="AL87" s="182"/>
      <c r="AM87" s="477" t="e">
        <f t="shared" ref="AM87:AM101" si="60">RANK(AL87, AL$87:AL$101)</f>
        <v>#N/A</v>
      </c>
      <c r="AN87" s="674" t="e">
        <f t="shared" ref="AN87" si="61">AVERAGE(AL87:AL101)</f>
        <v>#DIV/0!</v>
      </c>
      <c r="AO87" s="182"/>
      <c r="AP87" s="182"/>
      <c r="AQ87" s="182"/>
      <c r="AR87" s="477" t="e">
        <f t="shared" ref="AR87:AR101" si="62">RANK(AQ87, AQ$87:AQ$101)</f>
        <v>#N/A</v>
      </c>
      <c r="AS87" s="674" t="e">
        <f t="shared" ref="AS87" si="63">AVERAGE(AQ87:AQ101)</f>
        <v>#DIV/0!</v>
      </c>
      <c r="AT87" s="182"/>
      <c r="AU87" s="182"/>
      <c r="AV87" s="182"/>
      <c r="AW87" s="477" t="e">
        <f t="shared" ref="AW87:AW101" si="64">RANK(AV87, AV$87:AV$101)</f>
        <v>#N/A</v>
      </c>
      <c r="AX87" s="674" t="e">
        <f t="shared" ref="AX87" si="65">AVERAGE(AV87:AV101)</f>
        <v>#DIV/0!</v>
      </c>
    </row>
    <row r="88" spans="2:50">
      <c r="B88" s="660"/>
      <c r="C88" s="301">
        <v>2</v>
      </c>
      <c r="D88" s="227"/>
      <c r="E88" s="182"/>
      <c r="F88" s="514"/>
      <c r="G88" s="515"/>
      <c r="H88" s="702"/>
      <c r="I88" s="199" t="e">
        <f t="shared" ref="I88:K92" si="66">AVERAGE(P88,U88,Z88,AE88,AJ88,AO88,AT88)</f>
        <v>#DIV/0!</v>
      </c>
      <c r="J88" s="199" t="e">
        <f t="shared" si="66"/>
        <v>#DIV/0!</v>
      </c>
      <c r="K88" s="200" t="e">
        <f t="shared" si="66"/>
        <v>#DIV/0!</v>
      </c>
      <c r="L88" s="634"/>
      <c r="M88" s="201" t="e">
        <f>RANK(K88, K$87:$K$101)</f>
        <v>#DIV/0!</v>
      </c>
      <c r="N88" s="652"/>
      <c r="O88" s="652"/>
      <c r="P88" s="182"/>
      <c r="Q88" s="182"/>
      <c r="R88" s="182"/>
      <c r="S88" s="301" t="e">
        <f t="shared" ref="S88:S101" si="67">RANK(R88, R$87:R$101)</f>
        <v>#N/A</v>
      </c>
      <c r="T88" s="674"/>
      <c r="U88" s="182"/>
      <c r="V88" s="182"/>
      <c r="W88" s="182"/>
      <c r="X88" s="477" t="e">
        <f t="shared" si="54"/>
        <v>#N/A</v>
      </c>
      <c r="Y88" s="674"/>
      <c r="Z88" s="182"/>
      <c r="AA88" s="182"/>
      <c r="AB88" s="182"/>
      <c r="AC88" s="477" t="e">
        <f t="shared" si="56"/>
        <v>#N/A</v>
      </c>
      <c r="AD88" s="674"/>
      <c r="AE88" s="182"/>
      <c r="AF88" s="182"/>
      <c r="AG88" s="182"/>
      <c r="AH88" s="477" t="e">
        <f t="shared" si="58"/>
        <v>#N/A</v>
      </c>
      <c r="AI88" s="674"/>
      <c r="AJ88" s="182"/>
      <c r="AK88" s="182"/>
      <c r="AL88" s="182"/>
      <c r="AM88" s="477" t="e">
        <f t="shared" si="60"/>
        <v>#N/A</v>
      </c>
      <c r="AN88" s="674"/>
      <c r="AO88" s="182"/>
      <c r="AP88" s="182"/>
      <c r="AQ88" s="182"/>
      <c r="AR88" s="477" t="e">
        <f t="shared" si="62"/>
        <v>#N/A</v>
      </c>
      <c r="AS88" s="674"/>
      <c r="AT88" s="182"/>
      <c r="AU88" s="182"/>
      <c r="AV88" s="182"/>
      <c r="AW88" s="477" t="e">
        <f t="shared" si="64"/>
        <v>#N/A</v>
      </c>
      <c r="AX88" s="674"/>
    </row>
    <row r="89" spans="2:50">
      <c r="B89" s="660"/>
      <c r="C89" s="301">
        <v>3</v>
      </c>
      <c r="D89" s="227"/>
      <c r="E89" s="182"/>
      <c r="F89" s="514"/>
      <c r="G89" s="515"/>
      <c r="H89" s="702"/>
      <c r="I89" s="199" t="e">
        <f t="shared" si="66"/>
        <v>#DIV/0!</v>
      </c>
      <c r="J89" s="199" t="e">
        <f t="shared" si="66"/>
        <v>#DIV/0!</v>
      </c>
      <c r="K89" s="200" t="e">
        <f t="shared" si="66"/>
        <v>#DIV/0!</v>
      </c>
      <c r="L89" s="634"/>
      <c r="M89" s="201" t="e">
        <f>RANK(K89, K$87:$K$101)</f>
        <v>#DIV/0!</v>
      </c>
      <c r="N89" s="652"/>
      <c r="O89" s="652"/>
      <c r="P89" s="182"/>
      <c r="Q89" s="182"/>
      <c r="R89" s="182"/>
      <c r="S89" s="301" t="e">
        <f t="shared" si="67"/>
        <v>#N/A</v>
      </c>
      <c r="T89" s="674"/>
      <c r="U89" s="182"/>
      <c r="V89" s="182"/>
      <c r="W89" s="182"/>
      <c r="X89" s="477" t="e">
        <f t="shared" si="54"/>
        <v>#N/A</v>
      </c>
      <c r="Y89" s="674"/>
      <c r="Z89" s="182"/>
      <c r="AA89" s="182"/>
      <c r="AB89" s="182"/>
      <c r="AC89" s="477" t="e">
        <f t="shared" si="56"/>
        <v>#N/A</v>
      </c>
      <c r="AD89" s="674"/>
      <c r="AE89" s="182"/>
      <c r="AF89" s="182"/>
      <c r="AG89" s="182"/>
      <c r="AH89" s="477" t="e">
        <f t="shared" si="58"/>
        <v>#N/A</v>
      </c>
      <c r="AI89" s="674"/>
      <c r="AJ89" s="182"/>
      <c r="AK89" s="182"/>
      <c r="AL89" s="182"/>
      <c r="AM89" s="477" t="e">
        <f t="shared" si="60"/>
        <v>#N/A</v>
      </c>
      <c r="AN89" s="674"/>
      <c r="AO89" s="182"/>
      <c r="AP89" s="182"/>
      <c r="AQ89" s="182"/>
      <c r="AR89" s="477" t="e">
        <f t="shared" si="62"/>
        <v>#N/A</v>
      </c>
      <c r="AS89" s="674"/>
      <c r="AT89" s="182"/>
      <c r="AU89" s="182"/>
      <c r="AV89" s="182"/>
      <c r="AW89" s="477" t="e">
        <f t="shared" si="64"/>
        <v>#N/A</v>
      </c>
      <c r="AX89" s="674"/>
    </row>
    <row r="90" spans="2:50">
      <c r="B90" s="660"/>
      <c r="C90" s="301">
        <v>4</v>
      </c>
      <c r="D90" s="227"/>
      <c r="E90" s="182"/>
      <c r="F90" s="514"/>
      <c r="G90" s="515"/>
      <c r="H90" s="702"/>
      <c r="I90" s="199" t="e">
        <f t="shared" si="66"/>
        <v>#DIV/0!</v>
      </c>
      <c r="J90" s="199" t="e">
        <f t="shared" si="66"/>
        <v>#DIV/0!</v>
      </c>
      <c r="K90" s="200" t="e">
        <f t="shared" si="66"/>
        <v>#DIV/0!</v>
      </c>
      <c r="L90" s="634"/>
      <c r="M90" s="201" t="e">
        <f>RANK(K90, K$87:$K$101)</f>
        <v>#DIV/0!</v>
      </c>
      <c r="N90" s="652"/>
      <c r="O90" s="652"/>
      <c r="P90" s="182"/>
      <c r="Q90" s="182"/>
      <c r="R90" s="182"/>
      <c r="S90" s="301" t="e">
        <f t="shared" si="67"/>
        <v>#N/A</v>
      </c>
      <c r="T90" s="674"/>
      <c r="U90" s="182"/>
      <c r="V90" s="182"/>
      <c r="W90" s="182"/>
      <c r="X90" s="477" t="e">
        <f t="shared" si="54"/>
        <v>#N/A</v>
      </c>
      <c r="Y90" s="674"/>
      <c r="Z90" s="182"/>
      <c r="AA90" s="182"/>
      <c r="AB90" s="182"/>
      <c r="AC90" s="477" t="e">
        <f t="shared" si="56"/>
        <v>#N/A</v>
      </c>
      <c r="AD90" s="674"/>
      <c r="AE90" s="182"/>
      <c r="AF90" s="182"/>
      <c r="AG90" s="182"/>
      <c r="AH90" s="477" t="e">
        <f t="shared" si="58"/>
        <v>#N/A</v>
      </c>
      <c r="AI90" s="674"/>
      <c r="AJ90" s="182"/>
      <c r="AK90" s="182"/>
      <c r="AL90" s="182"/>
      <c r="AM90" s="477" t="e">
        <f t="shared" si="60"/>
        <v>#N/A</v>
      </c>
      <c r="AN90" s="674"/>
      <c r="AO90" s="182"/>
      <c r="AP90" s="182"/>
      <c r="AQ90" s="182"/>
      <c r="AR90" s="477" t="e">
        <f t="shared" si="62"/>
        <v>#N/A</v>
      </c>
      <c r="AS90" s="674"/>
      <c r="AT90" s="182"/>
      <c r="AU90" s="182"/>
      <c r="AV90" s="182"/>
      <c r="AW90" s="477" t="e">
        <f t="shared" si="64"/>
        <v>#N/A</v>
      </c>
      <c r="AX90" s="674"/>
    </row>
    <row r="91" spans="2:50">
      <c r="B91" s="660"/>
      <c r="C91" s="301">
        <v>5</v>
      </c>
      <c r="D91" s="227"/>
      <c r="E91" s="182"/>
      <c r="F91" s="514"/>
      <c r="G91" s="515"/>
      <c r="H91" s="702"/>
      <c r="I91" s="199" t="e">
        <f t="shared" si="66"/>
        <v>#DIV/0!</v>
      </c>
      <c r="J91" s="199" t="e">
        <f t="shared" si="66"/>
        <v>#DIV/0!</v>
      </c>
      <c r="K91" s="200" t="e">
        <f t="shared" si="66"/>
        <v>#DIV/0!</v>
      </c>
      <c r="L91" s="634"/>
      <c r="M91" s="201" t="e">
        <f>RANK(K91, K$87:$K$101)</f>
        <v>#DIV/0!</v>
      </c>
      <c r="N91" s="652"/>
      <c r="O91" s="652"/>
      <c r="P91" s="182"/>
      <c r="Q91" s="182"/>
      <c r="R91" s="182"/>
      <c r="S91" s="301" t="e">
        <f t="shared" si="67"/>
        <v>#N/A</v>
      </c>
      <c r="T91" s="674"/>
      <c r="U91" s="182"/>
      <c r="V91" s="182"/>
      <c r="W91" s="182"/>
      <c r="X91" s="477" t="e">
        <f t="shared" si="54"/>
        <v>#N/A</v>
      </c>
      <c r="Y91" s="674"/>
      <c r="Z91" s="182"/>
      <c r="AA91" s="182"/>
      <c r="AB91" s="182"/>
      <c r="AC91" s="477" t="e">
        <f t="shared" si="56"/>
        <v>#N/A</v>
      </c>
      <c r="AD91" s="674"/>
      <c r="AE91" s="182"/>
      <c r="AF91" s="182"/>
      <c r="AG91" s="182"/>
      <c r="AH91" s="477" t="e">
        <f t="shared" si="58"/>
        <v>#N/A</v>
      </c>
      <c r="AI91" s="674"/>
      <c r="AJ91" s="182"/>
      <c r="AK91" s="182"/>
      <c r="AL91" s="182"/>
      <c r="AM91" s="477" t="e">
        <f t="shared" si="60"/>
        <v>#N/A</v>
      </c>
      <c r="AN91" s="674"/>
      <c r="AO91" s="182"/>
      <c r="AP91" s="182"/>
      <c r="AQ91" s="182"/>
      <c r="AR91" s="477" t="e">
        <f t="shared" si="62"/>
        <v>#N/A</v>
      </c>
      <c r="AS91" s="674"/>
      <c r="AT91" s="182"/>
      <c r="AU91" s="182"/>
      <c r="AV91" s="182"/>
      <c r="AW91" s="477" t="e">
        <f t="shared" si="64"/>
        <v>#N/A</v>
      </c>
      <c r="AX91" s="674"/>
    </row>
    <row r="92" spans="2:50">
      <c r="B92" s="660"/>
      <c r="C92" s="301">
        <v>6</v>
      </c>
      <c r="D92" s="227"/>
      <c r="E92" s="182"/>
      <c r="F92" s="514"/>
      <c r="G92" s="515"/>
      <c r="H92" s="702"/>
      <c r="I92" s="199" t="e">
        <f t="shared" si="66"/>
        <v>#DIV/0!</v>
      </c>
      <c r="J92" s="199" t="e">
        <f t="shared" si="66"/>
        <v>#DIV/0!</v>
      </c>
      <c r="K92" s="200" t="e">
        <f t="shared" si="66"/>
        <v>#DIV/0!</v>
      </c>
      <c r="L92" s="634"/>
      <c r="M92" s="201" t="e">
        <f>RANK(K92, K$87:$K$101)</f>
        <v>#DIV/0!</v>
      </c>
      <c r="N92" s="652"/>
      <c r="O92" s="652"/>
      <c r="P92" s="182"/>
      <c r="Q92" s="182"/>
      <c r="R92" s="182"/>
      <c r="S92" s="301" t="e">
        <f t="shared" si="67"/>
        <v>#N/A</v>
      </c>
      <c r="T92" s="674"/>
      <c r="U92" s="182"/>
      <c r="V92" s="182"/>
      <c r="W92" s="182"/>
      <c r="X92" s="477" t="e">
        <f t="shared" si="54"/>
        <v>#N/A</v>
      </c>
      <c r="Y92" s="674"/>
      <c r="Z92" s="182"/>
      <c r="AA92" s="182"/>
      <c r="AB92" s="182"/>
      <c r="AC92" s="477" t="e">
        <f t="shared" si="56"/>
        <v>#N/A</v>
      </c>
      <c r="AD92" s="674"/>
      <c r="AE92" s="182"/>
      <c r="AF92" s="182"/>
      <c r="AG92" s="182"/>
      <c r="AH92" s="477" t="e">
        <f t="shared" si="58"/>
        <v>#N/A</v>
      </c>
      <c r="AI92" s="674"/>
      <c r="AJ92" s="182"/>
      <c r="AK92" s="182"/>
      <c r="AL92" s="182"/>
      <c r="AM92" s="477" t="e">
        <f t="shared" si="60"/>
        <v>#N/A</v>
      </c>
      <c r="AN92" s="674"/>
      <c r="AO92" s="182"/>
      <c r="AP92" s="182"/>
      <c r="AQ92" s="182"/>
      <c r="AR92" s="477" t="e">
        <f t="shared" si="62"/>
        <v>#N/A</v>
      </c>
      <c r="AS92" s="674"/>
      <c r="AT92" s="182"/>
      <c r="AU92" s="182"/>
      <c r="AV92" s="182"/>
      <c r="AW92" s="477" t="e">
        <f t="shared" si="64"/>
        <v>#N/A</v>
      </c>
      <c r="AX92" s="674"/>
    </row>
    <row r="93" spans="2:50">
      <c r="B93" s="660"/>
      <c r="C93" s="301">
        <v>7</v>
      </c>
      <c r="D93" s="227"/>
      <c r="E93" s="182"/>
      <c r="F93" s="514"/>
      <c r="G93" s="515"/>
      <c r="H93" s="702"/>
      <c r="I93" s="199"/>
      <c r="J93" s="199"/>
      <c r="K93" s="200"/>
      <c r="L93" s="634"/>
      <c r="M93" s="201" t="e">
        <f>RANK(K93, K$87:$K$101)</f>
        <v>#DIV/0!</v>
      </c>
      <c r="N93" s="652"/>
      <c r="O93" s="652"/>
      <c r="P93" s="182"/>
      <c r="Q93" s="182"/>
      <c r="R93" s="182"/>
      <c r="S93" s="301" t="e">
        <f t="shared" si="67"/>
        <v>#N/A</v>
      </c>
      <c r="T93" s="674"/>
      <c r="U93" s="182"/>
      <c r="V93" s="182"/>
      <c r="W93" s="182"/>
      <c r="X93" s="477" t="e">
        <f t="shared" si="54"/>
        <v>#N/A</v>
      </c>
      <c r="Y93" s="674"/>
      <c r="Z93" s="182"/>
      <c r="AA93" s="182"/>
      <c r="AB93" s="182"/>
      <c r="AC93" s="477" t="e">
        <f t="shared" si="56"/>
        <v>#N/A</v>
      </c>
      <c r="AD93" s="674"/>
      <c r="AE93" s="182"/>
      <c r="AF93" s="182"/>
      <c r="AG93" s="182"/>
      <c r="AH93" s="477" t="e">
        <f t="shared" si="58"/>
        <v>#N/A</v>
      </c>
      <c r="AI93" s="674"/>
      <c r="AJ93" s="182"/>
      <c r="AK93" s="182"/>
      <c r="AL93" s="182"/>
      <c r="AM93" s="477" t="e">
        <f t="shared" si="60"/>
        <v>#N/A</v>
      </c>
      <c r="AN93" s="674"/>
      <c r="AO93" s="182"/>
      <c r="AP93" s="182"/>
      <c r="AQ93" s="182"/>
      <c r="AR93" s="477" t="e">
        <f t="shared" si="62"/>
        <v>#N/A</v>
      </c>
      <c r="AS93" s="674"/>
      <c r="AT93" s="182"/>
      <c r="AU93" s="182"/>
      <c r="AV93" s="182"/>
      <c r="AW93" s="477" t="e">
        <f t="shared" si="64"/>
        <v>#N/A</v>
      </c>
      <c r="AX93" s="674"/>
    </row>
    <row r="94" spans="2:50">
      <c r="B94" s="660"/>
      <c r="C94" s="301">
        <v>8</v>
      </c>
      <c r="D94" s="227"/>
      <c r="E94" s="182"/>
      <c r="F94" s="514"/>
      <c r="G94" s="515"/>
      <c r="H94" s="702"/>
      <c r="I94" s="199"/>
      <c r="J94" s="199"/>
      <c r="K94" s="200"/>
      <c r="L94" s="634"/>
      <c r="M94" s="201" t="e">
        <f>RANK(K94, K$87:$K$101)</f>
        <v>#DIV/0!</v>
      </c>
      <c r="N94" s="652"/>
      <c r="O94" s="652"/>
      <c r="P94" s="182"/>
      <c r="Q94" s="182"/>
      <c r="R94" s="182"/>
      <c r="S94" s="301" t="e">
        <f t="shared" si="67"/>
        <v>#N/A</v>
      </c>
      <c r="T94" s="674"/>
      <c r="U94" s="182"/>
      <c r="V94" s="182"/>
      <c r="W94" s="182"/>
      <c r="X94" s="477" t="e">
        <f t="shared" si="54"/>
        <v>#N/A</v>
      </c>
      <c r="Y94" s="674"/>
      <c r="Z94" s="182"/>
      <c r="AA94" s="182"/>
      <c r="AB94" s="182"/>
      <c r="AC94" s="477" t="e">
        <f t="shared" si="56"/>
        <v>#N/A</v>
      </c>
      <c r="AD94" s="674"/>
      <c r="AE94" s="182"/>
      <c r="AF94" s="182"/>
      <c r="AG94" s="182"/>
      <c r="AH94" s="477" t="e">
        <f t="shared" si="58"/>
        <v>#N/A</v>
      </c>
      <c r="AI94" s="674"/>
      <c r="AJ94" s="182"/>
      <c r="AK94" s="182"/>
      <c r="AL94" s="182"/>
      <c r="AM94" s="477" t="e">
        <f t="shared" si="60"/>
        <v>#N/A</v>
      </c>
      <c r="AN94" s="674"/>
      <c r="AO94" s="182"/>
      <c r="AP94" s="182"/>
      <c r="AQ94" s="182"/>
      <c r="AR94" s="477" t="e">
        <f t="shared" si="62"/>
        <v>#N/A</v>
      </c>
      <c r="AS94" s="674"/>
      <c r="AT94" s="182"/>
      <c r="AU94" s="182"/>
      <c r="AV94" s="182"/>
      <c r="AW94" s="477" t="e">
        <f t="shared" si="64"/>
        <v>#N/A</v>
      </c>
      <c r="AX94" s="674"/>
    </row>
    <row r="95" spans="2:50">
      <c r="B95" s="660"/>
      <c r="C95" s="301">
        <v>9</v>
      </c>
      <c r="D95" s="227"/>
      <c r="E95" s="182"/>
      <c r="F95" s="514"/>
      <c r="G95" s="515"/>
      <c r="H95" s="702"/>
      <c r="I95" s="199"/>
      <c r="J95" s="199"/>
      <c r="K95" s="200"/>
      <c r="L95" s="634"/>
      <c r="M95" s="201" t="e">
        <f>RANK(K95, K$87:$K$101)</f>
        <v>#DIV/0!</v>
      </c>
      <c r="N95" s="652"/>
      <c r="O95" s="652"/>
      <c r="P95" s="182"/>
      <c r="Q95" s="182"/>
      <c r="R95" s="182"/>
      <c r="S95" s="301" t="e">
        <f t="shared" si="67"/>
        <v>#N/A</v>
      </c>
      <c r="T95" s="674"/>
      <c r="U95" s="182"/>
      <c r="V95" s="182"/>
      <c r="W95" s="182"/>
      <c r="X95" s="477" t="e">
        <f t="shared" si="54"/>
        <v>#N/A</v>
      </c>
      <c r="Y95" s="674"/>
      <c r="Z95" s="182"/>
      <c r="AA95" s="182"/>
      <c r="AB95" s="182"/>
      <c r="AC95" s="477" t="e">
        <f t="shared" si="56"/>
        <v>#N/A</v>
      </c>
      <c r="AD95" s="674"/>
      <c r="AE95" s="182"/>
      <c r="AF95" s="182"/>
      <c r="AG95" s="182"/>
      <c r="AH95" s="477" t="e">
        <f t="shared" si="58"/>
        <v>#N/A</v>
      </c>
      <c r="AI95" s="674"/>
      <c r="AJ95" s="182"/>
      <c r="AK95" s="182"/>
      <c r="AL95" s="182"/>
      <c r="AM95" s="477" t="e">
        <f t="shared" si="60"/>
        <v>#N/A</v>
      </c>
      <c r="AN95" s="674"/>
      <c r="AO95" s="182"/>
      <c r="AP95" s="182"/>
      <c r="AQ95" s="182"/>
      <c r="AR95" s="477" t="e">
        <f t="shared" si="62"/>
        <v>#N/A</v>
      </c>
      <c r="AS95" s="674"/>
      <c r="AT95" s="182"/>
      <c r="AU95" s="182"/>
      <c r="AV95" s="182"/>
      <c r="AW95" s="477" t="e">
        <f t="shared" si="64"/>
        <v>#N/A</v>
      </c>
      <c r="AX95" s="674"/>
    </row>
    <row r="96" spans="2:50">
      <c r="B96" s="660"/>
      <c r="C96" s="301">
        <v>10</v>
      </c>
      <c r="D96" s="227"/>
      <c r="E96" s="182"/>
      <c r="F96" s="514"/>
      <c r="G96" s="515"/>
      <c r="H96" s="702"/>
      <c r="I96" s="199"/>
      <c r="J96" s="199"/>
      <c r="K96" s="200"/>
      <c r="L96" s="634"/>
      <c r="M96" s="201" t="e">
        <f>RANK(K96, K$87:$K$101)</f>
        <v>#DIV/0!</v>
      </c>
      <c r="N96" s="652"/>
      <c r="O96" s="652"/>
      <c r="P96" s="182"/>
      <c r="Q96" s="182"/>
      <c r="R96" s="182"/>
      <c r="S96" s="301" t="e">
        <f t="shared" si="67"/>
        <v>#N/A</v>
      </c>
      <c r="T96" s="674"/>
      <c r="U96" s="182"/>
      <c r="V96" s="182"/>
      <c r="W96" s="182"/>
      <c r="X96" s="477" t="e">
        <f t="shared" si="54"/>
        <v>#N/A</v>
      </c>
      <c r="Y96" s="674"/>
      <c r="Z96" s="182"/>
      <c r="AA96" s="182"/>
      <c r="AB96" s="182"/>
      <c r="AC96" s="477" t="e">
        <f t="shared" si="56"/>
        <v>#N/A</v>
      </c>
      <c r="AD96" s="674"/>
      <c r="AE96" s="182"/>
      <c r="AF96" s="182"/>
      <c r="AG96" s="182"/>
      <c r="AH96" s="477" t="e">
        <f t="shared" si="58"/>
        <v>#N/A</v>
      </c>
      <c r="AI96" s="674"/>
      <c r="AJ96" s="182"/>
      <c r="AK96" s="182"/>
      <c r="AL96" s="182"/>
      <c r="AM96" s="477" t="e">
        <f t="shared" si="60"/>
        <v>#N/A</v>
      </c>
      <c r="AN96" s="674"/>
      <c r="AO96" s="182"/>
      <c r="AP96" s="182"/>
      <c r="AQ96" s="182"/>
      <c r="AR96" s="477" t="e">
        <f t="shared" si="62"/>
        <v>#N/A</v>
      </c>
      <c r="AS96" s="674"/>
      <c r="AT96" s="182"/>
      <c r="AU96" s="182"/>
      <c r="AV96" s="182"/>
      <c r="AW96" s="477" t="e">
        <f t="shared" si="64"/>
        <v>#N/A</v>
      </c>
      <c r="AX96" s="674"/>
    </row>
    <row r="97" spans="2:50">
      <c r="B97" s="660"/>
      <c r="C97" s="301">
        <v>11</v>
      </c>
      <c r="D97" s="227"/>
      <c r="E97" s="182"/>
      <c r="F97" s="514"/>
      <c r="G97" s="515"/>
      <c r="H97" s="702"/>
      <c r="I97" s="471"/>
      <c r="J97" s="471"/>
      <c r="K97" s="200"/>
      <c r="L97" s="634"/>
      <c r="M97" s="201" t="e">
        <f>RANK(K97, K$87:$K$101)</f>
        <v>#DIV/0!</v>
      </c>
      <c r="N97" s="652"/>
      <c r="O97" s="652"/>
      <c r="P97" s="182"/>
      <c r="Q97" s="182"/>
      <c r="R97" s="182"/>
      <c r="S97" s="301" t="e">
        <f t="shared" si="67"/>
        <v>#N/A</v>
      </c>
      <c r="T97" s="674"/>
      <c r="U97" s="182"/>
      <c r="V97" s="182"/>
      <c r="W97" s="182"/>
      <c r="X97" s="477" t="e">
        <f t="shared" si="54"/>
        <v>#N/A</v>
      </c>
      <c r="Y97" s="674"/>
      <c r="Z97" s="182"/>
      <c r="AA97" s="182"/>
      <c r="AB97" s="182"/>
      <c r="AC97" s="477" t="e">
        <f t="shared" si="56"/>
        <v>#N/A</v>
      </c>
      <c r="AD97" s="674"/>
      <c r="AE97" s="182"/>
      <c r="AF97" s="182"/>
      <c r="AG97" s="182"/>
      <c r="AH97" s="477" t="e">
        <f t="shared" si="58"/>
        <v>#N/A</v>
      </c>
      <c r="AI97" s="674"/>
      <c r="AJ97" s="182"/>
      <c r="AK97" s="182"/>
      <c r="AL97" s="182"/>
      <c r="AM97" s="477" t="e">
        <f t="shared" si="60"/>
        <v>#N/A</v>
      </c>
      <c r="AN97" s="674"/>
      <c r="AO97" s="182"/>
      <c r="AP97" s="182"/>
      <c r="AQ97" s="182"/>
      <c r="AR97" s="477" t="e">
        <f t="shared" si="62"/>
        <v>#N/A</v>
      </c>
      <c r="AS97" s="674"/>
      <c r="AT97" s="182"/>
      <c r="AU97" s="182"/>
      <c r="AV97" s="182"/>
      <c r="AW97" s="477" t="e">
        <f t="shared" si="64"/>
        <v>#N/A</v>
      </c>
      <c r="AX97" s="674"/>
    </row>
    <row r="98" spans="2:50">
      <c r="B98" s="660"/>
      <c r="C98" s="301">
        <v>12</v>
      </c>
      <c r="D98" s="227"/>
      <c r="E98" s="182"/>
      <c r="F98" s="514"/>
      <c r="G98" s="515"/>
      <c r="H98" s="702"/>
      <c r="I98" s="202"/>
      <c r="J98" s="202"/>
      <c r="K98" s="202"/>
      <c r="L98" s="634"/>
      <c r="M98" s="201" t="e">
        <f>RANK(K98, K$87:$K$101)</f>
        <v>#DIV/0!</v>
      </c>
      <c r="N98" s="652"/>
      <c r="O98" s="652"/>
      <c r="P98" s="182"/>
      <c r="Q98" s="182"/>
      <c r="R98" s="182"/>
      <c r="S98" s="301" t="e">
        <f t="shared" si="67"/>
        <v>#N/A</v>
      </c>
      <c r="T98" s="674"/>
      <c r="U98" s="182"/>
      <c r="V98" s="182"/>
      <c r="W98" s="182"/>
      <c r="X98" s="477" t="e">
        <f t="shared" si="54"/>
        <v>#N/A</v>
      </c>
      <c r="Y98" s="674"/>
      <c r="Z98" s="182"/>
      <c r="AA98" s="182"/>
      <c r="AB98" s="182"/>
      <c r="AC98" s="477" t="e">
        <f t="shared" si="56"/>
        <v>#N/A</v>
      </c>
      <c r="AD98" s="674"/>
      <c r="AE98" s="182"/>
      <c r="AF98" s="182"/>
      <c r="AG98" s="182"/>
      <c r="AH98" s="477" t="e">
        <f t="shared" si="58"/>
        <v>#N/A</v>
      </c>
      <c r="AI98" s="674"/>
      <c r="AJ98" s="182"/>
      <c r="AK98" s="182"/>
      <c r="AL98" s="182"/>
      <c r="AM98" s="477" t="e">
        <f t="shared" si="60"/>
        <v>#N/A</v>
      </c>
      <c r="AN98" s="674"/>
      <c r="AO98" s="182"/>
      <c r="AP98" s="182"/>
      <c r="AQ98" s="182"/>
      <c r="AR98" s="477" t="e">
        <f t="shared" si="62"/>
        <v>#N/A</v>
      </c>
      <c r="AS98" s="674"/>
      <c r="AT98" s="182"/>
      <c r="AU98" s="182"/>
      <c r="AV98" s="182"/>
      <c r="AW98" s="477" t="e">
        <f t="shared" si="64"/>
        <v>#N/A</v>
      </c>
      <c r="AX98" s="674"/>
    </row>
    <row r="99" spans="2:50">
      <c r="B99" s="660"/>
      <c r="C99" s="301">
        <v>13</v>
      </c>
      <c r="D99" s="227"/>
      <c r="E99" s="182"/>
      <c r="F99" s="514"/>
      <c r="G99" s="515"/>
      <c r="H99" s="702"/>
      <c r="I99" s="202"/>
      <c r="J99" s="202"/>
      <c r="K99" s="202"/>
      <c r="L99" s="634"/>
      <c r="M99" s="201" t="e">
        <f>RANK(K99, K$87:$K$101)</f>
        <v>#DIV/0!</v>
      </c>
      <c r="N99" s="652"/>
      <c r="O99" s="652"/>
      <c r="P99" s="182"/>
      <c r="Q99" s="182"/>
      <c r="R99" s="182"/>
      <c r="S99" s="301" t="e">
        <f t="shared" si="67"/>
        <v>#N/A</v>
      </c>
      <c r="T99" s="674"/>
      <c r="U99" s="182"/>
      <c r="V99" s="182"/>
      <c r="W99" s="182"/>
      <c r="X99" s="477" t="e">
        <f t="shared" si="54"/>
        <v>#N/A</v>
      </c>
      <c r="Y99" s="674"/>
      <c r="Z99" s="182"/>
      <c r="AA99" s="182"/>
      <c r="AB99" s="182"/>
      <c r="AC99" s="477" t="e">
        <f t="shared" si="56"/>
        <v>#N/A</v>
      </c>
      <c r="AD99" s="674"/>
      <c r="AE99" s="182"/>
      <c r="AF99" s="182"/>
      <c r="AG99" s="182"/>
      <c r="AH99" s="477" t="e">
        <f t="shared" si="58"/>
        <v>#N/A</v>
      </c>
      <c r="AI99" s="674"/>
      <c r="AJ99" s="182"/>
      <c r="AK99" s="182"/>
      <c r="AL99" s="182"/>
      <c r="AM99" s="477" t="e">
        <f t="shared" si="60"/>
        <v>#N/A</v>
      </c>
      <c r="AN99" s="674"/>
      <c r="AO99" s="182"/>
      <c r="AP99" s="182"/>
      <c r="AQ99" s="182"/>
      <c r="AR99" s="477" t="e">
        <f t="shared" si="62"/>
        <v>#N/A</v>
      </c>
      <c r="AS99" s="674"/>
      <c r="AT99" s="182"/>
      <c r="AU99" s="182"/>
      <c r="AV99" s="182"/>
      <c r="AW99" s="477" t="e">
        <f t="shared" si="64"/>
        <v>#N/A</v>
      </c>
      <c r="AX99" s="674"/>
    </row>
    <row r="100" spans="2:50">
      <c r="B100" s="660"/>
      <c r="C100" s="301">
        <v>14</v>
      </c>
      <c r="D100" s="227"/>
      <c r="E100" s="182"/>
      <c r="F100" s="514"/>
      <c r="G100" s="515"/>
      <c r="H100" s="702"/>
      <c r="I100" s="202"/>
      <c r="J100" s="202"/>
      <c r="K100" s="202"/>
      <c r="L100" s="634"/>
      <c r="M100" s="201" t="e">
        <f>RANK(K100, K$87:$K$101)</f>
        <v>#DIV/0!</v>
      </c>
      <c r="N100" s="652"/>
      <c r="O100" s="652"/>
      <c r="P100" s="182"/>
      <c r="Q100" s="182"/>
      <c r="R100" s="182"/>
      <c r="S100" s="301" t="e">
        <f t="shared" si="67"/>
        <v>#N/A</v>
      </c>
      <c r="T100" s="674"/>
      <c r="U100" s="182"/>
      <c r="V100" s="182"/>
      <c r="W100" s="182"/>
      <c r="X100" s="477" t="e">
        <f t="shared" si="54"/>
        <v>#N/A</v>
      </c>
      <c r="Y100" s="674"/>
      <c r="Z100" s="182"/>
      <c r="AA100" s="182"/>
      <c r="AB100" s="182"/>
      <c r="AC100" s="477" t="e">
        <f t="shared" si="56"/>
        <v>#N/A</v>
      </c>
      <c r="AD100" s="674"/>
      <c r="AE100" s="182"/>
      <c r="AF100" s="182"/>
      <c r="AG100" s="182"/>
      <c r="AH100" s="477" t="e">
        <f t="shared" si="58"/>
        <v>#N/A</v>
      </c>
      <c r="AI100" s="674"/>
      <c r="AJ100" s="182"/>
      <c r="AK100" s="182"/>
      <c r="AL100" s="182"/>
      <c r="AM100" s="477" t="e">
        <f t="shared" si="60"/>
        <v>#N/A</v>
      </c>
      <c r="AN100" s="674"/>
      <c r="AO100" s="182"/>
      <c r="AP100" s="182"/>
      <c r="AQ100" s="182"/>
      <c r="AR100" s="477" t="e">
        <f t="shared" si="62"/>
        <v>#N/A</v>
      </c>
      <c r="AS100" s="674"/>
      <c r="AT100" s="182"/>
      <c r="AU100" s="182"/>
      <c r="AV100" s="182"/>
      <c r="AW100" s="477" t="e">
        <f t="shared" si="64"/>
        <v>#N/A</v>
      </c>
      <c r="AX100" s="674"/>
    </row>
    <row r="101" spans="2:50">
      <c r="B101" s="660"/>
      <c r="C101" s="301">
        <v>15</v>
      </c>
      <c r="D101" s="227"/>
      <c r="E101" s="182"/>
      <c r="F101" s="514"/>
      <c r="G101" s="515"/>
      <c r="H101" s="703"/>
      <c r="I101" s="202"/>
      <c r="J101" s="202"/>
      <c r="K101" s="202"/>
      <c r="L101" s="635"/>
      <c r="M101" s="199" t="e">
        <f>RANK(K101, K$87:$K$101)</f>
        <v>#DIV/0!</v>
      </c>
      <c r="N101" s="652"/>
      <c r="O101" s="652"/>
      <c r="P101" s="182"/>
      <c r="Q101" s="182"/>
      <c r="R101" s="182"/>
      <c r="S101" s="301" t="e">
        <f t="shared" si="67"/>
        <v>#N/A</v>
      </c>
      <c r="T101" s="674"/>
      <c r="U101" s="182"/>
      <c r="V101" s="182"/>
      <c r="W101" s="182"/>
      <c r="X101" s="477" t="e">
        <f t="shared" si="54"/>
        <v>#N/A</v>
      </c>
      <c r="Y101" s="674"/>
      <c r="Z101" s="182"/>
      <c r="AA101" s="182"/>
      <c r="AB101" s="182"/>
      <c r="AC101" s="477" t="e">
        <f t="shared" si="56"/>
        <v>#N/A</v>
      </c>
      <c r="AD101" s="674"/>
      <c r="AE101" s="182"/>
      <c r="AF101" s="182"/>
      <c r="AG101" s="182"/>
      <c r="AH101" s="477" t="e">
        <f t="shared" si="58"/>
        <v>#N/A</v>
      </c>
      <c r="AI101" s="674"/>
      <c r="AJ101" s="182"/>
      <c r="AK101" s="182"/>
      <c r="AL101" s="182"/>
      <c r="AM101" s="477" t="e">
        <f t="shared" si="60"/>
        <v>#N/A</v>
      </c>
      <c r="AN101" s="674"/>
      <c r="AO101" s="182"/>
      <c r="AP101" s="182"/>
      <c r="AQ101" s="182"/>
      <c r="AR101" s="477" t="e">
        <f t="shared" si="62"/>
        <v>#N/A</v>
      </c>
      <c r="AS101" s="674"/>
      <c r="AT101" s="182"/>
      <c r="AU101" s="182"/>
      <c r="AV101" s="182"/>
      <c r="AW101" s="477" t="e">
        <f t="shared" si="64"/>
        <v>#N/A</v>
      </c>
      <c r="AX101" s="674"/>
    </row>
    <row r="102" spans="2:50" ht="15.75">
      <c r="B102" s="664" t="s">
        <v>163</v>
      </c>
      <c r="C102" s="665"/>
      <c r="D102" s="665"/>
      <c r="E102" s="665"/>
      <c r="F102" s="665"/>
      <c r="G102" s="665"/>
      <c r="H102" s="666"/>
      <c r="I102" s="208"/>
      <c r="J102" s="208"/>
      <c r="K102" s="208"/>
      <c r="L102" s="208"/>
      <c r="M102" s="207"/>
      <c r="N102" s="653" t="s">
        <v>156</v>
      </c>
      <c r="O102" s="653" t="s">
        <v>105</v>
      </c>
      <c r="P102" s="659">
        <f>P82+7</f>
        <v>46084</v>
      </c>
      <c r="Q102" s="660"/>
      <c r="R102" s="660"/>
      <c r="S102" s="660"/>
      <c r="T102" s="660"/>
      <c r="U102" s="656">
        <f>P102+1</f>
        <v>46085</v>
      </c>
      <c r="V102" s="657"/>
      <c r="W102" s="657"/>
      <c r="X102" s="657"/>
      <c r="Y102" s="658"/>
      <c r="Z102" s="656">
        <f>U102+1</f>
        <v>46086</v>
      </c>
      <c r="AA102" s="657"/>
      <c r="AB102" s="657"/>
      <c r="AC102" s="657"/>
      <c r="AD102" s="658"/>
      <c r="AE102" s="656">
        <f>Z102+1</f>
        <v>46087</v>
      </c>
      <c r="AF102" s="657"/>
      <c r="AG102" s="657"/>
      <c r="AH102" s="657"/>
      <c r="AI102" s="658"/>
      <c r="AJ102" s="656">
        <f>AE102+1</f>
        <v>46088</v>
      </c>
      <c r="AK102" s="657"/>
      <c r="AL102" s="657"/>
      <c r="AM102" s="657"/>
      <c r="AN102" s="658"/>
      <c r="AO102" s="656">
        <f>AJ102+1</f>
        <v>46089</v>
      </c>
      <c r="AP102" s="657"/>
      <c r="AQ102" s="657"/>
      <c r="AR102" s="657"/>
      <c r="AS102" s="658"/>
      <c r="AT102" s="656">
        <f>AO102+1</f>
        <v>46090</v>
      </c>
      <c r="AU102" s="657"/>
      <c r="AV102" s="657"/>
      <c r="AW102" s="657"/>
      <c r="AX102" s="658"/>
    </row>
    <row r="103" spans="2:50" ht="15.75">
      <c r="B103" s="667"/>
      <c r="C103" s="667"/>
      <c r="D103" s="667"/>
      <c r="E103" s="667"/>
      <c r="F103" s="667"/>
      <c r="G103" s="667"/>
      <c r="H103" s="667"/>
      <c r="I103" s="205"/>
      <c r="J103" s="205"/>
      <c r="K103" s="205"/>
      <c r="L103" s="205"/>
      <c r="M103" s="206"/>
      <c r="N103" s="655"/>
      <c r="O103" s="655"/>
      <c r="P103" s="659" t="s">
        <v>158</v>
      </c>
      <c r="Q103" s="660"/>
      <c r="R103" s="660"/>
      <c r="S103" s="660"/>
      <c r="T103" s="660"/>
      <c r="U103" s="659" t="s">
        <v>114</v>
      </c>
      <c r="V103" s="660"/>
      <c r="W103" s="660"/>
      <c r="X103" s="660"/>
      <c r="Y103" s="660"/>
      <c r="Z103" s="659" t="s">
        <v>159</v>
      </c>
      <c r="AA103" s="660"/>
      <c r="AB103" s="660"/>
      <c r="AC103" s="660"/>
      <c r="AD103" s="660"/>
      <c r="AE103" s="659" t="s">
        <v>157</v>
      </c>
      <c r="AF103" s="660"/>
      <c r="AG103" s="660"/>
      <c r="AH103" s="660"/>
      <c r="AI103" s="660"/>
      <c r="AJ103" s="659" t="s">
        <v>160</v>
      </c>
      <c r="AK103" s="660"/>
      <c r="AL103" s="660"/>
      <c r="AM103" s="660"/>
      <c r="AN103" s="660"/>
      <c r="AO103" s="659" t="s">
        <v>115</v>
      </c>
      <c r="AP103" s="660"/>
      <c r="AQ103" s="660"/>
      <c r="AR103" s="660"/>
      <c r="AS103" s="660"/>
      <c r="AT103" s="659" t="s">
        <v>162</v>
      </c>
      <c r="AU103" s="660"/>
      <c r="AV103" s="660"/>
      <c r="AW103" s="660"/>
      <c r="AX103" s="660"/>
    </row>
    <row r="104" spans="2:50">
      <c r="B104" s="652" t="s">
        <v>859</v>
      </c>
      <c r="C104" s="652" t="s">
        <v>860</v>
      </c>
      <c r="D104" s="652"/>
      <c r="E104" s="652" t="s">
        <v>861</v>
      </c>
      <c r="F104" s="652"/>
      <c r="G104" s="652"/>
      <c r="H104" s="668" t="s">
        <v>862</v>
      </c>
      <c r="I104" s="652" t="s">
        <v>863</v>
      </c>
      <c r="J104" s="652"/>
      <c r="K104" s="652"/>
      <c r="L104" s="668" t="s">
        <v>862</v>
      </c>
      <c r="M104" s="653" t="s">
        <v>864</v>
      </c>
      <c r="N104" s="652"/>
      <c r="O104" s="652" t="s">
        <v>865</v>
      </c>
      <c r="P104" s="649" t="s">
        <v>851</v>
      </c>
      <c r="Q104" s="650"/>
      <c r="R104" s="650"/>
      <c r="S104" s="651"/>
      <c r="T104" s="652" t="s">
        <v>847</v>
      </c>
      <c r="U104" s="649" t="s">
        <v>851</v>
      </c>
      <c r="V104" s="650"/>
      <c r="W104" s="650"/>
      <c r="X104" s="651"/>
      <c r="Y104" s="652" t="s">
        <v>847</v>
      </c>
      <c r="Z104" s="649" t="s">
        <v>851</v>
      </c>
      <c r="AA104" s="650"/>
      <c r="AB104" s="650"/>
      <c r="AC104" s="651"/>
      <c r="AD104" s="652" t="s">
        <v>847</v>
      </c>
      <c r="AE104" s="649" t="s">
        <v>851</v>
      </c>
      <c r="AF104" s="650"/>
      <c r="AG104" s="650"/>
      <c r="AH104" s="651"/>
      <c r="AI104" s="652" t="s">
        <v>847</v>
      </c>
      <c r="AJ104" s="649" t="s">
        <v>851</v>
      </c>
      <c r="AK104" s="650"/>
      <c r="AL104" s="650"/>
      <c r="AM104" s="651"/>
      <c r="AN104" s="652" t="s">
        <v>847</v>
      </c>
      <c r="AO104" s="649" t="s">
        <v>851</v>
      </c>
      <c r="AP104" s="650"/>
      <c r="AQ104" s="650"/>
      <c r="AR104" s="651"/>
      <c r="AS104" s="652" t="s">
        <v>847</v>
      </c>
      <c r="AT104" s="649" t="s">
        <v>851</v>
      </c>
      <c r="AU104" s="650"/>
      <c r="AV104" s="650"/>
      <c r="AW104" s="651"/>
      <c r="AX104" s="652" t="s">
        <v>847</v>
      </c>
    </row>
    <row r="105" spans="2:50">
      <c r="B105" s="652"/>
      <c r="C105" s="652"/>
      <c r="D105" s="652"/>
      <c r="E105" s="652" t="s">
        <v>866</v>
      </c>
      <c r="F105" s="652"/>
      <c r="G105" s="652"/>
      <c r="H105" s="669"/>
      <c r="I105" s="652" t="s">
        <v>866</v>
      </c>
      <c r="J105" s="652"/>
      <c r="K105" s="652"/>
      <c r="L105" s="669"/>
      <c r="M105" s="654"/>
      <c r="N105" s="652"/>
      <c r="O105" s="652"/>
      <c r="P105" s="649" t="s">
        <v>853</v>
      </c>
      <c r="Q105" s="650"/>
      <c r="R105" s="650"/>
      <c r="S105" s="651"/>
      <c r="T105" s="652"/>
      <c r="U105" s="649" t="s">
        <v>853</v>
      </c>
      <c r="V105" s="650"/>
      <c r="W105" s="650"/>
      <c r="X105" s="651"/>
      <c r="Y105" s="652"/>
      <c r="Z105" s="649" t="s">
        <v>853</v>
      </c>
      <c r="AA105" s="650"/>
      <c r="AB105" s="650"/>
      <c r="AC105" s="651"/>
      <c r="AD105" s="652"/>
      <c r="AE105" s="649" t="s">
        <v>853</v>
      </c>
      <c r="AF105" s="650"/>
      <c r="AG105" s="650"/>
      <c r="AH105" s="651"/>
      <c r="AI105" s="652"/>
      <c r="AJ105" s="649" t="s">
        <v>853</v>
      </c>
      <c r="AK105" s="650"/>
      <c r="AL105" s="650"/>
      <c r="AM105" s="651"/>
      <c r="AN105" s="652"/>
      <c r="AO105" s="649" t="s">
        <v>853</v>
      </c>
      <c r="AP105" s="650"/>
      <c r="AQ105" s="650"/>
      <c r="AR105" s="651"/>
      <c r="AS105" s="652"/>
      <c r="AT105" s="649" t="s">
        <v>853</v>
      </c>
      <c r="AU105" s="650"/>
      <c r="AV105" s="650"/>
      <c r="AW105" s="651"/>
      <c r="AX105" s="652"/>
    </row>
    <row r="106" spans="2:50">
      <c r="B106" s="652"/>
      <c r="C106" s="652"/>
      <c r="D106" s="652"/>
      <c r="E106" s="492" t="s">
        <v>867</v>
      </c>
      <c r="F106" s="492" t="s">
        <v>868</v>
      </c>
      <c r="G106" s="492" t="s">
        <v>869</v>
      </c>
      <c r="H106" s="670"/>
      <c r="I106" s="492" t="s">
        <v>867</v>
      </c>
      <c r="J106" s="492" t="s">
        <v>868</v>
      </c>
      <c r="K106" s="492" t="s">
        <v>869</v>
      </c>
      <c r="L106" s="670"/>
      <c r="M106" s="655"/>
      <c r="N106" s="652"/>
      <c r="O106" s="652"/>
      <c r="P106" s="492" t="s">
        <v>854</v>
      </c>
      <c r="Q106" s="492" t="s">
        <v>855</v>
      </c>
      <c r="R106" s="492" t="s">
        <v>856</v>
      </c>
      <c r="S106" s="492" t="s">
        <v>849</v>
      </c>
      <c r="T106" s="652"/>
      <c r="U106" s="492" t="s">
        <v>854</v>
      </c>
      <c r="V106" s="492" t="s">
        <v>855</v>
      </c>
      <c r="W106" s="492" t="s">
        <v>856</v>
      </c>
      <c r="X106" s="492" t="s">
        <v>849</v>
      </c>
      <c r="Y106" s="652"/>
      <c r="Z106" s="492" t="s">
        <v>854</v>
      </c>
      <c r="AA106" s="492" t="s">
        <v>855</v>
      </c>
      <c r="AB106" s="492" t="s">
        <v>856</v>
      </c>
      <c r="AC106" s="492" t="s">
        <v>849</v>
      </c>
      <c r="AD106" s="652"/>
      <c r="AE106" s="492" t="s">
        <v>854</v>
      </c>
      <c r="AF106" s="492" t="s">
        <v>855</v>
      </c>
      <c r="AG106" s="492" t="s">
        <v>856</v>
      </c>
      <c r="AH106" s="492" t="s">
        <v>849</v>
      </c>
      <c r="AI106" s="652"/>
      <c r="AJ106" s="492" t="s">
        <v>854</v>
      </c>
      <c r="AK106" s="492" t="s">
        <v>855</v>
      </c>
      <c r="AL106" s="492" t="s">
        <v>856</v>
      </c>
      <c r="AM106" s="492" t="s">
        <v>849</v>
      </c>
      <c r="AN106" s="652"/>
      <c r="AO106" s="492" t="s">
        <v>854</v>
      </c>
      <c r="AP106" s="492" t="s">
        <v>855</v>
      </c>
      <c r="AQ106" s="492" t="s">
        <v>856</v>
      </c>
      <c r="AR106" s="492" t="s">
        <v>849</v>
      </c>
      <c r="AS106" s="652"/>
      <c r="AT106" s="492" t="s">
        <v>854</v>
      </c>
      <c r="AU106" s="492" t="s">
        <v>855</v>
      </c>
      <c r="AV106" s="492" t="s">
        <v>856</v>
      </c>
      <c r="AW106" s="492" t="s">
        <v>849</v>
      </c>
      <c r="AX106" s="652"/>
    </row>
    <row r="107" spans="2:50">
      <c r="B107" s="652" t="s">
        <v>135</v>
      </c>
      <c r="C107" s="497">
        <v>1</v>
      </c>
      <c r="D107" s="227"/>
      <c r="E107" s="182"/>
      <c r="F107" s="514"/>
      <c r="G107" s="515"/>
      <c r="H107" s="696" t="e">
        <f>AVERAGE(G107:G121)</f>
        <v>#DIV/0!</v>
      </c>
      <c r="I107" s="498" t="e">
        <f>AVERAGE(P107,U107,Z107,AE107,AJ107,AO107,AT107)</f>
        <v>#DIV/0!</v>
      </c>
      <c r="J107" s="498" t="e">
        <f>AVERAGE(Q107,V107,AA107,AF107,AK107,AP107,AU107)</f>
        <v>#DIV/0!</v>
      </c>
      <c r="K107" s="499" t="e">
        <f>AVERAGE(R107,W107,AB107,AG107,AL107,AQ107,AV107)</f>
        <v>#DIV/0!</v>
      </c>
      <c r="L107" s="633" t="str">
        <f>IFERROR(AVERAGE(K107:K121),"-")</f>
        <v>-</v>
      </c>
      <c r="M107" s="498" t="e">
        <f>RANK(K107, K$67:$K$81)</f>
        <v>#DIV/0!</v>
      </c>
      <c r="N107" s="652"/>
      <c r="O107" s="652"/>
      <c r="P107" s="497"/>
      <c r="Q107" s="498"/>
      <c r="R107" s="498"/>
      <c r="S107" s="498" t="e">
        <f>RANK(R107, R$67:R$81)</f>
        <v>#N/A</v>
      </c>
      <c r="T107" s="723" t="e">
        <f>AVERAGE(R107:R121)</f>
        <v>#DIV/0!</v>
      </c>
      <c r="U107" s="519"/>
      <c r="V107" s="522"/>
      <c r="W107" s="522"/>
      <c r="X107" s="498" t="e">
        <f>RANK(W107, W$67:W$81)</f>
        <v>#N/A</v>
      </c>
      <c r="Y107" s="699" t="e">
        <f>AVERAGE(W107:W121)</f>
        <v>#DIV/0!</v>
      </c>
      <c r="Z107" s="519"/>
      <c r="AA107" s="522"/>
      <c r="AB107" s="522"/>
      <c r="AC107" s="498" t="e">
        <f>RANK(AB107, AB$67:AB$81)</f>
        <v>#N/A</v>
      </c>
      <c r="AD107" s="699" t="e">
        <f>AVERAGE(AB107:AB121)</f>
        <v>#DIV/0!</v>
      </c>
      <c r="AE107" s="519"/>
      <c r="AF107" s="522"/>
      <c r="AG107" s="522"/>
      <c r="AH107" s="498" t="e">
        <f>RANK(AG107, AG$67:AG$81)</f>
        <v>#N/A</v>
      </c>
      <c r="AI107" s="699" t="e">
        <f>AVERAGE(AG107:AG121)</f>
        <v>#DIV/0!</v>
      </c>
      <c r="AJ107" s="519"/>
      <c r="AK107" s="522"/>
      <c r="AL107" s="522"/>
      <c r="AM107" s="498" t="e">
        <f>RANK(AL107, AL$67:AL$81)</f>
        <v>#N/A</v>
      </c>
      <c r="AN107" s="699" t="e">
        <f>AVERAGE(AL107:AL121)</f>
        <v>#DIV/0!</v>
      </c>
      <c r="AO107" s="519"/>
      <c r="AP107" s="522"/>
      <c r="AQ107" s="522"/>
      <c r="AR107" s="498" t="e">
        <f>RANK(AQ107, AQ$67:AQ$81)</f>
        <v>#N/A</v>
      </c>
      <c r="AS107" s="723" t="e">
        <f>AVERAGE(AQ107:AQ121)</f>
        <v>#DIV/0!</v>
      </c>
      <c r="AT107" s="182"/>
      <c r="AU107" s="182"/>
      <c r="AV107" s="182"/>
      <c r="AW107" s="497" t="e">
        <f>RANK(AV107, AV$67:AV$81)</f>
        <v>#N/A</v>
      </c>
      <c r="AX107" s="722" t="e">
        <f>AVERAGE(AV107:AV121)</f>
        <v>#DIV/0!</v>
      </c>
    </row>
    <row r="108" spans="2:50">
      <c r="B108" s="685"/>
      <c r="C108" s="497">
        <v>2</v>
      </c>
      <c r="D108" s="227"/>
      <c r="E108" s="182"/>
      <c r="F108" s="514"/>
      <c r="G108" s="515"/>
      <c r="H108" s="697"/>
      <c r="I108" s="498" t="e">
        <f t="shared" ref="I108:K115" si="68">AVERAGE(P108,U108,Z108,AE108,AJ108,AO108,AT108)</f>
        <v>#DIV/0!</v>
      </c>
      <c r="J108" s="498" t="e">
        <f t="shared" si="68"/>
        <v>#DIV/0!</v>
      </c>
      <c r="K108" s="499" t="e">
        <f t="shared" si="68"/>
        <v>#DIV/0!</v>
      </c>
      <c r="L108" s="634"/>
      <c r="M108" s="498" t="e">
        <f>RANK(K108, K$67:$K$81)</f>
        <v>#DIV/0!</v>
      </c>
      <c r="N108" s="652"/>
      <c r="O108" s="652"/>
      <c r="P108" s="497"/>
      <c r="Q108" s="498"/>
      <c r="R108" s="498"/>
      <c r="S108" s="498" t="e">
        <f t="shared" ref="S108:S121" si="69">RANK(R108, R$67:R$81)</f>
        <v>#N/A</v>
      </c>
      <c r="T108" s="723"/>
      <c r="U108" s="519"/>
      <c r="V108" s="522"/>
      <c r="W108" s="522"/>
      <c r="X108" s="498" t="e">
        <f t="shared" ref="X108:X121" si="70">RANK(W108, W$67:W$81)</f>
        <v>#N/A</v>
      </c>
      <c r="Y108" s="699"/>
      <c r="Z108" s="519"/>
      <c r="AA108" s="522"/>
      <c r="AB108" s="522"/>
      <c r="AC108" s="498" t="e">
        <f t="shared" ref="AC108:AC121" si="71">RANK(AB108, AB$67:AB$81)</f>
        <v>#N/A</v>
      </c>
      <c r="AD108" s="699"/>
      <c r="AE108" s="519"/>
      <c r="AF108" s="522"/>
      <c r="AG108" s="522"/>
      <c r="AH108" s="498" t="e">
        <f t="shared" ref="AH108:AH121" si="72">RANK(AG108, AG$67:AG$81)</f>
        <v>#N/A</v>
      </c>
      <c r="AI108" s="699"/>
      <c r="AJ108" s="519"/>
      <c r="AK108" s="522"/>
      <c r="AL108" s="522"/>
      <c r="AM108" s="498" t="e">
        <f t="shared" ref="AM108:AM121" si="73">RANK(AL108, AL$67:AL$81)</f>
        <v>#N/A</v>
      </c>
      <c r="AN108" s="699"/>
      <c r="AO108" s="519"/>
      <c r="AP108" s="522"/>
      <c r="AQ108" s="522"/>
      <c r="AR108" s="498" t="e">
        <f t="shared" ref="AR108:AR121" si="74">RANK(AQ108, AQ$67:AQ$81)</f>
        <v>#N/A</v>
      </c>
      <c r="AS108" s="723"/>
      <c r="AT108" s="182"/>
      <c r="AU108" s="182"/>
      <c r="AV108" s="182"/>
      <c r="AW108" s="497" t="e">
        <f t="shared" ref="AW108:AW121" si="75">RANK(AV108, AV$67:AV$81)</f>
        <v>#N/A</v>
      </c>
      <c r="AX108" s="722"/>
    </row>
    <row r="109" spans="2:50">
      <c r="B109" s="685"/>
      <c r="C109" s="497">
        <v>3</v>
      </c>
      <c r="D109" s="227"/>
      <c r="E109" s="182"/>
      <c r="F109" s="514"/>
      <c r="G109" s="515"/>
      <c r="H109" s="697"/>
      <c r="I109" s="498" t="e">
        <f t="shared" si="68"/>
        <v>#DIV/0!</v>
      </c>
      <c r="J109" s="498" t="e">
        <f t="shared" si="68"/>
        <v>#DIV/0!</v>
      </c>
      <c r="K109" s="499" t="e">
        <f t="shared" si="68"/>
        <v>#DIV/0!</v>
      </c>
      <c r="L109" s="634"/>
      <c r="M109" s="498" t="e">
        <f>RANK(K109, K$67:$K$81)</f>
        <v>#DIV/0!</v>
      </c>
      <c r="N109" s="652"/>
      <c r="O109" s="652"/>
      <c r="P109" s="497"/>
      <c r="Q109" s="498"/>
      <c r="R109" s="498"/>
      <c r="S109" s="498" t="e">
        <f t="shared" si="69"/>
        <v>#N/A</v>
      </c>
      <c r="T109" s="723"/>
      <c r="U109" s="519"/>
      <c r="V109" s="522"/>
      <c r="W109" s="522"/>
      <c r="X109" s="498" t="e">
        <f t="shared" si="70"/>
        <v>#N/A</v>
      </c>
      <c r="Y109" s="699"/>
      <c r="Z109" s="519"/>
      <c r="AA109" s="522"/>
      <c r="AB109" s="522"/>
      <c r="AC109" s="498" t="e">
        <f t="shared" si="71"/>
        <v>#N/A</v>
      </c>
      <c r="AD109" s="699"/>
      <c r="AE109" s="519"/>
      <c r="AF109" s="522"/>
      <c r="AG109" s="522"/>
      <c r="AH109" s="498" t="e">
        <f t="shared" si="72"/>
        <v>#N/A</v>
      </c>
      <c r="AI109" s="699"/>
      <c r="AJ109" s="519"/>
      <c r="AK109" s="522"/>
      <c r="AL109" s="522"/>
      <c r="AM109" s="498" t="e">
        <f t="shared" si="73"/>
        <v>#N/A</v>
      </c>
      <c r="AN109" s="699"/>
      <c r="AO109" s="519"/>
      <c r="AP109" s="522"/>
      <c r="AQ109" s="522"/>
      <c r="AR109" s="498" t="e">
        <f t="shared" si="74"/>
        <v>#N/A</v>
      </c>
      <c r="AS109" s="723"/>
      <c r="AT109" s="182"/>
      <c r="AU109" s="182"/>
      <c r="AV109" s="182"/>
      <c r="AW109" s="497" t="e">
        <f t="shared" si="75"/>
        <v>#N/A</v>
      </c>
      <c r="AX109" s="722"/>
    </row>
    <row r="110" spans="2:50">
      <c r="B110" s="685"/>
      <c r="C110" s="497">
        <v>4</v>
      </c>
      <c r="D110" s="227"/>
      <c r="E110" s="182"/>
      <c r="F110" s="514"/>
      <c r="G110" s="515"/>
      <c r="H110" s="697"/>
      <c r="I110" s="498" t="e">
        <f t="shared" si="68"/>
        <v>#DIV/0!</v>
      </c>
      <c r="J110" s="498" t="e">
        <f t="shared" si="68"/>
        <v>#DIV/0!</v>
      </c>
      <c r="K110" s="499" t="e">
        <f t="shared" si="68"/>
        <v>#DIV/0!</v>
      </c>
      <c r="L110" s="634"/>
      <c r="M110" s="498" t="e">
        <f>RANK(K110, K$67:$K$81)</f>
        <v>#DIV/0!</v>
      </c>
      <c r="N110" s="652"/>
      <c r="O110" s="652"/>
      <c r="P110" s="497"/>
      <c r="Q110" s="498"/>
      <c r="R110" s="498"/>
      <c r="S110" s="498" t="e">
        <f t="shared" si="69"/>
        <v>#N/A</v>
      </c>
      <c r="T110" s="723"/>
      <c r="U110" s="519"/>
      <c r="V110" s="522"/>
      <c r="W110" s="522"/>
      <c r="X110" s="498" t="e">
        <f t="shared" si="70"/>
        <v>#N/A</v>
      </c>
      <c r="Y110" s="699"/>
      <c r="Z110" s="519"/>
      <c r="AA110" s="522"/>
      <c r="AB110" s="522"/>
      <c r="AC110" s="498" t="e">
        <f t="shared" si="71"/>
        <v>#N/A</v>
      </c>
      <c r="AD110" s="699"/>
      <c r="AE110" s="519"/>
      <c r="AF110" s="522"/>
      <c r="AG110" s="522"/>
      <c r="AH110" s="498" t="e">
        <f t="shared" si="72"/>
        <v>#N/A</v>
      </c>
      <c r="AI110" s="699"/>
      <c r="AJ110" s="519"/>
      <c r="AK110" s="522"/>
      <c r="AL110" s="522"/>
      <c r="AM110" s="498" t="e">
        <f t="shared" si="73"/>
        <v>#N/A</v>
      </c>
      <c r="AN110" s="699"/>
      <c r="AO110" s="519"/>
      <c r="AP110" s="522"/>
      <c r="AQ110" s="522"/>
      <c r="AR110" s="498" t="e">
        <f t="shared" si="74"/>
        <v>#N/A</v>
      </c>
      <c r="AS110" s="723"/>
      <c r="AT110" s="182"/>
      <c r="AU110" s="182"/>
      <c r="AV110" s="182"/>
      <c r="AW110" s="497" t="e">
        <f t="shared" si="75"/>
        <v>#N/A</v>
      </c>
      <c r="AX110" s="722"/>
    </row>
    <row r="111" spans="2:50">
      <c r="B111" s="685"/>
      <c r="C111" s="497">
        <v>5</v>
      </c>
      <c r="D111" s="227"/>
      <c r="E111" s="182"/>
      <c r="F111" s="514"/>
      <c r="G111" s="515"/>
      <c r="H111" s="697"/>
      <c r="I111" s="498" t="e">
        <f t="shared" si="68"/>
        <v>#DIV/0!</v>
      </c>
      <c r="J111" s="498" t="e">
        <f t="shared" si="68"/>
        <v>#DIV/0!</v>
      </c>
      <c r="K111" s="499" t="e">
        <f t="shared" si="68"/>
        <v>#DIV/0!</v>
      </c>
      <c r="L111" s="634"/>
      <c r="M111" s="498" t="e">
        <f>RANK(K111, K$67:$K$81)</f>
        <v>#DIV/0!</v>
      </c>
      <c r="N111" s="652"/>
      <c r="O111" s="652"/>
      <c r="P111" s="497"/>
      <c r="Q111" s="498"/>
      <c r="R111" s="498"/>
      <c r="S111" s="498" t="e">
        <f t="shared" si="69"/>
        <v>#N/A</v>
      </c>
      <c r="T111" s="723"/>
      <c r="U111" s="519"/>
      <c r="V111" s="522"/>
      <c r="W111" s="522"/>
      <c r="X111" s="498" t="e">
        <f t="shared" si="70"/>
        <v>#N/A</v>
      </c>
      <c r="Y111" s="699"/>
      <c r="Z111" s="519"/>
      <c r="AA111" s="522"/>
      <c r="AB111" s="522"/>
      <c r="AC111" s="498" t="e">
        <f t="shared" si="71"/>
        <v>#N/A</v>
      </c>
      <c r="AD111" s="699"/>
      <c r="AE111" s="519"/>
      <c r="AF111" s="522"/>
      <c r="AG111" s="522"/>
      <c r="AH111" s="498" t="e">
        <f t="shared" si="72"/>
        <v>#N/A</v>
      </c>
      <c r="AI111" s="699"/>
      <c r="AJ111" s="519"/>
      <c r="AK111" s="522"/>
      <c r="AL111" s="522"/>
      <c r="AM111" s="498" t="e">
        <f t="shared" si="73"/>
        <v>#N/A</v>
      </c>
      <c r="AN111" s="699"/>
      <c r="AO111" s="519"/>
      <c r="AP111" s="522"/>
      <c r="AQ111" s="522"/>
      <c r="AR111" s="498" t="e">
        <f t="shared" si="74"/>
        <v>#N/A</v>
      </c>
      <c r="AS111" s="723"/>
      <c r="AT111" s="182"/>
      <c r="AU111" s="182"/>
      <c r="AV111" s="182"/>
      <c r="AW111" s="497" t="e">
        <f t="shared" si="75"/>
        <v>#N/A</v>
      </c>
      <c r="AX111" s="722"/>
    </row>
    <row r="112" spans="2:50">
      <c r="B112" s="685"/>
      <c r="C112" s="497">
        <v>6</v>
      </c>
      <c r="D112" s="227"/>
      <c r="E112" s="182"/>
      <c r="F112" s="514"/>
      <c r="G112" s="515"/>
      <c r="H112" s="697"/>
      <c r="I112" s="498" t="e">
        <f t="shared" si="68"/>
        <v>#DIV/0!</v>
      </c>
      <c r="J112" s="498" t="e">
        <f t="shared" si="68"/>
        <v>#DIV/0!</v>
      </c>
      <c r="K112" s="499" t="e">
        <f t="shared" si="68"/>
        <v>#DIV/0!</v>
      </c>
      <c r="L112" s="634"/>
      <c r="M112" s="498" t="e">
        <f>RANK(K112, K$67:$K$81)</f>
        <v>#DIV/0!</v>
      </c>
      <c r="N112" s="652"/>
      <c r="O112" s="652"/>
      <c r="P112" s="497"/>
      <c r="Q112" s="498"/>
      <c r="R112" s="498"/>
      <c r="S112" s="498" t="e">
        <f t="shared" si="69"/>
        <v>#N/A</v>
      </c>
      <c r="T112" s="723"/>
      <c r="U112" s="519"/>
      <c r="V112" s="522"/>
      <c r="W112" s="522"/>
      <c r="X112" s="498" t="e">
        <f t="shared" si="70"/>
        <v>#N/A</v>
      </c>
      <c r="Y112" s="699"/>
      <c r="Z112" s="519"/>
      <c r="AA112" s="522"/>
      <c r="AB112" s="522"/>
      <c r="AC112" s="498" t="e">
        <f t="shared" si="71"/>
        <v>#N/A</v>
      </c>
      <c r="AD112" s="699"/>
      <c r="AE112" s="519"/>
      <c r="AF112" s="522"/>
      <c r="AG112" s="522"/>
      <c r="AH112" s="498" t="e">
        <f t="shared" si="72"/>
        <v>#N/A</v>
      </c>
      <c r="AI112" s="699"/>
      <c r="AJ112" s="519"/>
      <c r="AK112" s="522"/>
      <c r="AL112" s="522"/>
      <c r="AM112" s="498" t="e">
        <f t="shared" si="73"/>
        <v>#N/A</v>
      </c>
      <c r="AN112" s="699"/>
      <c r="AO112" s="519"/>
      <c r="AP112" s="522"/>
      <c r="AQ112" s="522"/>
      <c r="AR112" s="498" t="e">
        <f t="shared" si="74"/>
        <v>#N/A</v>
      </c>
      <c r="AS112" s="723"/>
      <c r="AT112" s="182"/>
      <c r="AU112" s="182"/>
      <c r="AV112" s="182"/>
      <c r="AW112" s="497" t="e">
        <f t="shared" si="75"/>
        <v>#N/A</v>
      </c>
      <c r="AX112" s="722"/>
    </row>
    <row r="113" spans="2:50">
      <c r="B113" s="685"/>
      <c r="C113" s="497">
        <v>7</v>
      </c>
      <c r="D113" s="227"/>
      <c r="E113" s="182"/>
      <c r="F113" s="514"/>
      <c r="G113" s="515"/>
      <c r="H113" s="697"/>
      <c r="I113" s="498" t="e">
        <f t="shared" si="68"/>
        <v>#DIV/0!</v>
      </c>
      <c r="J113" s="498" t="e">
        <f t="shared" si="68"/>
        <v>#DIV/0!</v>
      </c>
      <c r="K113" s="499" t="e">
        <f t="shared" si="68"/>
        <v>#DIV/0!</v>
      </c>
      <c r="L113" s="634"/>
      <c r="M113" s="498" t="e">
        <f>RANK(K113, K$67:$K$81)</f>
        <v>#DIV/0!</v>
      </c>
      <c r="N113" s="652"/>
      <c r="O113" s="652"/>
      <c r="P113" s="497"/>
      <c r="Q113" s="498"/>
      <c r="R113" s="498"/>
      <c r="S113" s="498" t="e">
        <f t="shared" si="69"/>
        <v>#N/A</v>
      </c>
      <c r="T113" s="723"/>
      <c r="U113" s="519"/>
      <c r="V113" s="522"/>
      <c r="W113" s="522"/>
      <c r="X113" s="498" t="e">
        <f t="shared" si="70"/>
        <v>#N/A</v>
      </c>
      <c r="Y113" s="699"/>
      <c r="Z113" s="519"/>
      <c r="AA113" s="522"/>
      <c r="AB113" s="522"/>
      <c r="AC113" s="498" t="e">
        <f t="shared" si="71"/>
        <v>#N/A</v>
      </c>
      <c r="AD113" s="699"/>
      <c r="AE113" s="519"/>
      <c r="AF113" s="522"/>
      <c r="AG113" s="522"/>
      <c r="AH113" s="498" t="e">
        <f t="shared" si="72"/>
        <v>#N/A</v>
      </c>
      <c r="AI113" s="699"/>
      <c r="AJ113" s="519"/>
      <c r="AK113" s="522"/>
      <c r="AL113" s="522"/>
      <c r="AM113" s="498" t="e">
        <f t="shared" si="73"/>
        <v>#N/A</v>
      </c>
      <c r="AN113" s="699"/>
      <c r="AO113" s="519"/>
      <c r="AP113" s="522"/>
      <c r="AQ113" s="522"/>
      <c r="AR113" s="498" t="e">
        <f t="shared" si="74"/>
        <v>#N/A</v>
      </c>
      <c r="AS113" s="723"/>
      <c r="AT113" s="182"/>
      <c r="AU113" s="182"/>
      <c r="AV113" s="182"/>
      <c r="AW113" s="497" t="e">
        <f t="shared" si="75"/>
        <v>#N/A</v>
      </c>
      <c r="AX113" s="722"/>
    </row>
    <row r="114" spans="2:50">
      <c r="B114" s="685"/>
      <c r="C114" s="497">
        <v>8</v>
      </c>
      <c r="D114" s="227"/>
      <c r="E114" s="182"/>
      <c r="F114" s="514"/>
      <c r="G114" s="515"/>
      <c r="H114" s="697"/>
      <c r="I114" s="498" t="e">
        <f t="shared" si="68"/>
        <v>#DIV/0!</v>
      </c>
      <c r="J114" s="498" t="e">
        <f t="shared" si="68"/>
        <v>#DIV/0!</v>
      </c>
      <c r="K114" s="499" t="e">
        <f t="shared" si="68"/>
        <v>#DIV/0!</v>
      </c>
      <c r="L114" s="634"/>
      <c r="M114" s="498" t="e">
        <f>RANK(K114, K$67:$K$81)</f>
        <v>#DIV/0!</v>
      </c>
      <c r="N114" s="652"/>
      <c r="O114" s="652"/>
      <c r="P114" s="497"/>
      <c r="Q114" s="498"/>
      <c r="R114" s="498"/>
      <c r="S114" s="498" t="e">
        <f t="shared" si="69"/>
        <v>#N/A</v>
      </c>
      <c r="T114" s="723"/>
      <c r="U114" s="519"/>
      <c r="V114" s="522"/>
      <c r="W114" s="522"/>
      <c r="X114" s="498" t="e">
        <f t="shared" si="70"/>
        <v>#N/A</v>
      </c>
      <c r="Y114" s="699"/>
      <c r="Z114" s="519"/>
      <c r="AA114" s="522"/>
      <c r="AB114" s="522"/>
      <c r="AC114" s="498" t="e">
        <f t="shared" si="71"/>
        <v>#N/A</v>
      </c>
      <c r="AD114" s="699"/>
      <c r="AE114" s="519"/>
      <c r="AF114" s="522"/>
      <c r="AG114" s="522"/>
      <c r="AH114" s="498" t="e">
        <f t="shared" si="72"/>
        <v>#N/A</v>
      </c>
      <c r="AI114" s="699"/>
      <c r="AJ114" s="519"/>
      <c r="AK114" s="522"/>
      <c r="AL114" s="522"/>
      <c r="AM114" s="498" t="e">
        <f t="shared" si="73"/>
        <v>#N/A</v>
      </c>
      <c r="AN114" s="699"/>
      <c r="AO114" s="519"/>
      <c r="AP114" s="522"/>
      <c r="AQ114" s="522"/>
      <c r="AR114" s="498" t="e">
        <f t="shared" si="74"/>
        <v>#N/A</v>
      </c>
      <c r="AS114" s="723"/>
      <c r="AT114" s="182"/>
      <c r="AU114" s="182"/>
      <c r="AV114" s="182"/>
      <c r="AW114" s="497" t="e">
        <f t="shared" si="75"/>
        <v>#N/A</v>
      </c>
      <c r="AX114" s="722"/>
    </row>
    <row r="115" spans="2:50">
      <c r="B115" s="685"/>
      <c r="C115" s="497">
        <v>9</v>
      </c>
      <c r="D115" s="227"/>
      <c r="E115" s="182"/>
      <c r="F115" s="514"/>
      <c r="G115" s="515"/>
      <c r="H115" s="697"/>
      <c r="I115" s="498" t="e">
        <f t="shared" si="68"/>
        <v>#DIV/0!</v>
      </c>
      <c r="J115" s="498" t="e">
        <f t="shared" si="68"/>
        <v>#DIV/0!</v>
      </c>
      <c r="K115" s="499" t="e">
        <f t="shared" si="68"/>
        <v>#DIV/0!</v>
      </c>
      <c r="L115" s="634"/>
      <c r="M115" s="498" t="e">
        <f>RANK(K115, K$67:$K$81)</f>
        <v>#DIV/0!</v>
      </c>
      <c r="N115" s="652"/>
      <c r="O115" s="652"/>
      <c r="P115" s="497"/>
      <c r="Q115" s="498"/>
      <c r="R115" s="498"/>
      <c r="S115" s="498" t="e">
        <f t="shared" si="69"/>
        <v>#N/A</v>
      </c>
      <c r="T115" s="723"/>
      <c r="U115" s="519"/>
      <c r="V115" s="522"/>
      <c r="W115" s="522"/>
      <c r="X115" s="498" t="e">
        <f t="shared" si="70"/>
        <v>#N/A</v>
      </c>
      <c r="Y115" s="699"/>
      <c r="Z115" s="519"/>
      <c r="AA115" s="522"/>
      <c r="AB115" s="522"/>
      <c r="AC115" s="498" t="e">
        <f t="shared" si="71"/>
        <v>#N/A</v>
      </c>
      <c r="AD115" s="699"/>
      <c r="AE115" s="519"/>
      <c r="AF115" s="522"/>
      <c r="AG115" s="522"/>
      <c r="AH115" s="498" t="e">
        <f t="shared" si="72"/>
        <v>#N/A</v>
      </c>
      <c r="AI115" s="699"/>
      <c r="AJ115" s="519"/>
      <c r="AK115" s="522"/>
      <c r="AL115" s="522"/>
      <c r="AM115" s="498" t="e">
        <f t="shared" si="73"/>
        <v>#N/A</v>
      </c>
      <c r="AN115" s="699"/>
      <c r="AO115" s="519"/>
      <c r="AP115" s="522"/>
      <c r="AQ115" s="522"/>
      <c r="AR115" s="498" t="e">
        <f t="shared" si="74"/>
        <v>#N/A</v>
      </c>
      <c r="AS115" s="723"/>
      <c r="AT115" s="182"/>
      <c r="AU115" s="182"/>
      <c r="AV115" s="182"/>
      <c r="AW115" s="497" t="e">
        <f t="shared" si="75"/>
        <v>#N/A</v>
      </c>
      <c r="AX115" s="722"/>
    </row>
    <row r="116" spans="2:50">
      <c r="B116" s="685"/>
      <c r="C116" s="497">
        <v>10</v>
      </c>
      <c r="D116" s="227"/>
      <c r="E116" s="182"/>
      <c r="F116" s="514"/>
      <c r="G116" s="515"/>
      <c r="H116" s="697"/>
      <c r="I116" s="498"/>
      <c r="J116" s="498"/>
      <c r="K116" s="499"/>
      <c r="L116" s="634"/>
      <c r="M116" s="498" t="e">
        <f>RANK(K116, K$67:$K$81)</f>
        <v>#DIV/0!</v>
      </c>
      <c r="N116" s="652"/>
      <c r="O116" s="652"/>
      <c r="P116" s="497"/>
      <c r="Q116" s="498"/>
      <c r="R116" s="498"/>
      <c r="S116" s="498" t="e">
        <f t="shared" si="69"/>
        <v>#N/A</v>
      </c>
      <c r="T116" s="723"/>
      <c r="U116" s="519"/>
      <c r="V116" s="522"/>
      <c r="W116" s="522"/>
      <c r="X116" s="498" t="e">
        <f t="shared" si="70"/>
        <v>#N/A</v>
      </c>
      <c r="Y116" s="699"/>
      <c r="Z116" s="519"/>
      <c r="AA116" s="522"/>
      <c r="AB116" s="522"/>
      <c r="AC116" s="498" t="e">
        <f t="shared" si="71"/>
        <v>#N/A</v>
      </c>
      <c r="AD116" s="699"/>
      <c r="AE116" s="519"/>
      <c r="AF116" s="522"/>
      <c r="AG116" s="522"/>
      <c r="AH116" s="498" t="e">
        <f t="shared" si="72"/>
        <v>#N/A</v>
      </c>
      <c r="AI116" s="699"/>
      <c r="AJ116" s="519"/>
      <c r="AK116" s="522"/>
      <c r="AL116" s="522"/>
      <c r="AM116" s="498" t="e">
        <f t="shared" si="73"/>
        <v>#N/A</v>
      </c>
      <c r="AN116" s="699"/>
      <c r="AO116" s="519"/>
      <c r="AP116" s="522"/>
      <c r="AQ116" s="522"/>
      <c r="AR116" s="498" t="e">
        <f t="shared" si="74"/>
        <v>#N/A</v>
      </c>
      <c r="AS116" s="723"/>
      <c r="AT116" s="182"/>
      <c r="AU116" s="182"/>
      <c r="AV116" s="182"/>
      <c r="AW116" s="497" t="e">
        <f t="shared" si="75"/>
        <v>#N/A</v>
      </c>
      <c r="AX116" s="722"/>
    </row>
    <row r="117" spans="2:50">
      <c r="B117" s="685"/>
      <c r="C117" s="497">
        <v>11</v>
      </c>
      <c r="D117" s="227"/>
      <c r="E117" s="182"/>
      <c r="F117" s="514"/>
      <c r="G117" s="515"/>
      <c r="H117" s="697"/>
      <c r="I117" s="498"/>
      <c r="J117" s="498"/>
      <c r="K117" s="499"/>
      <c r="L117" s="634"/>
      <c r="M117" s="498" t="e">
        <f>RANK(K117, K$67:$K$81)</f>
        <v>#DIV/0!</v>
      </c>
      <c r="N117" s="652"/>
      <c r="O117" s="652"/>
      <c r="P117" s="497"/>
      <c r="Q117" s="498"/>
      <c r="R117" s="498"/>
      <c r="S117" s="498" t="e">
        <f t="shared" si="69"/>
        <v>#N/A</v>
      </c>
      <c r="T117" s="723"/>
      <c r="U117" s="519"/>
      <c r="V117" s="522"/>
      <c r="W117" s="522"/>
      <c r="X117" s="498" t="e">
        <f t="shared" si="70"/>
        <v>#N/A</v>
      </c>
      <c r="Y117" s="699"/>
      <c r="Z117" s="519"/>
      <c r="AA117" s="522"/>
      <c r="AB117" s="522"/>
      <c r="AC117" s="498" t="e">
        <f t="shared" si="71"/>
        <v>#N/A</v>
      </c>
      <c r="AD117" s="699"/>
      <c r="AE117" s="519"/>
      <c r="AF117" s="522"/>
      <c r="AG117" s="522"/>
      <c r="AH117" s="498" t="e">
        <f t="shared" si="72"/>
        <v>#N/A</v>
      </c>
      <c r="AI117" s="699"/>
      <c r="AJ117" s="519"/>
      <c r="AK117" s="522"/>
      <c r="AL117" s="522"/>
      <c r="AM117" s="498" t="e">
        <f t="shared" si="73"/>
        <v>#N/A</v>
      </c>
      <c r="AN117" s="699"/>
      <c r="AO117" s="519"/>
      <c r="AP117" s="522"/>
      <c r="AQ117" s="522"/>
      <c r="AR117" s="498" t="e">
        <f t="shared" si="74"/>
        <v>#N/A</v>
      </c>
      <c r="AS117" s="723"/>
      <c r="AT117" s="182"/>
      <c r="AU117" s="182"/>
      <c r="AV117" s="182"/>
      <c r="AW117" s="497" t="e">
        <f t="shared" si="75"/>
        <v>#N/A</v>
      </c>
      <c r="AX117" s="722"/>
    </row>
    <row r="118" spans="2:50">
      <c r="B118" s="685"/>
      <c r="C118" s="497">
        <v>12</v>
      </c>
      <c r="D118" s="227"/>
      <c r="E118" s="182"/>
      <c r="F118" s="514"/>
      <c r="G118" s="515"/>
      <c r="H118" s="697"/>
      <c r="I118" s="498"/>
      <c r="J118" s="498"/>
      <c r="K118" s="499"/>
      <c r="L118" s="634"/>
      <c r="M118" s="498" t="e">
        <f>RANK(K118, K$67:$K$81)</f>
        <v>#DIV/0!</v>
      </c>
      <c r="N118" s="652"/>
      <c r="O118" s="652"/>
      <c r="P118" s="497"/>
      <c r="Q118" s="498"/>
      <c r="R118" s="498"/>
      <c r="S118" s="498" t="e">
        <f t="shared" si="69"/>
        <v>#N/A</v>
      </c>
      <c r="T118" s="723"/>
      <c r="U118" s="519"/>
      <c r="V118" s="522"/>
      <c r="W118" s="522"/>
      <c r="X118" s="498" t="e">
        <f t="shared" si="70"/>
        <v>#N/A</v>
      </c>
      <c r="Y118" s="699"/>
      <c r="Z118" s="519"/>
      <c r="AA118" s="522"/>
      <c r="AB118" s="522"/>
      <c r="AC118" s="498" t="e">
        <f t="shared" si="71"/>
        <v>#N/A</v>
      </c>
      <c r="AD118" s="699"/>
      <c r="AE118" s="519"/>
      <c r="AF118" s="522"/>
      <c r="AG118" s="522"/>
      <c r="AH118" s="498" t="e">
        <f t="shared" si="72"/>
        <v>#N/A</v>
      </c>
      <c r="AI118" s="699"/>
      <c r="AJ118" s="519"/>
      <c r="AK118" s="522"/>
      <c r="AL118" s="522"/>
      <c r="AM118" s="498" t="e">
        <f t="shared" si="73"/>
        <v>#N/A</v>
      </c>
      <c r="AN118" s="699"/>
      <c r="AO118" s="519"/>
      <c r="AP118" s="522"/>
      <c r="AQ118" s="522"/>
      <c r="AR118" s="498" t="e">
        <f t="shared" si="74"/>
        <v>#N/A</v>
      </c>
      <c r="AS118" s="723"/>
      <c r="AT118" s="182"/>
      <c r="AU118" s="182"/>
      <c r="AV118" s="182"/>
      <c r="AW118" s="497" t="e">
        <f t="shared" si="75"/>
        <v>#N/A</v>
      </c>
      <c r="AX118" s="722"/>
    </row>
    <row r="119" spans="2:50">
      <c r="B119" s="685"/>
      <c r="C119" s="497">
        <v>13</v>
      </c>
      <c r="D119" s="227"/>
      <c r="E119" s="182"/>
      <c r="F119" s="514"/>
      <c r="G119" s="515"/>
      <c r="H119" s="697"/>
      <c r="I119" s="497"/>
      <c r="J119" s="497"/>
      <c r="K119" s="497"/>
      <c r="L119" s="634"/>
      <c r="M119" s="498" t="e">
        <f>RANK(K119, K$67:$K$81)</f>
        <v>#DIV/0!</v>
      </c>
      <c r="N119" s="652"/>
      <c r="O119" s="652"/>
      <c r="P119" s="497"/>
      <c r="Q119" s="498"/>
      <c r="R119" s="498"/>
      <c r="S119" s="498" t="e">
        <f t="shared" si="69"/>
        <v>#N/A</v>
      </c>
      <c r="T119" s="723"/>
      <c r="U119" s="519"/>
      <c r="V119" s="522"/>
      <c r="W119" s="522"/>
      <c r="X119" s="498" t="e">
        <f t="shared" si="70"/>
        <v>#N/A</v>
      </c>
      <c r="Y119" s="699"/>
      <c r="Z119" s="519"/>
      <c r="AA119" s="522"/>
      <c r="AB119" s="522"/>
      <c r="AC119" s="499" t="e">
        <f t="shared" si="71"/>
        <v>#N/A</v>
      </c>
      <c r="AD119" s="699"/>
      <c r="AE119" s="519"/>
      <c r="AF119" s="522"/>
      <c r="AG119" s="522"/>
      <c r="AH119" s="498" t="e">
        <f t="shared" si="72"/>
        <v>#N/A</v>
      </c>
      <c r="AI119" s="699"/>
      <c r="AJ119" s="519"/>
      <c r="AK119" s="522"/>
      <c r="AL119" s="522"/>
      <c r="AM119" s="498" t="e">
        <f t="shared" si="73"/>
        <v>#N/A</v>
      </c>
      <c r="AN119" s="699"/>
      <c r="AO119" s="519"/>
      <c r="AP119" s="522"/>
      <c r="AQ119" s="522"/>
      <c r="AR119" s="499" t="e">
        <f t="shared" si="74"/>
        <v>#N/A</v>
      </c>
      <c r="AS119" s="723"/>
      <c r="AT119" s="182"/>
      <c r="AU119" s="182"/>
      <c r="AV119" s="182"/>
      <c r="AW119" s="497" t="e">
        <f t="shared" si="75"/>
        <v>#N/A</v>
      </c>
      <c r="AX119" s="722"/>
    </row>
    <row r="120" spans="2:50">
      <c r="B120" s="685"/>
      <c r="C120" s="497">
        <v>14</v>
      </c>
      <c r="D120" s="227"/>
      <c r="E120" s="182"/>
      <c r="F120" s="514"/>
      <c r="G120" s="515"/>
      <c r="H120" s="697"/>
      <c r="I120" s="497"/>
      <c r="J120" s="497"/>
      <c r="K120" s="497"/>
      <c r="L120" s="634"/>
      <c r="M120" s="498" t="e">
        <f>RANK(K120, K$67:$K$81)</f>
        <v>#DIV/0!</v>
      </c>
      <c r="N120" s="652"/>
      <c r="O120" s="652"/>
      <c r="P120" s="497"/>
      <c r="Q120" s="498"/>
      <c r="R120" s="498"/>
      <c r="S120" s="498" t="e">
        <f t="shared" si="69"/>
        <v>#N/A</v>
      </c>
      <c r="T120" s="723"/>
      <c r="U120" s="519"/>
      <c r="V120" s="522"/>
      <c r="W120" s="522"/>
      <c r="X120" s="498" t="e">
        <f t="shared" si="70"/>
        <v>#N/A</v>
      </c>
      <c r="Y120" s="699"/>
      <c r="Z120" s="519"/>
      <c r="AA120" s="522"/>
      <c r="AB120" s="522"/>
      <c r="AC120" s="499" t="e">
        <f t="shared" si="71"/>
        <v>#N/A</v>
      </c>
      <c r="AD120" s="699"/>
      <c r="AE120" s="519"/>
      <c r="AF120" s="522"/>
      <c r="AG120" s="522"/>
      <c r="AH120" s="499" t="e">
        <f t="shared" si="72"/>
        <v>#N/A</v>
      </c>
      <c r="AI120" s="699"/>
      <c r="AJ120" s="519"/>
      <c r="AK120" s="522"/>
      <c r="AL120" s="522"/>
      <c r="AM120" s="499" t="e">
        <f t="shared" si="73"/>
        <v>#N/A</v>
      </c>
      <c r="AN120" s="699"/>
      <c r="AO120" s="519"/>
      <c r="AP120" s="522"/>
      <c r="AQ120" s="522"/>
      <c r="AR120" s="499" t="e">
        <f t="shared" si="74"/>
        <v>#N/A</v>
      </c>
      <c r="AS120" s="723"/>
      <c r="AT120" s="182"/>
      <c r="AU120" s="182"/>
      <c r="AV120" s="182"/>
      <c r="AW120" s="497" t="e">
        <f t="shared" si="75"/>
        <v>#N/A</v>
      </c>
      <c r="AX120" s="722"/>
    </row>
    <row r="121" spans="2:50">
      <c r="B121" s="685"/>
      <c r="C121" s="497">
        <v>15</v>
      </c>
      <c r="D121" s="227"/>
      <c r="E121" s="182"/>
      <c r="F121" s="514"/>
      <c r="G121" s="515"/>
      <c r="H121" s="709"/>
      <c r="I121" s="497"/>
      <c r="J121" s="497"/>
      <c r="K121" s="497"/>
      <c r="L121" s="635"/>
      <c r="M121" s="498" t="e">
        <f>RANK(K121, K$67:$K$81)</f>
        <v>#DIV/0!</v>
      </c>
      <c r="N121" s="652"/>
      <c r="O121" s="652"/>
      <c r="P121" s="497"/>
      <c r="Q121" s="498"/>
      <c r="R121" s="498"/>
      <c r="S121" s="498" t="e">
        <f t="shared" si="69"/>
        <v>#N/A</v>
      </c>
      <c r="T121" s="723"/>
      <c r="U121" s="519"/>
      <c r="V121" s="522"/>
      <c r="W121" s="522"/>
      <c r="X121" s="499" t="e">
        <f t="shared" si="70"/>
        <v>#N/A</v>
      </c>
      <c r="Y121" s="699"/>
      <c r="Z121" s="519"/>
      <c r="AA121" s="522"/>
      <c r="AB121" s="522"/>
      <c r="AC121" s="499" t="e">
        <f t="shared" si="71"/>
        <v>#N/A</v>
      </c>
      <c r="AD121" s="699"/>
      <c r="AE121" s="519"/>
      <c r="AF121" s="522"/>
      <c r="AG121" s="522"/>
      <c r="AH121" s="499" t="e">
        <f t="shared" si="72"/>
        <v>#N/A</v>
      </c>
      <c r="AI121" s="699"/>
      <c r="AJ121" s="519"/>
      <c r="AK121" s="522"/>
      <c r="AL121" s="522"/>
      <c r="AM121" s="499" t="e">
        <f t="shared" si="73"/>
        <v>#N/A</v>
      </c>
      <c r="AN121" s="699"/>
      <c r="AO121" s="519"/>
      <c r="AP121" s="522"/>
      <c r="AQ121" s="522"/>
      <c r="AR121" s="499" t="e">
        <f t="shared" si="74"/>
        <v>#N/A</v>
      </c>
      <c r="AS121" s="723"/>
      <c r="AT121" s="182"/>
      <c r="AU121" s="182"/>
      <c r="AV121" s="182"/>
      <c r="AW121" s="497" t="e">
        <f t="shared" si="75"/>
        <v>#N/A</v>
      </c>
      <c r="AX121" s="722"/>
    </row>
    <row r="123" spans="2:50" ht="15.75">
      <c r="B123" s="691" t="s">
        <v>687</v>
      </c>
      <c r="C123" s="692"/>
      <c r="D123" s="692"/>
      <c r="E123" s="692"/>
      <c r="F123" s="692"/>
      <c r="G123" s="692"/>
      <c r="H123" s="693"/>
      <c r="I123" s="348"/>
      <c r="J123" s="348"/>
      <c r="K123" s="348"/>
      <c r="L123" s="348"/>
      <c r="M123" s="349"/>
    </row>
    <row r="124" spans="2:50" ht="15.75">
      <c r="B124" s="694"/>
      <c r="C124" s="694"/>
      <c r="D124" s="694"/>
      <c r="E124" s="694"/>
      <c r="F124" s="694"/>
      <c r="G124" s="694"/>
      <c r="H124" s="694"/>
      <c r="I124" s="350"/>
      <c r="J124" s="350"/>
      <c r="K124" s="350"/>
      <c r="L124" s="350"/>
      <c r="M124" s="351"/>
    </row>
    <row r="125" spans="2:50">
      <c r="B125" s="652" t="s">
        <v>154</v>
      </c>
      <c r="C125" s="652" t="s">
        <v>441</v>
      </c>
      <c r="D125" s="652"/>
      <c r="E125" s="652" t="s">
        <v>432</v>
      </c>
      <c r="F125" s="652"/>
      <c r="G125" s="652"/>
      <c r="H125" s="668" t="s">
        <v>428</v>
      </c>
      <c r="I125" s="695" t="s">
        <v>433</v>
      </c>
      <c r="J125" s="695"/>
      <c r="K125" s="695"/>
      <c r="L125" s="716" t="s">
        <v>428</v>
      </c>
      <c r="M125" s="719" t="s">
        <v>429</v>
      </c>
    </row>
    <row r="126" spans="2:50">
      <c r="B126" s="652"/>
      <c r="C126" s="652"/>
      <c r="D126" s="652"/>
      <c r="E126" s="652" t="s">
        <v>435</v>
      </c>
      <c r="F126" s="652"/>
      <c r="G126" s="652"/>
      <c r="H126" s="669"/>
      <c r="I126" s="695" t="s">
        <v>435</v>
      </c>
      <c r="J126" s="695"/>
      <c r="K126" s="695"/>
      <c r="L126" s="717"/>
      <c r="M126" s="720"/>
    </row>
    <row r="127" spans="2:50">
      <c r="B127" s="652"/>
      <c r="C127" s="652"/>
      <c r="D127" s="652"/>
      <c r="E127" s="345" t="s">
        <v>437</v>
      </c>
      <c r="F127" s="345" t="s">
        <v>438</v>
      </c>
      <c r="G127" s="345" t="s">
        <v>439</v>
      </c>
      <c r="H127" s="670"/>
      <c r="I127" s="352" t="s">
        <v>437</v>
      </c>
      <c r="J127" s="352" t="s">
        <v>438</v>
      </c>
      <c r="K127" s="352" t="s">
        <v>439</v>
      </c>
      <c r="L127" s="718"/>
      <c r="M127" s="721"/>
    </row>
    <row r="128" spans="2:50">
      <c r="B128" s="652" t="s">
        <v>443</v>
      </c>
      <c r="C128" s="344">
        <v>1</v>
      </c>
      <c r="D128" s="227"/>
      <c r="E128" s="182"/>
      <c r="F128" s="344"/>
      <c r="G128" s="347"/>
      <c r="H128" s="701" t="e">
        <f>AVERAGE(G128:G142)</f>
        <v>#DIV/0!</v>
      </c>
      <c r="I128" s="199" t="e">
        <f t="shared" ref="I128:J137" si="76">AVERAGEIF($D$7:$D$121,$D128,I$7:I$121)</f>
        <v>#DIV/0!</v>
      </c>
      <c r="J128" s="199" t="e">
        <f t="shared" si="76"/>
        <v>#DIV/0!</v>
      </c>
      <c r="K128" s="199" t="e">
        <f t="shared" ref="K128:K137" si="77">AVERAGEIF($D$7:$D$121,$D128,K$7:K$121)</f>
        <v>#DIV/0!</v>
      </c>
      <c r="L128" s="713" t="e">
        <f>AVERAGE(K128:K142)</f>
        <v>#DIV/0!</v>
      </c>
      <c r="M128" s="199" t="e">
        <f>RANK(K128, K$128:$K$142)</f>
        <v>#DIV/0!</v>
      </c>
    </row>
    <row r="129" spans="2:13">
      <c r="B129" s="660"/>
      <c r="C129" s="344">
        <v>2</v>
      </c>
      <c r="D129" s="227"/>
      <c r="E129" s="182"/>
      <c r="F129" s="344"/>
      <c r="G129" s="347"/>
      <c r="H129" s="702"/>
      <c r="I129" s="199" t="e">
        <f t="shared" si="76"/>
        <v>#DIV/0!</v>
      </c>
      <c r="J129" s="199" t="e">
        <f t="shared" si="76"/>
        <v>#DIV/0!</v>
      </c>
      <c r="K129" s="199" t="e">
        <f t="shared" si="77"/>
        <v>#DIV/0!</v>
      </c>
      <c r="L129" s="714"/>
      <c r="M129" s="199" t="e">
        <f>RANK(K129, K$128:$K$142)</f>
        <v>#DIV/0!</v>
      </c>
    </row>
    <row r="130" spans="2:13">
      <c r="B130" s="660"/>
      <c r="C130" s="344">
        <v>3</v>
      </c>
      <c r="D130" s="227"/>
      <c r="E130" s="182"/>
      <c r="F130" s="344"/>
      <c r="G130" s="347"/>
      <c r="H130" s="702"/>
      <c r="I130" s="199" t="e">
        <f t="shared" si="76"/>
        <v>#DIV/0!</v>
      </c>
      <c r="J130" s="199" t="e">
        <f t="shared" si="76"/>
        <v>#DIV/0!</v>
      </c>
      <c r="K130" s="199" t="e">
        <f t="shared" si="77"/>
        <v>#DIV/0!</v>
      </c>
      <c r="L130" s="714"/>
      <c r="M130" s="199" t="e">
        <f>RANK(K130, K$128:$K$142)</f>
        <v>#DIV/0!</v>
      </c>
    </row>
    <row r="131" spans="2:13">
      <c r="B131" s="660"/>
      <c r="C131" s="344">
        <v>4</v>
      </c>
      <c r="D131" s="227"/>
      <c r="E131" s="182"/>
      <c r="F131" s="344"/>
      <c r="G131" s="347"/>
      <c r="H131" s="702"/>
      <c r="I131" s="199" t="e">
        <f t="shared" si="76"/>
        <v>#DIV/0!</v>
      </c>
      <c r="J131" s="199" t="e">
        <f t="shared" si="76"/>
        <v>#DIV/0!</v>
      </c>
      <c r="K131" s="199" t="e">
        <f t="shared" si="77"/>
        <v>#DIV/0!</v>
      </c>
      <c r="L131" s="714"/>
      <c r="M131" s="199" t="e">
        <f>RANK(K131, K$128:$K$142)</f>
        <v>#DIV/0!</v>
      </c>
    </row>
    <row r="132" spans="2:13">
      <c r="B132" s="660"/>
      <c r="C132" s="344">
        <v>5</v>
      </c>
      <c r="D132" s="227"/>
      <c r="E132" s="182"/>
      <c r="F132" s="344"/>
      <c r="G132" s="347"/>
      <c r="H132" s="702"/>
      <c r="I132" s="199" t="e">
        <f t="shared" si="76"/>
        <v>#DIV/0!</v>
      </c>
      <c r="J132" s="199" t="e">
        <f t="shared" si="76"/>
        <v>#DIV/0!</v>
      </c>
      <c r="K132" s="199" t="e">
        <f t="shared" si="77"/>
        <v>#DIV/0!</v>
      </c>
      <c r="L132" s="714"/>
      <c r="M132" s="199" t="e">
        <f>RANK(K132, K$128:$K$142)</f>
        <v>#DIV/0!</v>
      </c>
    </row>
    <row r="133" spans="2:13">
      <c r="B133" s="660"/>
      <c r="C133" s="344">
        <v>6</v>
      </c>
      <c r="D133" s="353"/>
      <c r="E133" s="182"/>
      <c r="F133" s="344"/>
      <c r="G133" s="347"/>
      <c r="H133" s="702"/>
      <c r="I133" s="199" t="e">
        <f t="shared" si="76"/>
        <v>#DIV/0!</v>
      </c>
      <c r="J133" s="199" t="e">
        <f t="shared" si="76"/>
        <v>#DIV/0!</v>
      </c>
      <c r="K133" s="199" t="e">
        <f t="shared" si="77"/>
        <v>#DIV/0!</v>
      </c>
      <c r="L133" s="714"/>
      <c r="M133" s="199" t="e">
        <f>RANK(K133, K$128:$K$142)</f>
        <v>#DIV/0!</v>
      </c>
    </row>
    <row r="134" spans="2:13">
      <c r="B134" s="660"/>
      <c r="C134" s="344">
        <v>7</v>
      </c>
      <c r="D134" s="227"/>
      <c r="E134" s="182"/>
      <c r="F134" s="344"/>
      <c r="G134" s="347"/>
      <c r="H134" s="702"/>
      <c r="I134" s="199" t="e">
        <f t="shared" si="76"/>
        <v>#DIV/0!</v>
      </c>
      <c r="J134" s="199" t="e">
        <f t="shared" si="76"/>
        <v>#DIV/0!</v>
      </c>
      <c r="K134" s="199" t="e">
        <f t="shared" si="77"/>
        <v>#DIV/0!</v>
      </c>
      <c r="L134" s="714"/>
      <c r="M134" s="199" t="e">
        <f>RANK(K134, K$128:$K$142)</f>
        <v>#DIV/0!</v>
      </c>
    </row>
    <row r="135" spans="2:13">
      <c r="B135" s="660"/>
      <c r="C135" s="344">
        <v>8</v>
      </c>
      <c r="D135" s="227"/>
      <c r="E135" s="182"/>
      <c r="F135" s="344"/>
      <c r="G135" s="347"/>
      <c r="H135" s="702"/>
      <c r="I135" s="199" t="e">
        <f t="shared" si="76"/>
        <v>#DIV/0!</v>
      </c>
      <c r="J135" s="199" t="e">
        <f t="shared" si="76"/>
        <v>#DIV/0!</v>
      </c>
      <c r="K135" s="199" t="e">
        <f t="shared" si="77"/>
        <v>#DIV/0!</v>
      </c>
      <c r="L135" s="714"/>
      <c r="M135" s="199" t="e">
        <f>RANK(K135, K$128:$K$142)</f>
        <v>#DIV/0!</v>
      </c>
    </row>
    <row r="136" spans="2:13">
      <c r="B136" s="660"/>
      <c r="C136" s="344">
        <v>9</v>
      </c>
      <c r="D136" s="227"/>
      <c r="E136" s="344"/>
      <c r="F136" s="344"/>
      <c r="G136" s="344"/>
      <c r="H136" s="702"/>
      <c r="I136" s="199" t="e">
        <f t="shared" si="76"/>
        <v>#DIV/0!</v>
      </c>
      <c r="J136" s="199" t="e">
        <f t="shared" si="76"/>
        <v>#DIV/0!</v>
      </c>
      <c r="K136" s="199" t="e">
        <f t="shared" si="77"/>
        <v>#DIV/0!</v>
      </c>
      <c r="L136" s="714"/>
      <c r="M136" s="199" t="e">
        <f>RANK(K136, K$128:$K$142)</f>
        <v>#DIV/0!</v>
      </c>
    </row>
    <row r="137" spans="2:13">
      <c r="B137" s="660"/>
      <c r="C137" s="344">
        <v>10</v>
      </c>
      <c r="D137" s="227"/>
      <c r="E137" s="344"/>
      <c r="F137" s="344"/>
      <c r="G137" s="344"/>
      <c r="H137" s="702"/>
      <c r="I137" s="199" t="e">
        <f t="shared" si="76"/>
        <v>#DIV/0!</v>
      </c>
      <c r="J137" s="199" t="e">
        <f t="shared" si="76"/>
        <v>#DIV/0!</v>
      </c>
      <c r="K137" s="199" t="e">
        <f t="shared" si="77"/>
        <v>#DIV/0!</v>
      </c>
      <c r="L137" s="714"/>
      <c r="M137" s="199" t="e">
        <f>RANK(K137, K$128:$K$142)</f>
        <v>#DIV/0!</v>
      </c>
    </row>
    <row r="138" spans="2:13">
      <c r="B138" s="660"/>
      <c r="C138" s="344">
        <v>11</v>
      </c>
      <c r="D138" s="227"/>
      <c r="E138" s="344"/>
      <c r="F138" s="344"/>
      <c r="G138" s="344"/>
      <c r="H138" s="702"/>
      <c r="I138" s="199"/>
      <c r="J138" s="199"/>
      <c r="K138" s="199"/>
      <c r="L138" s="714"/>
      <c r="M138" s="199" t="e">
        <f>RANK(K138, K$128:$K$142)</f>
        <v>#DIV/0!</v>
      </c>
    </row>
    <row r="139" spans="2:13">
      <c r="B139" s="660"/>
      <c r="C139" s="344">
        <v>12</v>
      </c>
      <c r="D139" s="227"/>
      <c r="E139" s="344"/>
      <c r="F139" s="344"/>
      <c r="G139" s="344"/>
      <c r="H139" s="702"/>
      <c r="I139" s="199"/>
      <c r="J139" s="199"/>
      <c r="K139" s="199"/>
      <c r="L139" s="714"/>
      <c r="M139" s="199" t="e">
        <f>RANK(K139, K$128:$K$142)</f>
        <v>#DIV/0!</v>
      </c>
    </row>
    <row r="140" spans="2:13">
      <c r="B140" s="660"/>
      <c r="C140" s="344">
        <v>13</v>
      </c>
      <c r="D140" s="227"/>
      <c r="E140" s="344"/>
      <c r="F140" s="344"/>
      <c r="G140" s="344"/>
      <c r="H140" s="702"/>
      <c r="I140" s="199"/>
      <c r="J140" s="199"/>
      <c r="K140" s="199"/>
      <c r="L140" s="714"/>
      <c r="M140" s="199" t="e">
        <f>RANK(K140, K$128:$K$142)</f>
        <v>#DIV/0!</v>
      </c>
    </row>
    <row r="141" spans="2:13">
      <c r="B141" s="660"/>
      <c r="C141" s="344">
        <v>14</v>
      </c>
      <c r="D141" s="227"/>
      <c r="E141" s="344"/>
      <c r="F141" s="344"/>
      <c r="G141" s="344"/>
      <c r="H141" s="702"/>
      <c r="I141" s="199"/>
      <c r="J141" s="199"/>
      <c r="K141" s="199"/>
      <c r="L141" s="714"/>
      <c r="M141" s="199" t="e">
        <f>RANK(K141, K$128:$K$142)</f>
        <v>#DIV/0!</v>
      </c>
    </row>
    <row r="142" spans="2:13">
      <c r="B142" s="660"/>
      <c r="C142" s="344">
        <v>15</v>
      </c>
      <c r="D142" s="227"/>
      <c r="E142" s="344"/>
      <c r="F142" s="344"/>
      <c r="G142" s="344"/>
      <c r="H142" s="703"/>
      <c r="I142" s="199"/>
      <c r="J142" s="199"/>
      <c r="K142" s="199"/>
      <c r="L142" s="715"/>
      <c r="M142" s="19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22" zoomScale="55" zoomScaleNormal="55" workbookViewId="0">
      <pane xSplit="15" topLeftCell="P1" activePane="topRight" state="frozen"/>
      <selection activeCell="P2" sqref="P2:AN2"/>
      <selection pane="topRight" activeCell="D55" sqref="D55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22" t="s">
        <v>332</v>
      </c>
      <c r="C1" s="221">
        <f>AVERAGE(L7,L27,L47,L67,L87,L107)</f>
        <v>121.67688101190991</v>
      </c>
    </row>
    <row r="2" spans="1:54" ht="15.75">
      <c r="A2" s="81"/>
      <c r="B2" s="664" t="s">
        <v>163</v>
      </c>
      <c r="C2" s="664"/>
      <c r="D2" s="664"/>
      <c r="E2" s="664"/>
      <c r="F2" s="664"/>
      <c r="G2" s="664"/>
      <c r="H2" s="664"/>
      <c r="I2" s="310"/>
      <c r="J2" s="310"/>
      <c r="K2" s="310"/>
      <c r="L2" s="310"/>
      <c r="M2" s="197"/>
      <c r="N2" s="653" t="s">
        <v>156</v>
      </c>
      <c r="O2" s="653" t="s">
        <v>155</v>
      </c>
      <c r="P2" s="710"/>
      <c r="Q2" s="711"/>
      <c r="R2" s="711"/>
      <c r="S2" s="711"/>
      <c r="T2" s="712"/>
      <c r="U2" s="659"/>
      <c r="V2" s="660"/>
      <c r="W2" s="660"/>
      <c r="X2" s="660"/>
      <c r="Y2" s="660"/>
      <c r="Z2" s="659"/>
      <c r="AA2" s="660"/>
      <c r="AB2" s="660"/>
      <c r="AC2" s="660"/>
      <c r="AD2" s="660"/>
      <c r="AE2" s="659"/>
      <c r="AF2" s="660"/>
      <c r="AG2" s="660"/>
      <c r="AH2" s="660"/>
      <c r="AI2" s="660"/>
      <c r="AJ2" s="659"/>
      <c r="AK2" s="660"/>
      <c r="AL2" s="660"/>
      <c r="AM2" s="660"/>
      <c r="AN2" s="660"/>
      <c r="AO2" s="659">
        <v>46054</v>
      </c>
      <c r="AP2" s="660"/>
      <c r="AQ2" s="660"/>
      <c r="AR2" s="660"/>
      <c r="AS2" s="660"/>
      <c r="AT2" s="659">
        <f t="shared" ref="AT2" si="0">AO2+1</f>
        <v>46055</v>
      </c>
      <c r="AU2" s="660"/>
      <c r="AV2" s="660"/>
      <c r="AW2" s="660"/>
      <c r="AX2" s="660"/>
    </row>
    <row r="3" spans="1:54" ht="15.75">
      <c r="A3" s="81"/>
      <c r="B3" s="683"/>
      <c r="C3" s="683"/>
      <c r="D3" s="683"/>
      <c r="E3" s="683"/>
      <c r="F3" s="683"/>
      <c r="G3" s="683"/>
      <c r="H3" s="683"/>
      <c r="I3" s="311"/>
      <c r="J3" s="311"/>
      <c r="K3" s="311"/>
      <c r="L3" s="311"/>
      <c r="M3" s="198"/>
      <c r="N3" s="655"/>
      <c r="O3" s="655"/>
      <c r="P3" s="656" t="s">
        <v>158</v>
      </c>
      <c r="Q3" s="657"/>
      <c r="R3" s="657"/>
      <c r="S3" s="657"/>
      <c r="T3" s="658"/>
      <c r="U3" s="656" t="s">
        <v>114</v>
      </c>
      <c r="V3" s="657"/>
      <c r="W3" s="657"/>
      <c r="X3" s="657"/>
      <c r="Y3" s="658"/>
      <c r="Z3" s="656" t="s">
        <v>159</v>
      </c>
      <c r="AA3" s="657"/>
      <c r="AB3" s="657"/>
      <c r="AC3" s="657"/>
      <c r="AD3" s="658"/>
      <c r="AE3" s="656" t="s">
        <v>157</v>
      </c>
      <c r="AF3" s="657"/>
      <c r="AG3" s="657"/>
      <c r="AH3" s="657"/>
      <c r="AI3" s="658"/>
      <c r="AJ3" s="656" t="s">
        <v>160</v>
      </c>
      <c r="AK3" s="657"/>
      <c r="AL3" s="657"/>
      <c r="AM3" s="657"/>
      <c r="AN3" s="658"/>
      <c r="AO3" s="656" t="s">
        <v>161</v>
      </c>
      <c r="AP3" s="657"/>
      <c r="AQ3" s="657"/>
      <c r="AR3" s="657"/>
      <c r="AS3" s="658"/>
      <c r="AT3" s="656" t="s">
        <v>162</v>
      </c>
      <c r="AU3" s="657"/>
      <c r="AV3" s="657"/>
      <c r="AW3" s="657"/>
      <c r="AX3" s="658"/>
    </row>
    <row r="4" spans="1:54">
      <c r="A4" s="81"/>
      <c r="B4" s="652" t="s">
        <v>859</v>
      </c>
      <c r="C4" s="652" t="s">
        <v>860</v>
      </c>
      <c r="D4" s="652"/>
      <c r="E4" s="652" t="s">
        <v>861</v>
      </c>
      <c r="F4" s="652"/>
      <c r="G4" s="652"/>
      <c r="H4" s="668" t="s">
        <v>862</v>
      </c>
      <c r="I4" s="652" t="s">
        <v>863</v>
      </c>
      <c r="J4" s="652"/>
      <c r="K4" s="652"/>
      <c r="L4" s="668" t="s">
        <v>862</v>
      </c>
      <c r="M4" s="653" t="s">
        <v>864</v>
      </c>
      <c r="N4" s="652"/>
      <c r="O4" s="652" t="s">
        <v>478</v>
      </c>
      <c r="P4" s="649" t="s">
        <v>430</v>
      </c>
      <c r="Q4" s="650"/>
      <c r="R4" s="650"/>
      <c r="S4" s="651"/>
      <c r="T4" s="652" t="s">
        <v>428</v>
      </c>
      <c r="U4" s="649" t="s">
        <v>430</v>
      </c>
      <c r="V4" s="650"/>
      <c r="W4" s="650"/>
      <c r="X4" s="651"/>
      <c r="Y4" s="652" t="s">
        <v>428</v>
      </c>
      <c r="Z4" s="649" t="s">
        <v>430</v>
      </c>
      <c r="AA4" s="650"/>
      <c r="AB4" s="650"/>
      <c r="AC4" s="651"/>
      <c r="AD4" s="652" t="s">
        <v>428</v>
      </c>
      <c r="AE4" s="649" t="s">
        <v>430</v>
      </c>
      <c r="AF4" s="650"/>
      <c r="AG4" s="650"/>
      <c r="AH4" s="651"/>
      <c r="AI4" s="652" t="s">
        <v>428</v>
      </c>
      <c r="AJ4" s="649" t="s">
        <v>430</v>
      </c>
      <c r="AK4" s="650"/>
      <c r="AL4" s="650"/>
      <c r="AM4" s="651"/>
      <c r="AN4" s="652" t="s">
        <v>428</v>
      </c>
      <c r="AO4" s="649" t="s">
        <v>430</v>
      </c>
      <c r="AP4" s="650"/>
      <c r="AQ4" s="650"/>
      <c r="AR4" s="651"/>
      <c r="AS4" s="652" t="s">
        <v>428</v>
      </c>
      <c r="AT4" s="649" t="s">
        <v>430</v>
      </c>
      <c r="AU4" s="650"/>
      <c r="AV4" s="650"/>
      <c r="AW4" s="651"/>
      <c r="AX4" s="652" t="s">
        <v>428</v>
      </c>
    </row>
    <row r="5" spans="1:54">
      <c r="A5" s="81"/>
      <c r="B5" s="652"/>
      <c r="C5" s="652"/>
      <c r="D5" s="652"/>
      <c r="E5" s="652" t="s">
        <v>866</v>
      </c>
      <c r="F5" s="652"/>
      <c r="G5" s="652"/>
      <c r="H5" s="669"/>
      <c r="I5" s="652" t="s">
        <v>866</v>
      </c>
      <c r="J5" s="652"/>
      <c r="K5" s="652"/>
      <c r="L5" s="669"/>
      <c r="M5" s="654"/>
      <c r="N5" s="652"/>
      <c r="O5" s="652"/>
      <c r="P5" s="649" t="s">
        <v>853</v>
      </c>
      <c r="Q5" s="650"/>
      <c r="R5" s="650"/>
      <c r="S5" s="651"/>
      <c r="T5" s="652"/>
      <c r="U5" s="649" t="s">
        <v>853</v>
      </c>
      <c r="V5" s="650"/>
      <c r="W5" s="650"/>
      <c r="X5" s="651"/>
      <c r="Y5" s="652"/>
      <c r="Z5" s="649" t="s">
        <v>853</v>
      </c>
      <c r="AA5" s="650"/>
      <c r="AB5" s="650"/>
      <c r="AC5" s="651"/>
      <c r="AD5" s="652"/>
      <c r="AE5" s="649" t="s">
        <v>853</v>
      </c>
      <c r="AF5" s="650"/>
      <c r="AG5" s="650"/>
      <c r="AH5" s="651"/>
      <c r="AI5" s="652"/>
      <c r="AJ5" s="649" t="s">
        <v>853</v>
      </c>
      <c r="AK5" s="650"/>
      <c r="AL5" s="650"/>
      <c r="AM5" s="651"/>
      <c r="AN5" s="652"/>
      <c r="AO5" s="649" t="s">
        <v>853</v>
      </c>
      <c r="AP5" s="650"/>
      <c r="AQ5" s="650"/>
      <c r="AR5" s="651"/>
      <c r="AS5" s="652"/>
      <c r="AT5" s="649" t="s">
        <v>853</v>
      </c>
      <c r="AU5" s="650"/>
      <c r="AV5" s="650"/>
      <c r="AW5" s="651"/>
      <c r="AX5" s="652"/>
    </row>
    <row r="6" spans="1:54">
      <c r="A6" s="79"/>
      <c r="B6" s="652"/>
      <c r="C6" s="652"/>
      <c r="D6" s="652"/>
      <c r="E6" s="518" t="s">
        <v>867</v>
      </c>
      <c r="F6" s="518" t="s">
        <v>868</v>
      </c>
      <c r="G6" s="518" t="s">
        <v>869</v>
      </c>
      <c r="H6" s="670"/>
      <c r="I6" s="518" t="s">
        <v>867</v>
      </c>
      <c r="J6" s="518" t="s">
        <v>868</v>
      </c>
      <c r="K6" s="518" t="s">
        <v>869</v>
      </c>
      <c r="L6" s="670"/>
      <c r="M6" s="655"/>
      <c r="N6" s="652"/>
      <c r="O6" s="652"/>
      <c r="P6" s="518" t="s">
        <v>437</v>
      </c>
      <c r="Q6" s="518" t="s">
        <v>855</v>
      </c>
      <c r="R6" s="518" t="s">
        <v>856</v>
      </c>
      <c r="S6" s="518" t="s">
        <v>429</v>
      </c>
      <c r="T6" s="652"/>
      <c r="U6" s="518" t="s">
        <v>437</v>
      </c>
      <c r="V6" s="518" t="s">
        <v>855</v>
      </c>
      <c r="W6" s="518" t="s">
        <v>856</v>
      </c>
      <c r="X6" s="518" t="s">
        <v>429</v>
      </c>
      <c r="Y6" s="652"/>
      <c r="Z6" s="518" t="s">
        <v>437</v>
      </c>
      <c r="AA6" s="518" t="s">
        <v>855</v>
      </c>
      <c r="AB6" s="518" t="s">
        <v>856</v>
      </c>
      <c r="AC6" s="518" t="s">
        <v>429</v>
      </c>
      <c r="AD6" s="652"/>
      <c r="AE6" s="518" t="s">
        <v>437</v>
      </c>
      <c r="AF6" s="518" t="s">
        <v>855</v>
      </c>
      <c r="AG6" s="518" t="s">
        <v>856</v>
      </c>
      <c r="AH6" s="518" t="s">
        <v>429</v>
      </c>
      <c r="AI6" s="652"/>
      <c r="AJ6" s="518" t="s">
        <v>437</v>
      </c>
      <c r="AK6" s="518" t="s">
        <v>855</v>
      </c>
      <c r="AL6" s="518" t="s">
        <v>856</v>
      </c>
      <c r="AM6" s="518" t="s">
        <v>429</v>
      </c>
      <c r="AN6" s="652"/>
      <c r="AO6" s="518" t="s">
        <v>437</v>
      </c>
      <c r="AP6" s="518" t="s">
        <v>855</v>
      </c>
      <c r="AQ6" s="518" t="s">
        <v>856</v>
      </c>
      <c r="AR6" s="518" t="s">
        <v>429</v>
      </c>
      <c r="AS6" s="652"/>
      <c r="AT6" s="518" t="s">
        <v>437</v>
      </c>
      <c r="AU6" s="518" t="s">
        <v>855</v>
      </c>
      <c r="AV6" s="518" t="s">
        <v>856</v>
      </c>
      <c r="AW6" s="518" t="s">
        <v>429</v>
      </c>
      <c r="AX6" s="652"/>
    </row>
    <row r="7" spans="1:54">
      <c r="A7" s="81"/>
      <c r="B7" s="652" t="s">
        <v>136</v>
      </c>
      <c r="C7" s="519">
        <v>1</v>
      </c>
      <c r="D7" s="502" t="s">
        <v>389</v>
      </c>
      <c r="E7" s="522">
        <v>20</v>
      </c>
      <c r="F7" s="522">
        <v>2200</v>
      </c>
      <c r="G7" s="522">
        <v>110</v>
      </c>
      <c r="H7" s="724">
        <f>AVERAGE(G7:G21)</f>
        <v>137.58479532163742</v>
      </c>
      <c r="I7" s="522">
        <f>AVERAGE(P7,U7,Z7,AE7,AJ7,AO7,AT7)</f>
        <v>20</v>
      </c>
      <c r="J7" s="522">
        <f>AVERAGE(Q7,V7,AA7,AF7,AK7,AP7,AU7)</f>
        <v>2131.8062317429417</v>
      </c>
      <c r="K7" s="517">
        <f>AVERAGE(R7,W7,AB7,AG7,AL7,AQ7,AV7)</f>
        <v>106.59031158714708</v>
      </c>
      <c r="L7" s="696">
        <f>AVERAGE(K7:K21)</f>
        <v>120.54472074559889</v>
      </c>
      <c r="M7" s="521">
        <f>RANK(K7, K$7:$K$21)</f>
        <v>4</v>
      </c>
      <c r="N7" s="652"/>
      <c r="O7" s="652"/>
      <c r="P7" s="519"/>
      <c r="Q7" s="522"/>
      <c r="R7" s="522"/>
      <c r="S7" s="519" t="e">
        <f>RANK(R7, R$7:R$21)</f>
        <v>#N/A</v>
      </c>
      <c r="T7" s="699" t="e">
        <f>AVERAGE(R7:R21)</f>
        <v>#DIV/0!</v>
      </c>
      <c r="U7" s="519"/>
      <c r="V7" s="522"/>
      <c r="W7" s="522"/>
      <c r="X7" s="519" t="e">
        <f>RANK(W7, W$7:W$21)</f>
        <v>#N/A</v>
      </c>
      <c r="Y7" s="699" t="e">
        <f>AVERAGE(W7:W21)</f>
        <v>#DIV/0!</v>
      </c>
      <c r="Z7" s="556"/>
      <c r="AA7" s="558"/>
      <c r="AB7" s="558"/>
      <c r="AC7" s="519" t="e">
        <f>RANK(AB7, AB$7:AB$21)</f>
        <v>#N/A</v>
      </c>
      <c r="AD7" s="699" t="e">
        <f>AVERAGE(AB7:AB21)</f>
        <v>#DIV/0!</v>
      </c>
      <c r="AE7" s="556"/>
      <c r="AF7" s="558"/>
      <c r="AG7" s="558"/>
      <c r="AH7" s="519" t="e">
        <f>RANK(AG7, AG$7:AG$21)</f>
        <v>#N/A</v>
      </c>
      <c r="AI7" s="699" t="e">
        <f>AVERAGE(AG7:AG21)</f>
        <v>#DIV/0!</v>
      </c>
      <c r="AJ7" s="556"/>
      <c r="AK7" s="558"/>
      <c r="AL7" s="558"/>
      <c r="AM7" s="519" t="e">
        <f>RANK(AL7, AL$7:AL$21)</f>
        <v>#N/A</v>
      </c>
      <c r="AN7" s="699" t="e">
        <f>AVERAGE(AL7:AL21)</f>
        <v>#DIV/0!</v>
      </c>
      <c r="AO7" s="182">
        <v>20</v>
      </c>
      <c r="AP7" s="182">
        <v>2118.2278481012668</v>
      </c>
      <c r="AQ7" s="182">
        <v>105.91139240506334</v>
      </c>
      <c r="AR7" s="519">
        <f>RANK(AQ7, AQ$7:AQ$21)</f>
        <v>4</v>
      </c>
      <c r="AS7" s="699">
        <f>AVERAGE(AQ7:AQ21)</f>
        <v>120.91071303457454</v>
      </c>
      <c r="AT7" s="182">
        <v>20</v>
      </c>
      <c r="AU7" s="182">
        <v>2145.3846153846166</v>
      </c>
      <c r="AV7" s="182">
        <v>107.26923076923083</v>
      </c>
      <c r="AW7" s="519">
        <f>RANK(AV7, AV$7:AV$21)</f>
        <v>4</v>
      </c>
      <c r="AX7" s="699">
        <f>AVERAGE(AV7:AV21)</f>
        <v>120.1787284566232</v>
      </c>
      <c r="AZ7" s="363" t="e">
        <f>RANK(AX7, $K$7:AX$21)</f>
        <v>#N/A</v>
      </c>
      <c r="BB7" s="360" t="e">
        <f>RANK(BA7, BA$7:BA$21)</f>
        <v>#N/A</v>
      </c>
    </row>
    <row r="8" spans="1:54" ht="15" customHeight="1">
      <c r="A8" s="81"/>
      <c r="B8" s="685"/>
      <c r="C8" s="519">
        <v>2</v>
      </c>
      <c r="D8" s="502" t="s">
        <v>390</v>
      </c>
      <c r="E8" s="522">
        <v>18</v>
      </c>
      <c r="F8" s="522">
        <v>2700</v>
      </c>
      <c r="G8" s="522">
        <v>150</v>
      </c>
      <c r="H8" s="725"/>
      <c r="I8" s="522">
        <f t="shared" ref="I8:I11" si="1">AVERAGE(P8,U8,Z8,AE8,AJ8,AO8,AT8)</f>
        <v>19</v>
      </c>
      <c r="J8" s="522">
        <f t="shared" ref="J8:J11" si="2">AVERAGE(Q8,V8,AA8,AF8,AK8,AP8,AU8)</f>
        <v>2469.6221198156682</v>
      </c>
      <c r="K8" s="517">
        <f t="shared" ref="K8:K11" si="3">AVERAGE(R8,W8,AB8,AG8,AL8,AQ8,AV8)</f>
        <v>129.98011156924568</v>
      </c>
      <c r="L8" s="697"/>
      <c r="M8" s="521">
        <f>RANK(K8, K$7:$K$21)</f>
        <v>3</v>
      </c>
      <c r="N8" s="652"/>
      <c r="O8" s="652"/>
      <c r="P8" s="519"/>
      <c r="Q8" s="522"/>
      <c r="R8" s="522"/>
      <c r="S8" s="519" t="e">
        <f t="shared" ref="S8:S21" si="4">RANK(R8, R$7:R$21)</f>
        <v>#N/A</v>
      </c>
      <c r="T8" s="699"/>
      <c r="U8" s="519"/>
      <c r="V8" s="522"/>
      <c r="W8" s="522"/>
      <c r="X8" s="519" t="e">
        <f t="shared" ref="X8:X21" si="5">RANK(W8, W$7:W$21)</f>
        <v>#N/A</v>
      </c>
      <c r="Y8" s="699"/>
      <c r="Z8" s="556"/>
      <c r="AA8" s="558"/>
      <c r="AB8" s="558"/>
      <c r="AC8" s="519" t="e">
        <f t="shared" ref="AC8:AC21" si="6">RANK(AB8, AB$7:AB$21)</f>
        <v>#N/A</v>
      </c>
      <c r="AD8" s="699"/>
      <c r="AE8" s="556"/>
      <c r="AF8" s="558"/>
      <c r="AG8" s="558"/>
      <c r="AH8" s="519" t="e">
        <f t="shared" ref="AH8:AH21" si="7">RANK(AG8, AG$7:AG$21)</f>
        <v>#N/A</v>
      </c>
      <c r="AI8" s="699"/>
      <c r="AJ8" s="556"/>
      <c r="AK8" s="558"/>
      <c r="AL8" s="558"/>
      <c r="AM8" s="519" t="e">
        <f t="shared" ref="AM8:AM21" si="8">RANK(AL8, AL$7:AL$21)</f>
        <v>#N/A</v>
      </c>
      <c r="AN8" s="699"/>
      <c r="AO8" s="182">
        <v>19</v>
      </c>
      <c r="AP8" s="182">
        <v>2508.3870967741959</v>
      </c>
      <c r="AQ8" s="182">
        <v>132.02037351443136</v>
      </c>
      <c r="AR8" s="519">
        <f t="shared" ref="AR8:AR21" si="9">RANK(AQ8, AQ$7:AQ$21)</f>
        <v>2</v>
      </c>
      <c r="AS8" s="699"/>
      <c r="AT8" s="182">
        <v>19</v>
      </c>
      <c r="AU8" s="182">
        <v>2430.8571428571404</v>
      </c>
      <c r="AV8" s="182">
        <v>127.93984962406002</v>
      </c>
      <c r="AW8" s="519">
        <f t="shared" ref="AW8:AW21" si="10">RANK(AV8, AV$7:AV$21)</f>
        <v>3</v>
      </c>
      <c r="AX8" s="699"/>
      <c r="AZ8" s="363" t="e">
        <f>RANK(AX8, $K$7:AX$21)</f>
        <v>#N/A</v>
      </c>
      <c r="BB8" s="360" t="e">
        <f t="shared" ref="BB8:BB21" si="11">RANK(BA8, BA$7:BA$21)</f>
        <v>#N/A</v>
      </c>
    </row>
    <row r="9" spans="1:54">
      <c r="A9" s="81"/>
      <c r="B9" s="685"/>
      <c r="C9" s="519">
        <v>3</v>
      </c>
      <c r="D9" s="502" t="s">
        <v>391</v>
      </c>
      <c r="E9" s="522">
        <v>18</v>
      </c>
      <c r="F9" s="522">
        <v>2800</v>
      </c>
      <c r="G9" s="522">
        <v>155.55555555555554</v>
      </c>
      <c r="H9" s="725"/>
      <c r="I9" s="522">
        <f t="shared" si="1"/>
        <v>19</v>
      </c>
      <c r="J9" s="522">
        <f t="shared" si="2"/>
        <v>2470.0707070707067</v>
      </c>
      <c r="K9" s="517">
        <f t="shared" si="3"/>
        <v>130.00372142477403</v>
      </c>
      <c r="L9" s="697"/>
      <c r="M9" s="521">
        <f>RANK(K9, K$7:$K$21)</f>
        <v>2</v>
      </c>
      <c r="N9" s="652"/>
      <c r="O9" s="652"/>
      <c r="P9" s="519"/>
      <c r="Q9" s="522"/>
      <c r="R9" s="522"/>
      <c r="S9" s="519" t="e">
        <f t="shared" si="4"/>
        <v>#N/A</v>
      </c>
      <c r="T9" s="699"/>
      <c r="U9" s="519"/>
      <c r="V9" s="522"/>
      <c r="W9" s="522"/>
      <c r="X9" s="519" t="e">
        <f t="shared" si="5"/>
        <v>#N/A</v>
      </c>
      <c r="Y9" s="699"/>
      <c r="Z9" s="556"/>
      <c r="AA9" s="558"/>
      <c r="AB9" s="558"/>
      <c r="AC9" s="519" t="e">
        <f t="shared" si="6"/>
        <v>#N/A</v>
      </c>
      <c r="AD9" s="699"/>
      <c r="AE9" s="556"/>
      <c r="AF9" s="558"/>
      <c r="AG9" s="558"/>
      <c r="AH9" s="519" t="e">
        <f t="shared" si="7"/>
        <v>#N/A</v>
      </c>
      <c r="AI9" s="699"/>
      <c r="AJ9" s="556"/>
      <c r="AK9" s="558"/>
      <c r="AL9" s="558"/>
      <c r="AM9" s="519" t="e">
        <f t="shared" si="8"/>
        <v>#N/A</v>
      </c>
      <c r="AN9" s="699"/>
      <c r="AO9" s="182">
        <v>19</v>
      </c>
      <c r="AP9" s="182">
        <v>2452.3636363636342</v>
      </c>
      <c r="AQ9" s="182">
        <v>129.07177033492812</v>
      </c>
      <c r="AR9" s="519">
        <f t="shared" si="9"/>
        <v>3</v>
      </c>
      <c r="AS9" s="699"/>
      <c r="AT9" s="182">
        <v>19</v>
      </c>
      <c r="AU9" s="182">
        <v>2487.7777777777792</v>
      </c>
      <c r="AV9" s="182">
        <v>130.93567251461997</v>
      </c>
      <c r="AW9" s="519">
        <f t="shared" si="10"/>
        <v>1</v>
      </c>
      <c r="AX9" s="699"/>
      <c r="AZ9" s="363" t="e">
        <f>RANK(AX9, $K$7:AX$21)</f>
        <v>#N/A</v>
      </c>
      <c r="BB9" s="360" t="e">
        <f t="shared" si="11"/>
        <v>#N/A</v>
      </c>
    </row>
    <row r="10" spans="1:54">
      <c r="A10" s="81"/>
      <c r="B10" s="685"/>
      <c r="C10" s="519">
        <v>4</v>
      </c>
      <c r="D10" s="502" t="s">
        <v>392</v>
      </c>
      <c r="E10" s="522">
        <v>19</v>
      </c>
      <c r="F10" s="522">
        <v>2800</v>
      </c>
      <c r="G10" s="522">
        <v>147.36842105263159</v>
      </c>
      <c r="H10" s="725"/>
      <c r="I10" s="522">
        <f t="shared" si="1"/>
        <v>19</v>
      </c>
      <c r="J10" s="522">
        <f t="shared" si="2"/>
        <v>2486.8177457677461</v>
      </c>
      <c r="K10" s="517">
        <f t="shared" si="3"/>
        <v>130.88514451409191</v>
      </c>
      <c r="L10" s="697"/>
      <c r="M10" s="521">
        <f>RANK(K10, K$7:$K$21)</f>
        <v>1</v>
      </c>
      <c r="N10" s="652"/>
      <c r="O10" s="652"/>
      <c r="P10" s="519"/>
      <c r="Q10" s="522"/>
      <c r="R10" s="522"/>
      <c r="S10" s="519" t="e">
        <f t="shared" si="4"/>
        <v>#N/A</v>
      </c>
      <c r="T10" s="699"/>
      <c r="U10" s="519"/>
      <c r="V10" s="522"/>
      <c r="W10" s="522"/>
      <c r="X10" s="519" t="e">
        <f t="shared" si="5"/>
        <v>#N/A</v>
      </c>
      <c r="Y10" s="699"/>
      <c r="Z10" s="556"/>
      <c r="AA10" s="558"/>
      <c r="AB10" s="558"/>
      <c r="AC10" s="519" t="e">
        <f t="shared" si="6"/>
        <v>#N/A</v>
      </c>
      <c r="AD10" s="699"/>
      <c r="AE10" s="556"/>
      <c r="AF10" s="558"/>
      <c r="AG10" s="558"/>
      <c r="AH10" s="519" t="e">
        <f t="shared" si="7"/>
        <v>#N/A</v>
      </c>
      <c r="AI10" s="699"/>
      <c r="AJ10" s="556"/>
      <c r="AK10" s="558"/>
      <c r="AL10" s="558"/>
      <c r="AM10" s="519" t="e">
        <f t="shared" si="8"/>
        <v>#N/A</v>
      </c>
      <c r="AN10" s="699"/>
      <c r="AO10" s="182">
        <v>19</v>
      </c>
      <c r="AP10" s="182">
        <v>2518.0219780219777</v>
      </c>
      <c r="AQ10" s="182">
        <v>132.5274725274725</v>
      </c>
      <c r="AR10" s="519">
        <f t="shared" si="9"/>
        <v>1</v>
      </c>
      <c r="AS10" s="699"/>
      <c r="AT10" s="182">
        <v>19</v>
      </c>
      <c r="AU10" s="182">
        <v>2455.6135135135146</v>
      </c>
      <c r="AV10" s="182">
        <v>129.24281650071129</v>
      </c>
      <c r="AW10" s="519">
        <f t="shared" si="10"/>
        <v>2</v>
      </c>
      <c r="AX10" s="699"/>
      <c r="AZ10" s="363" t="e">
        <f>RANK(AX10, $K$7:AX$21)</f>
        <v>#N/A</v>
      </c>
      <c r="BB10" s="360" t="e">
        <f t="shared" si="11"/>
        <v>#N/A</v>
      </c>
    </row>
    <row r="11" spans="1:54">
      <c r="A11" s="81"/>
      <c r="B11" s="685"/>
      <c r="C11" s="519">
        <v>5</v>
      </c>
      <c r="D11" s="502" t="s">
        <v>782</v>
      </c>
      <c r="E11" s="522">
        <v>18</v>
      </c>
      <c r="F11" s="522">
        <v>2250</v>
      </c>
      <c r="G11" s="522">
        <v>125</v>
      </c>
      <c r="H11" s="725"/>
      <c r="I11" s="522">
        <f t="shared" si="1"/>
        <v>19</v>
      </c>
      <c r="J11" s="522">
        <f t="shared" si="2"/>
        <v>2000.0219780219791</v>
      </c>
      <c r="K11" s="517">
        <f t="shared" si="3"/>
        <v>105.26431463273573</v>
      </c>
      <c r="L11" s="697"/>
      <c r="M11" s="521">
        <f>RANK(K11, K$7:$K$21)</f>
        <v>5</v>
      </c>
      <c r="N11" s="652"/>
      <c r="O11" s="652"/>
      <c r="P11" s="519"/>
      <c r="Q11" s="522"/>
      <c r="R11" s="522"/>
      <c r="S11" s="519" t="e">
        <f t="shared" si="4"/>
        <v>#N/A</v>
      </c>
      <c r="T11" s="699"/>
      <c r="U11" s="519"/>
      <c r="V11" s="522"/>
      <c r="W11" s="522"/>
      <c r="X11" s="519" t="e">
        <f t="shared" si="5"/>
        <v>#N/A</v>
      </c>
      <c r="Y11" s="699"/>
      <c r="Z11" s="556"/>
      <c r="AA11" s="558"/>
      <c r="AB11" s="558"/>
      <c r="AC11" s="519" t="e">
        <f t="shared" si="6"/>
        <v>#N/A</v>
      </c>
      <c r="AD11" s="699"/>
      <c r="AE11" s="556"/>
      <c r="AF11" s="558"/>
      <c r="AG11" s="558"/>
      <c r="AH11" s="519" t="e">
        <f t="shared" si="7"/>
        <v>#N/A</v>
      </c>
      <c r="AI11" s="699"/>
      <c r="AJ11" s="556"/>
      <c r="AK11" s="558"/>
      <c r="AL11" s="558"/>
      <c r="AM11" s="519" t="e">
        <f t="shared" si="8"/>
        <v>#N/A</v>
      </c>
      <c r="AN11" s="699"/>
      <c r="AO11" s="182">
        <v>19</v>
      </c>
      <c r="AP11" s="182">
        <v>1995.428571428572</v>
      </c>
      <c r="AQ11" s="182">
        <v>105.02255639097747</v>
      </c>
      <c r="AR11" s="519">
        <f t="shared" si="9"/>
        <v>5</v>
      </c>
      <c r="AS11" s="699"/>
      <c r="AT11" s="182">
        <v>19</v>
      </c>
      <c r="AU11" s="182">
        <v>2004.6153846153859</v>
      </c>
      <c r="AV11" s="182">
        <v>105.506072874494</v>
      </c>
      <c r="AW11" s="519">
        <f t="shared" si="10"/>
        <v>5</v>
      </c>
      <c r="AX11" s="699"/>
      <c r="AZ11" s="363" t="e">
        <f>RANK(AX11, $K$7:AX$21)</f>
        <v>#N/A</v>
      </c>
      <c r="BB11" s="360" t="e">
        <f t="shared" si="11"/>
        <v>#N/A</v>
      </c>
    </row>
    <row r="12" spans="1:54">
      <c r="A12" s="81"/>
      <c r="B12" s="685"/>
      <c r="C12" s="519">
        <v>6</v>
      </c>
      <c r="D12" s="502"/>
      <c r="E12" s="522" t="s">
        <v>779</v>
      </c>
      <c r="F12" s="522" t="s">
        <v>779</v>
      </c>
      <c r="G12" s="522" t="s">
        <v>779</v>
      </c>
      <c r="H12" s="725"/>
      <c r="I12" s="522"/>
      <c r="J12" s="522"/>
      <c r="K12" s="517"/>
      <c r="L12" s="697"/>
      <c r="M12" s="521" t="e">
        <f>RANK(K12, K$7:$K$21)</f>
        <v>#N/A</v>
      </c>
      <c r="N12" s="652"/>
      <c r="O12" s="652"/>
      <c r="P12" s="519"/>
      <c r="Q12" s="522"/>
      <c r="R12" s="522"/>
      <c r="S12" s="519" t="e">
        <f t="shared" si="4"/>
        <v>#N/A</v>
      </c>
      <c r="T12" s="699"/>
      <c r="U12" s="519"/>
      <c r="V12" s="522"/>
      <c r="W12" s="522"/>
      <c r="X12" s="519" t="e">
        <f t="shared" si="5"/>
        <v>#N/A</v>
      </c>
      <c r="Y12" s="699"/>
      <c r="Z12" s="556"/>
      <c r="AA12" s="558"/>
      <c r="AB12" s="558"/>
      <c r="AC12" s="519" t="e">
        <f t="shared" si="6"/>
        <v>#N/A</v>
      </c>
      <c r="AD12" s="699"/>
      <c r="AE12" s="556"/>
      <c r="AF12" s="558"/>
      <c r="AG12" s="558"/>
      <c r="AH12" s="519" t="e">
        <f t="shared" si="7"/>
        <v>#N/A</v>
      </c>
      <c r="AI12" s="699"/>
      <c r="AJ12" s="556"/>
      <c r="AK12" s="558"/>
      <c r="AL12" s="558"/>
      <c r="AM12" s="519" t="e">
        <f t="shared" si="8"/>
        <v>#N/A</v>
      </c>
      <c r="AN12" s="699"/>
      <c r="AO12" s="556"/>
      <c r="AP12" s="558"/>
      <c r="AQ12" s="558"/>
      <c r="AR12" s="519" t="e">
        <f t="shared" si="9"/>
        <v>#N/A</v>
      </c>
      <c r="AS12" s="699"/>
      <c r="AT12" s="556"/>
      <c r="AU12" s="558"/>
      <c r="AV12" s="558"/>
      <c r="AW12" s="519" t="e">
        <f t="shared" si="10"/>
        <v>#N/A</v>
      </c>
      <c r="AX12" s="699"/>
      <c r="AZ12" s="363" t="e">
        <f>RANK(AX12, $K$7:AX$21)</f>
        <v>#N/A</v>
      </c>
      <c r="BB12" s="360" t="e">
        <f t="shared" si="11"/>
        <v>#N/A</v>
      </c>
    </row>
    <row r="13" spans="1:54">
      <c r="A13" s="81"/>
      <c r="B13" s="685"/>
      <c r="C13" s="519">
        <v>7</v>
      </c>
      <c r="D13" s="502"/>
      <c r="E13" s="522" t="s">
        <v>779</v>
      </c>
      <c r="F13" s="522" t="s">
        <v>779</v>
      </c>
      <c r="G13" s="522" t="s">
        <v>779</v>
      </c>
      <c r="H13" s="725"/>
      <c r="I13" s="522"/>
      <c r="J13" s="522"/>
      <c r="K13" s="517"/>
      <c r="L13" s="697"/>
      <c r="M13" s="521" t="e">
        <f>RANK(K13, K$7:$K$21)</f>
        <v>#N/A</v>
      </c>
      <c r="N13" s="652"/>
      <c r="O13" s="652"/>
      <c r="P13" s="519"/>
      <c r="Q13" s="522"/>
      <c r="R13" s="522"/>
      <c r="S13" s="519" t="e">
        <f t="shared" si="4"/>
        <v>#N/A</v>
      </c>
      <c r="T13" s="699"/>
      <c r="U13" s="519"/>
      <c r="V13" s="522"/>
      <c r="W13" s="522"/>
      <c r="X13" s="519" t="e">
        <f t="shared" si="5"/>
        <v>#N/A</v>
      </c>
      <c r="Y13" s="699"/>
      <c r="Z13" s="556"/>
      <c r="AA13" s="558"/>
      <c r="AB13" s="558"/>
      <c r="AC13" s="519" t="e">
        <f t="shared" si="6"/>
        <v>#N/A</v>
      </c>
      <c r="AD13" s="699"/>
      <c r="AE13" s="556"/>
      <c r="AF13" s="558"/>
      <c r="AG13" s="558"/>
      <c r="AH13" s="519" t="e">
        <f t="shared" si="7"/>
        <v>#N/A</v>
      </c>
      <c r="AI13" s="699"/>
      <c r="AJ13" s="556"/>
      <c r="AK13" s="558"/>
      <c r="AL13" s="558"/>
      <c r="AM13" s="519" t="e">
        <f t="shared" si="8"/>
        <v>#N/A</v>
      </c>
      <c r="AN13" s="699"/>
      <c r="AO13" s="556"/>
      <c r="AP13" s="558"/>
      <c r="AQ13" s="558"/>
      <c r="AR13" s="519" t="e">
        <f t="shared" si="9"/>
        <v>#N/A</v>
      </c>
      <c r="AS13" s="699"/>
      <c r="AT13" s="556"/>
      <c r="AU13" s="558"/>
      <c r="AV13" s="558"/>
      <c r="AW13" s="519" t="e">
        <f t="shared" si="10"/>
        <v>#N/A</v>
      </c>
      <c r="AX13" s="699"/>
      <c r="AZ13" s="363" t="e">
        <f>RANK(AX13, $K$7:AX$21)</f>
        <v>#N/A</v>
      </c>
      <c r="BB13" s="360" t="e">
        <f t="shared" si="11"/>
        <v>#N/A</v>
      </c>
    </row>
    <row r="14" spans="1:54">
      <c r="A14" s="81"/>
      <c r="B14" s="685"/>
      <c r="C14" s="519">
        <v>8</v>
      </c>
      <c r="D14" s="502"/>
      <c r="E14" s="522" t="s">
        <v>779</v>
      </c>
      <c r="F14" s="522" t="s">
        <v>779</v>
      </c>
      <c r="G14" s="522" t="s">
        <v>779</v>
      </c>
      <c r="H14" s="725"/>
      <c r="I14" s="522"/>
      <c r="J14" s="522"/>
      <c r="K14" s="517"/>
      <c r="L14" s="697"/>
      <c r="M14" s="521" t="e">
        <f>RANK(K14, K$7:$K$21)</f>
        <v>#N/A</v>
      </c>
      <c r="N14" s="652"/>
      <c r="O14" s="652"/>
      <c r="P14" s="519"/>
      <c r="Q14" s="522"/>
      <c r="R14" s="522"/>
      <c r="S14" s="519" t="e">
        <f t="shared" si="4"/>
        <v>#N/A</v>
      </c>
      <c r="T14" s="699"/>
      <c r="U14" s="519"/>
      <c r="V14" s="522"/>
      <c r="W14" s="522"/>
      <c r="X14" s="519" t="e">
        <f t="shared" si="5"/>
        <v>#N/A</v>
      </c>
      <c r="Y14" s="699"/>
      <c r="Z14" s="556"/>
      <c r="AA14" s="558"/>
      <c r="AB14" s="558"/>
      <c r="AC14" s="519" t="e">
        <f t="shared" si="6"/>
        <v>#N/A</v>
      </c>
      <c r="AD14" s="699"/>
      <c r="AE14" s="556"/>
      <c r="AF14" s="558"/>
      <c r="AG14" s="558"/>
      <c r="AH14" s="519" t="e">
        <f t="shared" si="7"/>
        <v>#N/A</v>
      </c>
      <c r="AI14" s="699"/>
      <c r="AJ14" s="556"/>
      <c r="AK14" s="558"/>
      <c r="AL14" s="558"/>
      <c r="AM14" s="519" t="e">
        <f t="shared" si="8"/>
        <v>#N/A</v>
      </c>
      <c r="AN14" s="699"/>
      <c r="AO14" s="556"/>
      <c r="AP14" s="558"/>
      <c r="AQ14" s="558"/>
      <c r="AR14" s="519" t="e">
        <f t="shared" si="9"/>
        <v>#N/A</v>
      </c>
      <c r="AS14" s="699"/>
      <c r="AT14" s="556"/>
      <c r="AU14" s="558"/>
      <c r="AV14" s="558"/>
      <c r="AW14" s="519" t="e">
        <f t="shared" si="10"/>
        <v>#N/A</v>
      </c>
      <c r="AX14" s="699"/>
      <c r="AZ14" s="363" t="e">
        <f>RANK(AX14, $K$7:AX$21)</f>
        <v>#N/A</v>
      </c>
      <c r="BB14" s="360" t="e">
        <f t="shared" si="11"/>
        <v>#N/A</v>
      </c>
    </row>
    <row r="15" spans="1:54">
      <c r="A15" s="81"/>
      <c r="B15" s="685"/>
      <c r="C15" s="519">
        <v>9</v>
      </c>
      <c r="D15" s="502"/>
      <c r="E15" s="522" t="s">
        <v>779</v>
      </c>
      <c r="F15" s="522" t="s">
        <v>779</v>
      </c>
      <c r="G15" s="522" t="s">
        <v>779</v>
      </c>
      <c r="H15" s="725"/>
      <c r="I15" s="522"/>
      <c r="J15" s="522"/>
      <c r="K15" s="517"/>
      <c r="L15" s="697"/>
      <c r="M15" s="521" t="e">
        <f>RANK(K15, K$7:$K$21)</f>
        <v>#N/A</v>
      </c>
      <c r="N15" s="652"/>
      <c r="O15" s="652"/>
      <c r="P15" s="519"/>
      <c r="Q15" s="522"/>
      <c r="R15" s="522"/>
      <c r="S15" s="519" t="e">
        <f t="shared" si="4"/>
        <v>#N/A</v>
      </c>
      <c r="T15" s="699"/>
      <c r="U15" s="519"/>
      <c r="V15" s="522"/>
      <c r="W15" s="522"/>
      <c r="X15" s="519" t="e">
        <f t="shared" si="5"/>
        <v>#N/A</v>
      </c>
      <c r="Y15" s="699"/>
      <c r="Z15" s="556"/>
      <c r="AA15" s="558"/>
      <c r="AB15" s="558"/>
      <c r="AC15" s="519" t="e">
        <f t="shared" si="6"/>
        <v>#N/A</v>
      </c>
      <c r="AD15" s="699"/>
      <c r="AE15" s="556"/>
      <c r="AF15" s="558"/>
      <c r="AG15" s="558"/>
      <c r="AH15" s="519" t="e">
        <f t="shared" si="7"/>
        <v>#N/A</v>
      </c>
      <c r="AI15" s="699"/>
      <c r="AJ15" s="556"/>
      <c r="AK15" s="558"/>
      <c r="AL15" s="558"/>
      <c r="AM15" s="519" t="e">
        <f t="shared" si="8"/>
        <v>#N/A</v>
      </c>
      <c r="AN15" s="699"/>
      <c r="AO15" s="556"/>
      <c r="AP15" s="558"/>
      <c r="AQ15" s="558"/>
      <c r="AR15" s="519" t="e">
        <f t="shared" si="9"/>
        <v>#N/A</v>
      </c>
      <c r="AS15" s="699"/>
      <c r="AT15" s="556"/>
      <c r="AU15" s="558"/>
      <c r="AV15" s="558"/>
      <c r="AW15" s="519" t="e">
        <f t="shared" si="10"/>
        <v>#N/A</v>
      </c>
      <c r="AX15" s="699"/>
      <c r="AZ15" s="363" t="e">
        <f>RANK(AX15, $K$7:AX$21)</f>
        <v>#N/A</v>
      </c>
      <c r="BB15" s="360" t="e">
        <f t="shared" si="11"/>
        <v>#N/A</v>
      </c>
    </row>
    <row r="16" spans="1:54">
      <c r="A16" s="81"/>
      <c r="B16" s="685"/>
      <c r="C16" s="519">
        <v>10</v>
      </c>
      <c r="D16" s="502"/>
      <c r="E16" s="522" t="s">
        <v>779</v>
      </c>
      <c r="F16" s="522" t="s">
        <v>779</v>
      </c>
      <c r="G16" s="522" t="s">
        <v>779</v>
      </c>
      <c r="H16" s="725"/>
      <c r="I16" s="522"/>
      <c r="J16" s="522"/>
      <c r="K16" s="517"/>
      <c r="L16" s="697"/>
      <c r="M16" s="521" t="e">
        <f>RANK(K16, K$7:$K$21)</f>
        <v>#N/A</v>
      </c>
      <c r="N16" s="652"/>
      <c r="O16" s="652"/>
      <c r="P16" s="519"/>
      <c r="Q16" s="522"/>
      <c r="R16" s="522"/>
      <c r="S16" s="519" t="e">
        <f t="shared" si="4"/>
        <v>#N/A</v>
      </c>
      <c r="T16" s="699"/>
      <c r="U16" s="519"/>
      <c r="V16" s="522"/>
      <c r="W16" s="522"/>
      <c r="X16" s="519" t="e">
        <f t="shared" si="5"/>
        <v>#N/A</v>
      </c>
      <c r="Y16" s="699"/>
      <c r="Z16" s="556"/>
      <c r="AA16" s="558"/>
      <c r="AB16" s="558"/>
      <c r="AC16" s="519" t="e">
        <f t="shared" si="6"/>
        <v>#N/A</v>
      </c>
      <c r="AD16" s="699"/>
      <c r="AE16" s="556"/>
      <c r="AF16" s="558"/>
      <c r="AG16" s="558"/>
      <c r="AH16" s="519" t="e">
        <f t="shared" si="7"/>
        <v>#N/A</v>
      </c>
      <c r="AI16" s="699"/>
      <c r="AJ16" s="556"/>
      <c r="AK16" s="558"/>
      <c r="AL16" s="558"/>
      <c r="AM16" s="519" t="e">
        <f t="shared" si="8"/>
        <v>#N/A</v>
      </c>
      <c r="AN16" s="699"/>
      <c r="AO16" s="556"/>
      <c r="AP16" s="558"/>
      <c r="AQ16" s="558"/>
      <c r="AR16" s="519" t="e">
        <f t="shared" si="9"/>
        <v>#N/A</v>
      </c>
      <c r="AS16" s="699"/>
      <c r="AT16" s="556"/>
      <c r="AU16" s="558"/>
      <c r="AV16" s="558"/>
      <c r="AW16" s="519" t="e">
        <f t="shared" si="10"/>
        <v>#N/A</v>
      </c>
      <c r="AX16" s="699"/>
      <c r="AZ16" s="363" t="e">
        <f>RANK(AX16, $K$7:AX$21)</f>
        <v>#N/A</v>
      </c>
      <c r="BB16" s="360" t="e">
        <f t="shared" si="11"/>
        <v>#N/A</v>
      </c>
    </row>
    <row r="17" spans="2:54">
      <c r="B17" s="685"/>
      <c r="C17" s="519">
        <v>11</v>
      </c>
      <c r="D17" s="502"/>
      <c r="E17" s="522" t="s">
        <v>779</v>
      </c>
      <c r="F17" s="522" t="s">
        <v>779</v>
      </c>
      <c r="G17" s="522" t="s">
        <v>779</v>
      </c>
      <c r="H17" s="725"/>
      <c r="I17" s="519"/>
      <c r="J17" s="519"/>
      <c r="K17" s="519"/>
      <c r="L17" s="697"/>
      <c r="M17" s="521" t="e">
        <f>RANK(K17, K$7:$K$21)</f>
        <v>#N/A</v>
      </c>
      <c r="N17" s="652"/>
      <c r="O17" s="652"/>
      <c r="P17" s="519"/>
      <c r="Q17" s="522"/>
      <c r="R17" s="522"/>
      <c r="S17" s="519" t="e">
        <f t="shared" si="4"/>
        <v>#N/A</v>
      </c>
      <c r="T17" s="699"/>
      <c r="U17" s="519"/>
      <c r="V17" s="522"/>
      <c r="W17" s="522"/>
      <c r="X17" s="519" t="e">
        <f t="shared" si="5"/>
        <v>#N/A</v>
      </c>
      <c r="Y17" s="699"/>
      <c r="Z17" s="556"/>
      <c r="AA17" s="558"/>
      <c r="AB17" s="558"/>
      <c r="AC17" s="519" t="e">
        <f t="shared" si="6"/>
        <v>#N/A</v>
      </c>
      <c r="AD17" s="699"/>
      <c r="AE17" s="556"/>
      <c r="AF17" s="558"/>
      <c r="AG17" s="558"/>
      <c r="AH17" s="519" t="e">
        <f t="shared" si="7"/>
        <v>#N/A</v>
      </c>
      <c r="AI17" s="699"/>
      <c r="AJ17" s="556"/>
      <c r="AK17" s="558"/>
      <c r="AL17" s="558"/>
      <c r="AM17" s="519" t="e">
        <f t="shared" si="8"/>
        <v>#N/A</v>
      </c>
      <c r="AN17" s="699"/>
      <c r="AO17" s="556"/>
      <c r="AP17" s="558"/>
      <c r="AQ17" s="558"/>
      <c r="AR17" s="519" t="e">
        <f t="shared" si="9"/>
        <v>#N/A</v>
      </c>
      <c r="AS17" s="699"/>
      <c r="AT17" s="556"/>
      <c r="AU17" s="558"/>
      <c r="AV17" s="558"/>
      <c r="AW17" s="519" t="e">
        <f t="shared" si="10"/>
        <v>#N/A</v>
      </c>
      <c r="AX17" s="699"/>
      <c r="AZ17" s="363" t="e">
        <f>RANK(AX17, $K$7:AX$21)</f>
        <v>#N/A</v>
      </c>
      <c r="BB17" s="360" t="e">
        <f t="shared" si="11"/>
        <v>#N/A</v>
      </c>
    </row>
    <row r="18" spans="2:54">
      <c r="B18" s="685"/>
      <c r="C18" s="519">
        <v>12</v>
      </c>
      <c r="D18" s="502"/>
      <c r="E18" s="522" t="s">
        <v>779</v>
      </c>
      <c r="F18" s="522" t="s">
        <v>779</v>
      </c>
      <c r="G18" s="522" t="s">
        <v>779</v>
      </c>
      <c r="H18" s="725"/>
      <c r="I18" s="519"/>
      <c r="J18" s="519"/>
      <c r="K18" s="519"/>
      <c r="L18" s="697"/>
      <c r="M18" s="521" t="e">
        <f>RANK(K18, K$7:$K$21)</f>
        <v>#N/A</v>
      </c>
      <c r="N18" s="652"/>
      <c r="O18" s="652"/>
      <c r="P18" s="519"/>
      <c r="Q18" s="522"/>
      <c r="R18" s="522"/>
      <c r="S18" s="519" t="e">
        <f t="shared" si="4"/>
        <v>#N/A</v>
      </c>
      <c r="T18" s="699"/>
      <c r="U18" s="519"/>
      <c r="V18" s="522"/>
      <c r="W18" s="522"/>
      <c r="X18" s="519" t="e">
        <f t="shared" si="5"/>
        <v>#N/A</v>
      </c>
      <c r="Y18" s="699"/>
      <c r="Z18" s="556"/>
      <c r="AA18" s="558"/>
      <c r="AB18" s="558"/>
      <c r="AC18" s="519" t="e">
        <f t="shared" si="6"/>
        <v>#N/A</v>
      </c>
      <c r="AD18" s="699"/>
      <c r="AE18" s="556"/>
      <c r="AF18" s="558"/>
      <c r="AG18" s="558"/>
      <c r="AH18" s="519" t="e">
        <f t="shared" si="7"/>
        <v>#N/A</v>
      </c>
      <c r="AI18" s="699"/>
      <c r="AJ18" s="556"/>
      <c r="AK18" s="558"/>
      <c r="AL18" s="558"/>
      <c r="AM18" s="519" t="e">
        <f t="shared" si="8"/>
        <v>#N/A</v>
      </c>
      <c r="AN18" s="699"/>
      <c r="AO18" s="556"/>
      <c r="AP18" s="558"/>
      <c r="AQ18" s="558"/>
      <c r="AR18" s="519" t="e">
        <f t="shared" si="9"/>
        <v>#N/A</v>
      </c>
      <c r="AS18" s="699"/>
      <c r="AT18" s="556"/>
      <c r="AU18" s="558"/>
      <c r="AV18" s="558"/>
      <c r="AW18" s="519" t="e">
        <f t="shared" si="10"/>
        <v>#N/A</v>
      </c>
      <c r="AX18" s="699"/>
      <c r="AZ18" s="363" t="e">
        <f>RANK(AX18, $K$7:AX$21)</f>
        <v>#N/A</v>
      </c>
      <c r="BB18" s="360" t="e">
        <f t="shared" si="11"/>
        <v>#N/A</v>
      </c>
    </row>
    <row r="19" spans="2:54">
      <c r="B19" s="685"/>
      <c r="C19" s="519">
        <v>13</v>
      </c>
      <c r="D19" s="502"/>
      <c r="E19" s="522" t="s">
        <v>779</v>
      </c>
      <c r="F19" s="522" t="s">
        <v>779</v>
      </c>
      <c r="G19" s="522" t="s">
        <v>779</v>
      </c>
      <c r="H19" s="725"/>
      <c r="I19" s="519"/>
      <c r="J19" s="519"/>
      <c r="K19" s="519"/>
      <c r="L19" s="697"/>
      <c r="M19" s="521" t="e">
        <f>RANK(K19, K$7:$K$21)</f>
        <v>#N/A</v>
      </c>
      <c r="N19" s="652"/>
      <c r="O19" s="652"/>
      <c r="P19" s="519"/>
      <c r="Q19" s="522"/>
      <c r="R19" s="522"/>
      <c r="S19" s="519" t="e">
        <f t="shared" si="4"/>
        <v>#N/A</v>
      </c>
      <c r="T19" s="699"/>
      <c r="U19" s="519"/>
      <c r="V19" s="522"/>
      <c r="W19" s="522"/>
      <c r="X19" s="519" t="e">
        <f t="shared" si="5"/>
        <v>#N/A</v>
      </c>
      <c r="Y19" s="699"/>
      <c r="Z19" s="556"/>
      <c r="AA19" s="558"/>
      <c r="AB19" s="558"/>
      <c r="AC19" s="519" t="e">
        <f t="shared" si="6"/>
        <v>#N/A</v>
      </c>
      <c r="AD19" s="699"/>
      <c r="AE19" s="556"/>
      <c r="AF19" s="558"/>
      <c r="AG19" s="558"/>
      <c r="AH19" s="519" t="e">
        <f t="shared" si="7"/>
        <v>#N/A</v>
      </c>
      <c r="AI19" s="699"/>
      <c r="AJ19" s="556"/>
      <c r="AK19" s="558"/>
      <c r="AL19" s="558"/>
      <c r="AM19" s="519" t="e">
        <f t="shared" si="8"/>
        <v>#N/A</v>
      </c>
      <c r="AN19" s="699"/>
      <c r="AO19" s="556"/>
      <c r="AP19" s="558"/>
      <c r="AQ19" s="558"/>
      <c r="AR19" s="519" t="e">
        <f t="shared" si="9"/>
        <v>#N/A</v>
      </c>
      <c r="AS19" s="699"/>
      <c r="AT19" s="556"/>
      <c r="AU19" s="558"/>
      <c r="AV19" s="558"/>
      <c r="AW19" s="519" t="e">
        <f t="shared" si="10"/>
        <v>#N/A</v>
      </c>
      <c r="AX19" s="699"/>
      <c r="AZ19" s="363" t="e">
        <f>RANK(AX19, $K$7:AX$21)</f>
        <v>#N/A</v>
      </c>
      <c r="BB19" s="360" t="e">
        <f t="shared" si="11"/>
        <v>#N/A</v>
      </c>
    </row>
    <row r="20" spans="2:54">
      <c r="B20" s="685"/>
      <c r="C20" s="519">
        <v>14</v>
      </c>
      <c r="D20" s="502"/>
      <c r="E20" s="522" t="s">
        <v>779</v>
      </c>
      <c r="F20" s="522" t="s">
        <v>779</v>
      </c>
      <c r="G20" s="522" t="s">
        <v>779</v>
      </c>
      <c r="H20" s="725"/>
      <c r="I20" s="519"/>
      <c r="J20" s="519"/>
      <c r="K20" s="519"/>
      <c r="L20" s="697"/>
      <c r="M20" s="521" t="e">
        <f>RANK(K20, K$7:$K$21)</f>
        <v>#N/A</v>
      </c>
      <c r="N20" s="652"/>
      <c r="O20" s="652"/>
      <c r="P20" s="519"/>
      <c r="Q20" s="522"/>
      <c r="R20" s="522"/>
      <c r="S20" s="519" t="e">
        <f t="shared" si="4"/>
        <v>#N/A</v>
      </c>
      <c r="T20" s="699"/>
      <c r="U20" s="519"/>
      <c r="V20" s="522"/>
      <c r="W20" s="522"/>
      <c r="X20" s="519" t="e">
        <f t="shared" si="5"/>
        <v>#N/A</v>
      </c>
      <c r="Y20" s="699"/>
      <c r="Z20" s="556"/>
      <c r="AA20" s="558"/>
      <c r="AB20" s="558"/>
      <c r="AC20" s="519" t="e">
        <f t="shared" si="6"/>
        <v>#N/A</v>
      </c>
      <c r="AD20" s="699"/>
      <c r="AE20" s="556"/>
      <c r="AF20" s="558"/>
      <c r="AG20" s="558"/>
      <c r="AH20" s="519" t="e">
        <f t="shared" si="7"/>
        <v>#N/A</v>
      </c>
      <c r="AI20" s="699"/>
      <c r="AJ20" s="556"/>
      <c r="AK20" s="558"/>
      <c r="AL20" s="558"/>
      <c r="AM20" s="519" t="e">
        <f t="shared" si="8"/>
        <v>#N/A</v>
      </c>
      <c r="AN20" s="699"/>
      <c r="AO20" s="556"/>
      <c r="AP20" s="558"/>
      <c r="AQ20" s="558"/>
      <c r="AR20" s="519" t="e">
        <f t="shared" si="9"/>
        <v>#N/A</v>
      </c>
      <c r="AS20" s="699"/>
      <c r="AT20" s="556"/>
      <c r="AU20" s="558"/>
      <c r="AV20" s="558"/>
      <c r="AW20" s="519" t="e">
        <f t="shared" si="10"/>
        <v>#N/A</v>
      </c>
      <c r="AX20" s="699"/>
      <c r="AZ20" s="363" t="e">
        <f>RANK(AX20, $K$7:AX$21)</f>
        <v>#N/A</v>
      </c>
      <c r="BB20" s="360" t="e">
        <f t="shared" si="11"/>
        <v>#N/A</v>
      </c>
    </row>
    <row r="21" spans="2:54">
      <c r="B21" s="685"/>
      <c r="C21" s="519">
        <v>15</v>
      </c>
      <c r="D21" s="502"/>
      <c r="E21" s="522" t="s">
        <v>779</v>
      </c>
      <c r="F21" s="522" t="s">
        <v>779</v>
      </c>
      <c r="G21" s="522" t="s">
        <v>779</v>
      </c>
      <c r="H21" s="726"/>
      <c r="I21" s="519"/>
      <c r="J21" s="519"/>
      <c r="K21" s="519"/>
      <c r="L21" s="709"/>
      <c r="M21" s="521" t="e">
        <f>RANK(K21, K$7:$K$21)</f>
        <v>#N/A</v>
      </c>
      <c r="N21" s="652"/>
      <c r="O21" s="652"/>
      <c r="P21" s="519"/>
      <c r="Q21" s="522"/>
      <c r="R21" s="522"/>
      <c r="S21" s="519" t="e">
        <f t="shared" si="4"/>
        <v>#N/A</v>
      </c>
      <c r="T21" s="699"/>
      <c r="U21" s="519"/>
      <c r="V21" s="522"/>
      <c r="W21" s="522"/>
      <c r="X21" s="519" t="e">
        <f t="shared" si="5"/>
        <v>#N/A</v>
      </c>
      <c r="Y21" s="699"/>
      <c r="Z21" s="556"/>
      <c r="AA21" s="558"/>
      <c r="AB21" s="558"/>
      <c r="AC21" s="519" t="e">
        <f t="shared" si="6"/>
        <v>#N/A</v>
      </c>
      <c r="AD21" s="699"/>
      <c r="AE21" s="556"/>
      <c r="AF21" s="558"/>
      <c r="AG21" s="558"/>
      <c r="AH21" s="519" t="e">
        <f t="shared" si="7"/>
        <v>#N/A</v>
      </c>
      <c r="AI21" s="699"/>
      <c r="AJ21" s="556"/>
      <c r="AK21" s="558"/>
      <c r="AL21" s="558"/>
      <c r="AM21" s="519" t="e">
        <f t="shared" si="8"/>
        <v>#N/A</v>
      </c>
      <c r="AN21" s="699"/>
      <c r="AO21" s="556"/>
      <c r="AP21" s="558"/>
      <c r="AQ21" s="558"/>
      <c r="AR21" s="519" t="e">
        <f t="shared" si="9"/>
        <v>#N/A</v>
      </c>
      <c r="AS21" s="699"/>
      <c r="AT21" s="556"/>
      <c r="AU21" s="558"/>
      <c r="AV21" s="558"/>
      <c r="AW21" s="519" t="e">
        <f t="shared" si="10"/>
        <v>#N/A</v>
      </c>
      <c r="AX21" s="699"/>
      <c r="AZ21" s="362" t="e">
        <f>RANK(AX21, $K$7:AX$21)</f>
        <v>#N/A</v>
      </c>
      <c r="BB21" s="360" t="e">
        <f t="shared" si="11"/>
        <v>#N/A</v>
      </c>
    </row>
    <row r="22" spans="2:54" ht="15.75">
      <c r="B22" s="678" t="s">
        <v>163</v>
      </c>
      <c r="C22" s="679"/>
      <c r="D22" s="679"/>
      <c r="E22" s="679"/>
      <c r="F22" s="679"/>
      <c r="G22" s="679"/>
      <c r="H22" s="679"/>
      <c r="I22" s="203"/>
      <c r="J22" s="203"/>
      <c r="K22" s="203"/>
      <c r="L22" s="203"/>
      <c r="M22" s="204"/>
      <c r="N22" s="653" t="s">
        <v>156</v>
      </c>
      <c r="O22" s="653" t="s">
        <v>105</v>
      </c>
      <c r="P22" s="659">
        <f>AT2+1</f>
        <v>46056</v>
      </c>
      <c r="Q22" s="660"/>
      <c r="R22" s="660"/>
      <c r="S22" s="660"/>
      <c r="T22" s="660"/>
      <c r="U22" s="659">
        <f>P22+1</f>
        <v>46057</v>
      </c>
      <c r="V22" s="660"/>
      <c r="W22" s="660"/>
      <c r="X22" s="660"/>
      <c r="Y22" s="660"/>
      <c r="Z22" s="659">
        <f>U22+1</f>
        <v>46058</v>
      </c>
      <c r="AA22" s="660"/>
      <c r="AB22" s="660"/>
      <c r="AC22" s="660"/>
      <c r="AD22" s="660"/>
      <c r="AE22" s="659">
        <f>Z22+1</f>
        <v>46059</v>
      </c>
      <c r="AF22" s="660"/>
      <c r="AG22" s="660"/>
      <c r="AH22" s="660"/>
      <c r="AI22" s="660"/>
      <c r="AJ22" s="659">
        <f>AE22+1</f>
        <v>46060</v>
      </c>
      <c r="AK22" s="660"/>
      <c r="AL22" s="660"/>
      <c r="AM22" s="660"/>
      <c r="AN22" s="660"/>
      <c r="AO22" s="659">
        <f>AJ22+1</f>
        <v>46061</v>
      </c>
      <c r="AP22" s="660"/>
      <c r="AQ22" s="660"/>
      <c r="AR22" s="660"/>
      <c r="AS22" s="660"/>
      <c r="AT22" s="659">
        <f>AO22+1</f>
        <v>46062</v>
      </c>
      <c r="AU22" s="660"/>
      <c r="AV22" s="660"/>
      <c r="AW22" s="660"/>
      <c r="AX22" s="660"/>
    </row>
    <row r="23" spans="2:54" ht="15.75">
      <c r="B23" s="667"/>
      <c r="C23" s="667"/>
      <c r="D23" s="667"/>
      <c r="E23" s="667"/>
      <c r="F23" s="667"/>
      <c r="G23" s="667"/>
      <c r="H23" s="667"/>
      <c r="I23" s="205"/>
      <c r="J23" s="205"/>
      <c r="K23" s="205"/>
      <c r="L23" s="205"/>
      <c r="M23" s="206"/>
      <c r="N23" s="655"/>
      <c r="O23" s="655"/>
      <c r="P23" s="659" t="s">
        <v>336</v>
      </c>
      <c r="Q23" s="660"/>
      <c r="R23" s="660"/>
      <c r="S23" s="660"/>
      <c r="T23" s="660"/>
      <c r="U23" s="659" t="s">
        <v>337</v>
      </c>
      <c r="V23" s="660"/>
      <c r="W23" s="660"/>
      <c r="X23" s="660"/>
      <c r="Y23" s="660"/>
      <c r="Z23" s="659" t="s">
        <v>338</v>
      </c>
      <c r="AA23" s="660"/>
      <c r="AB23" s="660"/>
      <c r="AC23" s="660"/>
      <c r="AD23" s="660"/>
      <c r="AE23" s="659" t="s">
        <v>339</v>
      </c>
      <c r="AF23" s="660"/>
      <c r="AG23" s="660"/>
      <c r="AH23" s="660"/>
      <c r="AI23" s="660"/>
      <c r="AJ23" s="659" t="s">
        <v>340</v>
      </c>
      <c r="AK23" s="660"/>
      <c r="AL23" s="660"/>
      <c r="AM23" s="660"/>
      <c r="AN23" s="660"/>
      <c r="AO23" s="659" t="s">
        <v>341</v>
      </c>
      <c r="AP23" s="660"/>
      <c r="AQ23" s="660"/>
      <c r="AR23" s="660"/>
      <c r="AS23" s="660"/>
      <c r="AT23" s="659" t="s">
        <v>342</v>
      </c>
      <c r="AU23" s="660"/>
      <c r="AV23" s="660"/>
      <c r="AW23" s="660"/>
      <c r="AX23" s="660"/>
    </row>
    <row r="24" spans="2:54">
      <c r="B24" s="652" t="s">
        <v>154</v>
      </c>
      <c r="C24" s="652" t="s">
        <v>551</v>
      </c>
      <c r="D24" s="652"/>
      <c r="E24" s="652" t="s">
        <v>552</v>
      </c>
      <c r="F24" s="652"/>
      <c r="G24" s="652"/>
      <c r="H24" s="668" t="s">
        <v>428</v>
      </c>
      <c r="I24" s="636" t="s">
        <v>433</v>
      </c>
      <c r="J24" s="636"/>
      <c r="K24" s="636"/>
      <c r="L24" s="637" t="s">
        <v>553</v>
      </c>
      <c r="M24" s="643" t="s">
        <v>546</v>
      </c>
      <c r="N24" s="652"/>
      <c r="O24" s="652" t="s">
        <v>434</v>
      </c>
      <c r="P24" s="649" t="s">
        <v>554</v>
      </c>
      <c r="Q24" s="650"/>
      <c r="R24" s="650"/>
      <c r="S24" s="651"/>
      <c r="T24" s="652" t="s">
        <v>428</v>
      </c>
      <c r="U24" s="649" t="s">
        <v>554</v>
      </c>
      <c r="V24" s="650"/>
      <c r="W24" s="650"/>
      <c r="X24" s="651"/>
      <c r="Y24" s="652" t="s">
        <v>553</v>
      </c>
      <c r="Z24" s="649" t="s">
        <v>430</v>
      </c>
      <c r="AA24" s="650"/>
      <c r="AB24" s="650"/>
      <c r="AC24" s="651"/>
      <c r="AD24" s="652" t="s">
        <v>428</v>
      </c>
      <c r="AE24" s="649" t="s">
        <v>430</v>
      </c>
      <c r="AF24" s="650"/>
      <c r="AG24" s="650"/>
      <c r="AH24" s="651"/>
      <c r="AI24" s="652" t="s">
        <v>553</v>
      </c>
      <c r="AJ24" s="649" t="s">
        <v>430</v>
      </c>
      <c r="AK24" s="650"/>
      <c r="AL24" s="650"/>
      <c r="AM24" s="651"/>
      <c r="AN24" s="652" t="s">
        <v>428</v>
      </c>
      <c r="AO24" s="649" t="s">
        <v>554</v>
      </c>
      <c r="AP24" s="650"/>
      <c r="AQ24" s="650"/>
      <c r="AR24" s="651"/>
      <c r="AS24" s="652" t="s">
        <v>428</v>
      </c>
      <c r="AT24" s="649" t="s">
        <v>554</v>
      </c>
      <c r="AU24" s="650"/>
      <c r="AV24" s="650"/>
      <c r="AW24" s="651"/>
      <c r="AX24" s="652" t="s">
        <v>428</v>
      </c>
    </row>
    <row r="25" spans="2:54">
      <c r="B25" s="652"/>
      <c r="C25" s="652"/>
      <c r="D25" s="652"/>
      <c r="E25" s="652" t="s">
        <v>555</v>
      </c>
      <c r="F25" s="652"/>
      <c r="G25" s="652"/>
      <c r="H25" s="669"/>
      <c r="I25" s="636" t="s">
        <v>555</v>
      </c>
      <c r="J25" s="636"/>
      <c r="K25" s="636"/>
      <c r="L25" s="638"/>
      <c r="M25" s="644"/>
      <c r="N25" s="652"/>
      <c r="O25" s="652"/>
      <c r="P25" s="649" t="s">
        <v>436</v>
      </c>
      <c r="Q25" s="650"/>
      <c r="R25" s="650"/>
      <c r="S25" s="651"/>
      <c r="T25" s="652"/>
      <c r="U25" s="649" t="s">
        <v>436</v>
      </c>
      <c r="V25" s="650"/>
      <c r="W25" s="650"/>
      <c r="X25" s="651"/>
      <c r="Y25" s="652"/>
      <c r="Z25" s="649" t="s">
        <v>556</v>
      </c>
      <c r="AA25" s="650"/>
      <c r="AB25" s="650"/>
      <c r="AC25" s="651"/>
      <c r="AD25" s="652"/>
      <c r="AE25" s="649" t="s">
        <v>556</v>
      </c>
      <c r="AF25" s="650"/>
      <c r="AG25" s="650"/>
      <c r="AH25" s="651"/>
      <c r="AI25" s="652"/>
      <c r="AJ25" s="649" t="s">
        <v>436</v>
      </c>
      <c r="AK25" s="650"/>
      <c r="AL25" s="650"/>
      <c r="AM25" s="651"/>
      <c r="AN25" s="652"/>
      <c r="AO25" s="649" t="s">
        <v>436</v>
      </c>
      <c r="AP25" s="650"/>
      <c r="AQ25" s="650"/>
      <c r="AR25" s="651"/>
      <c r="AS25" s="652"/>
      <c r="AT25" s="649" t="s">
        <v>556</v>
      </c>
      <c r="AU25" s="650"/>
      <c r="AV25" s="650"/>
      <c r="AW25" s="651"/>
      <c r="AX25" s="652"/>
    </row>
    <row r="26" spans="2:54">
      <c r="B26" s="652"/>
      <c r="C26" s="652"/>
      <c r="D26" s="652"/>
      <c r="E26" s="321" t="s">
        <v>437</v>
      </c>
      <c r="F26" s="321" t="s">
        <v>438</v>
      </c>
      <c r="G26" s="321" t="s">
        <v>439</v>
      </c>
      <c r="H26" s="670"/>
      <c r="I26" s="320" t="s">
        <v>557</v>
      </c>
      <c r="J26" s="320" t="s">
        <v>558</v>
      </c>
      <c r="K26" s="320" t="s">
        <v>559</v>
      </c>
      <c r="L26" s="639"/>
      <c r="M26" s="645"/>
      <c r="N26" s="652"/>
      <c r="O26" s="652"/>
      <c r="P26" s="321" t="s">
        <v>557</v>
      </c>
      <c r="Q26" s="321" t="s">
        <v>438</v>
      </c>
      <c r="R26" s="321" t="s">
        <v>439</v>
      </c>
      <c r="S26" s="321" t="s">
        <v>429</v>
      </c>
      <c r="T26" s="652"/>
      <c r="U26" s="321" t="s">
        <v>437</v>
      </c>
      <c r="V26" s="321" t="s">
        <v>558</v>
      </c>
      <c r="W26" s="321" t="s">
        <v>559</v>
      </c>
      <c r="X26" s="321" t="s">
        <v>429</v>
      </c>
      <c r="Y26" s="652"/>
      <c r="Z26" s="321" t="s">
        <v>557</v>
      </c>
      <c r="AA26" s="321" t="s">
        <v>558</v>
      </c>
      <c r="AB26" s="321" t="s">
        <v>439</v>
      </c>
      <c r="AC26" s="321" t="s">
        <v>429</v>
      </c>
      <c r="AD26" s="652"/>
      <c r="AE26" s="321" t="s">
        <v>557</v>
      </c>
      <c r="AF26" s="321" t="s">
        <v>560</v>
      </c>
      <c r="AG26" s="321" t="s">
        <v>439</v>
      </c>
      <c r="AH26" s="321" t="s">
        <v>561</v>
      </c>
      <c r="AI26" s="652"/>
      <c r="AJ26" s="321" t="s">
        <v>437</v>
      </c>
      <c r="AK26" s="321" t="s">
        <v>558</v>
      </c>
      <c r="AL26" s="321" t="s">
        <v>439</v>
      </c>
      <c r="AM26" s="321" t="s">
        <v>429</v>
      </c>
      <c r="AN26" s="652"/>
      <c r="AO26" s="321" t="s">
        <v>437</v>
      </c>
      <c r="AP26" s="321" t="s">
        <v>558</v>
      </c>
      <c r="AQ26" s="321" t="s">
        <v>559</v>
      </c>
      <c r="AR26" s="321" t="s">
        <v>429</v>
      </c>
      <c r="AS26" s="652"/>
      <c r="AT26" s="321" t="s">
        <v>437</v>
      </c>
      <c r="AU26" s="321" t="s">
        <v>558</v>
      </c>
      <c r="AV26" s="321" t="s">
        <v>439</v>
      </c>
      <c r="AW26" s="321" t="s">
        <v>429</v>
      </c>
      <c r="AX26" s="652"/>
    </row>
    <row r="27" spans="2:54">
      <c r="B27" s="652" t="s">
        <v>562</v>
      </c>
      <c r="C27" s="322">
        <v>1</v>
      </c>
      <c r="D27" s="227" t="s">
        <v>389</v>
      </c>
      <c r="E27" s="182">
        <v>20</v>
      </c>
      <c r="F27" s="322">
        <v>2200</v>
      </c>
      <c r="G27" s="323">
        <v>110</v>
      </c>
      <c r="H27" s="701">
        <f>AVERAGE(G27:G41)</f>
        <v>137.58479532163742</v>
      </c>
      <c r="I27" s="199">
        <f t="shared" ref="I27:K29" si="12">AVERAGE(P27,U27,Z27,AE27,AJ27,AO27,AT27)</f>
        <v>20</v>
      </c>
      <c r="J27" s="199">
        <f t="shared" si="12"/>
        <v>2104.4411946047062</v>
      </c>
      <c r="K27" s="200">
        <f t="shared" si="12"/>
        <v>105.2220597302353</v>
      </c>
      <c r="L27" s="633">
        <f>IFERROR(AVERAGE(K27:K41),"-")</f>
        <v>123.88484312944816</v>
      </c>
      <c r="M27" s="201">
        <f>RANK(K27, K$27:$K$41)</f>
        <v>5</v>
      </c>
      <c r="N27" s="652"/>
      <c r="O27" s="652"/>
      <c r="P27" s="182">
        <v>20</v>
      </c>
      <c r="Q27" s="552">
        <v>2096.1038961038971</v>
      </c>
      <c r="R27" s="552">
        <v>104.80519480519486</v>
      </c>
      <c r="S27" s="322">
        <f t="shared" ref="S27:S41" si="13">RANK(R27, R$27:R$41)</f>
        <v>4</v>
      </c>
      <c r="T27" s="701">
        <f>AVERAGE(R27:R41)</f>
        <v>120.53522150466799</v>
      </c>
      <c r="U27" s="182">
        <v>20</v>
      </c>
      <c r="V27" s="552">
        <v>2103.5714285714275</v>
      </c>
      <c r="W27" s="552">
        <v>105.17857142857137</v>
      </c>
      <c r="X27" s="477">
        <f t="shared" ref="X27:X41" si="14">RANK(W27, W$27:W$41)</f>
        <v>5</v>
      </c>
      <c r="Y27" s="701">
        <f t="shared" ref="Y27" si="15">AVERAGE(W27:W41)</f>
        <v>124.1715891635246</v>
      </c>
      <c r="Z27" s="182">
        <v>20</v>
      </c>
      <c r="AA27" s="552">
        <v>2084.4444444444434</v>
      </c>
      <c r="AB27" s="552">
        <v>104.22222222222217</v>
      </c>
      <c r="AC27" s="477">
        <f t="shared" ref="AC27:AC41" si="16">RANK(AB27, AB$27:AB$41)</f>
        <v>5</v>
      </c>
      <c r="AD27" s="701">
        <f t="shared" ref="AD27" si="17">AVERAGE(AB27:AB41)</f>
        <v>124.49212113772987</v>
      </c>
      <c r="AE27" s="182">
        <v>20</v>
      </c>
      <c r="AF27" s="552">
        <v>2108.5714285714294</v>
      </c>
      <c r="AG27" s="552">
        <v>105.42857142857147</v>
      </c>
      <c r="AH27" s="477">
        <f t="shared" ref="AH27:AH41" si="18">RANK(AG27, AG$27:AG$41)</f>
        <v>5</v>
      </c>
      <c r="AI27" s="701">
        <f t="shared" ref="AI27" si="19">AVERAGE(AG27:AG41)</f>
        <v>125.53705180887732</v>
      </c>
      <c r="AJ27" s="182">
        <v>20</v>
      </c>
      <c r="AK27" s="552">
        <v>2096.7567567567576</v>
      </c>
      <c r="AL27" s="552">
        <v>104.83783783783788</v>
      </c>
      <c r="AM27" s="477">
        <f t="shared" ref="AM27:AM41" si="20">RANK(AL27, AL$27:AL$41)</f>
        <v>5</v>
      </c>
      <c r="AN27" s="701">
        <f t="shared" ref="AN27" si="21">AVERAGE(AL27:AL41)</f>
        <v>124.02240399618088</v>
      </c>
      <c r="AO27" s="182">
        <v>20</v>
      </c>
      <c r="AP27" s="552">
        <v>2122.4096385542161</v>
      </c>
      <c r="AQ27" s="552">
        <v>106.12048192771081</v>
      </c>
      <c r="AR27" s="477">
        <f t="shared" ref="AR27:AR41" si="22">RANK(AQ27, AQ$27:AQ$41)</f>
        <v>5</v>
      </c>
      <c r="AS27" s="701">
        <f t="shared" ref="AS27" si="23">AVERAGE(AQ27:AQ41)</f>
        <v>123.45420462316915</v>
      </c>
      <c r="AT27" s="182">
        <v>20</v>
      </c>
      <c r="AU27" s="480">
        <v>2119.2307692307704</v>
      </c>
      <c r="AV27" s="480">
        <v>105.96153846153852</v>
      </c>
      <c r="AW27" s="477">
        <f t="shared" ref="AW27:AW41" si="24">RANK(AV27, AV$27:AV$41)</f>
        <v>5</v>
      </c>
      <c r="AX27" s="674">
        <f t="shared" ref="AX27" si="25">AVERAGE(AV27:AV41)</f>
        <v>124.98130967198736</v>
      </c>
    </row>
    <row r="28" spans="2:54">
      <c r="B28" s="660"/>
      <c r="C28" s="322">
        <v>2</v>
      </c>
      <c r="D28" s="227" t="s">
        <v>390</v>
      </c>
      <c r="E28" s="182">
        <v>18</v>
      </c>
      <c r="F28" s="322">
        <v>2700</v>
      </c>
      <c r="G28" s="323">
        <v>150</v>
      </c>
      <c r="H28" s="702"/>
      <c r="I28" s="199">
        <f t="shared" si="12"/>
        <v>18.142857142857142</v>
      </c>
      <c r="J28" s="199">
        <f t="shared" si="12"/>
        <v>2454.8794682558932</v>
      </c>
      <c r="K28" s="200">
        <f t="shared" si="12"/>
        <v>135.35994007968296</v>
      </c>
      <c r="L28" s="634"/>
      <c r="M28" s="201">
        <f>RANK(K28, K$27:$K$41)</f>
        <v>3</v>
      </c>
      <c r="N28" s="652"/>
      <c r="O28" s="652"/>
      <c r="P28" s="551">
        <v>19</v>
      </c>
      <c r="Q28" s="552">
        <v>2447.2727272727298</v>
      </c>
      <c r="R28" s="552">
        <v>128.80382775119631</v>
      </c>
      <c r="S28" s="322">
        <f t="shared" si="13"/>
        <v>3</v>
      </c>
      <c r="T28" s="702"/>
      <c r="U28" s="551">
        <v>18</v>
      </c>
      <c r="V28" s="552">
        <v>2448.9473684210507</v>
      </c>
      <c r="W28" s="552">
        <v>136.05263157894726</v>
      </c>
      <c r="X28" s="477">
        <f t="shared" si="14"/>
        <v>2</v>
      </c>
      <c r="Y28" s="702"/>
      <c r="Z28" s="551">
        <v>18</v>
      </c>
      <c r="AA28" s="552">
        <v>2508.3333333333312</v>
      </c>
      <c r="AB28" s="552">
        <v>139.35185185185173</v>
      </c>
      <c r="AC28" s="477">
        <f t="shared" si="16"/>
        <v>1</v>
      </c>
      <c r="AD28" s="702"/>
      <c r="AE28" s="551">
        <v>18</v>
      </c>
      <c r="AF28" s="552">
        <v>2485.1612903225828</v>
      </c>
      <c r="AG28" s="552">
        <v>138.06451612903237</v>
      </c>
      <c r="AH28" s="477">
        <f t="shared" si="18"/>
        <v>1</v>
      </c>
      <c r="AI28" s="702"/>
      <c r="AJ28" s="551">
        <v>18</v>
      </c>
      <c r="AK28" s="552">
        <v>2432.7272727272752</v>
      </c>
      <c r="AL28" s="552">
        <v>135.1515151515153</v>
      </c>
      <c r="AM28" s="477">
        <f t="shared" si="20"/>
        <v>2</v>
      </c>
      <c r="AN28" s="702"/>
      <c r="AO28" s="551">
        <v>18</v>
      </c>
      <c r="AP28" s="552">
        <v>2391.4285714285693</v>
      </c>
      <c r="AQ28" s="552">
        <v>132.85714285714275</v>
      </c>
      <c r="AR28" s="477">
        <f t="shared" si="22"/>
        <v>3</v>
      </c>
      <c r="AS28" s="702"/>
      <c r="AT28" s="479">
        <v>18</v>
      </c>
      <c r="AU28" s="480">
        <v>2470.2857142857115</v>
      </c>
      <c r="AV28" s="480">
        <v>137.23809523809507</v>
      </c>
      <c r="AW28" s="477">
        <f t="shared" si="24"/>
        <v>1</v>
      </c>
      <c r="AX28" s="674"/>
    </row>
    <row r="29" spans="2:54">
      <c r="B29" s="660"/>
      <c r="C29" s="322">
        <v>3</v>
      </c>
      <c r="D29" s="227" t="s">
        <v>391</v>
      </c>
      <c r="E29" s="182">
        <v>18</v>
      </c>
      <c r="F29" s="322">
        <v>2800</v>
      </c>
      <c r="G29" s="323">
        <v>155.55555555555554</v>
      </c>
      <c r="H29" s="702"/>
      <c r="I29" s="199">
        <f t="shared" si="12"/>
        <v>18.142857142857142</v>
      </c>
      <c r="J29" s="199">
        <f t="shared" si="12"/>
        <v>2462.4494988108645</v>
      </c>
      <c r="K29" s="200">
        <f t="shared" si="12"/>
        <v>135.75153699593153</v>
      </c>
      <c r="L29" s="634"/>
      <c r="M29" s="201">
        <f>RANK(K29, K$27:$K$41)</f>
        <v>2</v>
      </c>
      <c r="N29" s="652"/>
      <c r="O29" s="652"/>
      <c r="P29" s="551">
        <v>19</v>
      </c>
      <c r="Q29" s="552">
        <v>2516.6037735849072</v>
      </c>
      <c r="R29" s="552">
        <v>132.45283018867931</v>
      </c>
      <c r="S29" s="322">
        <f t="shared" si="13"/>
        <v>2</v>
      </c>
      <c r="T29" s="702"/>
      <c r="U29" s="551">
        <v>18</v>
      </c>
      <c r="V29" s="552">
        <v>2436.7741935483859</v>
      </c>
      <c r="W29" s="552">
        <v>135.37634408602145</v>
      </c>
      <c r="X29" s="477">
        <f t="shared" si="14"/>
        <v>3</v>
      </c>
      <c r="Y29" s="702"/>
      <c r="Z29" s="551">
        <v>18</v>
      </c>
      <c r="AA29" s="552">
        <v>2464.137931034481</v>
      </c>
      <c r="AB29" s="552">
        <v>136.89655172413782</v>
      </c>
      <c r="AC29" s="477">
        <f t="shared" si="16"/>
        <v>2</v>
      </c>
      <c r="AD29" s="702"/>
      <c r="AE29" s="551">
        <v>18</v>
      </c>
      <c r="AF29" s="552">
        <v>2468.8888888888901</v>
      </c>
      <c r="AG29" s="552">
        <v>137.16049382716056</v>
      </c>
      <c r="AH29" s="477">
        <f t="shared" si="18"/>
        <v>3</v>
      </c>
      <c r="AI29" s="702"/>
      <c r="AJ29" s="551">
        <v>18</v>
      </c>
      <c r="AK29" s="552">
        <v>2456.6037735849072</v>
      </c>
      <c r="AL29" s="552">
        <v>136.47798742138374</v>
      </c>
      <c r="AM29" s="477">
        <f t="shared" si="20"/>
        <v>1</v>
      </c>
      <c r="AN29" s="702"/>
      <c r="AO29" s="551">
        <v>18</v>
      </c>
      <c r="AP29" s="552">
        <v>2429.9999999999986</v>
      </c>
      <c r="AQ29" s="552">
        <v>134.99999999999991</v>
      </c>
      <c r="AR29" s="477">
        <f t="shared" si="22"/>
        <v>2</v>
      </c>
      <c r="AS29" s="702"/>
      <c r="AT29" s="479">
        <v>18</v>
      </c>
      <c r="AU29" s="480">
        <v>2464.137931034481</v>
      </c>
      <c r="AV29" s="480">
        <v>136.89655172413782</v>
      </c>
      <c r="AW29" s="477">
        <f t="shared" si="24"/>
        <v>2</v>
      </c>
      <c r="AX29" s="674"/>
    </row>
    <row r="30" spans="2:54">
      <c r="B30" s="660"/>
      <c r="C30" s="322">
        <v>4</v>
      </c>
      <c r="D30" s="227" t="s">
        <v>392</v>
      </c>
      <c r="E30" s="182">
        <v>19</v>
      </c>
      <c r="F30" s="322">
        <v>2800</v>
      </c>
      <c r="G30" s="323">
        <v>147.36842105263159</v>
      </c>
      <c r="H30" s="702"/>
      <c r="I30" s="459">
        <f t="shared" ref="I30:I31" si="26">AVERAGE(P30,U30,Z30,AE30,AJ30,AO30,AT30)</f>
        <v>18.142857142857142</v>
      </c>
      <c r="J30" s="459">
        <f t="shared" ref="J30:J31" si="27">AVERAGE(Q30,V30,AA30,AF30,AK30,AP30,AU30)</f>
        <v>2469.4962253237559</v>
      </c>
      <c r="K30" s="200">
        <f t="shared" ref="K30:K31" si="28">AVERAGE(R30,W30,AB30,AG30,AL30,AQ30,AV30)</f>
        <v>136.14276886622136</v>
      </c>
      <c r="L30" s="634"/>
      <c r="M30" s="201">
        <f>RANK(K30, K$27:$K$41)</f>
        <v>1</v>
      </c>
      <c r="N30" s="652"/>
      <c r="O30" s="652"/>
      <c r="P30" s="551">
        <v>19</v>
      </c>
      <c r="Q30" s="552">
        <v>2517.2093023255811</v>
      </c>
      <c r="R30" s="552">
        <v>132.484700122399</v>
      </c>
      <c r="S30" s="322">
        <f t="shared" si="13"/>
        <v>1</v>
      </c>
      <c r="T30" s="702"/>
      <c r="U30" s="551">
        <v>18</v>
      </c>
      <c r="V30" s="552">
        <v>2488.4210526315778</v>
      </c>
      <c r="W30" s="552">
        <v>138.24561403508767</v>
      </c>
      <c r="X30" s="477">
        <f t="shared" si="14"/>
        <v>1</v>
      </c>
      <c r="Y30" s="702"/>
      <c r="Z30" s="551">
        <v>18</v>
      </c>
      <c r="AA30" s="552">
        <v>2460.6521739130458</v>
      </c>
      <c r="AB30" s="552">
        <v>136.70289855072477</v>
      </c>
      <c r="AC30" s="477">
        <f t="shared" si="16"/>
        <v>3</v>
      </c>
      <c r="AD30" s="702"/>
      <c r="AE30" s="551">
        <v>18</v>
      </c>
      <c r="AF30" s="552">
        <v>2482.1739130434785</v>
      </c>
      <c r="AG30" s="552">
        <v>137.89855072463769</v>
      </c>
      <c r="AH30" s="477">
        <f t="shared" si="18"/>
        <v>2</v>
      </c>
      <c r="AI30" s="702"/>
      <c r="AJ30" s="551">
        <v>18</v>
      </c>
      <c r="AK30" s="552">
        <v>2422.2471910112358</v>
      </c>
      <c r="AL30" s="552">
        <v>134.5692883895131</v>
      </c>
      <c r="AM30" s="477">
        <f t="shared" si="20"/>
        <v>3</v>
      </c>
      <c r="AN30" s="702"/>
      <c r="AO30" s="551">
        <v>18</v>
      </c>
      <c r="AP30" s="552">
        <v>2461.2244897959167</v>
      </c>
      <c r="AQ30" s="552">
        <v>136.73469387755094</v>
      </c>
      <c r="AR30" s="477">
        <f t="shared" si="22"/>
        <v>1</v>
      </c>
      <c r="AS30" s="702"/>
      <c r="AT30" s="479">
        <v>18</v>
      </c>
      <c r="AU30" s="480">
        <v>2454.5454545454559</v>
      </c>
      <c r="AV30" s="480">
        <v>136.36363636363643</v>
      </c>
      <c r="AW30" s="477">
        <f t="shared" si="24"/>
        <v>3</v>
      </c>
      <c r="AX30" s="674"/>
    </row>
    <row r="31" spans="2:54">
      <c r="B31" s="660"/>
      <c r="C31" s="322">
        <v>5</v>
      </c>
      <c r="D31" s="227" t="s">
        <v>782</v>
      </c>
      <c r="E31" s="182">
        <v>18</v>
      </c>
      <c r="F31" s="322">
        <v>2250</v>
      </c>
      <c r="G31" s="323">
        <v>125</v>
      </c>
      <c r="H31" s="702"/>
      <c r="I31" s="459">
        <f t="shared" si="26"/>
        <v>19</v>
      </c>
      <c r="J31" s="459">
        <f t="shared" si="27"/>
        <v>2032.0102895282239</v>
      </c>
      <c r="K31" s="200">
        <f t="shared" si="28"/>
        <v>106.94790997516968</v>
      </c>
      <c r="L31" s="634"/>
      <c r="M31" s="201">
        <f>RANK(K31, K$27:$K$41)</f>
        <v>4</v>
      </c>
      <c r="N31" s="652"/>
      <c r="O31" s="652"/>
      <c r="P31" s="551">
        <v>19</v>
      </c>
      <c r="Q31" s="552">
        <v>1978.4615384615395</v>
      </c>
      <c r="R31" s="552">
        <v>104.12955465587049</v>
      </c>
      <c r="S31" s="322">
        <f t="shared" si="13"/>
        <v>5</v>
      </c>
      <c r="T31" s="702"/>
      <c r="U31" s="551">
        <v>19</v>
      </c>
      <c r="V31" s="552">
        <v>2014.0909090909092</v>
      </c>
      <c r="W31" s="552">
        <v>106.00478468899523</v>
      </c>
      <c r="X31" s="477">
        <f t="shared" si="14"/>
        <v>4</v>
      </c>
      <c r="Y31" s="702"/>
      <c r="Z31" s="551">
        <v>19</v>
      </c>
      <c r="AA31" s="552">
        <v>2000.4545454545455</v>
      </c>
      <c r="AB31" s="552">
        <v>105.28708133971293</v>
      </c>
      <c r="AC31" s="477">
        <f t="shared" si="16"/>
        <v>4</v>
      </c>
      <c r="AD31" s="702"/>
      <c r="AE31" s="551">
        <v>19</v>
      </c>
      <c r="AF31" s="552">
        <v>2073.5294117647063</v>
      </c>
      <c r="AG31" s="552">
        <v>109.13312693498455</v>
      </c>
      <c r="AH31" s="477">
        <f t="shared" si="18"/>
        <v>4</v>
      </c>
      <c r="AI31" s="702"/>
      <c r="AJ31" s="551">
        <v>19</v>
      </c>
      <c r="AK31" s="552">
        <v>2072.4324324324334</v>
      </c>
      <c r="AL31" s="552">
        <v>109.07539118065439</v>
      </c>
      <c r="AM31" s="477">
        <f t="shared" si="20"/>
        <v>4</v>
      </c>
      <c r="AN31" s="702"/>
      <c r="AO31" s="551">
        <v>19</v>
      </c>
      <c r="AP31" s="552">
        <v>2024.6153846153854</v>
      </c>
      <c r="AQ31" s="552">
        <v>106.55870445344134</v>
      </c>
      <c r="AR31" s="477">
        <f t="shared" si="22"/>
        <v>4</v>
      </c>
      <c r="AS31" s="702"/>
      <c r="AT31" s="479">
        <v>19</v>
      </c>
      <c r="AU31" s="480">
        <v>2060.4878048780479</v>
      </c>
      <c r="AV31" s="480">
        <v>108.44672657252883</v>
      </c>
      <c r="AW31" s="477">
        <f t="shared" si="24"/>
        <v>4</v>
      </c>
      <c r="AX31" s="674"/>
    </row>
    <row r="32" spans="2:54">
      <c r="B32" s="660"/>
      <c r="C32" s="322">
        <v>6</v>
      </c>
      <c r="D32" s="227"/>
      <c r="E32" s="182"/>
      <c r="F32" s="322"/>
      <c r="G32" s="323"/>
      <c r="H32" s="702"/>
      <c r="I32" s="199"/>
      <c r="J32" s="199"/>
      <c r="K32" s="200"/>
      <c r="L32" s="634"/>
      <c r="M32" s="201" t="e">
        <f>RANK(K32, K$27:$K$41)</f>
        <v>#N/A</v>
      </c>
      <c r="N32" s="652"/>
      <c r="O32" s="652"/>
      <c r="P32" s="551"/>
      <c r="Q32" s="552"/>
      <c r="R32" s="552"/>
      <c r="S32" s="322" t="e">
        <f t="shared" si="13"/>
        <v>#N/A</v>
      </c>
      <c r="T32" s="702"/>
      <c r="U32" s="551"/>
      <c r="V32" s="552"/>
      <c r="W32" s="552"/>
      <c r="X32" s="477" t="e">
        <f t="shared" si="14"/>
        <v>#N/A</v>
      </c>
      <c r="Y32" s="702"/>
      <c r="Z32" s="551"/>
      <c r="AA32" s="552"/>
      <c r="AB32" s="552"/>
      <c r="AC32" s="477" t="e">
        <f t="shared" si="16"/>
        <v>#N/A</v>
      </c>
      <c r="AD32" s="702"/>
      <c r="AE32" s="551"/>
      <c r="AF32" s="552"/>
      <c r="AG32" s="552"/>
      <c r="AH32" s="477" t="e">
        <f t="shared" si="18"/>
        <v>#N/A</v>
      </c>
      <c r="AI32" s="702"/>
      <c r="AJ32" s="551"/>
      <c r="AK32" s="552"/>
      <c r="AL32" s="552"/>
      <c r="AM32" s="477" t="e">
        <f t="shared" si="20"/>
        <v>#N/A</v>
      </c>
      <c r="AN32" s="702"/>
      <c r="AO32" s="551"/>
      <c r="AP32" s="552"/>
      <c r="AQ32" s="552"/>
      <c r="AR32" s="477" t="e">
        <f t="shared" si="22"/>
        <v>#N/A</v>
      </c>
      <c r="AS32" s="702"/>
      <c r="AT32" s="477"/>
      <c r="AU32" s="478"/>
      <c r="AV32" s="478"/>
      <c r="AW32" s="477" t="e">
        <f t="shared" si="24"/>
        <v>#N/A</v>
      </c>
      <c r="AX32" s="674"/>
    </row>
    <row r="33" spans="2:50">
      <c r="B33" s="660"/>
      <c r="C33" s="322">
        <v>7</v>
      </c>
      <c r="D33" s="227"/>
      <c r="E33" s="182"/>
      <c r="F33" s="322"/>
      <c r="G33" s="323"/>
      <c r="H33" s="702"/>
      <c r="I33" s="199"/>
      <c r="J33" s="199"/>
      <c r="K33" s="200"/>
      <c r="L33" s="634"/>
      <c r="M33" s="201" t="e">
        <f>RANK(K33, K$27:$K$41)</f>
        <v>#N/A</v>
      </c>
      <c r="N33" s="652"/>
      <c r="O33" s="652"/>
      <c r="P33" s="551"/>
      <c r="Q33" s="552"/>
      <c r="R33" s="552"/>
      <c r="S33" s="322" t="e">
        <f t="shared" si="13"/>
        <v>#N/A</v>
      </c>
      <c r="T33" s="702"/>
      <c r="U33" s="551"/>
      <c r="V33" s="552"/>
      <c r="W33" s="552"/>
      <c r="X33" s="477" t="e">
        <f t="shared" si="14"/>
        <v>#N/A</v>
      </c>
      <c r="Y33" s="702"/>
      <c r="Z33" s="551"/>
      <c r="AA33" s="552"/>
      <c r="AB33" s="552"/>
      <c r="AC33" s="477" t="e">
        <f t="shared" si="16"/>
        <v>#N/A</v>
      </c>
      <c r="AD33" s="702"/>
      <c r="AE33" s="551"/>
      <c r="AF33" s="552"/>
      <c r="AG33" s="552"/>
      <c r="AH33" s="477" t="e">
        <f t="shared" si="18"/>
        <v>#N/A</v>
      </c>
      <c r="AI33" s="702"/>
      <c r="AJ33" s="551"/>
      <c r="AK33" s="552"/>
      <c r="AL33" s="552"/>
      <c r="AM33" s="477" t="e">
        <f t="shared" si="20"/>
        <v>#N/A</v>
      </c>
      <c r="AN33" s="702"/>
      <c r="AO33" s="551"/>
      <c r="AP33" s="552"/>
      <c r="AQ33" s="552"/>
      <c r="AR33" s="477" t="e">
        <f t="shared" si="22"/>
        <v>#N/A</v>
      </c>
      <c r="AS33" s="702"/>
      <c r="AT33" s="477"/>
      <c r="AU33" s="478"/>
      <c r="AV33" s="478"/>
      <c r="AW33" s="477" t="e">
        <f t="shared" si="24"/>
        <v>#N/A</v>
      </c>
      <c r="AX33" s="674"/>
    </row>
    <row r="34" spans="2:50">
      <c r="B34" s="660"/>
      <c r="C34" s="322">
        <v>8</v>
      </c>
      <c r="D34" s="227"/>
      <c r="E34" s="182"/>
      <c r="F34" s="322"/>
      <c r="G34" s="323"/>
      <c r="H34" s="702"/>
      <c r="I34" s="199"/>
      <c r="J34" s="199"/>
      <c r="K34" s="200"/>
      <c r="L34" s="634"/>
      <c r="M34" s="201" t="e">
        <f>RANK(K34, K$27:$K$41)</f>
        <v>#N/A</v>
      </c>
      <c r="N34" s="652"/>
      <c r="O34" s="652"/>
      <c r="P34" s="551"/>
      <c r="Q34" s="552"/>
      <c r="R34" s="552"/>
      <c r="S34" s="322" t="e">
        <f t="shared" si="13"/>
        <v>#N/A</v>
      </c>
      <c r="T34" s="702"/>
      <c r="U34" s="551"/>
      <c r="V34" s="552"/>
      <c r="W34" s="552"/>
      <c r="X34" s="477" t="e">
        <f t="shared" si="14"/>
        <v>#N/A</v>
      </c>
      <c r="Y34" s="702"/>
      <c r="Z34" s="551"/>
      <c r="AA34" s="552"/>
      <c r="AB34" s="552"/>
      <c r="AC34" s="477" t="e">
        <f t="shared" si="16"/>
        <v>#N/A</v>
      </c>
      <c r="AD34" s="702"/>
      <c r="AE34" s="551"/>
      <c r="AF34" s="552"/>
      <c r="AG34" s="552"/>
      <c r="AH34" s="477" t="e">
        <f t="shared" si="18"/>
        <v>#N/A</v>
      </c>
      <c r="AI34" s="702"/>
      <c r="AJ34" s="551"/>
      <c r="AK34" s="552"/>
      <c r="AL34" s="552"/>
      <c r="AM34" s="477" t="e">
        <f t="shared" si="20"/>
        <v>#N/A</v>
      </c>
      <c r="AN34" s="702"/>
      <c r="AO34" s="551"/>
      <c r="AP34" s="552"/>
      <c r="AQ34" s="552"/>
      <c r="AR34" s="477" t="e">
        <f t="shared" si="22"/>
        <v>#N/A</v>
      </c>
      <c r="AS34" s="702"/>
      <c r="AT34" s="477"/>
      <c r="AU34" s="478"/>
      <c r="AV34" s="478"/>
      <c r="AW34" s="477" t="e">
        <f t="shared" si="24"/>
        <v>#N/A</v>
      </c>
      <c r="AX34" s="674"/>
    </row>
    <row r="35" spans="2:50">
      <c r="B35" s="660"/>
      <c r="C35" s="322">
        <v>9</v>
      </c>
      <c r="D35" s="227"/>
      <c r="E35" s="182"/>
      <c r="F35" s="322"/>
      <c r="G35" s="323"/>
      <c r="H35" s="702"/>
      <c r="I35" s="199"/>
      <c r="J35" s="199"/>
      <c r="K35" s="200"/>
      <c r="L35" s="634"/>
      <c r="M35" s="201" t="e">
        <f>RANK(K35, K$27:$K$41)</f>
        <v>#N/A</v>
      </c>
      <c r="N35" s="652"/>
      <c r="O35" s="652"/>
      <c r="P35" s="551"/>
      <c r="Q35" s="552"/>
      <c r="R35" s="552"/>
      <c r="S35" s="322" t="e">
        <f t="shared" si="13"/>
        <v>#N/A</v>
      </c>
      <c r="T35" s="702"/>
      <c r="U35" s="551"/>
      <c r="V35" s="552"/>
      <c r="W35" s="552"/>
      <c r="X35" s="477" t="e">
        <f t="shared" si="14"/>
        <v>#N/A</v>
      </c>
      <c r="Y35" s="702"/>
      <c r="Z35" s="551"/>
      <c r="AA35" s="552"/>
      <c r="AB35" s="552"/>
      <c r="AC35" s="477" t="e">
        <f t="shared" si="16"/>
        <v>#N/A</v>
      </c>
      <c r="AD35" s="702"/>
      <c r="AE35" s="551"/>
      <c r="AF35" s="552"/>
      <c r="AG35" s="552"/>
      <c r="AH35" s="477" t="e">
        <f t="shared" si="18"/>
        <v>#N/A</v>
      </c>
      <c r="AI35" s="702"/>
      <c r="AJ35" s="551"/>
      <c r="AK35" s="552"/>
      <c r="AL35" s="552"/>
      <c r="AM35" s="477" t="e">
        <f t="shared" si="20"/>
        <v>#N/A</v>
      </c>
      <c r="AN35" s="702"/>
      <c r="AO35" s="551"/>
      <c r="AP35" s="552"/>
      <c r="AQ35" s="552"/>
      <c r="AR35" s="477" t="e">
        <f t="shared" si="22"/>
        <v>#N/A</v>
      </c>
      <c r="AS35" s="702"/>
      <c r="AT35" s="477"/>
      <c r="AU35" s="478"/>
      <c r="AV35" s="478"/>
      <c r="AW35" s="477" t="e">
        <f t="shared" si="24"/>
        <v>#N/A</v>
      </c>
      <c r="AX35" s="674"/>
    </row>
    <row r="36" spans="2:50">
      <c r="B36" s="660"/>
      <c r="C36" s="322">
        <v>10</v>
      </c>
      <c r="D36" s="227"/>
      <c r="E36" s="182"/>
      <c r="F36" s="322"/>
      <c r="G36" s="323"/>
      <c r="H36" s="702"/>
      <c r="I36" s="199"/>
      <c r="J36" s="199"/>
      <c r="K36" s="200"/>
      <c r="L36" s="634"/>
      <c r="M36" s="201" t="e">
        <f>RANK(K36, K$27:$K$41)</f>
        <v>#N/A</v>
      </c>
      <c r="N36" s="652"/>
      <c r="O36" s="652"/>
      <c r="P36" s="551"/>
      <c r="Q36" s="551"/>
      <c r="R36" s="552"/>
      <c r="S36" s="322" t="e">
        <f t="shared" si="13"/>
        <v>#N/A</v>
      </c>
      <c r="T36" s="702"/>
      <c r="U36" s="551"/>
      <c r="V36" s="551"/>
      <c r="W36" s="552"/>
      <c r="X36" s="477" t="e">
        <f t="shared" si="14"/>
        <v>#N/A</v>
      </c>
      <c r="Y36" s="702"/>
      <c r="Z36" s="551"/>
      <c r="AA36" s="551"/>
      <c r="AB36" s="552"/>
      <c r="AC36" s="477" t="e">
        <f t="shared" si="16"/>
        <v>#N/A</v>
      </c>
      <c r="AD36" s="702"/>
      <c r="AE36" s="551"/>
      <c r="AF36" s="551"/>
      <c r="AG36" s="552"/>
      <c r="AH36" s="477" t="e">
        <f t="shared" si="18"/>
        <v>#N/A</v>
      </c>
      <c r="AI36" s="702"/>
      <c r="AJ36" s="551"/>
      <c r="AK36" s="551"/>
      <c r="AL36" s="552"/>
      <c r="AM36" s="477" t="e">
        <f t="shared" si="20"/>
        <v>#N/A</v>
      </c>
      <c r="AN36" s="702"/>
      <c r="AO36" s="551"/>
      <c r="AP36" s="551"/>
      <c r="AQ36" s="552"/>
      <c r="AR36" s="477" t="e">
        <f t="shared" si="22"/>
        <v>#N/A</v>
      </c>
      <c r="AS36" s="702"/>
      <c r="AT36" s="477"/>
      <c r="AU36" s="477"/>
      <c r="AV36" s="478"/>
      <c r="AW36" s="477" t="e">
        <f t="shared" si="24"/>
        <v>#N/A</v>
      </c>
      <c r="AX36" s="674"/>
    </row>
    <row r="37" spans="2:50">
      <c r="B37" s="660"/>
      <c r="C37" s="322">
        <v>11</v>
      </c>
      <c r="D37" s="227"/>
      <c r="E37" s="182"/>
      <c r="F37" s="322"/>
      <c r="G37" s="323"/>
      <c r="H37" s="702"/>
      <c r="I37" s="202"/>
      <c r="J37" s="202"/>
      <c r="K37" s="202"/>
      <c r="L37" s="634"/>
      <c r="M37" s="201" t="e">
        <f>RANK(K37, K$27:$K$41)</f>
        <v>#N/A</v>
      </c>
      <c r="N37" s="652"/>
      <c r="O37" s="652"/>
      <c r="P37" s="551"/>
      <c r="Q37" s="551"/>
      <c r="R37" s="551"/>
      <c r="S37" s="322" t="e">
        <f t="shared" si="13"/>
        <v>#N/A</v>
      </c>
      <c r="T37" s="702"/>
      <c r="U37" s="551"/>
      <c r="V37" s="551"/>
      <c r="W37" s="551"/>
      <c r="X37" s="477" t="e">
        <f t="shared" si="14"/>
        <v>#N/A</v>
      </c>
      <c r="Y37" s="702"/>
      <c r="Z37" s="551"/>
      <c r="AA37" s="551"/>
      <c r="AB37" s="551"/>
      <c r="AC37" s="477" t="e">
        <f t="shared" si="16"/>
        <v>#N/A</v>
      </c>
      <c r="AD37" s="702"/>
      <c r="AE37" s="551"/>
      <c r="AF37" s="551"/>
      <c r="AG37" s="551"/>
      <c r="AH37" s="477" t="e">
        <f t="shared" si="18"/>
        <v>#N/A</v>
      </c>
      <c r="AI37" s="702"/>
      <c r="AJ37" s="551"/>
      <c r="AK37" s="551"/>
      <c r="AL37" s="551"/>
      <c r="AM37" s="477" t="e">
        <f t="shared" si="20"/>
        <v>#N/A</v>
      </c>
      <c r="AN37" s="702"/>
      <c r="AO37" s="551"/>
      <c r="AP37" s="551"/>
      <c r="AQ37" s="551"/>
      <c r="AR37" s="477" t="e">
        <f t="shared" si="22"/>
        <v>#N/A</v>
      </c>
      <c r="AS37" s="702"/>
      <c r="AT37" s="477"/>
      <c r="AU37" s="477"/>
      <c r="AV37" s="477"/>
      <c r="AW37" s="477" t="e">
        <f t="shared" si="24"/>
        <v>#N/A</v>
      </c>
      <c r="AX37" s="674"/>
    </row>
    <row r="38" spans="2:50">
      <c r="B38" s="660"/>
      <c r="C38" s="322">
        <v>12</v>
      </c>
      <c r="D38" s="227"/>
      <c r="E38" s="182"/>
      <c r="F38" s="322"/>
      <c r="G38" s="323"/>
      <c r="H38" s="702"/>
      <c r="I38" s="202"/>
      <c r="J38" s="202"/>
      <c r="K38" s="202"/>
      <c r="L38" s="634"/>
      <c r="M38" s="201" t="e">
        <f>RANK(K38, K$27:$K$41)</f>
        <v>#N/A</v>
      </c>
      <c r="N38" s="652"/>
      <c r="O38" s="652"/>
      <c r="P38" s="551"/>
      <c r="Q38" s="551"/>
      <c r="R38" s="551"/>
      <c r="S38" s="322" t="e">
        <f t="shared" si="13"/>
        <v>#N/A</v>
      </c>
      <c r="T38" s="702"/>
      <c r="U38" s="551"/>
      <c r="V38" s="551"/>
      <c r="W38" s="551"/>
      <c r="X38" s="477" t="e">
        <f t="shared" si="14"/>
        <v>#N/A</v>
      </c>
      <c r="Y38" s="702"/>
      <c r="Z38" s="551"/>
      <c r="AA38" s="551"/>
      <c r="AB38" s="551"/>
      <c r="AC38" s="477" t="e">
        <f t="shared" si="16"/>
        <v>#N/A</v>
      </c>
      <c r="AD38" s="702"/>
      <c r="AE38" s="551"/>
      <c r="AF38" s="551"/>
      <c r="AG38" s="551"/>
      <c r="AH38" s="477" t="e">
        <f t="shared" si="18"/>
        <v>#N/A</v>
      </c>
      <c r="AI38" s="702"/>
      <c r="AJ38" s="551"/>
      <c r="AK38" s="551"/>
      <c r="AL38" s="551"/>
      <c r="AM38" s="477" t="e">
        <f t="shared" si="20"/>
        <v>#N/A</v>
      </c>
      <c r="AN38" s="702"/>
      <c r="AO38" s="551"/>
      <c r="AP38" s="551"/>
      <c r="AQ38" s="551"/>
      <c r="AR38" s="477" t="e">
        <f t="shared" si="22"/>
        <v>#N/A</v>
      </c>
      <c r="AS38" s="702"/>
      <c r="AT38" s="477"/>
      <c r="AU38" s="477"/>
      <c r="AV38" s="477"/>
      <c r="AW38" s="477" t="e">
        <f t="shared" si="24"/>
        <v>#N/A</v>
      </c>
      <c r="AX38" s="674"/>
    </row>
    <row r="39" spans="2:50">
      <c r="B39" s="660"/>
      <c r="C39" s="322">
        <v>13</v>
      </c>
      <c r="D39" s="227"/>
      <c r="E39" s="182"/>
      <c r="F39" s="322"/>
      <c r="G39" s="323"/>
      <c r="H39" s="702"/>
      <c r="I39" s="202"/>
      <c r="J39" s="202"/>
      <c r="K39" s="202"/>
      <c r="L39" s="634"/>
      <c r="M39" s="201" t="e">
        <f>RANK(K39, K$27:$K$41)</f>
        <v>#N/A</v>
      </c>
      <c r="N39" s="652"/>
      <c r="O39" s="652"/>
      <c r="P39" s="551"/>
      <c r="Q39" s="551"/>
      <c r="R39" s="551"/>
      <c r="S39" s="322" t="e">
        <f t="shared" si="13"/>
        <v>#N/A</v>
      </c>
      <c r="T39" s="702"/>
      <c r="U39" s="551"/>
      <c r="V39" s="551"/>
      <c r="W39" s="551"/>
      <c r="X39" s="477" t="e">
        <f t="shared" si="14"/>
        <v>#N/A</v>
      </c>
      <c r="Y39" s="702"/>
      <c r="Z39" s="551"/>
      <c r="AA39" s="551"/>
      <c r="AB39" s="551"/>
      <c r="AC39" s="477" t="e">
        <f t="shared" si="16"/>
        <v>#N/A</v>
      </c>
      <c r="AD39" s="702"/>
      <c r="AE39" s="551"/>
      <c r="AF39" s="551"/>
      <c r="AG39" s="551"/>
      <c r="AH39" s="477" t="e">
        <f t="shared" si="18"/>
        <v>#N/A</v>
      </c>
      <c r="AI39" s="702"/>
      <c r="AJ39" s="551"/>
      <c r="AK39" s="551"/>
      <c r="AL39" s="551"/>
      <c r="AM39" s="477" t="e">
        <f t="shared" si="20"/>
        <v>#N/A</v>
      </c>
      <c r="AN39" s="702"/>
      <c r="AO39" s="551"/>
      <c r="AP39" s="551"/>
      <c r="AQ39" s="551"/>
      <c r="AR39" s="477" t="e">
        <f t="shared" si="22"/>
        <v>#N/A</v>
      </c>
      <c r="AS39" s="702"/>
      <c r="AT39" s="477"/>
      <c r="AU39" s="477"/>
      <c r="AV39" s="477"/>
      <c r="AW39" s="477" t="e">
        <f t="shared" si="24"/>
        <v>#N/A</v>
      </c>
      <c r="AX39" s="674"/>
    </row>
    <row r="40" spans="2:50">
      <c r="B40" s="660"/>
      <c r="C40" s="322">
        <v>14</v>
      </c>
      <c r="D40" s="227"/>
      <c r="E40" s="182"/>
      <c r="F40" s="322"/>
      <c r="G40" s="323"/>
      <c r="H40" s="702"/>
      <c r="I40" s="202"/>
      <c r="J40" s="202"/>
      <c r="K40" s="202"/>
      <c r="L40" s="634"/>
      <c r="M40" s="201" t="e">
        <f>RANK(K40, K$27:$K$41)</f>
        <v>#N/A</v>
      </c>
      <c r="N40" s="652"/>
      <c r="O40" s="652"/>
      <c r="P40" s="551"/>
      <c r="Q40" s="551"/>
      <c r="R40" s="551"/>
      <c r="S40" s="322" t="e">
        <f t="shared" si="13"/>
        <v>#N/A</v>
      </c>
      <c r="T40" s="702"/>
      <c r="U40" s="551"/>
      <c r="V40" s="551"/>
      <c r="W40" s="551"/>
      <c r="X40" s="477" t="e">
        <f t="shared" si="14"/>
        <v>#N/A</v>
      </c>
      <c r="Y40" s="702"/>
      <c r="Z40" s="551"/>
      <c r="AA40" s="551"/>
      <c r="AB40" s="551"/>
      <c r="AC40" s="477" t="e">
        <f t="shared" si="16"/>
        <v>#N/A</v>
      </c>
      <c r="AD40" s="702"/>
      <c r="AE40" s="551"/>
      <c r="AF40" s="551"/>
      <c r="AG40" s="551"/>
      <c r="AH40" s="477" t="e">
        <f t="shared" si="18"/>
        <v>#N/A</v>
      </c>
      <c r="AI40" s="702"/>
      <c r="AJ40" s="551"/>
      <c r="AK40" s="551"/>
      <c r="AL40" s="551"/>
      <c r="AM40" s="477" t="e">
        <f t="shared" si="20"/>
        <v>#N/A</v>
      </c>
      <c r="AN40" s="702"/>
      <c r="AO40" s="551"/>
      <c r="AP40" s="551"/>
      <c r="AQ40" s="551"/>
      <c r="AR40" s="477" t="e">
        <f t="shared" si="22"/>
        <v>#N/A</v>
      </c>
      <c r="AS40" s="702"/>
      <c r="AT40" s="477"/>
      <c r="AU40" s="477"/>
      <c r="AV40" s="477"/>
      <c r="AW40" s="477" t="e">
        <f t="shared" si="24"/>
        <v>#N/A</v>
      </c>
      <c r="AX40" s="674"/>
    </row>
    <row r="41" spans="2:50">
      <c r="B41" s="660"/>
      <c r="C41" s="322">
        <v>15</v>
      </c>
      <c r="D41" s="227"/>
      <c r="E41" s="182"/>
      <c r="F41" s="322"/>
      <c r="G41" s="323"/>
      <c r="H41" s="703"/>
      <c r="I41" s="202"/>
      <c r="J41" s="202"/>
      <c r="K41" s="202"/>
      <c r="L41" s="635"/>
      <c r="M41" s="199" t="e">
        <f>RANK(K41, K$27:$K$41)</f>
        <v>#N/A</v>
      </c>
      <c r="N41" s="652"/>
      <c r="O41" s="652"/>
      <c r="P41" s="551"/>
      <c r="Q41" s="551"/>
      <c r="R41" s="551"/>
      <c r="S41" s="322" t="e">
        <f t="shared" si="13"/>
        <v>#N/A</v>
      </c>
      <c r="T41" s="703"/>
      <c r="U41" s="551"/>
      <c r="V41" s="551"/>
      <c r="W41" s="551"/>
      <c r="X41" s="477" t="e">
        <f t="shared" si="14"/>
        <v>#N/A</v>
      </c>
      <c r="Y41" s="703"/>
      <c r="Z41" s="551"/>
      <c r="AA41" s="551"/>
      <c r="AB41" s="551"/>
      <c r="AC41" s="477" t="e">
        <f t="shared" si="16"/>
        <v>#N/A</v>
      </c>
      <c r="AD41" s="703"/>
      <c r="AE41" s="551"/>
      <c r="AF41" s="551"/>
      <c r="AG41" s="551"/>
      <c r="AH41" s="477" t="e">
        <f t="shared" si="18"/>
        <v>#N/A</v>
      </c>
      <c r="AI41" s="703"/>
      <c r="AJ41" s="551"/>
      <c r="AK41" s="551"/>
      <c r="AL41" s="551"/>
      <c r="AM41" s="477" t="e">
        <f t="shared" si="20"/>
        <v>#N/A</v>
      </c>
      <c r="AN41" s="703"/>
      <c r="AO41" s="551"/>
      <c r="AP41" s="551"/>
      <c r="AQ41" s="551"/>
      <c r="AR41" s="477" t="e">
        <f t="shared" si="22"/>
        <v>#N/A</v>
      </c>
      <c r="AS41" s="703"/>
      <c r="AT41" s="477"/>
      <c r="AU41" s="477"/>
      <c r="AV41" s="477"/>
      <c r="AW41" s="477" t="e">
        <f t="shared" si="24"/>
        <v>#N/A</v>
      </c>
      <c r="AX41" s="674"/>
    </row>
    <row r="42" spans="2:50" ht="15.75">
      <c r="B42" s="678" t="s">
        <v>163</v>
      </c>
      <c r="C42" s="679"/>
      <c r="D42" s="679"/>
      <c r="E42" s="679"/>
      <c r="F42" s="679"/>
      <c r="G42" s="679"/>
      <c r="H42" s="679"/>
      <c r="I42" s="208"/>
      <c r="J42" s="203"/>
      <c r="K42" s="208"/>
      <c r="L42" s="208"/>
      <c r="M42" s="204"/>
      <c r="N42" s="653" t="s">
        <v>156</v>
      </c>
      <c r="O42" s="653" t="s">
        <v>105</v>
      </c>
      <c r="P42" s="659">
        <f>P22+7</f>
        <v>46063</v>
      </c>
      <c r="Q42" s="660"/>
      <c r="R42" s="660"/>
      <c r="S42" s="660"/>
      <c r="T42" s="660"/>
      <c r="U42" s="656">
        <f>P42+1</f>
        <v>46064</v>
      </c>
      <c r="V42" s="657"/>
      <c r="W42" s="657"/>
      <c r="X42" s="657"/>
      <c r="Y42" s="658"/>
      <c r="Z42" s="656">
        <f>U42+1</f>
        <v>46065</v>
      </c>
      <c r="AA42" s="657"/>
      <c r="AB42" s="657"/>
      <c r="AC42" s="657"/>
      <c r="AD42" s="658"/>
      <c r="AE42" s="656">
        <f>Z42+1</f>
        <v>46066</v>
      </c>
      <c r="AF42" s="657"/>
      <c r="AG42" s="657"/>
      <c r="AH42" s="657"/>
      <c r="AI42" s="658"/>
      <c r="AJ42" s="656">
        <f>AE42+1</f>
        <v>46067</v>
      </c>
      <c r="AK42" s="657"/>
      <c r="AL42" s="657"/>
      <c r="AM42" s="657"/>
      <c r="AN42" s="658"/>
      <c r="AO42" s="656">
        <f>AJ42+1</f>
        <v>46068</v>
      </c>
      <c r="AP42" s="657"/>
      <c r="AQ42" s="657"/>
      <c r="AR42" s="657"/>
      <c r="AS42" s="658"/>
      <c r="AT42" s="656">
        <f>AO42+1</f>
        <v>46069</v>
      </c>
      <c r="AU42" s="657"/>
      <c r="AV42" s="657"/>
      <c r="AW42" s="657"/>
      <c r="AX42" s="658"/>
    </row>
    <row r="43" spans="2:50" ht="15.75">
      <c r="B43" s="667"/>
      <c r="C43" s="667"/>
      <c r="D43" s="667"/>
      <c r="E43" s="667"/>
      <c r="F43" s="667"/>
      <c r="G43" s="667"/>
      <c r="H43" s="667"/>
      <c r="I43" s="205"/>
      <c r="J43" s="205"/>
      <c r="K43" s="205"/>
      <c r="L43" s="205"/>
      <c r="M43" s="206"/>
      <c r="N43" s="655"/>
      <c r="O43" s="655"/>
      <c r="P43" s="659" t="s">
        <v>336</v>
      </c>
      <c r="Q43" s="660"/>
      <c r="R43" s="660"/>
      <c r="S43" s="660"/>
      <c r="T43" s="660"/>
      <c r="U43" s="659" t="s">
        <v>337</v>
      </c>
      <c r="V43" s="660"/>
      <c r="W43" s="660"/>
      <c r="X43" s="660"/>
      <c r="Y43" s="660"/>
      <c r="Z43" s="659" t="s">
        <v>338</v>
      </c>
      <c r="AA43" s="660"/>
      <c r="AB43" s="660"/>
      <c r="AC43" s="660"/>
      <c r="AD43" s="660"/>
      <c r="AE43" s="659" t="s">
        <v>339</v>
      </c>
      <c r="AF43" s="660"/>
      <c r="AG43" s="660"/>
      <c r="AH43" s="660"/>
      <c r="AI43" s="660"/>
      <c r="AJ43" s="659" t="s">
        <v>340</v>
      </c>
      <c r="AK43" s="660"/>
      <c r="AL43" s="660"/>
      <c r="AM43" s="660"/>
      <c r="AN43" s="660"/>
      <c r="AO43" s="659" t="s">
        <v>341</v>
      </c>
      <c r="AP43" s="660"/>
      <c r="AQ43" s="660"/>
      <c r="AR43" s="660"/>
      <c r="AS43" s="660"/>
      <c r="AT43" s="659" t="s">
        <v>342</v>
      </c>
      <c r="AU43" s="660"/>
      <c r="AV43" s="660"/>
      <c r="AW43" s="660"/>
      <c r="AX43" s="660"/>
    </row>
    <row r="44" spans="2:50">
      <c r="B44" s="652" t="s">
        <v>618</v>
      </c>
      <c r="C44" s="652" t="s">
        <v>619</v>
      </c>
      <c r="D44" s="652"/>
      <c r="E44" s="652" t="s">
        <v>620</v>
      </c>
      <c r="F44" s="652"/>
      <c r="G44" s="652"/>
      <c r="H44" s="668" t="s">
        <v>621</v>
      </c>
      <c r="I44" s="636" t="s">
        <v>622</v>
      </c>
      <c r="J44" s="636"/>
      <c r="K44" s="636"/>
      <c r="L44" s="637" t="s">
        <v>621</v>
      </c>
      <c r="M44" s="643" t="s">
        <v>623</v>
      </c>
      <c r="N44" s="652"/>
      <c r="O44" s="652" t="s">
        <v>624</v>
      </c>
      <c r="P44" s="649" t="s">
        <v>935</v>
      </c>
      <c r="Q44" s="650"/>
      <c r="R44" s="650"/>
      <c r="S44" s="651"/>
      <c r="T44" s="652" t="s">
        <v>936</v>
      </c>
      <c r="U44" s="649" t="s">
        <v>935</v>
      </c>
      <c r="V44" s="650"/>
      <c r="W44" s="650"/>
      <c r="X44" s="651"/>
      <c r="Y44" s="652" t="s">
        <v>936</v>
      </c>
      <c r="Z44" s="649" t="s">
        <v>935</v>
      </c>
      <c r="AA44" s="650"/>
      <c r="AB44" s="650"/>
      <c r="AC44" s="651"/>
      <c r="AD44" s="652" t="s">
        <v>936</v>
      </c>
      <c r="AE44" s="649" t="s">
        <v>935</v>
      </c>
      <c r="AF44" s="650"/>
      <c r="AG44" s="650"/>
      <c r="AH44" s="651"/>
      <c r="AI44" s="652" t="s">
        <v>936</v>
      </c>
      <c r="AJ44" s="649" t="s">
        <v>935</v>
      </c>
      <c r="AK44" s="650"/>
      <c r="AL44" s="650"/>
      <c r="AM44" s="651"/>
      <c r="AN44" s="652" t="s">
        <v>936</v>
      </c>
      <c r="AO44" s="649" t="s">
        <v>935</v>
      </c>
      <c r="AP44" s="650"/>
      <c r="AQ44" s="650"/>
      <c r="AR44" s="651"/>
      <c r="AS44" s="652" t="s">
        <v>936</v>
      </c>
      <c r="AT44" s="649" t="s">
        <v>935</v>
      </c>
      <c r="AU44" s="650"/>
      <c r="AV44" s="650"/>
      <c r="AW44" s="651"/>
      <c r="AX44" s="652" t="s">
        <v>936</v>
      </c>
    </row>
    <row r="45" spans="2:50">
      <c r="B45" s="652"/>
      <c r="C45" s="652"/>
      <c r="D45" s="652"/>
      <c r="E45" s="652" t="s">
        <v>626</v>
      </c>
      <c r="F45" s="652"/>
      <c r="G45" s="652"/>
      <c r="H45" s="669"/>
      <c r="I45" s="636" t="s">
        <v>626</v>
      </c>
      <c r="J45" s="636"/>
      <c r="K45" s="636"/>
      <c r="L45" s="638"/>
      <c r="M45" s="644"/>
      <c r="N45" s="652"/>
      <c r="O45" s="652"/>
      <c r="P45" s="649" t="s">
        <v>937</v>
      </c>
      <c r="Q45" s="650"/>
      <c r="R45" s="650"/>
      <c r="S45" s="651"/>
      <c r="T45" s="652"/>
      <c r="U45" s="649" t="s">
        <v>937</v>
      </c>
      <c r="V45" s="650"/>
      <c r="W45" s="650"/>
      <c r="X45" s="651"/>
      <c r="Y45" s="652"/>
      <c r="Z45" s="649" t="s">
        <v>937</v>
      </c>
      <c r="AA45" s="650"/>
      <c r="AB45" s="650"/>
      <c r="AC45" s="651"/>
      <c r="AD45" s="652"/>
      <c r="AE45" s="649" t="s">
        <v>937</v>
      </c>
      <c r="AF45" s="650"/>
      <c r="AG45" s="650"/>
      <c r="AH45" s="651"/>
      <c r="AI45" s="652"/>
      <c r="AJ45" s="649" t="s">
        <v>937</v>
      </c>
      <c r="AK45" s="650"/>
      <c r="AL45" s="650"/>
      <c r="AM45" s="651"/>
      <c r="AN45" s="652"/>
      <c r="AO45" s="649" t="s">
        <v>937</v>
      </c>
      <c r="AP45" s="650"/>
      <c r="AQ45" s="650"/>
      <c r="AR45" s="651"/>
      <c r="AS45" s="652"/>
      <c r="AT45" s="649" t="s">
        <v>937</v>
      </c>
      <c r="AU45" s="650"/>
      <c r="AV45" s="650"/>
      <c r="AW45" s="651"/>
      <c r="AX45" s="652"/>
    </row>
    <row r="46" spans="2:50">
      <c r="B46" s="652"/>
      <c r="C46" s="652"/>
      <c r="D46" s="652"/>
      <c r="E46" s="327" t="s">
        <v>628</v>
      </c>
      <c r="F46" s="327" t="s">
        <v>629</v>
      </c>
      <c r="G46" s="327" t="s">
        <v>630</v>
      </c>
      <c r="H46" s="670"/>
      <c r="I46" s="326" t="s">
        <v>628</v>
      </c>
      <c r="J46" s="326" t="s">
        <v>629</v>
      </c>
      <c r="K46" s="326" t="s">
        <v>630</v>
      </c>
      <c r="L46" s="639"/>
      <c r="M46" s="645"/>
      <c r="N46" s="652"/>
      <c r="O46" s="652"/>
      <c r="P46" s="536" t="s">
        <v>938</v>
      </c>
      <c r="Q46" s="536" t="s">
        <v>939</v>
      </c>
      <c r="R46" s="536" t="s">
        <v>940</v>
      </c>
      <c r="S46" s="536" t="s">
        <v>941</v>
      </c>
      <c r="T46" s="652"/>
      <c r="U46" s="536" t="s">
        <v>938</v>
      </c>
      <c r="V46" s="536" t="s">
        <v>939</v>
      </c>
      <c r="W46" s="536" t="s">
        <v>940</v>
      </c>
      <c r="X46" s="536" t="s">
        <v>941</v>
      </c>
      <c r="Y46" s="652"/>
      <c r="Z46" s="536" t="s">
        <v>938</v>
      </c>
      <c r="AA46" s="536" t="s">
        <v>939</v>
      </c>
      <c r="AB46" s="536" t="s">
        <v>940</v>
      </c>
      <c r="AC46" s="536" t="s">
        <v>941</v>
      </c>
      <c r="AD46" s="652"/>
      <c r="AE46" s="536" t="s">
        <v>938</v>
      </c>
      <c r="AF46" s="536" t="s">
        <v>939</v>
      </c>
      <c r="AG46" s="536" t="s">
        <v>940</v>
      </c>
      <c r="AH46" s="536" t="s">
        <v>941</v>
      </c>
      <c r="AI46" s="652"/>
      <c r="AJ46" s="536" t="s">
        <v>938</v>
      </c>
      <c r="AK46" s="536" t="s">
        <v>939</v>
      </c>
      <c r="AL46" s="536" t="s">
        <v>940</v>
      </c>
      <c r="AM46" s="536" t="s">
        <v>941</v>
      </c>
      <c r="AN46" s="652"/>
      <c r="AO46" s="536" t="s">
        <v>938</v>
      </c>
      <c r="AP46" s="536" t="s">
        <v>939</v>
      </c>
      <c r="AQ46" s="536" t="s">
        <v>940</v>
      </c>
      <c r="AR46" s="536" t="s">
        <v>941</v>
      </c>
      <c r="AS46" s="652"/>
      <c r="AT46" s="536" t="s">
        <v>938</v>
      </c>
      <c r="AU46" s="536" t="s">
        <v>939</v>
      </c>
      <c r="AV46" s="536" t="s">
        <v>940</v>
      </c>
      <c r="AW46" s="536" t="s">
        <v>941</v>
      </c>
      <c r="AX46" s="652"/>
    </row>
    <row r="47" spans="2:50">
      <c r="B47" s="652" t="s">
        <v>633</v>
      </c>
      <c r="C47" s="328">
        <v>1</v>
      </c>
      <c r="D47" s="227" t="s">
        <v>389</v>
      </c>
      <c r="E47" s="182">
        <v>20</v>
      </c>
      <c r="F47" s="551">
        <v>2200</v>
      </c>
      <c r="G47" s="552">
        <v>110</v>
      </c>
      <c r="H47" s="701">
        <f>AVERAGE(G47:G61)</f>
        <v>137.58479532163742</v>
      </c>
      <c r="I47" s="199">
        <f t="shared" ref="I47:K50" si="29">AVERAGE(P47,U47,Z47,AE47,AJ47,AO47,AT47)</f>
        <v>20</v>
      </c>
      <c r="J47" s="199">
        <f t="shared" si="29"/>
        <v>2098.385448566808</v>
      </c>
      <c r="K47" s="200">
        <f t="shared" si="29"/>
        <v>104.91927242834039</v>
      </c>
      <c r="L47" s="633">
        <f>IFERROR(AVERAGE(K47:K61),"-")</f>
        <v>120.60107916068269</v>
      </c>
      <c r="M47" s="201">
        <f>RANK(K47, K$47:$K$61)</f>
        <v>5</v>
      </c>
      <c r="N47" s="652"/>
      <c r="O47" s="652"/>
      <c r="P47" s="182">
        <v>20</v>
      </c>
      <c r="Q47" s="552">
        <v>2108.0597014925374</v>
      </c>
      <c r="R47" s="552">
        <v>105.40298507462687</v>
      </c>
      <c r="S47" s="537">
        <f t="shared" ref="S47:S51" si="30">RANK(R47, R$47:R$61)</f>
        <v>5</v>
      </c>
      <c r="T47" s="674">
        <f>AVERAGE(R47:R61)</f>
        <v>120.0874630890291</v>
      </c>
      <c r="U47" s="182">
        <v>20</v>
      </c>
      <c r="V47" s="552">
        <v>2062.2580645161283</v>
      </c>
      <c r="W47" s="552">
        <v>103.11290322580642</v>
      </c>
      <c r="X47" s="537">
        <f t="shared" ref="X47:X51" si="31">RANK(W47, W$47:W$61)</f>
        <v>5</v>
      </c>
      <c r="Y47" s="674">
        <f>AVERAGE(W47:W61)</f>
        <v>119.88774613620853</v>
      </c>
      <c r="Z47" s="182">
        <v>20</v>
      </c>
      <c r="AA47" s="552">
        <v>2065.1851851851843</v>
      </c>
      <c r="AB47" s="552">
        <v>103.25925925925921</v>
      </c>
      <c r="AC47" s="537">
        <f t="shared" ref="AC47:AC51" si="32">RANK(AB47, AB$47:AB$61)</f>
        <v>5</v>
      </c>
      <c r="AD47" s="674">
        <f>AVERAGE(AB47:AB61)</f>
        <v>120.41688408132704</v>
      </c>
      <c r="AE47" s="182">
        <v>20</v>
      </c>
      <c r="AF47" s="552">
        <v>2112.439024390243</v>
      </c>
      <c r="AG47" s="552">
        <v>105.62195121951216</v>
      </c>
      <c r="AH47" s="537">
        <f t="shared" ref="AH47:AH51" si="33">RANK(AG47, AG$47:AG$61)</f>
        <v>5</v>
      </c>
      <c r="AI47" s="674">
        <f>AVERAGE(AG47:AG61)</f>
        <v>121.56710053825122</v>
      </c>
      <c r="AJ47" s="182">
        <v>20</v>
      </c>
      <c r="AK47" s="552">
        <v>2080.0000000000009</v>
      </c>
      <c r="AL47" s="552">
        <v>104.00000000000004</v>
      </c>
      <c r="AM47" s="537">
        <f t="shared" ref="AM47:AM51" si="34">RANK(AL47, AL$47:AL$61)</f>
        <v>5</v>
      </c>
      <c r="AN47" s="674">
        <f>AVERAGE(AL47:AL61)</f>
        <v>119.65949331743286</v>
      </c>
      <c r="AO47" s="182">
        <v>20</v>
      </c>
      <c r="AP47" s="552">
        <v>2127.1561643835621</v>
      </c>
      <c r="AQ47" s="552">
        <v>106.35780821917811</v>
      </c>
      <c r="AR47" s="537">
        <f t="shared" ref="AR47:AR51" si="35">RANK(AQ47, AQ$47:AQ$61)</f>
        <v>5</v>
      </c>
      <c r="AS47" s="674">
        <f>AVERAGE(AQ47:AQ61)</f>
        <v>121.74572521076516</v>
      </c>
      <c r="AT47" s="182">
        <v>20</v>
      </c>
      <c r="AU47" s="552">
        <v>2133.5999999999995</v>
      </c>
      <c r="AV47" s="552">
        <v>106.67999999999998</v>
      </c>
      <c r="AW47" s="537">
        <f t="shared" ref="AW47:AW51" si="36">RANK(AV47, AV$47:AV$61)</f>
        <v>5</v>
      </c>
      <c r="AX47" s="674">
        <f>AVERAGE(AV47:AV61)</f>
        <v>120.84314175176493</v>
      </c>
    </row>
    <row r="48" spans="2:50">
      <c r="B48" s="660"/>
      <c r="C48" s="328">
        <v>2</v>
      </c>
      <c r="D48" s="227" t="s">
        <v>390</v>
      </c>
      <c r="E48" s="182">
        <v>18</v>
      </c>
      <c r="F48" s="551">
        <v>2700</v>
      </c>
      <c r="G48" s="552">
        <v>150</v>
      </c>
      <c r="H48" s="702"/>
      <c r="I48" s="199">
        <f t="shared" si="29"/>
        <v>19</v>
      </c>
      <c r="J48" s="199">
        <f t="shared" si="29"/>
        <v>2459.6463754277988</v>
      </c>
      <c r="K48" s="200">
        <f t="shared" si="29"/>
        <v>129.45507239093681</v>
      </c>
      <c r="L48" s="634"/>
      <c r="M48" s="201">
        <f>RANK(K48, K$47:$K$61)</f>
        <v>3</v>
      </c>
      <c r="N48" s="652"/>
      <c r="O48" s="652"/>
      <c r="P48" s="551">
        <v>19</v>
      </c>
      <c r="Q48" s="552">
        <v>2423.2258064516154</v>
      </c>
      <c r="R48" s="552">
        <v>127.53820033955871</v>
      </c>
      <c r="S48" s="537">
        <f t="shared" si="30"/>
        <v>3</v>
      </c>
      <c r="T48" s="674"/>
      <c r="U48" s="551">
        <v>19</v>
      </c>
      <c r="V48" s="552">
        <v>2478.0000000000023</v>
      </c>
      <c r="W48" s="552">
        <v>130.42105263157907</v>
      </c>
      <c r="X48" s="537">
        <f t="shared" si="31"/>
        <v>2</v>
      </c>
      <c r="Y48" s="674"/>
      <c r="Z48" s="551">
        <v>19</v>
      </c>
      <c r="AA48" s="552">
        <v>2439.4736842105244</v>
      </c>
      <c r="AB48" s="552">
        <v>128.39335180055392</v>
      </c>
      <c r="AC48" s="537">
        <f t="shared" si="32"/>
        <v>3</v>
      </c>
      <c r="AD48" s="674"/>
      <c r="AE48" s="551">
        <v>19</v>
      </c>
      <c r="AF48" s="552">
        <v>2484.3243243243223</v>
      </c>
      <c r="AG48" s="552">
        <v>130.75391180654327</v>
      </c>
      <c r="AH48" s="537">
        <f t="shared" si="33"/>
        <v>2</v>
      </c>
      <c r="AI48" s="674"/>
      <c r="AJ48" s="551">
        <v>19</v>
      </c>
      <c r="AK48" s="552">
        <v>2443.2000000000007</v>
      </c>
      <c r="AL48" s="552">
        <v>128.58947368421056</v>
      </c>
      <c r="AM48" s="537">
        <f t="shared" si="34"/>
        <v>2</v>
      </c>
      <c r="AN48" s="674"/>
      <c r="AO48" s="551">
        <v>19</v>
      </c>
      <c r="AP48" s="552">
        <v>2534.666666666667</v>
      </c>
      <c r="AQ48" s="552">
        <v>133.40350877192984</v>
      </c>
      <c r="AR48" s="537">
        <f t="shared" si="35"/>
        <v>1</v>
      </c>
      <c r="AS48" s="674"/>
      <c r="AT48" s="551">
        <v>19</v>
      </c>
      <c r="AU48" s="552">
        <v>2414.6341463414624</v>
      </c>
      <c r="AV48" s="552">
        <v>127.08600770218223</v>
      </c>
      <c r="AW48" s="537">
        <f t="shared" si="36"/>
        <v>3</v>
      </c>
      <c r="AX48" s="674"/>
    </row>
    <row r="49" spans="2:50">
      <c r="B49" s="660"/>
      <c r="C49" s="328">
        <v>3</v>
      </c>
      <c r="D49" s="227" t="s">
        <v>391</v>
      </c>
      <c r="E49" s="182">
        <v>18</v>
      </c>
      <c r="F49" s="551">
        <v>2800</v>
      </c>
      <c r="G49" s="552">
        <v>155.55555555555554</v>
      </c>
      <c r="H49" s="702"/>
      <c r="I49" s="199">
        <f t="shared" si="29"/>
        <v>19</v>
      </c>
      <c r="J49" s="199">
        <f t="shared" si="29"/>
        <v>2463.9459976005455</v>
      </c>
      <c r="K49" s="200">
        <f t="shared" si="29"/>
        <v>129.68136829476558</v>
      </c>
      <c r="L49" s="634"/>
      <c r="M49" s="201">
        <f>RANK(K49, K$47:$K$61)</f>
        <v>2</v>
      </c>
      <c r="N49" s="652"/>
      <c r="O49" s="652"/>
      <c r="P49" s="551">
        <v>19</v>
      </c>
      <c r="Q49" s="552">
        <v>2451.7647058823541</v>
      </c>
      <c r="R49" s="552">
        <v>129.04024767801863</v>
      </c>
      <c r="S49" s="537">
        <f t="shared" si="30"/>
        <v>2</v>
      </c>
      <c r="T49" s="674"/>
      <c r="U49" s="551">
        <v>19</v>
      </c>
      <c r="V49" s="552">
        <v>2482.5000000000009</v>
      </c>
      <c r="W49" s="552">
        <v>130.65789473684217</v>
      </c>
      <c r="X49" s="537">
        <f t="shared" si="31"/>
        <v>1</v>
      </c>
      <c r="Y49" s="674"/>
      <c r="Z49" s="551">
        <v>19</v>
      </c>
      <c r="AA49" s="552">
        <v>2471.8032786885237</v>
      </c>
      <c r="AB49" s="552">
        <v>130.09490940465915</v>
      </c>
      <c r="AC49" s="537">
        <f t="shared" si="32"/>
        <v>2</v>
      </c>
      <c r="AD49" s="674"/>
      <c r="AE49" s="551">
        <v>19</v>
      </c>
      <c r="AF49" s="552">
        <v>2445.7142857142853</v>
      </c>
      <c r="AG49" s="552">
        <v>128.72180451127818</v>
      </c>
      <c r="AH49" s="537">
        <f t="shared" si="33"/>
        <v>3</v>
      </c>
      <c r="AI49" s="674"/>
      <c r="AJ49" s="551">
        <v>19</v>
      </c>
      <c r="AK49" s="552">
        <v>2431.5000000000005</v>
      </c>
      <c r="AL49" s="552">
        <v>127.97368421052634</v>
      </c>
      <c r="AM49" s="537">
        <f t="shared" si="34"/>
        <v>3</v>
      </c>
      <c r="AN49" s="674"/>
      <c r="AO49" s="551">
        <v>19</v>
      </c>
      <c r="AP49" s="552">
        <v>2483.181818181818</v>
      </c>
      <c r="AQ49" s="552">
        <v>130.69377990430621</v>
      </c>
      <c r="AR49" s="537">
        <f t="shared" si="35"/>
        <v>2</v>
      </c>
      <c r="AS49" s="674"/>
      <c r="AT49" s="551">
        <v>19</v>
      </c>
      <c r="AU49" s="552">
        <v>2481.1578947368398</v>
      </c>
      <c r="AV49" s="552">
        <v>130.5872576177284</v>
      </c>
      <c r="AW49" s="537">
        <f t="shared" si="36"/>
        <v>2</v>
      </c>
      <c r="AX49" s="674"/>
    </row>
    <row r="50" spans="2:50">
      <c r="B50" s="660"/>
      <c r="C50" s="328">
        <v>4</v>
      </c>
      <c r="D50" s="227" t="s">
        <v>392</v>
      </c>
      <c r="E50" s="182">
        <v>19</v>
      </c>
      <c r="F50" s="551">
        <v>2800</v>
      </c>
      <c r="G50" s="552">
        <v>147.36842105263159</v>
      </c>
      <c r="H50" s="702"/>
      <c r="I50" s="199">
        <f t="shared" si="29"/>
        <v>19</v>
      </c>
      <c r="J50" s="199">
        <f t="shared" si="29"/>
        <v>2499.3426945808892</v>
      </c>
      <c r="K50" s="200">
        <f t="shared" si="29"/>
        <v>131.54435234636259</v>
      </c>
      <c r="L50" s="634"/>
      <c r="M50" s="201">
        <f>RANK(K50, K$47:$K$61)</f>
        <v>1</v>
      </c>
      <c r="N50" s="652"/>
      <c r="O50" s="652"/>
      <c r="P50" s="551">
        <v>19</v>
      </c>
      <c r="Q50" s="552">
        <v>2501.2500000000009</v>
      </c>
      <c r="R50" s="552">
        <v>131.64473684210532</v>
      </c>
      <c r="S50" s="537">
        <f t="shared" si="30"/>
        <v>1</v>
      </c>
      <c r="T50" s="674"/>
      <c r="U50" s="551">
        <v>19</v>
      </c>
      <c r="V50" s="552">
        <v>2429.6907216494851</v>
      </c>
      <c r="W50" s="552">
        <v>127.87845903418342</v>
      </c>
      <c r="X50" s="537">
        <f t="shared" si="31"/>
        <v>3</v>
      </c>
      <c r="Y50" s="674"/>
      <c r="Z50" s="551">
        <v>19</v>
      </c>
      <c r="AA50" s="552">
        <v>2532.1153846153838</v>
      </c>
      <c r="AB50" s="552">
        <v>133.26923076923072</v>
      </c>
      <c r="AC50" s="537">
        <f t="shared" si="32"/>
        <v>1</v>
      </c>
      <c r="AD50" s="674"/>
      <c r="AE50" s="551">
        <v>19</v>
      </c>
      <c r="AF50" s="552">
        <v>2533.0188679245275</v>
      </c>
      <c r="AG50" s="552">
        <v>133.31678252234354</v>
      </c>
      <c r="AH50" s="537">
        <f t="shared" si="33"/>
        <v>1</v>
      </c>
      <c r="AI50" s="674"/>
      <c r="AJ50" s="551">
        <v>19</v>
      </c>
      <c r="AK50" s="552">
        <v>2513.9220779220764</v>
      </c>
      <c r="AL50" s="552">
        <v>132.31168831168824</v>
      </c>
      <c r="AM50" s="537">
        <f t="shared" si="34"/>
        <v>1</v>
      </c>
      <c r="AN50" s="674"/>
      <c r="AO50" s="551">
        <v>19</v>
      </c>
      <c r="AP50" s="552">
        <v>2475.7076923076934</v>
      </c>
      <c r="AQ50" s="552">
        <v>130.30040485829966</v>
      </c>
      <c r="AR50" s="537">
        <f t="shared" si="35"/>
        <v>3</v>
      </c>
      <c r="AS50" s="674"/>
      <c r="AT50" s="551">
        <v>19</v>
      </c>
      <c r="AU50" s="552">
        <v>2509.6941176470582</v>
      </c>
      <c r="AV50" s="552">
        <v>132.08916408668728</v>
      </c>
      <c r="AW50" s="537">
        <f t="shared" si="36"/>
        <v>1</v>
      </c>
      <c r="AX50" s="674"/>
    </row>
    <row r="51" spans="2:50">
      <c r="B51" s="660"/>
      <c r="C51" s="328">
        <v>5</v>
      </c>
      <c r="D51" s="227" t="s">
        <v>782</v>
      </c>
      <c r="E51" s="182">
        <v>18</v>
      </c>
      <c r="F51" s="551">
        <v>2250</v>
      </c>
      <c r="G51" s="552">
        <v>125</v>
      </c>
      <c r="H51" s="702"/>
      <c r="I51" s="466">
        <f t="shared" ref="I51" si="37">AVERAGE(P51,U51,Z51,AE51,AJ51,AO51,AT51)</f>
        <v>19</v>
      </c>
      <c r="J51" s="466">
        <f t="shared" ref="J51" si="38">AVERAGE(Q51,V51,AA51,AF51,AK51,AP51,AU51)</f>
        <v>2040.7012765171537</v>
      </c>
      <c r="K51" s="200">
        <f t="shared" ref="K51" si="39">AVERAGE(R51,W51,AB51,AG51,AL51,AQ51,AV51)</f>
        <v>107.40533034300809</v>
      </c>
      <c r="L51" s="634"/>
      <c r="M51" s="201">
        <f>RANK(K51, K$47:$K$61)</f>
        <v>4</v>
      </c>
      <c r="N51" s="652"/>
      <c r="O51" s="652"/>
      <c r="P51" s="551">
        <v>19</v>
      </c>
      <c r="Q51" s="552">
        <v>2029.4117647058822</v>
      </c>
      <c r="R51" s="552">
        <v>106.8111455108359</v>
      </c>
      <c r="S51" s="537">
        <f t="shared" si="30"/>
        <v>4</v>
      </c>
      <c r="T51" s="674"/>
      <c r="U51" s="551">
        <v>19</v>
      </c>
      <c r="V51" s="552">
        <v>2040</v>
      </c>
      <c r="W51" s="552">
        <v>107.36842105263158</v>
      </c>
      <c r="X51" s="537">
        <f t="shared" si="31"/>
        <v>4</v>
      </c>
      <c r="Y51" s="674"/>
      <c r="Z51" s="551">
        <v>19</v>
      </c>
      <c r="AA51" s="552">
        <v>2034.2857142857135</v>
      </c>
      <c r="AB51" s="552">
        <v>107.0676691729323</v>
      </c>
      <c r="AC51" s="537">
        <f t="shared" si="32"/>
        <v>4</v>
      </c>
      <c r="AD51" s="674"/>
      <c r="AE51" s="551">
        <v>19</v>
      </c>
      <c r="AF51" s="552">
        <v>2079.0000000000014</v>
      </c>
      <c r="AG51" s="552">
        <v>109.42105263157902</v>
      </c>
      <c r="AH51" s="537">
        <f t="shared" si="33"/>
        <v>4</v>
      </c>
      <c r="AI51" s="674"/>
      <c r="AJ51" s="551">
        <v>19</v>
      </c>
      <c r="AK51" s="552">
        <v>2003.0297872340429</v>
      </c>
      <c r="AL51" s="552">
        <v>105.4226203807391</v>
      </c>
      <c r="AM51" s="537">
        <f t="shared" si="34"/>
        <v>4</v>
      </c>
      <c r="AN51" s="674"/>
      <c r="AO51" s="551">
        <v>19</v>
      </c>
      <c r="AP51" s="552">
        <v>2051.489361702128</v>
      </c>
      <c r="AQ51" s="552">
        <v>107.973124300112</v>
      </c>
      <c r="AR51" s="537">
        <f t="shared" si="35"/>
        <v>4</v>
      </c>
      <c r="AS51" s="674"/>
      <c r="AT51" s="551">
        <v>19</v>
      </c>
      <c r="AU51" s="552">
        <v>2047.6923076923088</v>
      </c>
      <c r="AV51" s="552">
        <v>107.77327935222678</v>
      </c>
      <c r="AW51" s="537">
        <f t="shared" si="36"/>
        <v>4</v>
      </c>
      <c r="AX51" s="674"/>
    </row>
    <row r="52" spans="2:50">
      <c r="B52" s="660"/>
      <c r="C52" s="328">
        <v>6</v>
      </c>
      <c r="D52" s="227"/>
      <c r="E52" s="182"/>
      <c r="F52" s="514"/>
      <c r="G52" s="515"/>
      <c r="H52" s="702"/>
      <c r="I52" s="199"/>
      <c r="J52" s="199"/>
      <c r="K52" s="200"/>
      <c r="L52" s="634"/>
      <c r="M52" s="201" t="e">
        <f>RANK(K52, K$47:$K$61)</f>
        <v>#N/A</v>
      </c>
      <c r="N52" s="652"/>
      <c r="O52" s="652"/>
      <c r="P52" s="551"/>
      <c r="Q52" s="552"/>
      <c r="R52" s="552"/>
      <c r="S52" s="537"/>
      <c r="T52" s="674"/>
      <c r="U52" s="551"/>
      <c r="V52" s="552"/>
      <c r="W52" s="552"/>
      <c r="X52" s="537"/>
      <c r="Y52" s="674"/>
      <c r="Z52" s="551"/>
      <c r="AA52" s="552"/>
      <c r="AB52" s="552"/>
      <c r="AC52" s="537"/>
      <c r="AD52" s="674"/>
      <c r="AE52" s="551"/>
      <c r="AF52" s="552"/>
      <c r="AG52" s="552"/>
      <c r="AH52" s="537"/>
      <c r="AI52" s="674"/>
      <c r="AJ52" s="551"/>
      <c r="AK52" s="552"/>
      <c r="AL52" s="552"/>
      <c r="AM52" s="537"/>
      <c r="AN52" s="674"/>
      <c r="AO52" s="551"/>
      <c r="AP52" s="552"/>
      <c r="AQ52" s="552"/>
      <c r="AR52" s="537"/>
      <c r="AS52" s="674"/>
      <c r="AT52" s="551"/>
      <c r="AU52" s="552"/>
      <c r="AV52" s="552"/>
      <c r="AW52" s="537"/>
      <c r="AX52" s="674"/>
    </row>
    <row r="53" spans="2:50">
      <c r="B53" s="660"/>
      <c r="C53" s="328">
        <v>7</v>
      </c>
      <c r="D53" s="227"/>
      <c r="E53" s="182"/>
      <c r="F53" s="514"/>
      <c r="G53" s="515"/>
      <c r="H53" s="702"/>
      <c r="I53" s="199"/>
      <c r="J53" s="199"/>
      <c r="K53" s="200"/>
      <c r="L53" s="634"/>
      <c r="M53" s="201" t="e">
        <f>RANK(K53, K$47:$K$61)</f>
        <v>#N/A</v>
      </c>
      <c r="N53" s="652"/>
      <c r="O53" s="652"/>
      <c r="P53" s="551"/>
      <c r="Q53" s="552"/>
      <c r="R53" s="552"/>
      <c r="S53" s="537"/>
      <c r="T53" s="674"/>
      <c r="U53" s="551"/>
      <c r="V53" s="552"/>
      <c r="W53" s="552"/>
      <c r="X53" s="537"/>
      <c r="Y53" s="674"/>
      <c r="Z53" s="551"/>
      <c r="AA53" s="552"/>
      <c r="AB53" s="552"/>
      <c r="AC53" s="537"/>
      <c r="AD53" s="674"/>
      <c r="AE53" s="551"/>
      <c r="AF53" s="552"/>
      <c r="AG53" s="552"/>
      <c r="AH53" s="537"/>
      <c r="AI53" s="674"/>
      <c r="AJ53" s="551"/>
      <c r="AK53" s="552"/>
      <c r="AL53" s="552"/>
      <c r="AM53" s="537"/>
      <c r="AN53" s="674"/>
      <c r="AO53" s="551"/>
      <c r="AP53" s="552"/>
      <c r="AQ53" s="552"/>
      <c r="AR53" s="537"/>
      <c r="AS53" s="674"/>
      <c r="AT53" s="551"/>
      <c r="AU53" s="552"/>
      <c r="AV53" s="552"/>
      <c r="AW53" s="537"/>
      <c r="AX53" s="674"/>
    </row>
    <row r="54" spans="2:50">
      <c r="B54" s="660"/>
      <c r="C54" s="328">
        <v>8</v>
      </c>
      <c r="D54" s="227"/>
      <c r="E54" s="182"/>
      <c r="F54" s="514"/>
      <c r="G54" s="515"/>
      <c r="H54" s="702"/>
      <c r="I54" s="199"/>
      <c r="J54" s="199"/>
      <c r="K54" s="200"/>
      <c r="L54" s="634"/>
      <c r="M54" s="201" t="e">
        <f>RANK(K54, K$47:$K$61)</f>
        <v>#N/A</v>
      </c>
      <c r="N54" s="652"/>
      <c r="O54" s="652"/>
      <c r="P54" s="551"/>
      <c r="Q54" s="552"/>
      <c r="R54" s="552"/>
      <c r="S54" s="537"/>
      <c r="T54" s="674"/>
      <c r="U54" s="551"/>
      <c r="V54" s="552"/>
      <c r="W54" s="552"/>
      <c r="X54" s="537"/>
      <c r="Y54" s="674"/>
      <c r="Z54" s="551"/>
      <c r="AA54" s="552"/>
      <c r="AB54" s="552"/>
      <c r="AC54" s="537"/>
      <c r="AD54" s="674"/>
      <c r="AE54" s="551"/>
      <c r="AF54" s="552"/>
      <c r="AG54" s="552"/>
      <c r="AH54" s="537"/>
      <c r="AI54" s="674"/>
      <c r="AJ54" s="551"/>
      <c r="AK54" s="552"/>
      <c r="AL54" s="552"/>
      <c r="AM54" s="537"/>
      <c r="AN54" s="674"/>
      <c r="AO54" s="551"/>
      <c r="AP54" s="552"/>
      <c r="AQ54" s="552"/>
      <c r="AR54" s="537"/>
      <c r="AS54" s="674"/>
      <c r="AT54" s="551"/>
      <c r="AU54" s="552"/>
      <c r="AV54" s="552"/>
      <c r="AW54" s="537"/>
      <c r="AX54" s="674"/>
    </row>
    <row r="55" spans="2:50">
      <c r="B55" s="660"/>
      <c r="C55" s="328">
        <v>9</v>
      </c>
      <c r="D55" s="227"/>
      <c r="E55" s="182"/>
      <c r="F55" s="514"/>
      <c r="G55" s="515"/>
      <c r="H55" s="702"/>
      <c r="I55" s="199"/>
      <c r="J55" s="199"/>
      <c r="K55" s="200"/>
      <c r="L55" s="634"/>
      <c r="M55" s="201" t="e">
        <f>RANK(K55, K$47:$K$61)</f>
        <v>#N/A</v>
      </c>
      <c r="N55" s="652"/>
      <c r="O55" s="652"/>
      <c r="P55" s="551"/>
      <c r="Q55" s="552"/>
      <c r="R55" s="552"/>
      <c r="S55" s="537"/>
      <c r="T55" s="674"/>
      <c r="U55" s="551"/>
      <c r="V55" s="552"/>
      <c r="W55" s="552"/>
      <c r="X55" s="537"/>
      <c r="Y55" s="674"/>
      <c r="Z55" s="551"/>
      <c r="AA55" s="552"/>
      <c r="AB55" s="552"/>
      <c r="AC55" s="537"/>
      <c r="AD55" s="674"/>
      <c r="AE55" s="551"/>
      <c r="AF55" s="552"/>
      <c r="AG55" s="552"/>
      <c r="AH55" s="537"/>
      <c r="AI55" s="674"/>
      <c r="AJ55" s="551"/>
      <c r="AK55" s="552"/>
      <c r="AL55" s="552"/>
      <c r="AM55" s="537"/>
      <c r="AN55" s="674"/>
      <c r="AO55" s="551"/>
      <c r="AP55" s="552"/>
      <c r="AQ55" s="552"/>
      <c r="AR55" s="537"/>
      <c r="AS55" s="674"/>
      <c r="AT55" s="551"/>
      <c r="AU55" s="552"/>
      <c r="AV55" s="552"/>
      <c r="AW55" s="537"/>
      <c r="AX55" s="674"/>
    </row>
    <row r="56" spans="2:50">
      <c r="B56" s="660"/>
      <c r="C56" s="328">
        <v>10</v>
      </c>
      <c r="D56" s="227"/>
      <c r="E56" s="182"/>
      <c r="F56" s="514"/>
      <c r="G56" s="515"/>
      <c r="H56" s="702"/>
      <c r="I56" s="199"/>
      <c r="J56" s="199"/>
      <c r="K56" s="200"/>
      <c r="L56" s="634"/>
      <c r="M56" s="201" t="e">
        <f>RANK(K56, K$47:$K$61)</f>
        <v>#N/A</v>
      </c>
      <c r="N56" s="652"/>
      <c r="O56" s="652"/>
      <c r="P56" s="551"/>
      <c r="Q56" s="551"/>
      <c r="R56" s="552"/>
      <c r="S56" s="537"/>
      <c r="T56" s="674"/>
      <c r="U56" s="551"/>
      <c r="V56" s="551"/>
      <c r="W56" s="552"/>
      <c r="X56" s="537"/>
      <c r="Y56" s="674"/>
      <c r="Z56" s="551"/>
      <c r="AA56" s="551"/>
      <c r="AB56" s="552"/>
      <c r="AC56" s="537"/>
      <c r="AD56" s="674"/>
      <c r="AE56" s="551"/>
      <c r="AF56" s="551"/>
      <c r="AG56" s="552"/>
      <c r="AH56" s="537"/>
      <c r="AI56" s="674"/>
      <c r="AJ56" s="551"/>
      <c r="AK56" s="551"/>
      <c r="AL56" s="552"/>
      <c r="AM56" s="537"/>
      <c r="AN56" s="674"/>
      <c r="AO56" s="551"/>
      <c r="AP56" s="551"/>
      <c r="AQ56" s="552"/>
      <c r="AR56" s="537"/>
      <c r="AS56" s="674"/>
      <c r="AT56" s="551"/>
      <c r="AU56" s="551"/>
      <c r="AV56" s="552"/>
      <c r="AW56" s="537"/>
      <c r="AX56" s="674"/>
    </row>
    <row r="57" spans="2:50">
      <c r="B57" s="660"/>
      <c r="C57" s="328">
        <v>11</v>
      </c>
      <c r="D57" s="227"/>
      <c r="E57" s="182"/>
      <c r="F57" s="514"/>
      <c r="G57" s="515"/>
      <c r="H57" s="702"/>
      <c r="I57" s="202"/>
      <c r="J57" s="202"/>
      <c r="K57" s="202"/>
      <c r="L57" s="634"/>
      <c r="M57" s="201" t="e">
        <f>RANK(K57, K$47:$K$61)</f>
        <v>#N/A</v>
      </c>
      <c r="N57" s="652"/>
      <c r="O57" s="652"/>
      <c r="P57" s="551"/>
      <c r="Q57" s="551"/>
      <c r="R57" s="551"/>
      <c r="S57" s="537"/>
      <c r="T57" s="674"/>
      <c r="U57" s="551"/>
      <c r="V57" s="551"/>
      <c r="W57" s="551"/>
      <c r="X57" s="539"/>
      <c r="Y57" s="674"/>
      <c r="Z57" s="551"/>
      <c r="AA57" s="551"/>
      <c r="AB57" s="551"/>
      <c r="AC57" s="537"/>
      <c r="AD57" s="674"/>
      <c r="AE57" s="551"/>
      <c r="AF57" s="551"/>
      <c r="AG57" s="551"/>
      <c r="AH57" s="537"/>
      <c r="AI57" s="674"/>
      <c r="AJ57" s="551"/>
      <c r="AK57" s="551"/>
      <c r="AL57" s="551"/>
      <c r="AM57" s="537"/>
      <c r="AN57" s="674"/>
      <c r="AO57" s="551"/>
      <c r="AP57" s="551"/>
      <c r="AQ57" s="551"/>
      <c r="AR57" s="537"/>
      <c r="AS57" s="674"/>
      <c r="AT57" s="551"/>
      <c r="AU57" s="551"/>
      <c r="AV57" s="551"/>
      <c r="AW57" s="537"/>
      <c r="AX57" s="674"/>
    </row>
    <row r="58" spans="2:50">
      <c r="B58" s="660"/>
      <c r="C58" s="328">
        <v>12</v>
      </c>
      <c r="D58" s="227"/>
      <c r="E58" s="182"/>
      <c r="F58" s="514"/>
      <c r="G58" s="515"/>
      <c r="H58" s="702"/>
      <c r="I58" s="202"/>
      <c r="J58" s="202"/>
      <c r="K58" s="202"/>
      <c r="L58" s="634"/>
      <c r="M58" s="201" t="e">
        <f>RANK(K58, K$47:$K$61)</f>
        <v>#N/A</v>
      </c>
      <c r="N58" s="652"/>
      <c r="O58" s="652"/>
      <c r="P58" s="551"/>
      <c r="Q58" s="551"/>
      <c r="R58" s="551"/>
      <c r="S58" s="537"/>
      <c r="T58" s="674"/>
      <c r="U58" s="551"/>
      <c r="V58" s="551"/>
      <c r="W58" s="551"/>
      <c r="X58" s="537"/>
      <c r="Y58" s="674"/>
      <c r="Z58" s="551"/>
      <c r="AA58" s="551"/>
      <c r="AB58" s="551"/>
      <c r="AC58" s="537"/>
      <c r="AD58" s="674"/>
      <c r="AE58" s="551"/>
      <c r="AF58" s="551"/>
      <c r="AG58" s="551"/>
      <c r="AH58" s="537"/>
      <c r="AI58" s="674"/>
      <c r="AJ58" s="551"/>
      <c r="AK58" s="551"/>
      <c r="AL58" s="551"/>
      <c r="AM58" s="537"/>
      <c r="AN58" s="674"/>
      <c r="AO58" s="551"/>
      <c r="AP58" s="551"/>
      <c r="AQ58" s="551"/>
      <c r="AR58" s="537"/>
      <c r="AS58" s="674"/>
      <c r="AT58" s="551"/>
      <c r="AU58" s="551"/>
      <c r="AV58" s="551"/>
      <c r="AW58" s="537"/>
      <c r="AX58" s="674"/>
    </row>
    <row r="59" spans="2:50">
      <c r="B59" s="660"/>
      <c r="C59" s="328">
        <v>13</v>
      </c>
      <c r="D59" s="227"/>
      <c r="E59" s="182"/>
      <c r="F59" s="514"/>
      <c r="G59" s="515"/>
      <c r="H59" s="702"/>
      <c r="I59" s="202"/>
      <c r="J59" s="202"/>
      <c r="K59" s="202"/>
      <c r="L59" s="634"/>
      <c r="M59" s="201" t="e">
        <f>RANK(K59, K$47:$K$61)</f>
        <v>#N/A</v>
      </c>
      <c r="N59" s="652"/>
      <c r="O59" s="652"/>
      <c r="P59" s="551"/>
      <c r="Q59" s="551"/>
      <c r="R59" s="551"/>
      <c r="S59" s="537"/>
      <c r="T59" s="674"/>
      <c r="U59" s="551"/>
      <c r="V59" s="551"/>
      <c r="W59" s="551"/>
      <c r="X59" s="537"/>
      <c r="Y59" s="674"/>
      <c r="Z59" s="551"/>
      <c r="AA59" s="551"/>
      <c r="AB59" s="551"/>
      <c r="AC59" s="537"/>
      <c r="AD59" s="674"/>
      <c r="AE59" s="551"/>
      <c r="AF59" s="551"/>
      <c r="AG59" s="551"/>
      <c r="AH59" s="537"/>
      <c r="AI59" s="674"/>
      <c r="AJ59" s="551"/>
      <c r="AK59" s="551"/>
      <c r="AL59" s="551"/>
      <c r="AM59" s="537"/>
      <c r="AN59" s="674"/>
      <c r="AO59" s="551"/>
      <c r="AP59" s="551"/>
      <c r="AQ59" s="551"/>
      <c r="AR59" s="537"/>
      <c r="AS59" s="674"/>
      <c r="AT59" s="551"/>
      <c r="AU59" s="551"/>
      <c r="AV59" s="551"/>
      <c r="AW59" s="537"/>
      <c r="AX59" s="674"/>
    </row>
    <row r="60" spans="2:50">
      <c r="B60" s="660"/>
      <c r="C60" s="328">
        <v>14</v>
      </c>
      <c r="D60" s="227"/>
      <c r="E60" s="182"/>
      <c r="F60" s="514"/>
      <c r="G60" s="515"/>
      <c r="H60" s="702"/>
      <c r="I60" s="202"/>
      <c r="J60" s="202"/>
      <c r="K60" s="202"/>
      <c r="L60" s="634"/>
      <c r="M60" s="201" t="e">
        <f>RANK(K60, K$47:$K$61)</f>
        <v>#N/A</v>
      </c>
      <c r="N60" s="652"/>
      <c r="O60" s="652"/>
      <c r="P60" s="551"/>
      <c r="Q60" s="551"/>
      <c r="R60" s="551"/>
      <c r="S60" s="537"/>
      <c r="T60" s="674"/>
      <c r="U60" s="551"/>
      <c r="V60" s="551"/>
      <c r="W60" s="551"/>
      <c r="X60" s="537"/>
      <c r="Y60" s="674"/>
      <c r="Z60" s="551"/>
      <c r="AA60" s="551"/>
      <c r="AB60" s="551"/>
      <c r="AC60" s="537"/>
      <c r="AD60" s="674"/>
      <c r="AE60" s="551"/>
      <c r="AF60" s="551"/>
      <c r="AG60" s="551"/>
      <c r="AH60" s="537"/>
      <c r="AI60" s="674"/>
      <c r="AJ60" s="551"/>
      <c r="AK60" s="551"/>
      <c r="AL60" s="551"/>
      <c r="AM60" s="537"/>
      <c r="AN60" s="674"/>
      <c r="AO60" s="551"/>
      <c r="AP60" s="551"/>
      <c r="AQ60" s="551"/>
      <c r="AR60" s="537"/>
      <c r="AS60" s="674"/>
      <c r="AT60" s="551"/>
      <c r="AU60" s="551"/>
      <c r="AV60" s="551"/>
      <c r="AW60" s="537"/>
      <c r="AX60" s="674"/>
    </row>
    <row r="61" spans="2:50">
      <c r="B61" s="660"/>
      <c r="C61" s="328">
        <v>15</v>
      </c>
      <c r="D61" s="227"/>
      <c r="E61" s="182"/>
      <c r="F61" s="514"/>
      <c r="G61" s="515"/>
      <c r="H61" s="703"/>
      <c r="I61" s="202"/>
      <c r="J61" s="202"/>
      <c r="K61" s="202"/>
      <c r="L61" s="635"/>
      <c r="M61" s="201" t="e">
        <f>RANK(K61, K$47:$K$61)</f>
        <v>#N/A</v>
      </c>
      <c r="N61" s="652"/>
      <c r="O61" s="652"/>
      <c r="P61" s="551"/>
      <c r="Q61" s="551"/>
      <c r="R61" s="551"/>
      <c r="S61" s="537"/>
      <c r="T61" s="674"/>
      <c r="U61" s="551"/>
      <c r="V61" s="551"/>
      <c r="W61" s="551"/>
      <c r="X61" s="537"/>
      <c r="Y61" s="674"/>
      <c r="Z61" s="551"/>
      <c r="AA61" s="551"/>
      <c r="AB61" s="551"/>
      <c r="AC61" s="537"/>
      <c r="AD61" s="674"/>
      <c r="AE61" s="551"/>
      <c r="AF61" s="551"/>
      <c r="AG61" s="551"/>
      <c r="AH61" s="537"/>
      <c r="AI61" s="674"/>
      <c r="AJ61" s="551"/>
      <c r="AK61" s="551"/>
      <c r="AL61" s="551"/>
      <c r="AM61" s="537"/>
      <c r="AN61" s="674"/>
      <c r="AO61" s="551"/>
      <c r="AP61" s="551"/>
      <c r="AQ61" s="551"/>
      <c r="AR61" s="537"/>
      <c r="AS61" s="674"/>
      <c r="AT61" s="551"/>
      <c r="AU61" s="551"/>
      <c r="AV61" s="551"/>
      <c r="AW61" s="537"/>
      <c r="AX61" s="674"/>
    </row>
    <row r="62" spans="2:50" ht="15.75">
      <c r="B62" s="664" t="s">
        <v>163</v>
      </c>
      <c r="C62" s="665"/>
      <c r="D62" s="665"/>
      <c r="E62" s="665"/>
      <c r="F62" s="665"/>
      <c r="G62" s="665"/>
      <c r="H62" s="666"/>
      <c r="I62" s="208"/>
      <c r="J62" s="208"/>
      <c r="K62" s="208"/>
      <c r="L62" s="208"/>
      <c r="M62" s="207"/>
      <c r="N62" s="653" t="s">
        <v>156</v>
      </c>
      <c r="O62" s="653" t="s">
        <v>105</v>
      </c>
      <c r="P62" s="659">
        <f>P42+7</f>
        <v>46070</v>
      </c>
      <c r="Q62" s="660"/>
      <c r="R62" s="660"/>
      <c r="S62" s="660"/>
      <c r="T62" s="660"/>
      <c r="U62" s="656">
        <f>P62+1</f>
        <v>46071</v>
      </c>
      <c r="V62" s="657"/>
      <c r="W62" s="657"/>
      <c r="X62" s="657"/>
      <c r="Y62" s="658"/>
      <c r="Z62" s="656">
        <f>U62+1</f>
        <v>46072</v>
      </c>
      <c r="AA62" s="657"/>
      <c r="AB62" s="657"/>
      <c r="AC62" s="657"/>
      <c r="AD62" s="658"/>
      <c r="AE62" s="656">
        <f>Z62+1</f>
        <v>46073</v>
      </c>
      <c r="AF62" s="657"/>
      <c r="AG62" s="657"/>
      <c r="AH62" s="657"/>
      <c r="AI62" s="658"/>
      <c r="AJ62" s="656">
        <f>AE62+1</f>
        <v>46074</v>
      </c>
      <c r="AK62" s="657"/>
      <c r="AL62" s="657"/>
      <c r="AM62" s="657"/>
      <c r="AN62" s="658"/>
      <c r="AO62" s="656">
        <f>AJ62+1</f>
        <v>46075</v>
      </c>
      <c r="AP62" s="657"/>
      <c r="AQ62" s="657"/>
      <c r="AR62" s="657"/>
      <c r="AS62" s="658"/>
      <c r="AT62" s="656">
        <f>AO62+1</f>
        <v>46076</v>
      </c>
      <c r="AU62" s="657"/>
      <c r="AV62" s="657"/>
      <c r="AW62" s="657"/>
      <c r="AX62" s="658"/>
    </row>
    <row r="63" spans="2:50" ht="15.75">
      <c r="B63" s="667"/>
      <c r="C63" s="667"/>
      <c r="D63" s="667"/>
      <c r="E63" s="667"/>
      <c r="F63" s="667"/>
      <c r="G63" s="667"/>
      <c r="H63" s="667"/>
      <c r="I63" s="205"/>
      <c r="J63" s="205"/>
      <c r="K63" s="205"/>
      <c r="L63" s="205"/>
      <c r="M63" s="206"/>
      <c r="N63" s="655"/>
      <c r="O63" s="655"/>
      <c r="P63" s="659" t="s">
        <v>336</v>
      </c>
      <c r="Q63" s="660"/>
      <c r="R63" s="660"/>
      <c r="S63" s="660"/>
      <c r="T63" s="660"/>
      <c r="U63" s="659" t="s">
        <v>337</v>
      </c>
      <c r="V63" s="660"/>
      <c r="W63" s="660"/>
      <c r="X63" s="660"/>
      <c r="Y63" s="660"/>
      <c r="Z63" s="659" t="s">
        <v>338</v>
      </c>
      <c r="AA63" s="660"/>
      <c r="AB63" s="660"/>
      <c r="AC63" s="660"/>
      <c r="AD63" s="660"/>
      <c r="AE63" s="659" t="s">
        <v>339</v>
      </c>
      <c r="AF63" s="660"/>
      <c r="AG63" s="660"/>
      <c r="AH63" s="660"/>
      <c r="AI63" s="660"/>
      <c r="AJ63" s="659" t="s">
        <v>340</v>
      </c>
      <c r="AK63" s="660"/>
      <c r="AL63" s="660"/>
      <c r="AM63" s="660"/>
      <c r="AN63" s="660"/>
      <c r="AO63" s="659" t="s">
        <v>341</v>
      </c>
      <c r="AP63" s="660"/>
      <c r="AQ63" s="660"/>
      <c r="AR63" s="660"/>
      <c r="AS63" s="660"/>
      <c r="AT63" s="659" t="s">
        <v>342</v>
      </c>
      <c r="AU63" s="660"/>
      <c r="AV63" s="660"/>
      <c r="AW63" s="660"/>
      <c r="AX63" s="660"/>
    </row>
    <row r="64" spans="2:50">
      <c r="B64" s="652" t="s">
        <v>490</v>
      </c>
      <c r="C64" s="652" t="s">
        <v>491</v>
      </c>
      <c r="D64" s="652"/>
      <c r="E64" s="652" t="s">
        <v>492</v>
      </c>
      <c r="F64" s="652"/>
      <c r="G64" s="652"/>
      <c r="H64" s="668" t="s">
        <v>493</v>
      </c>
      <c r="I64" s="636" t="s">
        <v>494</v>
      </c>
      <c r="J64" s="636"/>
      <c r="K64" s="636"/>
      <c r="L64" s="637" t="s">
        <v>493</v>
      </c>
      <c r="M64" s="643" t="s">
        <v>495</v>
      </c>
      <c r="N64" s="652"/>
      <c r="O64" s="652" t="s">
        <v>496</v>
      </c>
      <c r="P64" s="649" t="s">
        <v>497</v>
      </c>
      <c r="Q64" s="650"/>
      <c r="R64" s="650"/>
      <c r="S64" s="651"/>
      <c r="T64" s="652" t="s">
        <v>493</v>
      </c>
      <c r="U64" s="649" t="s">
        <v>497</v>
      </c>
      <c r="V64" s="650"/>
      <c r="W64" s="650"/>
      <c r="X64" s="651"/>
      <c r="Y64" s="652" t="s">
        <v>493</v>
      </c>
      <c r="Z64" s="649" t="s">
        <v>497</v>
      </c>
      <c r="AA64" s="650"/>
      <c r="AB64" s="650"/>
      <c r="AC64" s="651"/>
      <c r="AD64" s="652" t="s">
        <v>493</v>
      </c>
      <c r="AE64" s="649" t="s">
        <v>497</v>
      </c>
      <c r="AF64" s="650"/>
      <c r="AG64" s="650"/>
      <c r="AH64" s="651"/>
      <c r="AI64" s="652" t="s">
        <v>493</v>
      </c>
      <c r="AJ64" s="649" t="s">
        <v>497</v>
      </c>
      <c r="AK64" s="650"/>
      <c r="AL64" s="650"/>
      <c r="AM64" s="651"/>
      <c r="AN64" s="652" t="s">
        <v>493</v>
      </c>
      <c r="AO64" s="649" t="s">
        <v>497</v>
      </c>
      <c r="AP64" s="650"/>
      <c r="AQ64" s="650"/>
      <c r="AR64" s="651"/>
      <c r="AS64" s="652" t="s">
        <v>493</v>
      </c>
      <c r="AT64" s="649" t="s">
        <v>497</v>
      </c>
      <c r="AU64" s="650"/>
      <c r="AV64" s="650"/>
      <c r="AW64" s="651"/>
      <c r="AX64" s="652" t="s">
        <v>493</v>
      </c>
    </row>
    <row r="65" spans="2:50">
      <c r="B65" s="652"/>
      <c r="C65" s="652"/>
      <c r="D65" s="652"/>
      <c r="E65" s="652" t="s">
        <v>498</v>
      </c>
      <c r="F65" s="652"/>
      <c r="G65" s="652"/>
      <c r="H65" s="669"/>
      <c r="I65" s="636" t="s">
        <v>498</v>
      </c>
      <c r="J65" s="636"/>
      <c r="K65" s="636"/>
      <c r="L65" s="638"/>
      <c r="M65" s="644"/>
      <c r="N65" s="652"/>
      <c r="O65" s="652"/>
      <c r="P65" s="649" t="s">
        <v>499</v>
      </c>
      <c r="Q65" s="650"/>
      <c r="R65" s="650"/>
      <c r="S65" s="651"/>
      <c r="T65" s="652"/>
      <c r="U65" s="649" t="s">
        <v>499</v>
      </c>
      <c r="V65" s="650"/>
      <c r="W65" s="650"/>
      <c r="X65" s="651"/>
      <c r="Y65" s="652"/>
      <c r="Z65" s="649" t="s">
        <v>499</v>
      </c>
      <c r="AA65" s="650"/>
      <c r="AB65" s="650"/>
      <c r="AC65" s="651"/>
      <c r="AD65" s="652"/>
      <c r="AE65" s="649" t="s">
        <v>499</v>
      </c>
      <c r="AF65" s="650"/>
      <c r="AG65" s="650"/>
      <c r="AH65" s="651"/>
      <c r="AI65" s="652"/>
      <c r="AJ65" s="649" t="s">
        <v>499</v>
      </c>
      <c r="AK65" s="650"/>
      <c r="AL65" s="650"/>
      <c r="AM65" s="651"/>
      <c r="AN65" s="652"/>
      <c r="AO65" s="649" t="s">
        <v>499</v>
      </c>
      <c r="AP65" s="650"/>
      <c r="AQ65" s="650"/>
      <c r="AR65" s="651"/>
      <c r="AS65" s="652"/>
      <c r="AT65" s="649" t="s">
        <v>499</v>
      </c>
      <c r="AU65" s="650"/>
      <c r="AV65" s="650"/>
      <c r="AW65" s="651"/>
      <c r="AX65" s="652"/>
    </row>
    <row r="66" spans="2:50">
      <c r="B66" s="652"/>
      <c r="C66" s="652"/>
      <c r="D66" s="652"/>
      <c r="E66" s="308" t="s">
        <v>500</v>
      </c>
      <c r="F66" s="308" t="s">
        <v>501</v>
      </c>
      <c r="G66" s="308" t="s">
        <v>502</v>
      </c>
      <c r="H66" s="670"/>
      <c r="I66" s="307" t="s">
        <v>500</v>
      </c>
      <c r="J66" s="307" t="s">
        <v>501</v>
      </c>
      <c r="K66" s="307" t="s">
        <v>502</v>
      </c>
      <c r="L66" s="639"/>
      <c r="M66" s="645"/>
      <c r="N66" s="652"/>
      <c r="O66" s="652"/>
      <c r="P66" s="308" t="s">
        <v>500</v>
      </c>
      <c r="Q66" s="308" t="s">
        <v>501</v>
      </c>
      <c r="R66" s="308" t="s">
        <v>502</v>
      </c>
      <c r="S66" s="308" t="s">
        <v>495</v>
      </c>
      <c r="T66" s="652"/>
      <c r="U66" s="308" t="s">
        <v>500</v>
      </c>
      <c r="V66" s="308" t="s">
        <v>501</v>
      </c>
      <c r="W66" s="308" t="s">
        <v>502</v>
      </c>
      <c r="X66" s="308" t="s">
        <v>495</v>
      </c>
      <c r="Y66" s="652"/>
      <c r="Z66" s="308" t="s">
        <v>500</v>
      </c>
      <c r="AA66" s="308" t="s">
        <v>501</v>
      </c>
      <c r="AB66" s="308" t="s">
        <v>502</v>
      </c>
      <c r="AC66" s="308" t="s">
        <v>495</v>
      </c>
      <c r="AD66" s="652"/>
      <c r="AE66" s="308" t="s">
        <v>500</v>
      </c>
      <c r="AF66" s="308" t="s">
        <v>501</v>
      </c>
      <c r="AG66" s="308" t="s">
        <v>502</v>
      </c>
      <c r="AH66" s="308" t="s">
        <v>495</v>
      </c>
      <c r="AI66" s="652"/>
      <c r="AJ66" s="308" t="s">
        <v>500</v>
      </c>
      <c r="AK66" s="308" t="s">
        <v>501</v>
      </c>
      <c r="AL66" s="308" t="s">
        <v>502</v>
      </c>
      <c r="AM66" s="308" t="s">
        <v>495</v>
      </c>
      <c r="AN66" s="652"/>
      <c r="AO66" s="308" t="s">
        <v>500</v>
      </c>
      <c r="AP66" s="308" t="s">
        <v>501</v>
      </c>
      <c r="AQ66" s="308" t="s">
        <v>502</v>
      </c>
      <c r="AR66" s="308" t="s">
        <v>495</v>
      </c>
      <c r="AS66" s="652"/>
      <c r="AT66" s="308" t="s">
        <v>500</v>
      </c>
      <c r="AU66" s="308" t="s">
        <v>501</v>
      </c>
      <c r="AV66" s="308" t="s">
        <v>502</v>
      </c>
      <c r="AW66" s="308" t="s">
        <v>495</v>
      </c>
      <c r="AX66" s="652"/>
    </row>
    <row r="67" spans="2:50">
      <c r="B67" s="652" t="s">
        <v>507</v>
      </c>
      <c r="C67" s="309">
        <v>1</v>
      </c>
      <c r="D67" s="227"/>
      <c r="E67" s="182"/>
      <c r="F67" s="551"/>
      <c r="G67" s="552"/>
      <c r="H67" s="701" t="e">
        <f>AVERAGE(G67:G81)</f>
        <v>#DIV/0!</v>
      </c>
      <c r="I67" s="199" t="e">
        <f t="shared" ref="I67:K70" si="40">AVERAGE(P67,U67,Z67,AE67,AJ67,AO67,AT67)</f>
        <v>#DIV/0!</v>
      </c>
      <c r="J67" s="199" t="e">
        <f t="shared" si="40"/>
        <v>#DIV/0!</v>
      </c>
      <c r="K67" s="200" t="e">
        <f t="shared" si="40"/>
        <v>#DIV/0!</v>
      </c>
      <c r="L67" s="633" t="str">
        <f>IFERROR(AVERAGE(K67:K81),"-")</f>
        <v>-</v>
      </c>
      <c r="M67" s="201" t="e">
        <f>RANK(K67, K$67:$K$81)</f>
        <v>#DIV/0!</v>
      </c>
      <c r="N67" s="652"/>
      <c r="O67" s="652"/>
      <c r="P67" s="182"/>
      <c r="Q67" s="552"/>
      <c r="R67" s="552"/>
      <c r="S67" s="340" t="e">
        <f>RANK(R67, R$67:R$81)</f>
        <v>#N/A</v>
      </c>
      <c r="T67" s="701" t="e">
        <f>AVERAGE(R67:R81)</f>
        <v>#DIV/0!</v>
      </c>
      <c r="U67" s="182"/>
      <c r="V67" s="552"/>
      <c r="W67" s="552"/>
      <c r="X67" s="477" t="e">
        <f t="shared" ref="X67:X81" si="41">RANK(W67, W$67:W$81)</f>
        <v>#N/A</v>
      </c>
      <c r="Y67" s="701" t="e">
        <f t="shared" ref="Y67" si="42">AVERAGE(W67:W81)</f>
        <v>#DIV/0!</v>
      </c>
      <c r="Z67" s="182"/>
      <c r="AA67" s="552"/>
      <c r="AB67" s="552"/>
      <c r="AC67" s="477" t="e">
        <f t="shared" ref="AC67:AC81" si="43">RANK(AB67, AB$67:AB$81)</f>
        <v>#N/A</v>
      </c>
      <c r="AD67" s="701" t="e">
        <f t="shared" ref="AD67" si="44">AVERAGE(AB67:AB81)</f>
        <v>#DIV/0!</v>
      </c>
      <c r="AE67" s="182"/>
      <c r="AF67" s="552"/>
      <c r="AG67" s="552"/>
      <c r="AH67" s="477" t="e">
        <f t="shared" ref="AH67:AH81" si="45">RANK(AG67, AG$67:AG$81)</f>
        <v>#N/A</v>
      </c>
      <c r="AI67" s="701" t="e">
        <f t="shared" ref="AI67" si="46">AVERAGE(AG67:AG81)</f>
        <v>#DIV/0!</v>
      </c>
      <c r="AJ67" s="182"/>
      <c r="AK67" s="552"/>
      <c r="AL67" s="552"/>
      <c r="AM67" s="477" t="e">
        <f t="shared" ref="AM67:AM81" si="47">RANK(AL67, AL$67:AL$81)</f>
        <v>#N/A</v>
      </c>
      <c r="AN67" s="701" t="e">
        <f t="shared" ref="AN67" si="48">AVERAGE(AL67:AL81)</f>
        <v>#DIV/0!</v>
      </c>
      <c r="AO67" s="182"/>
      <c r="AP67" s="552"/>
      <c r="AQ67" s="552"/>
      <c r="AR67" s="477" t="e">
        <f t="shared" ref="AR67:AR81" si="49">RANK(AQ67, AQ$67:AQ$81)</f>
        <v>#N/A</v>
      </c>
      <c r="AS67" s="701" t="e">
        <f t="shared" ref="AS67" si="50">AVERAGE(AQ67:AQ81)</f>
        <v>#DIV/0!</v>
      </c>
      <c r="AT67" s="182"/>
      <c r="AU67" s="552"/>
      <c r="AV67" s="552"/>
      <c r="AW67" s="477" t="e">
        <f t="shared" ref="AW67:AW81" si="51">RANK(AV67, AV$67:AV$81)</f>
        <v>#N/A</v>
      </c>
      <c r="AX67" s="674" t="e">
        <f t="shared" ref="AX67" si="52">AVERAGE(AV67:AV81)</f>
        <v>#DIV/0!</v>
      </c>
    </row>
    <row r="68" spans="2:50">
      <c r="B68" s="660"/>
      <c r="C68" s="309">
        <v>2</v>
      </c>
      <c r="D68" s="227"/>
      <c r="E68" s="182"/>
      <c r="F68" s="551"/>
      <c r="G68" s="552"/>
      <c r="H68" s="702"/>
      <c r="I68" s="199" t="e">
        <f t="shared" si="40"/>
        <v>#DIV/0!</v>
      </c>
      <c r="J68" s="199" t="e">
        <f t="shared" si="40"/>
        <v>#DIV/0!</v>
      </c>
      <c r="K68" s="200" t="e">
        <f t="shared" si="40"/>
        <v>#DIV/0!</v>
      </c>
      <c r="L68" s="634"/>
      <c r="M68" s="201" t="e">
        <f>RANK(K68, K$67:$K$81)</f>
        <v>#DIV/0!</v>
      </c>
      <c r="N68" s="652"/>
      <c r="O68" s="652"/>
      <c r="P68" s="551"/>
      <c r="Q68" s="552"/>
      <c r="R68" s="552"/>
      <c r="S68" s="340" t="e">
        <f t="shared" ref="S68:S81" si="53">RANK(R68, R$67:R$81)</f>
        <v>#N/A</v>
      </c>
      <c r="T68" s="702"/>
      <c r="U68" s="551"/>
      <c r="V68" s="552"/>
      <c r="W68" s="552"/>
      <c r="X68" s="477" t="e">
        <f t="shared" si="41"/>
        <v>#N/A</v>
      </c>
      <c r="Y68" s="702"/>
      <c r="Z68" s="551"/>
      <c r="AA68" s="552"/>
      <c r="AB68" s="552"/>
      <c r="AC68" s="477" t="e">
        <f t="shared" si="43"/>
        <v>#N/A</v>
      </c>
      <c r="AD68" s="702"/>
      <c r="AE68" s="551"/>
      <c r="AF68" s="552"/>
      <c r="AG68" s="552"/>
      <c r="AH68" s="477" t="e">
        <f t="shared" si="45"/>
        <v>#N/A</v>
      </c>
      <c r="AI68" s="702"/>
      <c r="AJ68" s="551"/>
      <c r="AK68" s="552"/>
      <c r="AL68" s="552"/>
      <c r="AM68" s="477" t="e">
        <f t="shared" si="47"/>
        <v>#N/A</v>
      </c>
      <c r="AN68" s="702"/>
      <c r="AO68" s="551"/>
      <c r="AP68" s="552"/>
      <c r="AQ68" s="552"/>
      <c r="AR68" s="477" t="e">
        <f t="shared" si="49"/>
        <v>#N/A</v>
      </c>
      <c r="AS68" s="702"/>
      <c r="AT68" s="551"/>
      <c r="AU68" s="552"/>
      <c r="AV68" s="552"/>
      <c r="AW68" s="477" t="e">
        <f t="shared" si="51"/>
        <v>#N/A</v>
      </c>
      <c r="AX68" s="674"/>
    </row>
    <row r="69" spans="2:50">
      <c r="B69" s="660"/>
      <c r="C69" s="309">
        <v>3</v>
      </c>
      <c r="D69" s="227"/>
      <c r="E69" s="182"/>
      <c r="F69" s="551"/>
      <c r="G69" s="552"/>
      <c r="H69" s="702"/>
      <c r="I69" s="199" t="e">
        <f t="shared" si="40"/>
        <v>#DIV/0!</v>
      </c>
      <c r="J69" s="199" t="e">
        <f t="shared" si="40"/>
        <v>#DIV/0!</v>
      </c>
      <c r="K69" s="200" t="e">
        <f t="shared" si="40"/>
        <v>#DIV/0!</v>
      </c>
      <c r="L69" s="634"/>
      <c r="M69" s="201" t="e">
        <f>RANK(K69, K$67:$K$81)</f>
        <v>#DIV/0!</v>
      </c>
      <c r="N69" s="652"/>
      <c r="O69" s="652"/>
      <c r="P69" s="551"/>
      <c r="Q69" s="552"/>
      <c r="R69" s="552"/>
      <c r="S69" s="340" t="e">
        <f t="shared" si="53"/>
        <v>#N/A</v>
      </c>
      <c r="T69" s="702"/>
      <c r="U69" s="551"/>
      <c r="V69" s="552"/>
      <c r="W69" s="552"/>
      <c r="X69" s="477" t="e">
        <f t="shared" si="41"/>
        <v>#N/A</v>
      </c>
      <c r="Y69" s="702"/>
      <c r="Z69" s="551"/>
      <c r="AA69" s="552"/>
      <c r="AB69" s="552"/>
      <c r="AC69" s="477" t="e">
        <f t="shared" si="43"/>
        <v>#N/A</v>
      </c>
      <c r="AD69" s="702"/>
      <c r="AE69" s="551"/>
      <c r="AF69" s="552"/>
      <c r="AG69" s="552"/>
      <c r="AH69" s="477" t="e">
        <f t="shared" si="45"/>
        <v>#N/A</v>
      </c>
      <c r="AI69" s="702"/>
      <c r="AJ69" s="551"/>
      <c r="AK69" s="552"/>
      <c r="AL69" s="552"/>
      <c r="AM69" s="477" t="e">
        <f t="shared" si="47"/>
        <v>#N/A</v>
      </c>
      <c r="AN69" s="702"/>
      <c r="AO69" s="551"/>
      <c r="AP69" s="552"/>
      <c r="AQ69" s="552"/>
      <c r="AR69" s="477" t="e">
        <f t="shared" si="49"/>
        <v>#N/A</v>
      </c>
      <c r="AS69" s="702"/>
      <c r="AT69" s="551"/>
      <c r="AU69" s="552"/>
      <c r="AV69" s="552"/>
      <c r="AW69" s="477" t="e">
        <f t="shared" si="51"/>
        <v>#N/A</v>
      </c>
      <c r="AX69" s="674"/>
    </row>
    <row r="70" spans="2:50">
      <c r="B70" s="660"/>
      <c r="C70" s="309">
        <v>4</v>
      </c>
      <c r="D70" s="227"/>
      <c r="E70" s="182"/>
      <c r="F70" s="551"/>
      <c r="G70" s="552"/>
      <c r="H70" s="702"/>
      <c r="I70" s="199" t="e">
        <f t="shared" si="40"/>
        <v>#DIV/0!</v>
      </c>
      <c r="J70" s="199" t="e">
        <f t="shared" si="40"/>
        <v>#DIV/0!</v>
      </c>
      <c r="K70" s="200" t="e">
        <f t="shared" si="40"/>
        <v>#DIV/0!</v>
      </c>
      <c r="L70" s="634"/>
      <c r="M70" s="201" t="e">
        <f>RANK(K70, K$67:$K$81)</f>
        <v>#DIV/0!</v>
      </c>
      <c r="N70" s="652"/>
      <c r="O70" s="652"/>
      <c r="P70" s="551"/>
      <c r="Q70" s="552"/>
      <c r="R70" s="552"/>
      <c r="S70" s="340" t="e">
        <f t="shared" si="53"/>
        <v>#N/A</v>
      </c>
      <c r="T70" s="702"/>
      <c r="U70" s="551"/>
      <c r="V70" s="552"/>
      <c r="W70" s="552"/>
      <c r="X70" s="477" t="e">
        <f t="shared" si="41"/>
        <v>#N/A</v>
      </c>
      <c r="Y70" s="702"/>
      <c r="Z70" s="551"/>
      <c r="AA70" s="552"/>
      <c r="AB70" s="552"/>
      <c r="AC70" s="477" t="e">
        <f t="shared" si="43"/>
        <v>#N/A</v>
      </c>
      <c r="AD70" s="702"/>
      <c r="AE70" s="551"/>
      <c r="AF70" s="552"/>
      <c r="AG70" s="552"/>
      <c r="AH70" s="477" t="e">
        <f t="shared" si="45"/>
        <v>#N/A</v>
      </c>
      <c r="AI70" s="702"/>
      <c r="AJ70" s="551"/>
      <c r="AK70" s="552"/>
      <c r="AL70" s="552"/>
      <c r="AM70" s="477" t="e">
        <f t="shared" si="47"/>
        <v>#N/A</v>
      </c>
      <c r="AN70" s="702"/>
      <c r="AO70" s="551"/>
      <c r="AP70" s="552"/>
      <c r="AQ70" s="552"/>
      <c r="AR70" s="477" t="e">
        <f t="shared" si="49"/>
        <v>#N/A</v>
      </c>
      <c r="AS70" s="702"/>
      <c r="AT70" s="551"/>
      <c r="AU70" s="552"/>
      <c r="AV70" s="552"/>
      <c r="AW70" s="477" t="e">
        <f t="shared" si="51"/>
        <v>#N/A</v>
      </c>
      <c r="AX70" s="674"/>
    </row>
    <row r="71" spans="2:50">
      <c r="B71" s="660"/>
      <c r="C71" s="309">
        <v>5</v>
      </c>
      <c r="D71" s="227"/>
      <c r="E71" s="182"/>
      <c r="F71" s="551"/>
      <c r="G71" s="552"/>
      <c r="H71" s="702"/>
      <c r="I71" s="468" t="e">
        <f t="shared" ref="I71" si="54">AVERAGE(P71,U71,Z71,AE71,AJ71,AO71,AT71)</f>
        <v>#DIV/0!</v>
      </c>
      <c r="J71" s="468" t="e">
        <f t="shared" ref="J71" si="55">AVERAGE(Q71,V71,AA71,AF71,AK71,AP71,AU71)</f>
        <v>#DIV/0!</v>
      </c>
      <c r="K71" s="200" t="e">
        <f t="shared" ref="K71" si="56">AVERAGE(R71,W71,AB71,AG71,AL71,AQ71,AV71)</f>
        <v>#DIV/0!</v>
      </c>
      <c r="L71" s="634"/>
      <c r="M71" s="201" t="e">
        <f>RANK(K71, K$67:$K$81)</f>
        <v>#DIV/0!</v>
      </c>
      <c r="N71" s="652"/>
      <c r="O71" s="652"/>
      <c r="P71" s="551"/>
      <c r="Q71" s="552"/>
      <c r="R71" s="552"/>
      <c r="S71" s="340" t="e">
        <f t="shared" si="53"/>
        <v>#N/A</v>
      </c>
      <c r="T71" s="702"/>
      <c r="U71" s="551"/>
      <c r="V71" s="552"/>
      <c r="W71" s="552"/>
      <c r="X71" s="477" t="e">
        <f t="shared" si="41"/>
        <v>#N/A</v>
      </c>
      <c r="Y71" s="702"/>
      <c r="Z71" s="551"/>
      <c r="AA71" s="552"/>
      <c r="AB71" s="552"/>
      <c r="AC71" s="477" t="e">
        <f t="shared" si="43"/>
        <v>#N/A</v>
      </c>
      <c r="AD71" s="702"/>
      <c r="AE71" s="551"/>
      <c r="AF71" s="552"/>
      <c r="AG71" s="552"/>
      <c r="AH71" s="477" t="e">
        <f t="shared" si="45"/>
        <v>#N/A</v>
      </c>
      <c r="AI71" s="702"/>
      <c r="AJ71" s="551"/>
      <c r="AK71" s="552"/>
      <c r="AL71" s="552"/>
      <c r="AM71" s="477" t="e">
        <f t="shared" si="47"/>
        <v>#N/A</v>
      </c>
      <c r="AN71" s="702"/>
      <c r="AO71" s="551"/>
      <c r="AP71" s="552"/>
      <c r="AQ71" s="552"/>
      <c r="AR71" s="477" t="e">
        <f t="shared" si="49"/>
        <v>#N/A</v>
      </c>
      <c r="AS71" s="702"/>
      <c r="AT71" s="551"/>
      <c r="AU71" s="552"/>
      <c r="AV71" s="552"/>
      <c r="AW71" s="477" t="e">
        <f t="shared" si="51"/>
        <v>#N/A</v>
      </c>
      <c r="AX71" s="674"/>
    </row>
    <row r="72" spans="2:50">
      <c r="B72" s="660"/>
      <c r="C72" s="309">
        <v>6</v>
      </c>
      <c r="D72" s="227"/>
      <c r="E72" s="182"/>
      <c r="F72" s="514"/>
      <c r="G72" s="515"/>
      <c r="H72" s="702"/>
      <c r="I72" s="199"/>
      <c r="J72" s="199"/>
      <c r="K72" s="200"/>
      <c r="L72" s="634"/>
      <c r="M72" s="201" t="e">
        <f>RANK(K72, K$67:$K$81)</f>
        <v>#DIV/0!</v>
      </c>
      <c r="N72" s="652"/>
      <c r="O72" s="652"/>
      <c r="P72" s="551"/>
      <c r="Q72" s="552"/>
      <c r="R72" s="552"/>
      <c r="S72" s="340" t="e">
        <f t="shared" si="53"/>
        <v>#N/A</v>
      </c>
      <c r="T72" s="702"/>
      <c r="U72" s="551"/>
      <c r="V72" s="552"/>
      <c r="W72" s="552"/>
      <c r="X72" s="477" t="e">
        <f t="shared" si="41"/>
        <v>#N/A</v>
      </c>
      <c r="Y72" s="702"/>
      <c r="Z72" s="551"/>
      <c r="AA72" s="552"/>
      <c r="AB72" s="552"/>
      <c r="AC72" s="477" t="e">
        <f t="shared" si="43"/>
        <v>#N/A</v>
      </c>
      <c r="AD72" s="702"/>
      <c r="AE72" s="551"/>
      <c r="AF72" s="552"/>
      <c r="AG72" s="552"/>
      <c r="AH72" s="477" t="e">
        <f t="shared" si="45"/>
        <v>#N/A</v>
      </c>
      <c r="AI72" s="702"/>
      <c r="AJ72" s="551"/>
      <c r="AK72" s="552"/>
      <c r="AL72" s="552"/>
      <c r="AM72" s="477" t="e">
        <f t="shared" si="47"/>
        <v>#N/A</v>
      </c>
      <c r="AN72" s="702"/>
      <c r="AO72" s="551"/>
      <c r="AP72" s="552"/>
      <c r="AQ72" s="552"/>
      <c r="AR72" s="477" t="e">
        <f t="shared" si="49"/>
        <v>#N/A</v>
      </c>
      <c r="AS72" s="702"/>
      <c r="AT72" s="551"/>
      <c r="AU72" s="552"/>
      <c r="AV72" s="552"/>
      <c r="AW72" s="477" t="e">
        <f t="shared" si="51"/>
        <v>#N/A</v>
      </c>
      <c r="AX72" s="674"/>
    </row>
    <row r="73" spans="2:50">
      <c r="B73" s="660"/>
      <c r="C73" s="309">
        <v>7</v>
      </c>
      <c r="D73" s="227"/>
      <c r="E73" s="182"/>
      <c r="F73" s="514"/>
      <c r="G73" s="515"/>
      <c r="H73" s="702"/>
      <c r="I73" s="199"/>
      <c r="J73" s="199"/>
      <c r="K73" s="200"/>
      <c r="L73" s="634"/>
      <c r="M73" s="201" t="e">
        <f>RANK(K73, K$67:$K$81)</f>
        <v>#DIV/0!</v>
      </c>
      <c r="N73" s="652"/>
      <c r="O73" s="652"/>
      <c r="P73" s="551"/>
      <c r="Q73" s="552"/>
      <c r="R73" s="552"/>
      <c r="S73" s="340" t="e">
        <f t="shared" si="53"/>
        <v>#N/A</v>
      </c>
      <c r="T73" s="702"/>
      <c r="U73" s="551"/>
      <c r="V73" s="552"/>
      <c r="W73" s="552"/>
      <c r="X73" s="477" t="e">
        <f t="shared" si="41"/>
        <v>#N/A</v>
      </c>
      <c r="Y73" s="702"/>
      <c r="Z73" s="551"/>
      <c r="AA73" s="552"/>
      <c r="AB73" s="552"/>
      <c r="AC73" s="477" t="e">
        <f t="shared" si="43"/>
        <v>#N/A</v>
      </c>
      <c r="AD73" s="702"/>
      <c r="AE73" s="551"/>
      <c r="AF73" s="552"/>
      <c r="AG73" s="552"/>
      <c r="AH73" s="477" t="e">
        <f t="shared" si="45"/>
        <v>#N/A</v>
      </c>
      <c r="AI73" s="702"/>
      <c r="AJ73" s="551"/>
      <c r="AK73" s="552"/>
      <c r="AL73" s="552"/>
      <c r="AM73" s="477" t="e">
        <f t="shared" si="47"/>
        <v>#N/A</v>
      </c>
      <c r="AN73" s="702"/>
      <c r="AO73" s="551"/>
      <c r="AP73" s="552"/>
      <c r="AQ73" s="552"/>
      <c r="AR73" s="477" t="e">
        <f t="shared" si="49"/>
        <v>#N/A</v>
      </c>
      <c r="AS73" s="702"/>
      <c r="AT73" s="551"/>
      <c r="AU73" s="552"/>
      <c r="AV73" s="552"/>
      <c r="AW73" s="477" t="e">
        <f t="shared" si="51"/>
        <v>#N/A</v>
      </c>
      <c r="AX73" s="674"/>
    </row>
    <row r="74" spans="2:50">
      <c r="B74" s="660"/>
      <c r="C74" s="309">
        <v>8</v>
      </c>
      <c r="D74" s="227"/>
      <c r="E74" s="182"/>
      <c r="F74" s="514"/>
      <c r="G74" s="515"/>
      <c r="H74" s="702"/>
      <c r="I74" s="199"/>
      <c r="J74" s="199"/>
      <c r="K74" s="200"/>
      <c r="L74" s="634"/>
      <c r="M74" s="201" t="e">
        <f>RANK(K74, K$67:$K$81)</f>
        <v>#DIV/0!</v>
      </c>
      <c r="N74" s="652"/>
      <c r="O74" s="652"/>
      <c r="P74" s="551"/>
      <c r="Q74" s="552"/>
      <c r="R74" s="552"/>
      <c r="S74" s="340" t="e">
        <f t="shared" si="53"/>
        <v>#N/A</v>
      </c>
      <c r="T74" s="702"/>
      <c r="U74" s="551"/>
      <c r="V74" s="552"/>
      <c r="W74" s="552"/>
      <c r="X74" s="477" t="e">
        <f t="shared" si="41"/>
        <v>#N/A</v>
      </c>
      <c r="Y74" s="702"/>
      <c r="Z74" s="551"/>
      <c r="AA74" s="552"/>
      <c r="AB74" s="552"/>
      <c r="AC74" s="477" t="e">
        <f t="shared" si="43"/>
        <v>#N/A</v>
      </c>
      <c r="AD74" s="702"/>
      <c r="AE74" s="551"/>
      <c r="AF74" s="552"/>
      <c r="AG74" s="552"/>
      <c r="AH74" s="477" t="e">
        <f t="shared" si="45"/>
        <v>#N/A</v>
      </c>
      <c r="AI74" s="702"/>
      <c r="AJ74" s="551"/>
      <c r="AK74" s="552"/>
      <c r="AL74" s="552"/>
      <c r="AM74" s="477" t="e">
        <f t="shared" si="47"/>
        <v>#N/A</v>
      </c>
      <c r="AN74" s="702"/>
      <c r="AO74" s="551"/>
      <c r="AP74" s="552"/>
      <c r="AQ74" s="552"/>
      <c r="AR74" s="477" t="e">
        <f t="shared" si="49"/>
        <v>#N/A</v>
      </c>
      <c r="AS74" s="702"/>
      <c r="AT74" s="551"/>
      <c r="AU74" s="552"/>
      <c r="AV74" s="552"/>
      <c r="AW74" s="477" t="e">
        <f t="shared" si="51"/>
        <v>#N/A</v>
      </c>
      <c r="AX74" s="674"/>
    </row>
    <row r="75" spans="2:50">
      <c r="B75" s="660"/>
      <c r="C75" s="309">
        <v>9</v>
      </c>
      <c r="D75" s="227"/>
      <c r="E75" s="182"/>
      <c r="F75" s="514"/>
      <c r="G75" s="515"/>
      <c r="H75" s="702"/>
      <c r="I75" s="199"/>
      <c r="J75" s="199"/>
      <c r="K75" s="200"/>
      <c r="L75" s="634"/>
      <c r="M75" s="201" t="e">
        <f>RANK(K75, K$67:$K$81)</f>
        <v>#DIV/0!</v>
      </c>
      <c r="N75" s="652"/>
      <c r="O75" s="652"/>
      <c r="P75" s="551"/>
      <c r="Q75" s="552"/>
      <c r="R75" s="552"/>
      <c r="S75" s="340" t="e">
        <f t="shared" si="53"/>
        <v>#N/A</v>
      </c>
      <c r="T75" s="702"/>
      <c r="U75" s="551"/>
      <c r="V75" s="552"/>
      <c r="W75" s="552"/>
      <c r="X75" s="477" t="e">
        <f t="shared" si="41"/>
        <v>#N/A</v>
      </c>
      <c r="Y75" s="702"/>
      <c r="Z75" s="551"/>
      <c r="AA75" s="552"/>
      <c r="AB75" s="552"/>
      <c r="AC75" s="477" t="e">
        <f t="shared" si="43"/>
        <v>#N/A</v>
      </c>
      <c r="AD75" s="702"/>
      <c r="AE75" s="551"/>
      <c r="AF75" s="552"/>
      <c r="AG75" s="552"/>
      <c r="AH75" s="477" t="e">
        <f t="shared" si="45"/>
        <v>#N/A</v>
      </c>
      <c r="AI75" s="702"/>
      <c r="AJ75" s="551"/>
      <c r="AK75" s="552"/>
      <c r="AL75" s="552"/>
      <c r="AM75" s="477" t="e">
        <f t="shared" si="47"/>
        <v>#N/A</v>
      </c>
      <c r="AN75" s="702"/>
      <c r="AO75" s="551"/>
      <c r="AP75" s="552"/>
      <c r="AQ75" s="552"/>
      <c r="AR75" s="477" t="e">
        <f t="shared" si="49"/>
        <v>#N/A</v>
      </c>
      <c r="AS75" s="702"/>
      <c r="AT75" s="551"/>
      <c r="AU75" s="552"/>
      <c r="AV75" s="552"/>
      <c r="AW75" s="477" t="e">
        <f t="shared" si="51"/>
        <v>#N/A</v>
      </c>
      <c r="AX75" s="674"/>
    </row>
    <row r="76" spans="2:50">
      <c r="B76" s="660"/>
      <c r="C76" s="309">
        <v>10</v>
      </c>
      <c r="D76" s="227"/>
      <c r="E76" s="182"/>
      <c r="F76" s="514"/>
      <c r="G76" s="515"/>
      <c r="H76" s="702"/>
      <c r="I76" s="199"/>
      <c r="J76" s="199"/>
      <c r="K76" s="200"/>
      <c r="L76" s="634"/>
      <c r="M76" s="201" t="e">
        <f>RANK(K76, K$67:$K$81)</f>
        <v>#DIV/0!</v>
      </c>
      <c r="N76" s="652"/>
      <c r="O76" s="652"/>
      <c r="P76" s="551"/>
      <c r="Q76" s="551"/>
      <c r="R76" s="552"/>
      <c r="S76" s="340" t="e">
        <f t="shared" si="53"/>
        <v>#N/A</v>
      </c>
      <c r="T76" s="702"/>
      <c r="U76" s="551"/>
      <c r="V76" s="551"/>
      <c r="W76" s="552"/>
      <c r="X76" s="477" t="e">
        <f t="shared" si="41"/>
        <v>#N/A</v>
      </c>
      <c r="Y76" s="702"/>
      <c r="Z76" s="551"/>
      <c r="AA76" s="551"/>
      <c r="AB76" s="552"/>
      <c r="AC76" s="477" t="e">
        <f t="shared" si="43"/>
        <v>#N/A</v>
      </c>
      <c r="AD76" s="702"/>
      <c r="AE76" s="551"/>
      <c r="AF76" s="551"/>
      <c r="AG76" s="552"/>
      <c r="AH76" s="477" t="e">
        <f t="shared" si="45"/>
        <v>#N/A</v>
      </c>
      <c r="AI76" s="702"/>
      <c r="AJ76" s="551"/>
      <c r="AK76" s="551"/>
      <c r="AL76" s="552"/>
      <c r="AM76" s="477" t="e">
        <f t="shared" si="47"/>
        <v>#N/A</v>
      </c>
      <c r="AN76" s="702"/>
      <c r="AO76" s="551"/>
      <c r="AP76" s="551"/>
      <c r="AQ76" s="552"/>
      <c r="AR76" s="477" t="e">
        <f t="shared" si="49"/>
        <v>#N/A</v>
      </c>
      <c r="AS76" s="702"/>
      <c r="AT76" s="551"/>
      <c r="AU76" s="551"/>
      <c r="AV76" s="552"/>
      <c r="AW76" s="477" t="e">
        <f t="shared" si="51"/>
        <v>#N/A</v>
      </c>
      <c r="AX76" s="674"/>
    </row>
    <row r="77" spans="2:50">
      <c r="B77" s="660"/>
      <c r="C77" s="309">
        <v>11</v>
      </c>
      <c r="D77" s="227"/>
      <c r="E77" s="182"/>
      <c r="F77" s="514"/>
      <c r="G77" s="515"/>
      <c r="H77" s="702"/>
      <c r="I77" s="202"/>
      <c r="J77" s="202"/>
      <c r="K77" s="202"/>
      <c r="L77" s="634"/>
      <c r="M77" s="201" t="e">
        <f>RANK(K77, K$67:$K$81)</f>
        <v>#DIV/0!</v>
      </c>
      <c r="N77" s="652"/>
      <c r="O77" s="652"/>
      <c r="P77" s="551"/>
      <c r="Q77" s="551"/>
      <c r="R77" s="551"/>
      <c r="S77" s="340" t="e">
        <f t="shared" si="53"/>
        <v>#N/A</v>
      </c>
      <c r="T77" s="702"/>
      <c r="U77" s="551"/>
      <c r="V77" s="551"/>
      <c r="W77" s="551"/>
      <c r="X77" s="477" t="e">
        <f t="shared" si="41"/>
        <v>#N/A</v>
      </c>
      <c r="Y77" s="702"/>
      <c r="Z77" s="551"/>
      <c r="AA77" s="551"/>
      <c r="AB77" s="551"/>
      <c r="AC77" s="477" t="e">
        <f t="shared" si="43"/>
        <v>#N/A</v>
      </c>
      <c r="AD77" s="702"/>
      <c r="AE77" s="551"/>
      <c r="AF77" s="551"/>
      <c r="AG77" s="551"/>
      <c r="AH77" s="477" t="e">
        <f t="shared" si="45"/>
        <v>#N/A</v>
      </c>
      <c r="AI77" s="702"/>
      <c r="AJ77" s="551"/>
      <c r="AK77" s="551"/>
      <c r="AL77" s="551"/>
      <c r="AM77" s="477" t="e">
        <f t="shared" si="47"/>
        <v>#N/A</v>
      </c>
      <c r="AN77" s="702"/>
      <c r="AO77" s="551"/>
      <c r="AP77" s="551"/>
      <c r="AQ77" s="551"/>
      <c r="AR77" s="477" t="e">
        <f t="shared" si="49"/>
        <v>#N/A</v>
      </c>
      <c r="AS77" s="702"/>
      <c r="AT77" s="551"/>
      <c r="AU77" s="551"/>
      <c r="AV77" s="551"/>
      <c r="AW77" s="477" t="e">
        <f t="shared" si="51"/>
        <v>#N/A</v>
      </c>
      <c r="AX77" s="674"/>
    </row>
    <row r="78" spans="2:50">
      <c r="B78" s="660"/>
      <c r="C78" s="309">
        <v>12</v>
      </c>
      <c r="D78" s="227"/>
      <c r="E78" s="182"/>
      <c r="F78" s="514"/>
      <c r="G78" s="515"/>
      <c r="H78" s="702"/>
      <c r="I78" s="202"/>
      <c r="J78" s="202"/>
      <c r="K78" s="202"/>
      <c r="L78" s="634"/>
      <c r="M78" s="201" t="e">
        <f>RANK(K78, K$67:$K$81)</f>
        <v>#DIV/0!</v>
      </c>
      <c r="N78" s="652"/>
      <c r="O78" s="652"/>
      <c r="P78" s="551"/>
      <c r="Q78" s="551"/>
      <c r="R78" s="551"/>
      <c r="S78" s="340" t="e">
        <f t="shared" si="53"/>
        <v>#N/A</v>
      </c>
      <c r="T78" s="702"/>
      <c r="U78" s="551"/>
      <c r="V78" s="551"/>
      <c r="W78" s="551"/>
      <c r="X78" s="477" t="e">
        <f t="shared" si="41"/>
        <v>#N/A</v>
      </c>
      <c r="Y78" s="702"/>
      <c r="Z78" s="551"/>
      <c r="AA78" s="551"/>
      <c r="AB78" s="551"/>
      <c r="AC78" s="477" t="e">
        <f t="shared" si="43"/>
        <v>#N/A</v>
      </c>
      <c r="AD78" s="702"/>
      <c r="AE78" s="551"/>
      <c r="AF78" s="551"/>
      <c r="AG78" s="551"/>
      <c r="AH78" s="477" t="e">
        <f t="shared" si="45"/>
        <v>#N/A</v>
      </c>
      <c r="AI78" s="702"/>
      <c r="AJ78" s="551"/>
      <c r="AK78" s="551"/>
      <c r="AL78" s="551"/>
      <c r="AM78" s="477" t="e">
        <f t="shared" si="47"/>
        <v>#N/A</v>
      </c>
      <c r="AN78" s="702"/>
      <c r="AO78" s="551"/>
      <c r="AP78" s="551"/>
      <c r="AQ78" s="551"/>
      <c r="AR78" s="477" t="e">
        <f t="shared" si="49"/>
        <v>#N/A</v>
      </c>
      <c r="AS78" s="702"/>
      <c r="AT78" s="551"/>
      <c r="AU78" s="551"/>
      <c r="AV78" s="551"/>
      <c r="AW78" s="477" t="e">
        <f t="shared" si="51"/>
        <v>#N/A</v>
      </c>
      <c r="AX78" s="674"/>
    </row>
    <row r="79" spans="2:50">
      <c r="B79" s="660"/>
      <c r="C79" s="309">
        <v>13</v>
      </c>
      <c r="D79" s="227"/>
      <c r="E79" s="182"/>
      <c r="F79" s="514"/>
      <c r="G79" s="515"/>
      <c r="H79" s="702"/>
      <c r="I79" s="202"/>
      <c r="J79" s="202"/>
      <c r="K79" s="202"/>
      <c r="L79" s="634"/>
      <c r="M79" s="201" t="e">
        <f>RANK(K79, K$67:$K$81)</f>
        <v>#DIV/0!</v>
      </c>
      <c r="N79" s="652"/>
      <c r="O79" s="652"/>
      <c r="P79" s="551"/>
      <c r="Q79" s="551"/>
      <c r="R79" s="551"/>
      <c r="S79" s="340" t="e">
        <f t="shared" si="53"/>
        <v>#N/A</v>
      </c>
      <c r="T79" s="702"/>
      <c r="U79" s="551"/>
      <c r="V79" s="551"/>
      <c r="W79" s="551"/>
      <c r="X79" s="477" t="e">
        <f t="shared" si="41"/>
        <v>#N/A</v>
      </c>
      <c r="Y79" s="702"/>
      <c r="Z79" s="551"/>
      <c r="AA79" s="551"/>
      <c r="AB79" s="551"/>
      <c r="AC79" s="477" t="e">
        <f t="shared" si="43"/>
        <v>#N/A</v>
      </c>
      <c r="AD79" s="702"/>
      <c r="AE79" s="551"/>
      <c r="AF79" s="551"/>
      <c r="AG79" s="551"/>
      <c r="AH79" s="477" t="e">
        <f t="shared" si="45"/>
        <v>#N/A</v>
      </c>
      <c r="AI79" s="702"/>
      <c r="AJ79" s="551"/>
      <c r="AK79" s="551"/>
      <c r="AL79" s="551"/>
      <c r="AM79" s="477" t="e">
        <f t="shared" si="47"/>
        <v>#N/A</v>
      </c>
      <c r="AN79" s="702"/>
      <c r="AO79" s="551"/>
      <c r="AP79" s="551"/>
      <c r="AQ79" s="551"/>
      <c r="AR79" s="477" t="e">
        <f t="shared" si="49"/>
        <v>#N/A</v>
      </c>
      <c r="AS79" s="702"/>
      <c r="AT79" s="551"/>
      <c r="AU79" s="551"/>
      <c r="AV79" s="551"/>
      <c r="AW79" s="477" t="e">
        <f t="shared" si="51"/>
        <v>#N/A</v>
      </c>
      <c r="AX79" s="674"/>
    </row>
    <row r="80" spans="2:50">
      <c r="B80" s="660"/>
      <c r="C80" s="309">
        <v>14</v>
      </c>
      <c r="D80" s="227"/>
      <c r="E80" s="182"/>
      <c r="F80" s="514"/>
      <c r="G80" s="515"/>
      <c r="H80" s="702"/>
      <c r="I80" s="202"/>
      <c r="J80" s="202"/>
      <c r="K80" s="202"/>
      <c r="L80" s="634"/>
      <c r="M80" s="201" t="e">
        <f>RANK(K80, K$67:$K$81)</f>
        <v>#DIV/0!</v>
      </c>
      <c r="N80" s="652"/>
      <c r="O80" s="652"/>
      <c r="P80" s="551"/>
      <c r="Q80" s="551"/>
      <c r="R80" s="551"/>
      <c r="S80" s="340" t="e">
        <f t="shared" si="53"/>
        <v>#N/A</v>
      </c>
      <c r="T80" s="702"/>
      <c r="U80" s="551"/>
      <c r="V80" s="551"/>
      <c r="W80" s="551"/>
      <c r="X80" s="477" t="e">
        <f t="shared" si="41"/>
        <v>#N/A</v>
      </c>
      <c r="Y80" s="702"/>
      <c r="Z80" s="551"/>
      <c r="AA80" s="551"/>
      <c r="AB80" s="551"/>
      <c r="AC80" s="477" t="e">
        <f t="shared" si="43"/>
        <v>#N/A</v>
      </c>
      <c r="AD80" s="702"/>
      <c r="AE80" s="551"/>
      <c r="AF80" s="551"/>
      <c r="AG80" s="551"/>
      <c r="AH80" s="477" t="e">
        <f t="shared" si="45"/>
        <v>#N/A</v>
      </c>
      <c r="AI80" s="702"/>
      <c r="AJ80" s="551"/>
      <c r="AK80" s="551"/>
      <c r="AL80" s="551"/>
      <c r="AM80" s="477" t="e">
        <f t="shared" si="47"/>
        <v>#N/A</v>
      </c>
      <c r="AN80" s="702"/>
      <c r="AO80" s="551"/>
      <c r="AP80" s="551"/>
      <c r="AQ80" s="551"/>
      <c r="AR80" s="477" t="e">
        <f t="shared" si="49"/>
        <v>#N/A</v>
      </c>
      <c r="AS80" s="702"/>
      <c r="AT80" s="551"/>
      <c r="AU80" s="551"/>
      <c r="AV80" s="551"/>
      <c r="AW80" s="477" t="e">
        <f t="shared" si="51"/>
        <v>#N/A</v>
      </c>
      <c r="AX80" s="674"/>
    </row>
    <row r="81" spans="2:50">
      <c r="B81" s="660"/>
      <c r="C81" s="309">
        <v>15</v>
      </c>
      <c r="D81" s="227"/>
      <c r="E81" s="182"/>
      <c r="F81" s="514"/>
      <c r="G81" s="515"/>
      <c r="H81" s="703"/>
      <c r="I81" s="202"/>
      <c r="J81" s="202"/>
      <c r="K81" s="202"/>
      <c r="L81" s="635"/>
      <c r="M81" s="201" t="e">
        <f>RANK(K81, K$67:$K$81)</f>
        <v>#DIV/0!</v>
      </c>
      <c r="N81" s="652"/>
      <c r="O81" s="652"/>
      <c r="P81" s="551"/>
      <c r="Q81" s="551"/>
      <c r="R81" s="551"/>
      <c r="S81" s="340" t="e">
        <f t="shared" si="53"/>
        <v>#N/A</v>
      </c>
      <c r="T81" s="703"/>
      <c r="U81" s="551"/>
      <c r="V81" s="551"/>
      <c r="W81" s="551"/>
      <c r="X81" s="477" t="e">
        <f t="shared" si="41"/>
        <v>#N/A</v>
      </c>
      <c r="Y81" s="703"/>
      <c r="Z81" s="551"/>
      <c r="AA81" s="551"/>
      <c r="AB81" s="551"/>
      <c r="AC81" s="477" t="e">
        <f t="shared" si="43"/>
        <v>#N/A</v>
      </c>
      <c r="AD81" s="703"/>
      <c r="AE81" s="551"/>
      <c r="AF81" s="551"/>
      <c r="AG81" s="551"/>
      <c r="AH81" s="477" t="e">
        <f t="shared" si="45"/>
        <v>#N/A</v>
      </c>
      <c r="AI81" s="703"/>
      <c r="AJ81" s="551"/>
      <c r="AK81" s="551"/>
      <c r="AL81" s="551"/>
      <c r="AM81" s="477" t="e">
        <f t="shared" si="47"/>
        <v>#N/A</v>
      </c>
      <c r="AN81" s="703"/>
      <c r="AO81" s="551"/>
      <c r="AP81" s="551"/>
      <c r="AQ81" s="551"/>
      <c r="AR81" s="477" t="e">
        <f t="shared" si="49"/>
        <v>#N/A</v>
      </c>
      <c r="AS81" s="703"/>
      <c r="AT81" s="551"/>
      <c r="AU81" s="551"/>
      <c r="AV81" s="551"/>
      <c r="AW81" s="477" t="e">
        <f t="shared" si="51"/>
        <v>#N/A</v>
      </c>
      <c r="AX81" s="674"/>
    </row>
    <row r="82" spans="2:50" ht="15.75">
      <c r="B82" s="664" t="s">
        <v>163</v>
      </c>
      <c r="C82" s="665"/>
      <c r="D82" s="665"/>
      <c r="E82" s="665"/>
      <c r="F82" s="665"/>
      <c r="G82" s="665"/>
      <c r="H82" s="666"/>
      <c r="I82" s="208"/>
      <c r="J82" s="208"/>
      <c r="K82" s="208"/>
      <c r="L82" s="208"/>
      <c r="M82" s="207"/>
      <c r="N82" s="653" t="s">
        <v>156</v>
      </c>
      <c r="O82" s="653" t="s">
        <v>105</v>
      </c>
      <c r="P82" s="659">
        <f>P62+7</f>
        <v>46077</v>
      </c>
      <c r="Q82" s="660"/>
      <c r="R82" s="660"/>
      <c r="S82" s="660"/>
      <c r="T82" s="660"/>
      <c r="U82" s="656">
        <f>P82+1</f>
        <v>46078</v>
      </c>
      <c r="V82" s="657"/>
      <c r="W82" s="657"/>
      <c r="X82" s="657"/>
      <c r="Y82" s="658"/>
      <c r="Z82" s="656">
        <f>U82+1</f>
        <v>46079</v>
      </c>
      <c r="AA82" s="657"/>
      <c r="AB82" s="657"/>
      <c r="AC82" s="657"/>
      <c r="AD82" s="658"/>
      <c r="AE82" s="656">
        <f>Z82+1</f>
        <v>46080</v>
      </c>
      <c r="AF82" s="657"/>
      <c r="AG82" s="657"/>
      <c r="AH82" s="657"/>
      <c r="AI82" s="658"/>
      <c r="AJ82" s="656">
        <f>AE82+1</f>
        <v>46081</v>
      </c>
      <c r="AK82" s="657"/>
      <c r="AL82" s="657"/>
      <c r="AM82" s="657"/>
      <c r="AN82" s="658"/>
      <c r="AO82" s="656">
        <f>AJ82+1</f>
        <v>46082</v>
      </c>
      <c r="AP82" s="657"/>
      <c r="AQ82" s="657"/>
      <c r="AR82" s="657"/>
      <c r="AS82" s="658"/>
      <c r="AT82" s="656">
        <f>AO82+1</f>
        <v>46083</v>
      </c>
      <c r="AU82" s="657"/>
      <c r="AV82" s="657"/>
      <c r="AW82" s="657"/>
      <c r="AX82" s="658"/>
    </row>
    <row r="83" spans="2:50" ht="15.75">
      <c r="B83" s="667"/>
      <c r="C83" s="667"/>
      <c r="D83" s="667"/>
      <c r="E83" s="667"/>
      <c r="F83" s="667"/>
      <c r="G83" s="667"/>
      <c r="H83" s="667"/>
      <c r="I83" s="205"/>
      <c r="J83" s="205"/>
      <c r="K83" s="205"/>
      <c r="L83" s="205"/>
      <c r="M83" s="206"/>
      <c r="N83" s="655"/>
      <c r="O83" s="655"/>
      <c r="P83" s="659" t="s">
        <v>336</v>
      </c>
      <c r="Q83" s="660"/>
      <c r="R83" s="660"/>
      <c r="S83" s="660"/>
      <c r="T83" s="660"/>
      <c r="U83" s="659" t="s">
        <v>337</v>
      </c>
      <c r="V83" s="660"/>
      <c r="W83" s="660"/>
      <c r="X83" s="660"/>
      <c r="Y83" s="660"/>
      <c r="Z83" s="659" t="s">
        <v>338</v>
      </c>
      <c r="AA83" s="660"/>
      <c r="AB83" s="660"/>
      <c r="AC83" s="660"/>
      <c r="AD83" s="660"/>
      <c r="AE83" s="659" t="s">
        <v>339</v>
      </c>
      <c r="AF83" s="660"/>
      <c r="AG83" s="660"/>
      <c r="AH83" s="660"/>
      <c r="AI83" s="660"/>
      <c r="AJ83" s="659" t="s">
        <v>340</v>
      </c>
      <c r="AK83" s="660"/>
      <c r="AL83" s="660"/>
      <c r="AM83" s="660"/>
      <c r="AN83" s="660"/>
      <c r="AO83" s="659" t="s">
        <v>341</v>
      </c>
      <c r="AP83" s="660"/>
      <c r="AQ83" s="660"/>
      <c r="AR83" s="660"/>
      <c r="AS83" s="660"/>
      <c r="AT83" s="659" t="s">
        <v>342</v>
      </c>
      <c r="AU83" s="660"/>
      <c r="AV83" s="660"/>
      <c r="AW83" s="660"/>
      <c r="AX83" s="660"/>
    </row>
    <row r="84" spans="2:50">
      <c r="B84" s="652" t="s">
        <v>490</v>
      </c>
      <c r="C84" s="652" t="s">
        <v>491</v>
      </c>
      <c r="D84" s="652"/>
      <c r="E84" s="652" t="s">
        <v>492</v>
      </c>
      <c r="F84" s="652"/>
      <c r="G84" s="652"/>
      <c r="H84" s="668" t="s">
        <v>493</v>
      </c>
      <c r="I84" s="636" t="s">
        <v>494</v>
      </c>
      <c r="J84" s="636"/>
      <c r="K84" s="636"/>
      <c r="L84" s="637" t="s">
        <v>493</v>
      </c>
      <c r="M84" s="643" t="s">
        <v>495</v>
      </c>
      <c r="N84" s="652"/>
      <c r="O84" s="652" t="s">
        <v>496</v>
      </c>
      <c r="P84" s="649" t="s">
        <v>497</v>
      </c>
      <c r="Q84" s="650"/>
      <c r="R84" s="650"/>
      <c r="S84" s="651"/>
      <c r="T84" s="652" t="s">
        <v>493</v>
      </c>
      <c r="U84" s="649" t="s">
        <v>497</v>
      </c>
      <c r="V84" s="650"/>
      <c r="W84" s="650"/>
      <c r="X84" s="651"/>
      <c r="Y84" s="652" t="s">
        <v>493</v>
      </c>
      <c r="Z84" s="649" t="s">
        <v>497</v>
      </c>
      <c r="AA84" s="650"/>
      <c r="AB84" s="650"/>
      <c r="AC84" s="651"/>
      <c r="AD84" s="652" t="s">
        <v>493</v>
      </c>
      <c r="AE84" s="649" t="s">
        <v>497</v>
      </c>
      <c r="AF84" s="650"/>
      <c r="AG84" s="650"/>
      <c r="AH84" s="651"/>
      <c r="AI84" s="652" t="s">
        <v>493</v>
      </c>
      <c r="AJ84" s="649" t="s">
        <v>497</v>
      </c>
      <c r="AK84" s="650"/>
      <c r="AL84" s="650"/>
      <c r="AM84" s="651"/>
      <c r="AN84" s="652" t="s">
        <v>493</v>
      </c>
      <c r="AO84" s="649" t="s">
        <v>497</v>
      </c>
      <c r="AP84" s="650"/>
      <c r="AQ84" s="650"/>
      <c r="AR84" s="651"/>
      <c r="AS84" s="652" t="s">
        <v>493</v>
      </c>
      <c r="AT84" s="649" t="s">
        <v>497</v>
      </c>
      <c r="AU84" s="650"/>
      <c r="AV84" s="650"/>
      <c r="AW84" s="651"/>
      <c r="AX84" s="652" t="s">
        <v>493</v>
      </c>
    </row>
    <row r="85" spans="2:50">
      <c r="B85" s="652"/>
      <c r="C85" s="652"/>
      <c r="D85" s="652"/>
      <c r="E85" s="652" t="s">
        <v>498</v>
      </c>
      <c r="F85" s="652"/>
      <c r="G85" s="652"/>
      <c r="H85" s="669"/>
      <c r="I85" s="636" t="s">
        <v>498</v>
      </c>
      <c r="J85" s="636"/>
      <c r="K85" s="636"/>
      <c r="L85" s="638"/>
      <c r="M85" s="644"/>
      <c r="N85" s="652"/>
      <c r="O85" s="652"/>
      <c r="P85" s="649" t="s">
        <v>499</v>
      </c>
      <c r="Q85" s="650"/>
      <c r="R85" s="650"/>
      <c r="S85" s="651"/>
      <c r="T85" s="652"/>
      <c r="U85" s="649" t="s">
        <v>499</v>
      </c>
      <c r="V85" s="650"/>
      <c r="W85" s="650"/>
      <c r="X85" s="651"/>
      <c r="Y85" s="652"/>
      <c r="Z85" s="649" t="s">
        <v>499</v>
      </c>
      <c r="AA85" s="650"/>
      <c r="AB85" s="650"/>
      <c r="AC85" s="651"/>
      <c r="AD85" s="652"/>
      <c r="AE85" s="649" t="s">
        <v>499</v>
      </c>
      <c r="AF85" s="650"/>
      <c r="AG85" s="650"/>
      <c r="AH85" s="651"/>
      <c r="AI85" s="652"/>
      <c r="AJ85" s="649" t="s">
        <v>499</v>
      </c>
      <c r="AK85" s="650"/>
      <c r="AL85" s="650"/>
      <c r="AM85" s="651"/>
      <c r="AN85" s="652"/>
      <c r="AO85" s="649" t="s">
        <v>499</v>
      </c>
      <c r="AP85" s="650"/>
      <c r="AQ85" s="650"/>
      <c r="AR85" s="651"/>
      <c r="AS85" s="652"/>
      <c r="AT85" s="649" t="s">
        <v>499</v>
      </c>
      <c r="AU85" s="650"/>
      <c r="AV85" s="650"/>
      <c r="AW85" s="651"/>
      <c r="AX85" s="652"/>
    </row>
    <row r="86" spans="2:50">
      <c r="B86" s="652"/>
      <c r="C86" s="652"/>
      <c r="D86" s="652"/>
      <c r="E86" s="305" t="s">
        <v>500</v>
      </c>
      <c r="F86" s="305" t="s">
        <v>501</v>
      </c>
      <c r="G86" s="305" t="s">
        <v>502</v>
      </c>
      <c r="H86" s="670"/>
      <c r="I86" s="306" t="s">
        <v>500</v>
      </c>
      <c r="J86" s="306" t="s">
        <v>501</v>
      </c>
      <c r="K86" s="306" t="s">
        <v>502</v>
      </c>
      <c r="L86" s="639"/>
      <c r="M86" s="645"/>
      <c r="N86" s="652"/>
      <c r="O86" s="652"/>
      <c r="P86" s="305" t="s">
        <v>500</v>
      </c>
      <c r="Q86" s="305" t="s">
        <v>501</v>
      </c>
      <c r="R86" s="305" t="s">
        <v>502</v>
      </c>
      <c r="S86" s="305" t="s">
        <v>495</v>
      </c>
      <c r="T86" s="652"/>
      <c r="U86" s="305" t="s">
        <v>500</v>
      </c>
      <c r="V86" s="305" t="s">
        <v>501</v>
      </c>
      <c r="W86" s="305" t="s">
        <v>502</v>
      </c>
      <c r="X86" s="305" t="s">
        <v>495</v>
      </c>
      <c r="Y86" s="652"/>
      <c r="Z86" s="305" t="s">
        <v>500</v>
      </c>
      <c r="AA86" s="305" t="s">
        <v>501</v>
      </c>
      <c r="AB86" s="305" t="s">
        <v>502</v>
      </c>
      <c r="AC86" s="305" t="s">
        <v>495</v>
      </c>
      <c r="AD86" s="652"/>
      <c r="AE86" s="305" t="s">
        <v>500</v>
      </c>
      <c r="AF86" s="305" t="s">
        <v>501</v>
      </c>
      <c r="AG86" s="305" t="s">
        <v>502</v>
      </c>
      <c r="AH86" s="305" t="s">
        <v>495</v>
      </c>
      <c r="AI86" s="652"/>
      <c r="AJ86" s="305" t="s">
        <v>500</v>
      </c>
      <c r="AK86" s="305" t="s">
        <v>501</v>
      </c>
      <c r="AL86" s="305" t="s">
        <v>502</v>
      </c>
      <c r="AM86" s="305" t="s">
        <v>495</v>
      </c>
      <c r="AN86" s="652"/>
      <c r="AO86" s="305" t="s">
        <v>500</v>
      </c>
      <c r="AP86" s="305" t="s">
        <v>501</v>
      </c>
      <c r="AQ86" s="305" t="s">
        <v>502</v>
      </c>
      <c r="AR86" s="305" t="s">
        <v>495</v>
      </c>
      <c r="AS86" s="652"/>
      <c r="AT86" s="305" t="s">
        <v>500</v>
      </c>
      <c r="AU86" s="305" t="s">
        <v>501</v>
      </c>
      <c r="AV86" s="305" t="s">
        <v>502</v>
      </c>
      <c r="AW86" s="305" t="s">
        <v>495</v>
      </c>
      <c r="AX86" s="652"/>
    </row>
    <row r="87" spans="2:50">
      <c r="B87" s="652" t="s">
        <v>507</v>
      </c>
      <c r="C87" s="304">
        <v>1</v>
      </c>
      <c r="D87" s="227"/>
      <c r="E87" s="182"/>
      <c r="F87" s="551"/>
      <c r="G87" s="552"/>
      <c r="H87" s="701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33" t="str">
        <f>IFERROR(AVERAGE(K87:K101),"-")</f>
        <v>-</v>
      </c>
      <c r="M87" s="201" t="e">
        <f>RANK(K87, K$87:$K$101)</f>
        <v>#DIV/0!</v>
      </c>
      <c r="N87" s="652"/>
      <c r="O87" s="652"/>
      <c r="P87" s="182"/>
      <c r="Q87" s="552"/>
      <c r="R87" s="552"/>
      <c r="S87" s="304" t="e">
        <f>RANK(R87, R$87:R$101)</f>
        <v>#N/A</v>
      </c>
      <c r="T87" s="701" t="e">
        <f>AVERAGE(R87:R101)</f>
        <v>#DIV/0!</v>
      </c>
      <c r="U87" s="182"/>
      <c r="V87" s="552"/>
      <c r="W87" s="552"/>
      <c r="X87" s="477" t="e">
        <f t="shared" ref="X87:X101" si="57">RANK(W87, W$87:W$101)</f>
        <v>#N/A</v>
      </c>
      <c r="Y87" s="701" t="e">
        <f t="shared" ref="Y87" si="58">AVERAGE(W87:W101)</f>
        <v>#DIV/0!</v>
      </c>
      <c r="Z87" s="182"/>
      <c r="AA87" s="552"/>
      <c r="AB87" s="552"/>
      <c r="AC87" s="477" t="e">
        <f t="shared" ref="AC87:AC101" si="59">RANK(AB87, AB$87:AB$101)</f>
        <v>#N/A</v>
      </c>
      <c r="AD87" s="701" t="e">
        <f t="shared" ref="AD87" si="60">AVERAGE(AB87:AB101)</f>
        <v>#DIV/0!</v>
      </c>
      <c r="AE87" s="182"/>
      <c r="AF87" s="552"/>
      <c r="AG87" s="552"/>
      <c r="AH87" s="477" t="e">
        <f t="shared" ref="AH87:AH101" si="61">RANK(AG87, AG$87:AG$101)</f>
        <v>#N/A</v>
      </c>
      <c r="AI87" s="701" t="e">
        <f t="shared" ref="AI87" si="62">AVERAGE(AG87:AG101)</f>
        <v>#DIV/0!</v>
      </c>
      <c r="AJ87" s="182"/>
      <c r="AK87" s="552"/>
      <c r="AL87" s="552"/>
      <c r="AM87" s="477" t="e">
        <f t="shared" ref="AM87:AM101" si="63">RANK(AL87, AL$87:AL$101)</f>
        <v>#N/A</v>
      </c>
      <c r="AN87" s="701" t="e">
        <f t="shared" ref="AN87" si="64">AVERAGE(AL87:AL101)</f>
        <v>#DIV/0!</v>
      </c>
      <c r="AO87" s="182"/>
      <c r="AP87" s="552"/>
      <c r="AQ87" s="552"/>
      <c r="AR87" s="477" t="e">
        <f t="shared" ref="AR87:AR101" si="65">RANK(AQ87, AQ$87:AQ$101)</f>
        <v>#N/A</v>
      </c>
      <c r="AS87" s="701" t="e">
        <f t="shared" ref="AS87" si="66">AVERAGE(AQ87:AQ101)</f>
        <v>#DIV/0!</v>
      </c>
      <c r="AT87" s="182"/>
      <c r="AU87" s="552"/>
      <c r="AV87" s="552"/>
      <c r="AW87" s="477" t="e">
        <f t="shared" ref="AW87:AW101" si="67">RANK(AV87, AV$87:AV$101)</f>
        <v>#N/A</v>
      </c>
      <c r="AX87" s="674" t="e">
        <f t="shared" ref="AX87" si="68">AVERAGE(AV87:AV101)</f>
        <v>#DIV/0!</v>
      </c>
    </row>
    <row r="88" spans="2:50">
      <c r="B88" s="660"/>
      <c r="C88" s="304">
        <v>2</v>
      </c>
      <c r="D88" s="227"/>
      <c r="E88" s="182"/>
      <c r="F88" s="551"/>
      <c r="G88" s="552"/>
      <c r="H88" s="702"/>
      <c r="I88" s="199" t="e">
        <f t="shared" ref="I88:K91" si="69">AVERAGE(P88,U88,Z88,AE88,AJ88,AO88,AT88)</f>
        <v>#DIV/0!</v>
      </c>
      <c r="J88" s="199" t="e">
        <f t="shared" si="69"/>
        <v>#DIV/0!</v>
      </c>
      <c r="K88" s="200" t="e">
        <f t="shared" si="69"/>
        <v>#DIV/0!</v>
      </c>
      <c r="L88" s="634"/>
      <c r="M88" s="201" t="e">
        <f>RANK(K88, K$87:$K$101)</f>
        <v>#DIV/0!</v>
      </c>
      <c r="N88" s="652"/>
      <c r="O88" s="652"/>
      <c r="P88" s="551"/>
      <c r="Q88" s="552"/>
      <c r="R88" s="552"/>
      <c r="S88" s="304" t="e">
        <f t="shared" ref="S88:S101" si="70">RANK(R88, R$87:R$101)</f>
        <v>#N/A</v>
      </c>
      <c r="T88" s="702"/>
      <c r="U88" s="551"/>
      <c r="V88" s="552"/>
      <c r="W88" s="552"/>
      <c r="X88" s="477" t="e">
        <f t="shared" si="57"/>
        <v>#N/A</v>
      </c>
      <c r="Y88" s="702"/>
      <c r="Z88" s="551"/>
      <c r="AA88" s="552"/>
      <c r="AB88" s="552"/>
      <c r="AC88" s="477" t="e">
        <f t="shared" si="59"/>
        <v>#N/A</v>
      </c>
      <c r="AD88" s="702"/>
      <c r="AE88" s="551"/>
      <c r="AF88" s="552"/>
      <c r="AG88" s="552"/>
      <c r="AH88" s="477" t="e">
        <f t="shared" si="61"/>
        <v>#N/A</v>
      </c>
      <c r="AI88" s="702"/>
      <c r="AJ88" s="551"/>
      <c r="AK88" s="552"/>
      <c r="AL88" s="552"/>
      <c r="AM88" s="477" t="e">
        <f t="shared" si="63"/>
        <v>#N/A</v>
      </c>
      <c r="AN88" s="702"/>
      <c r="AO88" s="551"/>
      <c r="AP88" s="552"/>
      <c r="AQ88" s="552"/>
      <c r="AR88" s="477" t="e">
        <f t="shared" si="65"/>
        <v>#N/A</v>
      </c>
      <c r="AS88" s="702"/>
      <c r="AT88" s="551"/>
      <c r="AU88" s="552"/>
      <c r="AV88" s="552"/>
      <c r="AW88" s="477" t="e">
        <f t="shared" si="67"/>
        <v>#N/A</v>
      </c>
      <c r="AX88" s="674"/>
    </row>
    <row r="89" spans="2:50">
      <c r="B89" s="660"/>
      <c r="C89" s="304">
        <v>3</v>
      </c>
      <c r="D89" s="227"/>
      <c r="E89" s="182"/>
      <c r="F89" s="551"/>
      <c r="G89" s="552"/>
      <c r="H89" s="702"/>
      <c r="I89" s="199" t="e">
        <f t="shared" si="69"/>
        <v>#DIV/0!</v>
      </c>
      <c r="J89" s="199" t="e">
        <f t="shared" si="69"/>
        <v>#DIV/0!</v>
      </c>
      <c r="K89" s="200" t="e">
        <f t="shared" si="69"/>
        <v>#DIV/0!</v>
      </c>
      <c r="L89" s="634"/>
      <c r="M89" s="201" t="e">
        <f>RANK(K89, K$87:$K$101)</f>
        <v>#DIV/0!</v>
      </c>
      <c r="N89" s="652"/>
      <c r="O89" s="652"/>
      <c r="P89" s="551"/>
      <c r="Q89" s="552"/>
      <c r="R89" s="552"/>
      <c r="S89" s="304" t="e">
        <f t="shared" si="70"/>
        <v>#N/A</v>
      </c>
      <c r="T89" s="702"/>
      <c r="U89" s="551"/>
      <c r="V89" s="552"/>
      <c r="W89" s="552"/>
      <c r="X89" s="477" t="e">
        <f t="shared" si="57"/>
        <v>#N/A</v>
      </c>
      <c r="Y89" s="702"/>
      <c r="Z89" s="551"/>
      <c r="AA89" s="552"/>
      <c r="AB89" s="552"/>
      <c r="AC89" s="477" t="e">
        <f t="shared" si="59"/>
        <v>#N/A</v>
      </c>
      <c r="AD89" s="702"/>
      <c r="AE89" s="551"/>
      <c r="AF89" s="552"/>
      <c r="AG89" s="552"/>
      <c r="AH89" s="477" t="e">
        <f t="shared" si="61"/>
        <v>#N/A</v>
      </c>
      <c r="AI89" s="702"/>
      <c r="AJ89" s="551"/>
      <c r="AK89" s="552"/>
      <c r="AL89" s="552"/>
      <c r="AM89" s="477" t="e">
        <f t="shared" si="63"/>
        <v>#N/A</v>
      </c>
      <c r="AN89" s="702"/>
      <c r="AO89" s="551"/>
      <c r="AP89" s="552"/>
      <c r="AQ89" s="552"/>
      <c r="AR89" s="477" t="e">
        <f t="shared" si="65"/>
        <v>#N/A</v>
      </c>
      <c r="AS89" s="702"/>
      <c r="AT89" s="551"/>
      <c r="AU89" s="552"/>
      <c r="AV89" s="552"/>
      <c r="AW89" s="477" t="e">
        <f t="shared" si="67"/>
        <v>#N/A</v>
      </c>
      <c r="AX89" s="674"/>
    </row>
    <row r="90" spans="2:50">
      <c r="B90" s="660"/>
      <c r="C90" s="304">
        <v>4</v>
      </c>
      <c r="D90" s="227"/>
      <c r="E90" s="182"/>
      <c r="F90" s="551"/>
      <c r="G90" s="552"/>
      <c r="H90" s="702"/>
      <c r="I90" s="199" t="e">
        <f t="shared" si="69"/>
        <v>#DIV/0!</v>
      </c>
      <c r="J90" s="199" t="e">
        <f t="shared" si="69"/>
        <v>#DIV/0!</v>
      </c>
      <c r="K90" s="200" t="e">
        <f t="shared" si="69"/>
        <v>#DIV/0!</v>
      </c>
      <c r="L90" s="634"/>
      <c r="M90" s="201" t="e">
        <f>RANK(K90, K$87:$K$101)</f>
        <v>#DIV/0!</v>
      </c>
      <c r="N90" s="652"/>
      <c r="O90" s="652"/>
      <c r="P90" s="551"/>
      <c r="Q90" s="552"/>
      <c r="R90" s="552"/>
      <c r="S90" s="304" t="e">
        <f t="shared" si="70"/>
        <v>#N/A</v>
      </c>
      <c r="T90" s="702"/>
      <c r="U90" s="551"/>
      <c r="V90" s="552"/>
      <c r="W90" s="552"/>
      <c r="X90" s="477" t="e">
        <f t="shared" si="57"/>
        <v>#N/A</v>
      </c>
      <c r="Y90" s="702"/>
      <c r="Z90" s="551"/>
      <c r="AA90" s="552"/>
      <c r="AB90" s="552"/>
      <c r="AC90" s="477" t="e">
        <f t="shared" si="59"/>
        <v>#N/A</v>
      </c>
      <c r="AD90" s="702"/>
      <c r="AE90" s="551"/>
      <c r="AF90" s="552"/>
      <c r="AG90" s="552"/>
      <c r="AH90" s="477" t="e">
        <f t="shared" si="61"/>
        <v>#N/A</v>
      </c>
      <c r="AI90" s="702"/>
      <c r="AJ90" s="551"/>
      <c r="AK90" s="552"/>
      <c r="AL90" s="552"/>
      <c r="AM90" s="477" t="e">
        <f t="shared" si="63"/>
        <v>#N/A</v>
      </c>
      <c r="AN90" s="702"/>
      <c r="AO90" s="551"/>
      <c r="AP90" s="552"/>
      <c r="AQ90" s="552"/>
      <c r="AR90" s="477" t="e">
        <f t="shared" si="65"/>
        <v>#N/A</v>
      </c>
      <c r="AS90" s="702"/>
      <c r="AT90" s="551"/>
      <c r="AU90" s="552"/>
      <c r="AV90" s="552"/>
      <c r="AW90" s="477" t="e">
        <f t="shared" si="67"/>
        <v>#N/A</v>
      </c>
      <c r="AX90" s="674"/>
    </row>
    <row r="91" spans="2:50">
      <c r="B91" s="660"/>
      <c r="C91" s="304">
        <v>5</v>
      </c>
      <c r="D91" s="227"/>
      <c r="E91" s="182"/>
      <c r="F91" s="551"/>
      <c r="G91" s="552"/>
      <c r="H91" s="702"/>
      <c r="I91" s="199" t="e">
        <f t="shared" si="69"/>
        <v>#DIV/0!</v>
      </c>
      <c r="J91" s="199" t="e">
        <f t="shared" si="69"/>
        <v>#DIV/0!</v>
      </c>
      <c r="K91" s="200" t="e">
        <f t="shared" si="69"/>
        <v>#DIV/0!</v>
      </c>
      <c r="L91" s="634"/>
      <c r="M91" s="201" t="e">
        <f>RANK(K91, K$87:$K$101)</f>
        <v>#DIV/0!</v>
      </c>
      <c r="N91" s="652"/>
      <c r="O91" s="652"/>
      <c r="P91" s="551"/>
      <c r="Q91" s="552"/>
      <c r="R91" s="552"/>
      <c r="S91" s="304" t="e">
        <f t="shared" si="70"/>
        <v>#N/A</v>
      </c>
      <c r="T91" s="702"/>
      <c r="U91" s="551"/>
      <c r="V91" s="552"/>
      <c r="W91" s="552"/>
      <c r="X91" s="477" t="e">
        <f t="shared" si="57"/>
        <v>#N/A</v>
      </c>
      <c r="Y91" s="702"/>
      <c r="Z91" s="551"/>
      <c r="AA91" s="552"/>
      <c r="AB91" s="552"/>
      <c r="AC91" s="477" t="e">
        <f t="shared" si="59"/>
        <v>#N/A</v>
      </c>
      <c r="AD91" s="702"/>
      <c r="AE91" s="551"/>
      <c r="AF91" s="552"/>
      <c r="AG91" s="552"/>
      <c r="AH91" s="477" t="e">
        <f t="shared" si="61"/>
        <v>#N/A</v>
      </c>
      <c r="AI91" s="702"/>
      <c r="AJ91" s="551"/>
      <c r="AK91" s="552"/>
      <c r="AL91" s="552"/>
      <c r="AM91" s="477" t="e">
        <f t="shared" si="63"/>
        <v>#N/A</v>
      </c>
      <c r="AN91" s="702"/>
      <c r="AO91" s="551"/>
      <c r="AP91" s="552"/>
      <c r="AQ91" s="552"/>
      <c r="AR91" s="477" t="e">
        <f t="shared" si="65"/>
        <v>#N/A</v>
      </c>
      <c r="AS91" s="702"/>
      <c r="AT91" s="551"/>
      <c r="AU91" s="552"/>
      <c r="AV91" s="552"/>
      <c r="AW91" s="477" t="e">
        <f t="shared" si="67"/>
        <v>#N/A</v>
      </c>
      <c r="AX91" s="674"/>
    </row>
    <row r="92" spans="2:50">
      <c r="B92" s="660"/>
      <c r="C92" s="304">
        <v>6</v>
      </c>
      <c r="D92" s="227"/>
      <c r="E92" s="182"/>
      <c r="F92" s="514"/>
      <c r="G92" s="515"/>
      <c r="H92" s="702"/>
      <c r="I92" s="199"/>
      <c r="J92" s="199"/>
      <c r="K92" s="200"/>
      <c r="L92" s="634"/>
      <c r="M92" s="201" t="e">
        <f>RANK(K92, K$87:$K$101)</f>
        <v>#DIV/0!</v>
      </c>
      <c r="N92" s="652"/>
      <c r="O92" s="652"/>
      <c r="P92" s="551"/>
      <c r="Q92" s="552"/>
      <c r="R92" s="552"/>
      <c r="S92" s="304" t="e">
        <f t="shared" si="70"/>
        <v>#N/A</v>
      </c>
      <c r="T92" s="702"/>
      <c r="U92" s="551"/>
      <c r="V92" s="552"/>
      <c r="W92" s="552"/>
      <c r="X92" s="477" t="e">
        <f t="shared" si="57"/>
        <v>#N/A</v>
      </c>
      <c r="Y92" s="702"/>
      <c r="Z92" s="551"/>
      <c r="AA92" s="552"/>
      <c r="AB92" s="552"/>
      <c r="AC92" s="477" t="e">
        <f t="shared" si="59"/>
        <v>#N/A</v>
      </c>
      <c r="AD92" s="702"/>
      <c r="AE92" s="551"/>
      <c r="AF92" s="552"/>
      <c r="AG92" s="552"/>
      <c r="AH92" s="477" t="e">
        <f t="shared" si="61"/>
        <v>#N/A</v>
      </c>
      <c r="AI92" s="702"/>
      <c r="AJ92" s="551"/>
      <c r="AK92" s="552"/>
      <c r="AL92" s="552"/>
      <c r="AM92" s="477" t="e">
        <f t="shared" si="63"/>
        <v>#N/A</v>
      </c>
      <c r="AN92" s="702"/>
      <c r="AO92" s="551"/>
      <c r="AP92" s="552"/>
      <c r="AQ92" s="552"/>
      <c r="AR92" s="477" t="e">
        <f t="shared" si="65"/>
        <v>#N/A</v>
      </c>
      <c r="AS92" s="702"/>
      <c r="AT92" s="551"/>
      <c r="AU92" s="552"/>
      <c r="AV92" s="552"/>
      <c r="AW92" s="477" t="e">
        <f t="shared" si="67"/>
        <v>#N/A</v>
      </c>
      <c r="AX92" s="674"/>
    </row>
    <row r="93" spans="2:50">
      <c r="B93" s="660"/>
      <c r="C93" s="304">
        <v>7</v>
      </c>
      <c r="D93" s="227"/>
      <c r="E93" s="182"/>
      <c r="F93" s="514"/>
      <c r="G93" s="515"/>
      <c r="H93" s="702"/>
      <c r="I93" s="199"/>
      <c r="J93" s="199"/>
      <c r="K93" s="200"/>
      <c r="L93" s="634"/>
      <c r="M93" s="201" t="e">
        <f>RANK(K93, K$87:$K$101)</f>
        <v>#DIV/0!</v>
      </c>
      <c r="N93" s="652"/>
      <c r="O93" s="652"/>
      <c r="P93" s="551"/>
      <c r="Q93" s="552"/>
      <c r="R93" s="552"/>
      <c r="S93" s="304" t="e">
        <f t="shared" si="70"/>
        <v>#N/A</v>
      </c>
      <c r="T93" s="702"/>
      <c r="U93" s="551"/>
      <c r="V93" s="552"/>
      <c r="W93" s="552"/>
      <c r="X93" s="477" t="e">
        <f t="shared" si="57"/>
        <v>#N/A</v>
      </c>
      <c r="Y93" s="702"/>
      <c r="Z93" s="551"/>
      <c r="AA93" s="552"/>
      <c r="AB93" s="552"/>
      <c r="AC93" s="477" t="e">
        <f t="shared" si="59"/>
        <v>#N/A</v>
      </c>
      <c r="AD93" s="702"/>
      <c r="AE93" s="551"/>
      <c r="AF93" s="552"/>
      <c r="AG93" s="552"/>
      <c r="AH93" s="477" t="e">
        <f t="shared" si="61"/>
        <v>#N/A</v>
      </c>
      <c r="AI93" s="702"/>
      <c r="AJ93" s="551"/>
      <c r="AK93" s="552"/>
      <c r="AL93" s="552"/>
      <c r="AM93" s="477" t="e">
        <f t="shared" si="63"/>
        <v>#N/A</v>
      </c>
      <c r="AN93" s="702"/>
      <c r="AO93" s="551"/>
      <c r="AP93" s="552"/>
      <c r="AQ93" s="552"/>
      <c r="AR93" s="477" t="e">
        <f t="shared" si="65"/>
        <v>#N/A</v>
      </c>
      <c r="AS93" s="702"/>
      <c r="AT93" s="551"/>
      <c r="AU93" s="552"/>
      <c r="AV93" s="552"/>
      <c r="AW93" s="477" t="e">
        <f t="shared" si="67"/>
        <v>#N/A</v>
      </c>
      <c r="AX93" s="674"/>
    </row>
    <row r="94" spans="2:50">
      <c r="B94" s="660"/>
      <c r="C94" s="304">
        <v>8</v>
      </c>
      <c r="D94" s="227"/>
      <c r="E94" s="182"/>
      <c r="F94" s="514"/>
      <c r="G94" s="515"/>
      <c r="H94" s="702"/>
      <c r="I94" s="199"/>
      <c r="J94" s="199"/>
      <c r="K94" s="200"/>
      <c r="L94" s="634"/>
      <c r="M94" s="201" t="e">
        <f>RANK(K94, K$87:$K$101)</f>
        <v>#DIV/0!</v>
      </c>
      <c r="N94" s="652"/>
      <c r="O94" s="652"/>
      <c r="P94" s="551"/>
      <c r="Q94" s="552"/>
      <c r="R94" s="552"/>
      <c r="S94" s="304" t="e">
        <f t="shared" si="70"/>
        <v>#N/A</v>
      </c>
      <c r="T94" s="702"/>
      <c r="U94" s="551"/>
      <c r="V94" s="552"/>
      <c r="W94" s="552"/>
      <c r="X94" s="477" t="e">
        <f t="shared" si="57"/>
        <v>#N/A</v>
      </c>
      <c r="Y94" s="702"/>
      <c r="Z94" s="551"/>
      <c r="AA94" s="552"/>
      <c r="AB94" s="552"/>
      <c r="AC94" s="477" t="e">
        <f t="shared" si="59"/>
        <v>#N/A</v>
      </c>
      <c r="AD94" s="702"/>
      <c r="AE94" s="551"/>
      <c r="AF94" s="552"/>
      <c r="AG94" s="552"/>
      <c r="AH94" s="477" t="e">
        <f t="shared" si="61"/>
        <v>#N/A</v>
      </c>
      <c r="AI94" s="702"/>
      <c r="AJ94" s="551"/>
      <c r="AK94" s="552"/>
      <c r="AL94" s="552"/>
      <c r="AM94" s="477" t="e">
        <f t="shared" si="63"/>
        <v>#N/A</v>
      </c>
      <c r="AN94" s="702"/>
      <c r="AO94" s="551"/>
      <c r="AP94" s="552"/>
      <c r="AQ94" s="552"/>
      <c r="AR94" s="477" t="e">
        <f t="shared" si="65"/>
        <v>#N/A</v>
      </c>
      <c r="AS94" s="702"/>
      <c r="AT94" s="551"/>
      <c r="AU94" s="552"/>
      <c r="AV94" s="552"/>
      <c r="AW94" s="477" t="e">
        <f t="shared" si="67"/>
        <v>#N/A</v>
      </c>
      <c r="AX94" s="674"/>
    </row>
    <row r="95" spans="2:50">
      <c r="B95" s="660"/>
      <c r="C95" s="304">
        <v>9</v>
      </c>
      <c r="D95" s="227"/>
      <c r="E95" s="182"/>
      <c r="F95" s="514"/>
      <c r="G95" s="515"/>
      <c r="H95" s="702"/>
      <c r="I95" s="199"/>
      <c r="J95" s="199"/>
      <c r="K95" s="200"/>
      <c r="L95" s="634"/>
      <c r="M95" s="201" t="e">
        <f>RANK(K95, K$87:$K$101)</f>
        <v>#DIV/0!</v>
      </c>
      <c r="N95" s="652"/>
      <c r="O95" s="652"/>
      <c r="P95" s="551"/>
      <c r="Q95" s="552"/>
      <c r="R95" s="552"/>
      <c r="S95" s="304" t="e">
        <f t="shared" si="70"/>
        <v>#N/A</v>
      </c>
      <c r="T95" s="702"/>
      <c r="U95" s="551"/>
      <c r="V95" s="552"/>
      <c r="W95" s="552"/>
      <c r="X95" s="477" t="e">
        <f t="shared" si="57"/>
        <v>#N/A</v>
      </c>
      <c r="Y95" s="702"/>
      <c r="Z95" s="551"/>
      <c r="AA95" s="552"/>
      <c r="AB95" s="552"/>
      <c r="AC95" s="477" t="e">
        <f t="shared" si="59"/>
        <v>#N/A</v>
      </c>
      <c r="AD95" s="702"/>
      <c r="AE95" s="551"/>
      <c r="AF95" s="552"/>
      <c r="AG95" s="552"/>
      <c r="AH95" s="477" t="e">
        <f t="shared" si="61"/>
        <v>#N/A</v>
      </c>
      <c r="AI95" s="702"/>
      <c r="AJ95" s="551"/>
      <c r="AK95" s="552"/>
      <c r="AL95" s="552"/>
      <c r="AM95" s="477" t="e">
        <f t="shared" si="63"/>
        <v>#N/A</v>
      </c>
      <c r="AN95" s="702"/>
      <c r="AO95" s="551"/>
      <c r="AP95" s="552"/>
      <c r="AQ95" s="552"/>
      <c r="AR95" s="477" t="e">
        <f t="shared" si="65"/>
        <v>#N/A</v>
      </c>
      <c r="AS95" s="702"/>
      <c r="AT95" s="551"/>
      <c r="AU95" s="552"/>
      <c r="AV95" s="552"/>
      <c r="AW95" s="477" t="e">
        <f t="shared" si="67"/>
        <v>#N/A</v>
      </c>
      <c r="AX95" s="674"/>
    </row>
    <row r="96" spans="2:50">
      <c r="B96" s="660"/>
      <c r="C96" s="304">
        <v>10</v>
      </c>
      <c r="D96" s="227"/>
      <c r="E96" s="182"/>
      <c r="F96" s="514"/>
      <c r="G96" s="515"/>
      <c r="H96" s="702"/>
      <c r="I96" s="199"/>
      <c r="J96" s="199"/>
      <c r="K96" s="200"/>
      <c r="L96" s="634"/>
      <c r="M96" s="201" t="e">
        <f>RANK(K96, K$87:$K$101)</f>
        <v>#DIV/0!</v>
      </c>
      <c r="N96" s="652"/>
      <c r="O96" s="652"/>
      <c r="P96" s="551"/>
      <c r="Q96" s="551"/>
      <c r="R96" s="552"/>
      <c r="S96" s="304" t="e">
        <f t="shared" si="70"/>
        <v>#N/A</v>
      </c>
      <c r="T96" s="702"/>
      <c r="U96" s="551"/>
      <c r="V96" s="551"/>
      <c r="W96" s="552"/>
      <c r="X96" s="477" t="e">
        <f t="shared" si="57"/>
        <v>#N/A</v>
      </c>
      <c r="Y96" s="702"/>
      <c r="Z96" s="551"/>
      <c r="AA96" s="551"/>
      <c r="AB96" s="552"/>
      <c r="AC96" s="477" t="e">
        <f t="shared" si="59"/>
        <v>#N/A</v>
      </c>
      <c r="AD96" s="702"/>
      <c r="AE96" s="551"/>
      <c r="AF96" s="551"/>
      <c r="AG96" s="552"/>
      <c r="AH96" s="477" t="e">
        <f t="shared" si="61"/>
        <v>#N/A</v>
      </c>
      <c r="AI96" s="702"/>
      <c r="AJ96" s="551"/>
      <c r="AK96" s="551"/>
      <c r="AL96" s="552"/>
      <c r="AM96" s="477" t="e">
        <f t="shared" si="63"/>
        <v>#N/A</v>
      </c>
      <c r="AN96" s="702"/>
      <c r="AO96" s="551"/>
      <c r="AP96" s="551"/>
      <c r="AQ96" s="552"/>
      <c r="AR96" s="477" t="e">
        <f t="shared" si="65"/>
        <v>#N/A</v>
      </c>
      <c r="AS96" s="702"/>
      <c r="AT96" s="551"/>
      <c r="AU96" s="551"/>
      <c r="AV96" s="552"/>
      <c r="AW96" s="477" t="e">
        <f t="shared" si="67"/>
        <v>#N/A</v>
      </c>
      <c r="AX96" s="674"/>
    </row>
    <row r="97" spans="2:50">
      <c r="B97" s="660"/>
      <c r="C97" s="304">
        <v>11</v>
      </c>
      <c r="D97" s="227"/>
      <c r="E97" s="182"/>
      <c r="F97" s="514"/>
      <c r="G97" s="515"/>
      <c r="H97" s="702"/>
      <c r="I97" s="202"/>
      <c r="J97" s="202"/>
      <c r="K97" s="202"/>
      <c r="L97" s="634"/>
      <c r="M97" s="201" t="e">
        <f>RANK(K97, K$87:$K$101)</f>
        <v>#DIV/0!</v>
      </c>
      <c r="N97" s="652"/>
      <c r="O97" s="652"/>
      <c r="P97" s="551"/>
      <c r="Q97" s="551"/>
      <c r="R97" s="551"/>
      <c r="S97" s="304" t="e">
        <f t="shared" si="70"/>
        <v>#N/A</v>
      </c>
      <c r="T97" s="702"/>
      <c r="U97" s="551"/>
      <c r="V97" s="551"/>
      <c r="W97" s="551"/>
      <c r="X97" s="477" t="e">
        <f t="shared" si="57"/>
        <v>#N/A</v>
      </c>
      <c r="Y97" s="702"/>
      <c r="Z97" s="551"/>
      <c r="AA97" s="551"/>
      <c r="AB97" s="551"/>
      <c r="AC97" s="477" t="e">
        <f t="shared" si="59"/>
        <v>#N/A</v>
      </c>
      <c r="AD97" s="702"/>
      <c r="AE97" s="551"/>
      <c r="AF97" s="551"/>
      <c r="AG97" s="551"/>
      <c r="AH97" s="477" t="e">
        <f t="shared" si="61"/>
        <v>#N/A</v>
      </c>
      <c r="AI97" s="702"/>
      <c r="AJ97" s="551"/>
      <c r="AK97" s="551"/>
      <c r="AL97" s="551"/>
      <c r="AM97" s="477" t="e">
        <f t="shared" si="63"/>
        <v>#N/A</v>
      </c>
      <c r="AN97" s="702"/>
      <c r="AO97" s="551"/>
      <c r="AP97" s="551"/>
      <c r="AQ97" s="551"/>
      <c r="AR97" s="477" t="e">
        <f t="shared" si="65"/>
        <v>#N/A</v>
      </c>
      <c r="AS97" s="702"/>
      <c r="AT97" s="551"/>
      <c r="AU97" s="551"/>
      <c r="AV97" s="551"/>
      <c r="AW97" s="477" t="e">
        <f t="shared" si="67"/>
        <v>#N/A</v>
      </c>
      <c r="AX97" s="674"/>
    </row>
    <row r="98" spans="2:50">
      <c r="B98" s="660"/>
      <c r="C98" s="304">
        <v>12</v>
      </c>
      <c r="D98" s="227"/>
      <c r="E98" s="182"/>
      <c r="F98" s="514"/>
      <c r="G98" s="515"/>
      <c r="H98" s="702"/>
      <c r="I98" s="202"/>
      <c r="J98" s="202"/>
      <c r="K98" s="202"/>
      <c r="L98" s="634"/>
      <c r="M98" s="201" t="e">
        <f>RANK(K98, K$87:$K$101)</f>
        <v>#DIV/0!</v>
      </c>
      <c r="N98" s="652"/>
      <c r="O98" s="652"/>
      <c r="P98" s="551"/>
      <c r="Q98" s="551"/>
      <c r="R98" s="551"/>
      <c r="S98" s="304" t="e">
        <f t="shared" si="70"/>
        <v>#N/A</v>
      </c>
      <c r="T98" s="702"/>
      <c r="U98" s="551"/>
      <c r="V98" s="551"/>
      <c r="W98" s="551"/>
      <c r="X98" s="477" t="e">
        <f t="shared" si="57"/>
        <v>#N/A</v>
      </c>
      <c r="Y98" s="702"/>
      <c r="Z98" s="551"/>
      <c r="AA98" s="551"/>
      <c r="AB98" s="551"/>
      <c r="AC98" s="477" t="e">
        <f t="shared" si="59"/>
        <v>#N/A</v>
      </c>
      <c r="AD98" s="702"/>
      <c r="AE98" s="551"/>
      <c r="AF98" s="551"/>
      <c r="AG98" s="551"/>
      <c r="AH98" s="477" t="e">
        <f t="shared" si="61"/>
        <v>#N/A</v>
      </c>
      <c r="AI98" s="702"/>
      <c r="AJ98" s="551"/>
      <c r="AK98" s="551"/>
      <c r="AL98" s="551"/>
      <c r="AM98" s="477" t="e">
        <f t="shared" si="63"/>
        <v>#N/A</v>
      </c>
      <c r="AN98" s="702"/>
      <c r="AO98" s="551"/>
      <c r="AP98" s="551"/>
      <c r="AQ98" s="551"/>
      <c r="AR98" s="477" t="e">
        <f t="shared" si="65"/>
        <v>#N/A</v>
      </c>
      <c r="AS98" s="702"/>
      <c r="AT98" s="551"/>
      <c r="AU98" s="551"/>
      <c r="AV98" s="551"/>
      <c r="AW98" s="477" t="e">
        <f t="shared" si="67"/>
        <v>#N/A</v>
      </c>
      <c r="AX98" s="674"/>
    </row>
    <row r="99" spans="2:50">
      <c r="B99" s="660"/>
      <c r="C99" s="304">
        <v>13</v>
      </c>
      <c r="D99" s="227"/>
      <c r="E99" s="182"/>
      <c r="F99" s="514"/>
      <c r="G99" s="515"/>
      <c r="H99" s="702"/>
      <c r="I99" s="202"/>
      <c r="J99" s="202"/>
      <c r="K99" s="202"/>
      <c r="L99" s="634"/>
      <c r="M99" s="201" t="e">
        <f>RANK(K99, K$87:$K$101)</f>
        <v>#DIV/0!</v>
      </c>
      <c r="N99" s="652"/>
      <c r="O99" s="652"/>
      <c r="P99" s="551"/>
      <c r="Q99" s="551"/>
      <c r="R99" s="551"/>
      <c r="S99" s="304" t="e">
        <f t="shared" si="70"/>
        <v>#N/A</v>
      </c>
      <c r="T99" s="702"/>
      <c r="U99" s="551"/>
      <c r="V99" s="551"/>
      <c r="W99" s="551"/>
      <c r="X99" s="477" t="e">
        <f t="shared" si="57"/>
        <v>#N/A</v>
      </c>
      <c r="Y99" s="702"/>
      <c r="Z99" s="551"/>
      <c r="AA99" s="551"/>
      <c r="AB99" s="551"/>
      <c r="AC99" s="477" t="e">
        <f t="shared" si="59"/>
        <v>#N/A</v>
      </c>
      <c r="AD99" s="702"/>
      <c r="AE99" s="551"/>
      <c r="AF99" s="551"/>
      <c r="AG99" s="551"/>
      <c r="AH99" s="477" t="e">
        <f t="shared" si="61"/>
        <v>#N/A</v>
      </c>
      <c r="AI99" s="702"/>
      <c r="AJ99" s="551"/>
      <c r="AK99" s="551"/>
      <c r="AL99" s="551"/>
      <c r="AM99" s="477" t="e">
        <f t="shared" si="63"/>
        <v>#N/A</v>
      </c>
      <c r="AN99" s="702"/>
      <c r="AO99" s="551"/>
      <c r="AP99" s="551"/>
      <c r="AQ99" s="551"/>
      <c r="AR99" s="477" t="e">
        <f t="shared" si="65"/>
        <v>#N/A</v>
      </c>
      <c r="AS99" s="702"/>
      <c r="AT99" s="551"/>
      <c r="AU99" s="551"/>
      <c r="AV99" s="551"/>
      <c r="AW99" s="477" t="e">
        <f t="shared" si="67"/>
        <v>#N/A</v>
      </c>
      <c r="AX99" s="674"/>
    </row>
    <row r="100" spans="2:50">
      <c r="B100" s="660"/>
      <c r="C100" s="304">
        <v>14</v>
      </c>
      <c r="D100" s="227"/>
      <c r="E100" s="182"/>
      <c r="F100" s="514"/>
      <c r="G100" s="515"/>
      <c r="H100" s="702"/>
      <c r="I100" s="202"/>
      <c r="J100" s="202"/>
      <c r="K100" s="202"/>
      <c r="L100" s="634"/>
      <c r="M100" s="201" t="e">
        <f>RANK(K100, K$87:$K$101)</f>
        <v>#DIV/0!</v>
      </c>
      <c r="N100" s="652"/>
      <c r="O100" s="652"/>
      <c r="P100" s="551"/>
      <c r="Q100" s="551"/>
      <c r="R100" s="551"/>
      <c r="S100" s="304" t="e">
        <f t="shared" si="70"/>
        <v>#N/A</v>
      </c>
      <c r="T100" s="702"/>
      <c r="U100" s="551"/>
      <c r="V100" s="551"/>
      <c r="W100" s="551"/>
      <c r="X100" s="477" t="e">
        <f t="shared" si="57"/>
        <v>#N/A</v>
      </c>
      <c r="Y100" s="702"/>
      <c r="Z100" s="551"/>
      <c r="AA100" s="551"/>
      <c r="AB100" s="551"/>
      <c r="AC100" s="477" t="e">
        <f t="shared" si="59"/>
        <v>#N/A</v>
      </c>
      <c r="AD100" s="702"/>
      <c r="AE100" s="551"/>
      <c r="AF100" s="551"/>
      <c r="AG100" s="551"/>
      <c r="AH100" s="477" t="e">
        <f t="shared" si="61"/>
        <v>#N/A</v>
      </c>
      <c r="AI100" s="702"/>
      <c r="AJ100" s="551"/>
      <c r="AK100" s="551"/>
      <c r="AL100" s="551"/>
      <c r="AM100" s="477" t="e">
        <f t="shared" si="63"/>
        <v>#N/A</v>
      </c>
      <c r="AN100" s="702"/>
      <c r="AO100" s="551"/>
      <c r="AP100" s="551"/>
      <c r="AQ100" s="551"/>
      <c r="AR100" s="477" t="e">
        <f t="shared" si="65"/>
        <v>#N/A</v>
      </c>
      <c r="AS100" s="702"/>
      <c r="AT100" s="551"/>
      <c r="AU100" s="551"/>
      <c r="AV100" s="551"/>
      <c r="AW100" s="477" t="e">
        <f t="shared" si="67"/>
        <v>#N/A</v>
      </c>
      <c r="AX100" s="674"/>
    </row>
    <row r="101" spans="2:50">
      <c r="B101" s="660"/>
      <c r="C101" s="304">
        <v>15</v>
      </c>
      <c r="D101" s="227"/>
      <c r="E101" s="182"/>
      <c r="F101" s="514"/>
      <c r="G101" s="515"/>
      <c r="H101" s="703"/>
      <c r="I101" s="202"/>
      <c r="J101" s="202"/>
      <c r="K101" s="202"/>
      <c r="L101" s="635"/>
      <c r="M101" s="199" t="e">
        <f>RANK(K101, K$87:$K$101)</f>
        <v>#DIV/0!</v>
      </c>
      <c r="N101" s="652"/>
      <c r="O101" s="652"/>
      <c r="P101" s="551"/>
      <c r="Q101" s="551"/>
      <c r="R101" s="551"/>
      <c r="S101" s="304" t="e">
        <f t="shared" si="70"/>
        <v>#N/A</v>
      </c>
      <c r="T101" s="703"/>
      <c r="U101" s="551"/>
      <c r="V101" s="551"/>
      <c r="W101" s="551"/>
      <c r="X101" s="477" t="e">
        <f t="shared" si="57"/>
        <v>#N/A</v>
      </c>
      <c r="Y101" s="703"/>
      <c r="Z101" s="551"/>
      <c r="AA101" s="551"/>
      <c r="AB101" s="551"/>
      <c r="AC101" s="477" t="e">
        <f t="shared" si="59"/>
        <v>#N/A</v>
      </c>
      <c r="AD101" s="703"/>
      <c r="AE101" s="551"/>
      <c r="AF101" s="551"/>
      <c r="AG101" s="551"/>
      <c r="AH101" s="477" t="e">
        <f t="shared" si="61"/>
        <v>#N/A</v>
      </c>
      <c r="AI101" s="703"/>
      <c r="AJ101" s="551"/>
      <c r="AK101" s="551"/>
      <c r="AL101" s="551"/>
      <c r="AM101" s="477" t="e">
        <f t="shared" si="63"/>
        <v>#N/A</v>
      </c>
      <c r="AN101" s="703"/>
      <c r="AO101" s="551"/>
      <c r="AP101" s="551"/>
      <c r="AQ101" s="551"/>
      <c r="AR101" s="477" t="e">
        <f t="shared" si="65"/>
        <v>#N/A</v>
      </c>
      <c r="AS101" s="703"/>
      <c r="AT101" s="551"/>
      <c r="AU101" s="551"/>
      <c r="AV101" s="551"/>
      <c r="AW101" s="477" t="e">
        <f t="shared" si="67"/>
        <v>#N/A</v>
      </c>
      <c r="AX101" s="674"/>
    </row>
    <row r="102" spans="2:50" ht="15.75">
      <c r="B102" s="664" t="s">
        <v>163</v>
      </c>
      <c r="C102" s="665"/>
      <c r="D102" s="665"/>
      <c r="E102" s="665"/>
      <c r="F102" s="665"/>
      <c r="G102" s="665"/>
      <c r="H102" s="666"/>
      <c r="I102" s="208"/>
      <c r="J102" s="208"/>
      <c r="K102" s="208"/>
      <c r="L102" s="208"/>
      <c r="M102" s="207"/>
      <c r="N102" s="653" t="s">
        <v>156</v>
      </c>
      <c r="O102" s="653" t="s">
        <v>105</v>
      </c>
      <c r="P102" s="659">
        <f>P82+7</f>
        <v>46084</v>
      </c>
      <c r="Q102" s="660"/>
      <c r="R102" s="660"/>
      <c r="S102" s="660"/>
      <c r="T102" s="660"/>
      <c r="U102" s="656">
        <f>P102+1</f>
        <v>46085</v>
      </c>
      <c r="V102" s="657"/>
      <c r="W102" s="657"/>
      <c r="X102" s="657"/>
      <c r="Y102" s="658"/>
      <c r="Z102" s="656">
        <f>U102+1</f>
        <v>46086</v>
      </c>
      <c r="AA102" s="657"/>
      <c r="AB102" s="657"/>
      <c r="AC102" s="657"/>
      <c r="AD102" s="658"/>
      <c r="AE102" s="656">
        <f>Z102+1</f>
        <v>46087</v>
      </c>
      <c r="AF102" s="657"/>
      <c r="AG102" s="657"/>
      <c r="AH102" s="657"/>
      <c r="AI102" s="658"/>
      <c r="AJ102" s="656">
        <f>AE102+1</f>
        <v>46088</v>
      </c>
      <c r="AK102" s="657"/>
      <c r="AL102" s="657"/>
      <c r="AM102" s="657"/>
      <c r="AN102" s="658"/>
      <c r="AO102" s="656">
        <f>AJ102+1</f>
        <v>46089</v>
      </c>
      <c r="AP102" s="657"/>
      <c r="AQ102" s="657"/>
      <c r="AR102" s="657"/>
      <c r="AS102" s="658"/>
      <c r="AT102" s="656">
        <f>AO102+1</f>
        <v>46090</v>
      </c>
      <c r="AU102" s="657"/>
      <c r="AV102" s="657"/>
      <c r="AW102" s="657"/>
      <c r="AX102" s="658"/>
    </row>
    <row r="103" spans="2:50" ht="15.75">
      <c r="B103" s="667"/>
      <c r="C103" s="667"/>
      <c r="D103" s="667"/>
      <c r="E103" s="667"/>
      <c r="F103" s="667"/>
      <c r="G103" s="667"/>
      <c r="H103" s="667"/>
      <c r="I103" s="205"/>
      <c r="J103" s="205"/>
      <c r="K103" s="205"/>
      <c r="L103" s="205"/>
      <c r="M103" s="206"/>
      <c r="N103" s="655"/>
      <c r="O103" s="655"/>
      <c r="P103" s="659" t="s">
        <v>158</v>
      </c>
      <c r="Q103" s="660"/>
      <c r="R103" s="660"/>
      <c r="S103" s="660"/>
      <c r="T103" s="660"/>
      <c r="U103" s="659" t="s">
        <v>114</v>
      </c>
      <c r="V103" s="660"/>
      <c r="W103" s="660"/>
      <c r="X103" s="660"/>
      <c r="Y103" s="660"/>
      <c r="Z103" s="659" t="s">
        <v>159</v>
      </c>
      <c r="AA103" s="660"/>
      <c r="AB103" s="660"/>
      <c r="AC103" s="660"/>
      <c r="AD103" s="660"/>
      <c r="AE103" s="659" t="s">
        <v>157</v>
      </c>
      <c r="AF103" s="660"/>
      <c r="AG103" s="660"/>
      <c r="AH103" s="660"/>
      <c r="AI103" s="660"/>
      <c r="AJ103" s="659" t="s">
        <v>160</v>
      </c>
      <c r="AK103" s="660"/>
      <c r="AL103" s="660"/>
      <c r="AM103" s="660"/>
      <c r="AN103" s="660"/>
      <c r="AO103" s="659" t="s">
        <v>115</v>
      </c>
      <c r="AP103" s="660"/>
      <c r="AQ103" s="660"/>
      <c r="AR103" s="660"/>
      <c r="AS103" s="660"/>
      <c r="AT103" s="659" t="s">
        <v>162</v>
      </c>
      <c r="AU103" s="660"/>
      <c r="AV103" s="660"/>
      <c r="AW103" s="660"/>
      <c r="AX103" s="660"/>
    </row>
    <row r="104" spans="2:50">
      <c r="B104" s="652" t="s">
        <v>859</v>
      </c>
      <c r="C104" s="652" t="s">
        <v>860</v>
      </c>
      <c r="D104" s="652"/>
      <c r="E104" s="652" t="s">
        <v>861</v>
      </c>
      <c r="F104" s="652"/>
      <c r="G104" s="652"/>
      <c r="H104" s="668" t="s">
        <v>862</v>
      </c>
      <c r="I104" s="652" t="s">
        <v>863</v>
      </c>
      <c r="J104" s="652"/>
      <c r="K104" s="652"/>
      <c r="L104" s="668" t="s">
        <v>862</v>
      </c>
      <c r="M104" s="653" t="s">
        <v>864</v>
      </c>
      <c r="N104" s="652"/>
      <c r="O104" s="652" t="s">
        <v>850</v>
      </c>
      <c r="P104" s="649" t="s">
        <v>851</v>
      </c>
      <c r="Q104" s="650"/>
      <c r="R104" s="650"/>
      <c r="S104" s="651"/>
      <c r="T104" s="652" t="s">
        <v>847</v>
      </c>
      <c r="U104" s="649" t="s">
        <v>851</v>
      </c>
      <c r="V104" s="650"/>
      <c r="W104" s="650"/>
      <c r="X104" s="651"/>
      <c r="Y104" s="652" t="s">
        <v>847</v>
      </c>
      <c r="Z104" s="649" t="s">
        <v>851</v>
      </c>
      <c r="AA104" s="650"/>
      <c r="AB104" s="650"/>
      <c r="AC104" s="651"/>
      <c r="AD104" s="652" t="s">
        <v>847</v>
      </c>
      <c r="AE104" s="649" t="s">
        <v>851</v>
      </c>
      <c r="AF104" s="650"/>
      <c r="AG104" s="650"/>
      <c r="AH104" s="651"/>
      <c r="AI104" s="652" t="s">
        <v>847</v>
      </c>
      <c r="AJ104" s="649" t="s">
        <v>851</v>
      </c>
      <c r="AK104" s="650"/>
      <c r="AL104" s="650"/>
      <c r="AM104" s="651"/>
      <c r="AN104" s="652" t="s">
        <v>847</v>
      </c>
      <c r="AO104" s="649" t="s">
        <v>851</v>
      </c>
      <c r="AP104" s="650"/>
      <c r="AQ104" s="650"/>
      <c r="AR104" s="651"/>
      <c r="AS104" s="652" t="s">
        <v>847</v>
      </c>
      <c r="AT104" s="649" t="s">
        <v>851</v>
      </c>
      <c r="AU104" s="650"/>
      <c r="AV104" s="650"/>
      <c r="AW104" s="651"/>
      <c r="AX104" s="652" t="s">
        <v>847</v>
      </c>
    </row>
    <row r="105" spans="2:50">
      <c r="B105" s="652"/>
      <c r="C105" s="652"/>
      <c r="D105" s="652"/>
      <c r="E105" s="652" t="s">
        <v>866</v>
      </c>
      <c r="F105" s="652"/>
      <c r="G105" s="652"/>
      <c r="H105" s="669"/>
      <c r="I105" s="652" t="s">
        <v>866</v>
      </c>
      <c r="J105" s="652"/>
      <c r="K105" s="652"/>
      <c r="L105" s="669"/>
      <c r="M105" s="654"/>
      <c r="N105" s="652"/>
      <c r="O105" s="652"/>
      <c r="P105" s="649" t="s">
        <v>853</v>
      </c>
      <c r="Q105" s="650"/>
      <c r="R105" s="650"/>
      <c r="S105" s="651"/>
      <c r="T105" s="652"/>
      <c r="U105" s="649" t="s">
        <v>853</v>
      </c>
      <c r="V105" s="650"/>
      <c r="W105" s="650"/>
      <c r="X105" s="651"/>
      <c r="Y105" s="652"/>
      <c r="Z105" s="649" t="s">
        <v>853</v>
      </c>
      <c r="AA105" s="650"/>
      <c r="AB105" s="650"/>
      <c r="AC105" s="651"/>
      <c r="AD105" s="652"/>
      <c r="AE105" s="649" t="s">
        <v>853</v>
      </c>
      <c r="AF105" s="650"/>
      <c r="AG105" s="650"/>
      <c r="AH105" s="651"/>
      <c r="AI105" s="652"/>
      <c r="AJ105" s="649" t="s">
        <v>853</v>
      </c>
      <c r="AK105" s="650"/>
      <c r="AL105" s="650"/>
      <c r="AM105" s="651"/>
      <c r="AN105" s="652"/>
      <c r="AO105" s="649" t="s">
        <v>853</v>
      </c>
      <c r="AP105" s="650"/>
      <c r="AQ105" s="650"/>
      <c r="AR105" s="651"/>
      <c r="AS105" s="652"/>
      <c r="AT105" s="649" t="s">
        <v>853</v>
      </c>
      <c r="AU105" s="650"/>
      <c r="AV105" s="650"/>
      <c r="AW105" s="651"/>
      <c r="AX105" s="652"/>
    </row>
    <row r="106" spans="2:50">
      <c r="B106" s="652"/>
      <c r="C106" s="652"/>
      <c r="D106" s="652"/>
      <c r="E106" s="492" t="s">
        <v>867</v>
      </c>
      <c r="F106" s="492" t="s">
        <v>868</v>
      </c>
      <c r="G106" s="492" t="s">
        <v>869</v>
      </c>
      <c r="H106" s="670"/>
      <c r="I106" s="492" t="s">
        <v>867</v>
      </c>
      <c r="J106" s="492" t="s">
        <v>868</v>
      </c>
      <c r="K106" s="492" t="s">
        <v>869</v>
      </c>
      <c r="L106" s="670"/>
      <c r="M106" s="655"/>
      <c r="N106" s="652"/>
      <c r="O106" s="652"/>
      <c r="P106" s="492" t="s">
        <v>854</v>
      </c>
      <c r="Q106" s="492" t="s">
        <v>855</v>
      </c>
      <c r="R106" s="492" t="s">
        <v>856</v>
      </c>
      <c r="S106" s="492" t="s">
        <v>849</v>
      </c>
      <c r="T106" s="652"/>
      <c r="U106" s="492" t="s">
        <v>854</v>
      </c>
      <c r="V106" s="492" t="s">
        <v>855</v>
      </c>
      <c r="W106" s="492" t="s">
        <v>856</v>
      </c>
      <c r="X106" s="492" t="s">
        <v>849</v>
      </c>
      <c r="Y106" s="652"/>
      <c r="Z106" s="492" t="s">
        <v>854</v>
      </c>
      <c r="AA106" s="492" t="s">
        <v>855</v>
      </c>
      <c r="AB106" s="492" t="s">
        <v>856</v>
      </c>
      <c r="AC106" s="492" t="s">
        <v>849</v>
      </c>
      <c r="AD106" s="652"/>
      <c r="AE106" s="492" t="s">
        <v>854</v>
      </c>
      <c r="AF106" s="492" t="s">
        <v>855</v>
      </c>
      <c r="AG106" s="492" t="s">
        <v>856</v>
      </c>
      <c r="AH106" s="492" t="s">
        <v>849</v>
      </c>
      <c r="AI106" s="652"/>
      <c r="AJ106" s="492" t="s">
        <v>854</v>
      </c>
      <c r="AK106" s="492" t="s">
        <v>855</v>
      </c>
      <c r="AL106" s="492" t="s">
        <v>856</v>
      </c>
      <c r="AM106" s="492" t="s">
        <v>849</v>
      </c>
      <c r="AN106" s="652"/>
      <c r="AO106" s="492" t="s">
        <v>854</v>
      </c>
      <c r="AP106" s="492" t="s">
        <v>855</v>
      </c>
      <c r="AQ106" s="492" t="s">
        <v>856</v>
      </c>
      <c r="AR106" s="492" t="s">
        <v>849</v>
      </c>
      <c r="AS106" s="652"/>
      <c r="AT106" s="492" t="s">
        <v>854</v>
      </c>
      <c r="AU106" s="492" t="s">
        <v>855</v>
      </c>
      <c r="AV106" s="492" t="s">
        <v>856</v>
      </c>
      <c r="AW106" s="492" t="s">
        <v>849</v>
      </c>
      <c r="AX106" s="652"/>
    </row>
    <row r="107" spans="2:50">
      <c r="B107" s="652" t="s">
        <v>136</v>
      </c>
      <c r="C107" s="497">
        <v>1</v>
      </c>
      <c r="D107" s="227"/>
      <c r="E107" s="182"/>
      <c r="F107" s="514"/>
      <c r="G107" s="515"/>
      <c r="H107" s="724" t="e">
        <f>AVERAGE(G107:G121)</f>
        <v>#DIV/0!</v>
      </c>
      <c r="I107" s="498" t="e">
        <f>AVERAGE(P107,U107,Z107,AE107,AJ107,AO107,AT107)</f>
        <v>#DIV/0!</v>
      </c>
      <c r="J107" s="498" t="e">
        <f>AVERAGE(Q107,V107,AA107,AF107,AK107,AP107,AU107)</f>
        <v>#DIV/0!</v>
      </c>
      <c r="K107" s="499" t="e">
        <f>AVERAGE(R107,W107,AB107,AG107,AL107,AQ107,AV107)</f>
        <v>#DIV/0!</v>
      </c>
      <c r="L107" s="633" t="str">
        <f>IFERROR(AVERAGE(K107:K121),"-")</f>
        <v>-</v>
      </c>
      <c r="M107" s="498" t="e">
        <f>RANK(K107, K$67:$K$81)</f>
        <v>#DIV/0!</v>
      </c>
      <c r="N107" s="652"/>
      <c r="O107" s="652"/>
      <c r="P107" s="497"/>
      <c r="Q107" s="498"/>
      <c r="R107" s="498"/>
      <c r="S107" s="497" t="e">
        <f>RANK(R107, R$67:R$81)</f>
        <v>#N/A</v>
      </c>
      <c r="T107" s="699" t="e">
        <f>AVERAGE(R107:R121)</f>
        <v>#DIV/0!</v>
      </c>
      <c r="U107" s="519"/>
      <c r="V107" s="522"/>
      <c r="W107" s="522"/>
      <c r="X107" s="497" t="e">
        <f>RANK(W107, W$67:W$81)</f>
        <v>#N/A</v>
      </c>
      <c r="Y107" s="699" t="e">
        <f>AVERAGE(W107:W121)</f>
        <v>#DIV/0!</v>
      </c>
      <c r="Z107" s="519"/>
      <c r="AA107" s="522"/>
      <c r="AB107" s="522"/>
      <c r="AC107" s="497" t="e">
        <f>RANK(AB107, AB$67:AB$81)</f>
        <v>#N/A</v>
      </c>
      <c r="AD107" s="699" t="e">
        <f>AVERAGE(AB107:AB121)</f>
        <v>#DIV/0!</v>
      </c>
      <c r="AE107" s="519"/>
      <c r="AF107" s="522"/>
      <c r="AG107" s="522"/>
      <c r="AH107" s="497" t="e">
        <f>RANK(AG107, AG$67:AG$81)</f>
        <v>#N/A</v>
      </c>
      <c r="AI107" s="699" t="e">
        <f>AVERAGE(AG107:AG121)</f>
        <v>#DIV/0!</v>
      </c>
      <c r="AJ107" s="519"/>
      <c r="AK107" s="522"/>
      <c r="AL107" s="522"/>
      <c r="AM107" s="497" t="e">
        <f>RANK(AL107, AL$67:AL$81)</f>
        <v>#N/A</v>
      </c>
      <c r="AN107" s="699" t="e">
        <f>AVERAGE(AL107:AL121)</f>
        <v>#DIV/0!</v>
      </c>
      <c r="AO107" s="519"/>
      <c r="AP107" s="522"/>
      <c r="AQ107" s="522"/>
      <c r="AR107" s="497" t="e">
        <f>RANK(AQ107, AQ$67:AQ$81)</f>
        <v>#N/A</v>
      </c>
      <c r="AS107" s="699" t="e">
        <f>AVERAGE(AQ107:AQ121)</f>
        <v>#DIV/0!</v>
      </c>
      <c r="AT107" s="182"/>
      <c r="AU107" s="515"/>
      <c r="AV107" s="515"/>
      <c r="AW107" s="497" t="e">
        <f>RANK(AV107, AV$67:AV$81)</f>
        <v>#N/A</v>
      </c>
      <c r="AX107" s="699" t="e">
        <f>AVERAGE(AV107:AV121)</f>
        <v>#DIV/0!</v>
      </c>
    </row>
    <row r="108" spans="2:50">
      <c r="B108" s="685"/>
      <c r="C108" s="497">
        <v>2</v>
      </c>
      <c r="D108" s="227"/>
      <c r="E108" s="182"/>
      <c r="F108" s="514"/>
      <c r="G108" s="515"/>
      <c r="H108" s="725"/>
      <c r="I108" s="498" t="e">
        <f t="shared" ref="I108:K111" si="71">AVERAGE(P108,U108,Z108,AE108,AJ108,AO108,AT108)</f>
        <v>#DIV/0!</v>
      </c>
      <c r="J108" s="498" t="e">
        <f t="shared" si="71"/>
        <v>#DIV/0!</v>
      </c>
      <c r="K108" s="499" t="e">
        <f t="shared" si="71"/>
        <v>#DIV/0!</v>
      </c>
      <c r="L108" s="634"/>
      <c r="M108" s="498" t="e">
        <f>RANK(K108, K$67:$K$81)</f>
        <v>#DIV/0!</v>
      </c>
      <c r="N108" s="652"/>
      <c r="O108" s="652"/>
      <c r="P108" s="497"/>
      <c r="Q108" s="498"/>
      <c r="R108" s="498"/>
      <c r="S108" s="497" t="e">
        <f t="shared" ref="S108:S121" si="72">RANK(R108, R$67:R$81)</f>
        <v>#N/A</v>
      </c>
      <c r="T108" s="699"/>
      <c r="U108" s="519"/>
      <c r="V108" s="522"/>
      <c r="W108" s="522"/>
      <c r="X108" s="497" t="e">
        <f t="shared" ref="X108:X121" si="73">RANK(W108, W$67:W$81)</f>
        <v>#N/A</v>
      </c>
      <c r="Y108" s="699"/>
      <c r="Z108" s="519"/>
      <c r="AA108" s="522"/>
      <c r="AB108" s="522"/>
      <c r="AC108" s="497" t="e">
        <f t="shared" ref="AC108:AC121" si="74">RANK(AB108, AB$67:AB$81)</f>
        <v>#N/A</v>
      </c>
      <c r="AD108" s="699"/>
      <c r="AE108" s="519"/>
      <c r="AF108" s="522"/>
      <c r="AG108" s="522"/>
      <c r="AH108" s="497" t="e">
        <f t="shared" ref="AH108:AH121" si="75">RANK(AG108, AG$67:AG$81)</f>
        <v>#N/A</v>
      </c>
      <c r="AI108" s="699"/>
      <c r="AJ108" s="519"/>
      <c r="AK108" s="522"/>
      <c r="AL108" s="522"/>
      <c r="AM108" s="497" t="e">
        <f t="shared" ref="AM108:AM121" si="76">RANK(AL108, AL$67:AL$81)</f>
        <v>#N/A</v>
      </c>
      <c r="AN108" s="699"/>
      <c r="AO108" s="519"/>
      <c r="AP108" s="522"/>
      <c r="AQ108" s="522"/>
      <c r="AR108" s="497" t="e">
        <f t="shared" ref="AR108:AR121" si="77">RANK(AQ108, AQ$67:AQ$81)</f>
        <v>#N/A</v>
      </c>
      <c r="AS108" s="699"/>
      <c r="AT108" s="514"/>
      <c r="AU108" s="515"/>
      <c r="AV108" s="515"/>
      <c r="AW108" s="497" t="e">
        <f t="shared" ref="AW108:AW121" si="78">RANK(AV108, AV$67:AV$81)</f>
        <v>#N/A</v>
      </c>
      <c r="AX108" s="699"/>
    </row>
    <row r="109" spans="2:50">
      <c r="B109" s="685"/>
      <c r="C109" s="497">
        <v>3</v>
      </c>
      <c r="D109" s="227"/>
      <c r="E109" s="182"/>
      <c r="F109" s="514"/>
      <c r="G109" s="515"/>
      <c r="H109" s="725"/>
      <c r="I109" s="498" t="e">
        <f t="shared" si="71"/>
        <v>#DIV/0!</v>
      </c>
      <c r="J109" s="498" t="e">
        <f t="shared" si="71"/>
        <v>#DIV/0!</v>
      </c>
      <c r="K109" s="499" t="e">
        <f t="shared" si="71"/>
        <v>#DIV/0!</v>
      </c>
      <c r="L109" s="634"/>
      <c r="M109" s="498" t="e">
        <f>RANK(K109, K$67:$K$81)</f>
        <v>#DIV/0!</v>
      </c>
      <c r="N109" s="652"/>
      <c r="O109" s="652"/>
      <c r="P109" s="497"/>
      <c r="Q109" s="498"/>
      <c r="R109" s="498"/>
      <c r="S109" s="497" t="e">
        <f t="shared" si="72"/>
        <v>#N/A</v>
      </c>
      <c r="T109" s="699"/>
      <c r="U109" s="519"/>
      <c r="V109" s="522"/>
      <c r="W109" s="522"/>
      <c r="X109" s="497" t="e">
        <f t="shared" si="73"/>
        <v>#N/A</v>
      </c>
      <c r="Y109" s="699"/>
      <c r="Z109" s="519"/>
      <c r="AA109" s="522"/>
      <c r="AB109" s="522"/>
      <c r="AC109" s="497" t="e">
        <f t="shared" si="74"/>
        <v>#N/A</v>
      </c>
      <c r="AD109" s="699"/>
      <c r="AE109" s="519"/>
      <c r="AF109" s="522"/>
      <c r="AG109" s="522"/>
      <c r="AH109" s="497" t="e">
        <f t="shared" si="75"/>
        <v>#N/A</v>
      </c>
      <c r="AI109" s="699"/>
      <c r="AJ109" s="519"/>
      <c r="AK109" s="522"/>
      <c r="AL109" s="522"/>
      <c r="AM109" s="497" t="e">
        <f t="shared" si="76"/>
        <v>#N/A</v>
      </c>
      <c r="AN109" s="699"/>
      <c r="AO109" s="519"/>
      <c r="AP109" s="522"/>
      <c r="AQ109" s="522"/>
      <c r="AR109" s="497" t="e">
        <f t="shared" si="77"/>
        <v>#N/A</v>
      </c>
      <c r="AS109" s="699"/>
      <c r="AT109" s="514"/>
      <c r="AU109" s="515"/>
      <c r="AV109" s="515"/>
      <c r="AW109" s="497" t="e">
        <f t="shared" si="78"/>
        <v>#N/A</v>
      </c>
      <c r="AX109" s="699"/>
    </row>
    <row r="110" spans="2:50">
      <c r="B110" s="685"/>
      <c r="C110" s="497">
        <v>4</v>
      </c>
      <c r="D110" s="227"/>
      <c r="E110" s="182"/>
      <c r="F110" s="514"/>
      <c r="G110" s="515"/>
      <c r="H110" s="725"/>
      <c r="I110" s="498" t="e">
        <f t="shared" si="71"/>
        <v>#DIV/0!</v>
      </c>
      <c r="J110" s="498" t="e">
        <f t="shared" si="71"/>
        <v>#DIV/0!</v>
      </c>
      <c r="K110" s="499" t="e">
        <f t="shared" si="71"/>
        <v>#DIV/0!</v>
      </c>
      <c r="L110" s="634"/>
      <c r="M110" s="498" t="e">
        <f>RANK(K110, K$67:$K$81)</f>
        <v>#DIV/0!</v>
      </c>
      <c r="N110" s="652"/>
      <c r="O110" s="652"/>
      <c r="P110" s="497"/>
      <c r="Q110" s="498"/>
      <c r="R110" s="498"/>
      <c r="S110" s="497" t="e">
        <f t="shared" si="72"/>
        <v>#N/A</v>
      </c>
      <c r="T110" s="699"/>
      <c r="U110" s="519"/>
      <c r="V110" s="522"/>
      <c r="W110" s="522"/>
      <c r="X110" s="497" t="e">
        <f t="shared" si="73"/>
        <v>#N/A</v>
      </c>
      <c r="Y110" s="699"/>
      <c r="Z110" s="519"/>
      <c r="AA110" s="522"/>
      <c r="AB110" s="522"/>
      <c r="AC110" s="497" t="e">
        <f t="shared" si="74"/>
        <v>#N/A</v>
      </c>
      <c r="AD110" s="699"/>
      <c r="AE110" s="519"/>
      <c r="AF110" s="522"/>
      <c r="AG110" s="522"/>
      <c r="AH110" s="497" t="e">
        <f t="shared" si="75"/>
        <v>#N/A</v>
      </c>
      <c r="AI110" s="699"/>
      <c r="AJ110" s="519"/>
      <c r="AK110" s="522"/>
      <c r="AL110" s="522"/>
      <c r="AM110" s="497" t="e">
        <f t="shared" si="76"/>
        <v>#N/A</v>
      </c>
      <c r="AN110" s="699"/>
      <c r="AO110" s="519"/>
      <c r="AP110" s="522"/>
      <c r="AQ110" s="522"/>
      <c r="AR110" s="497" t="e">
        <f t="shared" si="77"/>
        <v>#N/A</v>
      </c>
      <c r="AS110" s="699"/>
      <c r="AT110" s="514"/>
      <c r="AU110" s="515"/>
      <c r="AV110" s="515"/>
      <c r="AW110" s="497" t="e">
        <f t="shared" si="78"/>
        <v>#N/A</v>
      </c>
      <c r="AX110" s="699"/>
    </row>
    <row r="111" spans="2:50">
      <c r="B111" s="685"/>
      <c r="C111" s="497">
        <v>5</v>
      </c>
      <c r="D111" s="227"/>
      <c r="E111" s="182"/>
      <c r="F111" s="514"/>
      <c r="G111" s="515"/>
      <c r="H111" s="725"/>
      <c r="I111" s="498" t="e">
        <f t="shared" si="71"/>
        <v>#DIV/0!</v>
      </c>
      <c r="J111" s="498" t="e">
        <f t="shared" si="71"/>
        <v>#DIV/0!</v>
      </c>
      <c r="K111" s="499" t="e">
        <f t="shared" si="71"/>
        <v>#DIV/0!</v>
      </c>
      <c r="L111" s="634"/>
      <c r="M111" s="498" t="e">
        <f>RANK(K111, K$67:$K$81)</f>
        <v>#DIV/0!</v>
      </c>
      <c r="N111" s="652"/>
      <c r="O111" s="652"/>
      <c r="P111" s="497"/>
      <c r="Q111" s="498"/>
      <c r="R111" s="498"/>
      <c r="S111" s="497" t="e">
        <f t="shared" si="72"/>
        <v>#N/A</v>
      </c>
      <c r="T111" s="699"/>
      <c r="U111" s="519"/>
      <c r="V111" s="522"/>
      <c r="W111" s="522"/>
      <c r="X111" s="497" t="e">
        <f t="shared" si="73"/>
        <v>#N/A</v>
      </c>
      <c r="Y111" s="699"/>
      <c r="Z111" s="519"/>
      <c r="AA111" s="522"/>
      <c r="AB111" s="522"/>
      <c r="AC111" s="497" t="e">
        <f t="shared" si="74"/>
        <v>#N/A</v>
      </c>
      <c r="AD111" s="699"/>
      <c r="AE111" s="519"/>
      <c r="AF111" s="522"/>
      <c r="AG111" s="522"/>
      <c r="AH111" s="497" t="e">
        <f t="shared" si="75"/>
        <v>#N/A</v>
      </c>
      <c r="AI111" s="699"/>
      <c r="AJ111" s="519"/>
      <c r="AK111" s="522"/>
      <c r="AL111" s="522"/>
      <c r="AM111" s="497" t="e">
        <f t="shared" si="76"/>
        <v>#N/A</v>
      </c>
      <c r="AN111" s="699"/>
      <c r="AO111" s="519"/>
      <c r="AP111" s="522"/>
      <c r="AQ111" s="522"/>
      <c r="AR111" s="497" t="e">
        <f t="shared" si="77"/>
        <v>#N/A</v>
      </c>
      <c r="AS111" s="699"/>
      <c r="AT111" s="514"/>
      <c r="AU111" s="515"/>
      <c r="AV111" s="515"/>
      <c r="AW111" s="497" t="e">
        <f t="shared" si="78"/>
        <v>#N/A</v>
      </c>
      <c r="AX111" s="699"/>
    </row>
    <row r="112" spans="2:50">
      <c r="B112" s="685"/>
      <c r="C112" s="497">
        <v>6</v>
      </c>
      <c r="D112" s="227"/>
      <c r="E112" s="182"/>
      <c r="F112" s="514"/>
      <c r="G112" s="515"/>
      <c r="H112" s="725"/>
      <c r="I112" s="498"/>
      <c r="J112" s="498"/>
      <c r="K112" s="499"/>
      <c r="L112" s="634"/>
      <c r="M112" s="498" t="e">
        <f>RANK(K112, K$67:$K$81)</f>
        <v>#DIV/0!</v>
      </c>
      <c r="N112" s="652"/>
      <c r="O112" s="652"/>
      <c r="P112" s="497"/>
      <c r="Q112" s="498"/>
      <c r="R112" s="498"/>
      <c r="S112" s="497" t="e">
        <f t="shared" si="72"/>
        <v>#N/A</v>
      </c>
      <c r="T112" s="699"/>
      <c r="U112" s="519"/>
      <c r="V112" s="522"/>
      <c r="W112" s="522"/>
      <c r="X112" s="497" t="e">
        <f t="shared" si="73"/>
        <v>#N/A</v>
      </c>
      <c r="Y112" s="699"/>
      <c r="Z112" s="519"/>
      <c r="AA112" s="522"/>
      <c r="AB112" s="522"/>
      <c r="AC112" s="497" t="e">
        <f t="shared" si="74"/>
        <v>#N/A</v>
      </c>
      <c r="AD112" s="699"/>
      <c r="AE112" s="519"/>
      <c r="AF112" s="522"/>
      <c r="AG112" s="522"/>
      <c r="AH112" s="497" t="e">
        <f t="shared" si="75"/>
        <v>#N/A</v>
      </c>
      <c r="AI112" s="699"/>
      <c r="AJ112" s="519"/>
      <c r="AK112" s="522"/>
      <c r="AL112" s="522"/>
      <c r="AM112" s="497" t="e">
        <f t="shared" si="76"/>
        <v>#N/A</v>
      </c>
      <c r="AN112" s="699"/>
      <c r="AO112" s="519"/>
      <c r="AP112" s="522"/>
      <c r="AQ112" s="522"/>
      <c r="AR112" s="497" t="e">
        <f t="shared" si="77"/>
        <v>#N/A</v>
      </c>
      <c r="AS112" s="699"/>
      <c r="AT112" s="514"/>
      <c r="AU112" s="515"/>
      <c r="AV112" s="515"/>
      <c r="AW112" s="497" t="e">
        <f t="shared" si="78"/>
        <v>#N/A</v>
      </c>
      <c r="AX112" s="699"/>
    </row>
    <row r="113" spans="2:50">
      <c r="B113" s="685"/>
      <c r="C113" s="497">
        <v>7</v>
      </c>
      <c r="D113" s="227"/>
      <c r="E113" s="182"/>
      <c r="F113" s="514"/>
      <c r="G113" s="515"/>
      <c r="H113" s="725"/>
      <c r="I113" s="498"/>
      <c r="J113" s="498"/>
      <c r="K113" s="499"/>
      <c r="L113" s="634"/>
      <c r="M113" s="498" t="e">
        <f>RANK(K113, K$67:$K$81)</f>
        <v>#DIV/0!</v>
      </c>
      <c r="N113" s="652"/>
      <c r="O113" s="652"/>
      <c r="P113" s="497"/>
      <c r="Q113" s="498"/>
      <c r="R113" s="498"/>
      <c r="S113" s="497" t="e">
        <f t="shared" si="72"/>
        <v>#N/A</v>
      </c>
      <c r="T113" s="699"/>
      <c r="U113" s="519"/>
      <c r="V113" s="522"/>
      <c r="W113" s="522"/>
      <c r="X113" s="497" t="e">
        <f t="shared" si="73"/>
        <v>#N/A</v>
      </c>
      <c r="Y113" s="699"/>
      <c r="Z113" s="519"/>
      <c r="AA113" s="522"/>
      <c r="AB113" s="522"/>
      <c r="AC113" s="497" t="e">
        <f t="shared" si="74"/>
        <v>#N/A</v>
      </c>
      <c r="AD113" s="699"/>
      <c r="AE113" s="519"/>
      <c r="AF113" s="522"/>
      <c r="AG113" s="522"/>
      <c r="AH113" s="497" t="e">
        <f t="shared" si="75"/>
        <v>#N/A</v>
      </c>
      <c r="AI113" s="699"/>
      <c r="AJ113" s="519"/>
      <c r="AK113" s="522"/>
      <c r="AL113" s="522"/>
      <c r="AM113" s="497" t="e">
        <f t="shared" si="76"/>
        <v>#N/A</v>
      </c>
      <c r="AN113" s="699"/>
      <c r="AO113" s="519"/>
      <c r="AP113" s="522"/>
      <c r="AQ113" s="522"/>
      <c r="AR113" s="497" t="e">
        <f t="shared" si="77"/>
        <v>#N/A</v>
      </c>
      <c r="AS113" s="699"/>
      <c r="AT113" s="514"/>
      <c r="AU113" s="515"/>
      <c r="AV113" s="515"/>
      <c r="AW113" s="497" t="e">
        <f t="shared" si="78"/>
        <v>#N/A</v>
      </c>
      <c r="AX113" s="699"/>
    </row>
    <row r="114" spans="2:50">
      <c r="B114" s="685"/>
      <c r="C114" s="497">
        <v>8</v>
      </c>
      <c r="D114" s="227"/>
      <c r="E114" s="182"/>
      <c r="F114" s="514"/>
      <c r="G114" s="515"/>
      <c r="H114" s="725"/>
      <c r="I114" s="498"/>
      <c r="J114" s="498"/>
      <c r="K114" s="499"/>
      <c r="L114" s="634"/>
      <c r="M114" s="498" t="e">
        <f>RANK(K114, K$67:$K$81)</f>
        <v>#DIV/0!</v>
      </c>
      <c r="N114" s="652"/>
      <c r="O114" s="652"/>
      <c r="P114" s="497"/>
      <c r="Q114" s="498"/>
      <c r="R114" s="498"/>
      <c r="S114" s="497" t="e">
        <f t="shared" si="72"/>
        <v>#N/A</v>
      </c>
      <c r="T114" s="699"/>
      <c r="U114" s="519"/>
      <c r="V114" s="522"/>
      <c r="W114" s="522"/>
      <c r="X114" s="497" t="e">
        <f t="shared" si="73"/>
        <v>#N/A</v>
      </c>
      <c r="Y114" s="699"/>
      <c r="Z114" s="519"/>
      <c r="AA114" s="522"/>
      <c r="AB114" s="522"/>
      <c r="AC114" s="497" t="e">
        <f t="shared" si="74"/>
        <v>#N/A</v>
      </c>
      <c r="AD114" s="699"/>
      <c r="AE114" s="519"/>
      <c r="AF114" s="522"/>
      <c r="AG114" s="522"/>
      <c r="AH114" s="497" t="e">
        <f t="shared" si="75"/>
        <v>#N/A</v>
      </c>
      <c r="AI114" s="699"/>
      <c r="AJ114" s="519"/>
      <c r="AK114" s="522"/>
      <c r="AL114" s="522"/>
      <c r="AM114" s="497" t="e">
        <f t="shared" si="76"/>
        <v>#N/A</v>
      </c>
      <c r="AN114" s="699"/>
      <c r="AO114" s="519"/>
      <c r="AP114" s="522"/>
      <c r="AQ114" s="522"/>
      <c r="AR114" s="497" t="e">
        <f t="shared" si="77"/>
        <v>#N/A</v>
      </c>
      <c r="AS114" s="699"/>
      <c r="AT114" s="514"/>
      <c r="AU114" s="515"/>
      <c r="AV114" s="515"/>
      <c r="AW114" s="497" t="e">
        <f t="shared" si="78"/>
        <v>#N/A</v>
      </c>
      <c r="AX114" s="699"/>
    </row>
    <row r="115" spans="2:50">
      <c r="B115" s="685"/>
      <c r="C115" s="497">
        <v>9</v>
      </c>
      <c r="D115" s="227"/>
      <c r="E115" s="182"/>
      <c r="F115" s="514"/>
      <c r="G115" s="515"/>
      <c r="H115" s="725"/>
      <c r="I115" s="498"/>
      <c r="J115" s="498"/>
      <c r="K115" s="499"/>
      <c r="L115" s="634"/>
      <c r="M115" s="498" t="e">
        <f>RANK(K115, K$67:$K$81)</f>
        <v>#DIV/0!</v>
      </c>
      <c r="N115" s="652"/>
      <c r="O115" s="652"/>
      <c r="P115" s="497"/>
      <c r="Q115" s="498"/>
      <c r="R115" s="498"/>
      <c r="S115" s="497" t="e">
        <f t="shared" si="72"/>
        <v>#N/A</v>
      </c>
      <c r="T115" s="699"/>
      <c r="U115" s="519"/>
      <c r="V115" s="522"/>
      <c r="W115" s="522"/>
      <c r="X115" s="497" t="e">
        <f t="shared" si="73"/>
        <v>#N/A</v>
      </c>
      <c r="Y115" s="699"/>
      <c r="Z115" s="519"/>
      <c r="AA115" s="522"/>
      <c r="AB115" s="522"/>
      <c r="AC115" s="497" t="e">
        <f t="shared" si="74"/>
        <v>#N/A</v>
      </c>
      <c r="AD115" s="699"/>
      <c r="AE115" s="519"/>
      <c r="AF115" s="522"/>
      <c r="AG115" s="522"/>
      <c r="AH115" s="497" t="e">
        <f t="shared" si="75"/>
        <v>#N/A</v>
      </c>
      <c r="AI115" s="699"/>
      <c r="AJ115" s="519"/>
      <c r="AK115" s="522"/>
      <c r="AL115" s="522"/>
      <c r="AM115" s="497" t="e">
        <f t="shared" si="76"/>
        <v>#N/A</v>
      </c>
      <c r="AN115" s="699"/>
      <c r="AO115" s="519"/>
      <c r="AP115" s="522"/>
      <c r="AQ115" s="522"/>
      <c r="AR115" s="497" t="e">
        <f t="shared" si="77"/>
        <v>#N/A</v>
      </c>
      <c r="AS115" s="699"/>
      <c r="AT115" s="514"/>
      <c r="AU115" s="515"/>
      <c r="AV115" s="515"/>
      <c r="AW115" s="497" t="e">
        <f t="shared" si="78"/>
        <v>#N/A</v>
      </c>
      <c r="AX115" s="699"/>
    </row>
    <row r="116" spans="2:50">
      <c r="B116" s="685"/>
      <c r="C116" s="497">
        <v>10</v>
      </c>
      <c r="D116" s="227"/>
      <c r="E116" s="182"/>
      <c r="F116" s="514"/>
      <c r="G116" s="515"/>
      <c r="H116" s="725"/>
      <c r="I116" s="498"/>
      <c r="J116" s="498"/>
      <c r="K116" s="499"/>
      <c r="L116" s="634"/>
      <c r="M116" s="498" t="e">
        <f>RANK(K116, K$67:$K$81)</f>
        <v>#DIV/0!</v>
      </c>
      <c r="N116" s="652"/>
      <c r="O116" s="652"/>
      <c r="P116" s="497"/>
      <c r="Q116" s="498"/>
      <c r="R116" s="498"/>
      <c r="S116" s="497" t="e">
        <f t="shared" si="72"/>
        <v>#N/A</v>
      </c>
      <c r="T116" s="699"/>
      <c r="U116" s="519"/>
      <c r="V116" s="522"/>
      <c r="W116" s="522"/>
      <c r="X116" s="497" t="e">
        <f t="shared" si="73"/>
        <v>#N/A</v>
      </c>
      <c r="Y116" s="699"/>
      <c r="Z116" s="519"/>
      <c r="AA116" s="522"/>
      <c r="AB116" s="522"/>
      <c r="AC116" s="497" t="e">
        <f t="shared" si="74"/>
        <v>#N/A</v>
      </c>
      <c r="AD116" s="699"/>
      <c r="AE116" s="519"/>
      <c r="AF116" s="522"/>
      <c r="AG116" s="522"/>
      <c r="AH116" s="497" t="e">
        <f t="shared" si="75"/>
        <v>#N/A</v>
      </c>
      <c r="AI116" s="699"/>
      <c r="AJ116" s="519"/>
      <c r="AK116" s="522"/>
      <c r="AL116" s="522"/>
      <c r="AM116" s="497" t="e">
        <f t="shared" si="76"/>
        <v>#N/A</v>
      </c>
      <c r="AN116" s="699"/>
      <c r="AO116" s="519"/>
      <c r="AP116" s="522"/>
      <c r="AQ116" s="522"/>
      <c r="AR116" s="497" t="e">
        <f t="shared" si="77"/>
        <v>#N/A</v>
      </c>
      <c r="AS116" s="699"/>
      <c r="AT116" s="514"/>
      <c r="AU116" s="514"/>
      <c r="AV116" s="515"/>
      <c r="AW116" s="497" t="e">
        <f t="shared" si="78"/>
        <v>#N/A</v>
      </c>
      <c r="AX116" s="699"/>
    </row>
    <row r="117" spans="2:50">
      <c r="B117" s="685"/>
      <c r="C117" s="497">
        <v>11</v>
      </c>
      <c r="D117" s="227"/>
      <c r="E117" s="182"/>
      <c r="F117" s="514"/>
      <c r="G117" s="515"/>
      <c r="H117" s="725"/>
      <c r="I117" s="497"/>
      <c r="J117" s="497"/>
      <c r="K117" s="497"/>
      <c r="L117" s="634"/>
      <c r="M117" s="498" t="e">
        <f>RANK(K117, K$67:$K$81)</f>
        <v>#DIV/0!</v>
      </c>
      <c r="N117" s="652"/>
      <c r="O117" s="652"/>
      <c r="P117" s="497"/>
      <c r="Q117" s="498"/>
      <c r="R117" s="498"/>
      <c r="S117" s="497" t="e">
        <f t="shared" si="72"/>
        <v>#N/A</v>
      </c>
      <c r="T117" s="699"/>
      <c r="U117" s="519"/>
      <c r="V117" s="522"/>
      <c r="W117" s="522"/>
      <c r="X117" s="497" t="e">
        <f t="shared" si="73"/>
        <v>#N/A</v>
      </c>
      <c r="Y117" s="699"/>
      <c r="Z117" s="519"/>
      <c r="AA117" s="522"/>
      <c r="AB117" s="522"/>
      <c r="AC117" s="497" t="e">
        <f t="shared" si="74"/>
        <v>#N/A</v>
      </c>
      <c r="AD117" s="699"/>
      <c r="AE117" s="519"/>
      <c r="AF117" s="522"/>
      <c r="AG117" s="522"/>
      <c r="AH117" s="497" t="e">
        <f t="shared" si="75"/>
        <v>#N/A</v>
      </c>
      <c r="AI117" s="699"/>
      <c r="AJ117" s="519"/>
      <c r="AK117" s="522"/>
      <c r="AL117" s="522"/>
      <c r="AM117" s="497" t="e">
        <f t="shared" si="76"/>
        <v>#N/A</v>
      </c>
      <c r="AN117" s="699"/>
      <c r="AO117" s="519"/>
      <c r="AP117" s="522"/>
      <c r="AQ117" s="522"/>
      <c r="AR117" s="497" t="e">
        <f t="shared" si="77"/>
        <v>#N/A</v>
      </c>
      <c r="AS117" s="699"/>
      <c r="AT117" s="514"/>
      <c r="AU117" s="514"/>
      <c r="AV117" s="514"/>
      <c r="AW117" s="497" t="e">
        <f t="shared" si="78"/>
        <v>#N/A</v>
      </c>
      <c r="AX117" s="699"/>
    </row>
    <row r="118" spans="2:50">
      <c r="B118" s="685"/>
      <c r="C118" s="497">
        <v>12</v>
      </c>
      <c r="D118" s="227"/>
      <c r="E118" s="182"/>
      <c r="F118" s="514"/>
      <c r="G118" s="515"/>
      <c r="H118" s="725"/>
      <c r="I118" s="497"/>
      <c r="J118" s="497"/>
      <c r="K118" s="497"/>
      <c r="L118" s="634"/>
      <c r="M118" s="498" t="e">
        <f>RANK(K118, K$67:$K$81)</f>
        <v>#DIV/0!</v>
      </c>
      <c r="N118" s="652"/>
      <c r="O118" s="652"/>
      <c r="P118" s="497"/>
      <c r="Q118" s="498"/>
      <c r="R118" s="498"/>
      <c r="S118" s="497" t="e">
        <f t="shared" si="72"/>
        <v>#N/A</v>
      </c>
      <c r="T118" s="699"/>
      <c r="U118" s="519"/>
      <c r="V118" s="522"/>
      <c r="W118" s="522"/>
      <c r="X118" s="497" t="e">
        <f t="shared" si="73"/>
        <v>#N/A</v>
      </c>
      <c r="Y118" s="699"/>
      <c r="Z118" s="519"/>
      <c r="AA118" s="522"/>
      <c r="AB118" s="522"/>
      <c r="AC118" s="497" t="e">
        <f t="shared" si="74"/>
        <v>#N/A</v>
      </c>
      <c r="AD118" s="699"/>
      <c r="AE118" s="519"/>
      <c r="AF118" s="522"/>
      <c r="AG118" s="522"/>
      <c r="AH118" s="497" t="e">
        <f t="shared" si="75"/>
        <v>#N/A</v>
      </c>
      <c r="AI118" s="699"/>
      <c r="AJ118" s="519"/>
      <c r="AK118" s="522"/>
      <c r="AL118" s="522"/>
      <c r="AM118" s="497" t="e">
        <f t="shared" si="76"/>
        <v>#N/A</v>
      </c>
      <c r="AN118" s="699"/>
      <c r="AO118" s="519"/>
      <c r="AP118" s="522"/>
      <c r="AQ118" s="522"/>
      <c r="AR118" s="497" t="e">
        <f t="shared" si="77"/>
        <v>#N/A</v>
      </c>
      <c r="AS118" s="699"/>
      <c r="AT118" s="514"/>
      <c r="AU118" s="514"/>
      <c r="AV118" s="514"/>
      <c r="AW118" s="497" t="e">
        <f t="shared" si="78"/>
        <v>#N/A</v>
      </c>
      <c r="AX118" s="699"/>
    </row>
    <row r="119" spans="2:50">
      <c r="B119" s="685"/>
      <c r="C119" s="497">
        <v>13</v>
      </c>
      <c r="D119" s="227"/>
      <c r="E119" s="182"/>
      <c r="F119" s="514"/>
      <c r="G119" s="515"/>
      <c r="H119" s="725"/>
      <c r="I119" s="497"/>
      <c r="J119" s="497"/>
      <c r="K119" s="497"/>
      <c r="L119" s="634"/>
      <c r="M119" s="498" t="e">
        <f>RANK(K119, K$67:$K$81)</f>
        <v>#DIV/0!</v>
      </c>
      <c r="N119" s="652"/>
      <c r="O119" s="652"/>
      <c r="P119" s="497"/>
      <c r="Q119" s="498"/>
      <c r="R119" s="498"/>
      <c r="S119" s="497" t="e">
        <f t="shared" si="72"/>
        <v>#N/A</v>
      </c>
      <c r="T119" s="699"/>
      <c r="U119" s="519"/>
      <c r="V119" s="522"/>
      <c r="W119" s="522"/>
      <c r="X119" s="497" t="e">
        <f t="shared" si="73"/>
        <v>#N/A</v>
      </c>
      <c r="Y119" s="699"/>
      <c r="Z119" s="519"/>
      <c r="AA119" s="522"/>
      <c r="AB119" s="522"/>
      <c r="AC119" s="497" t="e">
        <f t="shared" si="74"/>
        <v>#N/A</v>
      </c>
      <c r="AD119" s="699"/>
      <c r="AE119" s="519"/>
      <c r="AF119" s="522"/>
      <c r="AG119" s="522"/>
      <c r="AH119" s="497" t="e">
        <f t="shared" si="75"/>
        <v>#N/A</v>
      </c>
      <c r="AI119" s="699"/>
      <c r="AJ119" s="519"/>
      <c r="AK119" s="522"/>
      <c r="AL119" s="522"/>
      <c r="AM119" s="497" t="e">
        <f t="shared" si="76"/>
        <v>#N/A</v>
      </c>
      <c r="AN119" s="699"/>
      <c r="AO119" s="519"/>
      <c r="AP119" s="522"/>
      <c r="AQ119" s="522"/>
      <c r="AR119" s="497" t="e">
        <f t="shared" si="77"/>
        <v>#N/A</v>
      </c>
      <c r="AS119" s="699"/>
      <c r="AT119" s="514"/>
      <c r="AU119" s="514"/>
      <c r="AV119" s="514"/>
      <c r="AW119" s="497" t="e">
        <f t="shared" si="78"/>
        <v>#N/A</v>
      </c>
      <c r="AX119" s="699"/>
    </row>
    <row r="120" spans="2:50">
      <c r="B120" s="685"/>
      <c r="C120" s="497">
        <v>14</v>
      </c>
      <c r="D120" s="227"/>
      <c r="E120" s="182"/>
      <c r="F120" s="514"/>
      <c r="G120" s="515"/>
      <c r="H120" s="725"/>
      <c r="I120" s="497"/>
      <c r="J120" s="497"/>
      <c r="K120" s="497"/>
      <c r="L120" s="634"/>
      <c r="M120" s="498" t="e">
        <f>RANK(K120, K$67:$K$81)</f>
        <v>#DIV/0!</v>
      </c>
      <c r="N120" s="652"/>
      <c r="O120" s="652"/>
      <c r="P120" s="497"/>
      <c r="Q120" s="498"/>
      <c r="R120" s="498"/>
      <c r="S120" s="497" t="e">
        <f t="shared" si="72"/>
        <v>#N/A</v>
      </c>
      <c r="T120" s="699"/>
      <c r="U120" s="519"/>
      <c r="V120" s="522"/>
      <c r="W120" s="522"/>
      <c r="X120" s="497" t="e">
        <f t="shared" si="73"/>
        <v>#N/A</v>
      </c>
      <c r="Y120" s="699"/>
      <c r="Z120" s="519"/>
      <c r="AA120" s="522"/>
      <c r="AB120" s="522"/>
      <c r="AC120" s="497" t="e">
        <f t="shared" si="74"/>
        <v>#N/A</v>
      </c>
      <c r="AD120" s="699"/>
      <c r="AE120" s="519"/>
      <c r="AF120" s="522"/>
      <c r="AG120" s="522"/>
      <c r="AH120" s="497" t="e">
        <f t="shared" si="75"/>
        <v>#N/A</v>
      </c>
      <c r="AI120" s="699"/>
      <c r="AJ120" s="519"/>
      <c r="AK120" s="522"/>
      <c r="AL120" s="522"/>
      <c r="AM120" s="497" t="e">
        <f t="shared" si="76"/>
        <v>#N/A</v>
      </c>
      <c r="AN120" s="699"/>
      <c r="AO120" s="519"/>
      <c r="AP120" s="522"/>
      <c r="AQ120" s="522"/>
      <c r="AR120" s="497" t="e">
        <f t="shared" si="77"/>
        <v>#N/A</v>
      </c>
      <c r="AS120" s="699"/>
      <c r="AT120" s="514"/>
      <c r="AU120" s="514"/>
      <c r="AV120" s="514"/>
      <c r="AW120" s="497" t="e">
        <f t="shared" si="78"/>
        <v>#N/A</v>
      </c>
      <c r="AX120" s="699"/>
    </row>
    <row r="121" spans="2:50">
      <c r="B121" s="685"/>
      <c r="C121" s="497">
        <v>15</v>
      </c>
      <c r="D121" s="227"/>
      <c r="E121" s="182"/>
      <c r="F121" s="514"/>
      <c r="G121" s="515"/>
      <c r="H121" s="726"/>
      <c r="I121" s="497"/>
      <c r="J121" s="497"/>
      <c r="K121" s="497"/>
      <c r="L121" s="635"/>
      <c r="M121" s="498" t="e">
        <f>RANK(K121, K$47:$K$61)</f>
        <v>#N/A</v>
      </c>
      <c r="N121" s="652"/>
      <c r="O121" s="652"/>
      <c r="P121" s="497"/>
      <c r="Q121" s="498"/>
      <c r="R121" s="498"/>
      <c r="S121" s="497" t="e">
        <f t="shared" si="72"/>
        <v>#N/A</v>
      </c>
      <c r="T121" s="699"/>
      <c r="U121" s="519"/>
      <c r="V121" s="522"/>
      <c r="W121" s="522"/>
      <c r="X121" s="497" t="e">
        <f t="shared" si="73"/>
        <v>#N/A</v>
      </c>
      <c r="Y121" s="699"/>
      <c r="Z121" s="519"/>
      <c r="AA121" s="522"/>
      <c r="AB121" s="522"/>
      <c r="AC121" s="497" t="e">
        <f t="shared" si="74"/>
        <v>#N/A</v>
      </c>
      <c r="AD121" s="699"/>
      <c r="AE121" s="519"/>
      <c r="AF121" s="522"/>
      <c r="AG121" s="522"/>
      <c r="AH121" s="497" t="e">
        <f t="shared" si="75"/>
        <v>#N/A</v>
      </c>
      <c r="AI121" s="699"/>
      <c r="AJ121" s="519"/>
      <c r="AK121" s="522"/>
      <c r="AL121" s="522"/>
      <c r="AM121" s="497" t="e">
        <f t="shared" si="76"/>
        <v>#N/A</v>
      </c>
      <c r="AN121" s="699"/>
      <c r="AO121" s="519"/>
      <c r="AP121" s="522"/>
      <c r="AQ121" s="522"/>
      <c r="AR121" s="497" t="e">
        <f t="shared" si="77"/>
        <v>#N/A</v>
      </c>
      <c r="AS121" s="699"/>
      <c r="AT121" s="514"/>
      <c r="AU121" s="514"/>
      <c r="AV121" s="514"/>
      <c r="AW121" s="497" t="e">
        <f t="shared" si="78"/>
        <v>#N/A</v>
      </c>
      <c r="AX121" s="699"/>
    </row>
    <row r="123" spans="2:50" ht="15.75">
      <c r="B123" s="691" t="s">
        <v>674</v>
      </c>
      <c r="C123" s="692"/>
      <c r="D123" s="692"/>
      <c r="E123" s="692"/>
      <c r="F123" s="692"/>
      <c r="G123" s="692"/>
      <c r="H123" s="693"/>
      <c r="I123" s="348"/>
      <c r="J123" s="348"/>
      <c r="K123" s="348"/>
      <c r="L123" s="348"/>
      <c r="M123" s="349"/>
    </row>
    <row r="124" spans="2:50" ht="15.75">
      <c r="B124" s="694"/>
      <c r="C124" s="694"/>
      <c r="D124" s="694"/>
      <c r="E124" s="694"/>
      <c r="F124" s="694"/>
      <c r="G124" s="694"/>
      <c r="H124" s="694"/>
      <c r="I124" s="350"/>
      <c r="J124" s="350"/>
      <c r="K124" s="350"/>
      <c r="L124" s="350"/>
      <c r="M124" s="351"/>
    </row>
    <row r="125" spans="2:50">
      <c r="B125" s="652" t="s">
        <v>675</v>
      </c>
      <c r="C125" s="652" t="s">
        <v>676</v>
      </c>
      <c r="D125" s="652"/>
      <c r="E125" s="652" t="s">
        <v>677</v>
      </c>
      <c r="F125" s="652"/>
      <c r="G125" s="652"/>
      <c r="H125" s="668" t="s">
        <v>678</v>
      </c>
      <c r="I125" s="695" t="s">
        <v>679</v>
      </c>
      <c r="J125" s="695"/>
      <c r="K125" s="695"/>
      <c r="L125" s="716" t="s">
        <v>678</v>
      </c>
      <c r="M125" s="719" t="s">
        <v>680</v>
      </c>
    </row>
    <row r="126" spans="2:50">
      <c r="B126" s="652"/>
      <c r="C126" s="652"/>
      <c r="D126" s="652"/>
      <c r="E126" s="652" t="s">
        <v>681</v>
      </c>
      <c r="F126" s="652"/>
      <c r="G126" s="652"/>
      <c r="H126" s="669"/>
      <c r="I126" s="695" t="s">
        <v>681</v>
      </c>
      <c r="J126" s="695"/>
      <c r="K126" s="695"/>
      <c r="L126" s="717"/>
      <c r="M126" s="720"/>
    </row>
    <row r="127" spans="2:50">
      <c r="B127" s="652"/>
      <c r="C127" s="652"/>
      <c r="D127" s="652"/>
      <c r="E127" s="345" t="s">
        <v>682</v>
      </c>
      <c r="F127" s="345" t="s">
        <v>683</v>
      </c>
      <c r="G127" s="345" t="s">
        <v>684</v>
      </c>
      <c r="H127" s="670"/>
      <c r="I127" s="352" t="s">
        <v>682</v>
      </c>
      <c r="J127" s="352" t="s">
        <v>683</v>
      </c>
      <c r="K127" s="352" t="s">
        <v>684</v>
      </c>
      <c r="L127" s="718"/>
      <c r="M127" s="721"/>
    </row>
    <row r="128" spans="2:50">
      <c r="B128" s="652" t="s">
        <v>691</v>
      </c>
      <c r="C128" s="344">
        <v>1</v>
      </c>
      <c r="D128" s="227"/>
      <c r="E128" s="182"/>
      <c r="F128" s="344"/>
      <c r="G128" s="347"/>
      <c r="H128" s="701" t="e">
        <f>AVERAGE(G128:G142)</f>
        <v>#DIV/0!</v>
      </c>
      <c r="I128" s="199" t="e">
        <f t="shared" ref="I128:J132" si="79">AVERAGEIF($D$7:$D$121,$D128,I$7:I$121)</f>
        <v>#DIV/0!</v>
      </c>
      <c r="J128" s="199" t="e">
        <f t="shared" si="79"/>
        <v>#DIV/0!</v>
      </c>
      <c r="K128" s="199" t="e">
        <f>AVERAGEIF($D$7:$D$121,$D128,K$7:K$121)</f>
        <v>#DIV/0!</v>
      </c>
      <c r="L128" s="713" t="e">
        <f>AVERAGE(K128:K142)</f>
        <v>#DIV/0!</v>
      </c>
      <c r="M128" s="199" t="e">
        <f>RANK(K128, K$128:$K$142)</f>
        <v>#DIV/0!</v>
      </c>
    </row>
    <row r="129" spans="2:13">
      <c r="B129" s="660"/>
      <c r="C129" s="344">
        <v>2</v>
      </c>
      <c r="D129" s="227"/>
      <c r="E129" s="182"/>
      <c r="F129" s="344"/>
      <c r="G129" s="347"/>
      <c r="H129" s="702"/>
      <c r="I129" s="199" t="e">
        <f t="shared" si="79"/>
        <v>#DIV/0!</v>
      </c>
      <c r="J129" s="199" t="e">
        <f t="shared" si="79"/>
        <v>#DIV/0!</v>
      </c>
      <c r="K129" s="199" t="e">
        <f>AVERAGEIF($D$7:$D$121,$D129,K$7:K$121)</f>
        <v>#DIV/0!</v>
      </c>
      <c r="L129" s="714"/>
      <c r="M129" s="199" t="e">
        <f>RANK(K129, K$128:$K$142)</f>
        <v>#DIV/0!</v>
      </c>
    </row>
    <row r="130" spans="2:13">
      <c r="B130" s="660"/>
      <c r="C130" s="344">
        <v>3</v>
      </c>
      <c r="D130" s="227"/>
      <c r="E130" s="182"/>
      <c r="F130" s="344"/>
      <c r="G130" s="347"/>
      <c r="H130" s="702"/>
      <c r="I130" s="199" t="e">
        <f t="shared" si="79"/>
        <v>#DIV/0!</v>
      </c>
      <c r="J130" s="199" t="e">
        <f t="shared" si="79"/>
        <v>#DIV/0!</v>
      </c>
      <c r="K130" s="199" t="e">
        <f>AVERAGEIF($D$7:$D$121,$D130,K$7:K$121)</f>
        <v>#DIV/0!</v>
      </c>
      <c r="L130" s="714"/>
      <c r="M130" s="199" t="e">
        <f>RANK(K130, K$128:$K$142)</f>
        <v>#DIV/0!</v>
      </c>
    </row>
    <row r="131" spans="2:13">
      <c r="B131" s="660"/>
      <c r="C131" s="344">
        <v>4</v>
      </c>
      <c r="D131" s="227"/>
      <c r="E131" s="182"/>
      <c r="F131" s="344"/>
      <c r="G131" s="347"/>
      <c r="H131" s="702"/>
      <c r="I131" s="199" t="e">
        <f t="shared" si="79"/>
        <v>#DIV/0!</v>
      </c>
      <c r="J131" s="199" t="e">
        <f t="shared" si="79"/>
        <v>#DIV/0!</v>
      </c>
      <c r="K131" s="199" t="e">
        <f>AVERAGEIF($D$7:$D$121,$D131,K$7:K$121)</f>
        <v>#DIV/0!</v>
      </c>
      <c r="L131" s="714"/>
      <c r="M131" s="199" t="e">
        <f>RANK(K131, K$128:$K$142)</f>
        <v>#DIV/0!</v>
      </c>
    </row>
    <row r="132" spans="2:13">
      <c r="B132" s="660"/>
      <c r="C132" s="344">
        <v>5</v>
      </c>
      <c r="D132" s="227"/>
      <c r="E132" s="182"/>
      <c r="F132" s="344"/>
      <c r="G132" s="347"/>
      <c r="H132" s="702"/>
      <c r="I132" s="199" t="e">
        <f t="shared" si="79"/>
        <v>#DIV/0!</v>
      </c>
      <c r="J132" s="199" t="e">
        <f t="shared" si="79"/>
        <v>#DIV/0!</v>
      </c>
      <c r="K132" s="199" t="e">
        <f>AVERAGEIF($D$7:$D$121,$D132,K$7:K$121)</f>
        <v>#DIV/0!</v>
      </c>
      <c r="L132" s="714"/>
      <c r="M132" s="199" t="e">
        <f>RANK(K132, K$128:$K$142)</f>
        <v>#DIV/0!</v>
      </c>
    </row>
    <row r="133" spans="2:13">
      <c r="B133" s="660"/>
      <c r="C133" s="344">
        <v>6</v>
      </c>
      <c r="D133" s="353"/>
      <c r="E133" s="182"/>
      <c r="F133" s="344"/>
      <c r="G133" s="347"/>
      <c r="H133" s="702"/>
      <c r="I133" s="199"/>
      <c r="J133" s="199"/>
      <c r="K133" s="199"/>
      <c r="L133" s="714"/>
      <c r="M133" s="199" t="e">
        <f>RANK(K133, K$128:$K$142)</f>
        <v>#DIV/0!</v>
      </c>
    </row>
    <row r="134" spans="2:13">
      <c r="B134" s="660"/>
      <c r="C134" s="344">
        <v>7</v>
      </c>
      <c r="D134" s="227"/>
      <c r="E134" s="182"/>
      <c r="F134" s="344"/>
      <c r="G134" s="347"/>
      <c r="H134" s="702"/>
      <c r="I134" s="199"/>
      <c r="J134" s="199"/>
      <c r="K134" s="199"/>
      <c r="L134" s="714"/>
      <c r="M134" s="199" t="e">
        <f>RANK(K134, K$128:$K$142)</f>
        <v>#DIV/0!</v>
      </c>
    </row>
    <row r="135" spans="2:13">
      <c r="B135" s="660"/>
      <c r="C135" s="344">
        <v>8</v>
      </c>
      <c r="D135" s="227"/>
      <c r="E135" s="182"/>
      <c r="F135" s="344"/>
      <c r="G135" s="347"/>
      <c r="H135" s="702"/>
      <c r="I135" s="199"/>
      <c r="J135" s="199"/>
      <c r="K135" s="199"/>
      <c r="L135" s="714"/>
      <c r="M135" s="199" t="e">
        <f>RANK(K135, K$128:$K$142)</f>
        <v>#DIV/0!</v>
      </c>
    </row>
    <row r="136" spans="2:13">
      <c r="B136" s="660"/>
      <c r="C136" s="344">
        <v>9</v>
      </c>
      <c r="D136" s="227"/>
      <c r="E136" s="344"/>
      <c r="F136" s="344"/>
      <c r="G136" s="344"/>
      <c r="H136" s="702"/>
      <c r="I136" s="199"/>
      <c r="J136" s="199"/>
      <c r="K136" s="199"/>
      <c r="L136" s="714"/>
      <c r="M136" s="199" t="e">
        <f>RANK(K136, K$128:$K$142)</f>
        <v>#DIV/0!</v>
      </c>
    </row>
    <row r="137" spans="2:13">
      <c r="B137" s="660"/>
      <c r="C137" s="344">
        <v>10</v>
      </c>
      <c r="D137" s="227"/>
      <c r="E137" s="344"/>
      <c r="F137" s="344"/>
      <c r="G137" s="344"/>
      <c r="H137" s="702"/>
      <c r="I137" s="199"/>
      <c r="J137" s="199"/>
      <c r="K137" s="199"/>
      <c r="L137" s="714"/>
      <c r="M137" s="199" t="e">
        <f>RANK(K137, K$128:$K$142)</f>
        <v>#DIV/0!</v>
      </c>
    </row>
    <row r="138" spans="2:13">
      <c r="B138" s="660"/>
      <c r="C138" s="344">
        <v>11</v>
      </c>
      <c r="D138" s="227"/>
      <c r="E138" s="344"/>
      <c r="F138" s="344"/>
      <c r="G138" s="344"/>
      <c r="H138" s="702"/>
      <c r="I138" s="199"/>
      <c r="J138" s="199"/>
      <c r="K138" s="199"/>
      <c r="L138" s="714"/>
      <c r="M138" s="199" t="e">
        <f>RANK(K138, K$128:$K$142)</f>
        <v>#DIV/0!</v>
      </c>
    </row>
    <row r="139" spans="2:13">
      <c r="B139" s="660"/>
      <c r="C139" s="344">
        <v>12</v>
      </c>
      <c r="D139" s="227"/>
      <c r="E139" s="344"/>
      <c r="F139" s="344"/>
      <c r="G139" s="344"/>
      <c r="H139" s="702"/>
      <c r="I139" s="199"/>
      <c r="J139" s="199"/>
      <c r="K139" s="199"/>
      <c r="L139" s="714"/>
      <c r="M139" s="199" t="e">
        <f>RANK(K139, K$128:$K$142)</f>
        <v>#DIV/0!</v>
      </c>
    </row>
    <row r="140" spans="2:13">
      <c r="B140" s="660"/>
      <c r="C140" s="344">
        <v>13</v>
      </c>
      <c r="D140" s="227"/>
      <c r="E140" s="344"/>
      <c r="F140" s="344"/>
      <c r="G140" s="344"/>
      <c r="H140" s="702"/>
      <c r="I140" s="199"/>
      <c r="J140" s="199"/>
      <c r="K140" s="199"/>
      <c r="L140" s="714"/>
      <c r="M140" s="199" t="e">
        <f>RANK(K140, K$128:$K$142)</f>
        <v>#DIV/0!</v>
      </c>
    </row>
    <row r="141" spans="2:13">
      <c r="B141" s="660"/>
      <c r="C141" s="344">
        <v>14</v>
      </c>
      <c r="D141" s="227"/>
      <c r="E141" s="344"/>
      <c r="F141" s="344"/>
      <c r="G141" s="344"/>
      <c r="H141" s="702"/>
      <c r="I141" s="199"/>
      <c r="J141" s="199"/>
      <c r="K141" s="199"/>
      <c r="L141" s="714"/>
      <c r="M141" s="199" t="e">
        <f>RANK(K141, K$128:$K$142)</f>
        <v>#DIV/0!</v>
      </c>
    </row>
    <row r="142" spans="2:13">
      <c r="B142" s="660"/>
      <c r="C142" s="344">
        <v>15</v>
      </c>
      <c r="D142" s="227"/>
      <c r="E142" s="344"/>
      <c r="F142" s="344"/>
      <c r="G142" s="344"/>
      <c r="H142" s="703"/>
      <c r="I142" s="199"/>
      <c r="J142" s="199"/>
      <c r="K142" s="199"/>
      <c r="L142" s="715"/>
      <c r="M142" s="19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22" zoomScale="55" zoomScaleNormal="55" workbookViewId="0">
      <pane xSplit="15" topLeftCell="Z1" activePane="topRight" state="frozen"/>
      <selection activeCell="P2" sqref="P2:AN2"/>
      <selection pane="topRight" activeCell="BB58" sqref="BB58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22" t="s">
        <v>332</v>
      </c>
      <c r="C1" s="221">
        <f>AVERAGE(L7,L27,L47,L67,L87,L107)</f>
        <v>156.93672872478291</v>
      </c>
    </row>
    <row r="2" spans="1:54" ht="15.75">
      <c r="A2" s="81"/>
      <c r="B2" s="664" t="s">
        <v>163</v>
      </c>
      <c r="C2" s="664"/>
      <c r="D2" s="664"/>
      <c r="E2" s="664"/>
      <c r="F2" s="664"/>
      <c r="G2" s="664"/>
      <c r="H2" s="664"/>
      <c r="I2" s="310"/>
      <c r="J2" s="310"/>
      <c r="K2" s="310"/>
      <c r="L2" s="310"/>
      <c r="M2" s="197"/>
      <c r="N2" s="653" t="s">
        <v>156</v>
      </c>
      <c r="O2" s="653" t="s">
        <v>155</v>
      </c>
      <c r="P2" s="710"/>
      <c r="Q2" s="711"/>
      <c r="R2" s="711"/>
      <c r="S2" s="711"/>
      <c r="T2" s="712"/>
      <c r="U2" s="659"/>
      <c r="V2" s="660"/>
      <c r="W2" s="660"/>
      <c r="X2" s="660"/>
      <c r="Y2" s="660"/>
      <c r="Z2" s="659"/>
      <c r="AA2" s="660"/>
      <c r="AB2" s="660"/>
      <c r="AC2" s="660"/>
      <c r="AD2" s="660"/>
      <c r="AE2" s="659"/>
      <c r="AF2" s="660"/>
      <c r="AG2" s="660"/>
      <c r="AH2" s="660"/>
      <c r="AI2" s="660"/>
      <c r="AJ2" s="659"/>
      <c r="AK2" s="660"/>
      <c r="AL2" s="660"/>
      <c r="AM2" s="660"/>
      <c r="AN2" s="660"/>
      <c r="AO2" s="659">
        <v>46054</v>
      </c>
      <c r="AP2" s="660"/>
      <c r="AQ2" s="660"/>
      <c r="AR2" s="660"/>
      <c r="AS2" s="660"/>
      <c r="AT2" s="659">
        <f t="shared" ref="AT2" si="0">AO2+1</f>
        <v>46055</v>
      </c>
      <c r="AU2" s="660"/>
      <c r="AV2" s="660"/>
      <c r="AW2" s="660"/>
      <c r="AX2" s="660"/>
    </row>
    <row r="3" spans="1:54" ht="15.75">
      <c r="A3" s="81"/>
      <c r="B3" s="683"/>
      <c r="C3" s="683"/>
      <c r="D3" s="683"/>
      <c r="E3" s="683"/>
      <c r="F3" s="683"/>
      <c r="G3" s="683"/>
      <c r="H3" s="683"/>
      <c r="I3" s="311"/>
      <c r="J3" s="311"/>
      <c r="K3" s="311"/>
      <c r="L3" s="311"/>
      <c r="M3" s="198"/>
      <c r="N3" s="655"/>
      <c r="O3" s="655"/>
      <c r="P3" s="656" t="s">
        <v>158</v>
      </c>
      <c r="Q3" s="657"/>
      <c r="R3" s="657"/>
      <c r="S3" s="657"/>
      <c r="T3" s="658"/>
      <c r="U3" s="656" t="s">
        <v>114</v>
      </c>
      <c r="V3" s="657"/>
      <c r="W3" s="657"/>
      <c r="X3" s="657"/>
      <c r="Y3" s="658"/>
      <c r="Z3" s="656" t="s">
        <v>159</v>
      </c>
      <c r="AA3" s="657"/>
      <c r="AB3" s="657"/>
      <c r="AC3" s="657"/>
      <c r="AD3" s="658"/>
      <c r="AE3" s="656" t="s">
        <v>157</v>
      </c>
      <c r="AF3" s="657"/>
      <c r="AG3" s="657"/>
      <c r="AH3" s="657"/>
      <c r="AI3" s="658"/>
      <c r="AJ3" s="656" t="s">
        <v>160</v>
      </c>
      <c r="AK3" s="657"/>
      <c r="AL3" s="657"/>
      <c r="AM3" s="657"/>
      <c r="AN3" s="658"/>
      <c r="AO3" s="656" t="s">
        <v>161</v>
      </c>
      <c r="AP3" s="657"/>
      <c r="AQ3" s="657"/>
      <c r="AR3" s="657"/>
      <c r="AS3" s="658"/>
      <c r="AT3" s="656" t="s">
        <v>162</v>
      </c>
      <c r="AU3" s="657"/>
      <c r="AV3" s="657"/>
      <c r="AW3" s="657"/>
      <c r="AX3" s="658"/>
    </row>
    <row r="4" spans="1:54">
      <c r="A4" s="81"/>
      <c r="B4" s="652" t="s">
        <v>859</v>
      </c>
      <c r="C4" s="652" t="s">
        <v>860</v>
      </c>
      <c r="D4" s="652"/>
      <c r="E4" s="652" t="s">
        <v>861</v>
      </c>
      <c r="F4" s="652"/>
      <c r="G4" s="652"/>
      <c r="H4" s="668" t="s">
        <v>862</v>
      </c>
      <c r="I4" s="652" t="s">
        <v>863</v>
      </c>
      <c r="J4" s="652"/>
      <c r="K4" s="652"/>
      <c r="L4" s="668" t="s">
        <v>862</v>
      </c>
      <c r="M4" s="653" t="s">
        <v>864</v>
      </c>
      <c r="N4" s="652"/>
      <c r="O4" s="652" t="s">
        <v>478</v>
      </c>
      <c r="P4" s="649" t="s">
        <v>430</v>
      </c>
      <c r="Q4" s="650"/>
      <c r="R4" s="650"/>
      <c r="S4" s="651"/>
      <c r="T4" s="652" t="s">
        <v>428</v>
      </c>
      <c r="U4" s="649" t="s">
        <v>430</v>
      </c>
      <c r="V4" s="650"/>
      <c r="W4" s="650"/>
      <c r="X4" s="651"/>
      <c r="Y4" s="652" t="s">
        <v>428</v>
      </c>
      <c r="Z4" s="649" t="s">
        <v>430</v>
      </c>
      <c r="AA4" s="650"/>
      <c r="AB4" s="650"/>
      <c r="AC4" s="651"/>
      <c r="AD4" s="652" t="s">
        <v>428</v>
      </c>
      <c r="AE4" s="649" t="s">
        <v>430</v>
      </c>
      <c r="AF4" s="650"/>
      <c r="AG4" s="650"/>
      <c r="AH4" s="651"/>
      <c r="AI4" s="652" t="s">
        <v>428</v>
      </c>
      <c r="AJ4" s="649" t="s">
        <v>430</v>
      </c>
      <c r="AK4" s="650"/>
      <c r="AL4" s="650"/>
      <c r="AM4" s="651"/>
      <c r="AN4" s="652" t="s">
        <v>428</v>
      </c>
      <c r="AO4" s="649" t="s">
        <v>430</v>
      </c>
      <c r="AP4" s="650"/>
      <c r="AQ4" s="650"/>
      <c r="AR4" s="651"/>
      <c r="AS4" s="652" t="s">
        <v>428</v>
      </c>
      <c r="AT4" s="649" t="s">
        <v>430</v>
      </c>
      <c r="AU4" s="650"/>
      <c r="AV4" s="650"/>
      <c r="AW4" s="651"/>
      <c r="AX4" s="652" t="s">
        <v>428</v>
      </c>
    </row>
    <row r="5" spans="1:54">
      <c r="A5" s="81"/>
      <c r="B5" s="652"/>
      <c r="C5" s="652"/>
      <c r="D5" s="652"/>
      <c r="E5" s="652" t="s">
        <v>866</v>
      </c>
      <c r="F5" s="652"/>
      <c r="G5" s="652"/>
      <c r="H5" s="669"/>
      <c r="I5" s="652" t="s">
        <v>866</v>
      </c>
      <c r="J5" s="652"/>
      <c r="K5" s="652"/>
      <c r="L5" s="669"/>
      <c r="M5" s="654"/>
      <c r="N5" s="652"/>
      <c r="O5" s="652"/>
      <c r="P5" s="649" t="s">
        <v>853</v>
      </c>
      <c r="Q5" s="650"/>
      <c r="R5" s="650"/>
      <c r="S5" s="651"/>
      <c r="T5" s="652"/>
      <c r="U5" s="649" t="s">
        <v>853</v>
      </c>
      <c r="V5" s="650"/>
      <c r="W5" s="650"/>
      <c r="X5" s="651"/>
      <c r="Y5" s="652"/>
      <c r="Z5" s="649" t="s">
        <v>853</v>
      </c>
      <c r="AA5" s="650"/>
      <c r="AB5" s="650"/>
      <c r="AC5" s="651"/>
      <c r="AD5" s="652"/>
      <c r="AE5" s="649" t="s">
        <v>853</v>
      </c>
      <c r="AF5" s="650"/>
      <c r="AG5" s="650"/>
      <c r="AH5" s="651"/>
      <c r="AI5" s="652"/>
      <c r="AJ5" s="649" t="s">
        <v>853</v>
      </c>
      <c r="AK5" s="650"/>
      <c r="AL5" s="650"/>
      <c r="AM5" s="651"/>
      <c r="AN5" s="652"/>
      <c r="AO5" s="649" t="s">
        <v>853</v>
      </c>
      <c r="AP5" s="650"/>
      <c r="AQ5" s="650"/>
      <c r="AR5" s="651"/>
      <c r="AS5" s="652"/>
      <c r="AT5" s="649" t="s">
        <v>853</v>
      </c>
      <c r="AU5" s="650"/>
      <c r="AV5" s="650"/>
      <c r="AW5" s="651"/>
      <c r="AX5" s="652"/>
    </row>
    <row r="6" spans="1:54">
      <c r="A6" s="79"/>
      <c r="B6" s="652"/>
      <c r="C6" s="652"/>
      <c r="D6" s="652"/>
      <c r="E6" s="518" t="s">
        <v>867</v>
      </c>
      <c r="F6" s="518" t="s">
        <v>868</v>
      </c>
      <c r="G6" s="518" t="s">
        <v>869</v>
      </c>
      <c r="H6" s="670"/>
      <c r="I6" s="518" t="s">
        <v>867</v>
      </c>
      <c r="J6" s="518" t="s">
        <v>868</v>
      </c>
      <c r="K6" s="518" t="s">
        <v>869</v>
      </c>
      <c r="L6" s="670"/>
      <c r="M6" s="655"/>
      <c r="N6" s="652"/>
      <c r="O6" s="652"/>
      <c r="P6" s="518" t="s">
        <v>437</v>
      </c>
      <c r="Q6" s="518" t="s">
        <v>855</v>
      </c>
      <c r="R6" s="518" t="s">
        <v>856</v>
      </c>
      <c r="S6" s="518" t="s">
        <v>429</v>
      </c>
      <c r="T6" s="652"/>
      <c r="U6" s="518" t="s">
        <v>437</v>
      </c>
      <c r="V6" s="518" t="s">
        <v>855</v>
      </c>
      <c r="W6" s="518" t="s">
        <v>856</v>
      </c>
      <c r="X6" s="518" t="s">
        <v>429</v>
      </c>
      <c r="Y6" s="652"/>
      <c r="Z6" s="518" t="s">
        <v>437</v>
      </c>
      <c r="AA6" s="518" t="s">
        <v>855</v>
      </c>
      <c r="AB6" s="518" t="s">
        <v>856</v>
      </c>
      <c r="AC6" s="518" t="s">
        <v>429</v>
      </c>
      <c r="AD6" s="652"/>
      <c r="AE6" s="518" t="s">
        <v>437</v>
      </c>
      <c r="AF6" s="518" t="s">
        <v>855</v>
      </c>
      <c r="AG6" s="518" t="s">
        <v>856</v>
      </c>
      <c r="AH6" s="518" t="s">
        <v>429</v>
      </c>
      <c r="AI6" s="652"/>
      <c r="AJ6" s="518" t="s">
        <v>437</v>
      </c>
      <c r="AK6" s="518" t="s">
        <v>855</v>
      </c>
      <c r="AL6" s="518" t="s">
        <v>856</v>
      </c>
      <c r="AM6" s="518" t="s">
        <v>429</v>
      </c>
      <c r="AN6" s="652"/>
      <c r="AO6" s="518" t="s">
        <v>437</v>
      </c>
      <c r="AP6" s="518" t="s">
        <v>855</v>
      </c>
      <c r="AQ6" s="518" t="s">
        <v>856</v>
      </c>
      <c r="AR6" s="518" t="s">
        <v>429</v>
      </c>
      <c r="AS6" s="652"/>
      <c r="AT6" s="518" t="s">
        <v>437</v>
      </c>
      <c r="AU6" s="518" t="s">
        <v>855</v>
      </c>
      <c r="AV6" s="518" t="s">
        <v>856</v>
      </c>
      <c r="AW6" s="518" t="s">
        <v>429</v>
      </c>
      <c r="AX6" s="652"/>
    </row>
    <row r="7" spans="1:54">
      <c r="A7" s="81"/>
      <c r="B7" s="652" t="s">
        <v>136</v>
      </c>
      <c r="C7" s="519">
        <v>1</v>
      </c>
      <c r="D7" s="227" t="s">
        <v>394</v>
      </c>
      <c r="E7" s="182">
        <v>6</v>
      </c>
      <c r="F7" s="551">
        <v>1500</v>
      </c>
      <c r="G7" s="552">
        <v>250</v>
      </c>
      <c r="H7" s="696">
        <f>AVERAGE(G7:G21)</f>
        <v>176.1142857142857</v>
      </c>
      <c r="I7" s="522">
        <f>AVERAGE(P7,U7,Z7,AE7,AJ7,AO7,AT7)</f>
        <v>7</v>
      </c>
      <c r="J7" s="522">
        <f>AVERAGE(Q7,V7,AA7,AF7,AK7,AP7,AU7)</f>
        <v>1348.5113394068617</v>
      </c>
      <c r="K7" s="517">
        <f>AVERAGE(R7,W7,AB7,AG7,AL7,AQ7,AV7)</f>
        <v>192.64447705812313</v>
      </c>
      <c r="L7" s="696">
        <f>AVERAGE(K7:K21)</f>
        <v>144.13007481515288</v>
      </c>
      <c r="M7" s="521">
        <f>RANK(K7, K$7:$K$21)</f>
        <v>4</v>
      </c>
      <c r="N7" s="652"/>
      <c r="O7" s="652"/>
      <c r="P7" s="519"/>
      <c r="Q7" s="522"/>
      <c r="R7" s="522"/>
      <c r="S7" s="519" t="e">
        <f>RANK(R7, R$7:R$21)</f>
        <v>#N/A</v>
      </c>
      <c r="T7" s="699" t="e">
        <f>AVERAGE(R7:R21)</f>
        <v>#DIV/0!</v>
      </c>
      <c r="U7" s="556"/>
      <c r="V7" s="558"/>
      <c r="W7" s="558"/>
      <c r="X7" s="519" t="e">
        <f>RANK(W7, W$7:W$21)</f>
        <v>#N/A</v>
      </c>
      <c r="Y7" s="699" t="e">
        <f>AVERAGE(W7:W21)</f>
        <v>#DIV/0!</v>
      </c>
      <c r="Z7" s="556"/>
      <c r="AA7" s="558"/>
      <c r="AB7" s="558"/>
      <c r="AC7" s="519" t="e">
        <f>RANK(AB7, AB$7:AB$21)</f>
        <v>#N/A</v>
      </c>
      <c r="AD7" s="699" t="e">
        <f>AVERAGE(AB7:AB21)</f>
        <v>#DIV/0!</v>
      </c>
      <c r="AE7" s="556"/>
      <c r="AF7" s="558"/>
      <c r="AG7" s="558"/>
      <c r="AH7" s="519" t="e">
        <f>RANK(AG7, AG$7:AG$21)</f>
        <v>#N/A</v>
      </c>
      <c r="AI7" s="699" t="e">
        <f>AVERAGE(AG7:AG21)</f>
        <v>#DIV/0!</v>
      </c>
      <c r="AJ7" s="556"/>
      <c r="AK7" s="558"/>
      <c r="AL7" s="558"/>
      <c r="AM7" s="519" t="e">
        <f>RANK(AL7, AL$7:AL$21)</f>
        <v>#N/A</v>
      </c>
      <c r="AN7" s="699" t="e">
        <f>AVERAGE(AL7:AL21)</f>
        <v>#DIV/0!</v>
      </c>
      <c r="AO7" s="182">
        <v>7</v>
      </c>
      <c r="AP7" s="182">
        <v>1345.0746268656717</v>
      </c>
      <c r="AQ7" s="182">
        <v>192.1535181236674</v>
      </c>
      <c r="AR7" s="519">
        <f>RANK(AQ7, AQ$7:AQ$21)</f>
        <v>4</v>
      </c>
      <c r="AS7" s="699">
        <f>AVERAGE(AQ7:AQ21)</f>
        <v>147.22604767386562</v>
      </c>
      <c r="AT7" s="182">
        <v>7</v>
      </c>
      <c r="AU7" s="182">
        <v>1351.9480519480519</v>
      </c>
      <c r="AV7" s="182">
        <v>193.13543599257883</v>
      </c>
      <c r="AW7" s="519">
        <f>RANK(AV7, AV$7:AV$21)</f>
        <v>3</v>
      </c>
      <c r="AX7" s="699">
        <f>AVERAGE(AV7:AV21)</f>
        <v>141.03410195644014</v>
      </c>
      <c r="AZ7" s="363" t="e">
        <f>RANK(AX7, $K$7:AX$21)</f>
        <v>#N/A</v>
      </c>
      <c r="BB7" s="360" t="e">
        <f>RANK(BA7, BA$7:BA$21)</f>
        <v>#N/A</v>
      </c>
    </row>
    <row r="8" spans="1:54" ht="15" customHeight="1">
      <c r="A8" s="81"/>
      <c r="B8" s="685"/>
      <c r="C8" s="519">
        <v>2</v>
      </c>
      <c r="D8" s="227" t="s">
        <v>395</v>
      </c>
      <c r="E8" s="182">
        <v>6</v>
      </c>
      <c r="F8" s="551">
        <v>1500</v>
      </c>
      <c r="G8" s="552">
        <v>250</v>
      </c>
      <c r="H8" s="697"/>
      <c r="I8" s="522">
        <f t="shared" ref="I8:I13" si="1">AVERAGE(P8,U8,Z8,AE8,AJ8,AO8,AT8)</f>
        <v>7</v>
      </c>
      <c r="J8" s="522">
        <f t="shared" ref="J8:J13" si="2">AVERAGE(Q8,V8,AA8,AF8,AK8,AP8,AU8)</f>
        <v>1475.1510989010985</v>
      </c>
      <c r="K8" s="517">
        <f t="shared" ref="K8:K13" si="3">AVERAGE(R8,W8,AB8,AG8,AL8,AQ8,AV8)</f>
        <v>210.73587127158552</v>
      </c>
      <c r="L8" s="697"/>
      <c r="M8" s="521">
        <f>RANK(K8, K$7:$K$21)</f>
        <v>2</v>
      </c>
      <c r="N8" s="652"/>
      <c r="O8" s="652"/>
      <c r="P8" s="519"/>
      <c r="Q8" s="522"/>
      <c r="R8" s="522"/>
      <c r="S8" s="519" t="e">
        <f t="shared" ref="S8:S21" si="4">RANK(R8, R$7:R$21)</f>
        <v>#N/A</v>
      </c>
      <c r="T8" s="699"/>
      <c r="U8" s="556"/>
      <c r="V8" s="558"/>
      <c r="W8" s="558"/>
      <c r="X8" s="519" t="e">
        <f t="shared" ref="X8:X21" si="5">RANK(W8, W$7:W$21)</f>
        <v>#N/A</v>
      </c>
      <c r="Y8" s="699"/>
      <c r="Z8" s="556"/>
      <c r="AA8" s="558"/>
      <c r="AB8" s="558"/>
      <c r="AC8" s="519" t="e">
        <f t="shared" ref="AC8:AC21" si="6">RANK(AB8, AB$7:AB$21)</f>
        <v>#N/A</v>
      </c>
      <c r="AD8" s="699"/>
      <c r="AE8" s="556"/>
      <c r="AF8" s="558"/>
      <c r="AG8" s="558"/>
      <c r="AH8" s="519" t="e">
        <f t="shared" ref="AH8:AH21" si="7">RANK(AG8, AG$7:AG$21)</f>
        <v>#N/A</v>
      </c>
      <c r="AI8" s="699"/>
      <c r="AJ8" s="556"/>
      <c r="AK8" s="558"/>
      <c r="AL8" s="558"/>
      <c r="AM8" s="519" t="e">
        <f t="shared" ref="AM8:AM21" si="8">RANK(AL8, AL$7:AL$21)</f>
        <v>#N/A</v>
      </c>
      <c r="AN8" s="699"/>
      <c r="AO8" s="182">
        <v>7</v>
      </c>
      <c r="AP8" s="182">
        <v>1501.7307692307688</v>
      </c>
      <c r="AQ8" s="182">
        <v>214.53296703296698</v>
      </c>
      <c r="AR8" s="519">
        <f t="shared" ref="AR8:AR21" si="9">RANK(AQ8, AQ$7:AQ$21)</f>
        <v>1</v>
      </c>
      <c r="AS8" s="699"/>
      <c r="AT8" s="182">
        <v>7</v>
      </c>
      <c r="AU8" s="182">
        <v>1448.5714285714284</v>
      </c>
      <c r="AV8" s="182">
        <v>206.93877551020407</v>
      </c>
      <c r="AW8" s="519">
        <f t="shared" ref="AW8:AW21" si="10">RANK(AV8, AV$7:AV$21)</f>
        <v>2</v>
      </c>
      <c r="AX8" s="699"/>
      <c r="AZ8" s="363" t="e">
        <f>RANK(AX8, $K$7:AX$21)</f>
        <v>#N/A</v>
      </c>
      <c r="BB8" s="360" t="e">
        <f t="shared" ref="BB8:BB21" si="11">RANK(BA8, BA$7:BA$21)</f>
        <v>#N/A</v>
      </c>
    </row>
    <row r="9" spans="1:54">
      <c r="A9" s="81"/>
      <c r="B9" s="685"/>
      <c r="C9" s="519">
        <v>3</v>
      </c>
      <c r="D9" s="227" t="s">
        <v>349</v>
      </c>
      <c r="E9" s="182">
        <v>19</v>
      </c>
      <c r="F9" s="551">
        <v>1500</v>
      </c>
      <c r="G9" s="552">
        <v>78.900000000000006</v>
      </c>
      <c r="H9" s="697"/>
      <c r="I9" s="522">
        <f t="shared" si="1"/>
        <v>18</v>
      </c>
      <c r="J9" s="522">
        <f t="shared" si="2"/>
        <v>1325.1337529504331</v>
      </c>
      <c r="K9" s="517">
        <f t="shared" si="3"/>
        <v>73.618541830579616</v>
      </c>
      <c r="L9" s="697"/>
      <c r="M9" s="521">
        <f>RANK(K9, K$7:$K$21)</f>
        <v>6</v>
      </c>
      <c r="N9" s="652"/>
      <c r="O9" s="652"/>
      <c r="P9" s="519"/>
      <c r="Q9" s="522"/>
      <c r="R9" s="522"/>
      <c r="S9" s="519" t="e">
        <f t="shared" si="4"/>
        <v>#N/A</v>
      </c>
      <c r="T9" s="699"/>
      <c r="U9" s="556"/>
      <c r="V9" s="558"/>
      <c r="W9" s="558"/>
      <c r="X9" s="519" t="e">
        <f t="shared" si="5"/>
        <v>#N/A</v>
      </c>
      <c r="Y9" s="699"/>
      <c r="Z9" s="556"/>
      <c r="AA9" s="558"/>
      <c r="AB9" s="558"/>
      <c r="AC9" s="519" t="e">
        <f t="shared" si="6"/>
        <v>#N/A</v>
      </c>
      <c r="AD9" s="699"/>
      <c r="AE9" s="556"/>
      <c r="AF9" s="558"/>
      <c r="AG9" s="558"/>
      <c r="AH9" s="519" t="e">
        <f t="shared" si="7"/>
        <v>#N/A</v>
      </c>
      <c r="AI9" s="699"/>
      <c r="AJ9" s="556"/>
      <c r="AK9" s="558"/>
      <c r="AL9" s="558"/>
      <c r="AM9" s="519" t="e">
        <f t="shared" si="8"/>
        <v>#N/A</v>
      </c>
      <c r="AN9" s="699"/>
      <c r="AO9" s="182">
        <v>18</v>
      </c>
      <c r="AP9" s="182">
        <v>1333.1707317073174</v>
      </c>
      <c r="AQ9" s="182">
        <v>74.065040650406516</v>
      </c>
      <c r="AR9" s="519">
        <f t="shared" si="9"/>
        <v>6</v>
      </c>
      <c r="AS9" s="699"/>
      <c r="AT9" s="182">
        <v>18</v>
      </c>
      <c r="AU9" s="182">
        <v>1317.096774193549</v>
      </c>
      <c r="AV9" s="182">
        <v>73.172043010752716</v>
      </c>
      <c r="AW9" s="519">
        <f t="shared" si="10"/>
        <v>6</v>
      </c>
      <c r="AX9" s="699"/>
      <c r="AZ9" s="363" t="e">
        <f>RANK(AX9, $K$7:AX$21)</f>
        <v>#N/A</v>
      </c>
      <c r="BB9" s="360" t="e">
        <f t="shared" si="11"/>
        <v>#N/A</v>
      </c>
    </row>
    <row r="10" spans="1:54">
      <c r="A10" s="81"/>
      <c r="B10" s="685"/>
      <c r="C10" s="519">
        <v>4</v>
      </c>
      <c r="D10" s="227" t="s">
        <v>396</v>
      </c>
      <c r="E10" s="182">
        <v>17</v>
      </c>
      <c r="F10" s="551">
        <v>1440</v>
      </c>
      <c r="G10" s="552">
        <v>84.7</v>
      </c>
      <c r="H10" s="697"/>
      <c r="I10" s="522">
        <f t="shared" si="1"/>
        <v>17</v>
      </c>
      <c r="J10" s="522">
        <f t="shared" si="2"/>
        <v>1263.9034205231387</v>
      </c>
      <c r="K10" s="517">
        <f t="shared" si="3"/>
        <v>74.347260030772873</v>
      </c>
      <c r="L10" s="697"/>
      <c r="M10" s="521">
        <f>RANK(K10, K$7:$K$21)</f>
        <v>5</v>
      </c>
      <c r="N10" s="652"/>
      <c r="O10" s="652"/>
      <c r="P10" s="519"/>
      <c r="Q10" s="522"/>
      <c r="R10" s="522"/>
      <c r="S10" s="519" t="e">
        <f t="shared" si="4"/>
        <v>#N/A</v>
      </c>
      <c r="T10" s="699"/>
      <c r="U10" s="556"/>
      <c r="V10" s="558"/>
      <c r="W10" s="558"/>
      <c r="X10" s="519" t="e">
        <f t="shared" si="5"/>
        <v>#N/A</v>
      </c>
      <c r="Y10" s="699"/>
      <c r="Z10" s="556"/>
      <c r="AA10" s="558"/>
      <c r="AB10" s="558"/>
      <c r="AC10" s="519" t="e">
        <f t="shared" si="6"/>
        <v>#N/A</v>
      </c>
      <c r="AD10" s="699"/>
      <c r="AE10" s="556"/>
      <c r="AF10" s="558"/>
      <c r="AG10" s="558"/>
      <c r="AH10" s="519" t="e">
        <f t="shared" si="7"/>
        <v>#N/A</v>
      </c>
      <c r="AI10" s="699"/>
      <c r="AJ10" s="556"/>
      <c r="AK10" s="558"/>
      <c r="AL10" s="558"/>
      <c r="AM10" s="519" t="e">
        <f t="shared" si="8"/>
        <v>#N/A</v>
      </c>
      <c r="AN10" s="699"/>
      <c r="AO10" s="182">
        <v>17</v>
      </c>
      <c r="AP10" s="182">
        <v>1273.5211267605637</v>
      </c>
      <c r="AQ10" s="182">
        <v>74.913007456503749</v>
      </c>
      <c r="AR10" s="519">
        <f t="shared" si="9"/>
        <v>5</v>
      </c>
      <c r="AS10" s="699"/>
      <c r="AT10" s="182">
        <v>17</v>
      </c>
      <c r="AU10" s="182">
        <v>1254.2857142857138</v>
      </c>
      <c r="AV10" s="182">
        <v>73.781512605041982</v>
      </c>
      <c r="AW10" s="519">
        <f t="shared" si="10"/>
        <v>5</v>
      </c>
      <c r="AX10" s="699"/>
      <c r="AZ10" s="363" t="e">
        <f>RANK(AX10, $K$7:AX$21)</f>
        <v>#N/A</v>
      </c>
      <c r="BB10" s="360" t="e">
        <f t="shared" si="11"/>
        <v>#N/A</v>
      </c>
    </row>
    <row r="11" spans="1:54">
      <c r="A11" s="81"/>
      <c r="B11" s="685"/>
      <c r="C11" s="519">
        <v>5</v>
      </c>
      <c r="D11" s="227" t="s">
        <v>470</v>
      </c>
      <c r="E11" s="182">
        <v>6</v>
      </c>
      <c r="F11" s="551">
        <v>1500</v>
      </c>
      <c r="G11" s="552">
        <v>250</v>
      </c>
      <c r="H11" s="697"/>
      <c r="I11" s="522">
        <f t="shared" si="1"/>
        <v>7</v>
      </c>
      <c r="J11" s="522">
        <f t="shared" si="2"/>
        <v>1481.8157543391187</v>
      </c>
      <c r="K11" s="517">
        <f t="shared" si="3"/>
        <v>211.68796490558839</v>
      </c>
      <c r="L11" s="697"/>
      <c r="M11" s="521">
        <f>RANK(K11, K$7:$K$21)</f>
        <v>1</v>
      </c>
      <c r="N11" s="652"/>
      <c r="O11" s="652"/>
      <c r="P11" s="519"/>
      <c r="Q11" s="522"/>
      <c r="R11" s="522"/>
      <c r="S11" s="519" t="e">
        <f t="shared" si="4"/>
        <v>#N/A</v>
      </c>
      <c r="T11" s="699"/>
      <c r="U11" s="556"/>
      <c r="V11" s="558"/>
      <c r="W11" s="558"/>
      <c r="X11" s="519" t="e">
        <f t="shared" si="5"/>
        <v>#N/A</v>
      </c>
      <c r="Y11" s="699"/>
      <c r="Z11" s="556"/>
      <c r="AA11" s="558"/>
      <c r="AB11" s="558"/>
      <c r="AC11" s="519" t="e">
        <f t="shared" si="6"/>
        <v>#N/A</v>
      </c>
      <c r="AD11" s="699"/>
      <c r="AE11" s="556"/>
      <c r="AF11" s="558"/>
      <c r="AG11" s="558"/>
      <c r="AH11" s="519" t="e">
        <f t="shared" si="7"/>
        <v>#N/A</v>
      </c>
      <c r="AI11" s="699"/>
      <c r="AJ11" s="556"/>
      <c r="AK11" s="558"/>
      <c r="AL11" s="558"/>
      <c r="AM11" s="519" t="e">
        <f t="shared" si="8"/>
        <v>#N/A</v>
      </c>
      <c r="AN11" s="699"/>
      <c r="AO11" s="182">
        <v>7</v>
      </c>
      <c r="AP11" s="182">
        <v>1474.285714285714</v>
      </c>
      <c r="AQ11" s="182">
        <v>210.61224489795913</v>
      </c>
      <c r="AR11" s="519">
        <f t="shared" si="9"/>
        <v>3</v>
      </c>
      <c r="AS11" s="699"/>
      <c r="AT11" s="182">
        <v>7</v>
      </c>
      <c r="AU11" s="182">
        <v>1489.3457943925234</v>
      </c>
      <c r="AV11" s="182">
        <v>212.76368491321765</v>
      </c>
      <c r="AW11" s="519">
        <f t="shared" si="10"/>
        <v>1</v>
      </c>
      <c r="AX11" s="699"/>
      <c r="AZ11" s="363" t="e">
        <f>RANK(AX11, $K$7:AX$21)</f>
        <v>#N/A</v>
      </c>
      <c r="BB11" s="360" t="e">
        <f t="shared" si="11"/>
        <v>#N/A</v>
      </c>
    </row>
    <row r="12" spans="1:54">
      <c r="A12" s="81"/>
      <c r="B12" s="685"/>
      <c r="C12" s="519">
        <v>6</v>
      </c>
      <c r="D12" s="227" t="s">
        <v>954</v>
      </c>
      <c r="E12" s="182">
        <v>6</v>
      </c>
      <c r="F12" s="551">
        <v>1500</v>
      </c>
      <c r="G12" s="552">
        <v>250</v>
      </c>
      <c r="H12" s="697"/>
      <c r="I12" s="522">
        <f t="shared" si="1"/>
        <v>6</v>
      </c>
      <c r="J12" s="522">
        <f t="shared" si="2"/>
        <v>1167.9741379310344</v>
      </c>
      <c r="K12" s="517">
        <f t="shared" si="3"/>
        <v>194.66235632183907</v>
      </c>
      <c r="L12" s="697"/>
      <c r="M12" s="521">
        <f>RANK(K12, K$7:$K$21)</f>
        <v>3</v>
      </c>
      <c r="N12" s="652"/>
      <c r="O12" s="652"/>
      <c r="P12" s="519"/>
      <c r="Q12" s="522"/>
      <c r="R12" s="522"/>
      <c r="S12" s="519" t="e">
        <f t="shared" si="4"/>
        <v>#N/A</v>
      </c>
      <c r="T12" s="699"/>
      <c r="U12" s="556"/>
      <c r="V12" s="558"/>
      <c r="W12" s="558"/>
      <c r="X12" s="519" t="e">
        <f t="shared" si="5"/>
        <v>#N/A</v>
      </c>
      <c r="Y12" s="699"/>
      <c r="Z12" s="556"/>
      <c r="AA12" s="558"/>
      <c r="AB12" s="558"/>
      <c r="AC12" s="519" t="e">
        <f t="shared" si="6"/>
        <v>#N/A</v>
      </c>
      <c r="AD12" s="699"/>
      <c r="AE12" s="556"/>
      <c r="AF12" s="558"/>
      <c r="AG12" s="558"/>
      <c r="AH12" s="519" t="e">
        <f t="shared" si="7"/>
        <v>#N/A</v>
      </c>
      <c r="AI12" s="699"/>
      <c r="AJ12" s="556"/>
      <c r="AK12" s="558"/>
      <c r="AL12" s="558"/>
      <c r="AM12" s="519" t="e">
        <f t="shared" si="8"/>
        <v>#N/A</v>
      </c>
      <c r="AN12" s="699"/>
      <c r="AO12" s="182">
        <v>6</v>
      </c>
      <c r="AP12" s="182">
        <v>1272.5000000000005</v>
      </c>
      <c r="AQ12" s="182">
        <v>212.0833333333334</v>
      </c>
      <c r="AR12" s="519">
        <f t="shared" si="9"/>
        <v>2</v>
      </c>
      <c r="AS12" s="699"/>
      <c r="AT12" s="182">
        <v>6</v>
      </c>
      <c r="AU12" s="182">
        <v>1063.4482758620684</v>
      </c>
      <c r="AV12" s="182">
        <v>177.24137931034474</v>
      </c>
      <c r="AW12" s="519">
        <f t="shared" si="10"/>
        <v>4</v>
      </c>
      <c r="AX12" s="699"/>
      <c r="AZ12" s="363" t="e">
        <f>RANK(AX12, $K$7:AX$21)</f>
        <v>#N/A</v>
      </c>
      <c r="BB12" s="360" t="e">
        <f t="shared" si="11"/>
        <v>#N/A</v>
      </c>
    </row>
    <row r="13" spans="1:54">
      <c r="A13" s="81"/>
      <c r="B13" s="685"/>
      <c r="C13" s="519">
        <v>7</v>
      </c>
      <c r="D13" s="227" t="s">
        <v>706</v>
      </c>
      <c r="E13" s="182">
        <v>20</v>
      </c>
      <c r="F13" s="551">
        <v>1385</v>
      </c>
      <c r="G13" s="552">
        <v>69.2</v>
      </c>
      <c r="H13" s="697"/>
      <c r="I13" s="522">
        <f t="shared" si="1"/>
        <v>20</v>
      </c>
      <c r="J13" s="522">
        <f t="shared" si="2"/>
        <v>1024.2810457516321</v>
      </c>
      <c r="K13" s="517">
        <f t="shared" si="3"/>
        <v>51.214052287581602</v>
      </c>
      <c r="L13" s="697"/>
      <c r="M13" s="521">
        <f>RANK(K13, K$7:$K$21)</f>
        <v>7</v>
      </c>
      <c r="N13" s="652"/>
      <c r="O13" s="652"/>
      <c r="P13" s="519"/>
      <c r="Q13" s="522"/>
      <c r="R13" s="522"/>
      <c r="S13" s="519" t="e">
        <f t="shared" si="4"/>
        <v>#N/A</v>
      </c>
      <c r="T13" s="699"/>
      <c r="U13" s="556"/>
      <c r="V13" s="558"/>
      <c r="W13" s="558"/>
      <c r="X13" s="519" t="e">
        <f t="shared" si="5"/>
        <v>#N/A</v>
      </c>
      <c r="Y13" s="699"/>
      <c r="Z13" s="556"/>
      <c r="AA13" s="558"/>
      <c r="AB13" s="558"/>
      <c r="AC13" s="519" t="e">
        <f t="shared" si="6"/>
        <v>#N/A</v>
      </c>
      <c r="AD13" s="699"/>
      <c r="AE13" s="556"/>
      <c r="AF13" s="558"/>
      <c r="AG13" s="558"/>
      <c r="AH13" s="519" t="e">
        <f t="shared" si="7"/>
        <v>#N/A</v>
      </c>
      <c r="AI13" s="699"/>
      <c r="AJ13" s="556"/>
      <c r="AK13" s="558"/>
      <c r="AL13" s="558"/>
      <c r="AM13" s="519" t="e">
        <f t="shared" si="8"/>
        <v>#N/A</v>
      </c>
      <c r="AN13" s="699"/>
      <c r="AO13" s="182">
        <v>20</v>
      </c>
      <c r="AP13" s="182">
        <v>1044.4444444444418</v>
      </c>
      <c r="AQ13" s="182">
        <v>52.222222222222094</v>
      </c>
      <c r="AR13" s="519">
        <f t="shared" si="9"/>
        <v>7</v>
      </c>
      <c r="AS13" s="699"/>
      <c r="AT13" s="182">
        <v>20</v>
      </c>
      <c r="AU13" s="182">
        <v>1004.1176470588222</v>
      </c>
      <c r="AV13" s="182">
        <v>50.20588235294111</v>
      </c>
      <c r="AW13" s="519">
        <f t="shared" si="10"/>
        <v>7</v>
      </c>
      <c r="AX13" s="699"/>
      <c r="AZ13" s="363" t="e">
        <f>RANK(AX13, $K$7:AX$21)</f>
        <v>#N/A</v>
      </c>
      <c r="BB13" s="360" t="e">
        <f t="shared" si="11"/>
        <v>#N/A</v>
      </c>
    </row>
    <row r="14" spans="1:54">
      <c r="A14" s="81"/>
      <c r="B14" s="685"/>
      <c r="C14" s="519">
        <v>8</v>
      </c>
      <c r="D14" s="353"/>
      <c r="E14" s="522"/>
      <c r="F14" s="522"/>
      <c r="G14" s="522"/>
      <c r="H14" s="697"/>
      <c r="I14" s="522"/>
      <c r="J14" s="522"/>
      <c r="K14" s="517"/>
      <c r="L14" s="697"/>
      <c r="M14" s="521" t="e">
        <f>RANK(K14, K$7:$K$21)</f>
        <v>#N/A</v>
      </c>
      <c r="N14" s="652"/>
      <c r="O14" s="652"/>
      <c r="P14" s="519"/>
      <c r="Q14" s="522"/>
      <c r="R14" s="522"/>
      <c r="S14" s="519" t="e">
        <f t="shared" si="4"/>
        <v>#N/A</v>
      </c>
      <c r="T14" s="699"/>
      <c r="U14" s="556"/>
      <c r="V14" s="558"/>
      <c r="W14" s="558"/>
      <c r="X14" s="519" t="e">
        <f t="shared" si="5"/>
        <v>#N/A</v>
      </c>
      <c r="Y14" s="699"/>
      <c r="Z14" s="556"/>
      <c r="AA14" s="558"/>
      <c r="AB14" s="558"/>
      <c r="AC14" s="519" t="e">
        <f t="shared" si="6"/>
        <v>#N/A</v>
      </c>
      <c r="AD14" s="699"/>
      <c r="AE14" s="556"/>
      <c r="AF14" s="558"/>
      <c r="AG14" s="558"/>
      <c r="AH14" s="519" t="e">
        <f t="shared" si="7"/>
        <v>#N/A</v>
      </c>
      <c r="AI14" s="699"/>
      <c r="AJ14" s="556"/>
      <c r="AK14" s="558"/>
      <c r="AL14" s="558"/>
      <c r="AM14" s="519" t="e">
        <f t="shared" si="8"/>
        <v>#N/A</v>
      </c>
      <c r="AN14" s="699"/>
      <c r="AO14" s="556"/>
      <c r="AP14" s="558"/>
      <c r="AQ14" s="558"/>
      <c r="AR14" s="519" t="e">
        <f t="shared" si="9"/>
        <v>#N/A</v>
      </c>
      <c r="AS14" s="699"/>
      <c r="AT14" s="556"/>
      <c r="AU14" s="558"/>
      <c r="AV14" s="558"/>
      <c r="AW14" s="519" t="e">
        <f t="shared" si="10"/>
        <v>#N/A</v>
      </c>
      <c r="AX14" s="699"/>
      <c r="AZ14" s="363" t="e">
        <f>RANK(AX14, $K$7:AX$21)</f>
        <v>#N/A</v>
      </c>
      <c r="BB14" s="360" t="e">
        <f t="shared" si="11"/>
        <v>#N/A</v>
      </c>
    </row>
    <row r="15" spans="1:54">
      <c r="A15" s="81"/>
      <c r="B15" s="685"/>
      <c r="C15" s="519">
        <v>9</v>
      </c>
      <c r="D15" s="502"/>
      <c r="E15" s="522"/>
      <c r="F15" s="522"/>
      <c r="G15" s="522"/>
      <c r="H15" s="697"/>
      <c r="I15" s="522"/>
      <c r="J15" s="522"/>
      <c r="K15" s="517"/>
      <c r="L15" s="697"/>
      <c r="M15" s="521" t="e">
        <f>RANK(K15, K$7:$K$21)</f>
        <v>#N/A</v>
      </c>
      <c r="N15" s="652"/>
      <c r="O15" s="652"/>
      <c r="P15" s="519"/>
      <c r="Q15" s="522"/>
      <c r="R15" s="522"/>
      <c r="S15" s="519" t="e">
        <f t="shared" si="4"/>
        <v>#N/A</v>
      </c>
      <c r="T15" s="699"/>
      <c r="U15" s="556"/>
      <c r="V15" s="558"/>
      <c r="W15" s="558"/>
      <c r="X15" s="519" t="e">
        <f t="shared" si="5"/>
        <v>#N/A</v>
      </c>
      <c r="Y15" s="699"/>
      <c r="Z15" s="556"/>
      <c r="AA15" s="558"/>
      <c r="AB15" s="558"/>
      <c r="AC15" s="519" t="e">
        <f t="shared" si="6"/>
        <v>#N/A</v>
      </c>
      <c r="AD15" s="699"/>
      <c r="AE15" s="556"/>
      <c r="AF15" s="558"/>
      <c r="AG15" s="558"/>
      <c r="AH15" s="519" t="e">
        <f t="shared" si="7"/>
        <v>#N/A</v>
      </c>
      <c r="AI15" s="699"/>
      <c r="AJ15" s="556"/>
      <c r="AK15" s="558"/>
      <c r="AL15" s="558"/>
      <c r="AM15" s="519" t="e">
        <f t="shared" si="8"/>
        <v>#N/A</v>
      </c>
      <c r="AN15" s="699"/>
      <c r="AO15" s="556"/>
      <c r="AP15" s="558"/>
      <c r="AQ15" s="558"/>
      <c r="AR15" s="519" t="e">
        <f t="shared" si="9"/>
        <v>#N/A</v>
      </c>
      <c r="AS15" s="699"/>
      <c r="AT15" s="556"/>
      <c r="AU15" s="558"/>
      <c r="AV15" s="558"/>
      <c r="AW15" s="519" t="e">
        <f t="shared" si="10"/>
        <v>#N/A</v>
      </c>
      <c r="AX15" s="699"/>
      <c r="AZ15" s="363" t="e">
        <f>RANK(AX15, $K$7:AX$21)</f>
        <v>#N/A</v>
      </c>
      <c r="BB15" s="360" t="e">
        <f t="shared" si="11"/>
        <v>#N/A</v>
      </c>
    </row>
    <row r="16" spans="1:54">
      <c r="A16" s="81"/>
      <c r="B16" s="685"/>
      <c r="C16" s="519">
        <v>10</v>
      </c>
      <c r="D16" s="502"/>
      <c r="E16" s="522"/>
      <c r="F16" s="522"/>
      <c r="G16" s="522"/>
      <c r="H16" s="697"/>
      <c r="I16" s="522"/>
      <c r="J16" s="522"/>
      <c r="K16" s="517"/>
      <c r="L16" s="697"/>
      <c r="M16" s="521" t="e">
        <f>RANK(K16, K$7:$K$21)</f>
        <v>#N/A</v>
      </c>
      <c r="N16" s="652"/>
      <c r="O16" s="652"/>
      <c r="P16" s="519"/>
      <c r="Q16" s="522"/>
      <c r="R16" s="522"/>
      <c r="S16" s="519" t="e">
        <f t="shared" si="4"/>
        <v>#N/A</v>
      </c>
      <c r="T16" s="699"/>
      <c r="U16" s="556"/>
      <c r="V16" s="558"/>
      <c r="W16" s="558"/>
      <c r="X16" s="519" t="e">
        <f t="shared" si="5"/>
        <v>#N/A</v>
      </c>
      <c r="Y16" s="699"/>
      <c r="Z16" s="556"/>
      <c r="AA16" s="558"/>
      <c r="AB16" s="558"/>
      <c r="AC16" s="519" t="e">
        <f t="shared" si="6"/>
        <v>#N/A</v>
      </c>
      <c r="AD16" s="699"/>
      <c r="AE16" s="556"/>
      <c r="AF16" s="558"/>
      <c r="AG16" s="558"/>
      <c r="AH16" s="519" t="e">
        <f t="shared" si="7"/>
        <v>#N/A</v>
      </c>
      <c r="AI16" s="699"/>
      <c r="AJ16" s="556"/>
      <c r="AK16" s="558"/>
      <c r="AL16" s="558"/>
      <c r="AM16" s="519" t="e">
        <f t="shared" si="8"/>
        <v>#N/A</v>
      </c>
      <c r="AN16" s="699"/>
      <c r="AO16" s="556"/>
      <c r="AP16" s="558"/>
      <c r="AQ16" s="558"/>
      <c r="AR16" s="519" t="e">
        <f t="shared" si="9"/>
        <v>#N/A</v>
      </c>
      <c r="AS16" s="699"/>
      <c r="AT16" s="556"/>
      <c r="AU16" s="558"/>
      <c r="AV16" s="558"/>
      <c r="AW16" s="519" t="e">
        <f t="shared" si="10"/>
        <v>#N/A</v>
      </c>
      <c r="AX16" s="699"/>
      <c r="AZ16" s="363" t="e">
        <f>RANK(AX16, $K$7:AX$21)</f>
        <v>#N/A</v>
      </c>
      <c r="BB16" s="360" t="e">
        <f t="shared" si="11"/>
        <v>#N/A</v>
      </c>
    </row>
    <row r="17" spans="2:54">
      <c r="B17" s="685"/>
      <c r="C17" s="519">
        <v>11</v>
      </c>
      <c r="D17" s="502"/>
      <c r="E17" s="522"/>
      <c r="F17" s="522"/>
      <c r="G17" s="522"/>
      <c r="H17" s="697"/>
      <c r="I17" s="519"/>
      <c r="J17" s="519"/>
      <c r="K17" s="519"/>
      <c r="L17" s="697"/>
      <c r="M17" s="521" t="e">
        <f>RANK(K17, K$7:$K$21)</f>
        <v>#N/A</v>
      </c>
      <c r="N17" s="652"/>
      <c r="O17" s="652"/>
      <c r="P17" s="519"/>
      <c r="Q17" s="522"/>
      <c r="R17" s="522"/>
      <c r="S17" s="519" t="e">
        <f t="shared" si="4"/>
        <v>#N/A</v>
      </c>
      <c r="T17" s="699"/>
      <c r="U17" s="556"/>
      <c r="V17" s="558"/>
      <c r="W17" s="558"/>
      <c r="X17" s="519" t="e">
        <f t="shared" si="5"/>
        <v>#N/A</v>
      </c>
      <c r="Y17" s="699"/>
      <c r="Z17" s="556"/>
      <c r="AA17" s="558"/>
      <c r="AB17" s="558"/>
      <c r="AC17" s="519" t="e">
        <f t="shared" si="6"/>
        <v>#N/A</v>
      </c>
      <c r="AD17" s="699"/>
      <c r="AE17" s="556"/>
      <c r="AF17" s="558"/>
      <c r="AG17" s="558"/>
      <c r="AH17" s="519" t="e">
        <f t="shared" si="7"/>
        <v>#N/A</v>
      </c>
      <c r="AI17" s="699"/>
      <c r="AJ17" s="556"/>
      <c r="AK17" s="558"/>
      <c r="AL17" s="558"/>
      <c r="AM17" s="519" t="e">
        <f t="shared" si="8"/>
        <v>#N/A</v>
      </c>
      <c r="AN17" s="699"/>
      <c r="AO17" s="556"/>
      <c r="AP17" s="558"/>
      <c r="AQ17" s="558"/>
      <c r="AR17" s="519" t="e">
        <f t="shared" si="9"/>
        <v>#N/A</v>
      </c>
      <c r="AS17" s="699"/>
      <c r="AT17" s="556"/>
      <c r="AU17" s="558"/>
      <c r="AV17" s="558"/>
      <c r="AW17" s="519" t="e">
        <f t="shared" si="10"/>
        <v>#N/A</v>
      </c>
      <c r="AX17" s="699"/>
      <c r="AZ17" s="363" t="e">
        <f>RANK(AX17, $K$7:AX$21)</f>
        <v>#N/A</v>
      </c>
      <c r="BB17" s="360" t="e">
        <f t="shared" si="11"/>
        <v>#N/A</v>
      </c>
    </row>
    <row r="18" spans="2:54">
      <c r="B18" s="685"/>
      <c r="C18" s="519">
        <v>12</v>
      </c>
      <c r="D18" s="502"/>
      <c r="E18" s="522"/>
      <c r="F18" s="522"/>
      <c r="G18" s="522"/>
      <c r="H18" s="697"/>
      <c r="I18" s="519"/>
      <c r="J18" s="519"/>
      <c r="K18" s="519"/>
      <c r="L18" s="697"/>
      <c r="M18" s="521" t="e">
        <f>RANK(K18, K$7:$K$21)</f>
        <v>#N/A</v>
      </c>
      <c r="N18" s="652"/>
      <c r="O18" s="652"/>
      <c r="P18" s="519"/>
      <c r="Q18" s="522"/>
      <c r="R18" s="522"/>
      <c r="S18" s="519" t="e">
        <f t="shared" si="4"/>
        <v>#N/A</v>
      </c>
      <c r="T18" s="699"/>
      <c r="U18" s="556"/>
      <c r="V18" s="558"/>
      <c r="W18" s="558"/>
      <c r="X18" s="519" t="e">
        <f t="shared" si="5"/>
        <v>#N/A</v>
      </c>
      <c r="Y18" s="699"/>
      <c r="Z18" s="556"/>
      <c r="AA18" s="558"/>
      <c r="AB18" s="558"/>
      <c r="AC18" s="519" t="e">
        <f t="shared" si="6"/>
        <v>#N/A</v>
      </c>
      <c r="AD18" s="699"/>
      <c r="AE18" s="556"/>
      <c r="AF18" s="558"/>
      <c r="AG18" s="558"/>
      <c r="AH18" s="519" t="e">
        <f t="shared" si="7"/>
        <v>#N/A</v>
      </c>
      <c r="AI18" s="699"/>
      <c r="AJ18" s="556"/>
      <c r="AK18" s="558"/>
      <c r="AL18" s="558"/>
      <c r="AM18" s="519" t="e">
        <f t="shared" si="8"/>
        <v>#N/A</v>
      </c>
      <c r="AN18" s="699"/>
      <c r="AO18" s="556"/>
      <c r="AP18" s="558"/>
      <c r="AQ18" s="558"/>
      <c r="AR18" s="519" t="e">
        <f t="shared" si="9"/>
        <v>#N/A</v>
      </c>
      <c r="AS18" s="699"/>
      <c r="AT18" s="556"/>
      <c r="AU18" s="558"/>
      <c r="AV18" s="558"/>
      <c r="AW18" s="519" t="e">
        <f t="shared" si="10"/>
        <v>#N/A</v>
      </c>
      <c r="AX18" s="699"/>
      <c r="AZ18" s="363" t="e">
        <f>RANK(AX18, $K$7:AX$21)</f>
        <v>#N/A</v>
      </c>
      <c r="BB18" s="360" t="e">
        <f t="shared" si="11"/>
        <v>#N/A</v>
      </c>
    </row>
    <row r="19" spans="2:54">
      <c r="B19" s="685"/>
      <c r="C19" s="519">
        <v>13</v>
      </c>
      <c r="D19" s="502"/>
      <c r="E19" s="522"/>
      <c r="F19" s="522"/>
      <c r="G19" s="522"/>
      <c r="H19" s="697"/>
      <c r="I19" s="519"/>
      <c r="J19" s="519"/>
      <c r="K19" s="519"/>
      <c r="L19" s="697"/>
      <c r="M19" s="521" t="e">
        <f>RANK(K19, K$7:$K$21)</f>
        <v>#N/A</v>
      </c>
      <c r="N19" s="652"/>
      <c r="O19" s="652"/>
      <c r="P19" s="519"/>
      <c r="Q19" s="522"/>
      <c r="R19" s="522"/>
      <c r="S19" s="519" t="e">
        <f t="shared" si="4"/>
        <v>#N/A</v>
      </c>
      <c r="T19" s="699"/>
      <c r="U19" s="556"/>
      <c r="V19" s="558"/>
      <c r="W19" s="558"/>
      <c r="X19" s="519" t="e">
        <f t="shared" si="5"/>
        <v>#N/A</v>
      </c>
      <c r="Y19" s="699"/>
      <c r="Z19" s="556"/>
      <c r="AA19" s="558"/>
      <c r="AB19" s="558"/>
      <c r="AC19" s="519" t="e">
        <f t="shared" si="6"/>
        <v>#N/A</v>
      </c>
      <c r="AD19" s="699"/>
      <c r="AE19" s="556"/>
      <c r="AF19" s="558"/>
      <c r="AG19" s="558"/>
      <c r="AH19" s="519" t="e">
        <f t="shared" si="7"/>
        <v>#N/A</v>
      </c>
      <c r="AI19" s="699"/>
      <c r="AJ19" s="556"/>
      <c r="AK19" s="558"/>
      <c r="AL19" s="558"/>
      <c r="AM19" s="519" t="e">
        <f t="shared" si="8"/>
        <v>#N/A</v>
      </c>
      <c r="AN19" s="699"/>
      <c r="AO19" s="556"/>
      <c r="AP19" s="558"/>
      <c r="AQ19" s="558"/>
      <c r="AR19" s="519" t="e">
        <f t="shared" si="9"/>
        <v>#N/A</v>
      </c>
      <c r="AS19" s="699"/>
      <c r="AT19" s="556"/>
      <c r="AU19" s="558"/>
      <c r="AV19" s="558"/>
      <c r="AW19" s="519" t="e">
        <f t="shared" si="10"/>
        <v>#N/A</v>
      </c>
      <c r="AX19" s="699"/>
      <c r="AZ19" s="363" t="e">
        <f>RANK(AX19, $K$7:AX$21)</f>
        <v>#N/A</v>
      </c>
      <c r="BB19" s="360" t="e">
        <f t="shared" si="11"/>
        <v>#N/A</v>
      </c>
    </row>
    <row r="20" spans="2:54">
      <c r="B20" s="685"/>
      <c r="C20" s="519">
        <v>14</v>
      </c>
      <c r="D20" s="502"/>
      <c r="E20" s="522"/>
      <c r="F20" s="522"/>
      <c r="G20" s="522"/>
      <c r="H20" s="697"/>
      <c r="I20" s="519"/>
      <c r="J20" s="519"/>
      <c r="K20" s="519"/>
      <c r="L20" s="697"/>
      <c r="M20" s="521" t="e">
        <f>RANK(K20, K$7:$K$21)</f>
        <v>#N/A</v>
      </c>
      <c r="N20" s="652"/>
      <c r="O20" s="652"/>
      <c r="P20" s="519"/>
      <c r="Q20" s="522"/>
      <c r="R20" s="522"/>
      <c r="S20" s="519" t="e">
        <f t="shared" si="4"/>
        <v>#N/A</v>
      </c>
      <c r="T20" s="699"/>
      <c r="U20" s="556"/>
      <c r="V20" s="558"/>
      <c r="W20" s="558"/>
      <c r="X20" s="519" t="e">
        <f t="shared" si="5"/>
        <v>#N/A</v>
      </c>
      <c r="Y20" s="699"/>
      <c r="Z20" s="556"/>
      <c r="AA20" s="558"/>
      <c r="AB20" s="558"/>
      <c r="AC20" s="519" t="e">
        <f t="shared" si="6"/>
        <v>#N/A</v>
      </c>
      <c r="AD20" s="699"/>
      <c r="AE20" s="556"/>
      <c r="AF20" s="558"/>
      <c r="AG20" s="558"/>
      <c r="AH20" s="519" t="e">
        <f t="shared" si="7"/>
        <v>#N/A</v>
      </c>
      <c r="AI20" s="699"/>
      <c r="AJ20" s="556"/>
      <c r="AK20" s="558"/>
      <c r="AL20" s="558"/>
      <c r="AM20" s="519" t="e">
        <f t="shared" si="8"/>
        <v>#N/A</v>
      </c>
      <c r="AN20" s="699"/>
      <c r="AO20" s="556"/>
      <c r="AP20" s="558"/>
      <c r="AQ20" s="558"/>
      <c r="AR20" s="519" t="e">
        <f t="shared" si="9"/>
        <v>#N/A</v>
      </c>
      <c r="AS20" s="699"/>
      <c r="AT20" s="556"/>
      <c r="AU20" s="558"/>
      <c r="AV20" s="558"/>
      <c r="AW20" s="519" t="e">
        <f t="shared" si="10"/>
        <v>#N/A</v>
      </c>
      <c r="AX20" s="699"/>
      <c r="AZ20" s="363" t="e">
        <f>RANK(AX20, $K$7:AX$21)</f>
        <v>#N/A</v>
      </c>
      <c r="BB20" s="360" t="e">
        <f t="shared" si="11"/>
        <v>#N/A</v>
      </c>
    </row>
    <row r="21" spans="2:54">
      <c r="B21" s="685"/>
      <c r="C21" s="519">
        <v>15</v>
      </c>
      <c r="D21" s="502"/>
      <c r="E21" s="522"/>
      <c r="F21" s="522"/>
      <c r="G21" s="522"/>
      <c r="H21" s="709"/>
      <c r="I21" s="519"/>
      <c r="J21" s="519"/>
      <c r="K21" s="519"/>
      <c r="L21" s="709"/>
      <c r="M21" s="521" t="e">
        <f>RANK(K21, K$7:$K$21)</f>
        <v>#N/A</v>
      </c>
      <c r="N21" s="652"/>
      <c r="O21" s="652"/>
      <c r="P21" s="519"/>
      <c r="Q21" s="522"/>
      <c r="R21" s="522"/>
      <c r="S21" s="519" t="e">
        <f t="shared" si="4"/>
        <v>#N/A</v>
      </c>
      <c r="T21" s="699"/>
      <c r="U21" s="556"/>
      <c r="V21" s="558"/>
      <c r="W21" s="558"/>
      <c r="X21" s="519" t="e">
        <f t="shared" si="5"/>
        <v>#N/A</v>
      </c>
      <c r="Y21" s="699"/>
      <c r="Z21" s="556"/>
      <c r="AA21" s="558"/>
      <c r="AB21" s="558"/>
      <c r="AC21" s="519" t="e">
        <f t="shared" si="6"/>
        <v>#N/A</v>
      </c>
      <c r="AD21" s="699"/>
      <c r="AE21" s="556"/>
      <c r="AF21" s="558"/>
      <c r="AG21" s="558"/>
      <c r="AH21" s="519" t="e">
        <f t="shared" si="7"/>
        <v>#N/A</v>
      </c>
      <c r="AI21" s="699"/>
      <c r="AJ21" s="556"/>
      <c r="AK21" s="558"/>
      <c r="AL21" s="558"/>
      <c r="AM21" s="519" t="e">
        <f t="shared" si="8"/>
        <v>#N/A</v>
      </c>
      <c r="AN21" s="699"/>
      <c r="AO21" s="556"/>
      <c r="AP21" s="558"/>
      <c r="AQ21" s="558"/>
      <c r="AR21" s="519" t="e">
        <f t="shared" si="9"/>
        <v>#N/A</v>
      </c>
      <c r="AS21" s="699"/>
      <c r="AT21" s="556"/>
      <c r="AU21" s="558"/>
      <c r="AV21" s="558"/>
      <c r="AW21" s="519" t="e">
        <f t="shared" si="10"/>
        <v>#N/A</v>
      </c>
      <c r="AX21" s="699"/>
      <c r="AZ21" s="362" t="e">
        <f>RANK(AX21, $K$7:AX$21)</f>
        <v>#N/A</v>
      </c>
      <c r="BB21" s="360" t="e">
        <f t="shared" si="11"/>
        <v>#N/A</v>
      </c>
    </row>
    <row r="22" spans="2:54" ht="15.75">
      <c r="B22" s="678" t="s">
        <v>163</v>
      </c>
      <c r="C22" s="679"/>
      <c r="D22" s="679"/>
      <c r="E22" s="679"/>
      <c r="F22" s="679"/>
      <c r="G22" s="679"/>
      <c r="H22" s="679"/>
      <c r="I22" s="203"/>
      <c r="J22" s="203"/>
      <c r="K22" s="203"/>
      <c r="L22" s="203"/>
      <c r="M22" s="204"/>
      <c r="N22" s="653" t="s">
        <v>156</v>
      </c>
      <c r="O22" s="653" t="s">
        <v>105</v>
      </c>
      <c r="P22" s="659">
        <f>AT2+1</f>
        <v>46056</v>
      </c>
      <c r="Q22" s="660"/>
      <c r="R22" s="660"/>
      <c r="S22" s="660"/>
      <c r="T22" s="660"/>
      <c r="U22" s="659">
        <f>P22+1</f>
        <v>46057</v>
      </c>
      <c r="V22" s="660"/>
      <c r="W22" s="660"/>
      <c r="X22" s="660"/>
      <c r="Y22" s="660"/>
      <c r="Z22" s="659">
        <f>U22+1</f>
        <v>46058</v>
      </c>
      <c r="AA22" s="660"/>
      <c r="AB22" s="660"/>
      <c r="AC22" s="660"/>
      <c r="AD22" s="660"/>
      <c r="AE22" s="659">
        <f>Z22+1</f>
        <v>46059</v>
      </c>
      <c r="AF22" s="660"/>
      <c r="AG22" s="660"/>
      <c r="AH22" s="660"/>
      <c r="AI22" s="660"/>
      <c r="AJ22" s="659">
        <f>AE22+1</f>
        <v>46060</v>
      </c>
      <c r="AK22" s="660"/>
      <c r="AL22" s="660"/>
      <c r="AM22" s="660"/>
      <c r="AN22" s="660"/>
      <c r="AO22" s="659">
        <f>AJ22+1</f>
        <v>46061</v>
      </c>
      <c r="AP22" s="660"/>
      <c r="AQ22" s="660"/>
      <c r="AR22" s="660"/>
      <c r="AS22" s="660"/>
      <c r="AT22" s="659">
        <f>AO22+1</f>
        <v>46062</v>
      </c>
      <c r="AU22" s="660"/>
      <c r="AV22" s="660"/>
      <c r="AW22" s="660"/>
      <c r="AX22" s="660"/>
    </row>
    <row r="23" spans="2:54" ht="15.75">
      <c r="B23" s="667"/>
      <c r="C23" s="667"/>
      <c r="D23" s="667"/>
      <c r="E23" s="667"/>
      <c r="F23" s="667"/>
      <c r="G23" s="667"/>
      <c r="H23" s="667"/>
      <c r="I23" s="205"/>
      <c r="J23" s="205"/>
      <c r="K23" s="205"/>
      <c r="L23" s="205"/>
      <c r="M23" s="206"/>
      <c r="N23" s="655"/>
      <c r="O23" s="655"/>
      <c r="P23" s="659" t="s">
        <v>336</v>
      </c>
      <c r="Q23" s="660"/>
      <c r="R23" s="660"/>
      <c r="S23" s="660"/>
      <c r="T23" s="660"/>
      <c r="U23" s="659" t="s">
        <v>337</v>
      </c>
      <c r="V23" s="660"/>
      <c r="W23" s="660"/>
      <c r="X23" s="660"/>
      <c r="Y23" s="660"/>
      <c r="Z23" s="659" t="s">
        <v>338</v>
      </c>
      <c r="AA23" s="660"/>
      <c r="AB23" s="660"/>
      <c r="AC23" s="660"/>
      <c r="AD23" s="660"/>
      <c r="AE23" s="659" t="s">
        <v>339</v>
      </c>
      <c r="AF23" s="660"/>
      <c r="AG23" s="660"/>
      <c r="AH23" s="660"/>
      <c r="AI23" s="660"/>
      <c r="AJ23" s="659" t="s">
        <v>340</v>
      </c>
      <c r="AK23" s="660"/>
      <c r="AL23" s="660"/>
      <c r="AM23" s="660"/>
      <c r="AN23" s="660"/>
      <c r="AO23" s="659" t="s">
        <v>341</v>
      </c>
      <c r="AP23" s="660"/>
      <c r="AQ23" s="660"/>
      <c r="AR23" s="660"/>
      <c r="AS23" s="660"/>
      <c r="AT23" s="659" t="s">
        <v>342</v>
      </c>
      <c r="AU23" s="660"/>
      <c r="AV23" s="660"/>
      <c r="AW23" s="660"/>
      <c r="AX23" s="660"/>
    </row>
    <row r="24" spans="2:54">
      <c r="B24" s="652" t="s">
        <v>563</v>
      </c>
      <c r="C24" s="652" t="s">
        <v>564</v>
      </c>
      <c r="D24" s="652"/>
      <c r="E24" s="652" t="s">
        <v>565</v>
      </c>
      <c r="F24" s="652"/>
      <c r="G24" s="652"/>
      <c r="H24" s="668" t="s">
        <v>536</v>
      </c>
      <c r="I24" s="636" t="s">
        <v>532</v>
      </c>
      <c r="J24" s="636"/>
      <c r="K24" s="636"/>
      <c r="L24" s="637" t="s">
        <v>536</v>
      </c>
      <c r="M24" s="643" t="s">
        <v>566</v>
      </c>
      <c r="N24" s="652"/>
      <c r="O24" s="652" t="s">
        <v>567</v>
      </c>
      <c r="P24" s="649" t="s">
        <v>534</v>
      </c>
      <c r="Q24" s="650"/>
      <c r="R24" s="650"/>
      <c r="S24" s="651"/>
      <c r="T24" s="652" t="s">
        <v>536</v>
      </c>
      <c r="U24" s="649" t="s">
        <v>534</v>
      </c>
      <c r="V24" s="650"/>
      <c r="W24" s="650"/>
      <c r="X24" s="651"/>
      <c r="Y24" s="652" t="s">
        <v>536</v>
      </c>
      <c r="Z24" s="649" t="s">
        <v>534</v>
      </c>
      <c r="AA24" s="650"/>
      <c r="AB24" s="650"/>
      <c r="AC24" s="651"/>
      <c r="AD24" s="652" t="s">
        <v>536</v>
      </c>
      <c r="AE24" s="649" t="s">
        <v>534</v>
      </c>
      <c r="AF24" s="650"/>
      <c r="AG24" s="650"/>
      <c r="AH24" s="651"/>
      <c r="AI24" s="652" t="s">
        <v>536</v>
      </c>
      <c r="AJ24" s="649" t="s">
        <v>534</v>
      </c>
      <c r="AK24" s="650"/>
      <c r="AL24" s="650"/>
      <c r="AM24" s="651"/>
      <c r="AN24" s="652" t="s">
        <v>536</v>
      </c>
      <c r="AO24" s="649" t="s">
        <v>534</v>
      </c>
      <c r="AP24" s="650"/>
      <c r="AQ24" s="650"/>
      <c r="AR24" s="651"/>
      <c r="AS24" s="652" t="s">
        <v>536</v>
      </c>
      <c r="AT24" s="649" t="s">
        <v>534</v>
      </c>
      <c r="AU24" s="650"/>
      <c r="AV24" s="650"/>
      <c r="AW24" s="651"/>
      <c r="AX24" s="652" t="s">
        <v>536</v>
      </c>
    </row>
    <row r="25" spans="2:54">
      <c r="B25" s="652"/>
      <c r="C25" s="652"/>
      <c r="D25" s="652"/>
      <c r="E25" s="652" t="s">
        <v>539</v>
      </c>
      <c r="F25" s="652"/>
      <c r="G25" s="652"/>
      <c r="H25" s="669"/>
      <c r="I25" s="636" t="s">
        <v>539</v>
      </c>
      <c r="J25" s="636"/>
      <c r="K25" s="636"/>
      <c r="L25" s="638"/>
      <c r="M25" s="644"/>
      <c r="N25" s="652"/>
      <c r="O25" s="652"/>
      <c r="P25" s="649" t="s">
        <v>540</v>
      </c>
      <c r="Q25" s="650"/>
      <c r="R25" s="650"/>
      <c r="S25" s="651"/>
      <c r="T25" s="652"/>
      <c r="U25" s="649" t="s">
        <v>540</v>
      </c>
      <c r="V25" s="650"/>
      <c r="W25" s="650"/>
      <c r="X25" s="651"/>
      <c r="Y25" s="652"/>
      <c r="Z25" s="649" t="s">
        <v>540</v>
      </c>
      <c r="AA25" s="650"/>
      <c r="AB25" s="650"/>
      <c r="AC25" s="651"/>
      <c r="AD25" s="652"/>
      <c r="AE25" s="649" t="s">
        <v>540</v>
      </c>
      <c r="AF25" s="650"/>
      <c r="AG25" s="650"/>
      <c r="AH25" s="651"/>
      <c r="AI25" s="652"/>
      <c r="AJ25" s="649" t="s">
        <v>540</v>
      </c>
      <c r="AK25" s="650"/>
      <c r="AL25" s="650"/>
      <c r="AM25" s="651"/>
      <c r="AN25" s="652"/>
      <c r="AO25" s="649" t="s">
        <v>540</v>
      </c>
      <c r="AP25" s="650"/>
      <c r="AQ25" s="650"/>
      <c r="AR25" s="651"/>
      <c r="AS25" s="652"/>
      <c r="AT25" s="649" t="s">
        <v>540</v>
      </c>
      <c r="AU25" s="650"/>
      <c r="AV25" s="650"/>
      <c r="AW25" s="651"/>
      <c r="AX25" s="652"/>
    </row>
    <row r="26" spans="2:54">
      <c r="B26" s="652"/>
      <c r="C26" s="652"/>
      <c r="D26" s="652"/>
      <c r="E26" s="321" t="s">
        <v>544</v>
      </c>
      <c r="F26" s="321" t="s">
        <v>568</v>
      </c>
      <c r="G26" s="321" t="s">
        <v>543</v>
      </c>
      <c r="H26" s="670"/>
      <c r="I26" s="320" t="s">
        <v>544</v>
      </c>
      <c r="J26" s="320" t="s">
        <v>568</v>
      </c>
      <c r="K26" s="320" t="s">
        <v>543</v>
      </c>
      <c r="L26" s="639"/>
      <c r="M26" s="645"/>
      <c r="N26" s="652"/>
      <c r="O26" s="652"/>
      <c r="P26" s="321" t="s">
        <v>544</v>
      </c>
      <c r="Q26" s="321" t="s">
        <v>568</v>
      </c>
      <c r="R26" s="321" t="s">
        <v>543</v>
      </c>
      <c r="S26" s="321" t="s">
        <v>566</v>
      </c>
      <c r="T26" s="652"/>
      <c r="U26" s="321" t="s">
        <v>544</v>
      </c>
      <c r="V26" s="321" t="s">
        <v>438</v>
      </c>
      <c r="W26" s="321" t="s">
        <v>543</v>
      </c>
      <c r="X26" s="321" t="s">
        <v>566</v>
      </c>
      <c r="Y26" s="652"/>
      <c r="Z26" s="321" t="s">
        <v>544</v>
      </c>
      <c r="AA26" s="321" t="s">
        <v>438</v>
      </c>
      <c r="AB26" s="321" t="s">
        <v>543</v>
      </c>
      <c r="AC26" s="321" t="s">
        <v>566</v>
      </c>
      <c r="AD26" s="652"/>
      <c r="AE26" s="321" t="s">
        <v>544</v>
      </c>
      <c r="AF26" s="321" t="s">
        <v>568</v>
      </c>
      <c r="AG26" s="321" t="s">
        <v>543</v>
      </c>
      <c r="AH26" s="321" t="s">
        <v>566</v>
      </c>
      <c r="AI26" s="652"/>
      <c r="AJ26" s="321" t="s">
        <v>544</v>
      </c>
      <c r="AK26" s="321" t="s">
        <v>568</v>
      </c>
      <c r="AL26" s="321" t="s">
        <v>543</v>
      </c>
      <c r="AM26" s="321" t="s">
        <v>566</v>
      </c>
      <c r="AN26" s="652"/>
      <c r="AO26" s="321" t="s">
        <v>544</v>
      </c>
      <c r="AP26" s="321" t="s">
        <v>568</v>
      </c>
      <c r="AQ26" s="321" t="s">
        <v>543</v>
      </c>
      <c r="AR26" s="321" t="s">
        <v>566</v>
      </c>
      <c r="AS26" s="652"/>
      <c r="AT26" s="321" t="s">
        <v>544</v>
      </c>
      <c r="AU26" s="321" t="s">
        <v>568</v>
      </c>
      <c r="AV26" s="321" t="s">
        <v>543</v>
      </c>
      <c r="AW26" s="321" t="s">
        <v>566</v>
      </c>
      <c r="AX26" s="652"/>
    </row>
    <row r="27" spans="2:54">
      <c r="B27" s="652" t="s">
        <v>569</v>
      </c>
      <c r="C27" s="322">
        <v>1</v>
      </c>
      <c r="D27" s="227" t="s">
        <v>394</v>
      </c>
      <c r="E27" s="182">
        <v>6</v>
      </c>
      <c r="F27" s="322">
        <v>1500</v>
      </c>
      <c r="G27" s="323">
        <v>250</v>
      </c>
      <c r="H27" s="701">
        <f>AVERAGE(G27:G41)</f>
        <v>185.35</v>
      </c>
      <c r="I27" s="199">
        <f t="shared" ref="I27:K32" si="12">AVERAGE(P27,U27,Z27,AE27,AJ27,AO27,AT27)</f>
        <v>7</v>
      </c>
      <c r="J27" s="199">
        <f t="shared" si="12"/>
        <v>1310.9666191622848</v>
      </c>
      <c r="K27" s="200">
        <f t="shared" si="12"/>
        <v>187.28094559461209</v>
      </c>
      <c r="L27" s="633">
        <f>IFERROR(AVERAGE(K27:K41),"-")</f>
        <v>157.4761610896756</v>
      </c>
      <c r="M27" s="201">
        <f>RANK(K27, K$27:$K$41)</f>
        <v>5</v>
      </c>
      <c r="N27" s="652"/>
      <c r="O27" s="652"/>
      <c r="P27" s="182">
        <v>7</v>
      </c>
      <c r="Q27" s="182">
        <v>1308.1578947368419</v>
      </c>
      <c r="R27" s="182">
        <v>186.87969924812026</v>
      </c>
      <c r="S27" s="322">
        <f t="shared" ref="S27:S41" si="13">RANK(R27, R$27:R$41)</f>
        <v>5</v>
      </c>
      <c r="T27" s="661">
        <f>AVERAGE(R27:R41)</f>
        <v>156.00631805374891</v>
      </c>
      <c r="U27" s="182">
        <v>7</v>
      </c>
      <c r="V27" s="182">
        <v>1309.7368421052629</v>
      </c>
      <c r="W27" s="182">
        <v>187.10526315789471</v>
      </c>
      <c r="X27" s="477">
        <f t="shared" ref="X27:X41" si="14">RANK(W27, W$27:W$41)</f>
        <v>5</v>
      </c>
      <c r="Y27" s="661">
        <f t="shared" ref="Y27" si="15">AVERAGE(W27:W41)</f>
        <v>171.46569745330112</v>
      </c>
      <c r="Z27" s="182">
        <v>7</v>
      </c>
      <c r="AA27" s="182">
        <v>1315.1999999999996</v>
      </c>
      <c r="AB27" s="182">
        <v>187.88571428571422</v>
      </c>
      <c r="AC27" s="477">
        <f t="shared" ref="AC27:AC41" si="16">RANK(AB27, AB$27:AB$41)</f>
        <v>5</v>
      </c>
      <c r="AD27" s="661">
        <f t="shared" ref="AD27" si="17">AVERAGE(AB27:AB41)</f>
        <v>171.48918963123387</v>
      </c>
      <c r="AE27" s="182">
        <v>7</v>
      </c>
      <c r="AF27" s="182">
        <v>1328.421052631579</v>
      </c>
      <c r="AG27" s="182">
        <v>189.77443609022558</v>
      </c>
      <c r="AH27" s="477">
        <f t="shared" ref="AH27:AH41" si="18">RANK(AG27, AG$27:AG$41)</f>
        <v>5</v>
      </c>
      <c r="AI27" s="661">
        <f t="shared" ref="AI27" si="19">AVERAGE(AG27:AG41)</f>
        <v>172.33118829715588</v>
      </c>
      <c r="AJ27" s="182">
        <v>7</v>
      </c>
      <c r="AK27" s="182">
        <v>1311.1764705882351</v>
      </c>
      <c r="AL27" s="182">
        <v>187.31092436974788</v>
      </c>
      <c r="AM27" s="477">
        <f t="shared" ref="AM27:AM41" si="20">RANK(AL27, AL$27:AL$41)</f>
        <v>5</v>
      </c>
      <c r="AN27" s="661">
        <f t="shared" ref="AN27" si="21">AVERAGE(AL27:AL41)</f>
        <v>173.21685077832763</v>
      </c>
      <c r="AO27" s="182">
        <v>7</v>
      </c>
      <c r="AP27" s="182">
        <v>1303.3333333333328</v>
      </c>
      <c r="AQ27" s="182">
        <v>186.19047619047612</v>
      </c>
      <c r="AR27" s="477">
        <f t="shared" ref="AR27:AR41" si="22">RANK(AQ27, AQ$27:AQ$41)</f>
        <v>5</v>
      </c>
      <c r="AS27" s="661">
        <f t="shared" ref="AS27" si="23">AVERAGE(AQ27:AQ41)</f>
        <v>171.17242014517916</v>
      </c>
      <c r="AT27" s="182">
        <v>7</v>
      </c>
      <c r="AU27" s="182">
        <v>1300.7407407407409</v>
      </c>
      <c r="AV27" s="182">
        <v>185.82010582010585</v>
      </c>
      <c r="AW27" s="477">
        <f t="shared" ref="AW27:AW41" si="24">RANK(AV27, AV$27:AV$41)</f>
        <v>5</v>
      </c>
      <c r="AX27" s="674">
        <f t="shared" ref="AX27" si="25">AVERAGE(AV27:AV41)</f>
        <v>170.89010081517634</v>
      </c>
    </row>
    <row r="28" spans="2:54">
      <c r="B28" s="660"/>
      <c r="C28" s="322">
        <v>2</v>
      </c>
      <c r="D28" s="227" t="s">
        <v>395</v>
      </c>
      <c r="E28" s="182">
        <v>6</v>
      </c>
      <c r="F28" s="322">
        <v>1500</v>
      </c>
      <c r="G28" s="323">
        <v>250</v>
      </c>
      <c r="H28" s="702"/>
      <c r="I28" s="199">
        <f t="shared" si="12"/>
        <v>7</v>
      </c>
      <c r="J28" s="199">
        <f t="shared" si="12"/>
        <v>1459.9584648258137</v>
      </c>
      <c r="K28" s="200">
        <f t="shared" si="12"/>
        <v>208.56549497511628</v>
      </c>
      <c r="L28" s="634"/>
      <c r="M28" s="201">
        <f>RANK(K28, K$27:$K$41)</f>
        <v>3</v>
      </c>
      <c r="N28" s="652"/>
      <c r="O28" s="652"/>
      <c r="P28" s="182">
        <v>7</v>
      </c>
      <c r="Q28" s="182">
        <v>1497.1962616822429</v>
      </c>
      <c r="R28" s="182">
        <v>213.88518024032041</v>
      </c>
      <c r="S28" s="322">
        <f t="shared" si="13"/>
        <v>2</v>
      </c>
      <c r="T28" s="662"/>
      <c r="U28" s="182">
        <v>7</v>
      </c>
      <c r="V28" s="182">
        <v>1431.578947368421</v>
      </c>
      <c r="W28" s="182">
        <v>204.51127819548873</v>
      </c>
      <c r="X28" s="477">
        <f t="shared" si="14"/>
        <v>4</v>
      </c>
      <c r="Y28" s="662"/>
      <c r="Z28" s="182">
        <v>7</v>
      </c>
      <c r="AA28" s="182">
        <v>1458.8888888888887</v>
      </c>
      <c r="AB28" s="182">
        <v>208.41269841269838</v>
      </c>
      <c r="AC28" s="477">
        <f t="shared" si="16"/>
        <v>3</v>
      </c>
      <c r="AD28" s="662"/>
      <c r="AE28" s="182">
        <v>7</v>
      </c>
      <c r="AF28" s="182">
        <v>1469.6629213483147</v>
      </c>
      <c r="AG28" s="182">
        <v>209.95184590690209</v>
      </c>
      <c r="AH28" s="477">
        <f t="shared" si="18"/>
        <v>3</v>
      </c>
      <c r="AI28" s="662"/>
      <c r="AJ28" s="182">
        <v>7</v>
      </c>
      <c r="AK28" s="182">
        <v>1483.0434782608695</v>
      </c>
      <c r="AL28" s="182">
        <v>211.86335403726707</v>
      </c>
      <c r="AM28" s="477">
        <f t="shared" si="20"/>
        <v>3</v>
      </c>
      <c r="AN28" s="662"/>
      <c r="AO28" s="182">
        <v>7</v>
      </c>
      <c r="AP28" s="182">
        <v>1445.8252427184473</v>
      </c>
      <c r="AQ28" s="182">
        <v>206.54646324549248</v>
      </c>
      <c r="AR28" s="477">
        <f t="shared" si="22"/>
        <v>4</v>
      </c>
      <c r="AS28" s="662"/>
      <c r="AT28" s="182">
        <v>7</v>
      </c>
      <c r="AU28" s="182">
        <v>1433.5135135135135</v>
      </c>
      <c r="AV28" s="182">
        <v>204.78764478764478</v>
      </c>
      <c r="AW28" s="477">
        <f t="shared" si="24"/>
        <v>4</v>
      </c>
      <c r="AX28" s="674"/>
    </row>
    <row r="29" spans="2:54">
      <c r="B29" s="660"/>
      <c r="C29" s="322">
        <v>3</v>
      </c>
      <c r="D29" s="227" t="s">
        <v>349</v>
      </c>
      <c r="E29" s="182">
        <v>19</v>
      </c>
      <c r="F29" s="322">
        <v>1500</v>
      </c>
      <c r="G29" s="323">
        <v>78.900000000000006</v>
      </c>
      <c r="H29" s="702"/>
      <c r="I29" s="199">
        <f t="shared" si="12"/>
        <v>18</v>
      </c>
      <c r="J29" s="199">
        <f t="shared" si="12"/>
        <v>1270.0456782388412</v>
      </c>
      <c r="K29" s="200">
        <f t="shared" si="12"/>
        <v>70.558093235491199</v>
      </c>
      <c r="L29" s="634"/>
      <c r="M29" s="201">
        <f>RANK(K29, K$27:$K$41)</f>
        <v>7</v>
      </c>
      <c r="N29" s="652"/>
      <c r="O29" s="652"/>
      <c r="P29" s="182">
        <v>18</v>
      </c>
      <c r="Q29" s="182">
        <v>1284.6511627906973</v>
      </c>
      <c r="R29" s="182">
        <v>71.369509043927621</v>
      </c>
      <c r="S29" s="322">
        <f t="shared" si="13"/>
        <v>7</v>
      </c>
      <c r="T29" s="662"/>
      <c r="U29" s="182">
        <v>18</v>
      </c>
      <c r="V29" s="182">
        <v>1266.5624999999998</v>
      </c>
      <c r="W29" s="182">
        <v>70.364583333333314</v>
      </c>
      <c r="X29" s="477">
        <f t="shared" si="14"/>
        <v>7</v>
      </c>
      <c r="Y29" s="662"/>
      <c r="Z29" s="182">
        <v>18</v>
      </c>
      <c r="AA29" s="182">
        <v>1271.1864406779662</v>
      </c>
      <c r="AB29" s="182">
        <v>70.621468926553675</v>
      </c>
      <c r="AC29" s="477">
        <f t="shared" si="16"/>
        <v>7</v>
      </c>
      <c r="AD29" s="662"/>
      <c r="AE29" s="182">
        <v>18</v>
      </c>
      <c r="AF29" s="182">
        <v>1252.2222222222219</v>
      </c>
      <c r="AG29" s="182">
        <v>69.567901234567884</v>
      </c>
      <c r="AH29" s="477">
        <f t="shared" si="18"/>
        <v>7</v>
      </c>
      <c r="AI29" s="662"/>
      <c r="AJ29" s="182">
        <v>18</v>
      </c>
      <c r="AK29" s="182">
        <v>1277.0000000000002</v>
      </c>
      <c r="AL29" s="182">
        <v>70.944444444444457</v>
      </c>
      <c r="AM29" s="477">
        <f t="shared" si="20"/>
        <v>7</v>
      </c>
      <c r="AN29" s="662"/>
      <c r="AO29" s="182">
        <v>18</v>
      </c>
      <c r="AP29" s="182">
        <v>1252.7272727272734</v>
      </c>
      <c r="AQ29" s="182">
        <v>69.595959595959641</v>
      </c>
      <c r="AR29" s="477">
        <f t="shared" si="22"/>
        <v>7</v>
      </c>
      <c r="AS29" s="662"/>
      <c r="AT29" s="182">
        <v>18</v>
      </c>
      <c r="AU29" s="182">
        <v>1285.9701492537306</v>
      </c>
      <c r="AV29" s="182">
        <v>71.442786069651703</v>
      </c>
      <c r="AW29" s="477">
        <f t="shared" si="24"/>
        <v>7</v>
      </c>
      <c r="AX29" s="674"/>
    </row>
    <row r="30" spans="2:54">
      <c r="B30" s="660"/>
      <c r="C30" s="322">
        <v>4</v>
      </c>
      <c r="D30" s="227" t="s">
        <v>396</v>
      </c>
      <c r="E30" s="182">
        <v>17</v>
      </c>
      <c r="F30" s="322">
        <v>1440</v>
      </c>
      <c r="G30" s="323">
        <v>84.7</v>
      </c>
      <c r="H30" s="702"/>
      <c r="I30" s="199">
        <f t="shared" si="12"/>
        <v>16.857142857142858</v>
      </c>
      <c r="J30" s="199">
        <f t="shared" si="12"/>
        <v>1270.2836615552224</v>
      </c>
      <c r="K30" s="200">
        <f t="shared" si="12"/>
        <v>75.39547773444329</v>
      </c>
      <c r="L30" s="634"/>
      <c r="M30" s="201">
        <f>RANK(K30, K$27:$K$41)</f>
        <v>6</v>
      </c>
      <c r="N30" s="652"/>
      <c r="O30" s="652"/>
      <c r="P30" s="182">
        <v>16</v>
      </c>
      <c r="Q30" s="182">
        <v>1281.2195121951213</v>
      </c>
      <c r="R30" s="182">
        <v>80.076219512195081</v>
      </c>
      <c r="S30" s="322">
        <f t="shared" si="13"/>
        <v>6</v>
      </c>
      <c r="T30" s="662"/>
      <c r="U30" s="182">
        <v>17</v>
      </c>
      <c r="V30" s="182">
        <v>1268.3544303797476</v>
      </c>
      <c r="W30" s="182">
        <v>74.609084139985157</v>
      </c>
      <c r="X30" s="477">
        <f t="shared" si="14"/>
        <v>6</v>
      </c>
      <c r="Y30" s="662"/>
      <c r="Z30" s="182">
        <v>17</v>
      </c>
      <c r="AA30" s="182">
        <v>1258.4999999999995</v>
      </c>
      <c r="AB30" s="182">
        <v>74.029411764705856</v>
      </c>
      <c r="AC30" s="477">
        <f t="shared" si="16"/>
        <v>6</v>
      </c>
      <c r="AD30" s="662"/>
      <c r="AE30" s="182">
        <v>17</v>
      </c>
      <c r="AF30" s="182">
        <v>1269.9999999999995</v>
      </c>
      <c r="AG30" s="182">
        <v>74.705882352941146</v>
      </c>
      <c r="AH30" s="477">
        <f t="shared" si="18"/>
        <v>6</v>
      </c>
      <c r="AI30" s="662"/>
      <c r="AJ30" s="182">
        <v>17</v>
      </c>
      <c r="AK30" s="182">
        <v>1275.5844155844161</v>
      </c>
      <c r="AL30" s="182">
        <v>75.0343773873186</v>
      </c>
      <c r="AM30" s="477">
        <f t="shared" si="20"/>
        <v>6</v>
      </c>
      <c r="AN30" s="662"/>
      <c r="AO30" s="182">
        <v>17</v>
      </c>
      <c r="AP30" s="182">
        <v>1269.9272727272735</v>
      </c>
      <c r="AQ30" s="182">
        <v>74.70160427807491</v>
      </c>
      <c r="AR30" s="477">
        <f t="shared" si="22"/>
        <v>6</v>
      </c>
      <c r="AS30" s="662"/>
      <c r="AT30" s="182">
        <v>17</v>
      </c>
      <c r="AU30" s="182">
        <v>1268.3999999999992</v>
      </c>
      <c r="AV30" s="182">
        <v>74.611764705882308</v>
      </c>
      <c r="AW30" s="477">
        <f t="shared" si="24"/>
        <v>6</v>
      </c>
      <c r="AX30" s="674"/>
    </row>
    <row r="31" spans="2:54">
      <c r="B31" s="660"/>
      <c r="C31" s="322">
        <v>5</v>
      </c>
      <c r="D31" s="227" t="s">
        <v>470</v>
      </c>
      <c r="E31" s="182">
        <v>6</v>
      </c>
      <c r="F31" s="322">
        <v>1500</v>
      </c>
      <c r="G31" s="323">
        <v>250</v>
      </c>
      <c r="H31" s="702"/>
      <c r="I31" s="199">
        <f t="shared" si="12"/>
        <v>7</v>
      </c>
      <c r="J31" s="199">
        <f t="shared" si="12"/>
        <v>1457.4525567082708</v>
      </c>
      <c r="K31" s="200">
        <f t="shared" si="12"/>
        <v>208.2075081011815</v>
      </c>
      <c r="L31" s="634"/>
      <c r="M31" s="201">
        <f>RANK(K31, K$27:$K$41)</f>
        <v>4</v>
      </c>
      <c r="N31" s="652"/>
      <c r="O31" s="652"/>
      <c r="P31" s="182">
        <v>7</v>
      </c>
      <c r="Q31" s="182">
        <v>1490.3773584905662</v>
      </c>
      <c r="R31" s="182">
        <v>212.91105121293802</v>
      </c>
      <c r="S31" s="322">
        <f t="shared" si="13"/>
        <v>3</v>
      </c>
      <c r="T31" s="662"/>
      <c r="U31" s="182">
        <v>7</v>
      </c>
      <c r="V31" s="182">
        <v>1453.3980582524273</v>
      </c>
      <c r="W31" s="182">
        <v>207.62829403606105</v>
      </c>
      <c r="X31" s="477">
        <f t="shared" si="14"/>
        <v>3</v>
      </c>
      <c r="Y31" s="662"/>
      <c r="Z31" s="182">
        <v>7</v>
      </c>
      <c r="AA31" s="182">
        <v>1449.9029126213593</v>
      </c>
      <c r="AB31" s="182">
        <v>207.12898751733704</v>
      </c>
      <c r="AC31" s="477">
        <f t="shared" si="16"/>
        <v>4</v>
      </c>
      <c r="AD31" s="662"/>
      <c r="AE31" s="182">
        <v>7</v>
      </c>
      <c r="AF31" s="182">
        <v>1435.1162790697679</v>
      </c>
      <c r="AG31" s="182">
        <v>205.01661129568112</v>
      </c>
      <c r="AH31" s="477">
        <f t="shared" si="18"/>
        <v>4</v>
      </c>
      <c r="AI31" s="662"/>
      <c r="AJ31" s="182">
        <v>7</v>
      </c>
      <c r="AK31" s="182">
        <v>1467.3333333333333</v>
      </c>
      <c r="AL31" s="182">
        <v>209.61904761904762</v>
      </c>
      <c r="AM31" s="477">
        <f t="shared" si="20"/>
        <v>4</v>
      </c>
      <c r="AN31" s="662"/>
      <c r="AO31" s="182">
        <v>7</v>
      </c>
      <c r="AP31" s="182">
        <v>1448.1553398058254</v>
      </c>
      <c r="AQ31" s="182">
        <v>206.87933425797505</v>
      </c>
      <c r="AR31" s="477">
        <f t="shared" si="22"/>
        <v>3</v>
      </c>
      <c r="AS31" s="662"/>
      <c r="AT31" s="182">
        <v>7</v>
      </c>
      <c r="AU31" s="182">
        <v>1457.8846153846157</v>
      </c>
      <c r="AV31" s="182">
        <v>208.2692307692308</v>
      </c>
      <c r="AW31" s="477">
        <f t="shared" si="24"/>
        <v>3</v>
      </c>
      <c r="AX31" s="674"/>
    </row>
    <row r="32" spans="2:54">
      <c r="B32" s="660"/>
      <c r="C32" s="322">
        <v>6</v>
      </c>
      <c r="D32" s="227" t="s">
        <v>954</v>
      </c>
      <c r="E32" s="182">
        <v>6</v>
      </c>
      <c r="F32" s="322">
        <v>1500</v>
      </c>
      <c r="G32" s="323">
        <v>250</v>
      </c>
      <c r="H32" s="702"/>
      <c r="I32" s="199">
        <f t="shared" si="12"/>
        <v>5</v>
      </c>
      <c r="J32" s="199">
        <f t="shared" si="12"/>
        <v>1130.3487354750512</v>
      </c>
      <c r="K32" s="200">
        <f t="shared" si="12"/>
        <v>226.06974709501023</v>
      </c>
      <c r="L32" s="634"/>
      <c r="M32" s="201">
        <f>RANK(K32, K$27:$K$41)</f>
        <v>1</v>
      </c>
      <c r="N32" s="652"/>
      <c r="O32" s="652"/>
      <c r="P32" s="182">
        <v>5</v>
      </c>
      <c r="Q32" s="182">
        <v>1142.9999999999995</v>
      </c>
      <c r="R32" s="182">
        <v>228.59999999999991</v>
      </c>
      <c r="S32" s="322">
        <f t="shared" si="13"/>
        <v>1</v>
      </c>
      <c r="T32" s="662"/>
      <c r="U32" s="182">
        <v>5</v>
      </c>
      <c r="V32" s="182">
        <v>1128.0000000000002</v>
      </c>
      <c r="W32" s="182">
        <v>225.60000000000005</v>
      </c>
      <c r="X32" s="477">
        <f t="shared" si="14"/>
        <v>2</v>
      </c>
      <c r="Y32" s="662"/>
      <c r="Z32" s="182">
        <v>5</v>
      </c>
      <c r="AA32" s="182">
        <v>1120.8000000000004</v>
      </c>
      <c r="AB32" s="182">
        <v>224.16000000000008</v>
      </c>
      <c r="AC32" s="477">
        <f t="shared" si="16"/>
        <v>2</v>
      </c>
      <c r="AD32" s="662"/>
      <c r="AE32" s="182">
        <v>5</v>
      </c>
      <c r="AF32" s="182">
        <v>1127.3684210526308</v>
      </c>
      <c r="AG32" s="182">
        <v>225.47368421052616</v>
      </c>
      <c r="AH32" s="477">
        <f t="shared" si="18"/>
        <v>2</v>
      </c>
      <c r="AI32" s="662"/>
      <c r="AJ32" s="182">
        <v>5</v>
      </c>
      <c r="AK32" s="182">
        <v>1137.2727272727273</v>
      </c>
      <c r="AL32" s="182">
        <v>227.45454545454544</v>
      </c>
      <c r="AM32" s="477">
        <f t="shared" si="20"/>
        <v>2</v>
      </c>
      <c r="AN32" s="662"/>
      <c r="AO32" s="182">
        <v>5</v>
      </c>
      <c r="AP32" s="182">
        <v>1140.0000000000005</v>
      </c>
      <c r="AQ32" s="182">
        <v>228.00000000000009</v>
      </c>
      <c r="AR32" s="477">
        <f t="shared" si="22"/>
        <v>1</v>
      </c>
      <c r="AS32" s="662"/>
      <c r="AT32" s="182">
        <v>5</v>
      </c>
      <c r="AU32" s="182">
        <v>1116.0000000000002</v>
      </c>
      <c r="AV32" s="182">
        <v>223.20000000000005</v>
      </c>
      <c r="AW32" s="477">
        <f t="shared" si="24"/>
        <v>2</v>
      </c>
      <c r="AX32" s="674"/>
    </row>
    <row r="33" spans="2:50">
      <c r="B33" s="660"/>
      <c r="C33" s="322">
        <v>7</v>
      </c>
      <c r="D33" s="227" t="s">
        <v>706</v>
      </c>
      <c r="E33" s="182">
        <v>20</v>
      </c>
      <c r="F33" s="322">
        <v>1385</v>
      </c>
      <c r="G33" s="323">
        <v>69.2</v>
      </c>
      <c r="H33" s="702"/>
      <c r="I33" s="459">
        <f t="shared" ref="I33:I34" si="26">AVERAGE(P33,U33,Z33,AE33,AJ33,AO33,AT33)</f>
        <v>19</v>
      </c>
      <c r="J33" s="459">
        <f t="shared" ref="J33:J34" si="27">AVERAGE(Q33,V33,AA33,AF33,AK33,AP33,AU33)</f>
        <v>1129.4117647058808</v>
      </c>
      <c r="K33" s="200">
        <f t="shared" ref="K33:K34" si="28">AVERAGE(R33,W33,AB33,AG33,AL33,AQ33,AV33)</f>
        <v>59.442724458204253</v>
      </c>
      <c r="L33" s="634"/>
      <c r="M33" s="201">
        <f>RANK(K33, K$27:$K$41)</f>
        <v>8</v>
      </c>
      <c r="N33" s="652"/>
      <c r="O33" s="652"/>
      <c r="P33" s="182">
        <v>19</v>
      </c>
      <c r="Q33" s="182">
        <v>1129.4117647058808</v>
      </c>
      <c r="R33" s="182">
        <v>59.442724458204253</v>
      </c>
      <c r="S33" s="322">
        <f t="shared" si="13"/>
        <v>8</v>
      </c>
      <c r="T33" s="662"/>
      <c r="U33" s="182" t="s">
        <v>779</v>
      </c>
      <c r="V33" s="182" t="s">
        <v>779</v>
      </c>
      <c r="W33" s="182" t="s">
        <v>779</v>
      </c>
      <c r="X33" s="477" t="e">
        <f t="shared" si="14"/>
        <v>#VALUE!</v>
      </c>
      <c r="Y33" s="662"/>
      <c r="Z33" s="182" t="s">
        <v>779</v>
      </c>
      <c r="AA33" s="182" t="s">
        <v>779</v>
      </c>
      <c r="AB33" s="182" t="s">
        <v>779</v>
      </c>
      <c r="AC33" s="477" t="e">
        <f t="shared" si="16"/>
        <v>#VALUE!</v>
      </c>
      <c r="AD33" s="662"/>
      <c r="AE33" s="182" t="s">
        <v>779</v>
      </c>
      <c r="AF33" s="182" t="s">
        <v>779</v>
      </c>
      <c r="AG33" s="182" t="s">
        <v>779</v>
      </c>
      <c r="AH33" s="477" t="e">
        <f t="shared" si="18"/>
        <v>#VALUE!</v>
      </c>
      <c r="AI33" s="662"/>
      <c r="AJ33" s="182" t="s">
        <v>779</v>
      </c>
      <c r="AK33" s="182" t="s">
        <v>779</v>
      </c>
      <c r="AL33" s="182" t="s">
        <v>779</v>
      </c>
      <c r="AM33" s="477" t="e">
        <f t="shared" si="20"/>
        <v>#VALUE!</v>
      </c>
      <c r="AN33" s="662"/>
      <c r="AO33" s="182" t="s">
        <v>779</v>
      </c>
      <c r="AP33" s="182" t="s">
        <v>779</v>
      </c>
      <c r="AQ33" s="182" t="s">
        <v>779</v>
      </c>
      <c r="AR33" s="477" t="e">
        <f t="shared" si="22"/>
        <v>#VALUE!</v>
      </c>
      <c r="AS33" s="662"/>
      <c r="AT33" s="182" t="s">
        <v>779</v>
      </c>
      <c r="AU33" s="182" t="s">
        <v>779</v>
      </c>
      <c r="AV33" s="182" t="s">
        <v>779</v>
      </c>
      <c r="AW33" s="477" t="e">
        <f t="shared" si="24"/>
        <v>#VALUE!</v>
      </c>
      <c r="AX33" s="674"/>
    </row>
    <row r="34" spans="2:50">
      <c r="B34" s="660"/>
      <c r="C34" s="322">
        <v>8</v>
      </c>
      <c r="D34" s="227" t="s">
        <v>964</v>
      </c>
      <c r="E34" s="182">
        <v>6</v>
      </c>
      <c r="F34" s="322">
        <v>1500</v>
      </c>
      <c r="G34" s="323">
        <v>250</v>
      </c>
      <c r="H34" s="702"/>
      <c r="I34" s="459">
        <f t="shared" si="26"/>
        <v>6.1428571428571432</v>
      </c>
      <c r="J34" s="459">
        <f t="shared" si="27"/>
        <v>1373.5766652421175</v>
      </c>
      <c r="K34" s="200">
        <f t="shared" si="28"/>
        <v>224.28929752334611</v>
      </c>
      <c r="L34" s="634"/>
      <c r="M34" s="201">
        <f>RANK(K34, K$27:$K$41)</f>
        <v>2</v>
      </c>
      <c r="N34" s="652"/>
      <c r="O34" s="652"/>
      <c r="P34" s="551">
        <v>7</v>
      </c>
      <c r="Q34" s="182">
        <v>1364.2031249999998</v>
      </c>
      <c r="R34" s="552">
        <v>194.88616071428569</v>
      </c>
      <c r="S34" s="322">
        <f t="shared" si="13"/>
        <v>4</v>
      </c>
      <c r="T34" s="662"/>
      <c r="U34" s="551">
        <v>6</v>
      </c>
      <c r="V34" s="182">
        <v>1382.6482758620687</v>
      </c>
      <c r="W34" s="552">
        <v>230.44137931034479</v>
      </c>
      <c r="X34" s="477">
        <f t="shared" si="14"/>
        <v>1</v>
      </c>
      <c r="Y34" s="662"/>
      <c r="Z34" s="551">
        <v>6</v>
      </c>
      <c r="AA34" s="182">
        <v>1369.1162790697676</v>
      </c>
      <c r="AB34" s="552">
        <v>228.18604651162795</v>
      </c>
      <c r="AC34" s="477">
        <f t="shared" si="16"/>
        <v>1</v>
      </c>
      <c r="AD34" s="662"/>
      <c r="AE34" s="551">
        <v>6</v>
      </c>
      <c r="AF34" s="182">
        <v>1390.9677419354834</v>
      </c>
      <c r="AG34" s="552">
        <v>231.82795698924724</v>
      </c>
      <c r="AH34" s="477">
        <f t="shared" si="18"/>
        <v>1</v>
      </c>
      <c r="AI34" s="662"/>
      <c r="AJ34" s="551">
        <v>6</v>
      </c>
      <c r="AK34" s="182">
        <v>1381.7475728155339</v>
      </c>
      <c r="AL34" s="552">
        <v>230.29126213592232</v>
      </c>
      <c r="AM34" s="477">
        <f t="shared" si="20"/>
        <v>1</v>
      </c>
      <c r="AN34" s="662"/>
      <c r="AO34" s="551">
        <v>6</v>
      </c>
      <c r="AP34" s="182">
        <v>1357.7586206896553</v>
      </c>
      <c r="AQ34" s="552">
        <v>226.2931034482759</v>
      </c>
      <c r="AR34" s="477">
        <f t="shared" si="22"/>
        <v>2</v>
      </c>
      <c r="AS34" s="662"/>
      <c r="AT34" s="551">
        <v>6</v>
      </c>
      <c r="AU34" s="182">
        <v>1368.595041322314</v>
      </c>
      <c r="AV34" s="552">
        <v>228.099173553719</v>
      </c>
      <c r="AW34" s="477">
        <f t="shared" si="24"/>
        <v>1</v>
      </c>
      <c r="AX34" s="674"/>
    </row>
    <row r="35" spans="2:50">
      <c r="B35" s="660"/>
      <c r="C35" s="322">
        <v>9</v>
      </c>
      <c r="D35" s="227"/>
      <c r="E35" s="182"/>
      <c r="F35" s="322"/>
      <c r="G35" s="323"/>
      <c r="H35" s="702"/>
      <c r="I35" s="199"/>
      <c r="J35" s="199"/>
      <c r="K35" s="200"/>
      <c r="L35" s="634"/>
      <c r="M35" s="201" t="e">
        <f>RANK(K35, K$27:$K$41)</f>
        <v>#N/A</v>
      </c>
      <c r="N35" s="652"/>
      <c r="O35" s="652"/>
      <c r="P35" s="551"/>
      <c r="Q35" s="182"/>
      <c r="R35" s="552"/>
      <c r="S35" s="322" t="e">
        <f t="shared" si="13"/>
        <v>#N/A</v>
      </c>
      <c r="T35" s="662"/>
      <c r="U35" s="551"/>
      <c r="V35" s="182"/>
      <c r="W35" s="552"/>
      <c r="X35" s="477" t="e">
        <f t="shared" si="14"/>
        <v>#N/A</v>
      </c>
      <c r="Y35" s="662"/>
      <c r="Z35" s="551"/>
      <c r="AA35" s="182"/>
      <c r="AB35" s="552"/>
      <c r="AC35" s="477" t="e">
        <f t="shared" si="16"/>
        <v>#N/A</v>
      </c>
      <c r="AD35" s="662"/>
      <c r="AE35" s="551"/>
      <c r="AF35" s="182"/>
      <c r="AG35" s="552"/>
      <c r="AH35" s="477" t="e">
        <f t="shared" si="18"/>
        <v>#N/A</v>
      </c>
      <c r="AI35" s="662"/>
      <c r="AJ35" s="551"/>
      <c r="AK35" s="182"/>
      <c r="AL35" s="552"/>
      <c r="AM35" s="477" t="e">
        <f t="shared" si="20"/>
        <v>#N/A</v>
      </c>
      <c r="AN35" s="662"/>
      <c r="AO35" s="551"/>
      <c r="AP35" s="182"/>
      <c r="AQ35" s="552"/>
      <c r="AR35" s="477" t="e">
        <f t="shared" si="22"/>
        <v>#N/A</v>
      </c>
      <c r="AS35" s="662"/>
      <c r="AT35" s="551"/>
      <c r="AU35" s="182"/>
      <c r="AV35" s="552"/>
      <c r="AW35" s="477" t="e">
        <f t="shared" si="24"/>
        <v>#N/A</v>
      </c>
      <c r="AX35" s="674"/>
    </row>
    <row r="36" spans="2:50">
      <c r="B36" s="660"/>
      <c r="C36" s="322">
        <v>10</v>
      </c>
      <c r="D36" s="227"/>
      <c r="E36" s="182"/>
      <c r="F36" s="322"/>
      <c r="G36" s="323"/>
      <c r="H36" s="702"/>
      <c r="I36" s="199"/>
      <c r="J36" s="199"/>
      <c r="K36" s="200"/>
      <c r="L36" s="634"/>
      <c r="M36" s="201" t="e">
        <f>RANK(K36, K$27:$K$41)</f>
        <v>#N/A</v>
      </c>
      <c r="N36" s="652"/>
      <c r="O36" s="652"/>
      <c r="P36" s="551"/>
      <c r="Q36" s="182"/>
      <c r="R36" s="552"/>
      <c r="S36" s="322" t="e">
        <f t="shared" si="13"/>
        <v>#N/A</v>
      </c>
      <c r="T36" s="662"/>
      <c r="U36" s="551"/>
      <c r="V36" s="182"/>
      <c r="W36" s="552"/>
      <c r="X36" s="477" t="e">
        <f t="shared" si="14"/>
        <v>#N/A</v>
      </c>
      <c r="Y36" s="662"/>
      <c r="Z36" s="551"/>
      <c r="AA36" s="182"/>
      <c r="AB36" s="552"/>
      <c r="AC36" s="477" t="e">
        <f t="shared" si="16"/>
        <v>#N/A</v>
      </c>
      <c r="AD36" s="662"/>
      <c r="AE36" s="551"/>
      <c r="AF36" s="182"/>
      <c r="AG36" s="552"/>
      <c r="AH36" s="477" t="e">
        <f t="shared" si="18"/>
        <v>#N/A</v>
      </c>
      <c r="AI36" s="662"/>
      <c r="AJ36" s="551"/>
      <c r="AK36" s="182"/>
      <c r="AL36" s="552"/>
      <c r="AM36" s="477" t="e">
        <f t="shared" si="20"/>
        <v>#N/A</v>
      </c>
      <c r="AN36" s="662"/>
      <c r="AO36" s="551"/>
      <c r="AP36" s="182"/>
      <c r="AQ36" s="552"/>
      <c r="AR36" s="477" t="e">
        <f t="shared" si="22"/>
        <v>#N/A</v>
      </c>
      <c r="AS36" s="662"/>
      <c r="AT36" s="551"/>
      <c r="AU36" s="182"/>
      <c r="AV36" s="552"/>
      <c r="AW36" s="477" t="e">
        <f t="shared" si="24"/>
        <v>#N/A</v>
      </c>
      <c r="AX36" s="674"/>
    </row>
    <row r="37" spans="2:50">
      <c r="B37" s="660"/>
      <c r="C37" s="322">
        <v>11</v>
      </c>
      <c r="D37" s="227"/>
      <c r="E37" s="182"/>
      <c r="F37" s="322"/>
      <c r="G37" s="323"/>
      <c r="H37" s="702"/>
      <c r="I37" s="199"/>
      <c r="J37" s="199"/>
      <c r="K37" s="200"/>
      <c r="L37" s="634"/>
      <c r="M37" s="201" t="e">
        <f>RANK(K37, K$27:$K$41)</f>
        <v>#N/A</v>
      </c>
      <c r="N37" s="652"/>
      <c r="O37" s="652"/>
      <c r="P37" s="551"/>
      <c r="Q37" s="182"/>
      <c r="R37" s="552"/>
      <c r="S37" s="322" t="e">
        <f t="shared" si="13"/>
        <v>#N/A</v>
      </c>
      <c r="T37" s="662"/>
      <c r="U37" s="551"/>
      <c r="V37" s="182"/>
      <c r="W37" s="552"/>
      <c r="X37" s="477" t="e">
        <f t="shared" si="14"/>
        <v>#N/A</v>
      </c>
      <c r="Y37" s="662"/>
      <c r="Z37" s="551"/>
      <c r="AA37" s="182"/>
      <c r="AB37" s="552"/>
      <c r="AC37" s="477" t="e">
        <f t="shared" si="16"/>
        <v>#N/A</v>
      </c>
      <c r="AD37" s="662"/>
      <c r="AE37" s="551"/>
      <c r="AF37" s="182"/>
      <c r="AG37" s="552"/>
      <c r="AH37" s="477" t="e">
        <f t="shared" si="18"/>
        <v>#N/A</v>
      </c>
      <c r="AI37" s="662"/>
      <c r="AJ37" s="551"/>
      <c r="AK37" s="182"/>
      <c r="AL37" s="552"/>
      <c r="AM37" s="477" t="e">
        <f t="shared" si="20"/>
        <v>#N/A</v>
      </c>
      <c r="AN37" s="662"/>
      <c r="AO37" s="551"/>
      <c r="AP37" s="182"/>
      <c r="AQ37" s="552"/>
      <c r="AR37" s="477" t="e">
        <f t="shared" si="22"/>
        <v>#N/A</v>
      </c>
      <c r="AS37" s="662"/>
      <c r="AT37" s="551"/>
      <c r="AU37" s="182"/>
      <c r="AV37" s="552"/>
      <c r="AW37" s="477" t="e">
        <f t="shared" si="24"/>
        <v>#N/A</v>
      </c>
      <c r="AX37" s="674"/>
    </row>
    <row r="38" spans="2:50">
      <c r="B38" s="660"/>
      <c r="C38" s="322">
        <v>12</v>
      </c>
      <c r="D38" s="227"/>
      <c r="E38" s="182"/>
      <c r="F38" s="322"/>
      <c r="G38" s="323"/>
      <c r="H38" s="702"/>
      <c r="I38" s="199"/>
      <c r="J38" s="199"/>
      <c r="K38" s="200"/>
      <c r="L38" s="634"/>
      <c r="M38" s="201" t="e">
        <f>RANK(K38, K$27:$K$41)</f>
        <v>#N/A</v>
      </c>
      <c r="N38" s="652"/>
      <c r="O38" s="652"/>
      <c r="P38" s="551"/>
      <c r="Q38" s="182"/>
      <c r="R38" s="552"/>
      <c r="S38" s="322" t="e">
        <f t="shared" si="13"/>
        <v>#N/A</v>
      </c>
      <c r="T38" s="662"/>
      <c r="U38" s="551"/>
      <c r="V38" s="182"/>
      <c r="W38" s="552"/>
      <c r="X38" s="477" t="e">
        <f t="shared" si="14"/>
        <v>#N/A</v>
      </c>
      <c r="Y38" s="662"/>
      <c r="Z38" s="551"/>
      <c r="AA38" s="182"/>
      <c r="AB38" s="552"/>
      <c r="AC38" s="477" t="e">
        <f t="shared" si="16"/>
        <v>#N/A</v>
      </c>
      <c r="AD38" s="662"/>
      <c r="AE38" s="551"/>
      <c r="AF38" s="182"/>
      <c r="AG38" s="552"/>
      <c r="AH38" s="477" t="e">
        <f t="shared" si="18"/>
        <v>#N/A</v>
      </c>
      <c r="AI38" s="662"/>
      <c r="AJ38" s="551"/>
      <c r="AK38" s="182"/>
      <c r="AL38" s="552"/>
      <c r="AM38" s="477" t="e">
        <f t="shared" si="20"/>
        <v>#N/A</v>
      </c>
      <c r="AN38" s="662"/>
      <c r="AO38" s="551"/>
      <c r="AP38" s="182"/>
      <c r="AQ38" s="552"/>
      <c r="AR38" s="477" t="e">
        <f t="shared" si="22"/>
        <v>#N/A</v>
      </c>
      <c r="AS38" s="662"/>
      <c r="AT38" s="551"/>
      <c r="AU38" s="182"/>
      <c r="AV38" s="552"/>
      <c r="AW38" s="477" t="e">
        <f t="shared" si="24"/>
        <v>#N/A</v>
      </c>
      <c r="AX38" s="674"/>
    </row>
    <row r="39" spans="2:50">
      <c r="B39" s="660"/>
      <c r="C39" s="322">
        <v>13</v>
      </c>
      <c r="D39" s="227"/>
      <c r="E39" s="182"/>
      <c r="F39" s="322"/>
      <c r="G39" s="323"/>
      <c r="H39" s="702"/>
      <c r="I39" s="199"/>
      <c r="J39" s="199"/>
      <c r="K39" s="200"/>
      <c r="L39" s="634"/>
      <c r="M39" s="201" t="e">
        <f>RANK(K39, K$27:$K$41)</f>
        <v>#N/A</v>
      </c>
      <c r="N39" s="652"/>
      <c r="O39" s="652"/>
      <c r="P39" s="551"/>
      <c r="Q39" s="182"/>
      <c r="R39" s="552"/>
      <c r="S39" s="322" t="e">
        <f t="shared" si="13"/>
        <v>#N/A</v>
      </c>
      <c r="T39" s="662"/>
      <c r="U39" s="551"/>
      <c r="V39" s="182"/>
      <c r="W39" s="552"/>
      <c r="X39" s="477" t="e">
        <f t="shared" si="14"/>
        <v>#N/A</v>
      </c>
      <c r="Y39" s="662"/>
      <c r="Z39" s="551"/>
      <c r="AA39" s="182"/>
      <c r="AB39" s="552"/>
      <c r="AC39" s="477" t="e">
        <f t="shared" si="16"/>
        <v>#N/A</v>
      </c>
      <c r="AD39" s="662"/>
      <c r="AE39" s="551"/>
      <c r="AF39" s="182"/>
      <c r="AG39" s="552"/>
      <c r="AH39" s="477" t="e">
        <f t="shared" si="18"/>
        <v>#N/A</v>
      </c>
      <c r="AI39" s="662"/>
      <c r="AJ39" s="551"/>
      <c r="AK39" s="182"/>
      <c r="AL39" s="552"/>
      <c r="AM39" s="477" t="e">
        <f t="shared" si="20"/>
        <v>#N/A</v>
      </c>
      <c r="AN39" s="662"/>
      <c r="AO39" s="551"/>
      <c r="AP39" s="182"/>
      <c r="AQ39" s="552"/>
      <c r="AR39" s="477" t="e">
        <f t="shared" si="22"/>
        <v>#N/A</v>
      </c>
      <c r="AS39" s="662"/>
      <c r="AT39" s="551"/>
      <c r="AU39" s="182"/>
      <c r="AV39" s="552"/>
      <c r="AW39" s="477" t="e">
        <f t="shared" si="24"/>
        <v>#N/A</v>
      </c>
      <c r="AX39" s="674"/>
    </row>
    <row r="40" spans="2:50">
      <c r="B40" s="660"/>
      <c r="C40" s="322">
        <v>14</v>
      </c>
      <c r="D40" s="227"/>
      <c r="E40" s="182"/>
      <c r="F40" s="322"/>
      <c r="G40" s="323"/>
      <c r="H40" s="702"/>
      <c r="I40" s="199"/>
      <c r="J40" s="199"/>
      <c r="K40" s="200"/>
      <c r="L40" s="634"/>
      <c r="M40" s="201" t="e">
        <f>RANK(K40, K$27:$K$41)</f>
        <v>#N/A</v>
      </c>
      <c r="N40" s="652"/>
      <c r="O40" s="652"/>
      <c r="P40" s="551"/>
      <c r="Q40" s="182"/>
      <c r="R40" s="552"/>
      <c r="S40" s="322" t="e">
        <f t="shared" si="13"/>
        <v>#N/A</v>
      </c>
      <c r="T40" s="662"/>
      <c r="U40" s="551"/>
      <c r="V40" s="182"/>
      <c r="W40" s="552"/>
      <c r="X40" s="477" t="e">
        <f t="shared" si="14"/>
        <v>#N/A</v>
      </c>
      <c r="Y40" s="662"/>
      <c r="Z40" s="551"/>
      <c r="AA40" s="182"/>
      <c r="AB40" s="552"/>
      <c r="AC40" s="477" t="e">
        <f t="shared" si="16"/>
        <v>#N/A</v>
      </c>
      <c r="AD40" s="662"/>
      <c r="AE40" s="551"/>
      <c r="AF40" s="182"/>
      <c r="AG40" s="552"/>
      <c r="AH40" s="477" t="e">
        <f t="shared" si="18"/>
        <v>#N/A</v>
      </c>
      <c r="AI40" s="662"/>
      <c r="AJ40" s="551"/>
      <c r="AK40" s="182"/>
      <c r="AL40" s="552"/>
      <c r="AM40" s="477" t="e">
        <f t="shared" si="20"/>
        <v>#N/A</v>
      </c>
      <c r="AN40" s="662"/>
      <c r="AO40" s="551"/>
      <c r="AP40" s="182"/>
      <c r="AQ40" s="552"/>
      <c r="AR40" s="477" t="e">
        <f t="shared" si="22"/>
        <v>#N/A</v>
      </c>
      <c r="AS40" s="662"/>
      <c r="AT40" s="551"/>
      <c r="AU40" s="182"/>
      <c r="AV40" s="552"/>
      <c r="AW40" s="477" t="e">
        <f t="shared" si="24"/>
        <v>#N/A</v>
      </c>
      <c r="AX40" s="674"/>
    </row>
    <row r="41" spans="2:50">
      <c r="B41" s="660"/>
      <c r="C41" s="322">
        <v>15</v>
      </c>
      <c r="D41" s="227"/>
      <c r="E41" s="182"/>
      <c r="F41" s="322"/>
      <c r="G41" s="323"/>
      <c r="H41" s="703"/>
      <c r="I41" s="199"/>
      <c r="J41" s="199"/>
      <c r="K41" s="200"/>
      <c r="L41" s="635"/>
      <c r="M41" s="199" t="e">
        <f>RANK(K41, K$27:$K$41)</f>
        <v>#N/A</v>
      </c>
      <c r="N41" s="652"/>
      <c r="O41" s="652"/>
      <c r="P41" s="551"/>
      <c r="Q41" s="182"/>
      <c r="R41" s="552"/>
      <c r="S41" s="322" t="e">
        <f t="shared" si="13"/>
        <v>#N/A</v>
      </c>
      <c r="T41" s="663"/>
      <c r="U41" s="551"/>
      <c r="V41" s="182"/>
      <c r="W41" s="552"/>
      <c r="X41" s="477" t="e">
        <f t="shared" si="14"/>
        <v>#N/A</v>
      </c>
      <c r="Y41" s="663"/>
      <c r="Z41" s="551"/>
      <c r="AA41" s="182"/>
      <c r="AB41" s="552"/>
      <c r="AC41" s="477" t="e">
        <f t="shared" si="16"/>
        <v>#N/A</v>
      </c>
      <c r="AD41" s="663"/>
      <c r="AE41" s="551"/>
      <c r="AF41" s="182"/>
      <c r="AG41" s="552"/>
      <c r="AH41" s="477" t="e">
        <f t="shared" si="18"/>
        <v>#N/A</v>
      </c>
      <c r="AI41" s="663"/>
      <c r="AJ41" s="551"/>
      <c r="AK41" s="182"/>
      <c r="AL41" s="552"/>
      <c r="AM41" s="477" t="e">
        <f t="shared" si="20"/>
        <v>#N/A</v>
      </c>
      <c r="AN41" s="663"/>
      <c r="AO41" s="551"/>
      <c r="AP41" s="182"/>
      <c r="AQ41" s="552"/>
      <c r="AR41" s="477" t="e">
        <f t="shared" si="22"/>
        <v>#N/A</v>
      </c>
      <c r="AS41" s="663"/>
      <c r="AT41" s="551"/>
      <c r="AU41" s="182"/>
      <c r="AV41" s="552"/>
      <c r="AW41" s="477" t="e">
        <f t="shared" si="24"/>
        <v>#N/A</v>
      </c>
      <c r="AX41" s="674"/>
    </row>
    <row r="42" spans="2:50" ht="15.75">
      <c r="B42" s="678" t="s">
        <v>163</v>
      </c>
      <c r="C42" s="679"/>
      <c r="D42" s="679"/>
      <c r="E42" s="679"/>
      <c r="F42" s="679"/>
      <c r="G42" s="679"/>
      <c r="H42" s="679"/>
      <c r="I42" s="208"/>
      <c r="J42" s="203"/>
      <c r="K42" s="208"/>
      <c r="L42" s="208"/>
      <c r="M42" s="204"/>
      <c r="N42" s="653" t="s">
        <v>156</v>
      </c>
      <c r="O42" s="653" t="s">
        <v>105</v>
      </c>
      <c r="P42" s="659">
        <f>P22+7</f>
        <v>46063</v>
      </c>
      <c r="Q42" s="660"/>
      <c r="R42" s="660"/>
      <c r="S42" s="660"/>
      <c r="T42" s="660"/>
      <c r="U42" s="656">
        <f>P42+1</f>
        <v>46064</v>
      </c>
      <c r="V42" s="657"/>
      <c r="W42" s="657"/>
      <c r="X42" s="657"/>
      <c r="Y42" s="658"/>
      <c r="Z42" s="656">
        <f>U42+1</f>
        <v>46065</v>
      </c>
      <c r="AA42" s="657"/>
      <c r="AB42" s="657"/>
      <c r="AC42" s="657"/>
      <c r="AD42" s="658"/>
      <c r="AE42" s="656">
        <f>Z42+1</f>
        <v>46066</v>
      </c>
      <c r="AF42" s="657"/>
      <c r="AG42" s="657"/>
      <c r="AH42" s="657"/>
      <c r="AI42" s="658"/>
      <c r="AJ42" s="656">
        <f>AE42+1</f>
        <v>46067</v>
      </c>
      <c r="AK42" s="657"/>
      <c r="AL42" s="657"/>
      <c r="AM42" s="657"/>
      <c r="AN42" s="658"/>
      <c r="AO42" s="656">
        <f>AJ42+1</f>
        <v>46068</v>
      </c>
      <c r="AP42" s="657"/>
      <c r="AQ42" s="657"/>
      <c r="AR42" s="657"/>
      <c r="AS42" s="658"/>
      <c r="AT42" s="656">
        <f>AO42+1</f>
        <v>46069</v>
      </c>
      <c r="AU42" s="657"/>
      <c r="AV42" s="657"/>
      <c r="AW42" s="657"/>
      <c r="AX42" s="658"/>
    </row>
    <row r="43" spans="2:50" ht="15.75">
      <c r="B43" s="667"/>
      <c r="C43" s="667"/>
      <c r="D43" s="667"/>
      <c r="E43" s="667"/>
      <c r="F43" s="667"/>
      <c r="G43" s="667"/>
      <c r="H43" s="667"/>
      <c r="I43" s="205"/>
      <c r="J43" s="205"/>
      <c r="K43" s="205"/>
      <c r="L43" s="205"/>
      <c r="M43" s="206"/>
      <c r="N43" s="655"/>
      <c r="O43" s="655"/>
      <c r="P43" s="659" t="s">
        <v>336</v>
      </c>
      <c r="Q43" s="660"/>
      <c r="R43" s="660"/>
      <c r="S43" s="660"/>
      <c r="T43" s="660"/>
      <c r="U43" s="659" t="s">
        <v>337</v>
      </c>
      <c r="V43" s="660"/>
      <c r="W43" s="660"/>
      <c r="X43" s="660"/>
      <c r="Y43" s="660"/>
      <c r="Z43" s="659" t="s">
        <v>338</v>
      </c>
      <c r="AA43" s="660"/>
      <c r="AB43" s="660"/>
      <c r="AC43" s="660"/>
      <c r="AD43" s="660"/>
      <c r="AE43" s="659" t="s">
        <v>339</v>
      </c>
      <c r="AF43" s="660"/>
      <c r="AG43" s="660"/>
      <c r="AH43" s="660"/>
      <c r="AI43" s="660"/>
      <c r="AJ43" s="659" t="s">
        <v>340</v>
      </c>
      <c r="AK43" s="660"/>
      <c r="AL43" s="660"/>
      <c r="AM43" s="660"/>
      <c r="AN43" s="660"/>
      <c r="AO43" s="659" t="s">
        <v>341</v>
      </c>
      <c r="AP43" s="660"/>
      <c r="AQ43" s="660"/>
      <c r="AR43" s="660"/>
      <c r="AS43" s="660"/>
      <c r="AT43" s="659" t="s">
        <v>342</v>
      </c>
      <c r="AU43" s="660"/>
      <c r="AV43" s="660"/>
      <c r="AW43" s="660"/>
      <c r="AX43" s="660"/>
    </row>
    <row r="44" spans="2:50">
      <c r="B44" s="652" t="s">
        <v>618</v>
      </c>
      <c r="C44" s="652" t="s">
        <v>619</v>
      </c>
      <c r="D44" s="652"/>
      <c r="E44" s="652" t="s">
        <v>620</v>
      </c>
      <c r="F44" s="652"/>
      <c r="G44" s="652"/>
      <c r="H44" s="668" t="s">
        <v>621</v>
      </c>
      <c r="I44" s="636" t="s">
        <v>622</v>
      </c>
      <c r="J44" s="636"/>
      <c r="K44" s="636"/>
      <c r="L44" s="637" t="s">
        <v>621</v>
      </c>
      <c r="M44" s="643" t="s">
        <v>623</v>
      </c>
      <c r="N44" s="652"/>
      <c r="O44" s="652" t="s">
        <v>624</v>
      </c>
      <c r="P44" s="649" t="s">
        <v>935</v>
      </c>
      <c r="Q44" s="650"/>
      <c r="R44" s="650"/>
      <c r="S44" s="651"/>
      <c r="T44" s="652" t="s">
        <v>936</v>
      </c>
      <c r="U44" s="649" t="s">
        <v>935</v>
      </c>
      <c r="V44" s="650"/>
      <c r="W44" s="650"/>
      <c r="X44" s="651"/>
      <c r="Y44" s="652" t="s">
        <v>936</v>
      </c>
      <c r="Z44" s="649" t="s">
        <v>935</v>
      </c>
      <c r="AA44" s="650"/>
      <c r="AB44" s="650"/>
      <c r="AC44" s="651"/>
      <c r="AD44" s="652" t="s">
        <v>936</v>
      </c>
      <c r="AE44" s="649" t="s">
        <v>935</v>
      </c>
      <c r="AF44" s="650"/>
      <c r="AG44" s="650"/>
      <c r="AH44" s="651"/>
      <c r="AI44" s="652" t="s">
        <v>936</v>
      </c>
      <c r="AJ44" s="649" t="s">
        <v>935</v>
      </c>
      <c r="AK44" s="650"/>
      <c r="AL44" s="650"/>
      <c r="AM44" s="651"/>
      <c r="AN44" s="652" t="s">
        <v>936</v>
      </c>
      <c r="AO44" s="649" t="s">
        <v>935</v>
      </c>
      <c r="AP44" s="650"/>
      <c r="AQ44" s="650"/>
      <c r="AR44" s="651"/>
      <c r="AS44" s="652" t="s">
        <v>936</v>
      </c>
      <c r="AT44" s="649" t="s">
        <v>935</v>
      </c>
      <c r="AU44" s="650"/>
      <c r="AV44" s="650"/>
      <c r="AW44" s="651"/>
      <c r="AX44" s="652" t="s">
        <v>936</v>
      </c>
    </row>
    <row r="45" spans="2:50">
      <c r="B45" s="652"/>
      <c r="C45" s="652"/>
      <c r="D45" s="652"/>
      <c r="E45" s="652" t="s">
        <v>626</v>
      </c>
      <c r="F45" s="652"/>
      <c r="G45" s="652"/>
      <c r="H45" s="669"/>
      <c r="I45" s="636" t="s">
        <v>626</v>
      </c>
      <c r="J45" s="636"/>
      <c r="K45" s="636"/>
      <c r="L45" s="638"/>
      <c r="M45" s="644"/>
      <c r="N45" s="652"/>
      <c r="O45" s="652"/>
      <c r="P45" s="649" t="s">
        <v>937</v>
      </c>
      <c r="Q45" s="650"/>
      <c r="R45" s="650"/>
      <c r="S45" s="651"/>
      <c r="T45" s="652"/>
      <c r="U45" s="649" t="s">
        <v>937</v>
      </c>
      <c r="V45" s="650"/>
      <c r="W45" s="650"/>
      <c r="X45" s="651"/>
      <c r="Y45" s="652"/>
      <c r="Z45" s="649" t="s">
        <v>937</v>
      </c>
      <c r="AA45" s="650"/>
      <c r="AB45" s="650"/>
      <c r="AC45" s="651"/>
      <c r="AD45" s="652"/>
      <c r="AE45" s="649" t="s">
        <v>937</v>
      </c>
      <c r="AF45" s="650"/>
      <c r="AG45" s="650"/>
      <c r="AH45" s="651"/>
      <c r="AI45" s="652"/>
      <c r="AJ45" s="649" t="s">
        <v>937</v>
      </c>
      <c r="AK45" s="650"/>
      <c r="AL45" s="650"/>
      <c r="AM45" s="651"/>
      <c r="AN45" s="652"/>
      <c r="AO45" s="649" t="s">
        <v>937</v>
      </c>
      <c r="AP45" s="650"/>
      <c r="AQ45" s="650"/>
      <c r="AR45" s="651"/>
      <c r="AS45" s="652"/>
      <c r="AT45" s="649" t="s">
        <v>937</v>
      </c>
      <c r="AU45" s="650"/>
      <c r="AV45" s="650"/>
      <c r="AW45" s="651"/>
      <c r="AX45" s="652"/>
    </row>
    <row r="46" spans="2:50">
      <c r="B46" s="652"/>
      <c r="C46" s="652"/>
      <c r="D46" s="652"/>
      <c r="E46" s="327" t="s">
        <v>628</v>
      </c>
      <c r="F46" s="327" t="s">
        <v>629</v>
      </c>
      <c r="G46" s="327" t="s">
        <v>630</v>
      </c>
      <c r="H46" s="670"/>
      <c r="I46" s="326" t="s">
        <v>628</v>
      </c>
      <c r="J46" s="326" t="s">
        <v>629</v>
      </c>
      <c r="K46" s="326" t="s">
        <v>630</v>
      </c>
      <c r="L46" s="639"/>
      <c r="M46" s="645"/>
      <c r="N46" s="652"/>
      <c r="O46" s="652"/>
      <c r="P46" s="536" t="s">
        <v>938</v>
      </c>
      <c r="Q46" s="536" t="s">
        <v>939</v>
      </c>
      <c r="R46" s="536" t="s">
        <v>940</v>
      </c>
      <c r="S46" s="536" t="s">
        <v>941</v>
      </c>
      <c r="T46" s="652"/>
      <c r="U46" s="536" t="s">
        <v>938</v>
      </c>
      <c r="V46" s="536" t="s">
        <v>939</v>
      </c>
      <c r="W46" s="536" t="s">
        <v>940</v>
      </c>
      <c r="X46" s="536" t="s">
        <v>941</v>
      </c>
      <c r="Y46" s="652"/>
      <c r="Z46" s="536" t="s">
        <v>938</v>
      </c>
      <c r="AA46" s="536" t="s">
        <v>939</v>
      </c>
      <c r="AB46" s="536" t="s">
        <v>940</v>
      </c>
      <c r="AC46" s="536" t="s">
        <v>941</v>
      </c>
      <c r="AD46" s="652"/>
      <c r="AE46" s="536" t="s">
        <v>938</v>
      </c>
      <c r="AF46" s="536" t="s">
        <v>939</v>
      </c>
      <c r="AG46" s="536" t="s">
        <v>940</v>
      </c>
      <c r="AH46" s="536" t="s">
        <v>941</v>
      </c>
      <c r="AI46" s="652"/>
      <c r="AJ46" s="536" t="s">
        <v>938</v>
      </c>
      <c r="AK46" s="536" t="s">
        <v>939</v>
      </c>
      <c r="AL46" s="536" t="s">
        <v>940</v>
      </c>
      <c r="AM46" s="536" t="s">
        <v>941</v>
      </c>
      <c r="AN46" s="652"/>
      <c r="AO46" s="536" t="s">
        <v>938</v>
      </c>
      <c r="AP46" s="536" t="s">
        <v>939</v>
      </c>
      <c r="AQ46" s="536" t="s">
        <v>940</v>
      </c>
      <c r="AR46" s="536" t="s">
        <v>941</v>
      </c>
      <c r="AS46" s="652"/>
      <c r="AT46" s="536" t="s">
        <v>938</v>
      </c>
      <c r="AU46" s="536" t="s">
        <v>939</v>
      </c>
      <c r="AV46" s="536" t="s">
        <v>940</v>
      </c>
      <c r="AW46" s="536" t="s">
        <v>941</v>
      </c>
      <c r="AX46" s="652"/>
    </row>
    <row r="47" spans="2:50">
      <c r="B47" s="652" t="s">
        <v>634</v>
      </c>
      <c r="C47" s="328">
        <v>1</v>
      </c>
      <c r="D47" s="227" t="s">
        <v>394</v>
      </c>
      <c r="E47" s="182">
        <v>6</v>
      </c>
      <c r="F47" s="551">
        <v>1500</v>
      </c>
      <c r="G47" s="552">
        <v>250</v>
      </c>
      <c r="H47" s="701">
        <f>AVERAGE(G47:G61)</f>
        <v>201.94285714285712</v>
      </c>
      <c r="I47" s="199">
        <f t="shared" ref="I47:K51" si="29">AVERAGE(P47,U47,Z47,AE47,AJ47,AO47,AT47)</f>
        <v>7</v>
      </c>
      <c r="J47" s="199">
        <f t="shared" si="29"/>
        <v>1300.3489308918802</v>
      </c>
      <c r="K47" s="200">
        <f t="shared" si="29"/>
        <v>185.76413298455435</v>
      </c>
      <c r="L47" s="633">
        <f>IFERROR(AVERAGE(K47:K61),"-")</f>
        <v>169.20395026952025</v>
      </c>
      <c r="M47" s="201">
        <f>RANK(K47, K$47:$K$61)</f>
        <v>5</v>
      </c>
      <c r="N47" s="652"/>
      <c r="O47" s="652"/>
      <c r="P47" s="182">
        <v>7</v>
      </c>
      <c r="Q47" s="182">
        <v>1314.9999999999995</v>
      </c>
      <c r="R47" s="182">
        <v>187.8571428571428</v>
      </c>
      <c r="S47" s="537">
        <f>RANK(R47, R$47:R$61)</f>
        <v>5</v>
      </c>
      <c r="T47" s="674">
        <f>AVERAGE(R47:R61)</f>
        <v>170.68145144470441</v>
      </c>
      <c r="U47" s="182">
        <v>7</v>
      </c>
      <c r="V47" s="182">
        <v>1292.8767123287669</v>
      </c>
      <c r="W47" s="182">
        <v>184.69667318982383</v>
      </c>
      <c r="X47" s="537">
        <f>RANK(W47, W$47:W$61)</f>
        <v>5</v>
      </c>
      <c r="Y47" s="674">
        <f>AVERAGE(W47:W61)</f>
        <v>170.91599559903707</v>
      </c>
      <c r="Z47" s="182">
        <v>7</v>
      </c>
      <c r="AA47" s="182">
        <v>1288.8311688311687</v>
      </c>
      <c r="AB47" s="182">
        <v>184.11873840445267</v>
      </c>
      <c r="AC47" s="537">
        <f>RANK(AB47, AB$47:AB$61)</f>
        <v>5</v>
      </c>
      <c r="AD47" s="674">
        <f>AVERAGE(AB47:AB61)</f>
        <v>171.33299041154851</v>
      </c>
      <c r="AE47" s="182">
        <v>7</v>
      </c>
      <c r="AF47" s="182">
        <v>1316.3636363636363</v>
      </c>
      <c r="AG47" s="182">
        <v>188.05194805194805</v>
      </c>
      <c r="AH47" s="537">
        <f>RANK(AG47, AG$47:AG$61)</f>
        <v>5</v>
      </c>
      <c r="AI47" s="674">
        <f>AVERAGE(AG47:AG61)</f>
        <v>171.77496621494373</v>
      </c>
      <c r="AJ47" s="182">
        <v>7</v>
      </c>
      <c r="AK47" s="182">
        <v>1293.75</v>
      </c>
      <c r="AL47" s="182">
        <v>184.82142857142858</v>
      </c>
      <c r="AM47" s="537">
        <f>RANK(AL47, AL$47:AL$61)</f>
        <v>5</v>
      </c>
      <c r="AN47" s="674">
        <f>AVERAGE(AL47:AL61)</f>
        <v>166.2875297380713</v>
      </c>
      <c r="AO47" s="182">
        <v>7</v>
      </c>
      <c r="AP47" s="182">
        <v>1293.8028169014087</v>
      </c>
      <c r="AQ47" s="182">
        <v>184.82897384305838</v>
      </c>
      <c r="AR47" s="537">
        <f>RANK(AQ47, AQ$47:AQ$61)</f>
        <v>5</v>
      </c>
      <c r="AS47" s="674">
        <f>AVERAGE(AQ47:AQ61)</f>
        <v>167.36172618963383</v>
      </c>
      <c r="AT47" s="182">
        <v>7</v>
      </c>
      <c r="AU47" s="182">
        <v>1301.8181818181818</v>
      </c>
      <c r="AV47" s="182">
        <v>185.97402597402598</v>
      </c>
      <c r="AW47" s="537">
        <f>RANK(AV47, AV$47:AV$61)</f>
        <v>4</v>
      </c>
      <c r="AX47" s="674">
        <f>AVERAGE(AV47:AV61)</f>
        <v>166.07299228870286</v>
      </c>
    </row>
    <row r="48" spans="2:50">
      <c r="B48" s="660"/>
      <c r="C48" s="328">
        <v>2</v>
      </c>
      <c r="D48" s="227" t="s">
        <v>395</v>
      </c>
      <c r="E48" s="182">
        <v>6</v>
      </c>
      <c r="F48" s="551">
        <v>1500</v>
      </c>
      <c r="G48" s="552">
        <v>250</v>
      </c>
      <c r="H48" s="702"/>
      <c r="I48" s="199">
        <f t="shared" si="29"/>
        <v>7</v>
      </c>
      <c r="J48" s="199">
        <f t="shared" si="29"/>
        <v>1454.6164855519378</v>
      </c>
      <c r="K48" s="200">
        <f t="shared" si="29"/>
        <v>207.80235507884831</v>
      </c>
      <c r="L48" s="634"/>
      <c r="M48" s="201">
        <f>RANK(K48, K$47:$K$61)</f>
        <v>4</v>
      </c>
      <c r="N48" s="652"/>
      <c r="O48" s="652"/>
      <c r="P48" s="182">
        <v>7</v>
      </c>
      <c r="Q48" s="182">
        <v>1430.467289719626</v>
      </c>
      <c r="R48" s="182">
        <v>204.35246995994657</v>
      </c>
      <c r="S48" s="537">
        <f t="shared" ref="S48:S54" si="30">RANK(R48, R$47:R$61)</f>
        <v>4</v>
      </c>
      <c r="T48" s="674"/>
      <c r="U48" s="182">
        <v>7</v>
      </c>
      <c r="V48" s="182">
        <v>1441.1538461538469</v>
      </c>
      <c r="W48" s="182">
        <v>205.87912087912099</v>
      </c>
      <c r="X48" s="537">
        <f t="shared" ref="X48:X54" si="31">RANK(W48, W$47:W$61)</f>
        <v>4</v>
      </c>
      <c r="Y48" s="674"/>
      <c r="Z48" s="182">
        <v>7</v>
      </c>
      <c r="AA48" s="182">
        <v>1481.5384615384623</v>
      </c>
      <c r="AB48" s="182">
        <v>211.64835164835176</v>
      </c>
      <c r="AC48" s="537">
        <f t="shared" ref="AC48:AC54" si="32">RANK(AB48, AB$47:AB$61)</f>
        <v>3</v>
      </c>
      <c r="AD48" s="674"/>
      <c r="AE48" s="182">
        <v>7</v>
      </c>
      <c r="AF48" s="182">
        <v>1454.2268041237116</v>
      </c>
      <c r="AG48" s="182">
        <v>207.74668630338738</v>
      </c>
      <c r="AH48" s="537">
        <f t="shared" ref="AH48:AH54" si="33">RANK(AG48, AG$47:AG$61)</f>
        <v>3</v>
      </c>
      <c r="AI48" s="674"/>
      <c r="AJ48" s="182">
        <v>7</v>
      </c>
      <c r="AK48" s="182">
        <v>1460.3773584905657</v>
      </c>
      <c r="AL48" s="182">
        <v>208.62533692722369</v>
      </c>
      <c r="AM48" s="537">
        <f t="shared" ref="AM48:AM54" si="34">RANK(AL48, AL$47:AL$61)</f>
        <v>3</v>
      </c>
      <c r="AN48" s="674"/>
      <c r="AO48" s="182">
        <v>7</v>
      </c>
      <c r="AP48" s="182">
        <v>1440.6122448979597</v>
      </c>
      <c r="AQ48" s="182">
        <v>205.80174927113711</v>
      </c>
      <c r="AR48" s="537">
        <f t="shared" ref="AR48:AR54" si="35">RANK(AQ48, AQ$47:AQ$61)</f>
        <v>3</v>
      </c>
      <c r="AS48" s="674"/>
      <c r="AT48" s="182">
        <v>7</v>
      </c>
      <c r="AU48" s="182">
        <v>1473.9393939393931</v>
      </c>
      <c r="AV48" s="182">
        <v>210.56277056277045</v>
      </c>
      <c r="AW48" s="537">
        <f t="shared" ref="AW48:AW54" si="36">RANK(AV48, AV$47:AV$61)</f>
        <v>3</v>
      </c>
      <c r="AX48" s="674"/>
    </row>
    <row r="49" spans="2:50">
      <c r="B49" s="660"/>
      <c r="C49" s="328">
        <v>3</v>
      </c>
      <c r="D49" s="227" t="s">
        <v>349</v>
      </c>
      <c r="E49" s="182">
        <v>19</v>
      </c>
      <c r="F49" s="551">
        <v>1500</v>
      </c>
      <c r="G49" s="552">
        <v>78.900000000000006</v>
      </c>
      <c r="H49" s="702"/>
      <c r="I49" s="199">
        <f t="shared" si="29"/>
        <v>18</v>
      </c>
      <c r="J49" s="199">
        <f t="shared" si="29"/>
        <v>1255.4264598234292</v>
      </c>
      <c r="K49" s="200">
        <f t="shared" si="29"/>
        <v>69.74591443463494</v>
      </c>
      <c r="L49" s="634"/>
      <c r="M49" s="201">
        <f>RANK(K49, K$47:$K$61)</f>
        <v>7</v>
      </c>
      <c r="N49" s="652"/>
      <c r="O49" s="652"/>
      <c r="P49" s="182">
        <v>18</v>
      </c>
      <c r="Q49" s="182">
        <v>1243.8461538461545</v>
      </c>
      <c r="R49" s="182">
        <v>69.102564102564145</v>
      </c>
      <c r="S49" s="537">
        <f t="shared" si="30"/>
        <v>7</v>
      </c>
      <c r="T49" s="674"/>
      <c r="U49" s="182">
        <v>18</v>
      </c>
      <c r="V49" s="182">
        <v>1239.7575757575753</v>
      </c>
      <c r="W49" s="182">
        <v>68.875420875420843</v>
      </c>
      <c r="X49" s="537">
        <f t="shared" si="31"/>
        <v>7</v>
      </c>
      <c r="Y49" s="674"/>
      <c r="Z49" s="182">
        <v>18</v>
      </c>
      <c r="AA49" s="182">
        <v>1270.1886792452826</v>
      </c>
      <c r="AB49" s="182">
        <v>70.566037735849036</v>
      </c>
      <c r="AC49" s="537">
        <f t="shared" si="32"/>
        <v>7</v>
      </c>
      <c r="AD49" s="674"/>
      <c r="AE49" s="182">
        <v>18</v>
      </c>
      <c r="AF49" s="182">
        <v>1243.4693877551024</v>
      </c>
      <c r="AG49" s="182">
        <v>69.081632653061249</v>
      </c>
      <c r="AH49" s="537">
        <f t="shared" si="33"/>
        <v>7</v>
      </c>
      <c r="AI49" s="674"/>
      <c r="AJ49" s="182">
        <v>18</v>
      </c>
      <c r="AK49" s="182">
        <v>1265.0000000000005</v>
      </c>
      <c r="AL49" s="182">
        <v>70.2777777777778</v>
      </c>
      <c r="AM49" s="537">
        <f t="shared" si="34"/>
        <v>7</v>
      </c>
      <c r="AN49" s="674"/>
      <c r="AO49" s="182">
        <v>18</v>
      </c>
      <c r="AP49" s="182">
        <v>1273.4451612903226</v>
      </c>
      <c r="AQ49" s="182">
        <v>70.746953405017919</v>
      </c>
      <c r="AR49" s="537">
        <f t="shared" si="35"/>
        <v>7</v>
      </c>
      <c r="AS49" s="674"/>
      <c r="AT49" s="182">
        <v>18</v>
      </c>
      <c r="AU49" s="182">
        <v>1252.2782608695652</v>
      </c>
      <c r="AV49" s="182">
        <v>69.571014492753619</v>
      </c>
      <c r="AW49" s="537">
        <f t="shared" si="36"/>
        <v>7</v>
      </c>
      <c r="AX49" s="674"/>
    </row>
    <row r="50" spans="2:50">
      <c r="B50" s="660"/>
      <c r="C50" s="328">
        <v>4</v>
      </c>
      <c r="D50" s="227" t="s">
        <v>396</v>
      </c>
      <c r="E50" s="182">
        <v>17</v>
      </c>
      <c r="F50" s="551">
        <v>1440</v>
      </c>
      <c r="G50" s="552">
        <v>84.7</v>
      </c>
      <c r="H50" s="702"/>
      <c r="I50" s="199">
        <f t="shared" si="29"/>
        <v>17</v>
      </c>
      <c r="J50" s="199">
        <f t="shared" si="29"/>
        <v>1262.0141637049878</v>
      </c>
      <c r="K50" s="200">
        <f t="shared" si="29"/>
        <v>74.236127276763995</v>
      </c>
      <c r="L50" s="634"/>
      <c r="M50" s="201">
        <f>RANK(K50, K$47:$K$61)</f>
        <v>6</v>
      </c>
      <c r="N50" s="652"/>
      <c r="O50" s="652"/>
      <c r="P50" s="182">
        <v>17</v>
      </c>
      <c r="Q50" s="182">
        <v>1276.5000000000007</v>
      </c>
      <c r="R50" s="182">
        <v>75.08823529411768</v>
      </c>
      <c r="S50" s="537">
        <f t="shared" si="30"/>
        <v>6</v>
      </c>
      <c r="T50" s="674"/>
      <c r="U50" s="182">
        <v>17</v>
      </c>
      <c r="V50" s="182">
        <v>1271.440677966101</v>
      </c>
      <c r="W50" s="182">
        <v>74.790628115653007</v>
      </c>
      <c r="X50" s="537">
        <f t="shared" si="31"/>
        <v>6</v>
      </c>
      <c r="Y50" s="674"/>
      <c r="Z50" s="182">
        <v>17</v>
      </c>
      <c r="AA50" s="182">
        <v>1249.166666666667</v>
      </c>
      <c r="AB50" s="182">
        <v>73.480392156862763</v>
      </c>
      <c r="AC50" s="537">
        <f t="shared" si="32"/>
        <v>6</v>
      </c>
      <c r="AD50" s="674"/>
      <c r="AE50" s="182">
        <v>17</v>
      </c>
      <c r="AF50" s="182">
        <v>1247.5862068965509</v>
      </c>
      <c r="AG50" s="182">
        <v>73.387423935091235</v>
      </c>
      <c r="AH50" s="537">
        <f t="shared" si="33"/>
        <v>6</v>
      </c>
      <c r="AI50" s="674"/>
      <c r="AJ50" s="182">
        <v>17</v>
      </c>
      <c r="AK50" s="182">
        <v>1250.7692307692314</v>
      </c>
      <c r="AL50" s="182">
        <v>73.5746606334842</v>
      </c>
      <c r="AM50" s="537">
        <f t="shared" si="34"/>
        <v>6</v>
      </c>
      <c r="AN50" s="674"/>
      <c r="AO50" s="182">
        <v>17</v>
      </c>
      <c r="AP50" s="182">
        <v>1275</v>
      </c>
      <c r="AQ50" s="182">
        <v>75</v>
      </c>
      <c r="AR50" s="537">
        <f t="shared" si="35"/>
        <v>6</v>
      </c>
      <c r="AS50" s="674"/>
      <c r="AT50" s="182">
        <v>17</v>
      </c>
      <c r="AU50" s="182">
        <v>1263.6363636363637</v>
      </c>
      <c r="AV50" s="182">
        <v>74.331550802139049</v>
      </c>
      <c r="AW50" s="537">
        <f t="shared" si="36"/>
        <v>6</v>
      </c>
      <c r="AX50" s="674"/>
    </row>
    <row r="51" spans="2:50">
      <c r="B51" s="660"/>
      <c r="C51" s="328">
        <v>5</v>
      </c>
      <c r="D51" s="227" t="s">
        <v>470</v>
      </c>
      <c r="E51" s="182">
        <v>6</v>
      </c>
      <c r="F51" s="551">
        <v>1500</v>
      </c>
      <c r="G51" s="552">
        <v>250</v>
      </c>
      <c r="H51" s="702"/>
      <c r="I51" s="199">
        <f t="shared" si="29"/>
        <v>7</v>
      </c>
      <c r="J51" s="199">
        <f t="shared" si="29"/>
        <v>1471.9894998901252</v>
      </c>
      <c r="K51" s="200">
        <f t="shared" si="29"/>
        <v>210.28421427001791</v>
      </c>
      <c r="L51" s="634"/>
      <c r="M51" s="201">
        <f>RANK(K51, K$47:$K$61)</f>
        <v>2</v>
      </c>
      <c r="N51" s="652"/>
      <c r="O51" s="652"/>
      <c r="P51" s="182">
        <v>7</v>
      </c>
      <c r="Q51" s="182">
        <v>1464</v>
      </c>
      <c r="R51" s="182">
        <v>209.14285714285714</v>
      </c>
      <c r="S51" s="537">
        <f>RANK(R51, R$47:R$61)</f>
        <v>3</v>
      </c>
      <c r="T51" s="674"/>
      <c r="U51" s="182">
        <v>7</v>
      </c>
      <c r="V51" s="182">
        <v>1469.6842105263154</v>
      </c>
      <c r="W51" s="182">
        <v>209.95488721804506</v>
      </c>
      <c r="X51" s="537">
        <f>RANK(W51, W$47:W$61)</f>
        <v>3</v>
      </c>
      <c r="Y51" s="674"/>
      <c r="Z51" s="182">
        <v>7</v>
      </c>
      <c r="AA51" s="182">
        <v>1469.9999999999998</v>
      </c>
      <c r="AB51" s="182">
        <v>209.99999999999997</v>
      </c>
      <c r="AC51" s="537">
        <f>RANK(AB51, AB$47:AB$61)</f>
        <v>4</v>
      </c>
      <c r="AD51" s="674"/>
      <c r="AE51" s="182">
        <v>7</v>
      </c>
      <c r="AF51" s="182">
        <v>1438.7096774193551</v>
      </c>
      <c r="AG51" s="182">
        <v>205.52995391705073</v>
      </c>
      <c r="AH51" s="537">
        <f>RANK(AG51, AG$47:AG$61)</f>
        <v>4</v>
      </c>
      <c r="AI51" s="674"/>
      <c r="AJ51" s="182">
        <v>7</v>
      </c>
      <c r="AK51" s="182">
        <v>1493.6170212765951</v>
      </c>
      <c r="AL51" s="182">
        <v>213.37386018237072</v>
      </c>
      <c r="AM51" s="537">
        <f>RANK(AL51, AL$47:AL$61)</f>
        <v>2</v>
      </c>
      <c r="AN51" s="674"/>
      <c r="AO51" s="182">
        <v>7</v>
      </c>
      <c r="AP51" s="182">
        <v>1479.7674418604647</v>
      </c>
      <c r="AQ51" s="182">
        <v>211.39534883720924</v>
      </c>
      <c r="AR51" s="537">
        <f>RANK(AQ51, AQ$47:AQ$61)</f>
        <v>2</v>
      </c>
      <c r="AS51" s="674"/>
      <c r="AT51" s="182">
        <v>7</v>
      </c>
      <c r="AU51" s="182">
        <v>1488.1481481481476</v>
      </c>
      <c r="AV51" s="182">
        <v>212.59259259259252</v>
      </c>
      <c r="AW51" s="537">
        <f>RANK(AV51, AV$47:AV$61)</f>
        <v>2</v>
      </c>
      <c r="AX51" s="674"/>
    </row>
    <row r="52" spans="2:50">
      <c r="B52" s="660"/>
      <c r="C52" s="328">
        <v>6</v>
      </c>
      <c r="D52" s="227" t="s">
        <v>954</v>
      </c>
      <c r="E52" s="182">
        <v>6</v>
      </c>
      <c r="F52" s="551">
        <v>1500</v>
      </c>
      <c r="G52" s="552">
        <v>250</v>
      </c>
      <c r="H52" s="702"/>
      <c r="I52" s="428">
        <f t="shared" ref="I52:I53" si="37">AVERAGE(P52,U52,Z52,AE52,AJ52,AO52,AT52)</f>
        <v>5</v>
      </c>
      <c r="J52" s="428">
        <f t="shared" ref="J52:J53" si="38">AVERAGE(Q52,V52,AA52,AF52,AK52,AP52,AU52)</f>
        <v>1122.6801395615446</v>
      </c>
      <c r="K52" s="200">
        <f t="shared" ref="K52:K53" si="39">AVERAGE(R52,W52,AB52,AG52,AL52,AQ52,AV52)</f>
        <v>208.5072242855951</v>
      </c>
      <c r="L52" s="634"/>
      <c r="M52" s="201">
        <f>RANK(K52, K$47:$K$61)</f>
        <v>3</v>
      </c>
      <c r="N52" s="652"/>
      <c r="O52" s="652"/>
      <c r="P52" s="182">
        <v>5</v>
      </c>
      <c r="Q52" s="182">
        <v>1102.8571428571427</v>
      </c>
      <c r="R52" s="182">
        <v>220.57142857142853</v>
      </c>
      <c r="S52" s="537">
        <f t="shared" si="30"/>
        <v>2</v>
      </c>
      <c r="T52" s="674"/>
      <c r="U52" s="182">
        <v>5</v>
      </c>
      <c r="V52" s="182">
        <v>1116.5217391304348</v>
      </c>
      <c r="W52" s="182">
        <v>223.30434782608694</v>
      </c>
      <c r="X52" s="537">
        <f t="shared" si="31"/>
        <v>2</v>
      </c>
      <c r="Y52" s="674"/>
      <c r="Z52" s="182">
        <v>5</v>
      </c>
      <c r="AA52" s="182">
        <v>1123.3333333333323</v>
      </c>
      <c r="AB52" s="182">
        <v>224.66666666666646</v>
      </c>
      <c r="AC52" s="537">
        <f t="shared" si="32"/>
        <v>2</v>
      </c>
      <c r="AD52" s="674"/>
      <c r="AE52" s="182">
        <v>5</v>
      </c>
      <c r="AF52" s="182">
        <v>1149.9999999999991</v>
      </c>
      <c r="AG52" s="182">
        <v>229.99999999999983</v>
      </c>
      <c r="AH52" s="537">
        <f t="shared" si="33"/>
        <v>1</v>
      </c>
      <c r="AI52" s="674"/>
      <c r="AJ52" s="182">
        <v>5</v>
      </c>
      <c r="AK52" s="182">
        <v>1124.2105263157887</v>
      </c>
      <c r="AL52" s="182">
        <v>187.36842105263145</v>
      </c>
      <c r="AM52" s="537">
        <f t="shared" si="34"/>
        <v>4</v>
      </c>
      <c r="AN52" s="674"/>
      <c r="AO52" s="182">
        <v>5</v>
      </c>
      <c r="AP52" s="182">
        <v>1151.2499999999984</v>
      </c>
      <c r="AQ52" s="182">
        <v>191.87499999999974</v>
      </c>
      <c r="AR52" s="537">
        <f t="shared" si="35"/>
        <v>4</v>
      </c>
      <c r="AS52" s="674"/>
      <c r="AT52" s="182">
        <v>5</v>
      </c>
      <c r="AU52" s="182">
        <v>1090.5882352941164</v>
      </c>
      <c r="AV52" s="182">
        <v>181.76470588235273</v>
      </c>
      <c r="AW52" s="537">
        <f t="shared" si="36"/>
        <v>5</v>
      </c>
      <c r="AX52" s="674"/>
    </row>
    <row r="53" spans="2:50">
      <c r="B53" s="660"/>
      <c r="C53" s="328">
        <v>7</v>
      </c>
      <c r="D53" s="227" t="s">
        <v>964</v>
      </c>
      <c r="E53" s="182">
        <v>6</v>
      </c>
      <c r="F53" s="551">
        <v>1500</v>
      </c>
      <c r="G53" s="552">
        <v>250</v>
      </c>
      <c r="H53" s="702"/>
      <c r="I53" s="428">
        <f t="shared" si="37"/>
        <v>6</v>
      </c>
      <c r="J53" s="428">
        <f t="shared" si="38"/>
        <v>1368.5261013373631</v>
      </c>
      <c r="K53" s="200">
        <f t="shared" si="39"/>
        <v>228.0876835562272</v>
      </c>
      <c r="L53" s="634"/>
      <c r="M53" s="201">
        <f>RANK(K53, K$47:$K$61)</f>
        <v>1</v>
      </c>
      <c r="N53" s="652"/>
      <c r="O53" s="652"/>
      <c r="P53" s="182">
        <v>6</v>
      </c>
      <c r="Q53" s="182">
        <v>1371.9327731092435</v>
      </c>
      <c r="R53" s="182">
        <v>228.65546218487393</v>
      </c>
      <c r="S53" s="537">
        <f t="shared" si="30"/>
        <v>1</v>
      </c>
      <c r="T53" s="674"/>
      <c r="U53" s="182">
        <v>6</v>
      </c>
      <c r="V53" s="182">
        <v>1373.4653465346535</v>
      </c>
      <c r="W53" s="182">
        <v>228.9108910891089</v>
      </c>
      <c r="X53" s="537">
        <f t="shared" si="31"/>
        <v>1</v>
      </c>
      <c r="Y53" s="674"/>
      <c r="Z53" s="182">
        <v>6</v>
      </c>
      <c r="AA53" s="182">
        <v>1349.1044776119409</v>
      </c>
      <c r="AB53" s="182">
        <v>224.85074626865682</v>
      </c>
      <c r="AC53" s="537">
        <f t="shared" si="32"/>
        <v>1</v>
      </c>
      <c r="AD53" s="674"/>
      <c r="AE53" s="182">
        <v>6</v>
      </c>
      <c r="AF53" s="182">
        <v>1371.7627118644064</v>
      </c>
      <c r="AG53" s="182">
        <v>228.62711864406774</v>
      </c>
      <c r="AH53" s="537">
        <f t="shared" si="33"/>
        <v>2</v>
      </c>
      <c r="AI53" s="674"/>
      <c r="AJ53" s="182">
        <v>6</v>
      </c>
      <c r="AK53" s="182">
        <v>1355.8273381294962</v>
      </c>
      <c r="AL53" s="182">
        <v>225.97122302158269</v>
      </c>
      <c r="AM53" s="537">
        <f t="shared" si="34"/>
        <v>1</v>
      </c>
      <c r="AN53" s="674"/>
      <c r="AO53" s="182">
        <v>6</v>
      </c>
      <c r="AP53" s="182">
        <v>1391.3043478260863</v>
      </c>
      <c r="AQ53" s="182">
        <v>231.88405797101439</v>
      </c>
      <c r="AR53" s="537">
        <f t="shared" si="35"/>
        <v>1</v>
      </c>
      <c r="AS53" s="674"/>
      <c r="AT53" s="182">
        <v>6</v>
      </c>
      <c r="AU53" s="182">
        <v>1366.285714285714</v>
      </c>
      <c r="AV53" s="182">
        <v>227.71428571428567</v>
      </c>
      <c r="AW53" s="537">
        <f t="shared" si="36"/>
        <v>1</v>
      </c>
      <c r="AX53" s="674"/>
    </row>
    <row r="54" spans="2:50">
      <c r="B54" s="660"/>
      <c r="C54" s="328">
        <v>8</v>
      </c>
      <c r="D54" s="227"/>
      <c r="E54" s="182"/>
      <c r="F54" s="551"/>
      <c r="G54" s="552"/>
      <c r="H54" s="702"/>
      <c r="I54" s="465"/>
      <c r="J54" s="465"/>
      <c r="K54" s="200"/>
      <c r="L54" s="634"/>
      <c r="M54" s="201" t="e">
        <f>RANK(K54, K$47:$K$61)</f>
        <v>#N/A</v>
      </c>
      <c r="N54" s="652"/>
      <c r="O54" s="652"/>
      <c r="P54" s="551"/>
      <c r="Q54" s="182"/>
      <c r="R54" s="552"/>
      <c r="S54" s="537" t="e">
        <f t="shared" si="30"/>
        <v>#N/A</v>
      </c>
      <c r="T54" s="674"/>
      <c r="U54" s="551"/>
      <c r="V54" s="182"/>
      <c r="W54" s="552"/>
      <c r="X54" s="537" t="e">
        <f t="shared" si="31"/>
        <v>#N/A</v>
      </c>
      <c r="Y54" s="674"/>
      <c r="Z54" s="551"/>
      <c r="AA54" s="182"/>
      <c r="AB54" s="552"/>
      <c r="AC54" s="537" t="e">
        <f t="shared" si="32"/>
        <v>#N/A</v>
      </c>
      <c r="AD54" s="674"/>
      <c r="AE54" s="551"/>
      <c r="AF54" s="182"/>
      <c r="AG54" s="552"/>
      <c r="AH54" s="537" t="e">
        <f t="shared" si="33"/>
        <v>#N/A</v>
      </c>
      <c r="AI54" s="674"/>
      <c r="AJ54" s="551"/>
      <c r="AK54" s="182"/>
      <c r="AL54" s="552"/>
      <c r="AM54" s="537" t="e">
        <f t="shared" si="34"/>
        <v>#N/A</v>
      </c>
      <c r="AN54" s="674"/>
      <c r="AO54" s="551"/>
      <c r="AP54" s="182"/>
      <c r="AQ54" s="552"/>
      <c r="AR54" s="537" t="e">
        <f t="shared" si="35"/>
        <v>#N/A</v>
      </c>
      <c r="AS54" s="674"/>
      <c r="AT54" s="551"/>
      <c r="AU54" s="182"/>
      <c r="AV54" s="552"/>
      <c r="AW54" s="537" t="e">
        <f t="shared" si="36"/>
        <v>#N/A</v>
      </c>
      <c r="AX54" s="674"/>
    </row>
    <row r="55" spans="2:50">
      <c r="B55" s="660"/>
      <c r="C55" s="328">
        <v>9</v>
      </c>
      <c r="D55" s="227"/>
      <c r="E55" s="182"/>
      <c r="F55" s="551"/>
      <c r="G55" s="552"/>
      <c r="H55" s="702"/>
      <c r="I55" s="199"/>
      <c r="J55" s="199"/>
      <c r="K55" s="200"/>
      <c r="L55" s="634"/>
      <c r="M55" s="201" t="e">
        <f>RANK(K55, K$47:$K$61)</f>
        <v>#N/A</v>
      </c>
      <c r="N55" s="652"/>
      <c r="O55" s="652"/>
      <c r="P55" s="551"/>
      <c r="Q55" s="182"/>
      <c r="R55" s="552"/>
      <c r="S55" s="537"/>
      <c r="T55" s="674"/>
      <c r="U55" s="551"/>
      <c r="V55" s="182"/>
      <c r="W55" s="552"/>
      <c r="X55" s="537"/>
      <c r="Y55" s="674"/>
      <c r="Z55" s="551"/>
      <c r="AA55" s="182"/>
      <c r="AB55" s="552"/>
      <c r="AC55" s="537"/>
      <c r="AD55" s="674"/>
      <c r="AE55" s="551"/>
      <c r="AF55" s="182"/>
      <c r="AG55" s="552"/>
      <c r="AH55" s="537"/>
      <c r="AI55" s="674"/>
      <c r="AJ55" s="551"/>
      <c r="AK55" s="182"/>
      <c r="AL55" s="552"/>
      <c r="AM55" s="537"/>
      <c r="AN55" s="674"/>
      <c r="AO55" s="551"/>
      <c r="AP55" s="182"/>
      <c r="AQ55" s="552"/>
      <c r="AR55" s="537"/>
      <c r="AS55" s="674"/>
      <c r="AT55" s="551"/>
      <c r="AU55" s="182"/>
      <c r="AV55" s="552"/>
      <c r="AW55" s="537"/>
      <c r="AX55" s="674"/>
    </row>
    <row r="56" spans="2:50">
      <c r="B56" s="660"/>
      <c r="C56" s="328">
        <v>10</v>
      </c>
      <c r="D56" s="227"/>
      <c r="E56" s="182"/>
      <c r="F56" s="551"/>
      <c r="G56" s="552"/>
      <c r="H56" s="702"/>
      <c r="I56" s="199"/>
      <c r="J56" s="199"/>
      <c r="K56" s="200"/>
      <c r="L56" s="634"/>
      <c r="M56" s="201" t="e">
        <f>RANK(K56, K$47:$K$61)</f>
        <v>#N/A</v>
      </c>
      <c r="N56" s="652"/>
      <c r="O56" s="652"/>
      <c r="P56" s="551"/>
      <c r="Q56" s="182"/>
      <c r="R56" s="552"/>
      <c r="S56" s="537"/>
      <c r="T56" s="674"/>
      <c r="U56" s="551"/>
      <c r="V56" s="182"/>
      <c r="W56" s="552"/>
      <c r="X56" s="537"/>
      <c r="Y56" s="674"/>
      <c r="Z56" s="551"/>
      <c r="AA56" s="182"/>
      <c r="AB56" s="552"/>
      <c r="AC56" s="537"/>
      <c r="AD56" s="674"/>
      <c r="AE56" s="551"/>
      <c r="AF56" s="182"/>
      <c r="AG56" s="552"/>
      <c r="AH56" s="537"/>
      <c r="AI56" s="674"/>
      <c r="AJ56" s="551"/>
      <c r="AK56" s="182"/>
      <c r="AL56" s="552"/>
      <c r="AM56" s="537"/>
      <c r="AN56" s="674"/>
      <c r="AO56" s="551"/>
      <c r="AP56" s="182"/>
      <c r="AQ56" s="552"/>
      <c r="AR56" s="537"/>
      <c r="AS56" s="674"/>
      <c r="AT56" s="551"/>
      <c r="AU56" s="182"/>
      <c r="AV56" s="552"/>
      <c r="AW56" s="537"/>
      <c r="AX56" s="674"/>
    </row>
    <row r="57" spans="2:50">
      <c r="B57" s="660"/>
      <c r="C57" s="328">
        <v>11</v>
      </c>
      <c r="D57" s="227"/>
      <c r="E57" s="182"/>
      <c r="F57" s="551"/>
      <c r="G57" s="552"/>
      <c r="H57" s="702"/>
      <c r="I57" s="199"/>
      <c r="J57" s="199"/>
      <c r="K57" s="200"/>
      <c r="L57" s="634"/>
      <c r="M57" s="201" t="e">
        <f>RANK(K57, K$47:$K$61)</f>
        <v>#N/A</v>
      </c>
      <c r="N57" s="652"/>
      <c r="O57" s="652"/>
      <c r="P57" s="551"/>
      <c r="Q57" s="182"/>
      <c r="R57" s="552"/>
      <c r="S57" s="537"/>
      <c r="T57" s="674"/>
      <c r="U57" s="551"/>
      <c r="V57" s="182"/>
      <c r="W57" s="552"/>
      <c r="X57" s="537"/>
      <c r="Y57" s="674"/>
      <c r="Z57" s="551"/>
      <c r="AA57" s="182"/>
      <c r="AB57" s="552"/>
      <c r="AC57" s="537"/>
      <c r="AD57" s="674"/>
      <c r="AE57" s="551"/>
      <c r="AF57" s="182"/>
      <c r="AG57" s="552"/>
      <c r="AH57" s="537"/>
      <c r="AI57" s="674"/>
      <c r="AJ57" s="551"/>
      <c r="AK57" s="182"/>
      <c r="AL57" s="552"/>
      <c r="AM57" s="537"/>
      <c r="AN57" s="674"/>
      <c r="AO57" s="551"/>
      <c r="AP57" s="182"/>
      <c r="AQ57" s="552"/>
      <c r="AR57" s="537"/>
      <c r="AS57" s="674"/>
      <c r="AT57" s="551"/>
      <c r="AU57" s="182"/>
      <c r="AV57" s="552"/>
      <c r="AW57" s="537"/>
      <c r="AX57" s="674"/>
    </row>
    <row r="58" spans="2:50">
      <c r="B58" s="660"/>
      <c r="C58" s="328">
        <v>12</v>
      </c>
      <c r="D58" s="227"/>
      <c r="E58" s="182"/>
      <c r="F58" s="551"/>
      <c r="G58" s="552"/>
      <c r="H58" s="702"/>
      <c r="I58" s="199"/>
      <c r="J58" s="199"/>
      <c r="K58" s="200"/>
      <c r="L58" s="634"/>
      <c r="M58" s="201" t="e">
        <f>RANK(K58, K$47:$K$61)</f>
        <v>#N/A</v>
      </c>
      <c r="N58" s="652"/>
      <c r="O58" s="652"/>
      <c r="P58" s="551"/>
      <c r="Q58" s="182"/>
      <c r="R58" s="552"/>
      <c r="S58" s="537"/>
      <c r="T58" s="674"/>
      <c r="U58" s="551"/>
      <c r="V58" s="182"/>
      <c r="W58" s="552"/>
      <c r="X58" s="537"/>
      <c r="Y58" s="674"/>
      <c r="Z58" s="551"/>
      <c r="AA58" s="182"/>
      <c r="AB58" s="552"/>
      <c r="AC58" s="537"/>
      <c r="AD58" s="674"/>
      <c r="AE58" s="551"/>
      <c r="AF58" s="182"/>
      <c r="AG58" s="552"/>
      <c r="AH58" s="537"/>
      <c r="AI58" s="674"/>
      <c r="AJ58" s="551"/>
      <c r="AK58" s="182"/>
      <c r="AL58" s="552"/>
      <c r="AM58" s="537"/>
      <c r="AN58" s="674"/>
      <c r="AO58" s="551"/>
      <c r="AP58" s="182"/>
      <c r="AQ58" s="552"/>
      <c r="AR58" s="537"/>
      <c r="AS58" s="674"/>
      <c r="AT58" s="551"/>
      <c r="AU58" s="182"/>
      <c r="AV58" s="552"/>
      <c r="AW58" s="537"/>
      <c r="AX58" s="674"/>
    </row>
    <row r="59" spans="2:50">
      <c r="B59" s="660"/>
      <c r="C59" s="328">
        <v>13</v>
      </c>
      <c r="D59" s="227"/>
      <c r="E59" s="182"/>
      <c r="F59" s="551"/>
      <c r="G59" s="552"/>
      <c r="H59" s="702"/>
      <c r="I59" s="199"/>
      <c r="J59" s="199"/>
      <c r="K59" s="200"/>
      <c r="L59" s="634"/>
      <c r="M59" s="201" t="e">
        <f>RANK(K59, K$47:$K$61)</f>
        <v>#N/A</v>
      </c>
      <c r="N59" s="652"/>
      <c r="O59" s="652"/>
      <c r="P59" s="551"/>
      <c r="Q59" s="182"/>
      <c r="R59" s="552"/>
      <c r="S59" s="537"/>
      <c r="T59" s="674"/>
      <c r="U59" s="551"/>
      <c r="V59" s="182"/>
      <c r="W59" s="552"/>
      <c r="X59" s="537"/>
      <c r="Y59" s="674"/>
      <c r="Z59" s="551"/>
      <c r="AA59" s="182"/>
      <c r="AB59" s="552"/>
      <c r="AC59" s="537"/>
      <c r="AD59" s="674"/>
      <c r="AE59" s="551"/>
      <c r="AF59" s="182"/>
      <c r="AG59" s="552"/>
      <c r="AH59" s="537"/>
      <c r="AI59" s="674"/>
      <c r="AJ59" s="551"/>
      <c r="AK59" s="182"/>
      <c r="AL59" s="552"/>
      <c r="AM59" s="537"/>
      <c r="AN59" s="674"/>
      <c r="AO59" s="551"/>
      <c r="AP59" s="182"/>
      <c r="AQ59" s="552"/>
      <c r="AR59" s="537"/>
      <c r="AS59" s="674"/>
      <c r="AT59" s="551"/>
      <c r="AU59" s="182"/>
      <c r="AV59" s="552"/>
      <c r="AW59" s="537"/>
      <c r="AX59" s="674"/>
    </row>
    <row r="60" spans="2:50">
      <c r="B60" s="660"/>
      <c r="C60" s="328">
        <v>14</v>
      </c>
      <c r="D60" s="227"/>
      <c r="E60" s="182"/>
      <c r="F60" s="551"/>
      <c r="G60" s="552"/>
      <c r="H60" s="702"/>
      <c r="I60" s="199"/>
      <c r="J60" s="199"/>
      <c r="K60" s="200"/>
      <c r="L60" s="634"/>
      <c r="M60" s="201" t="e">
        <f>RANK(K60, K$47:$K$61)</f>
        <v>#N/A</v>
      </c>
      <c r="N60" s="652"/>
      <c r="O60" s="652"/>
      <c r="P60" s="551"/>
      <c r="Q60" s="182"/>
      <c r="R60" s="552"/>
      <c r="S60" s="537"/>
      <c r="T60" s="674"/>
      <c r="U60" s="551"/>
      <c r="V60" s="182"/>
      <c r="W60" s="552"/>
      <c r="X60" s="537"/>
      <c r="Y60" s="674"/>
      <c r="Z60" s="551"/>
      <c r="AA60" s="182"/>
      <c r="AB60" s="552"/>
      <c r="AC60" s="537"/>
      <c r="AD60" s="674"/>
      <c r="AE60" s="551"/>
      <c r="AF60" s="182"/>
      <c r="AG60" s="552"/>
      <c r="AH60" s="537"/>
      <c r="AI60" s="674"/>
      <c r="AJ60" s="551"/>
      <c r="AK60" s="182"/>
      <c r="AL60" s="552"/>
      <c r="AM60" s="537"/>
      <c r="AN60" s="674"/>
      <c r="AO60" s="551"/>
      <c r="AP60" s="182"/>
      <c r="AQ60" s="552"/>
      <c r="AR60" s="537"/>
      <c r="AS60" s="674"/>
      <c r="AT60" s="551"/>
      <c r="AU60" s="182"/>
      <c r="AV60" s="552"/>
      <c r="AW60" s="537"/>
      <c r="AX60" s="674"/>
    </row>
    <row r="61" spans="2:50">
      <c r="B61" s="660"/>
      <c r="C61" s="328">
        <v>15</v>
      </c>
      <c r="D61" s="227"/>
      <c r="E61" s="182"/>
      <c r="F61" s="551"/>
      <c r="G61" s="552"/>
      <c r="H61" s="703"/>
      <c r="I61" s="199"/>
      <c r="J61" s="199"/>
      <c r="K61" s="200"/>
      <c r="L61" s="635"/>
      <c r="M61" s="201" t="e">
        <f>RANK(K61, K$47:$K$61)</f>
        <v>#N/A</v>
      </c>
      <c r="N61" s="652"/>
      <c r="O61" s="652"/>
      <c r="P61" s="551"/>
      <c r="Q61" s="182"/>
      <c r="R61" s="552"/>
      <c r="S61" s="537"/>
      <c r="T61" s="674"/>
      <c r="U61" s="551"/>
      <c r="V61" s="182"/>
      <c r="W61" s="552"/>
      <c r="X61" s="537"/>
      <c r="Y61" s="674"/>
      <c r="Z61" s="551"/>
      <c r="AA61" s="182"/>
      <c r="AB61" s="552"/>
      <c r="AC61" s="537"/>
      <c r="AD61" s="674"/>
      <c r="AE61" s="551"/>
      <c r="AF61" s="182"/>
      <c r="AG61" s="552"/>
      <c r="AH61" s="537"/>
      <c r="AI61" s="674"/>
      <c r="AJ61" s="551"/>
      <c r="AK61" s="182"/>
      <c r="AL61" s="552"/>
      <c r="AM61" s="537"/>
      <c r="AN61" s="674"/>
      <c r="AO61" s="551"/>
      <c r="AP61" s="182"/>
      <c r="AQ61" s="552"/>
      <c r="AR61" s="537"/>
      <c r="AS61" s="674"/>
      <c r="AT61" s="551"/>
      <c r="AU61" s="182"/>
      <c r="AV61" s="552"/>
      <c r="AW61" s="537"/>
      <c r="AX61" s="674"/>
    </row>
    <row r="62" spans="2:50" ht="15.75">
      <c r="B62" s="664" t="s">
        <v>163</v>
      </c>
      <c r="C62" s="665"/>
      <c r="D62" s="665"/>
      <c r="E62" s="665"/>
      <c r="F62" s="665"/>
      <c r="G62" s="665"/>
      <c r="H62" s="666"/>
      <c r="I62" s="208"/>
      <c r="J62" s="208"/>
      <c r="K62" s="208"/>
      <c r="L62" s="208"/>
      <c r="M62" s="207"/>
      <c r="N62" s="653" t="s">
        <v>156</v>
      </c>
      <c r="O62" s="653" t="s">
        <v>105</v>
      </c>
      <c r="P62" s="659">
        <f>P42+7</f>
        <v>46070</v>
      </c>
      <c r="Q62" s="660"/>
      <c r="R62" s="660"/>
      <c r="S62" s="660"/>
      <c r="T62" s="660"/>
      <c r="U62" s="656">
        <f>P62+1</f>
        <v>46071</v>
      </c>
      <c r="V62" s="657"/>
      <c r="W62" s="657"/>
      <c r="X62" s="657"/>
      <c r="Y62" s="658"/>
      <c r="Z62" s="656">
        <f>U62+1</f>
        <v>46072</v>
      </c>
      <c r="AA62" s="657"/>
      <c r="AB62" s="657"/>
      <c r="AC62" s="657"/>
      <c r="AD62" s="658"/>
      <c r="AE62" s="656">
        <f>Z62+1</f>
        <v>46073</v>
      </c>
      <c r="AF62" s="657"/>
      <c r="AG62" s="657"/>
      <c r="AH62" s="657"/>
      <c r="AI62" s="658"/>
      <c r="AJ62" s="656">
        <f>AE62+1</f>
        <v>46074</v>
      </c>
      <c r="AK62" s="657"/>
      <c r="AL62" s="657"/>
      <c r="AM62" s="657"/>
      <c r="AN62" s="658"/>
      <c r="AO62" s="656">
        <f>AJ62+1</f>
        <v>46075</v>
      </c>
      <c r="AP62" s="657"/>
      <c r="AQ62" s="657"/>
      <c r="AR62" s="657"/>
      <c r="AS62" s="658"/>
      <c r="AT62" s="656">
        <f>AO62+1</f>
        <v>46076</v>
      </c>
      <c r="AU62" s="657"/>
      <c r="AV62" s="657"/>
      <c r="AW62" s="657"/>
      <c r="AX62" s="658"/>
    </row>
    <row r="63" spans="2:50" ht="15.75">
      <c r="B63" s="667"/>
      <c r="C63" s="667"/>
      <c r="D63" s="667"/>
      <c r="E63" s="667"/>
      <c r="F63" s="667"/>
      <c r="G63" s="667"/>
      <c r="H63" s="667"/>
      <c r="I63" s="205"/>
      <c r="J63" s="205"/>
      <c r="K63" s="205"/>
      <c r="L63" s="205"/>
      <c r="M63" s="206"/>
      <c r="N63" s="655"/>
      <c r="O63" s="655"/>
      <c r="P63" s="659" t="s">
        <v>336</v>
      </c>
      <c r="Q63" s="660"/>
      <c r="R63" s="660"/>
      <c r="S63" s="660"/>
      <c r="T63" s="660"/>
      <c r="U63" s="659" t="s">
        <v>337</v>
      </c>
      <c r="V63" s="660"/>
      <c r="W63" s="660"/>
      <c r="X63" s="660"/>
      <c r="Y63" s="660"/>
      <c r="Z63" s="659" t="s">
        <v>338</v>
      </c>
      <c r="AA63" s="660"/>
      <c r="AB63" s="660"/>
      <c r="AC63" s="660"/>
      <c r="AD63" s="660"/>
      <c r="AE63" s="659" t="s">
        <v>339</v>
      </c>
      <c r="AF63" s="660"/>
      <c r="AG63" s="660"/>
      <c r="AH63" s="660"/>
      <c r="AI63" s="660"/>
      <c r="AJ63" s="659" t="s">
        <v>340</v>
      </c>
      <c r="AK63" s="660"/>
      <c r="AL63" s="660"/>
      <c r="AM63" s="660"/>
      <c r="AN63" s="660"/>
      <c r="AO63" s="659" t="s">
        <v>341</v>
      </c>
      <c r="AP63" s="660"/>
      <c r="AQ63" s="660"/>
      <c r="AR63" s="660"/>
      <c r="AS63" s="660"/>
      <c r="AT63" s="659" t="s">
        <v>342</v>
      </c>
      <c r="AU63" s="660"/>
      <c r="AV63" s="660"/>
      <c r="AW63" s="660"/>
      <c r="AX63" s="660"/>
    </row>
    <row r="64" spans="2:50">
      <c r="B64" s="652" t="s">
        <v>490</v>
      </c>
      <c r="C64" s="652" t="s">
        <v>491</v>
      </c>
      <c r="D64" s="652"/>
      <c r="E64" s="652" t="s">
        <v>492</v>
      </c>
      <c r="F64" s="652"/>
      <c r="G64" s="652"/>
      <c r="H64" s="668" t="s">
        <v>493</v>
      </c>
      <c r="I64" s="636" t="s">
        <v>494</v>
      </c>
      <c r="J64" s="636"/>
      <c r="K64" s="636"/>
      <c r="L64" s="637" t="s">
        <v>493</v>
      </c>
      <c r="M64" s="643" t="s">
        <v>495</v>
      </c>
      <c r="N64" s="652"/>
      <c r="O64" s="652" t="s">
        <v>496</v>
      </c>
      <c r="P64" s="649" t="s">
        <v>497</v>
      </c>
      <c r="Q64" s="650"/>
      <c r="R64" s="650"/>
      <c r="S64" s="651"/>
      <c r="T64" s="652" t="s">
        <v>493</v>
      </c>
      <c r="U64" s="649" t="s">
        <v>497</v>
      </c>
      <c r="V64" s="650"/>
      <c r="W64" s="650"/>
      <c r="X64" s="651"/>
      <c r="Y64" s="652" t="s">
        <v>493</v>
      </c>
      <c r="Z64" s="649" t="s">
        <v>497</v>
      </c>
      <c r="AA64" s="650"/>
      <c r="AB64" s="650"/>
      <c r="AC64" s="651"/>
      <c r="AD64" s="652" t="s">
        <v>493</v>
      </c>
      <c r="AE64" s="649" t="s">
        <v>497</v>
      </c>
      <c r="AF64" s="650"/>
      <c r="AG64" s="650"/>
      <c r="AH64" s="651"/>
      <c r="AI64" s="652" t="s">
        <v>493</v>
      </c>
      <c r="AJ64" s="649" t="s">
        <v>497</v>
      </c>
      <c r="AK64" s="650"/>
      <c r="AL64" s="650"/>
      <c r="AM64" s="651"/>
      <c r="AN64" s="652" t="s">
        <v>493</v>
      </c>
      <c r="AO64" s="649" t="s">
        <v>497</v>
      </c>
      <c r="AP64" s="650"/>
      <c r="AQ64" s="650"/>
      <c r="AR64" s="651"/>
      <c r="AS64" s="652" t="s">
        <v>493</v>
      </c>
      <c r="AT64" s="649" t="s">
        <v>497</v>
      </c>
      <c r="AU64" s="650"/>
      <c r="AV64" s="650"/>
      <c r="AW64" s="651"/>
      <c r="AX64" s="652" t="s">
        <v>493</v>
      </c>
    </row>
    <row r="65" spans="2:50">
      <c r="B65" s="652"/>
      <c r="C65" s="652"/>
      <c r="D65" s="652"/>
      <c r="E65" s="652" t="s">
        <v>498</v>
      </c>
      <c r="F65" s="652"/>
      <c r="G65" s="652"/>
      <c r="H65" s="669"/>
      <c r="I65" s="636" t="s">
        <v>498</v>
      </c>
      <c r="J65" s="636"/>
      <c r="K65" s="636"/>
      <c r="L65" s="638"/>
      <c r="M65" s="644"/>
      <c r="N65" s="652"/>
      <c r="O65" s="652"/>
      <c r="P65" s="649" t="s">
        <v>499</v>
      </c>
      <c r="Q65" s="650"/>
      <c r="R65" s="650"/>
      <c r="S65" s="651"/>
      <c r="T65" s="652"/>
      <c r="U65" s="649" t="s">
        <v>499</v>
      </c>
      <c r="V65" s="650"/>
      <c r="W65" s="650"/>
      <c r="X65" s="651"/>
      <c r="Y65" s="652"/>
      <c r="Z65" s="649" t="s">
        <v>499</v>
      </c>
      <c r="AA65" s="650"/>
      <c r="AB65" s="650"/>
      <c r="AC65" s="651"/>
      <c r="AD65" s="652"/>
      <c r="AE65" s="649" t="s">
        <v>499</v>
      </c>
      <c r="AF65" s="650"/>
      <c r="AG65" s="650"/>
      <c r="AH65" s="651"/>
      <c r="AI65" s="652"/>
      <c r="AJ65" s="649" t="s">
        <v>499</v>
      </c>
      <c r="AK65" s="650"/>
      <c r="AL65" s="650"/>
      <c r="AM65" s="651"/>
      <c r="AN65" s="652"/>
      <c r="AO65" s="649" t="s">
        <v>499</v>
      </c>
      <c r="AP65" s="650"/>
      <c r="AQ65" s="650"/>
      <c r="AR65" s="651"/>
      <c r="AS65" s="652"/>
      <c r="AT65" s="649" t="s">
        <v>499</v>
      </c>
      <c r="AU65" s="650"/>
      <c r="AV65" s="650"/>
      <c r="AW65" s="651"/>
      <c r="AX65" s="652"/>
    </row>
    <row r="66" spans="2:50">
      <c r="B66" s="652"/>
      <c r="C66" s="652"/>
      <c r="D66" s="652"/>
      <c r="E66" s="308" t="s">
        <v>500</v>
      </c>
      <c r="F66" s="308" t="s">
        <v>501</v>
      </c>
      <c r="G66" s="308" t="s">
        <v>502</v>
      </c>
      <c r="H66" s="670"/>
      <c r="I66" s="307" t="s">
        <v>500</v>
      </c>
      <c r="J66" s="307" t="s">
        <v>501</v>
      </c>
      <c r="K66" s="307" t="s">
        <v>502</v>
      </c>
      <c r="L66" s="639"/>
      <c r="M66" s="645"/>
      <c r="N66" s="652"/>
      <c r="O66" s="652"/>
      <c r="P66" s="308" t="s">
        <v>500</v>
      </c>
      <c r="Q66" s="308" t="s">
        <v>501</v>
      </c>
      <c r="R66" s="308" t="s">
        <v>502</v>
      </c>
      <c r="S66" s="308" t="s">
        <v>495</v>
      </c>
      <c r="T66" s="652"/>
      <c r="U66" s="308" t="s">
        <v>500</v>
      </c>
      <c r="V66" s="308" t="s">
        <v>501</v>
      </c>
      <c r="W66" s="308" t="s">
        <v>502</v>
      </c>
      <c r="X66" s="308" t="s">
        <v>495</v>
      </c>
      <c r="Y66" s="652"/>
      <c r="Z66" s="308" t="s">
        <v>500</v>
      </c>
      <c r="AA66" s="308" t="s">
        <v>501</v>
      </c>
      <c r="AB66" s="308" t="s">
        <v>502</v>
      </c>
      <c r="AC66" s="308" t="s">
        <v>495</v>
      </c>
      <c r="AD66" s="652"/>
      <c r="AE66" s="308" t="s">
        <v>500</v>
      </c>
      <c r="AF66" s="308" t="s">
        <v>501</v>
      </c>
      <c r="AG66" s="308" t="s">
        <v>502</v>
      </c>
      <c r="AH66" s="308" t="s">
        <v>495</v>
      </c>
      <c r="AI66" s="652"/>
      <c r="AJ66" s="308" t="s">
        <v>500</v>
      </c>
      <c r="AK66" s="308" t="s">
        <v>501</v>
      </c>
      <c r="AL66" s="308" t="s">
        <v>502</v>
      </c>
      <c r="AM66" s="308" t="s">
        <v>495</v>
      </c>
      <c r="AN66" s="652"/>
      <c r="AO66" s="308" t="s">
        <v>500</v>
      </c>
      <c r="AP66" s="308" t="s">
        <v>501</v>
      </c>
      <c r="AQ66" s="308" t="s">
        <v>502</v>
      </c>
      <c r="AR66" s="308" t="s">
        <v>495</v>
      </c>
      <c r="AS66" s="652"/>
      <c r="AT66" s="308" t="s">
        <v>500</v>
      </c>
      <c r="AU66" s="308" t="s">
        <v>501</v>
      </c>
      <c r="AV66" s="308" t="s">
        <v>502</v>
      </c>
      <c r="AW66" s="308" t="s">
        <v>495</v>
      </c>
      <c r="AX66" s="652"/>
    </row>
    <row r="67" spans="2:50">
      <c r="B67" s="652" t="s">
        <v>504</v>
      </c>
      <c r="C67" s="309">
        <v>1</v>
      </c>
      <c r="D67" s="227"/>
      <c r="E67" s="182"/>
      <c r="F67" s="551"/>
      <c r="G67" s="552"/>
      <c r="H67" s="701" t="e">
        <f>AVERAGE(G67:G81)</f>
        <v>#DIV/0!</v>
      </c>
      <c r="I67" s="199" t="e">
        <f t="shared" ref="I67:K72" si="40">AVERAGE(P67,U67,Z67,AE67,AJ67,AO67,AT67)</f>
        <v>#DIV/0!</v>
      </c>
      <c r="J67" s="199" t="e">
        <f t="shared" si="40"/>
        <v>#DIV/0!</v>
      </c>
      <c r="K67" s="200" t="e">
        <f t="shared" si="40"/>
        <v>#DIV/0!</v>
      </c>
      <c r="L67" s="633" t="str">
        <f>IFERROR(AVERAGE(K67:K81),"-")</f>
        <v>-</v>
      </c>
      <c r="M67" s="201" t="e">
        <f>RANK(K67, K$67:$K$81)</f>
        <v>#DIV/0!</v>
      </c>
      <c r="N67" s="652"/>
      <c r="O67" s="652"/>
      <c r="P67" s="182"/>
      <c r="Q67" s="182"/>
      <c r="R67" s="182"/>
      <c r="S67" s="309" t="e">
        <f>RANK(R67, R$67:R$81)</f>
        <v>#N/A</v>
      </c>
      <c r="T67" s="661" t="e">
        <f>AVERAGE(R67:R81)</f>
        <v>#DIV/0!</v>
      </c>
      <c r="U67" s="182"/>
      <c r="V67" s="182"/>
      <c r="W67" s="182"/>
      <c r="X67" s="477" t="e">
        <f t="shared" ref="X67:X81" si="41">RANK(W67, W$67:W$81)</f>
        <v>#N/A</v>
      </c>
      <c r="Y67" s="661" t="e">
        <f t="shared" ref="Y67" si="42">AVERAGE(W67:W81)</f>
        <v>#DIV/0!</v>
      </c>
      <c r="Z67" s="182"/>
      <c r="AA67" s="182"/>
      <c r="AB67" s="182"/>
      <c r="AC67" s="477" t="e">
        <f t="shared" ref="AC67:AC81" si="43">RANK(AB67, AB$67:AB$81)</f>
        <v>#N/A</v>
      </c>
      <c r="AD67" s="661" t="e">
        <f t="shared" ref="AD67" si="44">AVERAGE(AB67:AB81)</f>
        <v>#DIV/0!</v>
      </c>
      <c r="AE67" s="182"/>
      <c r="AF67" s="182"/>
      <c r="AG67" s="182"/>
      <c r="AH67" s="477" t="e">
        <f t="shared" ref="AH67:AH81" si="45">RANK(AG67, AG$67:AG$81)</f>
        <v>#N/A</v>
      </c>
      <c r="AI67" s="661" t="e">
        <f t="shared" ref="AI67" si="46">AVERAGE(AG67:AG81)</f>
        <v>#DIV/0!</v>
      </c>
      <c r="AJ67" s="182"/>
      <c r="AK67" s="182"/>
      <c r="AL67" s="182"/>
      <c r="AM67" s="477" t="e">
        <f t="shared" ref="AM67:AM81" si="47">RANK(AL67, AL$67:AL$81)</f>
        <v>#N/A</v>
      </c>
      <c r="AN67" s="661" t="e">
        <f t="shared" ref="AN67" si="48">AVERAGE(AL67:AL81)</f>
        <v>#DIV/0!</v>
      </c>
      <c r="AO67" s="182"/>
      <c r="AP67" s="182"/>
      <c r="AQ67" s="182"/>
      <c r="AR67" s="477" t="e">
        <f t="shared" ref="AR67:AR81" si="49">RANK(AQ67, AQ$67:AQ$81)</f>
        <v>#N/A</v>
      </c>
      <c r="AS67" s="661" t="e">
        <f t="shared" ref="AS67" si="50">AVERAGE(AQ67:AQ81)</f>
        <v>#DIV/0!</v>
      </c>
      <c r="AT67" s="182"/>
      <c r="AU67" s="182"/>
      <c r="AV67" s="182"/>
      <c r="AW67" s="477" t="e">
        <f t="shared" ref="AW67:AW81" si="51">RANK(AV67, AV$67:AV$81)</f>
        <v>#N/A</v>
      </c>
      <c r="AX67" s="674" t="e">
        <f t="shared" ref="AX67" si="52">AVERAGE(AV67:AV81)</f>
        <v>#DIV/0!</v>
      </c>
    </row>
    <row r="68" spans="2:50">
      <c r="B68" s="660"/>
      <c r="C68" s="309">
        <v>2</v>
      </c>
      <c r="D68" s="227"/>
      <c r="E68" s="182"/>
      <c r="F68" s="551"/>
      <c r="G68" s="552"/>
      <c r="H68" s="702"/>
      <c r="I68" s="199" t="e">
        <f t="shared" si="40"/>
        <v>#DIV/0!</v>
      </c>
      <c r="J68" s="199" t="e">
        <f t="shared" si="40"/>
        <v>#DIV/0!</v>
      </c>
      <c r="K68" s="200" t="e">
        <f t="shared" si="40"/>
        <v>#DIV/0!</v>
      </c>
      <c r="L68" s="634"/>
      <c r="M68" s="201" t="e">
        <f>RANK(K68, K$67:$K$81)</f>
        <v>#DIV/0!</v>
      </c>
      <c r="N68" s="652"/>
      <c r="O68" s="652"/>
      <c r="P68" s="182"/>
      <c r="Q68" s="182"/>
      <c r="R68" s="182"/>
      <c r="S68" s="340" t="e">
        <f t="shared" ref="S68:S81" si="53">RANK(R68, R$67:R$81)</f>
        <v>#N/A</v>
      </c>
      <c r="T68" s="662"/>
      <c r="U68" s="182"/>
      <c r="V68" s="182"/>
      <c r="W68" s="182"/>
      <c r="X68" s="477" t="e">
        <f t="shared" si="41"/>
        <v>#N/A</v>
      </c>
      <c r="Y68" s="662"/>
      <c r="Z68" s="182"/>
      <c r="AA68" s="182"/>
      <c r="AB68" s="182"/>
      <c r="AC68" s="477" t="e">
        <f t="shared" si="43"/>
        <v>#N/A</v>
      </c>
      <c r="AD68" s="662"/>
      <c r="AE68" s="182"/>
      <c r="AF68" s="182"/>
      <c r="AG68" s="182"/>
      <c r="AH68" s="477" t="e">
        <f t="shared" si="45"/>
        <v>#N/A</v>
      </c>
      <c r="AI68" s="662"/>
      <c r="AJ68" s="182"/>
      <c r="AK68" s="182"/>
      <c r="AL68" s="182"/>
      <c r="AM68" s="477" t="e">
        <f t="shared" si="47"/>
        <v>#N/A</v>
      </c>
      <c r="AN68" s="662"/>
      <c r="AO68" s="182"/>
      <c r="AP68" s="182"/>
      <c r="AQ68" s="182"/>
      <c r="AR68" s="477" t="e">
        <f t="shared" si="49"/>
        <v>#N/A</v>
      </c>
      <c r="AS68" s="662"/>
      <c r="AT68" s="182"/>
      <c r="AU68" s="182"/>
      <c r="AV68" s="182"/>
      <c r="AW68" s="477" t="e">
        <f t="shared" si="51"/>
        <v>#N/A</v>
      </c>
      <c r="AX68" s="674"/>
    </row>
    <row r="69" spans="2:50">
      <c r="B69" s="660"/>
      <c r="C69" s="309">
        <v>3</v>
      </c>
      <c r="D69" s="227"/>
      <c r="E69" s="182"/>
      <c r="F69" s="551"/>
      <c r="G69" s="552"/>
      <c r="H69" s="702"/>
      <c r="I69" s="199" t="e">
        <f t="shared" si="40"/>
        <v>#DIV/0!</v>
      </c>
      <c r="J69" s="199" t="e">
        <f t="shared" si="40"/>
        <v>#DIV/0!</v>
      </c>
      <c r="K69" s="200" t="e">
        <f t="shared" si="40"/>
        <v>#DIV/0!</v>
      </c>
      <c r="L69" s="634"/>
      <c r="M69" s="201" t="e">
        <f>RANK(K69, K$67:$K$81)</f>
        <v>#DIV/0!</v>
      </c>
      <c r="N69" s="652"/>
      <c r="O69" s="652"/>
      <c r="P69" s="182"/>
      <c r="Q69" s="182"/>
      <c r="R69" s="182"/>
      <c r="S69" s="340" t="e">
        <f t="shared" si="53"/>
        <v>#N/A</v>
      </c>
      <c r="T69" s="662"/>
      <c r="U69" s="182"/>
      <c r="V69" s="182"/>
      <c r="W69" s="182"/>
      <c r="X69" s="477" t="e">
        <f t="shared" si="41"/>
        <v>#N/A</v>
      </c>
      <c r="Y69" s="662"/>
      <c r="Z69" s="182"/>
      <c r="AA69" s="182"/>
      <c r="AB69" s="182"/>
      <c r="AC69" s="477" t="e">
        <f t="shared" si="43"/>
        <v>#N/A</v>
      </c>
      <c r="AD69" s="662"/>
      <c r="AE69" s="182"/>
      <c r="AF69" s="182"/>
      <c r="AG69" s="182"/>
      <c r="AH69" s="477" t="e">
        <f t="shared" si="45"/>
        <v>#N/A</v>
      </c>
      <c r="AI69" s="662"/>
      <c r="AJ69" s="182"/>
      <c r="AK69" s="182"/>
      <c r="AL69" s="182"/>
      <c r="AM69" s="477" t="e">
        <f t="shared" si="47"/>
        <v>#N/A</v>
      </c>
      <c r="AN69" s="662"/>
      <c r="AO69" s="182"/>
      <c r="AP69" s="182"/>
      <c r="AQ69" s="182"/>
      <c r="AR69" s="477" t="e">
        <f t="shared" si="49"/>
        <v>#N/A</v>
      </c>
      <c r="AS69" s="662"/>
      <c r="AT69" s="182"/>
      <c r="AU69" s="182"/>
      <c r="AV69" s="182"/>
      <c r="AW69" s="477" t="e">
        <f t="shared" si="51"/>
        <v>#N/A</v>
      </c>
      <c r="AX69" s="674"/>
    </row>
    <row r="70" spans="2:50">
      <c r="B70" s="660"/>
      <c r="C70" s="309">
        <v>4</v>
      </c>
      <c r="D70" s="227"/>
      <c r="E70" s="182"/>
      <c r="F70" s="551"/>
      <c r="G70" s="552"/>
      <c r="H70" s="702"/>
      <c r="I70" s="199" t="e">
        <f t="shared" si="40"/>
        <v>#DIV/0!</v>
      </c>
      <c r="J70" s="199" t="e">
        <f t="shared" si="40"/>
        <v>#DIV/0!</v>
      </c>
      <c r="K70" s="200" t="e">
        <f t="shared" si="40"/>
        <v>#DIV/0!</v>
      </c>
      <c r="L70" s="634"/>
      <c r="M70" s="201" t="e">
        <f>RANK(K70, K$67:$K$81)</f>
        <v>#DIV/0!</v>
      </c>
      <c r="N70" s="652"/>
      <c r="O70" s="652"/>
      <c r="P70" s="182"/>
      <c r="Q70" s="182"/>
      <c r="R70" s="182"/>
      <c r="S70" s="340" t="e">
        <f t="shared" si="53"/>
        <v>#N/A</v>
      </c>
      <c r="T70" s="662"/>
      <c r="U70" s="182"/>
      <c r="V70" s="182"/>
      <c r="W70" s="182"/>
      <c r="X70" s="477" t="e">
        <f t="shared" si="41"/>
        <v>#N/A</v>
      </c>
      <c r="Y70" s="662"/>
      <c r="Z70" s="182"/>
      <c r="AA70" s="182"/>
      <c r="AB70" s="182"/>
      <c r="AC70" s="477" t="e">
        <f t="shared" si="43"/>
        <v>#N/A</v>
      </c>
      <c r="AD70" s="662"/>
      <c r="AE70" s="182"/>
      <c r="AF70" s="182"/>
      <c r="AG70" s="182"/>
      <c r="AH70" s="477" t="e">
        <f t="shared" si="45"/>
        <v>#N/A</v>
      </c>
      <c r="AI70" s="662"/>
      <c r="AJ70" s="182"/>
      <c r="AK70" s="182"/>
      <c r="AL70" s="182"/>
      <c r="AM70" s="477" t="e">
        <f t="shared" si="47"/>
        <v>#N/A</v>
      </c>
      <c r="AN70" s="662"/>
      <c r="AO70" s="182"/>
      <c r="AP70" s="182"/>
      <c r="AQ70" s="182"/>
      <c r="AR70" s="477" t="e">
        <f t="shared" si="49"/>
        <v>#N/A</v>
      </c>
      <c r="AS70" s="662"/>
      <c r="AT70" s="182"/>
      <c r="AU70" s="182"/>
      <c r="AV70" s="182"/>
      <c r="AW70" s="477" t="e">
        <f t="shared" si="51"/>
        <v>#N/A</v>
      </c>
      <c r="AX70" s="674"/>
    </row>
    <row r="71" spans="2:50">
      <c r="B71" s="660"/>
      <c r="C71" s="309">
        <v>5</v>
      </c>
      <c r="D71" s="227"/>
      <c r="E71" s="182"/>
      <c r="F71" s="551"/>
      <c r="G71" s="552"/>
      <c r="H71" s="702"/>
      <c r="I71" s="199" t="e">
        <f t="shared" si="40"/>
        <v>#DIV/0!</v>
      </c>
      <c r="J71" s="199" t="e">
        <f t="shared" si="40"/>
        <v>#DIV/0!</v>
      </c>
      <c r="K71" s="200" t="e">
        <f t="shared" si="40"/>
        <v>#DIV/0!</v>
      </c>
      <c r="L71" s="634"/>
      <c r="M71" s="201" t="e">
        <f>RANK(K71, K$67:$K$81)</f>
        <v>#DIV/0!</v>
      </c>
      <c r="N71" s="652"/>
      <c r="O71" s="652"/>
      <c r="P71" s="182"/>
      <c r="Q71" s="182"/>
      <c r="R71" s="182"/>
      <c r="S71" s="340" t="e">
        <f t="shared" si="53"/>
        <v>#N/A</v>
      </c>
      <c r="T71" s="662"/>
      <c r="U71" s="182"/>
      <c r="V71" s="182"/>
      <c r="W71" s="182"/>
      <c r="X71" s="477" t="e">
        <f t="shared" si="41"/>
        <v>#N/A</v>
      </c>
      <c r="Y71" s="662"/>
      <c r="Z71" s="182"/>
      <c r="AA71" s="182"/>
      <c r="AB71" s="182"/>
      <c r="AC71" s="477" t="e">
        <f t="shared" si="43"/>
        <v>#N/A</v>
      </c>
      <c r="AD71" s="662"/>
      <c r="AE71" s="182"/>
      <c r="AF71" s="182"/>
      <c r="AG71" s="182"/>
      <c r="AH71" s="477" t="e">
        <f t="shared" si="45"/>
        <v>#N/A</v>
      </c>
      <c r="AI71" s="662"/>
      <c r="AJ71" s="182"/>
      <c r="AK71" s="182"/>
      <c r="AL71" s="182"/>
      <c r="AM71" s="477" t="e">
        <f t="shared" si="47"/>
        <v>#N/A</v>
      </c>
      <c r="AN71" s="662"/>
      <c r="AO71" s="182"/>
      <c r="AP71" s="182"/>
      <c r="AQ71" s="182"/>
      <c r="AR71" s="477" t="e">
        <f t="shared" si="49"/>
        <v>#N/A</v>
      </c>
      <c r="AS71" s="662"/>
      <c r="AT71" s="182"/>
      <c r="AU71" s="182"/>
      <c r="AV71" s="182"/>
      <c r="AW71" s="477" t="e">
        <f t="shared" si="51"/>
        <v>#N/A</v>
      </c>
      <c r="AX71" s="674"/>
    </row>
    <row r="72" spans="2:50">
      <c r="B72" s="660"/>
      <c r="C72" s="309">
        <v>6</v>
      </c>
      <c r="D72" s="227"/>
      <c r="E72" s="182"/>
      <c r="F72" s="551"/>
      <c r="G72" s="552"/>
      <c r="H72" s="702"/>
      <c r="I72" s="199" t="e">
        <f t="shared" si="40"/>
        <v>#DIV/0!</v>
      </c>
      <c r="J72" s="199" t="e">
        <f t="shared" si="40"/>
        <v>#DIV/0!</v>
      </c>
      <c r="K72" s="200" t="e">
        <f t="shared" si="40"/>
        <v>#DIV/0!</v>
      </c>
      <c r="L72" s="634"/>
      <c r="M72" s="201" t="e">
        <f>RANK(K72, K$67:$K$81)</f>
        <v>#DIV/0!</v>
      </c>
      <c r="N72" s="652"/>
      <c r="O72" s="652"/>
      <c r="P72" s="182"/>
      <c r="Q72" s="182"/>
      <c r="R72" s="182"/>
      <c r="S72" s="340" t="e">
        <f t="shared" si="53"/>
        <v>#N/A</v>
      </c>
      <c r="T72" s="662"/>
      <c r="U72" s="182"/>
      <c r="V72" s="182"/>
      <c r="W72" s="182"/>
      <c r="X72" s="477" t="e">
        <f t="shared" si="41"/>
        <v>#N/A</v>
      </c>
      <c r="Y72" s="662"/>
      <c r="Z72" s="182"/>
      <c r="AA72" s="182"/>
      <c r="AB72" s="182"/>
      <c r="AC72" s="477" t="e">
        <f t="shared" si="43"/>
        <v>#N/A</v>
      </c>
      <c r="AD72" s="662"/>
      <c r="AE72" s="182"/>
      <c r="AF72" s="182"/>
      <c r="AG72" s="182"/>
      <c r="AH72" s="477" t="e">
        <f t="shared" si="45"/>
        <v>#N/A</v>
      </c>
      <c r="AI72" s="662"/>
      <c r="AJ72" s="182"/>
      <c r="AK72" s="182"/>
      <c r="AL72" s="182"/>
      <c r="AM72" s="477" t="e">
        <f t="shared" si="47"/>
        <v>#N/A</v>
      </c>
      <c r="AN72" s="662"/>
      <c r="AO72" s="182"/>
      <c r="AP72" s="182"/>
      <c r="AQ72" s="182"/>
      <c r="AR72" s="477" t="e">
        <f t="shared" si="49"/>
        <v>#N/A</v>
      </c>
      <c r="AS72" s="662"/>
      <c r="AT72" s="182"/>
      <c r="AU72" s="182"/>
      <c r="AV72" s="182"/>
      <c r="AW72" s="477" t="e">
        <f t="shared" si="51"/>
        <v>#N/A</v>
      </c>
      <c r="AX72" s="674"/>
    </row>
    <row r="73" spans="2:50">
      <c r="B73" s="660"/>
      <c r="C73" s="309">
        <v>7</v>
      </c>
      <c r="D73" s="227"/>
      <c r="E73" s="182"/>
      <c r="F73" s="551"/>
      <c r="G73" s="552"/>
      <c r="H73" s="702"/>
      <c r="I73" s="429" t="e">
        <f t="shared" ref="I73" si="54">AVERAGE(P73,U73,Z73,AE73,AJ73,AO73,AT73)</f>
        <v>#DIV/0!</v>
      </c>
      <c r="J73" s="429" t="e">
        <f t="shared" ref="J73" si="55">AVERAGE(Q73,V73,AA73,AF73,AK73,AP73,AU73)</f>
        <v>#DIV/0!</v>
      </c>
      <c r="K73" s="200" t="e">
        <f t="shared" ref="K73" si="56">AVERAGE(R73,W73,AB73,AG73,AL73,AQ73,AV73)</f>
        <v>#DIV/0!</v>
      </c>
      <c r="L73" s="634"/>
      <c r="M73" s="201" t="e">
        <f>RANK(K73, K$67:$K$81)</f>
        <v>#DIV/0!</v>
      </c>
      <c r="N73" s="652"/>
      <c r="O73" s="652"/>
      <c r="P73" s="182"/>
      <c r="Q73" s="182"/>
      <c r="R73" s="182"/>
      <c r="S73" s="340" t="e">
        <f t="shared" si="53"/>
        <v>#N/A</v>
      </c>
      <c r="T73" s="662"/>
      <c r="U73" s="182"/>
      <c r="V73" s="182"/>
      <c r="W73" s="182"/>
      <c r="X73" s="477" t="e">
        <f t="shared" si="41"/>
        <v>#N/A</v>
      </c>
      <c r="Y73" s="662"/>
      <c r="Z73" s="182"/>
      <c r="AA73" s="182"/>
      <c r="AB73" s="182"/>
      <c r="AC73" s="477" t="e">
        <f t="shared" si="43"/>
        <v>#N/A</v>
      </c>
      <c r="AD73" s="662"/>
      <c r="AE73" s="182"/>
      <c r="AF73" s="182"/>
      <c r="AG73" s="182"/>
      <c r="AH73" s="477" t="e">
        <f t="shared" si="45"/>
        <v>#N/A</v>
      </c>
      <c r="AI73" s="662"/>
      <c r="AJ73" s="182"/>
      <c r="AK73" s="182"/>
      <c r="AL73" s="182"/>
      <c r="AM73" s="477" t="e">
        <f t="shared" si="47"/>
        <v>#N/A</v>
      </c>
      <c r="AN73" s="662"/>
      <c r="AO73" s="182"/>
      <c r="AP73" s="182"/>
      <c r="AQ73" s="182"/>
      <c r="AR73" s="477" t="e">
        <f t="shared" si="49"/>
        <v>#N/A</v>
      </c>
      <c r="AS73" s="662"/>
      <c r="AT73" s="182"/>
      <c r="AU73" s="182"/>
      <c r="AV73" s="182"/>
      <c r="AW73" s="477" t="e">
        <f t="shared" si="51"/>
        <v>#N/A</v>
      </c>
      <c r="AX73" s="674"/>
    </row>
    <row r="74" spans="2:50">
      <c r="B74" s="660"/>
      <c r="C74" s="309">
        <v>8</v>
      </c>
      <c r="D74" s="227"/>
      <c r="E74" s="182"/>
      <c r="F74" s="551"/>
      <c r="G74" s="552"/>
      <c r="H74" s="702"/>
      <c r="I74" s="468"/>
      <c r="J74" s="468"/>
      <c r="K74" s="200"/>
      <c r="L74" s="634"/>
      <c r="M74" s="201" t="e">
        <f>RANK(K74, K$67:$K$81)</f>
        <v>#DIV/0!</v>
      </c>
      <c r="N74" s="652"/>
      <c r="O74" s="652"/>
      <c r="P74" s="551"/>
      <c r="Q74" s="182"/>
      <c r="R74" s="552"/>
      <c r="S74" s="340" t="e">
        <f t="shared" si="53"/>
        <v>#N/A</v>
      </c>
      <c r="T74" s="662"/>
      <c r="U74" s="551"/>
      <c r="V74" s="182"/>
      <c r="W74" s="552"/>
      <c r="X74" s="477" t="e">
        <f t="shared" si="41"/>
        <v>#N/A</v>
      </c>
      <c r="Y74" s="662"/>
      <c r="Z74" s="551"/>
      <c r="AA74" s="182"/>
      <c r="AB74" s="552"/>
      <c r="AC74" s="477" t="e">
        <f t="shared" si="43"/>
        <v>#N/A</v>
      </c>
      <c r="AD74" s="662"/>
      <c r="AE74" s="551"/>
      <c r="AF74" s="182"/>
      <c r="AG74" s="552"/>
      <c r="AH74" s="477" t="e">
        <f t="shared" si="45"/>
        <v>#N/A</v>
      </c>
      <c r="AI74" s="662"/>
      <c r="AJ74" s="551"/>
      <c r="AK74" s="182"/>
      <c r="AL74" s="552"/>
      <c r="AM74" s="477" t="e">
        <f t="shared" si="47"/>
        <v>#N/A</v>
      </c>
      <c r="AN74" s="662"/>
      <c r="AO74" s="551"/>
      <c r="AP74" s="182"/>
      <c r="AQ74" s="552"/>
      <c r="AR74" s="477" t="e">
        <f t="shared" si="49"/>
        <v>#N/A</v>
      </c>
      <c r="AS74" s="662"/>
      <c r="AT74" s="551"/>
      <c r="AU74" s="182"/>
      <c r="AV74" s="552"/>
      <c r="AW74" s="477" t="e">
        <f t="shared" si="51"/>
        <v>#N/A</v>
      </c>
      <c r="AX74" s="674"/>
    </row>
    <row r="75" spans="2:50">
      <c r="B75" s="660"/>
      <c r="C75" s="309">
        <v>9</v>
      </c>
      <c r="D75" s="227"/>
      <c r="E75" s="182"/>
      <c r="F75" s="551"/>
      <c r="G75" s="552"/>
      <c r="H75" s="702"/>
      <c r="I75" s="199"/>
      <c r="J75" s="199"/>
      <c r="K75" s="200"/>
      <c r="L75" s="634"/>
      <c r="M75" s="201" t="e">
        <f>RANK(K75, K$67:$K$81)</f>
        <v>#DIV/0!</v>
      </c>
      <c r="N75" s="652"/>
      <c r="O75" s="652"/>
      <c r="P75" s="551"/>
      <c r="Q75" s="182"/>
      <c r="R75" s="552"/>
      <c r="S75" s="340" t="e">
        <f t="shared" si="53"/>
        <v>#N/A</v>
      </c>
      <c r="T75" s="662"/>
      <c r="U75" s="551"/>
      <c r="V75" s="182"/>
      <c r="W75" s="552"/>
      <c r="X75" s="477" t="e">
        <f t="shared" si="41"/>
        <v>#N/A</v>
      </c>
      <c r="Y75" s="662"/>
      <c r="Z75" s="551"/>
      <c r="AA75" s="182"/>
      <c r="AB75" s="552"/>
      <c r="AC75" s="477" t="e">
        <f t="shared" si="43"/>
        <v>#N/A</v>
      </c>
      <c r="AD75" s="662"/>
      <c r="AE75" s="551"/>
      <c r="AF75" s="182"/>
      <c r="AG75" s="552"/>
      <c r="AH75" s="477" t="e">
        <f t="shared" si="45"/>
        <v>#N/A</v>
      </c>
      <c r="AI75" s="662"/>
      <c r="AJ75" s="551"/>
      <c r="AK75" s="182"/>
      <c r="AL75" s="552"/>
      <c r="AM75" s="477" t="e">
        <f t="shared" si="47"/>
        <v>#N/A</v>
      </c>
      <c r="AN75" s="662"/>
      <c r="AO75" s="551"/>
      <c r="AP75" s="182"/>
      <c r="AQ75" s="552"/>
      <c r="AR75" s="477" t="e">
        <f t="shared" si="49"/>
        <v>#N/A</v>
      </c>
      <c r="AS75" s="662"/>
      <c r="AT75" s="551"/>
      <c r="AU75" s="182"/>
      <c r="AV75" s="552"/>
      <c r="AW75" s="477" t="e">
        <f t="shared" si="51"/>
        <v>#N/A</v>
      </c>
      <c r="AX75" s="674"/>
    </row>
    <row r="76" spans="2:50">
      <c r="B76" s="660"/>
      <c r="C76" s="309">
        <v>10</v>
      </c>
      <c r="D76" s="227"/>
      <c r="E76" s="182"/>
      <c r="F76" s="551"/>
      <c r="G76" s="552"/>
      <c r="H76" s="702"/>
      <c r="I76" s="199"/>
      <c r="J76" s="199"/>
      <c r="K76" s="200"/>
      <c r="L76" s="634"/>
      <c r="M76" s="201" t="e">
        <f>RANK(K76, K$67:$K$81)</f>
        <v>#DIV/0!</v>
      </c>
      <c r="N76" s="652"/>
      <c r="O76" s="652"/>
      <c r="P76" s="551"/>
      <c r="Q76" s="182"/>
      <c r="R76" s="552"/>
      <c r="S76" s="340" t="e">
        <f t="shared" si="53"/>
        <v>#N/A</v>
      </c>
      <c r="T76" s="662"/>
      <c r="U76" s="551"/>
      <c r="V76" s="182"/>
      <c r="W76" s="552"/>
      <c r="X76" s="477" t="e">
        <f t="shared" si="41"/>
        <v>#N/A</v>
      </c>
      <c r="Y76" s="662"/>
      <c r="Z76" s="551"/>
      <c r="AA76" s="182"/>
      <c r="AB76" s="552"/>
      <c r="AC76" s="477" t="e">
        <f t="shared" si="43"/>
        <v>#N/A</v>
      </c>
      <c r="AD76" s="662"/>
      <c r="AE76" s="551"/>
      <c r="AF76" s="182"/>
      <c r="AG76" s="552"/>
      <c r="AH76" s="477" t="e">
        <f t="shared" si="45"/>
        <v>#N/A</v>
      </c>
      <c r="AI76" s="662"/>
      <c r="AJ76" s="551"/>
      <c r="AK76" s="182"/>
      <c r="AL76" s="552"/>
      <c r="AM76" s="477" t="e">
        <f t="shared" si="47"/>
        <v>#N/A</v>
      </c>
      <c r="AN76" s="662"/>
      <c r="AO76" s="551"/>
      <c r="AP76" s="182"/>
      <c r="AQ76" s="552"/>
      <c r="AR76" s="477" t="e">
        <f t="shared" si="49"/>
        <v>#N/A</v>
      </c>
      <c r="AS76" s="662"/>
      <c r="AT76" s="551"/>
      <c r="AU76" s="182"/>
      <c r="AV76" s="552"/>
      <c r="AW76" s="477" t="e">
        <f t="shared" si="51"/>
        <v>#N/A</v>
      </c>
      <c r="AX76" s="674"/>
    </row>
    <row r="77" spans="2:50">
      <c r="B77" s="660"/>
      <c r="C77" s="309">
        <v>11</v>
      </c>
      <c r="D77" s="227"/>
      <c r="E77" s="182"/>
      <c r="F77" s="551"/>
      <c r="G77" s="552"/>
      <c r="H77" s="702"/>
      <c r="I77" s="199"/>
      <c r="J77" s="199"/>
      <c r="K77" s="200"/>
      <c r="L77" s="634"/>
      <c r="M77" s="201" t="e">
        <f>RANK(K77, K$67:$K$81)</f>
        <v>#DIV/0!</v>
      </c>
      <c r="N77" s="652"/>
      <c r="O77" s="652"/>
      <c r="P77" s="551"/>
      <c r="Q77" s="182"/>
      <c r="R77" s="552"/>
      <c r="S77" s="340" t="e">
        <f t="shared" si="53"/>
        <v>#N/A</v>
      </c>
      <c r="T77" s="662"/>
      <c r="U77" s="551"/>
      <c r="V77" s="182"/>
      <c r="W77" s="552"/>
      <c r="X77" s="477" t="e">
        <f t="shared" si="41"/>
        <v>#N/A</v>
      </c>
      <c r="Y77" s="662"/>
      <c r="Z77" s="551"/>
      <c r="AA77" s="182"/>
      <c r="AB77" s="552"/>
      <c r="AC77" s="477" t="e">
        <f t="shared" si="43"/>
        <v>#N/A</v>
      </c>
      <c r="AD77" s="662"/>
      <c r="AE77" s="551"/>
      <c r="AF77" s="182"/>
      <c r="AG77" s="552"/>
      <c r="AH77" s="477" t="e">
        <f t="shared" si="45"/>
        <v>#N/A</v>
      </c>
      <c r="AI77" s="662"/>
      <c r="AJ77" s="551"/>
      <c r="AK77" s="182"/>
      <c r="AL77" s="552"/>
      <c r="AM77" s="477" t="e">
        <f t="shared" si="47"/>
        <v>#N/A</v>
      </c>
      <c r="AN77" s="662"/>
      <c r="AO77" s="551"/>
      <c r="AP77" s="182"/>
      <c r="AQ77" s="552"/>
      <c r="AR77" s="477" t="e">
        <f t="shared" si="49"/>
        <v>#N/A</v>
      </c>
      <c r="AS77" s="662"/>
      <c r="AT77" s="551"/>
      <c r="AU77" s="182"/>
      <c r="AV77" s="552"/>
      <c r="AW77" s="477" t="e">
        <f t="shared" si="51"/>
        <v>#N/A</v>
      </c>
      <c r="AX77" s="674"/>
    </row>
    <row r="78" spans="2:50">
      <c r="B78" s="660"/>
      <c r="C78" s="309">
        <v>12</v>
      </c>
      <c r="D78" s="227"/>
      <c r="E78" s="182"/>
      <c r="F78" s="551"/>
      <c r="G78" s="552"/>
      <c r="H78" s="702"/>
      <c r="I78" s="199"/>
      <c r="J78" s="199"/>
      <c r="K78" s="200"/>
      <c r="L78" s="634"/>
      <c r="M78" s="201" t="e">
        <f>RANK(K78, K$67:$K$81)</f>
        <v>#DIV/0!</v>
      </c>
      <c r="N78" s="652"/>
      <c r="O78" s="652"/>
      <c r="P78" s="551"/>
      <c r="Q78" s="182"/>
      <c r="R78" s="552"/>
      <c r="S78" s="340" t="e">
        <f t="shared" si="53"/>
        <v>#N/A</v>
      </c>
      <c r="T78" s="662"/>
      <c r="U78" s="551"/>
      <c r="V78" s="182"/>
      <c r="W78" s="552"/>
      <c r="X78" s="477" t="e">
        <f t="shared" si="41"/>
        <v>#N/A</v>
      </c>
      <c r="Y78" s="662"/>
      <c r="Z78" s="551"/>
      <c r="AA78" s="182"/>
      <c r="AB78" s="552"/>
      <c r="AC78" s="477" t="e">
        <f t="shared" si="43"/>
        <v>#N/A</v>
      </c>
      <c r="AD78" s="662"/>
      <c r="AE78" s="551"/>
      <c r="AF78" s="182"/>
      <c r="AG78" s="552"/>
      <c r="AH78" s="477" t="e">
        <f t="shared" si="45"/>
        <v>#N/A</v>
      </c>
      <c r="AI78" s="662"/>
      <c r="AJ78" s="551"/>
      <c r="AK78" s="182"/>
      <c r="AL78" s="552"/>
      <c r="AM78" s="477" t="e">
        <f t="shared" si="47"/>
        <v>#N/A</v>
      </c>
      <c r="AN78" s="662"/>
      <c r="AO78" s="551"/>
      <c r="AP78" s="182"/>
      <c r="AQ78" s="552"/>
      <c r="AR78" s="477" t="e">
        <f t="shared" si="49"/>
        <v>#N/A</v>
      </c>
      <c r="AS78" s="662"/>
      <c r="AT78" s="551"/>
      <c r="AU78" s="182"/>
      <c r="AV78" s="552"/>
      <c r="AW78" s="477" t="e">
        <f t="shared" si="51"/>
        <v>#N/A</v>
      </c>
      <c r="AX78" s="674"/>
    </row>
    <row r="79" spans="2:50">
      <c r="B79" s="660"/>
      <c r="C79" s="309">
        <v>13</v>
      </c>
      <c r="D79" s="227"/>
      <c r="E79" s="182"/>
      <c r="F79" s="551"/>
      <c r="G79" s="552"/>
      <c r="H79" s="702"/>
      <c r="I79" s="199"/>
      <c r="J79" s="199"/>
      <c r="K79" s="200"/>
      <c r="L79" s="634"/>
      <c r="M79" s="201" t="e">
        <f>RANK(K79, K$67:$K$81)</f>
        <v>#DIV/0!</v>
      </c>
      <c r="N79" s="652"/>
      <c r="O79" s="652"/>
      <c r="P79" s="551"/>
      <c r="Q79" s="182"/>
      <c r="R79" s="552"/>
      <c r="S79" s="340" t="e">
        <f t="shared" si="53"/>
        <v>#N/A</v>
      </c>
      <c r="T79" s="662"/>
      <c r="U79" s="551"/>
      <c r="V79" s="182"/>
      <c r="W79" s="552"/>
      <c r="X79" s="477" t="e">
        <f t="shared" si="41"/>
        <v>#N/A</v>
      </c>
      <c r="Y79" s="662"/>
      <c r="Z79" s="551"/>
      <c r="AA79" s="182"/>
      <c r="AB79" s="552"/>
      <c r="AC79" s="477" t="e">
        <f t="shared" si="43"/>
        <v>#N/A</v>
      </c>
      <c r="AD79" s="662"/>
      <c r="AE79" s="551"/>
      <c r="AF79" s="182"/>
      <c r="AG79" s="552"/>
      <c r="AH79" s="477" t="e">
        <f t="shared" si="45"/>
        <v>#N/A</v>
      </c>
      <c r="AI79" s="662"/>
      <c r="AJ79" s="551"/>
      <c r="AK79" s="182"/>
      <c r="AL79" s="552"/>
      <c r="AM79" s="477" t="e">
        <f t="shared" si="47"/>
        <v>#N/A</v>
      </c>
      <c r="AN79" s="662"/>
      <c r="AO79" s="551"/>
      <c r="AP79" s="182"/>
      <c r="AQ79" s="552"/>
      <c r="AR79" s="477" t="e">
        <f t="shared" si="49"/>
        <v>#N/A</v>
      </c>
      <c r="AS79" s="662"/>
      <c r="AT79" s="551"/>
      <c r="AU79" s="182"/>
      <c r="AV79" s="552"/>
      <c r="AW79" s="477" t="e">
        <f t="shared" si="51"/>
        <v>#N/A</v>
      </c>
      <c r="AX79" s="674"/>
    </row>
    <row r="80" spans="2:50">
      <c r="B80" s="660"/>
      <c r="C80" s="309">
        <v>14</v>
      </c>
      <c r="D80" s="227"/>
      <c r="E80" s="182"/>
      <c r="F80" s="551"/>
      <c r="G80" s="552"/>
      <c r="H80" s="702"/>
      <c r="I80" s="199"/>
      <c r="J80" s="199"/>
      <c r="K80" s="200"/>
      <c r="L80" s="634"/>
      <c r="M80" s="201" t="e">
        <f>RANK(K80, K$67:$K$81)</f>
        <v>#DIV/0!</v>
      </c>
      <c r="N80" s="652"/>
      <c r="O80" s="652"/>
      <c r="P80" s="551"/>
      <c r="Q80" s="182"/>
      <c r="R80" s="552"/>
      <c r="S80" s="340" t="e">
        <f t="shared" si="53"/>
        <v>#N/A</v>
      </c>
      <c r="T80" s="662"/>
      <c r="U80" s="551"/>
      <c r="V80" s="182"/>
      <c r="W80" s="552"/>
      <c r="X80" s="477" t="e">
        <f t="shared" si="41"/>
        <v>#N/A</v>
      </c>
      <c r="Y80" s="662"/>
      <c r="Z80" s="551"/>
      <c r="AA80" s="182"/>
      <c r="AB80" s="552"/>
      <c r="AC80" s="477" t="e">
        <f t="shared" si="43"/>
        <v>#N/A</v>
      </c>
      <c r="AD80" s="662"/>
      <c r="AE80" s="551"/>
      <c r="AF80" s="182"/>
      <c r="AG80" s="552"/>
      <c r="AH80" s="477" t="e">
        <f t="shared" si="45"/>
        <v>#N/A</v>
      </c>
      <c r="AI80" s="662"/>
      <c r="AJ80" s="551"/>
      <c r="AK80" s="182"/>
      <c r="AL80" s="552"/>
      <c r="AM80" s="477" t="e">
        <f t="shared" si="47"/>
        <v>#N/A</v>
      </c>
      <c r="AN80" s="662"/>
      <c r="AO80" s="551"/>
      <c r="AP80" s="182"/>
      <c r="AQ80" s="552"/>
      <c r="AR80" s="477" t="e">
        <f t="shared" si="49"/>
        <v>#N/A</v>
      </c>
      <c r="AS80" s="662"/>
      <c r="AT80" s="551"/>
      <c r="AU80" s="182"/>
      <c r="AV80" s="552"/>
      <c r="AW80" s="477" t="e">
        <f t="shared" si="51"/>
        <v>#N/A</v>
      </c>
      <c r="AX80" s="674"/>
    </row>
    <row r="81" spans="2:50">
      <c r="B81" s="660"/>
      <c r="C81" s="309">
        <v>15</v>
      </c>
      <c r="D81" s="227"/>
      <c r="E81" s="182"/>
      <c r="F81" s="551"/>
      <c r="G81" s="552"/>
      <c r="H81" s="703"/>
      <c r="I81" s="199"/>
      <c r="J81" s="199"/>
      <c r="K81" s="200"/>
      <c r="L81" s="635"/>
      <c r="M81" s="201" t="e">
        <f>RANK(K81, K$67:$K$81)</f>
        <v>#DIV/0!</v>
      </c>
      <c r="N81" s="652"/>
      <c r="O81" s="652"/>
      <c r="P81" s="551"/>
      <c r="Q81" s="182"/>
      <c r="R81" s="552"/>
      <c r="S81" s="340" t="e">
        <f t="shared" si="53"/>
        <v>#N/A</v>
      </c>
      <c r="T81" s="663"/>
      <c r="U81" s="551"/>
      <c r="V81" s="182"/>
      <c r="W81" s="552"/>
      <c r="X81" s="477" t="e">
        <f t="shared" si="41"/>
        <v>#N/A</v>
      </c>
      <c r="Y81" s="663"/>
      <c r="Z81" s="551"/>
      <c r="AA81" s="182"/>
      <c r="AB81" s="552"/>
      <c r="AC81" s="477" t="e">
        <f t="shared" si="43"/>
        <v>#N/A</v>
      </c>
      <c r="AD81" s="663"/>
      <c r="AE81" s="551"/>
      <c r="AF81" s="182"/>
      <c r="AG81" s="552"/>
      <c r="AH81" s="477" t="e">
        <f t="shared" si="45"/>
        <v>#N/A</v>
      </c>
      <c r="AI81" s="663"/>
      <c r="AJ81" s="551"/>
      <c r="AK81" s="182"/>
      <c r="AL81" s="552"/>
      <c r="AM81" s="477" t="e">
        <f t="shared" si="47"/>
        <v>#N/A</v>
      </c>
      <c r="AN81" s="663"/>
      <c r="AO81" s="551"/>
      <c r="AP81" s="182"/>
      <c r="AQ81" s="552"/>
      <c r="AR81" s="477" t="e">
        <f t="shared" si="49"/>
        <v>#N/A</v>
      </c>
      <c r="AS81" s="663"/>
      <c r="AT81" s="551"/>
      <c r="AU81" s="182"/>
      <c r="AV81" s="552"/>
      <c r="AW81" s="477" t="e">
        <f t="shared" si="51"/>
        <v>#N/A</v>
      </c>
      <c r="AX81" s="674"/>
    </row>
    <row r="82" spans="2:50" ht="15.75">
      <c r="B82" s="664" t="s">
        <v>163</v>
      </c>
      <c r="C82" s="665"/>
      <c r="D82" s="665"/>
      <c r="E82" s="665"/>
      <c r="F82" s="665"/>
      <c r="G82" s="665"/>
      <c r="H82" s="666"/>
      <c r="I82" s="208"/>
      <c r="J82" s="208"/>
      <c r="K82" s="208"/>
      <c r="L82" s="208"/>
      <c r="M82" s="207"/>
      <c r="N82" s="653" t="s">
        <v>156</v>
      </c>
      <c r="O82" s="653" t="s">
        <v>105</v>
      </c>
      <c r="P82" s="659">
        <f>P62+7</f>
        <v>46077</v>
      </c>
      <c r="Q82" s="660"/>
      <c r="R82" s="660"/>
      <c r="S82" s="660"/>
      <c r="T82" s="660"/>
      <c r="U82" s="656">
        <f>P82+1</f>
        <v>46078</v>
      </c>
      <c r="V82" s="657"/>
      <c r="W82" s="657"/>
      <c r="X82" s="657"/>
      <c r="Y82" s="658"/>
      <c r="Z82" s="656">
        <f>U82+1</f>
        <v>46079</v>
      </c>
      <c r="AA82" s="657"/>
      <c r="AB82" s="657"/>
      <c r="AC82" s="657"/>
      <c r="AD82" s="658"/>
      <c r="AE82" s="656">
        <f>Z82+1</f>
        <v>46080</v>
      </c>
      <c r="AF82" s="657"/>
      <c r="AG82" s="657"/>
      <c r="AH82" s="657"/>
      <c r="AI82" s="658"/>
      <c r="AJ82" s="656">
        <f>AE82+1</f>
        <v>46081</v>
      </c>
      <c r="AK82" s="657"/>
      <c r="AL82" s="657"/>
      <c r="AM82" s="657"/>
      <c r="AN82" s="658"/>
      <c r="AO82" s="656">
        <f>AJ82+1</f>
        <v>46082</v>
      </c>
      <c r="AP82" s="657"/>
      <c r="AQ82" s="657"/>
      <c r="AR82" s="657"/>
      <c r="AS82" s="658"/>
      <c r="AT82" s="656">
        <f>AO82+1</f>
        <v>46083</v>
      </c>
      <c r="AU82" s="657"/>
      <c r="AV82" s="657"/>
      <c r="AW82" s="657"/>
      <c r="AX82" s="658"/>
    </row>
    <row r="83" spans="2:50" ht="15.75">
      <c r="B83" s="667"/>
      <c r="C83" s="667"/>
      <c r="D83" s="667"/>
      <c r="E83" s="667"/>
      <c r="F83" s="667"/>
      <c r="G83" s="667"/>
      <c r="H83" s="667"/>
      <c r="I83" s="205"/>
      <c r="J83" s="205"/>
      <c r="K83" s="205"/>
      <c r="L83" s="205"/>
      <c r="M83" s="206"/>
      <c r="N83" s="655"/>
      <c r="O83" s="655"/>
      <c r="P83" s="659" t="s">
        <v>336</v>
      </c>
      <c r="Q83" s="660"/>
      <c r="R83" s="660"/>
      <c r="S83" s="660"/>
      <c r="T83" s="660"/>
      <c r="U83" s="659" t="s">
        <v>337</v>
      </c>
      <c r="V83" s="660"/>
      <c r="W83" s="660"/>
      <c r="X83" s="660"/>
      <c r="Y83" s="660"/>
      <c r="Z83" s="659" t="s">
        <v>338</v>
      </c>
      <c r="AA83" s="660"/>
      <c r="AB83" s="660"/>
      <c r="AC83" s="660"/>
      <c r="AD83" s="660"/>
      <c r="AE83" s="659" t="s">
        <v>339</v>
      </c>
      <c r="AF83" s="660"/>
      <c r="AG83" s="660"/>
      <c r="AH83" s="660"/>
      <c r="AI83" s="660"/>
      <c r="AJ83" s="659" t="s">
        <v>340</v>
      </c>
      <c r="AK83" s="660"/>
      <c r="AL83" s="660"/>
      <c r="AM83" s="660"/>
      <c r="AN83" s="660"/>
      <c r="AO83" s="659" t="s">
        <v>341</v>
      </c>
      <c r="AP83" s="660"/>
      <c r="AQ83" s="660"/>
      <c r="AR83" s="660"/>
      <c r="AS83" s="660"/>
      <c r="AT83" s="659" t="s">
        <v>342</v>
      </c>
      <c r="AU83" s="660"/>
      <c r="AV83" s="660"/>
      <c r="AW83" s="660"/>
      <c r="AX83" s="660"/>
    </row>
    <row r="84" spans="2:50">
      <c r="B84" s="652" t="s">
        <v>490</v>
      </c>
      <c r="C84" s="652" t="s">
        <v>491</v>
      </c>
      <c r="D84" s="652"/>
      <c r="E84" s="652" t="s">
        <v>492</v>
      </c>
      <c r="F84" s="652"/>
      <c r="G84" s="652"/>
      <c r="H84" s="668" t="s">
        <v>493</v>
      </c>
      <c r="I84" s="636" t="s">
        <v>494</v>
      </c>
      <c r="J84" s="636"/>
      <c r="K84" s="636"/>
      <c r="L84" s="637" t="s">
        <v>493</v>
      </c>
      <c r="M84" s="643" t="s">
        <v>495</v>
      </c>
      <c r="N84" s="652"/>
      <c r="O84" s="652" t="s">
        <v>496</v>
      </c>
      <c r="P84" s="649" t="s">
        <v>497</v>
      </c>
      <c r="Q84" s="650"/>
      <c r="R84" s="650"/>
      <c r="S84" s="651"/>
      <c r="T84" s="652" t="s">
        <v>493</v>
      </c>
      <c r="U84" s="649" t="s">
        <v>497</v>
      </c>
      <c r="V84" s="650"/>
      <c r="W84" s="650"/>
      <c r="X84" s="651"/>
      <c r="Y84" s="652" t="s">
        <v>493</v>
      </c>
      <c r="Z84" s="649" t="s">
        <v>497</v>
      </c>
      <c r="AA84" s="650"/>
      <c r="AB84" s="650"/>
      <c r="AC84" s="651"/>
      <c r="AD84" s="652" t="s">
        <v>493</v>
      </c>
      <c r="AE84" s="649" t="s">
        <v>497</v>
      </c>
      <c r="AF84" s="650"/>
      <c r="AG84" s="650"/>
      <c r="AH84" s="651"/>
      <c r="AI84" s="652" t="s">
        <v>493</v>
      </c>
      <c r="AJ84" s="649" t="s">
        <v>497</v>
      </c>
      <c r="AK84" s="650"/>
      <c r="AL84" s="650"/>
      <c r="AM84" s="651"/>
      <c r="AN84" s="652" t="s">
        <v>493</v>
      </c>
      <c r="AO84" s="649" t="s">
        <v>497</v>
      </c>
      <c r="AP84" s="650"/>
      <c r="AQ84" s="650"/>
      <c r="AR84" s="651"/>
      <c r="AS84" s="652" t="s">
        <v>493</v>
      </c>
      <c r="AT84" s="649" t="s">
        <v>497</v>
      </c>
      <c r="AU84" s="650"/>
      <c r="AV84" s="650"/>
      <c r="AW84" s="651"/>
      <c r="AX84" s="652" t="s">
        <v>493</v>
      </c>
    </row>
    <row r="85" spans="2:50">
      <c r="B85" s="652"/>
      <c r="C85" s="652"/>
      <c r="D85" s="652"/>
      <c r="E85" s="652" t="s">
        <v>498</v>
      </c>
      <c r="F85" s="652"/>
      <c r="G85" s="652"/>
      <c r="H85" s="669"/>
      <c r="I85" s="636" t="s">
        <v>498</v>
      </c>
      <c r="J85" s="636"/>
      <c r="K85" s="636"/>
      <c r="L85" s="638"/>
      <c r="M85" s="644"/>
      <c r="N85" s="652"/>
      <c r="O85" s="652"/>
      <c r="P85" s="649" t="s">
        <v>499</v>
      </c>
      <c r="Q85" s="650"/>
      <c r="R85" s="650"/>
      <c r="S85" s="651"/>
      <c r="T85" s="652"/>
      <c r="U85" s="649" t="s">
        <v>499</v>
      </c>
      <c r="V85" s="650"/>
      <c r="W85" s="650"/>
      <c r="X85" s="651"/>
      <c r="Y85" s="652"/>
      <c r="Z85" s="649" t="s">
        <v>499</v>
      </c>
      <c r="AA85" s="650"/>
      <c r="AB85" s="650"/>
      <c r="AC85" s="651"/>
      <c r="AD85" s="652"/>
      <c r="AE85" s="649" t="s">
        <v>499</v>
      </c>
      <c r="AF85" s="650"/>
      <c r="AG85" s="650"/>
      <c r="AH85" s="651"/>
      <c r="AI85" s="652"/>
      <c r="AJ85" s="649" t="s">
        <v>499</v>
      </c>
      <c r="AK85" s="650"/>
      <c r="AL85" s="650"/>
      <c r="AM85" s="651"/>
      <c r="AN85" s="652"/>
      <c r="AO85" s="649" t="s">
        <v>499</v>
      </c>
      <c r="AP85" s="650"/>
      <c r="AQ85" s="650"/>
      <c r="AR85" s="651"/>
      <c r="AS85" s="652"/>
      <c r="AT85" s="649" t="s">
        <v>499</v>
      </c>
      <c r="AU85" s="650"/>
      <c r="AV85" s="650"/>
      <c r="AW85" s="651"/>
      <c r="AX85" s="652"/>
    </row>
    <row r="86" spans="2:50">
      <c r="B86" s="652"/>
      <c r="C86" s="652"/>
      <c r="D86" s="652"/>
      <c r="E86" s="305" t="s">
        <v>500</v>
      </c>
      <c r="F86" s="305" t="s">
        <v>501</v>
      </c>
      <c r="G86" s="305" t="s">
        <v>502</v>
      </c>
      <c r="H86" s="670"/>
      <c r="I86" s="306" t="s">
        <v>500</v>
      </c>
      <c r="J86" s="306" t="s">
        <v>501</v>
      </c>
      <c r="K86" s="306" t="s">
        <v>502</v>
      </c>
      <c r="L86" s="639"/>
      <c r="M86" s="645"/>
      <c r="N86" s="652"/>
      <c r="O86" s="652"/>
      <c r="P86" s="305" t="s">
        <v>500</v>
      </c>
      <c r="Q86" s="305" t="s">
        <v>501</v>
      </c>
      <c r="R86" s="305" t="s">
        <v>502</v>
      </c>
      <c r="S86" s="305" t="s">
        <v>495</v>
      </c>
      <c r="T86" s="652"/>
      <c r="U86" s="305" t="s">
        <v>500</v>
      </c>
      <c r="V86" s="305" t="s">
        <v>501</v>
      </c>
      <c r="W86" s="305" t="s">
        <v>502</v>
      </c>
      <c r="X86" s="305" t="s">
        <v>495</v>
      </c>
      <c r="Y86" s="652"/>
      <c r="Z86" s="305" t="s">
        <v>500</v>
      </c>
      <c r="AA86" s="305" t="s">
        <v>501</v>
      </c>
      <c r="AB86" s="305" t="s">
        <v>502</v>
      </c>
      <c r="AC86" s="305" t="s">
        <v>495</v>
      </c>
      <c r="AD86" s="652"/>
      <c r="AE86" s="305" t="s">
        <v>500</v>
      </c>
      <c r="AF86" s="305" t="s">
        <v>501</v>
      </c>
      <c r="AG86" s="305" t="s">
        <v>502</v>
      </c>
      <c r="AH86" s="305" t="s">
        <v>495</v>
      </c>
      <c r="AI86" s="652"/>
      <c r="AJ86" s="305" t="s">
        <v>500</v>
      </c>
      <c r="AK86" s="305" t="s">
        <v>501</v>
      </c>
      <c r="AL86" s="305" t="s">
        <v>502</v>
      </c>
      <c r="AM86" s="305" t="s">
        <v>495</v>
      </c>
      <c r="AN86" s="652"/>
      <c r="AO86" s="305" t="s">
        <v>500</v>
      </c>
      <c r="AP86" s="305" t="s">
        <v>501</v>
      </c>
      <c r="AQ86" s="305" t="s">
        <v>502</v>
      </c>
      <c r="AR86" s="305" t="s">
        <v>495</v>
      </c>
      <c r="AS86" s="652"/>
      <c r="AT86" s="305" t="s">
        <v>500</v>
      </c>
      <c r="AU86" s="305" t="s">
        <v>501</v>
      </c>
      <c r="AV86" s="305" t="s">
        <v>502</v>
      </c>
      <c r="AW86" s="305" t="s">
        <v>495</v>
      </c>
      <c r="AX86" s="652"/>
    </row>
    <row r="87" spans="2:50">
      <c r="B87" s="652" t="s">
        <v>504</v>
      </c>
      <c r="C87" s="304">
        <v>1</v>
      </c>
      <c r="D87" s="227"/>
      <c r="E87" s="182"/>
      <c r="F87" s="551"/>
      <c r="G87" s="552"/>
      <c r="H87" s="701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33" t="str">
        <f>IFERROR(AVERAGE(K87:K101),"-")</f>
        <v>-</v>
      </c>
      <c r="M87" s="201" t="e">
        <f>RANK(K87, K$87:$K$101)</f>
        <v>#DIV/0!</v>
      </c>
      <c r="N87" s="652"/>
      <c r="O87" s="652"/>
      <c r="P87" s="182"/>
      <c r="Q87" s="182"/>
      <c r="R87" s="182"/>
      <c r="S87" s="304" t="e">
        <f>RANK(R87, R$87:R$101)</f>
        <v>#N/A</v>
      </c>
      <c r="T87" s="661" t="e">
        <f>AVERAGE(R87:R101)</f>
        <v>#DIV/0!</v>
      </c>
      <c r="U87" s="182"/>
      <c r="V87" s="182"/>
      <c r="W87" s="182"/>
      <c r="X87" s="477" t="e">
        <f t="shared" ref="X87:X101" si="57">RANK(W87, W$87:W$101)</f>
        <v>#N/A</v>
      </c>
      <c r="Y87" s="661" t="e">
        <f t="shared" ref="Y87" si="58">AVERAGE(W87:W101)</f>
        <v>#DIV/0!</v>
      </c>
      <c r="Z87" s="182"/>
      <c r="AA87" s="182"/>
      <c r="AB87" s="182"/>
      <c r="AC87" s="477" t="e">
        <f t="shared" ref="AC87:AC101" si="59">RANK(AB87, AB$87:AB$101)</f>
        <v>#N/A</v>
      </c>
      <c r="AD87" s="661" t="e">
        <f t="shared" ref="AD87" si="60">AVERAGE(AB87:AB101)</f>
        <v>#DIV/0!</v>
      </c>
      <c r="AE87" s="182"/>
      <c r="AF87" s="182"/>
      <c r="AG87" s="182"/>
      <c r="AH87" s="477" t="e">
        <f t="shared" ref="AH87:AH101" si="61">RANK(AG87, AG$87:AG$101)</f>
        <v>#N/A</v>
      </c>
      <c r="AI87" s="661" t="e">
        <f t="shared" ref="AI87" si="62">AVERAGE(AG87:AG101)</f>
        <v>#DIV/0!</v>
      </c>
      <c r="AJ87" s="182"/>
      <c r="AK87" s="182"/>
      <c r="AL87" s="182"/>
      <c r="AM87" s="477" t="e">
        <f t="shared" ref="AM87:AM101" si="63">RANK(AL87, AL$87:AL$101)</f>
        <v>#N/A</v>
      </c>
      <c r="AN87" s="661" t="e">
        <f t="shared" ref="AN87" si="64">AVERAGE(AL87:AL101)</f>
        <v>#DIV/0!</v>
      </c>
      <c r="AO87" s="182"/>
      <c r="AP87" s="182"/>
      <c r="AQ87" s="182"/>
      <c r="AR87" s="477" t="e">
        <f t="shared" ref="AR87:AR101" si="65">RANK(AQ87, AQ$87:AQ$101)</f>
        <v>#N/A</v>
      </c>
      <c r="AS87" s="661" t="e">
        <f t="shared" ref="AS87" si="66">AVERAGE(AQ87:AQ101)</f>
        <v>#DIV/0!</v>
      </c>
      <c r="AT87" s="182"/>
      <c r="AU87" s="182"/>
      <c r="AV87" s="182"/>
      <c r="AW87" s="477" t="e">
        <f t="shared" ref="AW87:AW101" si="67">RANK(AV87, AV$87:AV$101)</f>
        <v>#N/A</v>
      </c>
      <c r="AX87" s="674" t="e">
        <f t="shared" ref="AX87" si="68">AVERAGE(AV87:AV101)</f>
        <v>#DIV/0!</v>
      </c>
    </row>
    <row r="88" spans="2:50">
      <c r="B88" s="660"/>
      <c r="C88" s="304">
        <v>2</v>
      </c>
      <c r="D88" s="227"/>
      <c r="E88" s="182"/>
      <c r="F88" s="551"/>
      <c r="G88" s="552"/>
      <c r="H88" s="702"/>
      <c r="I88" s="199" t="e">
        <f t="shared" ref="I88:K92" si="69">AVERAGE(P88,U88,Z88,AE88,AJ88,AO88,AT88)</f>
        <v>#DIV/0!</v>
      </c>
      <c r="J88" s="199" t="e">
        <f t="shared" si="69"/>
        <v>#DIV/0!</v>
      </c>
      <c r="K88" s="200" t="e">
        <f t="shared" si="69"/>
        <v>#DIV/0!</v>
      </c>
      <c r="L88" s="634"/>
      <c r="M88" s="201" t="e">
        <f>RANK(K88, K$87:$K$101)</f>
        <v>#DIV/0!</v>
      </c>
      <c r="N88" s="652"/>
      <c r="O88" s="652"/>
      <c r="P88" s="182"/>
      <c r="Q88" s="182"/>
      <c r="R88" s="182"/>
      <c r="S88" s="304" t="e">
        <f t="shared" ref="S88:S101" si="70">RANK(R88, R$87:R$101)</f>
        <v>#N/A</v>
      </c>
      <c r="T88" s="662"/>
      <c r="U88" s="182"/>
      <c r="V88" s="182"/>
      <c r="W88" s="182"/>
      <c r="X88" s="477" t="e">
        <f t="shared" si="57"/>
        <v>#N/A</v>
      </c>
      <c r="Y88" s="662"/>
      <c r="Z88" s="182"/>
      <c r="AA88" s="182"/>
      <c r="AB88" s="182"/>
      <c r="AC88" s="477" t="e">
        <f t="shared" si="59"/>
        <v>#N/A</v>
      </c>
      <c r="AD88" s="662"/>
      <c r="AE88" s="182"/>
      <c r="AF88" s="182"/>
      <c r="AG88" s="182"/>
      <c r="AH88" s="477" t="e">
        <f t="shared" si="61"/>
        <v>#N/A</v>
      </c>
      <c r="AI88" s="662"/>
      <c r="AJ88" s="182"/>
      <c r="AK88" s="182"/>
      <c r="AL88" s="182"/>
      <c r="AM88" s="477" t="e">
        <f t="shared" si="63"/>
        <v>#N/A</v>
      </c>
      <c r="AN88" s="662"/>
      <c r="AO88" s="182"/>
      <c r="AP88" s="182"/>
      <c r="AQ88" s="182"/>
      <c r="AR88" s="477" t="e">
        <f t="shared" si="65"/>
        <v>#N/A</v>
      </c>
      <c r="AS88" s="662"/>
      <c r="AT88" s="182"/>
      <c r="AU88" s="182"/>
      <c r="AV88" s="182"/>
      <c r="AW88" s="477" t="e">
        <f t="shared" si="67"/>
        <v>#N/A</v>
      </c>
      <c r="AX88" s="674"/>
    </row>
    <row r="89" spans="2:50">
      <c r="B89" s="660"/>
      <c r="C89" s="304">
        <v>3</v>
      </c>
      <c r="D89" s="227"/>
      <c r="E89" s="182"/>
      <c r="F89" s="551"/>
      <c r="G89" s="552"/>
      <c r="H89" s="702"/>
      <c r="I89" s="199" t="e">
        <f t="shared" si="69"/>
        <v>#DIV/0!</v>
      </c>
      <c r="J89" s="199" t="e">
        <f t="shared" si="69"/>
        <v>#DIV/0!</v>
      </c>
      <c r="K89" s="200" t="e">
        <f t="shared" si="69"/>
        <v>#DIV/0!</v>
      </c>
      <c r="L89" s="634"/>
      <c r="M89" s="201" t="e">
        <f>RANK(K89, K$87:$K$101)</f>
        <v>#DIV/0!</v>
      </c>
      <c r="N89" s="652"/>
      <c r="O89" s="652"/>
      <c r="P89" s="182"/>
      <c r="Q89" s="182"/>
      <c r="R89" s="182"/>
      <c r="S89" s="304" t="e">
        <f t="shared" si="70"/>
        <v>#N/A</v>
      </c>
      <c r="T89" s="662"/>
      <c r="U89" s="182"/>
      <c r="V89" s="182"/>
      <c r="W89" s="182"/>
      <c r="X89" s="477" t="e">
        <f t="shared" si="57"/>
        <v>#N/A</v>
      </c>
      <c r="Y89" s="662"/>
      <c r="Z89" s="182"/>
      <c r="AA89" s="182"/>
      <c r="AB89" s="182"/>
      <c r="AC89" s="477" t="e">
        <f t="shared" si="59"/>
        <v>#N/A</v>
      </c>
      <c r="AD89" s="662"/>
      <c r="AE89" s="182"/>
      <c r="AF89" s="182"/>
      <c r="AG89" s="182"/>
      <c r="AH89" s="477" t="e">
        <f t="shared" si="61"/>
        <v>#N/A</v>
      </c>
      <c r="AI89" s="662"/>
      <c r="AJ89" s="182"/>
      <c r="AK89" s="182"/>
      <c r="AL89" s="182"/>
      <c r="AM89" s="477" t="e">
        <f t="shared" si="63"/>
        <v>#N/A</v>
      </c>
      <c r="AN89" s="662"/>
      <c r="AO89" s="182"/>
      <c r="AP89" s="182"/>
      <c r="AQ89" s="182"/>
      <c r="AR89" s="477" t="e">
        <f t="shared" si="65"/>
        <v>#N/A</v>
      </c>
      <c r="AS89" s="662"/>
      <c r="AT89" s="182"/>
      <c r="AU89" s="182"/>
      <c r="AV89" s="182"/>
      <c r="AW89" s="477" t="e">
        <f t="shared" si="67"/>
        <v>#N/A</v>
      </c>
      <c r="AX89" s="674"/>
    </row>
    <row r="90" spans="2:50">
      <c r="B90" s="660"/>
      <c r="C90" s="304">
        <v>4</v>
      </c>
      <c r="D90" s="227"/>
      <c r="E90" s="182"/>
      <c r="F90" s="551"/>
      <c r="G90" s="552"/>
      <c r="H90" s="702"/>
      <c r="I90" s="199" t="e">
        <f t="shared" si="69"/>
        <v>#DIV/0!</v>
      </c>
      <c r="J90" s="199" t="e">
        <f t="shared" si="69"/>
        <v>#DIV/0!</v>
      </c>
      <c r="K90" s="200" t="e">
        <f t="shared" si="69"/>
        <v>#DIV/0!</v>
      </c>
      <c r="L90" s="634"/>
      <c r="M90" s="201" t="e">
        <f>RANK(K90, K$87:$K$101)</f>
        <v>#DIV/0!</v>
      </c>
      <c r="N90" s="652"/>
      <c r="O90" s="652"/>
      <c r="P90" s="182"/>
      <c r="Q90" s="182"/>
      <c r="R90" s="182"/>
      <c r="S90" s="304" t="e">
        <f t="shared" si="70"/>
        <v>#N/A</v>
      </c>
      <c r="T90" s="662"/>
      <c r="U90" s="182"/>
      <c r="V90" s="182"/>
      <c r="W90" s="182"/>
      <c r="X90" s="477" t="e">
        <f t="shared" si="57"/>
        <v>#N/A</v>
      </c>
      <c r="Y90" s="662"/>
      <c r="Z90" s="182"/>
      <c r="AA90" s="182"/>
      <c r="AB90" s="182"/>
      <c r="AC90" s="477" t="e">
        <f t="shared" si="59"/>
        <v>#N/A</v>
      </c>
      <c r="AD90" s="662"/>
      <c r="AE90" s="182"/>
      <c r="AF90" s="182"/>
      <c r="AG90" s="182"/>
      <c r="AH90" s="477" t="e">
        <f t="shared" si="61"/>
        <v>#N/A</v>
      </c>
      <c r="AI90" s="662"/>
      <c r="AJ90" s="182"/>
      <c r="AK90" s="182"/>
      <c r="AL90" s="182"/>
      <c r="AM90" s="477" t="e">
        <f t="shared" si="63"/>
        <v>#N/A</v>
      </c>
      <c r="AN90" s="662"/>
      <c r="AO90" s="182"/>
      <c r="AP90" s="182"/>
      <c r="AQ90" s="182"/>
      <c r="AR90" s="477" t="e">
        <f t="shared" si="65"/>
        <v>#N/A</v>
      </c>
      <c r="AS90" s="662"/>
      <c r="AT90" s="182"/>
      <c r="AU90" s="182"/>
      <c r="AV90" s="182"/>
      <c r="AW90" s="477" t="e">
        <f t="shared" si="67"/>
        <v>#N/A</v>
      </c>
      <c r="AX90" s="674"/>
    </row>
    <row r="91" spans="2:50">
      <c r="B91" s="660"/>
      <c r="C91" s="304">
        <v>5</v>
      </c>
      <c r="D91" s="227"/>
      <c r="E91" s="182"/>
      <c r="F91" s="551"/>
      <c r="G91" s="552"/>
      <c r="H91" s="702"/>
      <c r="I91" s="199" t="e">
        <f t="shared" si="69"/>
        <v>#DIV/0!</v>
      </c>
      <c r="J91" s="199" t="e">
        <f t="shared" si="69"/>
        <v>#DIV/0!</v>
      </c>
      <c r="K91" s="200" t="e">
        <f t="shared" si="69"/>
        <v>#DIV/0!</v>
      </c>
      <c r="L91" s="634"/>
      <c r="M91" s="201" t="e">
        <f>RANK(K91, K$87:$K$101)</f>
        <v>#DIV/0!</v>
      </c>
      <c r="N91" s="652"/>
      <c r="O91" s="652"/>
      <c r="P91" s="182"/>
      <c r="Q91" s="182"/>
      <c r="R91" s="182"/>
      <c r="S91" s="304" t="e">
        <f t="shared" si="70"/>
        <v>#N/A</v>
      </c>
      <c r="T91" s="662"/>
      <c r="U91" s="182"/>
      <c r="V91" s="182"/>
      <c r="W91" s="182"/>
      <c r="X91" s="477" t="e">
        <f t="shared" si="57"/>
        <v>#N/A</v>
      </c>
      <c r="Y91" s="662"/>
      <c r="Z91" s="182"/>
      <c r="AA91" s="182"/>
      <c r="AB91" s="182"/>
      <c r="AC91" s="477" t="e">
        <f t="shared" si="59"/>
        <v>#N/A</v>
      </c>
      <c r="AD91" s="662"/>
      <c r="AE91" s="182"/>
      <c r="AF91" s="182"/>
      <c r="AG91" s="182"/>
      <c r="AH91" s="477" t="e">
        <f t="shared" si="61"/>
        <v>#N/A</v>
      </c>
      <c r="AI91" s="662"/>
      <c r="AJ91" s="182"/>
      <c r="AK91" s="182"/>
      <c r="AL91" s="182"/>
      <c r="AM91" s="477" t="e">
        <f t="shared" si="63"/>
        <v>#N/A</v>
      </c>
      <c r="AN91" s="662"/>
      <c r="AO91" s="182"/>
      <c r="AP91" s="182"/>
      <c r="AQ91" s="182"/>
      <c r="AR91" s="477" t="e">
        <f t="shared" si="65"/>
        <v>#N/A</v>
      </c>
      <c r="AS91" s="662"/>
      <c r="AT91" s="182"/>
      <c r="AU91" s="182"/>
      <c r="AV91" s="182"/>
      <c r="AW91" s="477" t="e">
        <f t="shared" si="67"/>
        <v>#N/A</v>
      </c>
      <c r="AX91" s="674"/>
    </row>
    <row r="92" spans="2:50">
      <c r="B92" s="660"/>
      <c r="C92" s="304">
        <v>6</v>
      </c>
      <c r="D92" s="227"/>
      <c r="E92" s="182"/>
      <c r="F92" s="551"/>
      <c r="G92" s="552"/>
      <c r="H92" s="702"/>
      <c r="I92" s="199" t="e">
        <f t="shared" si="69"/>
        <v>#DIV/0!</v>
      </c>
      <c r="J92" s="199" t="e">
        <f t="shared" si="69"/>
        <v>#DIV/0!</v>
      </c>
      <c r="K92" s="200" t="e">
        <f t="shared" si="69"/>
        <v>#DIV/0!</v>
      </c>
      <c r="L92" s="634"/>
      <c r="M92" s="201" t="e">
        <f>RANK(K92, K$87:$K$101)</f>
        <v>#DIV/0!</v>
      </c>
      <c r="N92" s="652"/>
      <c r="O92" s="652"/>
      <c r="P92" s="182"/>
      <c r="Q92" s="182"/>
      <c r="R92" s="182"/>
      <c r="S92" s="304" t="e">
        <f t="shared" si="70"/>
        <v>#N/A</v>
      </c>
      <c r="T92" s="662"/>
      <c r="U92" s="182"/>
      <c r="V92" s="182"/>
      <c r="W92" s="182"/>
      <c r="X92" s="477" t="e">
        <f t="shared" si="57"/>
        <v>#N/A</v>
      </c>
      <c r="Y92" s="662"/>
      <c r="Z92" s="182"/>
      <c r="AA92" s="182"/>
      <c r="AB92" s="182"/>
      <c r="AC92" s="477" t="e">
        <f t="shared" si="59"/>
        <v>#N/A</v>
      </c>
      <c r="AD92" s="662"/>
      <c r="AE92" s="182"/>
      <c r="AF92" s="182"/>
      <c r="AG92" s="182"/>
      <c r="AH92" s="477" t="e">
        <f t="shared" si="61"/>
        <v>#N/A</v>
      </c>
      <c r="AI92" s="662"/>
      <c r="AJ92" s="182"/>
      <c r="AK92" s="182"/>
      <c r="AL92" s="182"/>
      <c r="AM92" s="477" t="e">
        <f t="shared" si="63"/>
        <v>#N/A</v>
      </c>
      <c r="AN92" s="662"/>
      <c r="AO92" s="182"/>
      <c r="AP92" s="182"/>
      <c r="AQ92" s="182"/>
      <c r="AR92" s="477" t="e">
        <f t="shared" si="65"/>
        <v>#N/A</v>
      </c>
      <c r="AS92" s="662"/>
      <c r="AT92" s="182"/>
      <c r="AU92" s="182"/>
      <c r="AV92" s="182"/>
      <c r="AW92" s="477" t="e">
        <f t="shared" si="67"/>
        <v>#N/A</v>
      </c>
      <c r="AX92" s="674"/>
    </row>
    <row r="93" spans="2:50">
      <c r="B93" s="660"/>
      <c r="C93" s="304">
        <v>7</v>
      </c>
      <c r="D93" s="227"/>
      <c r="E93" s="182"/>
      <c r="F93" s="551"/>
      <c r="G93" s="552"/>
      <c r="H93" s="702"/>
      <c r="I93" s="447" t="e">
        <f t="shared" ref="I93" si="71">AVERAGE(P93,U93,Z93,AE93,AJ93,AO93,AT93)</f>
        <v>#DIV/0!</v>
      </c>
      <c r="J93" s="447" t="e">
        <f t="shared" ref="J93" si="72">AVERAGE(Q93,V93,AA93,AF93,AK93,AP93,AU93)</f>
        <v>#DIV/0!</v>
      </c>
      <c r="K93" s="200" t="e">
        <f t="shared" ref="K93" si="73">AVERAGE(R93,W93,AB93,AG93,AL93,AQ93,AV93)</f>
        <v>#DIV/0!</v>
      </c>
      <c r="L93" s="634"/>
      <c r="M93" s="201" t="e">
        <f>RANK(K93, K$87:$K$101)</f>
        <v>#DIV/0!</v>
      </c>
      <c r="N93" s="652"/>
      <c r="O93" s="652"/>
      <c r="P93" s="182"/>
      <c r="Q93" s="182"/>
      <c r="R93" s="182"/>
      <c r="S93" s="304" t="e">
        <f t="shared" si="70"/>
        <v>#N/A</v>
      </c>
      <c r="T93" s="662"/>
      <c r="U93" s="182"/>
      <c r="V93" s="182"/>
      <c r="W93" s="182"/>
      <c r="X93" s="477" t="e">
        <f t="shared" si="57"/>
        <v>#N/A</v>
      </c>
      <c r="Y93" s="662"/>
      <c r="Z93" s="182"/>
      <c r="AA93" s="182"/>
      <c r="AB93" s="182"/>
      <c r="AC93" s="477" t="e">
        <f t="shared" si="59"/>
        <v>#N/A</v>
      </c>
      <c r="AD93" s="662"/>
      <c r="AE93" s="182"/>
      <c r="AF93" s="182"/>
      <c r="AG93" s="182"/>
      <c r="AH93" s="477" t="e">
        <f t="shared" si="61"/>
        <v>#N/A</v>
      </c>
      <c r="AI93" s="662"/>
      <c r="AJ93" s="182"/>
      <c r="AK93" s="182"/>
      <c r="AL93" s="182"/>
      <c r="AM93" s="477" t="e">
        <f t="shared" si="63"/>
        <v>#N/A</v>
      </c>
      <c r="AN93" s="662"/>
      <c r="AO93" s="182"/>
      <c r="AP93" s="182"/>
      <c r="AQ93" s="182"/>
      <c r="AR93" s="477" t="e">
        <f t="shared" si="65"/>
        <v>#N/A</v>
      </c>
      <c r="AS93" s="662"/>
      <c r="AT93" s="182"/>
      <c r="AU93" s="182"/>
      <c r="AV93" s="182"/>
      <c r="AW93" s="477" t="e">
        <f t="shared" si="67"/>
        <v>#N/A</v>
      </c>
      <c r="AX93" s="674"/>
    </row>
    <row r="94" spans="2:50">
      <c r="B94" s="660"/>
      <c r="C94" s="304">
        <v>8</v>
      </c>
      <c r="D94" s="227"/>
      <c r="E94" s="182"/>
      <c r="F94" s="551"/>
      <c r="G94" s="552"/>
      <c r="H94" s="702"/>
      <c r="I94" s="447"/>
      <c r="J94" s="447"/>
      <c r="K94" s="200"/>
      <c r="L94" s="634"/>
      <c r="M94" s="201" t="e">
        <f>RANK(K94, K$87:$K$101)</f>
        <v>#DIV/0!</v>
      </c>
      <c r="N94" s="652"/>
      <c r="O94" s="652"/>
      <c r="P94" s="551"/>
      <c r="Q94" s="182"/>
      <c r="R94" s="552"/>
      <c r="S94" s="304" t="e">
        <f t="shared" si="70"/>
        <v>#N/A</v>
      </c>
      <c r="T94" s="662"/>
      <c r="U94" s="551"/>
      <c r="V94" s="182"/>
      <c r="W94" s="552"/>
      <c r="X94" s="477" t="e">
        <f t="shared" si="57"/>
        <v>#N/A</v>
      </c>
      <c r="Y94" s="662"/>
      <c r="Z94" s="551"/>
      <c r="AA94" s="182"/>
      <c r="AB94" s="552"/>
      <c r="AC94" s="477" t="e">
        <f t="shared" si="59"/>
        <v>#N/A</v>
      </c>
      <c r="AD94" s="662"/>
      <c r="AE94" s="551"/>
      <c r="AF94" s="182"/>
      <c r="AG94" s="552"/>
      <c r="AH94" s="477" t="e">
        <f t="shared" si="61"/>
        <v>#N/A</v>
      </c>
      <c r="AI94" s="662"/>
      <c r="AJ94" s="551"/>
      <c r="AK94" s="182"/>
      <c r="AL94" s="552"/>
      <c r="AM94" s="477" t="e">
        <f t="shared" si="63"/>
        <v>#N/A</v>
      </c>
      <c r="AN94" s="662"/>
      <c r="AO94" s="551"/>
      <c r="AP94" s="182"/>
      <c r="AQ94" s="552"/>
      <c r="AR94" s="477" t="e">
        <f t="shared" si="65"/>
        <v>#N/A</v>
      </c>
      <c r="AS94" s="662"/>
      <c r="AT94" s="514"/>
      <c r="AU94" s="182"/>
      <c r="AV94" s="515"/>
      <c r="AW94" s="477" t="e">
        <f t="shared" si="67"/>
        <v>#N/A</v>
      </c>
      <c r="AX94" s="674"/>
    </row>
    <row r="95" spans="2:50">
      <c r="B95" s="660"/>
      <c r="C95" s="304">
        <v>9</v>
      </c>
      <c r="D95" s="227"/>
      <c r="E95" s="182"/>
      <c r="F95" s="551"/>
      <c r="G95" s="552"/>
      <c r="H95" s="702"/>
      <c r="I95" s="199"/>
      <c r="J95" s="199"/>
      <c r="K95" s="200"/>
      <c r="L95" s="634"/>
      <c r="M95" s="201" t="e">
        <f>RANK(K95, K$87:$K$101)</f>
        <v>#DIV/0!</v>
      </c>
      <c r="N95" s="652"/>
      <c r="O95" s="652"/>
      <c r="P95" s="551"/>
      <c r="Q95" s="182"/>
      <c r="R95" s="552"/>
      <c r="S95" s="304" t="e">
        <f t="shared" si="70"/>
        <v>#N/A</v>
      </c>
      <c r="T95" s="662"/>
      <c r="U95" s="551"/>
      <c r="V95" s="182"/>
      <c r="W95" s="552"/>
      <c r="X95" s="477" t="e">
        <f t="shared" si="57"/>
        <v>#N/A</v>
      </c>
      <c r="Y95" s="662"/>
      <c r="Z95" s="551"/>
      <c r="AA95" s="182"/>
      <c r="AB95" s="552"/>
      <c r="AC95" s="477" t="e">
        <f t="shared" si="59"/>
        <v>#N/A</v>
      </c>
      <c r="AD95" s="662"/>
      <c r="AE95" s="551"/>
      <c r="AF95" s="182"/>
      <c r="AG95" s="552"/>
      <c r="AH95" s="477" t="e">
        <f t="shared" si="61"/>
        <v>#N/A</v>
      </c>
      <c r="AI95" s="662"/>
      <c r="AJ95" s="551"/>
      <c r="AK95" s="182"/>
      <c r="AL95" s="552"/>
      <c r="AM95" s="477" t="e">
        <f t="shared" si="63"/>
        <v>#N/A</v>
      </c>
      <c r="AN95" s="662"/>
      <c r="AO95" s="551"/>
      <c r="AP95" s="182"/>
      <c r="AQ95" s="552"/>
      <c r="AR95" s="477" t="e">
        <f t="shared" si="65"/>
        <v>#N/A</v>
      </c>
      <c r="AS95" s="662"/>
      <c r="AT95" s="514"/>
      <c r="AU95" s="182"/>
      <c r="AV95" s="515"/>
      <c r="AW95" s="477" t="e">
        <f t="shared" si="67"/>
        <v>#N/A</v>
      </c>
      <c r="AX95" s="674"/>
    </row>
    <row r="96" spans="2:50">
      <c r="B96" s="660"/>
      <c r="C96" s="304">
        <v>10</v>
      </c>
      <c r="D96" s="227"/>
      <c r="E96" s="182"/>
      <c r="F96" s="551"/>
      <c r="G96" s="552"/>
      <c r="H96" s="702"/>
      <c r="I96" s="199"/>
      <c r="J96" s="199"/>
      <c r="K96" s="200"/>
      <c r="L96" s="634"/>
      <c r="M96" s="201" t="e">
        <f>RANK(K96, K$87:$K$101)</f>
        <v>#DIV/0!</v>
      </c>
      <c r="N96" s="652"/>
      <c r="O96" s="652"/>
      <c r="P96" s="551"/>
      <c r="Q96" s="182"/>
      <c r="R96" s="552"/>
      <c r="S96" s="304" t="e">
        <f t="shared" si="70"/>
        <v>#N/A</v>
      </c>
      <c r="T96" s="662"/>
      <c r="U96" s="551"/>
      <c r="V96" s="182"/>
      <c r="W96" s="552"/>
      <c r="X96" s="477" t="e">
        <f t="shared" si="57"/>
        <v>#N/A</v>
      </c>
      <c r="Y96" s="662"/>
      <c r="Z96" s="551"/>
      <c r="AA96" s="182"/>
      <c r="AB96" s="552"/>
      <c r="AC96" s="477" t="e">
        <f t="shared" si="59"/>
        <v>#N/A</v>
      </c>
      <c r="AD96" s="662"/>
      <c r="AE96" s="551"/>
      <c r="AF96" s="182"/>
      <c r="AG96" s="552"/>
      <c r="AH96" s="477" t="e">
        <f t="shared" si="61"/>
        <v>#N/A</v>
      </c>
      <c r="AI96" s="662"/>
      <c r="AJ96" s="551"/>
      <c r="AK96" s="182"/>
      <c r="AL96" s="552"/>
      <c r="AM96" s="477" t="e">
        <f t="shared" si="63"/>
        <v>#N/A</v>
      </c>
      <c r="AN96" s="662"/>
      <c r="AO96" s="551"/>
      <c r="AP96" s="182"/>
      <c r="AQ96" s="552"/>
      <c r="AR96" s="477" t="e">
        <f t="shared" si="65"/>
        <v>#N/A</v>
      </c>
      <c r="AS96" s="662"/>
      <c r="AT96" s="514"/>
      <c r="AU96" s="182"/>
      <c r="AV96" s="515"/>
      <c r="AW96" s="477" t="e">
        <f t="shared" si="67"/>
        <v>#N/A</v>
      </c>
      <c r="AX96" s="674"/>
    </row>
    <row r="97" spans="2:50">
      <c r="B97" s="660"/>
      <c r="C97" s="304">
        <v>11</v>
      </c>
      <c r="D97" s="227"/>
      <c r="E97" s="182"/>
      <c r="F97" s="551"/>
      <c r="G97" s="552"/>
      <c r="H97" s="702"/>
      <c r="I97" s="199"/>
      <c r="J97" s="199"/>
      <c r="K97" s="200"/>
      <c r="L97" s="634"/>
      <c r="M97" s="201" t="e">
        <f>RANK(K97, K$87:$K$101)</f>
        <v>#DIV/0!</v>
      </c>
      <c r="N97" s="652"/>
      <c r="O97" s="652"/>
      <c r="P97" s="551"/>
      <c r="Q97" s="182"/>
      <c r="R97" s="552"/>
      <c r="S97" s="304" t="e">
        <f t="shared" si="70"/>
        <v>#N/A</v>
      </c>
      <c r="T97" s="662"/>
      <c r="U97" s="551"/>
      <c r="V97" s="182"/>
      <c r="W97" s="552"/>
      <c r="X97" s="477" t="e">
        <f t="shared" si="57"/>
        <v>#N/A</v>
      </c>
      <c r="Y97" s="662"/>
      <c r="Z97" s="551"/>
      <c r="AA97" s="182"/>
      <c r="AB97" s="552"/>
      <c r="AC97" s="477" t="e">
        <f t="shared" si="59"/>
        <v>#N/A</v>
      </c>
      <c r="AD97" s="662"/>
      <c r="AE97" s="551"/>
      <c r="AF97" s="182"/>
      <c r="AG97" s="552"/>
      <c r="AH97" s="477" t="e">
        <f t="shared" si="61"/>
        <v>#N/A</v>
      </c>
      <c r="AI97" s="662"/>
      <c r="AJ97" s="551"/>
      <c r="AK97" s="182"/>
      <c r="AL97" s="552"/>
      <c r="AM97" s="477" t="e">
        <f t="shared" si="63"/>
        <v>#N/A</v>
      </c>
      <c r="AN97" s="662"/>
      <c r="AO97" s="551"/>
      <c r="AP97" s="182"/>
      <c r="AQ97" s="552"/>
      <c r="AR97" s="477" t="e">
        <f t="shared" si="65"/>
        <v>#N/A</v>
      </c>
      <c r="AS97" s="662"/>
      <c r="AT97" s="514"/>
      <c r="AU97" s="182"/>
      <c r="AV97" s="515"/>
      <c r="AW97" s="477" t="e">
        <f t="shared" si="67"/>
        <v>#N/A</v>
      </c>
      <c r="AX97" s="674"/>
    </row>
    <row r="98" spans="2:50">
      <c r="B98" s="660"/>
      <c r="C98" s="304">
        <v>12</v>
      </c>
      <c r="D98" s="227"/>
      <c r="E98" s="182"/>
      <c r="F98" s="551"/>
      <c r="G98" s="552"/>
      <c r="H98" s="702"/>
      <c r="I98" s="199"/>
      <c r="J98" s="199"/>
      <c r="K98" s="200"/>
      <c r="L98" s="634"/>
      <c r="M98" s="201" t="e">
        <f>RANK(K98, K$87:$K$101)</f>
        <v>#DIV/0!</v>
      </c>
      <c r="N98" s="652"/>
      <c r="O98" s="652"/>
      <c r="P98" s="551"/>
      <c r="Q98" s="182"/>
      <c r="R98" s="552"/>
      <c r="S98" s="304" t="e">
        <f t="shared" si="70"/>
        <v>#N/A</v>
      </c>
      <c r="T98" s="662"/>
      <c r="U98" s="551"/>
      <c r="V98" s="182"/>
      <c r="W98" s="552"/>
      <c r="X98" s="477" t="e">
        <f t="shared" si="57"/>
        <v>#N/A</v>
      </c>
      <c r="Y98" s="662"/>
      <c r="Z98" s="551"/>
      <c r="AA98" s="182"/>
      <c r="AB98" s="552"/>
      <c r="AC98" s="477" t="e">
        <f t="shared" si="59"/>
        <v>#N/A</v>
      </c>
      <c r="AD98" s="662"/>
      <c r="AE98" s="551"/>
      <c r="AF98" s="182"/>
      <c r="AG98" s="552"/>
      <c r="AH98" s="477" t="e">
        <f t="shared" si="61"/>
        <v>#N/A</v>
      </c>
      <c r="AI98" s="662"/>
      <c r="AJ98" s="551"/>
      <c r="AK98" s="182"/>
      <c r="AL98" s="552"/>
      <c r="AM98" s="477" t="e">
        <f t="shared" si="63"/>
        <v>#N/A</v>
      </c>
      <c r="AN98" s="662"/>
      <c r="AO98" s="551"/>
      <c r="AP98" s="182"/>
      <c r="AQ98" s="552"/>
      <c r="AR98" s="477" t="e">
        <f t="shared" si="65"/>
        <v>#N/A</v>
      </c>
      <c r="AS98" s="662"/>
      <c r="AT98" s="514"/>
      <c r="AU98" s="182"/>
      <c r="AV98" s="515"/>
      <c r="AW98" s="477" t="e">
        <f t="shared" si="67"/>
        <v>#N/A</v>
      </c>
      <c r="AX98" s="674"/>
    </row>
    <row r="99" spans="2:50">
      <c r="B99" s="660"/>
      <c r="C99" s="304">
        <v>13</v>
      </c>
      <c r="D99" s="227"/>
      <c r="E99" s="182"/>
      <c r="F99" s="551"/>
      <c r="G99" s="552"/>
      <c r="H99" s="702"/>
      <c r="I99" s="199"/>
      <c r="J99" s="199"/>
      <c r="K99" s="200"/>
      <c r="L99" s="634"/>
      <c r="M99" s="201" t="e">
        <f>RANK(K99, K$87:$K$101)</f>
        <v>#DIV/0!</v>
      </c>
      <c r="N99" s="652"/>
      <c r="O99" s="652"/>
      <c r="P99" s="551"/>
      <c r="Q99" s="182"/>
      <c r="R99" s="552"/>
      <c r="S99" s="304" t="e">
        <f t="shared" si="70"/>
        <v>#N/A</v>
      </c>
      <c r="T99" s="662"/>
      <c r="U99" s="551"/>
      <c r="V99" s="182"/>
      <c r="W99" s="552"/>
      <c r="X99" s="477" t="e">
        <f t="shared" si="57"/>
        <v>#N/A</v>
      </c>
      <c r="Y99" s="662"/>
      <c r="Z99" s="551"/>
      <c r="AA99" s="182"/>
      <c r="AB99" s="552"/>
      <c r="AC99" s="477" t="e">
        <f t="shared" si="59"/>
        <v>#N/A</v>
      </c>
      <c r="AD99" s="662"/>
      <c r="AE99" s="551"/>
      <c r="AF99" s="182"/>
      <c r="AG99" s="552"/>
      <c r="AH99" s="477" t="e">
        <f t="shared" si="61"/>
        <v>#N/A</v>
      </c>
      <c r="AI99" s="662"/>
      <c r="AJ99" s="551"/>
      <c r="AK99" s="182"/>
      <c r="AL99" s="552"/>
      <c r="AM99" s="477" t="e">
        <f t="shared" si="63"/>
        <v>#N/A</v>
      </c>
      <c r="AN99" s="662"/>
      <c r="AO99" s="551"/>
      <c r="AP99" s="182"/>
      <c r="AQ99" s="552"/>
      <c r="AR99" s="477" t="e">
        <f t="shared" si="65"/>
        <v>#N/A</v>
      </c>
      <c r="AS99" s="662"/>
      <c r="AT99" s="514"/>
      <c r="AU99" s="182"/>
      <c r="AV99" s="515"/>
      <c r="AW99" s="477" t="e">
        <f t="shared" si="67"/>
        <v>#N/A</v>
      </c>
      <c r="AX99" s="674"/>
    </row>
    <row r="100" spans="2:50">
      <c r="B100" s="660"/>
      <c r="C100" s="304">
        <v>14</v>
      </c>
      <c r="D100" s="227"/>
      <c r="E100" s="182"/>
      <c r="F100" s="551"/>
      <c r="G100" s="552"/>
      <c r="H100" s="702"/>
      <c r="I100" s="199"/>
      <c r="J100" s="199"/>
      <c r="K100" s="200"/>
      <c r="L100" s="634"/>
      <c r="M100" s="201" t="e">
        <f>RANK(K100, K$87:$K$101)</f>
        <v>#DIV/0!</v>
      </c>
      <c r="N100" s="652"/>
      <c r="O100" s="652"/>
      <c r="P100" s="551"/>
      <c r="Q100" s="182"/>
      <c r="R100" s="552"/>
      <c r="S100" s="304" t="e">
        <f t="shared" si="70"/>
        <v>#N/A</v>
      </c>
      <c r="T100" s="662"/>
      <c r="U100" s="551"/>
      <c r="V100" s="182"/>
      <c r="W100" s="552"/>
      <c r="X100" s="477" t="e">
        <f t="shared" si="57"/>
        <v>#N/A</v>
      </c>
      <c r="Y100" s="662"/>
      <c r="Z100" s="551"/>
      <c r="AA100" s="182"/>
      <c r="AB100" s="552"/>
      <c r="AC100" s="477" t="e">
        <f t="shared" si="59"/>
        <v>#N/A</v>
      </c>
      <c r="AD100" s="662"/>
      <c r="AE100" s="551"/>
      <c r="AF100" s="182"/>
      <c r="AG100" s="552"/>
      <c r="AH100" s="477" t="e">
        <f t="shared" si="61"/>
        <v>#N/A</v>
      </c>
      <c r="AI100" s="662"/>
      <c r="AJ100" s="551"/>
      <c r="AK100" s="182"/>
      <c r="AL100" s="552"/>
      <c r="AM100" s="477" t="e">
        <f t="shared" si="63"/>
        <v>#N/A</v>
      </c>
      <c r="AN100" s="662"/>
      <c r="AO100" s="551"/>
      <c r="AP100" s="182"/>
      <c r="AQ100" s="552"/>
      <c r="AR100" s="477" t="e">
        <f t="shared" si="65"/>
        <v>#N/A</v>
      </c>
      <c r="AS100" s="662"/>
      <c r="AT100" s="514"/>
      <c r="AU100" s="182"/>
      <c r="AV100" s="515"/>
      <c r="AW100" s="477" t="e">
        <f t="shared" si="67"/>
        <v>#N/A</v>
      </c>
      <c r="AX100" s="674"/>
    </row>
    <row r="101" spans="2:50">
      <c r="B101" s="660"/>
      <c r="C101" s="304">
        <v>15</v>
      </c>
      <c r="D101" s="227"/>
      <c r="E101" s="182"/>
      <c r="F101" s="551"/>
      <c r="G101" s="552"/>
      <c r="H101" s="703"/>
      <c r="I101" s="199"/>
      <c r="J101" s="199"/>
      <c r="K101" s="200"/>
      <c r="L101" s="635"/>
      <c r="M101" s="199" t="e">
        <f>RANK(K101, K$87:$K$101)</f>
        <v>#DIV/0!</v>
      </c>
      <c r="N101" s="652"/>
      <c r="O101" s="652"/>
      <c r="P101" s="551"/>
      <c r="Q101" s="182"/>
      <c r="R101" s="552"/>
      <c r="S101" s="304" t="e">
        <f t="shared" si="70"/>
        <v>#N/A</v>
      </c>
      <c r="T101" s="663"/>
      <c r="U101" s="551"/>
      <c r="V101" s="182"/>
      <c r="W101" s="552"/>
      <c r="X101" s="477" t="e">
        <f t="shared" si="57"/>
        <v>#N/A</v>
      </c>
      <c r="Y101" s="663"/>
      <c r="Z101" s="551"/>
      <c r="AA101" s="182"/>
      <c r="AB101" s="552"/>
      <c r="AC101" s="477" t="e">
        <f t="shared" si="59"/>
        <v>#N/A</v>
      </c>
      <c r="AD101" s="663"/>
      <c r="AE101" s="551"/>
      <c r="AF101" s="182"/>
      <c r="AG101" s="552"/>
      <c r="AH101" s="477" t="e">
        <f t="shared" si="61"/>
        <v>#N/A</v>
      </c>
      <c r="AI101" s="663"/>
      <c r="AJ101" s="551"/>
      <c r="AK101" s="182"/>
      <c r="AL101" s="552"/>
      <c r="AM101" s="477" t="e">
        <f t="shared" si="63"/>
        <v>#N/A</v>
      </c>
      <c r="AN101" s="663"/>
      <c r="AO101" s="551"/>
      <c r="AP101" s="182"/>
      <c r="AQ101" s="552"/>
      <c r="AR101" s="477" t="e">
        <f t="shared" si="65"/>
        <v>#N/A</v>
      </c>
      <c r="AS101" s="663"/>
      <c r="AT101" s="514"/>
      <c r="AU101" s="182"/>
      <c r="AV101" s="515"/>
      <c r="AW101" s="477" t="e">
        <f t="shared" si="67"/>
        <v>#N/A</v>
      </c>
      <c r="AX101" s="674"/>
    </row>
    <row r="102" spans="2:50" ht="15.75">
      <c r="B102" s="664" t="s">
        <v>163</v>
      </c>
      <c r="C102" s="665"/>
      <c r="D102" s="665"/>
      <c r="E102" s="665"/>
      <c r="F102" s="665"/>
      <c r="G102" s="665"/>
      <c r="H102" s="666"/>
      <c r="I102" s="208"/>
      <c r="J102" s="208"/>
      <c r="K102" s="208"/>
      <c r="L102" s="208"/>
      <c r="M102" s="207"/>
      <c r="N102" s="653" t="s">
        <v>156</v>
      </c>
      <c r="O102" s="653" t="s">
        <v>105</v>
      </c>
      <c r="P102" s="659">
        <f>P82+7</f>
        <v>46084</v>
      </c>
      <c r="Q102" s="660"/>
      <c r="R102" s="660"/>
      <c r="S102" s="660"/>
      <c r="T102" s="660"/>
      <c r="U102" s="656">
        <f>P102+1</f>
        <v>46085</v>
      </c>
      <c r="V102" s="657"/>
      <c r="W102" s="657"/>
      <c r="X102" s="657"/>
      <c r="Y102" s="658"/>
      <c r="Z102" s="656">
        <f>U102+1</f>
        <v>46086</v>
      </c>
      <c r="AA102" s="657"/>
      <c r="AB102" s="657"/>
      <c r="AC102" s="657"/>
      <c r="AD102" s="658"/>
      <c r="AE102" s="656">
        <f>Z102+1</f>
        <v>46087</v>
      </c>
      <c r="AF102" s="657"/>
      <c r="AG102" s="657"/>
      <c r="AH102" s="657"/>
      <c r="AI102" s="658"/>
      <c r="AJ102" s="656">
        <f>AE102+1</f>
        <v>46088</v>
      </c>
      <c r="AK102" s="657"/>
      <c r="AL102" s="657"/>
      <c r="AM102" s="657"/>
      <c r="AN102" s="658"/>
      <c r="AO102" s="656">
        <f>AJ102+1</f>
        <v>46089</v>
      </c>
      <c r="AP102" s="657"/>
      <c r="AQ102" s="657"/>
      <c r="AR102" s="657"/>
      <c r="AS102" s="658"/>
      <c r="AT102" s="656">
        <f>AO102+1</f>
        <v>46090</v>
      </c>
      <c r="AU102" s="657"/>
      <c r="AV102" s="657"/>
      <c r="AW102" s="657"/>
      <c r="AX102" s="658"/>
    </row>
    <row r="103" spans="2:50" ht="15.75">
      <c r="B103" s="667"/>
      <c r="C103" s="667"/>
      <c r="D103" s="667"/>
      <c r="E103" s="667"/>
      <c r="F103" s="667"/>
      <c r="G103" s="667"/>
      <c r="H103" s="667"/>
      <c r="I103" s="205"/>
      <c r="J103" s="205"/>
      <c r="K103" s="205"/>
      <c r="L103" s="205"/>
      <c r="M103" s="206"/>
      <c r="N103" s="655"/>
      <c r="O103" s="655"/>
      <c r="P103" s="659" t="s">
        <v>158</v>
      </c>
      <c r="Q103" s="660"/>
      <c r="R103" s="660"/>
      <c r="S103" s="660"/>
      <c r="T103" s="660"/>
      <c r="U103" s="659" t="s">
        <v>114</v>
      </c>
      <c r="V103" s="660"/>
      <c r="W103" s="660"/>
      <c r="X103" s="660"/>
      <c r="Y103" s="660"/>
      <c r="Z103" s="659" t="s">
        <v>159</v>
      </c>
      <c r="AA103" s="660"/>
      <c r="AB103" s="660"/>
      <c r="AC103" s="660"/>
      <c r="AD103" s="660"/>
      <c r="AE103" s="659" t="s">
        <v>157</v>
      </c>
      <c r="AF103" s="660"/>
      <c r="AG103" s="660"/>
      <c r="AH103" s="660"/>
      <c r="AI103" s="660"/>
      <c r="AJ103" s="659" t="s">
        <v>160</v>
      </c>
      <c r="AK103" s="660"/>
      <c r="AL103" s="660"/>
      <c r="AM103" s="660"/>
      <c r="AN103" s="660"/>
      <c r="AO103" s="659" t="s">
        <v>115</v>
      </c>
      <c r="AP103" s="660"/>
      <c r="AQ103" s="660"/>
      <c r="AR103" s="660"/>
      <c r="AS103" s="660"/>
      <c r="AT103" s="659" t="s">
        <v>162</v>
      </c>
      <c r="AU103" s="660"/>
      <c r="AV103" s="660"/>
      <c r="AW103" s="660"/>
      <c r="AX103" s="660"/>
    </row>
    <row r="104" spans="2:50">
      <c r="B104" s="652" t="s">
        <v>859</v>
      </c>
      <c r="C104" s="652" t="s">
        <v>860</v>
      </c>
      <c r="D104" s="652"/>
      <c r="E104" s="652" t="s">
        <v>861</v>
      </c>
      <c r="F104" s="652"/>
      <c r="G104" s="652"/>
      <c r="H104" s="668" t="s">
        <v>862</v>
      </c>
      <c r="I104" s="652" t="s">
        <v>863</v>
      </c>
      <c r="J104" s="652"/>
      <c r="K104" s="652"/>
      <c r="L104" s="668" t="s">
        <v>862</v>
      </c>
      <c r="M104" s="653" t="s">
        <v>864</v>
      </c>
      <c r="N104" s="652"/>
      <c r="O104" s="652" t="s">
        <v>850</v>
      </c>
      <c r="P104" s="649" t="s">
        <v>851</v>
      </c>
      <c r="Q104" s="650"/>
      <c r="R104" s="650"/>
      <c r="S104" s="651"/>
      <c r="T104" s="652" t="s">
        <v>847</v>
      </c>
      <c r="U104" s="649" t="s">
        <v>851</v>
      </c>
      <c r="V104" s="650"/>
      <c r="W104" s="650"/>
      <c r="X104" s="651"/>
      <c r="Y104" s="652" t="s">
        <v>847</v>
      </c>
      <c r="Z104" s="649" t="s">
        <v>851</v>
      </c>
      <c r="AA104" s="650"/>
      <c r="AB104" s="650"/>
      <c r="AC104" s="651"/>
      <c r="AD104" s="652" t="s">
        <v>847</v>
      </c>
      <c r="AE104" s="649" t="s">
        <v>851</v>
      </c>
      <c r="AF104" s="650"/>
      <c r="AG104" s="650"/>
      <c r="AH104" s="651"/>
      <c r="AI104" s="652" t="s">
        <v>847</v>
      </c>
      <c r="AJ104" s="649" t="s">
        <v>851</v>
      </c>
      <c r="AK104" s="650"/>
      <c r="AL104" s="650"/>
      <c r="AM104" s="651"/>
      <c r="AN104" s="652" t="s">
        <v>847</v>
      </c>
      <c r="AO104" s="649" t="s">
        <v>851</v>
      </c>
      <c r="AP104" s="650"/>
      <c r="AQ104" s="650"/>
      <c r="AR104" s="651"/>
      <c r="AS104" s="652" t="s">
        <v>847</v>
      </c>
      <c r="AT104" s="649" t="s">
        <v>851</v>
      </c>
      <c r="AU104" s="650"/>
      <c r="AV104" s="650"/>
      <c r="AW104" s="651"/>
      <c r="AX104" s="652" t="s">
        <v>847</v>
      </c>
    </row>
    <row r="105" spans="2:50">
      <c r="B105" s="652"/>
      <c r="C105" s="652"/>
      <c r="D105" s="652"/>
      <c r="E105" s="652" t="s">
        <v>866</v>
      </c>
      <c r="F105" s="652"/>
      <c r="G105" s="652"/>
      <c r="H105" s="669"/>
      <c r="I105" s="652" t="s">
        <v>866</v>
      </c>
      <c r="J105" s="652"/>
      <c r="K105" s="652"/>
      <c r="L105" s="669"/>
      <c r="M105" s="654"/>
      <c r="N105" s="652"/>
      <c r="O105" s="652"/>
      <c r="P105" s="649" t="s">
        <v>853</v>
      </c>
      <c r="Q105" s="650"/>
      <c r="R105" s="650"/>
      <c r="S105" s="651"/>
      <c r="T105" s="652"/>
      <c r="U105" s="649" t="s">
        <v>853</v>
      </c>
      <c r="V105" s="650"/>
      <c r="W105" s="650"/>
      <c r="X105" s="651"/>
      <c r="Y105" s="652"/>
      <c r="Z105" s="649" t="s">
        <v>853</v>
      </c>
      <c r="AA105" s="650"/>
      <c r="AB105" s="650"/>
      <c r="AC105" s="651"/>
      <c r="AD105" s="652"/>
      <c r="AE105" s="649" t="s">
        <v>853</v>
      </c>
      <c r="AF105" s="650"/>
      <c r="AG105" s="650"/>
      <c r="AH105" s="651"/>
      <c r="AI105" s="652"/>
      <c r="AJ105" s="649" t="s">
        <v>853</v>
      </c>
      <c r="AK105" s="650"/>
      <c r="AL105" s="650"/>
      <c r="AM105" s="651"/>
      <c r="AN105" s="652"/>
      <c r="AO105" s="649" t="s">
        <v>853</v>
      </c>
      <c r="AP105" s="650"/>
      <c r="AQ105" s="650"/>
      <c r="AR105" s="651"/>
      <c r="AS105" s="652"/>
      <c r="AT105" s="649" t="s">
        <v>853</v>
      </c>
      <c r="AU105" s="650"/>
      <c r="AV105" s="650"/>
      <c r="AW105" s="651"/>
      <c r="AX105" s="652"/>
    </row>
    <row r="106" spans="2:50">
      <c r="B106" s="652"/>
      <c r="C106" s="652"/>
      <c r="D106" s="652"/>
      <c r="E106" s="492" t="s">
        <v>867</v>
      </c>
      <c r="F106" s="492" t="s">
        <v>868</v>
      </c>
      <c r="G106" s="492" t="s">
        <v>869</v>
      </c>
      <c r="H106" s="670"/>
      <c r="I106" s="492" t="s">
        <v>867</v>
      </c>
      <c r="J106" s="492" t="s">
        <v>868</v>
      </c>
      <c r="K106" s="492" t="s">
        <v>869</v>
      </c>
      <c r="L106" s="670"/>
      <c r="M106" s="655"/>
      <c r="N106" s="652"/>
      <c r="O106" s="652"/>
      <c r="P106" s="492" t="s">
        <v>854</v>
      </c>
      <c r="Q106" s="492" t="s">
        <v>855</v>
      </c>
      <c r="R106" s="492" t="s">
        <v>856</v>
      </c>
      <c r="S106" s="492" t="s">
        <v>849</v>
      </c>
      <c r="T106" s="652"/>
      <c r="U106" s="492" t="s">
        <v>854</v>
      </c>
      <c r="V106" s="492" t="s">
        <v>855</v>
      </c>
      <c r="W106" s="492" t="s">
        <v>856</v>
      </c>
      <c r="X106" s="492" t="s">
        <v>849</v>
      </c>
      <c r="Y106" s="652"/>
      <c r="Z106" s="492" t="s">
        <v>854</v>
      </c>
      <c r="AA106" s="492" t="s">
        <v>855</v>
      </c>
      <c r="AB106" s="492" t="s">
        <v>856</v>
      </c>
      <c r="AC106" s="492" t="s">
        <v>849</v>
      </c>
      <c r="AD106" s="652"/>
      <c r="AE106" s="492" t="s">
        <v>854</v>
      </c>
      <c r="AF106" s="492" t="s">
        <v>855</v>
      </c>
      <c r="AG106" s="492" t="s">
        <v>856</v>
      </c>
      <c r="AH106" s="492" t="s">
        <v>849</v>
      </c>
      <c r="AI106" s="652"/>
      <c r="AJ106" s="492" t="s">
        <v>854</v>
      </c>
      <c r="AK106" s="492" t="s">
        <v>855</v>
      </c>
      <c r="AL106" s="492" t="s">
        <v>856</v>
      </c>
      <c r="AM106" s="492" t="s">
        <v>849</v>
      </c>
      <c r="AN106" s="652"/>
      <c r="AO106" s="492" t="s">
        <v>854</v>
      </c>
      <c r="AP106" s="492" t="s">
        <v>855</v>
      </c>
      <c r="AQ106" s="492" t="s">
        <v>856</v>
      </c>
      <c r="AR106" s="492" t="s">
        <v>849</v>
      </c>
      <c r="AS106" s="652"/>
      <c r="AT106" s="492" t="s">
        <v>854</v>
      </c>
      <c r="AU106" s="492" t="s">
        <v>855</v>
      </c>
      <c r="AV106" s="492" t="s">
        <v>856</v>
      </c>
      <c r="AW106" s="492" t="s">
        <v>849</v>
      </c>
      <c r="AX106" s="652"/>
    </row>
    <row r="107" spans="2:50">
      <c r="B107" s="652" t="s">
        <v>136</v>
      </c>
      <c r="C107" s="497">
        <v>1</v>
      </c>
      <c r="D107" s="227"/>
      <c r="E107" s="182"/>
      <c r="F107" s="514"/>
      <c r="G107" s="515"/>
      <c r="H107" s="696" t="e">
        <f>AVERAGE(G107:G121)</f>
        <v>#DIV/0!</v>
      </c>
      <c r="I107" s="498" t="e">
        <f>AVERAGE(P107,U107,Z107,AE107,AJ107,AO107,AT107)</f>
        <v>#DIV/0!</v>
      </c>
      <c r="J107" s="498" t="e">
        <f>AVERAGE(Q107,V107,AA107,AF107,AK107,AP107,AU107)</f>
        <v>#DIV/0!</v>
      </c>
      <c r="K107" s="499" t="e">
        <f>AVERAGE(R107,W107,AB107,AG107,AL107,AQ107,AV107)</f>
        <v>#DIV/0!</v>
      </c>
      <c r="L107" s="633" t="str">
        <f>IFERROR(AVERAGE(K107:K121),"-")</f>
        <v>-</v>
      </c>
      <c r="M107" s="498" t="e">
        <f>RANK(K107, K$67:$K$81)</f>
        <v>#DIV/0!</v>
      </c>
      <c r="N107" s="652"/>
      <c r="O107" s="652"/>
      <c r="P107" s="497"/>
      <c r="Q107" s="498"/>
      <c r="R107" s="498"/>
      <c r="S107" s="497" t="e">
        <f>RANK(R107, R$67:R$81)</f>
        <v>#N/A</v>
      </c>
      <c r="T107" s="699" t="e">
        <f>AVERAGE(R107:R121)</f>
        <v>#DIV/0!</v>
      </c>
      <c r="U107" s="519"/>
      <c r="V107" s="522"/>
      <c r="W107" s="522"/>
      <c r="X107" s="497" t="e">
        <f>RANK(W107, W$67:W$81)</f>
        <v>#N/A</v>
      </c>
      <c r="Y107" s="699" t="e">
        <f>AVERAGE(W107:W121)</f>
        <v>#DIV/0!</v>
      </c>
      <c r="Z107" s="519"/>
      <c r="AA107" s="522"/>
      <c r="AB107" s="522"/>
      <c r="AC107" s="497" t="e">
        <f>RANK(AB107, AB$67:AB$81)</f>
        <v>#N/A</v>
      </c>
      <c r="AD107" s="699" t="e">
        <f>AVERAGE(AB107:AB121)</f>
        <v>#DIV/0!</v>
      </c>
      <c r="AE107" s="519"/>
      <c r="AF107" s="522"/>
      <c r="AG107" s="522"/>
      <c r="AH107" s="497" t="e">
        <f>RANK(AG107, AG$67:AG$81)</f>
        <v>#N/A</v>
      </c>
      <c r="AI107" s="699" t="e">
        <f>AVERAGE(AG107:AG121)</f>
        <v>#DIV/0!</v>
      </c>
      <c r="AJ107" s="519"/>
      <c r="AK107" s="522"/>
      <c r="AL107" s="522"/>
      <c r="AM107" s="497" t="e">
        <f>RANK(AL107, AL$67:AL$81)</f>
        <v>#N/A</v>
      </c>
      <c r="AN107" s="699" t="e">
        <f>AVERAGE(AL107:AL121)</f>
        <v>#DIV/0!</v>
      </c>
      <c r="AO107" s="519"/>
      <c r="AP107" s="522"/>
      <c r="AQ107" s="522"/>
      <c r="AR107" s="497" t="e">
        <f>RANK(AQ107, AQ$67:AQ$81)</f>
        <v>#N/A</v>
      </c>
      <c r="AS107" s="699" t="e">
        <f>AVERAGE(AQ107:AQ121)</f>
        <v>#DIV/0!</v>
      </c>
      <c r="AT107" s="182"/>
      <c r="AU107" s="182"/>
      <c r="AV107" s="515"/>
      <c r="AW107" s="497" t="e">
        <f>RANK(AV107, AV$67:AV$81)</f>
        <v>#N/A</v>
      </c>
      <c r="AX107" s="699" t="e">
        <f>AVERAGE(AV107:AV121)</f>
        <v>#DIV/0!</v>
      </c>
    </row>
    <row r="108" spans="2:50">
      <c r="B108" s="685"/>
      <c r="C108" s="497">
        <v>2</v>
      </c>
      <c r="D108" s="227"/>
      <c r="E108" s="182"/>
      <c r="F108" s="514"/>
      <c r="G108" s="515"/>
      <c r="H108" s="697"/>
      <c r="I108" s="498" t="e">
        <f t="shared" ref="I108:K114" si="74">AVERAGE(P108,U108,Z108,AE108,AJ108,AO108,AT108)</f>
        <v>#DIV/0!</v>
      </c>
      <c r="J108" s="498" t="e">
        <f t="shared" si="74"/>
        <v>#DIV/0!</v>
      </c>
      <c r="K108" s="499" t="e">
        <f t="shared" si="74"/>
        <v>#DIV/0!</v>
      </c>
      <c r="L108" s="634"/>
      <c r="M108" s="498" t="e">
        <f>RANK(K108, K$67:$K$81)</f>
        <v>#DIV/0!</v>
      </c>
      <c r="N108" s="652"/>
      <c r="O108" s="652"/>
      <c r="P108" s="497"/>
      <c r="Q108" s="498"/>
      <c r="R108" s="498"/>
      <c r="S108" s="497" t="e">
        <f t="shared" ref="S108:S121" si="75">RANK(R108, R$67:R$81)</f>
        <v>#N/A</v>
      </c>
      <c r="T108" s="699"/>
      <c r="U108" s="519"/>
      <c r="V108" s="522"/>
      <c r="W108" s="522"/>
      <c r="X108" s="497" t="e">
        <f t="shared" ref="X108:X121" si="76">RANK(W108, W$67:W$81)</f>
        <v>#N/A</v>
      </c>
      <c r="Y108" s="699"/>
      <c r="Z108" s="519"/>
      <c r="AA108" s="522"/>
      <c r="AB108" s="522"/>
      <c r="AC108" s="497" t="e">
        <f t="shared" ref="AC108:AC121" si="77">RANK(AB108, AB$67:AB$81)</f>
        <v>#N/A</v>
      </c>
      <c r="AD108" s="699"/>
      <c r="AE108" s="519"/>
      <c r="AF108" s="522"/>
      <c r="AG108" s="522"/>
      <c r="AH108" s="497" t="e">
        <f t="shared" ref="AH108:AH121" si="78">RANK(AG108, AG$67:AG$81)</f>
        <v>#N/A</v>
      </c>
      <c r="AI108" s="699"/>
      <c r="AJ108" s="519"/>
      <c r="AK108" s="522"/>
      <c r="AL108" s="522"/>
      <c r="AM108" s="497" t="e">
        <f t="shared" ref="AM108:AM121" si="79">RANK(AL108, AL$67:AL$81)</f>
        <v>#N/A</v>
      </c>
      <c r="AN108" s="699"/>
      <c r="AO108" s="519"/>
      <c r="AP108" s="522"/>
      <c r="AQ108" s="522"/>
      <c r="AR108" s="497" t="e">
        <f t="shared" ref="AR108:AR121" si="80">RANK(AQ108, AQ$67:AQ$81)</f>
        <v>#N/A</v>
      </c>
      <c r="AS108" s="699"/>
      <c r="AT108" s="514"/>
      <c r="AU108" s="182"/>
      <c r="AV108" s="515"/>
      <c r="AW108" s="497" t="e">
        <f t="shared" ref="AW108:AW121" si="81">RANK(AV108, AV$67:AV$81)</f>
        <v>#N/A</v>
      </c>
      <c r="AX108" s="699"/>
    </row>
    <row r="109" spans="2:50">
      <c r="B109" s="685"/>
      <c r="C109" s="497">
        <v>3</v>
      </c>
      <c r="D109" s="227"/>
      <c r="E109" s="182"/>
      <c r="F109" s="514"/>
      <c r="G109" s="515"/>
      <c r="H109" s="697"/>
      <c r="I109" s="498" t="e">
        <f t="shared" si="74"/>
        <v>#DIV/0!</v>
      </c>
      <c r="J109" s="498" t="e">
        <f t="shared" si="74"/>
        <v>#DIV/0!</v>
      </c>
      <c r="K109" s="499" t="e">
        <f t="shared" si="74"/>
        <v>#DIV/0!</v>
      </c>
      <c r="L109" s="634"/>
      <c r="M109" s="498" t="e">
        <f>RANK(K109, K$67:$K$81)</f>
        <v>#DIV/0!</v>
      </c>
      <c r="N109" s="652"/>
      <c r="O109" s="652"/>
      <c r="P109" s="497"/>
      <c r="Q109" s="498"/>
      <c r="R109" s="498"/>
      <c r="S109" s="497" t="e">
        <f t="shared" si="75"/>
        <v>#N/A</v>
      </c>
      <c r="T109" s="699"/>
      <c r="U109" s="519"/>
      <c r="V109" s="522"/>
      <c r="W109" s="522"/>
      <c r="X109" s="497" t="e">
        <f t="shared" si="76"/>
        <v>#N/A</v>
      </c>
      <c r="Y109" s="699"/>
      <c r="Z109" s="519"/>
      <c r="AA109" s="522"/>
      <c r="AB109" s="522"/>
      <c r="AC109" s="497" t="e">
        <f t="shared" si="77"/>
        <v>#N/A</v>
      </c>
      <c r="AD109" s="699"/>
      <c r="AE109" s="519"/>
      <c r="AF109" s="522"/>
      <c r="AG109" s="522"/>
      <c r="AH109" s="497" t="e">
        <f t="shared" si="78"/>
        <v>#N/A</v>
      </c>
      <c r="AI109" s="699"/>
      <c r="AJ109" s="519"/>
      <c r="AK109" s="522"/>
      <c r="AL109" s="522"/>
      <c r="AM109" s="497" t="e">
        <f t="shared" si="79"/>
        <v>#N/A</v>
      </c>
      <c r="AN109" s="699"/>
      <c r="AO109" s="519"/>
      <c r="AP109" s="522"/>
      <c r="AQ109" s="522"/>
      <c r="AR109" s="497" t="e">
        <f t="shared" si="80"/>
        <v>#N/A</v>
      </c>
      <c r="AS109" s="699"/>
      <c r="AT109" s="514"/>
      <c r="AU109" s="182"/>
      <c r="AV109" s="515"/>
      <c r="AW109" s="497" t="e">
        <f t="shared" si="81"/>
        <v>#N/A</v>
      </c>
      <c r="AX109" s="699"/>
    </row>
    <row r="110" spans="2:50">
      <c r="B110" s="685"/>
      <c r="C110" s="497">
        <v>4</v>
      </c>
      <c r="D110" s="227"/>
      <c r="E110" s="182"/>
      <c r="F110" s="514"/>
      <c r="G110" s="515"/>
      <c r="H110" s="697"/>
      <c r="I110" s="498" t="e">
        <f t="shared" si="74"/>
        <v>#DIV/0!</v>
      </c>
      <c r="J110" s="498" t="e">
        <f t="shared" si="74"/>
        <v>#DIV/0!</v>
      </c>
      <c r="K110" s="499" t="e">
        <f t="shared" si="74"/>
        <v>#DIV/0!</v>
      </c>
      <c r="L110" s="634"/>
      <c r="M110" s="498" t="e">
        <f>RANK(K110, K$67:$K$81)</f>
        <v>#DIV/0!</v>
      </c>
      <c r="N110" s="652"/>
      <c r="O110" s="652"/>
      <c r="P110" s="497"/>
      <c r="Q110" s="498"/>
      <c r="R110" s="498"/>
      <c r="S110" s="497" t="e">
        <f t="shared" si="75"/>
        <v>#N/A</v>
      </c>
      <c r="T110" s="699"/>
      <c r="U110" s="519"/>
      <c r="V110" s="522"/>
      <c r="W110" s="522"/>
      <c r="X110" s="497" t="e">
        <f t="shared" si="76"/>
        <v>#N/A</v>
      </c>
      <c r="Y110" s="699"/>
      <c r="Z110" s="519"/>
      <c r="AA110" s="522"/>
      <c r="AB110" s="522"/>
      <c r="AC110" s="497" t="e">
        <f t="shared" si="77"/>
        <v>#N/A</v>
      </c>
      <c r="AD110" s="699"/>
      <c r="AE110" s="519"/>
      <c r="AF110" s="522"/>
      <c r="AG110" s="522"/>
      <c r="AH110" s="497" t="e">
        <f t="shared" si="78"/>
        <v>#N/A</v>
      </c>
      <c r="AI110" s="699"/>
      <c r="AJ110" s="519"/>
      <c r="AK110" s="522"/>
      <c r="AL110" s="522"/>
      <c r="AM110" s="497" t="e">
        <f t="shared" si="79"/>
        <v>#N/A</v>
      </c>
      <c r="AN110" s="699"/>
      <c r="AO110" s="519"/>
      <c r="AP110" s="522"/>
      <c r="AQ110" s="522"/>
      <c r="AR110" s="497" t="e">
        <f t="shared" si="80"/>
        <v>#N/A</v>
      </c>
      <c r="AS110" s="699"/>
      <c r="AT110" s="514"/>
      <c r="AU110" s="182"/>
      <c r="AV110" s="515"/>
      <c r="AW110" s="497" t="e">
        <f t="shared" si="81"/>
        <v>#N/A</v>
      </c>
      <c r="AX110" s="699"/>
    </row>
    <row r="111" spans="2:50">
      <c r="B111" s="685"/>
      <c r="C111" s="497">
        <v>5</v>
      </c>
      <c r="D111" s="227"/>
      <c r="E111" s="182"/>
      <c r="F111" s="514"/>
      <c r="G111" s="515"/>
      <c r="H111" s="697"/>
      <c r="I111" s="498" t="e">
        <f t="shared" si="74"/>
        <v>#DIV/0!</v>
      </c>
      <c r="J111" s="498" t="e">
        <f t="shared" si="74"/>
        <v>#DIV/0!</v>
      </c>
      <c r="K111" s="499" t="e">
        <f t="shared" si="74"/>
        <v>#DIV/0!</v>
      </c>
      <c r="L111" s="634"/>
      <c r="M111" s="498" t="e">
        <f>RANK(K111, K$67:$K$81)</f>
        <v>#DIV/0!</v>
      </c>
      <c r="N111" s="652"/>
      <c r="O111" s="652"/>
      <c r="P111" s="497"/>
      <c r="Q111" s="498"/>
      <c r="R111" s="498"/>
      <c r="S111" s="497" t="e">
        <f t="shared" si="75"/>
        <v>#N/A</v>
      </c>
      <c r="T111" s="699"/>
      <c r="U111" s="519"/>
      <c r="V111" s="522"/>
      <c r="W111" s="522"/>
      <c r="X111" s="497" t="e">
        <f t="shared" si="76"/>
        <v>#N/A</v>
      </c>
      <c r="Y111" s="699"/>
      <c r="Z111" s="519"/>
      <c r="AA111" s="522"/>
      <c r="AB111" s="522"/>
      <c r="AC111" s="497" t="e">
        <f t="shared" si="77"/>
        <v>#N/A</v>
      </c>
      <c r="AD111" s="699"/>
      <c r="AE111" s="519"/>
      <c r="AF111" s="522"/>
      <c r="AG111" s="522"/>
      <c r="AH111" s="497" t="e">
        <f t="shared" si="78"/>
        <v>#N/A</v>
      </c>
      <c r="AI111" s="699"/>
      <c r="AJ111" s="519"/>
      <c r="AK111" s="522"/>
      <c r="AL111" s="522"/>
      <c r="AM111" s="497" t="e">
        <f t="shared" si="79"/>
        <v>#N/A</v>
      </c>
      <c r="AN111" s="699"/>
      <c r="AO111" s="519"/>
      <c r="AP111" s="522"/>
      <c r="AQ111" s="522"/>
      <c r="AR111" s="497" t="e">
        <f t="shared" si="80"/>
        <v>#N/A</v>
      </c>
      <c r="AS111" s="699"/>
      <c r="AT111" s="514"/>
      <c r="AU111" s="182"/>
      <c r="AV111" s="515"/>
      <c r="AW111" s="497" t="e">
        <f t="shared" si="81"/>
        <v>#N/A</v>
      </c>
      <c r="AX111" s="699"/>
    </row>
    <row r="112" spans="2:50">
      <c r="B112" s="685"/>
      <c r="C112" s="497">
        <v>6</v>
      </c>
      <c r="D112" s="227"/>
      <c r="E112" s="182"/>
      <c r="F112" s="514"/>
      <c r="G112" s="515"/>
      <c r="H112" s="697"/>
      <c r="I112" s="498" t="e">
        <f t="shared" si="74"/>
        <v>#DIV/0!</v>
      </c>
      <c r="J112" s="498" t="e">
        <f t="shared" si="74"/>
        <v>#DIV/0!</v>
      </c>
      <c r="K112" s="499" t="e">
        <f t="shared" si="74"/>
        <v>#DIV/0!</v>
      </c>
      <c r="L112" s="634"/>
      <c r="M112" s="498" t="e">
        <f>RANK(K112, K$67:$K$81)</f>
        <v>#DIV/0!</v>
      </c>
      <c r="N112" s="652"/>
      <c r="O112" s="652"/>
      <c r="P112" s="497"/>
      <c r="Q112" s="498"/>
      <c r="R112" s="498"/>
      <c r="S112" s="497" t="e">
        <f t="shared" si="75"/>
        <v>#N/A</v>
      </c>
      <c r="T112" s="699"/>
      <c r="U112" s="519"/>
      <c r="V112" s="522"/>
      <c r="W112" s="522"/>
      <c r="X112" s="497" t="e">
        <f t="shared" si="76"/>
        <v>#N/A</v>
      </c>
      <c r="Y112" s="699"/>
      <c r="Z112" s="519"/>
      <c r="AA112" s="522"/>
      <c r="AB112" s="522"/>
      <c r="AC112" s="497" t="e">
        <f t="shared" si="77"/>
        <v>#N/A</v>
      </c>
      <c r="AD112" s="699"/>
      <c r="AE112" s="519"/>
      <c r="AF112" s="522"/>
      <c r="AG112" s="522"/>
      <c r="AH112" s="497" t="e">
        <f t="shared" si="78"/>
        <v>#N/A</v>
      </c>
      <c r="AI112" s="699"/>
      <c r="AJ112" s="519"/>
      <c r="AK112" s="522"/>
      <c r="AL112" s="522"/>
      <c r="AM112" s="497" t="e">
        <f t="shared" si="79"/>
        <v>#N/A</v>
      </c>
      <c r="AN112" s="699"/>
      <c r="AO112" s="519"/>
      <c r="AP112" s="522"/>
      <c r="AQ112" s="522"/>
      <c r="AR112" s="497" t="e">
        <f t="shared" si="80"/>
        <v>#N/A</v>
      </c>
      <c r="AS112" s="699"/>
      <c r="AT112" s="514"/>
      <c r="AU112" s="182"/>
      <c r="AV112" s="515"/>
      <c r="AW112" s="497" t="e">
        <f t="shared" si="81"/>
        <v>#N/A</v>
      </c>
      <c r="AX112" s="699"/>
    </row>
    <row r="113" spans="2:50">
      <c r="B113" s="685"/>
      <c r="C113" s="497">
        <v>7</v>
      </c>
      <c r="D113" s="227"/>
      <c r="E113" s="182"/>
      <c r="F113" s="514"/>
      <c r="G113" s="515"/>
      <c r="H113" s="697"/>
      <c r="I113" s="498" t="e">
        <f t="shared" si="74"/>
        <v>#DIV/0!</v>
      </c>
      <c r="J113" s="498" t="e">
        <f t="shared" si="74"/>
        <v>#DIV/0!</v>
      </c>
      <c r="K113" s="499" t="e">
        <f t="shared" si="74"/>
        <v>#DIV/0!</v>
      </c>
      <c r="L113" s="634"/>
      <c r="M113" s="498" t="e">
        <f>RANK(K113, K$67:$K$81)</f>
        <v>#DIV/0!</v>
      </c>
      <c r="N113" s="652"/>
      <c r="O113" s="652"/>
      <c r="P113" s="497"/>
      <c r="Q113" s="498"/>
      <c r="R113" s="498"/>
      <c r="S113" s="497" t="e">
        <f t="shared" si="75"/>
        <v>#N/A</v>
      </c>
      <c r="T113" s="699"/>
      <c r="U113" s="519"/>
      <c r="V113" s="522"/>
      <c r="W113" s="522"/>
      <c r="X113" s="497" t="e">
        <f t="shared" si="76"/>
        <v>#N/A</v>
      </c>
      <c r="Y113" s="699"/>
      <c r="Z113" s="519"/>
      <c r="AA113" s="522"/>
      <c r="AB113" s="522"/>
      <c r="AC113" s="497" t="e">
        <f t="shared" si="77"/>
        <v>#N/A</v>
      </c>
      <c r="AD113" s="699"/>
      <c r="AE113" s="519"/>
      <c r="AF113" s="522"/>
      <c r="AG113" s="522"/>
      <c r="AH113" s="497" t="e">
        <f t="shared" si="78"/>
        <v>#N/A</v>
      </c>
      <c r="AI113" s="699"/>
      <c r="AJ113" s="519"/>
      <c r="AK113" s="522"/>
      <c r="AL113" s="522"/>
      <c r="AM113" s="497" t="e">
        <f t="shared" si="79"/>
        <v>#N/A</v>
      </c>
      <c r="AN113" s="699"/>
      <c r="AO113" s="519"/>
      <c r="AP113" s="522"/>
      <c r="AQ113" s="522"/>
      <c r="AR113" s="497" t="e">
        <f t="shared" si="80"/>
        <v>#N/A</v>
      </c>
      <c r="AS113" s="699"/>
      <c r="AT113" s="514"/>
      <c r="AU113" s="182"/>
      <c r="AV113" s="515"/>
      <c r="AW113" s="497" t="e">
        <f t="shared" si="81"/>
        <v>#N/A</v>
      </c>
      <c r="AX113" s="699"/>
    </row>
    <row r="114" spans="2:50">
      <c r="B114" s="685"/>
      <c r="C114" s="497">
        <v>8</v>
      </c>
      <c r="D114" s="227"/>
      <c r="E114" s="182"/>
      <c r="F114" s="514"/>
      <c r="G114" s="515"/>
      <c r="H114" s="697"/>
      <c r="I114" s="498" t="e">
        <f t="shared" si="74"/>
        <v>#DIV/0!</v>
      </c>
      <c r="J114" s="498" t="e">
        <f t="shared" si="74"/>
        <v>#DIV/0!</v>
      </c>
      <c r="K114" s="499" t="e">
        <f t="shared" si="74"/>
        <v>#DIV/0!</v>
      </c>
      <c r="L114" s="634"/>
      <c r="M114" s="498" t="e">
        <f>RANK(K114, K$67:$K$81)</f>
        <v>#DIV/0!</v>
      </c>
      <c r="N114" s="652"/>
      <c r="O114" s="652"/>
      <c r="P114" s="497"/>
      <c r="Q114" s="498"/>
      <c r="R114" s="498"/>
      <c r="S114" s="497" t="e">
        <f t="shared" si="75"/>
        <v>#N/A</v>
      </c>
      <c r="T114" s="699"/>
      <c r="U114" s="519"/>
      <c r="V114" s="522"/>
      <c r="W114" s="522"/>
      <c r="X114" s="497" t="e">
        <f t="shared" si="76"/>
        <v>#N/A</v>
      </c>
      <c r="Y114" s="699"/>
      <c r="Z114" s="519"/>
      <c r="AA114" s="522"/>
      <c r="AB114" s="522"/>
      <c r="AC114" s="497" t="e">
        <f t="shared" si="77"/>
        <v>#N/A</v>
      </c>
      <c r="AD114" s="699"/>
      <c r="AE114" s="519"/>
      <c r="AF114" s="522"/>
      <c r="AG114" s="522"/>
      <c r="AH114" s="497" t="e">
        <f t="shared" si="78"/>
        <v>#N/A</v>
      </c>
      <c r="AI114" s="699"/>
      <c r="AJ114" s="519"/>
      <c r="AK114" s="522"/>
      <c r="AL114" s="522"/>
      <c r="AM114" s="497" t="e">
        <f t="shared" si="79"/>
        <v>#N/A</v>
      </c>
      <c r="AN114" s="699"/>
      <c r="AO114" s="519"/>
      <c r="AP114" s="522"/>
      <c r="AQ114" s="522"/>
      <c r="AR114" s="497" t="e">
        <f t="shared" si="80"/>
        <v>#N/A</v>
      </c>
      <c r="AS114" s="699"/>
      <c r="AT114" s="514"/>
      <c r="AU114" s="182"/>
      <c r="AV114" s="515"/>
      <c r="AW114" s="497" t="e">
        <f t="shared" si="81"/>
        <v>#N/A</v>
      </c>
      <c r="AX114" s="699"/>
    </row>
    <row r="115" spans="2:50">
      <c r="B115" s="685"/>
      <c r="C115" s="497">
        <v>9</v>
      </c>
      <c r="D115" s="227"/>
      <c r="E115" s="182"/>
      <c r="F115" s="514"/>
      <c r="G115" s="515"/>
      <c r="H115" s="697"/>
      <c r="I115" s="498"/>
      <c r="J115" s="498"/>
      <c r="K115" s="499"/>
      <c r="L115" s="634"/>
      <c r="M115" s="498" t="e">
        <f>RANK(K115, K$67:$K$81)</f>
        <v>#DIV/0!</v>
      </c>
      <c r="N115" s="652"/>
      <c r="O115" s="652"/>
      <c r="P115" s="497"/>
      <c r="Q115" s="498"/>
      <c r="R115" s="498"/>
      <c r="S115" s="497" t="e">
        <f t="shared" si="75"/>
        <v>#N/A</v>
      </c>
      <c r="T115" s="699"/>
      <c r="U115" s="519"/>
      <c r="V115" s="522"/>
      <c r="W115" s="522"/>
      <c r="X115" s="497" t="e">
        <f t="shared" si="76"/>
        <v>#N/A</v>
      </c>
      <c r="Y115" s="699"/>
      <c r="Z115" s="519"/>
      <c r="AA115" s="522"/>
      <c r="AB115" s="522"/>
      <c r="AC115" s="497" t="e">
        <f t="shared" si="77"/>
        <v>#N/A</v>
      </c>
      <c r="AD115" s="699"/>
      <c r="AE115" s="519"/>
      <c r="AF115" s="522"/>
      <c r="AG115" s="522"/>
      <c r="AH115" s="497" t="e">
        <f t="shared" si="78"/>
        <v>#N/A</v>
      </c>
      <c r="AI115" s="699"/>
      <c r="AJ115" s="519"/>
      <c r="AK115" s="522"/>
      <c r="AL115" s="522"/>
      <c r="AM115" s="497" t="e">
        <f t="shared" si="79"/>
        <v>#N/A</v>
      </c>
      <c r="AN115" s="699"/>
      <c r="AO115" s="519"/>
      <c r="AP115" s="522"/>
      <c r="AQ115" s="522"/>
      <c r="AR115" s="497" t="e">
        <f t="shared" si="80"/>
        <v>#N/A</v>
      </c>
      <c r="AS115" s="699"/>
      <c r="AT115" s="514"/>
      <c r="AU115" s="182"/>
      <c r="AV115" s="515"/>
      <c r="AW115" s="497" t="e">
        <f t="shared" si="81"/>
        <v>#N/A</v>
      </c>
      <c r="AX115" s="699"/>
    </row>
    <row r="116" spans="2:50">
      <c r="B116" s="685"/>
      <c r="C116" s="497">
        <v>10</v>
      </c>
      <c r="D116" s="227"/>
      <c r="E116" s="182"/>
      <c r="F116" s="514"/>
      <c r="G116" s="515"/>
      <c r="H116" s="697"/>
      <c r="I116" s="498"/>
      <c r="J116" s="498"/>
      <c r="K116" s="499"/>
      <c r="L116" s="634"/>
      <c r="M116" s="498" t="e">
        <f>RANK(K116, K$67:$K$81)</f>
        <v>#DIV/0!</v>
      </c>
      <c r="N116" s="652"/>
      <c r="O116" s="652"/>
      <c r="P116" s="497"/>
      <c r="Q116" s="498"/>
      <c r="R116" s="498"/>
      <c r="S116" s="497" t="e">
        <f t="shared" si="75"/>
        <v>#N/A</v>
      </c>
      <c r="T116" s="699"/>
      <c r="U116" s="519"/>
      <c r="V116" s="522"/>
      <c r="W116" s="522"/>
      <c r="X116" s="497" t="e">
        <f t="shared" si="76"/>
        <v>#N/A</v>
      </c>
      <c r="Y116" s="699"/>
      <c r="Z116" s="519"/>
      <c r="AA116" s="522"/>
      <c r="AB116" s="522"/>
      <c r="AC116" s="497" t="e">
        <f t="shared" si="77"/>
        <v>#N/A</v>
      </c>
      <c r="AD116" s="699"/>
      <c r="AE116" s="519"/>
      <c r="AF116" s="522"/>
      <c r="AG116" s="522"/>
      <c r="AH116" s="497" t="e">
        <f t="shared" si="78"/>
        <v>#N/A</v>
      </c>
      <c r="AI116" s="699"/>
      <c r="AJ116" s="519"/>
      <c r="AK116" s="522"/>
      <c r="AL116" s="522"/>
      <c r="AM116" s="497" t="e">
        <f t="shared" si="79"/>
        <v>#N/A</v>
      </c>
      <c r="AN116" s="699"/>
      <c r="AO116" s="519"/>
      <c r="AP116" s="522"/>
      <c r="AQ116" s="522"/>
      <c r="AR116" s="497" t="e">
        <f t="shared" si="80"/>
        <v>#N/A</v>
      </c>
      <c r="AS116" s="699"/>
      <c r="AT116" s="514"/>
      <c r="AU116" s="182"/>
      <c r="AV116" s="515"/>
      <c r="AW116" s="497" t="e">
        <f t="shared" si="81"/>
        <v>#N/A</v>
      </c>
      <c r="AX116" s="699"/>
    </row>
    <row r="117" spans="2:50">
      <c r="B117" s="685"/>
      <c r="C117" s="497">
        <v>11</v>
      </c>
      <c r="D117" s="227"/>
      <c r="E117" s="182"/>
      <c r="F117" s="514"/>
      <c r="G117" s="515"/>
      <c r="H117" s="697"/>
      <c r="I117" s="497"/>
      <c r="J117" s="497"/>
      <c r="K117" s="497"/>
      <c r="L117" s="634"/>
      <c r="M117" s="498" t="e">
        <f>RANK(K117, K$67:$K$81)</f>
        <v>#DIV/0!</v>
      </c>
      <c r="N117" s="652"/>
      <c r="O117" s="652"/>
      <c r="P117" s="497"/>
      <c r="Q117" s="498"/>
      <c r="R117" s="498"/>
      <c r="S117" s="497" t="e">
        <f t="shared" si="75"/>
        <v>#N/A</v>
      </c>
      <c r="T117" s="699"/>
      <c r="U117" s="519"/>
      <c r="V117" s="522"/>
      <c r="W117" s="522"/>
      <c r="X117" s="497" t="e">
        <f t="shared" si="76"/>
        <v>#N/A</v>
      </c>
      <c r="Y117" s="699"/>
      <c r="Z117" s="519"/>
      <c r="AA117" s="522"/>
      <c r="AB117" s="522"/>
      <c r="AC117" s="497" t="e">
        <f t="shared" si="77"/>
        <v>#N/A</v>
      </c>
      <c r="AD117" s="699"/>
      <c r="AE117" s="519"/>
      <c r="AF117" s="522"/>
      <c r="AG117" s="522"/>
      <c r="AH117" s="497" t="e">
        <f t="shared" si="78"/>
        <v>#N/A</v>
      </c>
      <c r="AI117" s="699"/>
      <c r="AJ117" s="519"/>
      <c r="AK117" s="522"/>
      <c r="AL117" s="522"/>
      <c r="AM117" s="497" t="e">
        <f t="shared" si="79"/>
        <v>#N/A</v>
      </c>
      <c r="AN117" s="699"/>
      <c r="AO117" s="519"/>
      <c r="AP117" s="522"/>
      <c r="AQ117" s="522"/>
      <c r="AR117" s="497" t="e">
        <f t="shared" si="80"/>
        <v>#N/A</v>
      </c>
      <c r="AS117" s="699"/>
      <c r="AT117" s="514"/>
      <c r="AU117" s="182"/>
      <c r="AV117" s="515"/>
      <c r="AW117" s="497" t="e">
        <f t="shared" si="81"/>
        <v>#N/A</v>
      </c>
      <c r="AX117" s="699"/>
    </row>
    <row r="118" spans="2:50">
      <c r="B118" s="685"/>
      <c r="C118" s="497">
        <v>12</v>
      </c>
      <c r="D118" s="227"/>
      <c r="E118" s="182"/>
      <c r="F118" s="514"/>
      <c r="G118" s="515"/>
      <c r="H118" s="697"/>
      <c r="I118" s="497"/>
      <c r="J118" s="497"/>
      <c r="K118" s="497"/>
      <c r="L118" s="634"/>
      <c r="M118" s="498" t="e">
        <f>RANK(K118, K$67:$K$81)</f>
        <v>#DIV/0!</v>
      </c>
      <c r="N118" s="652"/>
      <c r="O118" s="652"/>
      <c r="P118" s="497"/>
      <c r="Q118" s="498"/>
      <c r="R118" s="498"/>
      <c r="S118" s="497" t="e">
        <f t="shared" si="75"/>
        <v>#N/A</v>
      </c>
      <c r="T118" s="699"/>
      <c r="U118" s="519"/>
      <c r="V118" s="522"/>
      <c r="W118" s="522"/>
      <c r="X118" s="497" t="e">
        <f t="shared" si="76"/>
        <v>#N/A</v>
      </c>
      <c r="Y118" s="699"/>
      <c r="Z118" s="519"/>
      <c r="AA118" s="522"/>
      <c r="AB118" s="522"/>
      <c r="AC118" s="497" t="e">
        <f t="shared" si="77"/>
        <v>#N/A</v>
      </c>
      <c r="AD118" s="699"/>
      <c r="AE118" s="519"/>
      <c r="AF118" s="522"/>
      <c r="AG118" s="522"/>
      <c r="AH118" s="497" t="e">
        <f t="shared" si="78"/>
        <v>#N/A</v>
      </c>
      <c r="AI118" s="699"/>
      <c r="AJ118" s="519"/>
      <c r="AK118" s="522"/>
      <c r="AL118" s="522"/>
      <c r="AM118" s="497" t="e">
        <f t="shared" si="79"/>
        <v>#N/A</v>
      </c>
      <c r="AN118" s="699"/>
      <c r="AO118" s="519"/>
      <c r="AP118" s="522"/>
      <c r="AQ118" s="522"/>
      <c r="AR118" s="497" t="e">
        <f t="shared" si="80"/>
        <v>#N/A</v>
      </c>
      <c r="AS118" s="699"/>
      <c r="AT118" s="514"/>
      <c r="AU118" s="182"/>
      <c r="AV118" s="515"/>
      <c r="AW118" s="497" t="e">
        <f t="shared" si="81"/>
        <v>#N/A</v>
      </c>
      <c r="AX118" s="699"/>
    </row>
    <row r="119" spans="2:50">
      <c r="B119" s="685"/>
      <c r="C119" s="497">
        <v>13</v>
      </c>
      <c r="D119" s="227"/>
      <c r="E119" s="182"/>
      <c r="F119" s="514"/>
      <c r="G119" s="515"/>
      <c r="H119" s="697"/>
      <c r="I119" s="497"/>
      <c r="J119" s="497"/>
      <c r="K119" s="497"/>
      <c r="L119" s="634"/>
      <c r="M119" s="498" t="e">
        <f>RANK(K119, K$67:$K$81)</f>
        <v>#DIV/0!</v>
      </c>
      <c r="N119" s="652"/>
      <c r="O119" s="652"/>
      <c r="P119" s="497"/>
      <c r="Q119" s="498"/>
      <c r="R119" s="498"/>
      <c r="S119" s="497" t="e">
        <f t="shared" si="75"/>
        <v>#N/A</v>
      </c>
      <c r="T119" s="699"/>
      <c r="U119" s="519"/>
      <c r="V119" s="522"/>
      <c r="W119" s="522"/>
      <c r="X119" s="497" t="e">
        <f t="shared" si="76"/>
        <v>#N/A</v>
      </c>
      <c r="Y119" s="699"/>
      <c r="Z119" s="519"/>
      <c r="AA119" s="522"/>
      <c r="AB119" s="522"/>
      <c r="AC119" s="497" t="e">
        <f t="shared" si="77"/>
        <v>#N/A</v>
      </c>
      <c r="AD119" s="699"/>
      <c r="AE119" s="519"/>
      <c r="AF119" s="522"/>
      <c r="AG119" s="522"/>
      <c r="AH119" s="497" t="e">
        <f t="shared" si="78"/>
        <v>#N/A</v>
      </c>
      <c r="AI119" s="699"/>
      <c r="AJ119" s="519"/>
      <c r="AK119" s="522"/>
      <c r="AL119" s="522"/>
      <c r="AM119" s="497" t="e">
        <f t="shared" si="79"/>
        <v>#N/A</v>
      </c>
      <c r="AN119" s="699"/>
      <c r="AO119" s="519"/>
      <c r="AP119" s="522"/>
      <c r="AQ119" s="522"/>
      <c r="AR119" s="497" t="e">
        <f t="shared" si="80"/>
        <v>#N/A</v>
      </c>
      <c r="AS119" s="699"/>
      <c r="AT119" s="514"/>
      <c r="AU119" s="182"/>
      <c r="AV119" s="515"/>
      <c r="AW119" s="497" t="e">
        <f t="shared" si="81"/>
        <v>#N/A</v>
      </c>
      <c r="AX119" s="699"/>
    </row>
    <row r="120" spans="2:50">
      <c r="B120" s="685"/>
      <c r="C120" s="497">
        <v>14</v>
      </c>
      <c r="D120" s="227"/>
      <c r="E120" s="182"/>
      <c r="F120" s="514"/>
      <c r="G120" s="515"/>
      <c r="H120" s="697"/>
      <c r="I120" s="497"/>
      <c r="J120" s="497"/>
      <c r="K120" s="497"/>
      <c r="L120" s="634"/>
      <c r="M120" s="498" t="e">
        <f>RANK(K120, K$67:$K$81)</f>
        <v>#DIV/0!</v>
      </c>
      <c r="N120" s="652"/>
      <c r="O120" s="652"/>
      <c r="P120" s="497"/>
      <c r="Q120" s="498"/>
      <c r="R120" s="498"/>
      <c r="S120" s="497" t="e">
        <f t="shared" si="75"/>
        <v>#N/A</v>
      </c>
      <c r="T120" s="699"/>
      <c r="U120" s="519"/>
      <c r="V120" s="522"/>
      <c r="W120" s="522"/>
      <c r="X120" s="497" t="e">
        <f t="shared" si="76"/>
        <v>#N/A</v>
      </c>
      <c r="Y120" s="699"/>
      <c r="Z120" s="519"/>
      <c r="AA120" s="522"/>
      <c r="AB120" s="522"/>
      <c r="AC120" s="497" t="e">
        <f t="shared" si="77"/>
        <v>#N/A</v>
      </c>
      <c r="AD120" s="699"/>
      <c r="AE120" s="519"/>
      <c r="AF120" s="522"/>
      <c r="AG120" s="522"/>
      <c r="AH120" s="497" t="e">
        <f t="shared" si="78"/>
        <v>#N/A</v>
      </c>
      <c r="AI120" s="699"/>
      <c r="AJ120" s="519"/>
      <c r="AK120" s="522"/>
      <c r="AL120" s="522"/>
      <c r="AM120" s="497" t="e">
        <f t="shared" si="79"/>
        <v>#N/A</v>
      </c>
      <c r="AN120" s="699"/>
      <c r="AO120" s="519"/>
      <c r="AP120" s="522"/>
      <c r="AQ120" s="522"/>
      <c r="AR120" s="497" t="e">
        <f t="shared" si="80"/>
        <v>#N/A</v>
      </c>
      <c r="AS120" s="699"/>
      <c r="AT120" s="514"/>
      <c r="AU120" s="182"/>
      <c r="AV120" s="515"/>
      <c r="AW120" s="497" t="e">
        <f t="shared" si="81"/>
        <v>#N/A</v>
      </c>
      <c r="AX120" s="699"/>
    </row>
    <row r="121" spans="2:50">
      <c r="B121" s="685"/>
      <c r="C121" s="497">
        <v>15</v>
      </c>
      <c r="D121" s="227"/>
      <c r="E121" s="182"/>
      <c r="F121" s="514"/>
      <c r="G121" s="515"/>
      <c r="H121" s="709"/>
      <c r="I121" s="497"/>
      <c r="J121" s="497"/>
      <c r="K121" s="497"/>
      <c r="L121" s="635"/>
      <c r="M121" s="498" t="e">
        <f>RANK(K121, K$47:$K$61)</f>
        <v>#N/A</v>
      </c>
      <c r="N121" s="652"/>
      <c r="O121" s="652"/>
      <c r="P121" s="497"/>
      <c r="Q121" s="498"/>
      <c r="R121" s="498"/>
      <c r="S121" s="497" t="e">
        <f t="shared" si="75"/>
        <v>#N/A</v>
      </c>
      <c r="T121" s="699"/>
      <c r="U121" s="519"/>
      <c r="V121" s="522"/>
      <c r="W121" s="522"/>
      <c r="X121" s="497" t="e">
        <f t="shared" si="76"/>
        <v>#N/A</v>
      </c>
      <c r="Y121" s="699"/>
      <c r="Z121" s="519"/>
      <c r="AA121" s="522"/>
      <c r="AB121" s="522"/>
      <c r="AC121" s="497" t="e">
        <f t="shared" si="77"/>
        <v>#N/A</v>
      </c>
      <c r="AD121" s="699"/>
      <c r="AE121" s="519"/>
      <c r="AF121" s="522"/>
      <c r="AG121" s="522"/>
      <c r="AH121" s="497" t="e">
        <f t="shared" si="78"/>
        <v>#N/A</v>
      </c>
      <c r="AI121" s="699"/>
      <c r="AJ121" s="519"/>
      <c r="AK121" s="522"/>
      <c r="AL121" s="522"/>
      <c r="AM121" s="497" t="e">
        <f t="shared" si="79"/>
        <v>#N/A</v>
      </c>
      <c r="AN121" s="699"/>
      <c r="AO121" s="519"/>
      <c r="AP121" s="522"/>
      <c r="AQ121" s="522"/>
      <c r="AR121" s="497" t="e">
        <f t="shared" si="80"/>
        <v>#N/A</v>
      </c>
      <c r="AS121" s="699"/>
      <c r="AT121" s="514"/>
      <c r="AU121" s="182"/>
      <c r="AV121" s="515"/>
      <c r="AW121" s="497" t="e">
        <f t="shared" si="81"/>
        <v>#N/A</v>
      </c>
      <c r="AX121" s="699"/>
    </row>
    <row r="123" spans="2:50" ht="15.75">
      <c r="B123" s="691" t="s">
        <v>674</v>
      </c>
      <c r="C123" s="692"/>
      <c r="D123" s="692"/>
      <c r="E123" s="692"/>
      <c r="F123" s="692"/>
      <c r="G123" s="692"/>
      <c r="H123" s="693"/>
      <c r="I123" s="348"/>
      <c r="J123" s="348"/>
      <c r="K123" s="348"/>
      <c r="L123" s="348"/>
      <c r="M123" s="349"/>
    </row>
    <row r="124" spans="2:50" ht="15.75">
      <c r="B124" s="694"/>
      <c r="C124" s="694"/>
      <c r="D124" s="694"/>
      <c r="E124" s="694"/>
      <c r="F124" s="694"/>
      <c r="G124" s="694"/>
      <c r="H124" s="694"/>
      <c r="I124" s="350"/>
      <c r="J124" s="350"/>
      <c r="K124" s="350"/>
      <c r="L124" s="350"/>
      <c r="M124" s="351"/>
    </row>
    <row r="125" spans="2:50">
      <c r="B125" s="652" t="s">
        <v>675</v>
      </c>
      <c r="C125" s="652" t="s">
        <v>676</v>
      </c>
      <c r="D125" s="652"/>
      <c r="E125" s="652" t="s">
        <v>677</v>
      </c>
      <c r="F125" s="652"/>
      <c r="G125" s="652"/>
      <c r="H125" s="668" t="s">
        <v>678</v>
      </c>
      <c r="I125" s="695" t="s">
        <v>679</v>
      </c>
      <c r="J125" s="695"/>
      <c r="K125" s="695"/>
      <c r="L125" s="716" t="s">
        <v>678</v>
      </c>
      <c r="M125" s="719" t="s">
        <v>680</v>
      </c>
    </row>
    <row r="126" spans="2:50">
      <c r="B126" s="652"/>
      <c r="C126" s="652"/>
      <c r="D126" s="652"/>
      <c r="E126" s="652" t="s">
        <v>681</v>
      </c>
      <c r="F126" s="652"/>
      <c r="G126" s="652"/>
      <c r="H126" s="669"/>
      <c r="I126" s="695" t="s">
        <v>681</v>
      </c>
      <c r="J126" s="695"/>
      <c r="K126" s="695"/>
      <c r="L126" s="717"/>
      <c r="M126" s="720"/>
    </row>
    <row r="127" spans="2:50">
      <c r="B127" s="652"/>
      <c r="C127" s="652"/>
      <c r="D127" s="652"/>
      <c r="E127" s="345" t="s">
        <v>682</v>
      </c>
      <c r="F127" s="345" t="s">
        <v>683</v>
      </c>
      <c r="G127" s="345" t="s">
        <v>684</v>
      </c>
      <c r="H127" s="670"/>
      <c r="I127" s="352" t="s">
        <v>682</v>
      </c>
      <c r="J127" s="352" t="s">
        <v>683</v>
      </c>
      <c r="K127" s="352" t="s">
        <v>684</v>
      </c>
      <c r="L127" s="718"/>
      <c r="M127" s="721"/>
    </row>
    <row r="128" spans="2:50">
      <c r="B128" s="652" t="s">
        <v>692</v>
      </c>
      <c r="C128" s="344">
        <v>1</v>
      </c>
      <c r="D128" s="227"/>
      <c r="E128" s="182"/>
      <c r="F128" s="344"/>
      <c r="G128" s="347"/>
      <c r="H128" s="701" t="e">
        <f>AVERAGE(G128:G142)</f>
        <v>#DIV/0!</v>
      </c>
      <c r="I128" s="199" t="e">
        <f t="shared" ref="I128:J133" si="82">AVERAGEIF($D$7:$D$121,$D128,I$7:I$121)</f>
        <v>#DIV/0!</v>
      </c>
      <c r="J128" s="199" t="e">
        <f t="shared" si="82"/>
        <v>#DIV/0!</v>
      </c>
      <c r="K128" s="199" t="e">
        <f t="shared" ref="K128:K133" si="83">AVERAGEIF($D$7:$D$121,$D128,K$7:K$121)</f>
        <v>#DIV/0!</v>
      </c>
      <c r="L128" s="713" t="e">
        <f>AVERAGE(K128:K142)</f>
        <v>#DIV/0!</v>
      </c>
      <c r="M128" s="199" t="e">
        <f>RANK(K128, K$128:$K$142)</f>
        <v>#DIV/0!</v>
      </c>
    </row>
    <row r="129" spans="2:13">
      <c r="B129" s="660"/>
      <c r="C129" s="344">
        <v>2</v>
      </c>
      <c r="D129" s="227"/>
      <c r="E129" s="182"/>
      <c r="F129" s="344"/>
      <c r="G129" s="347"/>
      <c r="H129" s="702"/>
      <c r="I129" s="199" t="e">
        <f t="shared" si="82"/>
        <v>#DIV/0!</v>
      </c>
      <c r="J129" s="199" t="e">
        <f t="shared" si="82"/>
        <v>#DIV/0!</v>
      </c>
      <c r="K129" s="199" t="e">
        <f t="shared" si="83"/>
        <v>#DIV/0!</v>
      </c>
      <c r="L129" s="714"/>
      <c r="M129" s="199" t="e">
        <f>RANK(K129, K$128:$K$142)</f>
        <v>#DIV/0!</v>
      </c>
    </row>
    <row r="130" spans="2:13">
      <c r="B130" s="660"/>
      <c r="C130" s="344">
        <v>3</v>
      </c>
      <c r="D130" s="227"/>
      <c r="E130" s="182"/>
      <c r="F130" s="344"/>
      <c r="G130" s="347"/>
      <c r="H130" s="702"/>
      <c r="I130" s="199" t="e">
        <f t="shared" si="82"/>
        <v>#DIV/0!</v>
      </c>
      <c r="J130" s="199" t="e">
        <f t="shared" si="82"/>
        <v>#DIV/0!</v>
      </c>
      <c r="K130" s="199" t="e">
        <f t="shared" si="83"/>
        <v>#DIV/0!</v>
      </c>
      <c r="L130" s="714"/>
      <c r="M130" s="199" t="e">
        <f>RANK(K130, K$128:$K$142)</f>
        <v>#DIV/0!</v>
      </c>
    </row>
    <row r="131" spans="2:13">
      <c r="B131" s="660"/>
      <c r="C131" s="344">
        <v>4</v>
      </c>
      <c r="D131" s="227"/>
      <c r="E131" s="182"/>
      <c r="F131" s="344"/>
      <c r="G131" s="347"/>
      <c r="H131" s="702"/>
      <c r="I131" s="199" t="e">
        <f t="shared" si="82"/>
        <v>#DIV/0!</v>
      </c>
      <c r="J131" s="199" t="e">
        <f t="shared" si="82"/>
        <v>#DIV/0!</v>
      </c>
      <c r="K131" s="199" t="e">
        <f t="shared" si="83"/>
        <v>#DIV/0!</v>
      </c>
      <c r="L131" s="714"/>
      <c r="M131" s="199" t="e">
        <f>RANK(K131, K$128:$K$142)</f>
        <v>#DIV/0!</v>
      </c>
    </row>
    <row r="132" spans="2:13">
      <c r="B132" s="660"/>
      <c r="C132" s="344">
        <v>5</v>
      </c>
      <c r="D132" s="227"/>
      <c r="E132" s="182"/>
      <c r="F132" s="344"/>
      <c r="G132" s="347"/>
      <c r="H132" s="702"/>
      <c r="I132" s="199" t="e">
        <f t="shared" si="82"/>
        <v>#DIV/0!</v>
      </c>
      <c r="J132" s="199" t="e">
        <f t="shared" si="82"/>
        <v>#DIV/0!</v>
      </c>
      <c r="K132" s="199" t="e">
        <f t="shared" si="83"/>
        <v>#DIV/0!</v>
      </c>
      <c r="L132" s="714"/>
      <c r="M132" s="199" t="e">
        <f>RANK(K132, K$128:$K$142)</f>
        <v>#DIV/0!</v>
      </c>
    </row>
    <row r="133" spans="2:13">
      <c r="B133" s="660"/>
      <c r="C133" s="344">
        <v>6</v>
      </c>
      <c r="D133" s="353"/>
      <c r="E133" s="182"/>
      <c r="F133" s="344"/>
      <c r="G133" s="347"/>
      <c r="H133" s="702"/>
      <c r="I133" s="199" t="e">
        <f t="shared" si="82"/>
        <v>#DIV/0!</v>
      </c>
      <c r="J133" s="199" t="e">
        <f t="shared" si="82"/>
        <v>#DIV/0!</v>
      </c>
      <c r="K133" s="199" t="e">
        <f t="shared" si="83"/>
        <v>#DIV/0!</v>
      </c>
      <c r="L133" s="714"/>
      <c r="M133" s="199" t="e">
        <f>RANK(K133, K$128:$K$142)</f>
        <v>#DIV/0!</v>
      </c>
    </row>
    <row r="134" spans="2:13">
      <c r="B134" s="660"/>
      <c r="C134" s="344">
        <v>7</v>
      </c>
      <c r="D134" s="227"/>
      <c r="E134" s="182"/>
      <c r="F134" s="344"/>
      <c r="G134" s="347"/>
      <c r="H134" s="702"/>
      <c r="I134" s="199"/>
      <c r="J134" s="199"/>
      <c r="K134" s="199"/>
      <c r="L134" s="714"/>
      <c r="M134" s="199" t="e">
        <f>RANK(K134, K$128:$K$142)</f>
        <v>#DIV/0!</v>
      </c>
    </row>
    <row r="135" spans="2:13">
      <c r="B135" s="660"/>
      <c r="C135" s="344">
        <v>8</v>
      </c>
      <c r="D135" s="227"/>
      <c r="E135" s="182"/>
      <c r="F135" s="344"/>
      <c r="G135" s="347"/>
      <c r="H135" s="702"/>
      <c r="I135" s="199"/>
      <c r="J135" s="199"/>
      <c r="K135" s="199"/>
      <c r="L135" s="714"/>
      <c r="M135" s="199" t="e">
        <f>RANK(K135, K$128:$K$142)</f>
        <v>#DIV/0!</v>
      </c>
    </row>
    <row r="136" spans="2:13">
      <c r="B136" s="660"/>
      <c r="C136" s="344">
        <v>9</v>
      </c>
      <c r="D136" s="227"/>
      <c r="E136" s="344"/>
      <c r="F136" s="344"/>
      <c r="G136" s="344"/>
      <c r="H136" s="702"/>
      <c r="I136" s="199"/>
      <c r="J136" s="199"/>
      <c r="K136" s="199"/>
      <c r="L136" s="714"/>
      <c r="M136" s="199" t="e">
        <f>RANK(K136, K$128:$K$142)</f>
        <v>#DIV/0!</v>
      </c>
    </row>
    <row r="137" spans="2:13">
      <c r="B137" s="660"/>
      <c r="C137" s="344">
        <v>10</v>
      </c>
      <c r="D137" s="227"/>
      <c r="E137" s="344"/>
      <c r="F137" s="344"/>
      <c r="G137" s="344"/>
      <c r="H137" s="702"/>
      <c r="I137" s="199"/>
      <c r="J137" s="199"/>
      <c r="K137" s="199"/>
      <c r="L137" s="714"/>
      <c r="M137" s="199" t="e">
        <f>RANK(K137, K$128:$K$142)</f>
        <v>#DIV/0!</v>
      </c>
    </row>
    <row r="138" spans="2:13">
      <c r="B138" s="660"/>
      <c r="C138" s="344">
        <v>11</v>
      </c>
      <c r="D138" s="227"/>
      <c r="E138" s="344"/>
      <c r="F138" s="344"/>
      <c r="G138" s="344"/>
      <c r="H138" s="702"/>
      <c r="I138" s="199"/>
      <c r="J138" s="199"/>
      <c r="K138" s="199"/>
      <c r="L138" s="714"/>
      <c r="M138" s="199" t="e">
        <f>RANK(K138, K$128:$K$142)</f>
        <v>#DIV/0!</v>
      </c>
    </row>
    <row r="139" spans="2:13">
      <c r="B139" s="660"/>
      <c r="C139" s="344">
        <v>12</v>
      </c>
      <c r="D139" s="227"/>
      <c r="E139" s="344"/>
      <c r="F139" s="344"/>
      <c r="G139" s="344"/>
      <c r="H139" s="702"/>
      <c r="I139" s="199"/>
      <c r="J139" s="199"/>
      <c r="K139" s="199"/>
      <c r="L139" s="714"/>
      <c r="M139" s="199" t="e">
        <f>RANK(K139, K$128:$K$142)</f>
        <v>#DIV/0!</v>
      </c>
    </row>
    <row r="140" spans="2:13">
      <c r="B140" s="660"/>
      <c r="C140" s="344">
        <v>13</v>
      </c>
      <c r="D140" s="227"/>
      <c r="E140" s="344"/>
      <c r="F140" s="344"/>
      <c r="G140" s="344"/>
      <c r="H140" s="702"/>
      <c r="I140" s="199"/>
      <c r="J140" s="199"/>
      <c r="K140" s="199"/>
      <c r="L140" s="714"/>
      <c r="M140" s="199" t="e">
        <f>RANK(K140, K$128:$K$142)</f>
        <v>#DIV/0!</v>
      </c>
    </row>
    <row r="141" spans="2:13">
      <c r="B141" s="660"/>
      <c r="C141" s="344">
        <v>14</v>
      </c>
      <c r="D141" s="227"/>
      <c r="E141" s="344"/>
      <c r="F141" s="344"/>
      <c r="G141" s="344"/>
      <c r="H141" s="702"/>
      <c r="I141" s="199"/>
      <c r="J141" s="199"/>
      <c r="K141" s="199"/>
      <c r="L141" s="714"/>
      <c r="M141" s="199" t="e">
        <f>RANK(K141, K$128:$K$142)</f>
        <v>#DIV/0!</v>
      </c>
    </row>
    <row r="142" spans="2:13">
      <c r="B142" s="660"/>
      <c r="C142" s="344">
        <v>15</v>
      </c>
      <c r="D142" s="227"/>
      <c r="E142" s="344"/>
      <c r="F142" s="344"/>
      <c r="G142" s="344"/>
      <c r="H142" s="703"/>
      <c r="I142" s="199"/>
      <c r="J142" s="199"/>
      <c r="K142" s="199"/>
      <c r="L142" s="715"/>
      <c r="M142" s="19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D8" sqref="D8:L24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605" t="s">
        <v>204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120"/>
    </row>
    <row r="2" spans="1:13" s="121" customFormat="1" ht="15.75" customHeight="1">
      <c r="A2" s="605"/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</row>
    <row r="3" spans="1:13" ht="15.75" customHeight="1">
      <c r="A3" s="750" t="s">
        <v>205</v>
      </c>
      <c r="B3" s="751"/>
      <c r="C3" s="751"/>
      <c r="D3" s="751"/>
      <c r="E3" s="751"/>
      <c r="F3" s="751"/>
      <c r="G3" s="751"/>
      <c r="H3" s="751"/>
      <c r="I3" s="751"/>
      <c r="J3" s="751"/>
      <c r="K3" s="751"/>
      <c r="L3" s="751"/>
      <c r="M3" s="152"/>
    </row>
    <row r="4" spans="1:13" s="121" customFormat="1" ht="15.75" customHeight="1">
      <c r="A4" s="751"/>
      <c r="B4" s="751"/>
      <c r="C4" s="751"/>
      <c r="D4" s="751"/>
      <c r="E4" s="751"/>
      <c r="F4" s="751"/>
      <c r="G4" s="751"/>
      <c r="H4" s="751"/>
      <c r="I4" s="751"/>
      <c r="J4" s="751"/>
      <c r="K4" s="751"/>
      <c r="L4" s="751"/>
      <c r="M4" s="131"/>
    </row>
    <row r="5" spans="1:13" s="154" customFormat="1" ht="16.350000000000001" customHeight="1">
      <c r="A5" s="729" t="s">
        <v>154</v>
      </c>
      <c r="B5" s="166">
        <v>1</v>
      </c>
      <c r="C5" s="16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50000000000001" customHeight="1">
      <c r="A6" s="729"/>
      <c r="B6" s="167" t="s">
        <v>206</v>
      </c>
      <c r="C6" s="16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32" t="s">
        <v>187</v>
      </c>
      <c r="B7" s="732"/>
      <c r="C7" s="493" t="s">
        <v>449</v>
      </c>
      <c r="D7" s="732" t="s">
        <v>12</v>
      </c>
      <c r="E7" s="735"/>
      <c r="F7" s="735"/>
      <c r="G7" s="493" t="s">
        <v>46</v>
      </c>
      <c r="H7" s="493" t="s">
        <v>769</v>
      </c>
      <c r="I7" s="493" t="s">
        <v>446</v>
      </c>
      <c r="J7" s="223" t="s">
        <v>447</v>
      </c>
      <c r="K7" s="732" t="s">
        <v>448</v>
      </c>
      <c r="L7" s="735"/>
      <c r="M7" s="153"/>
    </row>
    <row r="8" spans="1:13" ht="15.75" customHeight="1">
      <c r="A8" s="729">
        <v>1</v>
      </c>
      <c r="B8" s="732" t="s">
        <v>150</v>
      </c>
      <c r="C8" s="494">
        <v>1</v>
      </c>
      <c r="D8" s="529" t="s">
        <v>358</v>
      </c>
      <c r="E8" s="486"/>
      <c r="F8" s="487"/>
      <c r="G8" s="530">
        <v>3</v>
      </c>
      <c r="H8" s="530">
        <v>3211.908030073464</v>
      </c>
      <c r="I8" s="530">
        <v>1070.6360100244879</v>
      </c>
      <c r="J8" s="242" t="s">
        <v>995</v>
      </c>
      <c r="K8" s="737" t="s">
        <v>996</v>
      </c>
      <c r="L8" s="738"/>
      <c r="M8" s="131"/>
    </row>
    <row r="9" spans="1:13" ht="15.75" customHeight="1">
      <c r="A9" s="729"/>
      <c r="B9" s="732"/>
      <c r="C9" s="494">
        <v>2</v>
      </c>
      <c r="D9" s="529" t="s">
        <v>361</v>
      </c>
      <c r="E9" s="486"/>
      <c r="F9" s="487"/>
      <c r="G9" s="530">
        <v>3</v>
      </c>
      <c r="H9" s="530">
        <v>3198.6349411237848</v>
      </c>
      <c r="I9" s="530">
        <v>1066.2116470412616</v>
      </c>
      <c r="J9" s="242" t="s">
        <v>995</v>
      </c>
      <c r="K9" s="739"/>
      <c r="L9" s="740"/>
      <c r="M9" s="131"/>
    </row>
    <row r="10" spans="1:13" ht="15.75" customHeight="1">
      <c r="A10" s="729"/>
      <c r="B10" s="732"/>
      <c r="C10" s="494">
        <v>3</v>
      </c>
      <c r="D10" s="529" t="s">
        <v>364</v>
      </c>
      <c r="E10" s="486"/>
      <c r="F10" s="487"/>
      <c r="G10" s="530">
        <v>3</v>
      </c>
      <c r="H10" s="530">
        <v>3187.740616871049</v>
      </c>
      <c r="I10" s="530">
        <v>1062.580205623683</v>
      </c>
      <c r="J10" s="243" t="s">
        <v>997</v>
      </c>
      <c r="K10" s="739"/>
      <c r="L10" s="740"/>
      <c r="M10" s="131"/>
    </row>
    <row r="11" spans="1:13" ht="15.75" customHeight="1">
      <c r="A11" s="729"/>
      <c r="B11" s="732"/>
      <c r="C11" s="494">
        <v>4</v>
      </c>
      <c r="D11" s="529" t="s">
        <v>359</v>
      </c>
      <c r="E11" s="486"/>
      <c r="F11" s="487"/>
      <c r="G11" s="530">
        <v>3</v>
      </c>
      <c r="H11" s="530">
        <v>3068.080062794354</v>
      </c>
      <c r="I11" s="530">
        <v>1022.6933542647847</v>
      </c>
      <c r="J11" s="243" t="s">
        <v>997</v>
      </c>
      <c r="K11" s="741"/>
      <c r="L11" s="742"/>
      <c r="M11" s="131"/>
    </row>
    <row r="12" spans="1:13" ht="15.75" customHeight="1">
      <c r="A12" s="729"/>
      <c r="B12" s="732"/>
      <c r="C12" s="494">
        <v>5</v>
      </c>
      <c r="D12" s="529" t="s">
        <v>365</v>
      </c>
      <c r="E12" s="486"/>
      <c r="F12" s="487"/>
      <c r="G12" s="530">
        <v>3</v>
      </c>
      <c r="H12" s="530">
        <v>2847.6402669117001</v>
      </c>
      <c r="I12" s="530">
        <v>949.21342230389996</v>
      </c>
      <c r="J12" s="242" t="s">
        <v>995</v>
      </c>
      <c r="K12" s="736" t="s">
        <v>998</v>
      </c>
      <c r="L12" s="735"/>
      <c r="M12" s="131"/>
    </row>
    <row r="13" spans="1:13" ht="15.75" customHeight="1">
      <c r="A13" s="729"/>
      <c r="B13" s="732"/>
      <c r="C13" s="165" t="s">
        <v>450</v>
      </c>
      <c r="D13" s="529" t="s">
        <v>778</v>
      </c>
      <c r="E13" s="486"/>
      <c r="F13" s="487"/>
      <c r="G13" s="530">
        <v>8.5714285714285712</v>
      </c>
      <c r="H13" s="530">
        <v>1486.2649350649342</v>
      </c>
      <c r="I13" s="530">
        <v>175.72597402597395</v>
      </c>
      <c r="J13" s="241" t="s">
        <v>999</v>
      </c>
      <c r="K13" s="734"/>
      <c r="L13" s="735"/>
      <c r="M13" s="131"/>
    </row>
    <row r="14" spans="1:13" ht="15.75" customHeight="1">
      <c r="A14" s="729"/>
      <c r="B14" s="732"/>
      <c r="C14" s="165" t="s">
        <v>451</v>
      </c>
      <c r="D14" s="529" t="s">
        <v>369</v>
      </c>
      <c r="E14" s="486"/>
      <c r="F14" s="487"/>
      <c r="G14" s="530">
        <v>4</v>
      </c>
      <c r="H14" s="530">
        <v>1975.7142857142919</v>
      </c>
      <c r="I14" s="530">
        <v>493.92857142857298</v>
      </c>
      <c r="J14" s="243" t="s">
        <v>997</v>
      </c>
      <c r="K14" s="743" t="s">
        <v>1000</v>
      </c>
      <c r="L14" s="735"/>
      <c r="M14" s="131"/>
    </row>
    <row r="15" spans="1:13" ht="15.75" customHeight="1">
      <c r="A15" s="729"/>
      <c r="B15" s="732"/>
      <c r="C15" s="165" t="s">
        <v>505</v>
      </c>
      <c r="D15" s="529" t="s">
        <v>839</v>
      </c>
      <c r="E15" s="486"/>
      <c r="F15" s="487"/>
      <c r="G15" s="530">
        <v>4</v>
      </c>
      <c r="H15" s="530">
        <v>2201.1999999999971</v>
      </c>
      <c r="I15" s="530">
        <v>550.29999999999927</v>
      </c>
      <c r="J15" s="242" t="s">
        <v>995</v>
      </c>
      <c r="K15" s="744" t="s">
        <v>998</v>
      </c>
      <c r="L15" s="745"/>
      <c r="M15" s="131"/>
    </row>
    <row r="16" spans="1:13" ht="15.75" customHeight="1">
      <c r="A16" s="729"/>
      <c r="B16" s="732"/>
      <c r="C16" s="165" t="s">
        <v>453</v>
      </c>
      <c r="D16" s="529" t="s">
        <v>771</v>
      </c>
      <c r="E16" s="486"/>
      <c r="F16" s="487"/>
      <c r="G16" s="530">
        <v>4</v>
      </c>
      <c r="H16" s="530">
        <v>2763.5828395207291</v>
      </c>
      <c r="I16" s="530">
        <v>690.89570988018227</v>
      </c>
      <c r="J16" s="243" t="s">
        <v>997</v>
      </c>
      <c r="K16" s="746"/>
      <c r="L16" s="747"/>
      <c r="M16" s="152"/>
    </row>
    <row r="17" spans="1:13" ht="15.75" customHeight="1">
      <c r="A17" s="729"/>
      <c r="B17" s="732"/>
      <c r="C17" s="165" t="s">
        <v>506</v>
      </c>
      <c r="D17" s="550" t="s">
        <v>368</v>
      </c>
      <c r="E17" s="486"/>
      <c r="F17" s="487"/>
      <c r="G17" s="530">
        <v>4</v>
      </c>
      <c r="H17" s="530">
        <v>2789.4285714285666</v>
      </c>
      <c r="I17" s="530">
        <v>697.35714285714164</v>
      </c>
      <c r="J17" s="243" t="s">
        <v>997</v>
      </c>
      <c r="K17" s="748"/>
      <c r="L17" s="749"/>
      <c r="M17" s="152"/>
    </row>
    <row r="18" spans="1:13" s="162" customFormat="1" ht="15.75" customHeight="1">
      <c r="A18" s="727" t="s">
        <v>187</v>
      </c>
      <c r="B18" s="727"/>
      <c r="C18" s="495" t="s">
        <v>449</v>
      </c>
      <c r="D18" s="727" t="s">
        <v>12</v>
      </c>
      <c r="E18" s="728"/>
      <c r="F18" s="728"/>
      <c r="G18" s="573" t="s">
        <v>1001</v>
      </c>
      <c r="H18" s="573" t="s">
        <v>1002</v>
      </c>
      <c r="I18" s="573" t="s">
        <v>1003</v>
      </c>
      <c r="J18" s="223" t="s">
        <v>1004</v>
      </c>
      <c r="K18" s="727" t="s">
        <v>1005</v>
      </c>
      <c r="L18" s="728"/>
      <c r="M18" s="155"/>
    </row>
    <row r="19" spans="1:13" ht="15.75" customHeight="1">
      <c r="A19" s="729">
        <v>2</v>
      </c>
      <c r="B19" s="732" t="s">
        <v>151</v>
      </c>
      <c r="C19" s="494">
        <v>1</v>
      </c>
      <c r="D19" s="485" t="s">
        <v>708</v>
      </c>
      <c r="E19" s="486"/>
      <c r="F19" s="487"/>
      <c r="G19" s="530">
        <v>5</v>
      </c>
      <c r="H19" s="530">
        <v>1518.4083519527071</v>
      </c>
      <c r="I19" s="530">
        <v>303.68167039054146</v>
      </c>
      <c r="J19" s="241" t="s">
        <v>999</v>
      </c>
      <c r="K19" s="733"/>
      <c r="L19" s="731"/>
      <c r="M19" s="152"/>
    </row>
    <row r="20" spans="1:13" ht="15.75" customHeight="1">
      <c r="A20" s="729"/>
      <c r="B20" s="732"/>
      <c r="C20" s="494">
        <v>2</v>
      </c>
      <c r="D20" s="485" t="s">
        <v>772</v>
      </c>
      <c r="E20" s="486"/>
      <c r="F20" s="487"/>
      <c r="G20" s="530">
        <v>6</v>
      </c>
      <c r="H20" s="530">
        <v>1523.3503224464325</v>
      </c>
      <c r="I20" s="530">
        <v>253.89172040773877</v>
      </c>
      <c r="J20" s="241" t="s">
        <v>999</v>
      </c>
      <c r="K20" s="730"/>
      <c r="L20" s="731"/>
      <c r="M20" s="152"/>
    </row>
    <row r="21" spans="1:13" ht="15.75" customHeight="1">
      <c r="A21" s="729"/>
      <c r="B21" s="732"/>
      <c r="C21" s="494">
        <v>3</v>
      </c>
      <c r="D21" s="485" t="s">
        <v>372</v>
      </c>
      <c r="E21" s="486"/>
      <c r="F21" s="487"/>
      <c r="G21" s="530">
        <v>12</v>
      </c>
      <c r="H21" s="530">
        <v>1752.2095238095228</v>
      </c>
      <c r="I21" s="530">
        <v>146.01746031746023</v>
      </c>
      <c r="J21" s="241" t="s">
        <v>999</v>
      </c>
      <c r="K21" s="730"/>
      <c r="L21" s="731"/>
      <c r="M21" s="152"/>
    </row>
    <row r="22" spans="1:13" ht="15.75" customHeight="1">
      <c r="A22" s="729"/>
      <c r="B22" s="732"/>
      <c r="C22" s="494">
        <v>4</v>
      </c>
      <c r="D22" s="485" t="s">
        <v>371</v>
      </c>
      <c r="E22" s="486"/>
      <c r="F22" s="487"/>
      <c r="G22" s="530">
        <v>12</v>
      </c>
      <c r="H22" s="530">
        <v>1749.3238095238082</v>
      </c>
      <c r="I22" s="530">
        <v>145.77698412698402</v>
      </c>
      <c r="J22" s="241" t="s">
        <v>999</v>
      </c>
      <c r="K22" s="730"/>
      <c r="L22" s="731"/>
      <c r="M22" s="152"/>
    </row>
    <row r="23" spans="1:13" ht="15.75" customHeight="1">
      <c r="A23" s="729"/>
      <c r="B23" s="732"/>
      <c r="C23" s="494">
        <v>5</v>
      </c>
      <c r="D23" s="531" t="s">
        <v>370</v>
      </c>
      <c r="E23" s="486"/>
      <c r="F23" s="487"/>
      <c r="G23" s="530">
        <v>10</v>
      </c>
      <c r="H23" s="530">
        <v>1452.799999999999</v>
      </c>
      <c r="I23" s="530">
        <v>145.27999999999989</v>
      </c>
      <c r="J23" s="241" t="s">
        <v>999</v>
      </c>
      <c r="K23" s="730"/>
      <c r="L23" s="731"/>
      <c r="M23" s="152"/>
    </row>
    <row r="24" spans="1:13" ht="15.75" customHeight="1">
      <c r="A24" s="729"/>
      <c r="B24" s="732"/>
      <c r="C24" s="165" t="s">
        <v>450</v>
      </c>
      <c r="D24" s="485" t="s">
        <v>775</v>
      </c>
      <c r="E24" s="486"/>
      <c r="F24" s="487"/>
      <c r="G24" s="530">
        <v>12.666666666666666</v>
      </c>
      <c r="H24" s="530">
        <v>1031.9999999999982</v>
      </c>
      <c r="I24" s="530">
        <v>81.730769230769113</v>
      </c>
      <c r="J24" s="241" t="s">
        <v>999</v>
      </c>
      <c r="K24" s="730"/>
      <c r="L24" s="731"/>
      <c r="M24" s="152"/>
    </row>
    <row r="25" spans="1:13" ht="15.75" customHeight="1">
      <c r="A25" s="729"/>
      <c r="B25" s="732"/>
      <c r="C25" s="165" t="s">
        <v>451</v>
      </c>
      <c r="D25" s="485"/>
      <c r="E25" s="486"/>
      <c r="F25" s="487"/>
      <c r="G25" s="530"/>
      <c r="H25" s="530"/>
      <c r="I25" s="530"/>
      <c r="J25" s="241"/>
      <c r="K25" s="730"/>
      <c r="L25" s="731"/>
      <c r="M25" s="152"/>
    </row>
    <row r="26" spans="1:13" ht="15.75" customHeight="1">
      <c r="A26" s="729"/>
      <c r="B26" s="732"/>
      <c r="C26" s="165" t="s">
        <v>505</v>
      </c>
      <c r="E26" s="486"/>
      <c r="F26" s="487"/>
      <c r="G26" s="568"/>
      <c r="H26" s="568"/>
      <c r="I26" s="568"/>
      <c r="J26" s="568"/>
      <c r="K26" s="730"/>
      <c r="L26" s="731"/>
      <c r="M26" s="152"/>
    </row>
    <row r="27" spans="1:13" ht="15.75" customHeight="1">
      <c r="A27" s="729"/>
      <c r="B27" s="732"/>
      <c r="C27" s="165" t="s">
        <v>453</v>
      </c>
      <c r="D27" s="485"/>
      <c r="E27" s="486"/>
      <c r="F27" s="487"/>
      <c r="G27" s="568"/>
      <c r="H27" s="568"/>
      <c r="I27" s="568"/>
      <c r="J27" s="568"/>
      <c r="K27" s="730"/>
      <c r="L27" s="731"/>
      <c r="M27" s="152"/>
    </row>
    <row r="28" spans="1:13" ht="15.75" customHeight="1">
      <c r="A28" s="729"/>
      <c r="B28" s="732"/>
      <c r="C28" s="165" t="s">
        <v>506</v>
      </c>
      <c r="D28" s="485"/>
      <c r="E28" s="486"/>
      <c r="F28" s="487"/>
      <c r="G28" s="568"/>
      <c r="H28" s="568"/>
      <c r="I28" s="568"/>
      <c r="J28" s="568"/>
      <c r="K28" s="730"/>
      <c r="L28" s="731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28">
    <mergeCell ref="A1:L2"/>
    <mergeCell ref="A5:A6"/>
    <mergeCell ref="A7:B7"/>
    <mergeCell ref="D7:F7"/>
    <mergeCell ref="K7:L7"/>
    <mergeCell ref="A3:L4"/>
    <mergeCell ref="K13:L13"/>
    <mergeCell ref="A8:A17"/>
    <mergeCell ref="B8:B17"/>
    <mergeCell ref="K12:L12"/>
    <mergeCell ref="K8:L11"/>
    <mergeCell ref="K14:L14"/>
    <mergeCell ref="K15:L17"/>
    <mergeCell ref="A18:B18"/>
    <mergeCell ref="D18:F18"/>
    <mergeCell ref="K18:L18"/>
    <mergeCell ref="A19:A28"/>
    <mergeCell ref="K28:L28"/>
    <mergeCell ref="B19:B28"/>
    <mergeCell ref="K27:L27"/>
    <mergeCell ref="K26:L26"/>
    <mergeCell ref="K24:L24"/>
    <mergeCell ref="K25:L25"/>
    <mergeCell ref="K19:L19"/>
    <mergeCell ref="K20:L20"/>
    <mergeCell ref="K21:L21"/>
    <mergeCell ref="K22:L22"/>
    <mergeCell ref="K23:L23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D8" sqref="D8:L20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605" t="s">
        <v>204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120"/>
    </row>
    <row r="2" spans="1:13" s="121" customFormat="1" ht="15.75" customHeight="1">
      <c r="A2" s="605"/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</row>
    <row r="3" spans="1:13" ht="15.75" customHeight="1">
      <c r="A3" s="750" t="s">
        <v>205</v>
      </c>
      <c r="B3" s="751"/>
      <c r="C3" s="751"/>
      <c r="D3" s="751"/>
      <c r="E3" s="751"/>
      <c r="F3" s="751"/>
      <c r="G3" s="751"/>
      <c r="H3" s="751"/>
      <c r="I3" s="751"/>
      <c r="J3" s="751"/>
      <c r="K3" s="751"/>
      <c r="L3" s="751"/>
      <c r="M3" s="152"/>
    </row>
    <row r="4" spans="1:13" s="121" customFormat="1" ht="15.75" customHeight="1">
      <c r="A4" s="751"/>
      <c r="B4" s="751"/>
      <c r="C4" s="751"/>
      <c r="D4" s="751"/>
      <c r="E4" s="751"/>
      <c r="F4" s="751"/>
      <c r="G4" s="751"/>
      <c r="H4" s="751"/>
      <c r="I4" s="751"/>
      <c r="J4" s="751"/>
      <c r="K4" s="751"/>
      <c r="L4" s="751"/>
      <c r="M4" s="131"/>
    </row>
    <row r="5" spans="1:13" s="154" customFormat="1" ht="16.350000000000001" customHeight="1">
      <c r="A5" s="729" t="s">
        <v>154</v>
      </c>
      <c r="B5" s="156">
        <v>1</v>
      </c>
      <c r="C5" s="156">
        <v>2</v>
      </c>
      <c r="D5" s="166">
        <v>3</v>
      </c>
      <c r="E5" s="16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50000000000001" customHeight="1">
      <c r="A6" s="729"/>
      <c r="B6" s="157" t="s">
        <v>206</v>
      </c>
      <c r="C6" s="157" t="s">
        <v>151</v>
      </c>
      <c r="D6" s="167" t="s">
        <v>207</v>
      </c>
      <c r="E6" s="16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32" t="s">
        <v>187</v>
      </c>
      <c r="B7" s="732"/>
      <c r="C7" s="493" t="s">
        <v>449</v>
      </c>
      <c r="D7" s="732" t="s">
        <v>12</v>
      </c>
      <c r="E7" s="735"/>
      <c r="F7" s="735"/>
      <c r="G7" s="542" t="s">
        <v>927</v>
      </c>
      <c r="H7" s="542" t="s">
        <v>928</v>
      </c>
      <c r="I7" s="542" t="s">
        <v>929</v>
      </c>
      <c r="J7" s="223" t="s">
        <v>930</v>
      </c>
      <c r="K7" s="732" t="s">
        <v>931</v>
      </c>
      <c r="L7" s="735"/>
      <c r="M7" s="153"/>
    </row>
    <row r="8" spans="1:13" ht="15.75" customHeight="1">
      <c r="A8" s="729">
        <v>3</v>
      </c>
      <c r="B8" s="732" t="s">
        <v>152</v>
      </c>
      <c r="C8" s="494">
        <v>1</v>
      </c>
      <c r="D8" s="485" t="s">
        <v>398</v>
      </c>
      <c r="E8" s="486"/>
      <c r="F8" s="487"/>
      <c r="G8" s="530">
        <v>5</v>
      </c>
      <c r="H8" s="530">
        <v>2120.8430056216166</v>
      </c>
      <c r="I8" s="530">
        <v>424.16860112432329</v>
      </c>
      <c r="J8" s="242" t="s">
        <v>995</v>
      </c>
      <c r="K8" s="753" t="s">
        <v>1006</v>
      </c>
      <c r="L8" s="738"/>
      <c r="M8" s="131"/>
    </row>
    <row r="9" spans="1:13" ht="15.75" customHeight="1">
      <c r="A9" s="729"/>
      <c r="B9" s="732"/>
      <c r="C9" s="494">
        <v>2</v>
      </c>
      <c r="D9" s="485" t="s">
        <v>513</v>
      </c>
      <c r="E9" s="486"/>
      <c r="F9" s="487"/>
      <c r="G9" s="530">
        <v>5</v>
      </c>
      <c r="H9" s="530">
        <v>2109.1424741391756</v>
      </c>
      <c r="I9" s="530">
        <v>421.82849482783513</v>
      </c>
      <c r="J9" s="243" t="s">
        <v>997</v>
      </c>
      <c r="K9" s="739"/>
      <c r="L9" s="740"/>
      <c r="M9" s="131"/>
    </row>
    <row r="10" spans="1:13" ht="15.75" customHeight="1">
      <c r="A10" s="729"/>
      <c r="B10" s="732"/>
      <c r="C10" s="494">
        <v>3</v>
      </c>
      <c r="D10" s="485" t="s">
        <v>908</v>
      </c>
      <c r="E10" s="486"/>
      <c r="F10" s="487"/>
      <c r="G10" s="530">
        <v>5</v>
      </c>
      <c r="H10" s="530">
        <v>2086.1922589725559</v>
      </c>
      <c r="I10" s="530">
        <v>417.23845179451115</v>
      </c>
      <c r="J10" s="241" t="s">
        <v>999</v>
      </c>
      <c r="K10" s="739"/>
      <c r="L10" s="740"/>
      <c r="M10" s="131"/>
    </row>
    <row r="11" spans="1:13" ht="15.75" customHeight="1">
      <c r="A11" s="729"/>
      <c r="B11" s="732"/>
      <c r="C11" s="494">
        <v>4</v>
      </c>
      <c r="D11" s="485" t="s">
        <v>403</v>
      </c>
      <c r="E11" s="486"/>
      <c r="F11" s="487"/>
      <c r="G11" s="530">
        <v>10</v>
      </c>
      <c r="H11" s="530">
        <v>2106.3323430344685</v>
      </c>
      <c r="I11" s="530">
        <v>210.63323430344684</v>
      </c>
      <c r="J11" s="241" t="s">
        <v>999</v>
      </c>
      <c r="K11" s="754"/>
      <c r="L11" s="728"/>
      <c r="M11" s="131"/>
    </row>
    <row r="12" spans="1:13" ht="15.75" customHeight="1">
      <c r="A12" s="729"/>
      <c r="B12" s="732"/>
      <c r="C12" s="494">
        <v>5</v>
      </c>
      <c r="D12" s="485" t="s">
        <v>401</v>
      </c>
      <c r="E12" s="486"/>
      <c r="F12" s="487"/>
      <c r="G12" s="530">
        <v>12</v>
      </c>
      <c r="H12" s="530">
        <v>2228.7395632197222</v>
      </c>
      <c r="I12" s="530">
        <v>185.7282969349769</v>
      </c>
      <c r="J12" s="241" t="s">
        <v>999</v>
      </c>
      <c r="K12" s="754"/>
      <c r="L12" s="728"/>
      <c r="M12" s="131"/>
    </row>
    <row r="13" spans="1:13" ht="15.75" customHeight="1">
      <c r="A13" s="729"/>
      <c r="B13" s="732"/>
      <c r="C13" s="165" t="s">
        <v>450</v>
      </c>
      <c r="D13" s="485" t="s">
        <v>397</v>
      </c>
      <c r="E13" s="486"/>
      <c r="F13" s="487"/>
      <c r="G13" s="530">
        <v>13</v>
      </c>
      <c r="H13" s="530">
        <v>1272.3727090836335</v>
      </c>
      <c r="I13" s="530">
        <v>97.874823775664126</v>
      </c>
      <c r="J13" s="241" t="s">
        <v>999</v>
      </c>
      <c r="K13" s="754"/>
      <c r="L13" s="728"/>
      <c r="M13" s="131"/>
    </row>
    <row r="14" spans="1:13" ht="15.75" customHeight="1">
      <c r="A14" s="729"/>
      <c r="B14" s="732"/>
      <c r="C14" s="165" t="s">
        <v>451</v>
      </c>
      <c r="D14" s="485" t="s">
        <v>399</v>
      </c>
      <c r="E14" s="486"/>
      <c r="F14" s="487"/>
      <c r="G14" s="530">
        <v>13</v>
      </c>
      <c r="H14" s="530">
        <v>2086.369693640168</v>
      </c>
      <c r="I14" s="530">
        <v>160.48997643385908</v>
      </c>
      <c r="J14" s="241" t="s">
        <v>999</v>
      </c>
      <c r="K14" s="752"/>
      <c r="L14" s="728"/>
      <c r="M14" s="131"/>
    </row>
    <row r="15" spans="1:13" ht="15.75" customHeight="1">
      <c r="A15" s="729"/>
      <c r="B15" s="732"/>
      <c r="C15" s="165" t="s">
        <v>505</v>
      </c>
      <c r="D15" s="485" t="s">
        <v>402</v>
      </c>
      <c r="E15" s="486"/>
      <c r="F15" s="487"/>
      <c r="G15" s="530">
        <v>13</v>
      </c>
      <c r="H15" s="530">
        <v>2187.3606896248411</v>
      </c>
      <c r="I15" s="530">
        <v>168.25851458652622</v>
      </c>
      <c r="J15" s="241" t="s">
        <v>999</v>
      </c>
      <c r="K15" s="752"/>
      <c r="L15" s="728"/>
      <c r="M15" s="131"/>
    </row>
    <row r="16" spans="1:13" ht="15.75" customHeight="1">
      <c r="A16" s="729"/>
      <c r="B16" s="732"/>
      <c r="C16" s="165" t="s">
        <v>453</v>
      </c>
      <c r="D16" s="485" t="s">
        <v>400</v>
      </c>
      <c r="E16" s="486"/>
      <c r="F16" s="487"/>
      <c r="G16" s="530">
        <v>12</v>
      </c>
      <c r="H16" s="530">
        <v>2115.3604268847917</v>
      </c>
      <c r="I16" s="530">
        <v>176.28003557373265</v>
      </c>
      <c r="J16" s="241" t="s">
        <v>999</v>
      </c>
      <c r="K16" s="752"/>
      <c r="L16" s="728"/>
      <c r="M16" s="152"/>
    </row>
    <row r="17" spans="1:13" ht="15.75" customHeight="1">
      <c r="A17" s="729"/>
      <c r="B17" s="732"/>
      <c r="C17" s="165" t="s">
        <v>506</v>
      </c>
      <c r="D17" s="485" t="s">
        <v>829</v>
      </c>
      <c r="E17" s="486"/>
      <c r="F17" s="487"/>
      <c r="G17" s="530">
        <v>12</v>
      </c>
      <c r="H17" s="530">
        <v>2196.6941181737857</v>
      </c>
      <c r="I17" s="530">
        <v>183.05784318114885</v>
      </c>
      <c r="J17" s="241" t="s">
        <v>999</v>
      </c>
      <c r="K17" s="755"/>
      <c r="L17" s="728"/>
      <c r="M17" s="152"/>
    </row>
    <row r="18" spans="1:13" s="162" customFormat="1" ht="15.75" customHeight="1">
      <c r="A18" s="727" t="s">
        <v>187</v>
      </c>
      <c r="B18" s="727"/>
      <c r="C18" s="495" t="s">
        <v>449</v>
      </c>
      <c r="D18" s="727" t="s">
        <v>12</v>
      </c>
      <c r="E18" s="728"/>
      <c r="F18" s="728"/>
      <c r="G18" s="573" t="s">
        <v>1001</v>
      </c>
      <c r="H18" s="573" t="s">
        <v>1002</v>
      </c>
      <c r="I18" s="573" t="s">
        <v>1003</v>
      </c>
      <c r="J18" s="223" t="s">
        <v>1004</v>
      </c>
      <c r="K18" s="727" t="s">
        <v>1005</v>
      </c>
      <c r="L18" s="728"/>
      <c r="M18" s="155"/>
    </row>
    <row r="19" spans="1:13" ht="15.75" customHeight="1">
      <c r="A19" s="729">
        <v>4</v>
      </c>
      <c r="B19" s="732" t="s">
        <v>153</v>
      </c>
      <c r="C19" s="494">
        <v>1</v>
      </c>
      <c r="D19" s="531" t="s">
        <v>1007</v>
      </c>
      <c r="E19" s="486"/>
      <c r="F19" s="487"/>
      <c r="G19" s="530">
        <v>11.857142857142858</v>
      </c>
      <c r="H19" s="530">
        <v>1478.2018727490995</v>
      </c>
      <c r="I19" s="530">
        <v>142.27466822626485</v>
      </c>
      <c r="J19" s="241" t="s">
        <v>999</v>
      </c>
      <c r="K19" s="733"/>
      <c r="L19" s="731"/>
      <c r="M19" s="152"/>
    </row>
    <row r="20" spans="1:13" ht="15.75" customHeight="1">
      <c r="A20" s="729"/>
      <c r="B20" s="732"/>
      <c r="C20" s="494">
        <v>2</v>
      </c>
      <c r="D20" s="531" t="s">
        <v>909</v>
      </c>
      <c r="E20" s="486"/>
      <c r="F20" s="487"/>
      <c r="G20" s="530">
        <v>12.714285714285714</v>
      </c>
      <c r="H20" s="530">
        <v>1510.7999999999995</v>
      </c>
      <c r="I20" s="530">
        <v>118.88479853479849</v>
      </c>
      <c r="J20" s="241" t="s">
        <v>999</v>
      </c>
      <c r="K20" s="730"/>
      <c r="L20" s="731"/>
      <c r="M20" s="152"/>
    </row>
    <row r="21" spans="1:13" ht="15.75" customHeight="1">
      <c r="A21" s="729"/>
      <c r="B21" s="732"/>
      <c r="C21" s="494">
        <v>3</v>
      </c>
      <c r="D21" s="485"/>
      <c r="E21" s="486"/>
      <c r="F21" s="487"/>
      <c r="G21" s="568"/>
      <c r="H21" s="568"/>
      <c r="I21" s="568"/>
      <c r="J21" s="568"/>
      <c r="K21" s="730"/>
      <c r="L21" s="731"/>
      <c r="M21" s="152"/>
    </row>
    <row r="22" spans="1:13" ht="15.75" customHeight="1">
      <c r="A22" s="729"/>
      <c r="B22" s="732"/>
      <c r="C22" s="494">
        <v>4</v>
      </c>
      <c r="D22" s="485"/>
      <c r="E22" s="486"/>
      <c r="F22" s="487"/>
      <c r="G22" s="568"/>
      <c r="H22" s="568"/>
      <c r="I22" s="568"/>
      <c r="J22" s="568"/>
      <c r="K22" s="730"/>
      <c r="L22" s="731"/>
      <c r="M22" s="152"/>
    </row>
    <row r="23" spans="1:13" ht="15.75" customHeight="1">
      <c r="A23" s="729"/>
      <c r="B23" s="732"/>
      <c r="C23" s="494">
        <v>5</v>
      </c>
      <c r="D23" s="485"/>
      <c r="E23" s="486"/>
      <c r="F23" s="487"/>
      <c r="G23" s="568"/>
      <c r="H23" s="568"/>
      <c r="I23" s="568"/>
      <c r="J23" s="568"/>
      <c r="K23" s="730"/>
      <c r="L23" s="731"/>
      <c r="M23" s="152"/>
    </row>
    <row r="24" spans="1:13" ht="15.75" customHeight="1">
      <c r="A24" s="729"/>
      <c r="B24" s="732"/>
      <c r="C24" s="165" t="s">
        <v>450</v>
      </c>
      <c r="D24" s="531"/>
      <c r="E24" s="486"/>
      <c r="F24" s="487"/>
      <c r="G24" s="568"/>
      <c r="H24" s="568"/>
      <c r="I24" s="568"/>
      <c r="J24" s="568"/>
      <c r="K24" s="733"/>
      <c r="L24" s="731"/>
      <c r="M24" s="152"/>
    </row>
    <row r="25" spans="1:13" ht="15.75" customHeight="1">
      <c r="A25" s="729"/>
      <c r="B25" s="732"/>
      <c r="C25" s="165" t="s">
        <v>451</v>
      </c>
      <c r="D25" s="485"/>
      <c r="E25" s="486"/>
      <c r="F25" s="487"/>
      <c r="G25" s="568"/>
      <c r="H25" s="568"/>
      <c r="I25" s="568"/>
      <c r="J25" s="568"/>
      <c r="K25" s="730"/>
      <c r="L25" s="731"/>
      <c r="M25" s="152"/>
    </row>
    <row r="26" spans="1:13" ht="15.75" customHeight="1">
      <c r="A26" s="729"/>
      <c r="B26" s="732"/>
      <c r="C26" s="165" t="s">
        <v>505</v>
      </c>
      <c r="D26" s="485"/>
      <c r="E26" s="486"/>
      <c r="F26" s="487"/>
      <c r="G26" s="568"/>
      <c r="H26" s="568"/>
      <c r="I26" s="568"/>
      <c r="J26" s="568"/>
      <c r="K26" s="730"/>
      <c r="L26" s="731"/>
      <c r="M26" s="152"/>
    </row>
    <row r="27" spans="1:13" ht="15.75" customHeight="1">
      <c r="A27" s="729"/>
      <c r="B27" s="732"/>
      <c r="C27" s="165" t="s">
        <v>453</v>
      </c>
      <c r="D27" s="485"/>
      <c r="E27" s="486"/>
      <c r="F27" s="487"/>
      <c r="G27" s="568"/>
      <c r="H27" s="568"/>
      <c r="I27" s="568"/>
      <c r="J27" s="568"/>
      <c r="K27" s="730"/>
      <c r="L27" s="731"/>
      <c r="M27" s="152"/>
    </row>
    <row r="28" spans="1:13" ht="15.75" customHeight="1">
      <c r="A28" s="729"/>
      <c r="B28" s="732"/>
      <c r="C28" s="165" t="s">
        <v>506</v>
      </c>
      <c r="D28" s="485"/>
      <c r="E28" s="486"/>
      <c r="F28" s="487"/>
      <c r="G28" s="568"/>
      <c r="H28" s="568"/>
      <c r="I28" s="568"/>
      <c r="J28" s="568"/>
      <c r="K28" s="730"/>
      <c r="L28" s="731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1">
    <mergeCell ref="B19:B28"/>
    <mergeCell ref="K27:L27"/>
    <mergeCell ref="K28:L28"/>
    <mergeCell ref="K21:L21"/>
    <mergeCell ref="K22:L22"/>
    <mergeCell ref="K23:L23"/>
    <mergeCell ref="K19:L19"/>
    <mergeCell ref="K20:L20"/>
    <mergeCell ref="A1:L2"/>
    <mergeCell ref="K24:L24"/>
    <mergeCell ref="K17:L17"/>
    <mergeCell ref="K12:L12"/>
    <mergeCell ref="A3:L4"/>
    <mergeCell ref="A19:A28"/>
    <mergeCell ref="A5:A6"/>
    <mergeCell ref="A7:B7"/>
    <mergeCell ref="K25:L25"/>
    <mergeCell ref="D7:F7"/>
    <mergeCell ref="K7:L7"/>
    <mergeCell ref="A8:A17"/>
    <mergeCell ref="B8:B17"/>
    <mergeCell ref="K13:L13"/>
    <mergeCell ref="A18:B18"/>
    <mergeCell ref="K26:L26"/>
    <mergeCell ref="D18:F18"/>
    <mergeCell ref="K18:L18"/>
    <mergeCell ref="K14:L14"/>
    <mergeCell ref="K8:L10"/>
    <mergeCell ref="K11:L11"/>
    <mergeCell ref="K15:L15"/>
    <mergeCell ref="K16:L1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5"/>
  <sheetViews>
    <sheetView zoomScaleNormal="100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8" ht="15.75" customHeight="1">
      <c r="A1" s="605" t="s">
        <v>204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120"/>
    </row>
    <row r="2" spans="1:18" s="121" customFormat="1" ht="15.75" customHeight="1">
      <c r="A2" s="605"/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</row>
    <row r="3" spans="1:18" ht="15.75" customHeight="1">
      <c r="A3" s="750" t="s">
        <v>205</v>
      </c>
      <c r="B3" s="751"/>
      <c r="C3" s="751"/>
      <c r="D3" s="751"/>
      <c r="E3" s="751"/>
      <c r="F3" s="751"/>
      <c r="G3" s="751"/>
      <c r="H3" s="751"/>
      <c r="I3" s="751"/>
      <c r="J3" s="751"/>
      <c r="K3" s="751"/>
      <c r="L3" s="751"/>
      <c r="M3" s="152"/>
    </row>
    <row r="4" spans="1:18" s="121" customFormat="1" ht="15.75" customHeight="1">
      <c r="A4" s="751"/>
      <c r="B4" s="751"/>
      <c r="C4" s="751"/>
      <c r="D4" s="751"/>
      <c r="E4" s="751"/>
      <c r="F4" s="751"/>
      <c r="G4" s="751"/>
      <c r="H4" s="751"/>
      <c r="I4" s="751"/>
      <c r="J4" s="751"/>
      <c r="K4" s="751"/>
      <c r="L4" s="751"/>
      <c r="M4" s="131"/>
    </row>
    <row r="5" spans="1:18" s="154" customFormat="1" ht="16.350000000000001" customHeight="1">
      <c r="A5" s="729" t="s">
        <v>154</v>
      </c>
      <c r="B5" s="156">
        <v>1</v>
      </c>
      <c r="C5" s="156">
        <v>2</v>
      </c>
      <c r="D5" s="156">
        <v>3</v>
      </c>
      <c r="E5" s="156">
        <v>4</v>
      </c>
      <c r="F5" s="166">
        <v>5</v>
      </c>
      <c r="G5" s="16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8" ht="16.350000000000001" customHeight="1">
      <c r="A6" s="729"/>
      <c r="B6" s="157" t="s">
        <v>206</v>
      </c>
      <c r="C6" s="157" t="s">
        <v>151</v>
      </c>
      <c r="D6" s="157" t="s">
        <v>207</v>
      </c>
      <c r="E6" s="157" t="s">
        <v>153</v>
      </c>
      <c r="F6" s="168" t="s">
        <v>133</v>
      </c>
      <c r="G6" s="16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8" s="154" customFormat="1" ht="15.75" customHeight="1">
      <c r="A7" s="732" t="s">
        <v>870</v>
      </c>
      <c r="B7" s="732"/>
      <c r="C7" s="493" t="s">
        <v>871</v>
      </c>
      <c r="D7" s="732" t="s">
        <v>12</v>
      </c>
      <c r="E7" s="735"/>
      <c r="F7" s="735"/>
      <c r="G7" s="542" t="s">
        <v>927</v>
      </c>
      <c r="H7" s="542" t="s">
        <v>928</v>
      </c>
      <c r="I7" s="542" t="s">
        <v>929</v>
      </c>
      <c r="J7" s="223" t="s">
        <v>930</v>
      </c>
      <c r="K7" s="732" t="s">
        <v>931</v>
      </c>
      <c r="L7" s="735"/>
      <c r="M7" s="153"/>
    </row>
    <row r="8" spans="1:18" ht="15.75" customHeight="1">
      <c r="A8" s="729">
        <v>5</v>
      </c>
      <c r="B8" s="732" t="s">
        <v>133</v>
      </c>
      <c r="C8" s="494">
        <v>1</v>
      </c>
      <c r="D8" s="485" t="s">
        <v>373</v>
      </c>
      <c r="E8" s="486"/>
      <c r="F8" s="487"/>
      <c r="G8" s="530">
        <v>6</v>
      </c>
      <c r="H8" s="530">
        <v>1402.6751781256037</v>
      </c>
      <c r="I8" s="530">
        <v>233.77919635426727</v>
      </c>
      <c r="J8" s="241" t="s">
        <v>965</v>
      </c>
      <c r="K8" s="734"/>
      <c r="L8" s="735"/>
      <c r="M8" s="131"/>
      <c r="P8" s="253"/>
      <c r="Q8" s="253"/>
      <c r="R8" s="253"/>
    </row>
    <row r="9" spans="1:18" ht="15.75" customHeight="1">
      <c r="A9" s="729"/>
      <c r="B9" s="732"/>
      <c r="C9" s="494">
        <v>2</v>
      </c>
      <c r="D9" s="485" t="s">
        <v>393</v>
      </c>
      <c r="E9" s="486"/>
      <c r="F9" s="487"/>
      <c r="G9" s="530">
        <v>6.8571428571428568</v>
      </c>
      <c r="H9" s="530">
        <v>1457.0544963754214</v>
      </c>
      <c r="I9" s="530">
        <v>213.13750837288805</v>
      </c>
      <c r="J9" s="241" t="s">
        <v>965</v>
      </c>
      <c r="K9" s="756"/>
      <c r="L9" s="735"/>
      <c r="M9" s="131"/>
      <c r="P9" s="253"/>
      <c r="Q9" s="253"/>
      <c r="R9" s="253"/>
    </row>
    <row r="10" spans="1:18" ht="15.75" customHeight="1">
      <c r="A10" s="729"/>
      <c r="B10" s="732"/>
      <c r="C10" s="494">
        <v>3</v>
      </c>
      <c r="D10" s="485" t="s">
        <v>381</v>
      </c>
      <c r="E10" s="486"/>
      <c r="F10" s="487"/>
      <c r="G10" s="530">
        <v>15</v>
      </c>
      <c r="H10" s="530">
        <v>1278.4660791427627</v>
      </c>
      <c r="I10" s="530">
        <v>85.231071942850832</v>
      </c>
      <c r="J10" s="242" t="s">
        <v>966</v>
      </c>
      <c r="K10" s="756" t="s">
        <v>967</v>
      </c>
      <c r="L10" s="735"/>
      <c r="M10" s="131"/>
      <c r="P10" s="253"/>
      <c r="Q10" s="253"/>
      <c r="R10" s="253"/>
    </row>
    <row r="11" spans="1:18" ht="15.75" customHeight="1">
      <c r="A11" s="729"/>
      <c r="B11" s="732"/>
      <c r="C11" s="494">
        <v>4</v>
      </c>
      <c r="D11" s="485" t="s">
        <v>380</v>
      </c>
      <c r="E11" s="486"/>
      <c r="F11" s="487"/>
      <c r="G11" s="530">
        <v>16</v>
      </c>
      <c r="H11" s="530">
        <v>1358.341113140172</v>
      </c>
      <c r="I11" s="530">
        <v>84.896319571260747</v>
      </c>
      <c r="J11" s="242" t="s">
        <v>966</v>
      </c>
      <c r="K11" s="756" t="s">
        <v>974</v>
      </c>
      <c r="L11" s="735"/>
      <c r="M11" s="131"/>
      <c r="P11" s="253"/>
      <c r="Q11" s="253"/>
      <c r="R11" s="253"/>
    </row>
    <row r="12" spans="1:18" ht="15.75" customHeight="1">
      <c r="A12" s="729"/>
      <c r="B12" s="732"/>
      <c r="C12" s="494">
        <v>5</v>
      </c>
      <c r="D12" s="485" t="s">
        <v>840</v>
      </c>
      <c r="E12" s="486"/>
      <c r="F12" s="487"/>
      <c r="G12" s="530">
        <v>15.714285714285714</v>
      </c>
      <c r="H12" s="530">
        <v>1292.4316200853129</v>
      </c>
      <c r="I12" s="530">
        <v>82.307397720659182</v>
      </c>
      <c r="J12" s="243" t="s">
        <v>968</v>
      </c>
      <c r="K12" s="756" t="s">
        <v>967</v>
      </c>
      <c r="L12" s="735"/>
      <c r="M12" s="131"/>
      <c r="P12" s="253"/>
      <c r="Q12" s="253"/>
      <c r="R12" s="253"/>
    </row>
    <row r="13" spans="1:18" ht="15.75" customHeight="1">
      <c r="A13" s="729"/>
      <c r="B13" s="732"/>
      <c r="C13" s="165" t="s">
        <v>872</v>
      </c>
      <c r="D13" s="485" t="s">
        <v>812</v>
      </c>
      <c r="E13" s="486"/>
      <c r="F13" s="487"/>
      <c r="G13" s="530">
        <v>19</v>
      </c>
      <c r="H13" s="530">
        <v>1071.8293882541846</v>
      </c>
      <c r="I13" s="530">
        <v>56.412073066009711</v>
      </c>
      <c r="J13" s="241" t="s">
        <v>965</v>
      </c>
      <c r="K13" s="734"/>
      <c r="L13" s="735"/>
      <c r="M13" s="131"/>
      <c r="P13" s="253"/>
      <c r="Q13" s="253"/>
      <c r="R13" s="253"/>
    </row>
    <row r="14" spans="1:18" ht="15.75" customHeight="1">
      <c r="A14" s="729"/>
      <c r="B14" s="732"/>
      <c r="C14" s="165" t="s">
        <v>873</v>
      </c>
      <c r="D14" s="485" t="s">
        <v>834</v>
      </c>
      <c r="E14" s="486"/>
      <c r="F14" s="487"/>
      <c r="G14" s="530">
        <v>19</v>
      </c>
      <c r="H14" s="530">
        <v>1081.7790878897677</v>
      </c>
      <c r="I14" s="530">
        <v>56.935741467882515</v>
      </c>
      <c r="J14" s="243" t="s">
        <v>968</v>
      </c>
      <c r="K14" s="744" t="s">
        <v>967</v>
      </c>
      <c r="L14" s="745"/>
      <c r="M14" s="131"/>
      <c r="P14" s="253"/>
      <c r="Q14" s="253"/>
      <c r="R14" s="253"/>
    </row>
    <row r="15" spans="1:18" ht="15.75" customHeight="1">
      <c r="A15" s="729"/>
      <c r="B15" s="732"/>
      <c r="C15" s="165" t="s">
        <v>874</v>
      </c>
      <c r="D15" s="485" t="s">
        <v>911</v>
      </c>
      <c r="E15" s="486"/>
      <c r="F15" s="487"/>
      <c r="G15" s="530">
        <v>20.142857142857142</v>
      </c>
      <c r="H15" s="530">
        <v>1177.0200722664442</v>
      </c>
      <c r="I15" s="530">
        <v>58.45081228679161</v>
      </c>
      <c r="J15" s="242" t="s">
        <v>966</v>
      </c>
      <c r="K15" s="746"/>
      <c r="L15" s="747"/>
      <c r="M15" s="131"/>
      <c r="P15" s="253"/>
      <c r="Q15" s="253"/>
      <c r="R15" s="253"/>
    </row>
    <row r="16" spans="1:18" ht="15.75" customHeight="1">
      <c r="A16" s="729"/>
      <c r="B16" s="732"/>
      <c r="C16" s="165" t="s">
        <v>875</v>
      </c>
      <c r="D16" s="485" t="s">
        <v>530</v>
      </c>
      <c r="E16" s="486"/>
      <c r="F16" s="487"/>
      <c r="G16" s="530">
        <v>17.857142857142858</v>
      </c>
      <c r="H16" s="530">
        <v>1090.3968542363455</v>
      </c>
      <c r="I16" s="530">
        <v>61.078443349264759</v>
      </c>
      <c r="J16" s="243" t="s">
        <v>968</v>
      </c>
      <c r="K16" s="746"/>
      <c r="L16" s="747"/>
      <c r="M16" s="152"/>
      <c r="P16" s="253"/>
      <c r="Q16" s="253"/>
      <c r="R16" s="253"/>
    </row>
    <row r="17" spans="1:18" ht="15.75" customHeight="1">
      <c r="A17" s="729"/>
      <c r="B17" s="732"/>
      <c r="C17" s="165" t="s">
        <v>876</v>
      </c>
      <c r="D17" s="531" t="s">
        <v>943</v>
      </c>
      <c r="E17" s="486"/>
      <c r="F17" s="487"/>
      <c r="G17" s="530">
        <v>20</v>
      </c>
      <c r="H17" s="530">
        <v>1271.9207688101303</v>
      </c>
      <c r="I17" s="530">
        <v>63.596038440506518</v>
      </c>
      <c r="J17" s="242" t="s">
        <v>966</v>
      </c>
      <c r="K17" s="748"/>
      <c r="L17" s="749"/>
      <c r="M17" s="152"/>
      <c r="P17" s="253"/>
      <c r="Q17" s="253"/>
      <c r="R17" s="253"/>
    </row>
    <row r="18" spans="1:18" s="162" customFormat="1" ht="15.75" customHeight="1">
      <c r="A18" s="727" t="s">
        <v>870</v>
      </c>
      <c r="B18" s="727"/>
      <c r="C18" s="495" t="s">
        <v>871</v>
      </c>
      <c r="D18" s="727" t="s">
        <v>12</v>
      </c>
      <c r="E18" s="728"/>
      <c r="F18" s="728"/>
      <c r="G18" s="567" t="s">
        <v>969</v>
      </c>
      <c r="H18" s="567" t="s">
        <v>970</v>
      </c>
      <c r="I18" s="567" t="s">
        <v>971</v>
      </c>
      <c r="J18" s="223" t="s">
        <v>972</v>
      </c>
      <c r="K18" s="727" t="s">
        <v>973</v>
      </c>
      <c r="L18" s="728"/>
      <c r="M18" s="155"/>
    </row>
    <row r="19" spans="1:18" ht="15.75" customHeight="1">
      <c r="A19" s="729">
        <v>6</v>
      </c>
      <c r="B19" s="732" t="s">
        <v>131</v>
      </c>
      <c r="C19" s="494">
        <v>1</v>
      </c>
      <c r="D19" s="485" t="s">
        <v>781</v>
      </c>
      <c r="E19" s="486"/>
      <c r="F19" s="487"/>
      <c r="G19" s="530">
        <v>15.857142857142858</v>
      </c>
      <c r="H19" s="530">
        <v>1260.439078571284</v>
      </c>
      <c r="I19" s="530">
        <v>79.520234022762921</v>
      </c>
      <c r="J19" s="242" t="s">
        <v>966</v>
      </c>
      <c r="K19" s="753" t="s">
        <v>967</v>
      </c>
      <c r="L19" s="738"/>
      <c r="M19" s="152"/>
      <c r="P19" s="253"/>
      <c r="Q19" s="253"/>
      <c r="R19" s="253"/>
    </row>
    <row r="20" spans="1:18" ht="15.75" customHeight="1">
      <c r="A20" s="729"/>
      <c r="B20" s="732"/>
      <c r="C20" s="494">
        <v>2</v>
      </c>
      <c r="D20" s="485" t="s">
        <v>385</v>
      </c>
      <c r="E20" s="486"/>
      <c r="F20" s="487"/>
      <c r="G20" s="530">
        <v>16.142857142857142</v>
      </c>
      <c r="H20" s="530">
        <v>1247.0694513270298</v>
      </c>
      <c r="I20" s="530">
        <v>77.290102740024935</v>
      </c>
      <c r="J20" s="242" t="s">
        <v>966</v>
      </c>
      <c r="K20" s="739"/>
      <c r="L20" s="740"/>
      <c r="M20" s="152"/>
      <c r="P20" s="253"/>
      <c r="Q20" s="253"/>
      <c r="R20" s="253"/>
    </row>
    <row r="21" spans="1:18" ht="15.75" customHeight="1">
      <c r="A21" s="729"/>
      <c r="B21" s="732"/>
      <c r="C21" s="494">
        <v>3</v>
      </c>
      <c r="D21" s="485" t="s">
        <v>963</v>
      </c>
      <c r="E21" s="486"/>
      <c r="F21" s="487"/>
      <c r="G21" s="530">
        <v>18</v>
      </c>
      <c r="H21" s="530">
        <v>1276.0332053681102</v>
      </c>
      <c r="I21" s="530">
        <v>70.890733631561673</v>
      </c>
      <c r="J21" s="243" t="s">
        <v>968</v>
      </c>
      <c r="K21" s="741"/>
      <c r="L21" s="742"/>
      <c r="M21" s="152"/>
      <c r="P21" s="253"/>
      <c r="Q21" s="253"/>
      <c r="R21" s="253"/>
    </row>
    <row r="22" spans="1:18" ht="15.75" customHeight="1">
      <c r="A22" s="729"/>
      <c r="B22" s="732"/>
      <c r="C22" s="494">
        <v>4</v>
      </c>
      <c r="D22" s="485" t="s">
        <v>383</v>
      </c>
      <c r="E22" s="486"/>
      <c r="F22" s="487"/>
      <c r="G22" s="530">
        <v>18</v>
      </c>
      <c r="H22" s="530">
        <v>1261.0515558074653</v>
      </c>
      <c r="I22" s="530">
        <v>70.058419767081404</v>
      </c>
      <c r="J22" s="241" t="s">
        <v>965</v>
      </c>
      <c r="K22" s="756"/>
      <c r="L22" s="735"/>
      <c r="M22" s="152"/>
      <c r="P22" s="253"/>
      <c r="Q22" s="253"/>
      <c r="R22" s="253"/>
    </row>
    <row r="23" spans="1:18" ht="15.75" customHeight="1">
      <c r="A23" s="729"/>
      <c r="B23" s="732"/>
      <c r="C23" s="494">
        <v>5</v>
      </c>
      <c r="D23" s="485" t="s">
        <v>707</v>
      </c>
      <c r="E23" s="486"/>
      <c r="F23" s="487"/>
      <c r="G23" s="530">
        <v>18.142857142857142</v>
      </c>
      <c r="H23" s="530">
        <v>1205.5996310012367</v>
      </c>
      <c r="I23" s="530">
        <v>66.464880883963232</v>
      </c>
      <c r="J23" s="241" t="s">
        <v>965</v>
      </c>
      <c r="K23" s="736"/>
      <c r="L23" s="735"/>
      <c r="M23" s="152"/>
      <c r="P23" s="253"/>
      <c r="Q23" s="253"/>
      <c r="R23" s="253"/>
    </row>
    <row r="24" spans="1:18" ht="15.75" customHeight="1">
      <c r="A24" s="729"/>
      <c r="B24" s="732"/>
      <c r="C24" s="165" t="s">
        <v>872</v>
      </c>
      <c r="D24" s="531" t="s">
        <v>944</v>
      </c>
      <c r="E24" s="486"/>
      <c r="F24" s="487"/>
      <c r="G24" s="530">
        <v>18.857142857142858</v>
      </c>
      <c r="H24" s="530">
        <v>1088.7041853800263</v>
      </c>
      <c r="I24" s="530">
        <v>57.749955732894719</v>
      </c>
      <c r="J24" s="241" t="s">
        <v>965</v>
      </c>
      <c r="K24" s="736"/>
      <c r="L24" s="735"/>
      <c r="M24" s="152"/>
      <c r="P24" s="253"/>
      <c r="Q24" s="253"/>
      <c r="R24" s="253"/>
    </row>
    <row r="25" spans="1:18" ht="15.75" customHeight="1">
      <c r="A25" s="729"/>
      <c r="B25" s="732"/>
      <c r="C25" s="165" t="s">
        <v>873</v>
      </c>
      <c r="D25" s="485" t="s">
        <v>387</v>
      </c>
      <c r="E25" s="486"/>
      <c r="F25" s="487"/>
      <c r="G25" s="530">
        <v>20</v>
      </c>
      <c r="H25" s="530">
        <v>1220.321756869653</v>
      </c>
      <c r="I25" s="530">
        <v>61.016087843482651</v>
      </c>
      <c r="J25" s="241" t="s">
        <v>975</v>
      </c>
      <c r="K25" s="757" t="s">
        <v>976</v>
      </c>
      <c r="L25" s="758"/>
      <c r="M25" s="152"/>
      <c r="P25" s="253"/>
      <c r="Q25" s="253"/>
      <c r="R25" s="253"/>
    </row>
    <row r="26" spans="1:18" ht="15.75" customHeight="1">
      <c r="A26" s="729"/>
      <c r="B26" s="732"/>
      <c r="C26" s="165" t="s">
        <v>874</v>
      </c>
      <c r="D26" s="485" t="s">
        <v>388</v>
      </c>
      <c r="E26" s="486"/>
      <c r="F26" s="487"/>
      <c r="G26" s="530">
        <v>20</v>
      </c>
      <c r="H26" s="530">
        <v>1273.0166477533337</v>
      </c>
      <c r="I26" s="530">
        <v>63.650832387666696</v>
      </c>
      <c r="J26" s="243" t="s">
        <v>977</v>
      </c>
      <c r="K26" s="759"/>
      <c r="L26" s="760"/>
      <c r="M26" s="152"/>
      <c r="P26" s="253"/>
      <c r="Q26" s="253"/>
      <c r="R26" s="253"/>
    </row>
    <row r="27" spans="1:18" ht="15.75" customHeight="1">
      <c r="A27" s="729"/>
      <c r="B27" s="732"/>
      <c r="C27" s="165" t="s">
        <v>875</v>
      </c>
      <c r="D27" s="485" t="s">
        <v>386</v>
      </c>
      <c r="E27" s="486"/>
      <c r="F27" s="487"/>
      <c r="G27" s="530">
        <v>19</v>
      </c>
      <c r="H27" s="530">
        <v>1209.7414965986386</v>
      </c>
      <c r="I27" s="530">
        <v>63.67060508413887</v>
      </c>
      <c r="J27" s="242" t="s">
        <v>978</v>
      </c>
      <c r="K27" s="759"/>
      <c r="L27" s="760"/>
      <c r="M27" s="152"/>
      <c r="P27" s="253"/>
      <c r="Q27" s="253"/>
      <c r="R27" s="253"/>
    </row>
    <row r="28" spans="1:18" ht="15.75" customHeight="1">
      <c r="A28" s="729"/>
      <c r="B28" s="732"/>
      <c r="C28" s="165" t="s">
        <v>876</v>
      </c>
      <c r="D28" s="485" t="s">
        <v>384</v>
      </c>
      <c r="E28" s="486"/>
      <c r="F28" s="487"/>
      <c r="G28" s="530">
        <v>18</v>
      </c>
      <c r="H28" s="530">
        <v>1174.3661242971582</v>
      </c>
      <c r="I28" s="530">
        <v>65.242562460953238</v>
      </c>
      <c r="J28" s="243" t="s">
        <v>977</v>
      </c>
      <c r="K28" s="761"/>
      <c r="L28" s="762"/>
      <c r="M28" s="152"/>
      <c r="P28" s="253"/>
      <c r="Q28" s="253"/>
      <c r="R28" s="253"/>
    </row>
    <row r="29" spans="1:18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8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8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8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25">
    <mergeCell ref="K19:L21"/>
    <mergeCell ref="K24:L24"/>
    <mergeCell ref="K25:L28"/>
    <mergeCell ref="K22:L22"/>
    <mergeCell ref="K23:L23"/>
    <mergeCell ref="A19:A28"/>
    <mergeCell ref="B19:B28"/>
    <mergeCell ref="A8:A17"/>
    <mergeCell ref="B8:B17"/>
    <mergeCell ref="A18:B18"/>
    <mergeCell ref="D18:F18"/>
    <mergeCell ref="K13:L13"/>
    <mergeCell ref="K8:L8"/>
    <mergeCell ref="K9:L9"/>
    <mergeCell ref="K12:L12"/>
    <mergeCell ref="K18:L18"/>
    <mergeCell ref="K14:L17"/>
    <mergeCell ref="K10:L10"/>
    <mergeCell ref="K11:L11"/>
    <mergeCell ref="A1:L2"/>
    <mergeCell ref="A3:L4"/>
    <mergeCell ref="A5:A6"/>
    <mergeCell ref="A7:B7"/>
    <mergeCell ref="D7:F7"/>
    <mergeCell ref="K7:L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D8" sqref="D8:L23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605" t="s">
        <v>204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120"/>
    </row>
    <row r="2" spans="1:13" s="121" customFormat="1" ht="15.75" customHeight="1">
      <c r="A2" s="605"/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</row>
    <row r="3" spans="1:13" ht="15.75" customHeight="1">
      <c r="A3" s="750" t="s">
        <v>205</v>
      </c>
      <c r="B3" s="750"/>
      <c r="C3" s="750"/>
      <c r="D3" s="750"/>
      <c r="E3" s="750"/>
      <c r="F3" s="750"/>
      <c r="G3" s="750"/>
      <c r="H3" s="750"/>
      <c r="I3" s="750"/>
      <c r="J3" s="750"/>
      <c r="K3" s="750"/>
      <c r="L3" s="750"/>
      <c r="M3" s="152"/>
    </row>
    <row r="4" spans="1:13" s="121" customFormat="1" ht="15.75" customHeight="1">
      <c r="A4" s="750"/>
      <c r="B4" s="750"/>
      <c r="C4" s="750"/>
      <c r="D4" s="750"/>
      <c r="E4" s="750"/>
      <c r="F4" s="750"/>
      <c r="G4" s="750"/>
      <c r="H4" s="750"/>
      <c r="I4" s="750"/>
      <c r="J4" s="750"/>
      <c r="K4" s="750"/>
      <c r="L4" s="750"/>
      <c r="M4" s="131"/>
    </row>
    <row r="5" spans="1:13" s="154" customFormat="1" ht="16.350000000000001" customHeight="1">
      <c r="A5" s="767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66">
        <v>7</v>
      </c>
      <c r="I5" s="166">
        <v>8</v>
      </c>
      <c r="J5" s="156">
        <v>9</v>
      </c>
      <c r="K5" s="153"/>
      <c r="L5" s="153"/>
      <c r="M5" s="153"/>
    </row>
    <row r="6" spans="1:13" ht="16.350000000000001" customHeight="1">
      <c r="A6" s="768"/>
      <c r="B6" s="157" t="s">
        <v>206</v>
      </c>
      <c r="C6" s="15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7" t="s">
        <v>208</v>
      </c>
      <c r="I6" s="16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69" t="s">
        <v>870</v>
      </c>
      <c r="B7" s="770"/>
      <c r="C7" s="493" t="s">
        <v>871</v>
      </c>
      <c r="D7" s="769" t="s">
        <v>12</v>
      </c>
      <c r="E7" s="771"/>
      <c r="F7" s="770"/>
      <c r="G7" s="542" t="s">
        <v>46</v>
      </c>
      <c r="H7" s="542" t="s">
        <v>932</v>
      </c>
      <c r="I7" s="542" t="s">
        <v>933</v>
      </c>
      <c r="J7" s="223" t="s">
        <v>934</v>
      </c>
      <c r="K7" s="769" t="s">
        <v>51</v>
      </c>
      <c r="L7" s="770"/>
      <c r="M7" s="153"/>
    </row>
    <row r="8" spans="1:13" ht="15.75" customHeight="1">
      <c r="A8" s="767">
        <v>7</v>
      </c>
      <c r="B8" s="773" t="s">
        <v>135</v>
      </c>
      <c r="C8" s="494">
        <v>1</v>
      </c>
      <c r="D8" s="485" t="s">
        <v>774</v>
      </c>
      <c r="E8" s="486"/>
      <c r="F8" s="487"/>
      <c r="G8" s="530">
        <v>13</v>
      </c>
      <c r="H8" s="530">
        <v>1119.0009070294789</v>
      </c>
      <c r="I8" s="530">
        <v>86.076992848421455</v>
      </c>
      <c r="J8" s="241" t="s">
        <v>965</v>
      </c>
      <c r="K8" s="763"/>
      <c r="L8" s="764"/>
      <c r="M8" s="131"/>
    </row>
    <row r="9" spans="1:13" ht="15.75" customHeight="1">
      <c r="A9" s="772"/>
      <c r="B9" s="774"/>
      <c r="C9" s="494">
        <v>2</v>
      </c>
      <c r="D9" s="531" t="s">
        <v>809</v>
      </c>
      <c r="E9" s="486"/>
      <c r="F9" s="487"/>
      <c r="G9" s="530">
        <v>16.857142857142858</v>
      </c>
      <c r="H9" s="530">
        <v>1307.2810562281593</v>
      </c>
      <c r="I9" s="530">
        <v>77.595799041216878</v>
      </c>
      <c r="J9" s="242" t="s">
        <v>966</v>
      </c>
      <c r="K9" s="765" t="s">
        <v>967</v>
      </c>
      <c r="L9" s="766"/>
      <c r="M9" s="131"/>
    </row>
    <row r="10" spans="1:13" ht="15.75" customHeight="1">
      <c r="A10" s="772"/>
      <c r="B10" s="774"/>
      <c r="C10" s="494">
        <v>3</v>
      </c>
      <c r="D10" s="485" t="s">
        <v>945</v>
      </c>
      <c r="E10" s="486"/>
      <c r="F10" s="487"/>
      <c r="G10" s="530">
        <v>18</v>
      </c>
      <c r="H10" s="530">
        <v>1361.4842181393719</v>
      </c>
      <c r="I10" s="530">
        <v>75.638012118853993</v>
      </c>
      <c r="J10" s="241" t="s">
        <v>965</v>
      </c>
      <c r="K10" s="765"/>
      <c r="L10" s="766"/>
      <c r="M10" s="131"/>
    </row>
    <row r="11" spans="1:13" ht="15.75" customHeight="1">
      <c r="A11" s="772"/>
      <c r="B11" s="774"/>
      <c r="C11" s="494">
        <v>4</v>
      </c>
      <c r="D11" s="485" t="s">
        <v>830</v>
      </c>
      <c r="E11" s="486"/>
      <c r="F11" s="487"/>
      <c r="G11" s="530">
        <v>18</v>
      </c>
      <c r="H11" s="530">
        <v>1317.1369586674077</v>
      </c>
      <c r="I11" s="530">
        <v>73.174275481522642</v>
      </c>
      <c r="J11" s="243" t="s">
        <v>968</v>
      </c>
      <c r="K11" s="765" t="s">
        <v>967</v>
      </c>
      <c r="L11" s="766"/>
      <c r="M11" s="131"/>
    </row>
    <row r="12" spans="1:13" ht="15.75" customHeight="1">
      <c r="A12" s="772"/>
      <c r="B12" s="774"/>
      <c r="C12" s="494">
        <v>5</v>
      </c>
      <c r="D12" s="485" t="s">
        <v>816</v>
      </c>
      <c r="E12" s="486"/>
      <c r="F12" s="487"/>
      <c r="G12" s="530">
        <v>18</v>
      </c>
      <c r="H12" s="530">
        <v>1312.2330915093669</v>
      </c>
      <c r="I12" s="530">
        <v>72.901838417187065</v>
      </c>
      <c r="J12" s="241" t="s">
        <v>965</v>
      </c>
      <c r="K12" s="765"/>
      <c r="L12" s="766"/>
      <c r="M12" s="131"/>
    </row>
    <row r="13" spans="1:13" ht="15.75" customHeight="1">
      <c r="A13" s="772"/>
      <c r="B13" s="774"/>
      <c r="C13" s="165" t="s">
        <v>872</v>
      </c>
      <c r="D13" s="531" t="s">
        <v>979</v>
      </c>
      <c r="E13" s="486"/>
      <c r="F13" s="487"/>
      <c r="G13" s="530">
        <v>18.142857142857142</v>
      </c>
      <c r="H13" s="530">
        <v>1061.8140349170892</v>
      </c>
      <c r="I13" s="530">
        <v>58.55047538535684</v>
      </c>
      <c r="J13" s="241" t="s">
        <v>965</v>
      </c>
      <c r="K13" s="765"/>
      <c r="L13" s="766"/>
      <c r="M13" s="131"/>
    </row>
    <row r="14" spans="1:13" ht="15.75" customHeight="1">
      <c r="A14" s="772"/>
      <c r="B14" s="774"/>
      <c r="C14" s="165" t="s">
        <v>873</v>
      </c>
      <c r="D14" s="485"/>
      <c r="E14" s="486"/>
      <c r="F14" s="487"/>
      <c r="G14" s="530"/>
      <c r="H14" s="530"/>
      <c r="I14" s="530"/>
      <c r="J14" s="241" t="s">
        <v>965</v>
      </c>
      <c r="K14" s="776"/>
      <c r="L14" s="766"/>
      <c r="M14" s="131"/>
    </row>
    <row r="15" spans="1:13" ht="15.75" customHeight="1">
      <c r="A15" s="772"/>
      <c r="B15" s="774"/>
      <c r="C15" s="165" t="s">
        <v>874</v>
      </c>
      <c r="D15" s="485"/>
      <c r="E15" s="486"/>
      <c r="F15" s="487"/>
      <c r="G15" s="530"/>
      <c r="H15" s="530"/>
      <c r="I15" s="530"/>
      <c r="J15" s="241" t="s">
        <v>965</v>
      </c>
      <c r="K15" s="776"/>
      <c r="L15" s="766"/>
      <c r="M15" s="131"/>
    </row>
    <row r="16" spans="1:13" ht="15.75" customHeight="1">
      <c r="A16" s="772"/>
      <c r="B16" s="774"/>
      <c r="C16" s="165" t="s">
        <v>875</v>
      </c>
      <c r="D16" s="485"/>
      <c r="E16" s="486"/>
      <c r="F16" s="487"/>
      <c r="G16" s="530"/>
      <c r="H16" s="530"/>
      <c r="I16" s="530"/>
      <c r="J16" s="241" t="s">
        <v>965</v>
      </c>
      <c r="K16" s="776"/>
      <c r="L16" s="766"/>
      <c r="M16" s="152"/>
    </row>
    <row r="17" spans="1:13" ht="15.75" customHeight="1">
      <c r="A17" s="768"/>
      <c r="B17" s="775"/>
      <c r="C17" s="165" t="s">
        <v>876</v>
      </c>
      <c r="D17" s="485"/>
      <c r="E17" s="486"/>
      <c r="F17" s="487"/>
      <c r="G17" s="568"/>
      <c r="H17" s="568"/>
      <c r="I17" s="568"/>
      <c r="J17" s="568"/>
      <c r="K17" s="776"/>
      <c r="L17" s="766"/>
      <c r="M17" s="152"/>
    </row>
    <row r="18" spans="1:13" s="162" customFormat="1" ht="15.75" customHeight="1">
      <c r="A18" s="777" t="s">
        <v>870</v>
      </c>
      <c r="B18" s="778"/>
      <c r="C18" s="495" t="s">
        <v>871</v>
      </c>
      <c r="D18" s="777" t="s">
        <v>12</v>
      </c>
      <c r="E18" s="779"/>
      <c r="F18" s="778"/>
      <c r="G18" s="567" t="s">
        <v>969</v>
      </c>
      <c r="H18" s="567" t="s">
        <v>970</v>
      </c>
      <c r="I18" s="567" t="s">
        <v>971</v>
      </c>
      <c r="J18" s="223" t="s">
        <v>972</v>
      </c>
      <c r="K18" s="777" t="s">
        <v>973</v>
      </c>
      <c r="L18" s="778"/>
      <c r="M18" s="155"/>
    </row>
    <row r="19" spans="1:13" ht="15.75" customHeight="1">
      <c r="A19" s="767">
        <v>8</v>
      </c>
      <c r="B19" s="773" t="s">
        <v>136</v>
      </c>
      <c r="C19" s="494">
        <v>1</v>
      </c>
      <c r="D19" s="485" t="s">
        <v>392</v>
      </c>
      <c r="E19" s="486"/>
      <c r="F19" s="487"/>
      <c r="G19" s="530">
        <v>18.142857142857142</v>
      </c>
      <c r="H19" s="530">
        <v>2469.4962253237559</v>
      </c>
      <c r="I19" s="530">
        <v>136.14276886622136</v>
      </c>
      <c r="J19" s="242" t="s">
        <v>966</v>
      </c>
      <c r="K19" s="737" t="s">
        <v>980</v>
      </c>
      <c r="L19" s="738"/>
      <c r="M19" s="152"/>
    </row>
    <row r="20" spans="1:13" ht="15.75" customHeight="1">
      <c r="A20" s="772"/>
      <c r="B20" s="774"/>
      <c r="C20" s="494">
        <v>2</v>
      </c>
      <c r="D20" s="485" t="s">
        <v>391</v>
      </c>
      <c r="E20" s="486"/>
      <c r="F20" s="487"/>
      <c r="G20" s="530">
        <v>18.142857142857142</v>
      </c>
      <c r="H20" s="530">
        <v>2462.4494988108645</v>
      </c>
      <c r="I20" s="530">
        <v>135.75153699593153</v>
      </c>
      <c r="J20" s="243" t="s">
        <v>968</v>
      </c>
      <c r="K20" s="739"/>
      <c r="L20" s="740"/>
      <c r="M20" s="152"/>
    </row>
    <row r="21" spans="1:13" ht="15.75" customHeight="1">
      <c r="A21" s="772"/>
      <c r="B21" s="774"/>
      <c r="C21" s="494">
        <v>3</v>
      </c>
      <c r="D21" s="531" t="s">
        <v>390</v>
      </c>
      <c r="E21" s="486"/>
      <c r="F21" s="487"/>
      <c r="G21" s="530">
        <v>18.142857142857142</v>
      </c>
      <c r="H21" s="530">
        <v>2454.8794682558932</v>
      </c>
      <c r="I21" s="530">
        <v>135.35994007968296</v>
      </c>
      <c r="J21" s="243" t="s">
        <v>968</v>
      </c>
      <c r="K21" s="741"/>
      <c r="L21" s="742"/>
      <c r="M21" s="152"/>
    </row>
    <row r="22" spans="1:13" ht="15.75" customHeight="1">
      <c r="A22" s="772"/>
      <c r="B22" s="774"/>
      <c r="C22" s="494">
        <v>4</v>
      </c>
      <c r="D22" s="485" t="s">
        <v>782</v>
      </c>
      <c r="E22" s="486"/>
      <c r="F22" s="487"/>
      <c r="G22" s="530">
        <v>19</v>
      </c>
      <c r="H22" s="530">
        <v>2032.0102895282239</v>
      </c>
      <c r="I22" s="530">
        <v>106.94790997516968</v>
      </c>
      <c r="J22" s="242" t="s">
        <v>966</v>
      </c>
      <c r="K22" s="744" t="s">
        <v>967</v>
      </c>
      <c r="L22" s="745"/>
      <c r="M22" s="152"/>
    </row>
    <row r="23" spans="1:13" ht="15.75" customHeight="1">
      <c r="A23" s="772"/>
      <c r="B23" s="774"/>
      <c r="C23" s="494">
        <v>5</v>
      </c>
      <c r="D23" s="485" t="s">
        <v>389</v>
      </c>
      <c r="E23" s="486"/>
      <c r="F23" s="487"/>
      <c r="G23" s="530">
        <v>20</v>
      </c>
      <c r="H23" s="530">
        <v>2104.4411946047062</v>
      </c>
      <c r="I23" s="530">
        <v>105.2220597302353</v>
      </c>
      <c r="J23" s="243" t="s">
        <v>968</v>
      </c>
      <c r="K23" s="748"/>
      <c r="L23" s="749"/>
      <c r="M23" s="152"/>
    </row>
    <row r="24" spans="1:13" ht="15.75" customHeight="1">
      <c r="A24" s="772"/>
      <c r="B24" s="774"/>
      <c r="C24" s="165" t="s">
        <v>872</v>
      </c>
      <c r="D24" s="485"/>
      <c r="E24" s="486"/>
      <c r="F24" s="487"/>
      <c r="G24" s="541"/>
      <c r="H24" s="541"/>
      <c r="I24" s="541"/>
      <c r="J24" s="541"/>
      <c r="K24" s="782"/>
      <c r="L24" s="783"/>
      <c r="M24" s="152"/>
    </row>
    <row r="25" spans="1:13" ht="15.75" customHeight="1">
      <c r="A25" s="772"/>
      <c r="B25" s="774"/>
      <c r="C25" s="165" t="s">
        <v>873</v>
      </c>
      <c r="D25" s="485"/>
      <c r="E25" s="486"/>
      <c r="F25" s="487"/>
      <c r="G25" s="541"/>
      <c r="H25" s="541"/>
      <c r="I25" s="541"/>
      <c r="J25" s="541"/>
      <c r="K25" s="780"/>
      <c r="L25" s="781"/>
      <c r="M25" s="152"/>
    </row>
    <row r="26" spans="1:13" ht="15.75" customHeight="1">
      <c r="A26" s="772"/>
      <c r="B26" s="774"/>
      <c r="C26" s="165" t="s">
        <v>874</v>
      </c>
      <c r="D26" s="485"/>
      <c r="E26" s="486"/>
      <c r="F26" s="487"/>
      <c r="G26" s="541"/>
      <c r="H26" s="541"/>
      <c r="I26" s="541"/>
      <c r="J26" s="541"/>
      <c r="K26" s="780"/>
      <c r="L26" s="781"/>
      <c r="M26" s="152"/>
    </row>
    <row r="27" spans="1:13" ht="15.75" customHeight="1">
      <c r="A27" s="772"/>
      <c r="B27" s="774"/>
      <c r="C27" s="165" t="s">
        <v>875</v>
      </c>
      <c r="D27" s="485"/>
      <c r="E27" s="486"/>
      <c r="F27" s="487"/>
      <c r="G27" s="541"/>
      <c r="H27" s="541"/>
      <c r="I27" s="541"/>
      <c r="J27" s="541"/>
      <c r="K27" s="780"/>
      <c r="L27" s="781"/>
      <c r="M27" s="152"/>
    </row>
    <row r="28" spans="1:13" ht="15.75" customHeight="1">
      <c r="A28" s="768"/>
      <c r="B28" s="775"/>
      <c r="C28" s="165" t="s">
        <v>876</v>
      </c>
      <c r="D28" s="485"/>
      <c r="E28" s="486"/>
      <c r="F28" s="487"/>
      <c r="G28" s="541"/>
      <c r="H28" s="541"/>
      <c r="I28" s="541"/>
      <c r="J28" s="541"/>
      <c r="K28" s="780"/>
      <c r="L28" s="781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0">
    <mergeCell ref="K11:L11"/>
    <mergeCell ref="K12:L12"/>
    <mergeCell ref="K22:L23"/>
    <mergeCell ref="A18:B18"/>
    <mergeCell ref="D18:F18"/>
    <mergeCell ref="K18:L18"/>
    <mergeCell ref="A19:A28"/>
    <mergeCell ref="B19:B28"/>
    <mergeCell ref="K28:L28"/>
    <mergeCell ref="K24:L24"/>
    <mergeCell ref="K25:L25"/>
    <mergeCell ref="K19:L21"/>
    <mergeCell ref="K27:L27"/>
    <mergeCell ref="K26:L26"/>
    <mergeCell ref="A1:L2"/>
    <mergeCell ref="K8:L8"/>
    <mergeCell ref="K9:L9"/>
    <mergeCell ref="A3:L4"/>
    <mergeCell ref="A5:A6"/>
    <mergeCell ref="A7:B7"/>
    <mergeCell ref="D7:F7"/>
    <mergeCell ref="K7:L7"/>
    <mergeCell ref="A8:A17"/>
    <mergeCell ref="B8:B17"/>
    <mergeCell ref="K17:L17"/>
    <mergeCell ref="K16:L16"/>
    <mergeCell ref="K13:L13"/>
    <mergeCell ref="K14:L14"/>
    <mergeCell ref="K15:L15"/>
    <mergeCell ref="K10:L10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M23" sqref="M23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605" t="s">
        <v>204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120"/>
    </row>
    <row r="2" spans="1:13" s="121" customFormat="1" ht="15.75" customHeight="1">
      <c r="A2" s="605"/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</row>
    <row r="3" spans="1:13" ht="15.75" customHeight="1">
      <c r="A3" s="750" t="s">
        <v>205</v>
      </c>
      <c r="B3" s="750"/>
      <c r="C3" s="750"/>
      <c r="D3" s="750"/>
      <c r="E3" s="750"/>
      <c r="F3" s="750"/>
      <c r="G3" s="750"/>
      <c r="H3" s="750"/>
      <c r="I3" s="750"/>
      <c r="J3" s="750"/>
      <c r="K3" s="750"/>
      <c r="L3" s="750"/>
      <c r="M3" s="152"/>
    </row>
    <row r="4" spans="1:13" s="121" customFormat="1" ht="15.75" customHeight="1">
      <c r="A4" s="750"/>
      <c r="B4" s="750"/>
      <c r="C4" s="750"/>
      <c r="D4" s="750"/>
      <c r="E4" s="750"/>
      <c r="F4" s="750"/>
      <c r="G4" s="750"/>
      <c r="H4" s="750"/>
      <c r="I4" s="750"/>
      <c r="J4" s="750"/>
      <c r="K4" s="750"/>
      <c r="L4" s="750"/>
      <c r="M4" s="131"/>
    </row>
    <row r="5" spans="1:13" s="154" customFormat="1" ht="16.350000000000001" customHeight="1">
      <c r="A5" s="767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66">
        <v>9</v>
      </c>
      <c r="K5" s="153"/>
      <c r="L5" s="153"/>
      <c r="M5" s="153"/>
    </row>
    <row r="6" spans="1:13" ht="16.350000000000001" customHeight="1">
      <c r="A6" s="768"/>
      <c r="B6" s="157" t="s">
        <v>206</v>
      </c>
      <c r="C6" s="15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69" t="s">
        <v>137</v>
      </c>
      <c r="K6" s="155"/>
      <c r="L6" s="155"/>
      <c r="M6" s="131"/>
    </row>
    <row r="7" spans="1:13" s="154" customFormat="1" ht="15.75" customHeight="1">
      <c r="A7" s="769" t="s">
        <v>870</v>
      </c>
      <c r="B7" s="770"/>
      <c r="C7" s="493" t="s">
        <v>871</v>
      </c>
      <c r="D7" s="769" t="s">
        <v>12</v>
      </c>
      <c r="E7" s="771"/>
      <c r="F7" s="770"/>
      <c r="G7" s="542" t="s">
        <v>927</v>
      </c>
      <c r="H7" s="542" t="s">
        <v>928</v>
      </c>
      <c r="I7" s="542" t="s">
        <v>929</v>
      </c>
      <c r="J7" s="223" t="s">
        <v>930</v>
      </c>
      <c r="K7" s="769" t="s">
        <v>931</v>
      </c>
      <c r="L7" s="770"/>
      <c r="M7" s="153"/>
    </row>
    <row r="8" spans="1:13" ht="15.75" customHeight="1">
      <c r="A8" s="767">
        <v>9</v>
      </c>
      <c r="B8" s="773" t="s">
        <v>137</v>
      </c>
      <c r="C8" s="494">
        <v>1</v>
      </c>
      <c r="D8" s="485" t="s">
        <v>954</v>
      </c>
      <c r="E8" s="486"/>
      <c r="F8" s="487"/>
      <c r="G8" s="530">
        <v>5</v>
      </c>
      <c r="H8" s="530">
        <v>1130.3487354750512</v>
      </c>
      <c r="I8" s="530">
        <v>226.06974709501023</v>
      </c>
      <c r="J8" s="242" t="s">
        <v>966</v>
      </c>
      <c r="K8" s="784" t="s">
        <v>981</v>
      </c>
      <c r="L8" s="764"/>
      <c r="M8" s="131"/>
    </row>
    <row r="9" spans="1:13" ht="15.75" customHeight="1">
      <c r="A9" s="772"/>
      <c r="B9" s="774"/>
      <c r="C9" s="494">
        <v>2</v>
      </c>
      <c r="D9" s="485" t="s">
        <v>964</v>
      </c>
      <c r="E9" s="486"/>
      <c r="F9" s="487"/>
      <c r="G9" s="530">
        <v>6.1428571428571432</v>
      </c>
      <c r="H9" s="530">
        <v>1373.5766652421175</v>
      </c>
      <c r="I9" s="530">
        <v>224.28929752334611</v>
      </c>
      <c r="J9" s="241" t="s">
        <v>965</v>
      </c>
      <c r="K9" s="785" t="s">
        <v>982</v>
      </c>
      <c r="L9" s="786"/>
      <c r="M9" s="131"/>
    </row>
    <row r="10" spans="1:13" ht="15.75" customHeight="1">
      <c r="A10" s="772"/>
      <c r="B10" s="774"/>
      <c r="C10" s="494">
        <v>3</v>
      </c>
      <c r="D10" s="485" t="s">
        <v>395</v>
      </c>
      <c r="E10" s="486"/>
      <c r="F10" s="487"/>
      <c r="G10" s="530">
        <v>7</v>
      </c>
      <c r="H10" s="530">
        <v>1459.9584648258137</v>
      </c>
      <c r="I10" s="530">
        <v>208.56549497511628</v>
      </c>
      <c r="J10" s="243" t="s">
        <v>968</v>
      </c>
      <c r="K10" s="787" t="s">
        <v>983</v>
      </c>
      <c r="L10" s="788"/>
      <c r="M10" s="131"/>
    </row>
    <row r="11" spans="1:13" ht="15.75" customHeight="1">
      <c r="A11" s="772"/>
      <c r="B11" s="774"/>
      <c r="C11" s="494">
        <v>4</v>
      </c>
      <c r="D11" s="531" t="s">
        <v>470</v>
      </c>
      <c r="E11" s="486"/>
      <c r="F11" s="487"/>
      <c r="G11" s="530">
        <v>7</v>
      </c>
      <c r="H11" s="530">
        <v>1457.4525567082708</v>
      </c>
      <c r="I11" s="530">
        <v>208.2075081011815</v>
      </c>
      <c r="J11" s="243" t="s">
        <v>968</v>
      </c>
      <c r="K11" s="789"/>
      <c r="L11" s="790"/>
      <c r="M11" s="131"/>
    </row>
    <row r="12" spans="1:13" ht="15.75" customHeight="1">
      <c r="A12" s="772"/>
      <c r="B12" s="774"/>
      <c r="C12" s="494">
        <v>5</v>
      </c>
      <c r="D12" s="485" t="s">
        <v>394</v>
      </c>
      <c r="E12" s="486"/>
      <c r="F12" s="487"/>
      <c r="G12" s="568">
        <v>7</v>
      </c>
      <c r="H12" s="530">
        <v>1310.9666191622848</v>
      </c>
      <c r="I12" s="530">
        <v>187.28094559461209</v>
      </c>
      <c r="J12" s="243" t="s">
        <v>968</v>
      </c>
      <c r="K12" s="791"/>
      <c r="L12" s="792"/>
      <c r="M12" s="131"/>
    </row>
    <row r="13" spans="1:13" ht="15.75" customHeight="1">
      <c r="A13" s="772"/>
      <c r="B13" s="774"/>
      <c r="C13" s="165" t="s">
        <v>872</v>
      </c>
      <c r="D13" s="485" t="s">
        <v>706</v>
      </c>
      <c r="E13" s="486"/>
      <c r="F13" s="487"/>
      <c r="G13" s="530">
        <v>19</v>
      </c>
      <c r="H13" s="530">
        <v>1129.4117647058808</v>
      </c>
      <c r="I13" s="530">
        <v>59.442724458204253</v>
      </c>
      <c r="J13" s="241" t="s">
        <v>965</v>
      </c>
      <c r="K13" s="763"/>
      <c r="L13" s="764"/>
      <c r="M13" s="131"/>
    </row>
    <row r="14" spans="1:13" ht="15.75" customHeight="1">
      <c r="A14" s="772"/>
      <c r="B14" s="774"/>
      <c r="C14" s="165" t="s">
        <v>873</v>
      </c>
      <c r="D14" s="485" t="s">
        <v>349</v>
      </c>
      <c r="E14" s="486"/>
      <c r="F14" s="487"/>
      <c r="G14" s="530">
        <v>18</v>
      </c>
      <c r="H14" s="530">
        <v>1270.0456782388412</v>
      </c>
      <c r="I14" s="530">
        <v>70.558093235491199</v>
      </c>
      <c r="J14" s="241" t="s">
        <v>965</v>
      </c>
      <c r="K14" s="776"/>
      <c r="L14" s="766"/>
      <c r="M14" s="131"/>
    </row>
    <row r="15" spans="1:13" ht="15.75" customHeight="1">
      <c r="A15" s="772"/>
      <c r="B15" s="774"/>
      <c r="C15" s="165" t="s">
        <v>874</v>
      </c>
      <c r="D15" s="485" t="s">
        <v>396</v>
      </c>
      <c r="E15" s="486"/>
      <c r="F15" s="487"/>
      <c r="G15" s="530">
        <v>16.857142857142858</v>
      </c>
      <c r="H15" s="530">
        <v>1270.2836615552224</v>
      </c>
      <c r="I15" s="530">
        <v>75.39547773444329</v>
      </c>
      <c r="J15" s="241" t="s">
        <v>965</v>
      </c>
      <c r="K15" s="776"/>
      <c r="L15" s="766"/>
      <c r="M15" s="131"/>
    </row>
    <row r="16" spans="1:13" ht="15.75" customHeight="1">
      <c r="A16" s="772"/>
      <c r="B16" s="774"/>
      <c r="C16" s="165" t="s">
        <v>875</v>
      </c>
      <c r="D16" s="485"/>
      <c r="E16" s="486"/>
      <c r="F16" s="487"/>
      <c r="G16" s="530"/>
      <c r="H16" s="530"/>
      <c r="I16" s="530"/>
      <c r="J16" s="242"/>
      <c r="K16" s="776"/>
      <c r="L16" s="766"/>
      <c r="M16" s="152"/>
    </row>
    <row r="17" spans="1:13" ht="15.75" customHeight="1">
      <c r="A17" s="768"/>
      <c r="B17" s="775"/>
      <c r="C17" s="165" t="s">
        <v>876</v>
      </c>
      <c r="D17" s="485"/>
      <c r="E17" s="486"/>
      <c r="F17" s="487"/>
      <c r="G17" s="548"/>
      <c r="H17" s="548"/>
      <c r="I17" s="548"/>
      <c r="J17" s="548"/>
      <c r="K17" s="776"/>
      <c r="L17" s="766"/>
      <c r="M17" s="152"/>
    </row>
    <row r="18" spans="1:13" s="162" customFormat="1" ht="15.75" customHeight="1">
      <c r="A18" s="777" t="s">
        <v>187</v>
      </c>
      <c r="B18" s="778"/>
      <c r="C18" s="287" t="s">
        <v>449</v>
      </c>
      <c r="D18" s="777" t="s">
        <v>12</v>
      </c>
      <c r="E18" s="779"/>
      <c r="F18" s="778"/>
      <c r="G18" s="287" t="s">
        <v>444</v>
      </c>
      <c r="H18" s="287" t="s">
        <v>445</v>
      </c>
      <c r="I18" s="287" t="s">
        <v>446</v>
      </c>
      <c r="J18" s="223" t="s">
        <v>447</v>
      </c>
      <c r="K18" s="777" t="s">
        <v>448</v>
      </c>
      <c r="L18" s="778"/>
      <c r="M18" s="155"/>
    </row>
    <row r="19" spans="1:13" ht="15.75" customHeight="1">
      <c r="A19" s="767"/>
      <c r="B19" s="773"/>
      <c r="C19" s="286">
        <v>1</v>
      </c>
      <c r="D19" s="782"/>
      <c r="E19" s="793"/>
      <c r="F19" s="783"/>
      <c r="G19" s="285"/>
      <c r="H19" s="285"/>
      <c r="I19" s="285"/>
      <c r="J19" s="285"/>
      <c r="K19" s="782"/>
      <c r="L19" s="783"/>
      <c r="M19" s="152"/>
    </row>
    <row r="20" spans="1:13" ht="15.75" customHeight="1">
      <c r="A20" s="772"/>
      <c r="B20" s="774"/>
      <c r="C20" s="286">
        <v>2</v>
      </c>
      <c r="D20" s="780"/>
      <c r="E20" s="794"/>
      <c r="F20" s="781"/>
      <c r="G20" s="285"/>
      <c r="H20" s="285"/>
      <c r="I20" s="285"/>
      <c r="J20" s="285"/>
      <c r="K20" s="780"/>
      <c r="L20" s="781"/>
      <c r="M20" s="152"/>
    </row>
    <row r="21" spans="1:13" ht="15.75" customHeight="1">
      <c r="A21" s="772"/>
      <c r="B21" s="774"/>
      <c r="C21" s="286">
        <v>3</v>
      </c>
      <c r="D21" s="780"/>
      <c r="E21" s="794"/>
      <c r="F21" s="781"/>
      <c r="G21" s="285"/>
      <c r="H21" s="285"/>
      <c r="I21" s="285"/>
      <c r="J21" s="285"/>
      <c r="K21" s="780"/>
      <c r="L21" s="781"/>
      <c r="M21" s="152"/>
    </row>
    <row r="22" spans="1:13" ht="15.75" customHeight="1">
      <c r="A22" s="772"/>
      <c r="B22" s="774"/>
      <c r="C22" s="286">
        <v>4</v>
      </c>
      <c r="D22" s="780"/>
      <c r="E22" s="794"/>
      <c r="F22" s="781"/>
      <c r="G22" s="285"/>
      <c r="H22" s="285"/>
      <c r="I22" s="285"/>
      <c r="J22" s="285"/>
      <c r="K22" s="780"/>
      <c r="L22" s="781"/>
      <c r="M22" s="152"/>
    </row>
    <row r="23" spans="1:13" ht="15.75" customHeight="1">
      <c r="A23" s="772"/>
      <c r="B23" s="774"/>
      <c r="C23" s="286">
        <v>5</v>
      </c>
      <c r="D23" s="780"/>
      <c r="E23" s="794"/>
      <c r="F23" s="781"/>
      <c r="G23" s="285"/>
      <c r="H23" s="285"/>
      <c r="I23" s="285"/>
      <c r="J23" s="285"/>
      <c r="K23" s="780"/>
      <c r="L23" s="781"/>
      <c r="M23" s="152"/>
    </row>
    <row r="24" spans="1:13" ht="15.75" customHeight="1">
      <c r="A24" s="772"/>
      <c r="B24" s="774"/>
      <c r="C24" s="165" t="s">
        <v>450</v>
      </c>
      <c r="D24" s="782"/>
      <c r="E24" s="793"/>
      <c r="F24" s="783"/>
      <c r="G24" s="285"/>
      <c r="H24" s="285"/>
      <c r="I24" s="285"/>
      <c r="J24" s="285"/>
      <c r="K24" s="782"/>
      <c r="L24" s="783"/>
      <c r="M24" s="152"/>
    </row>
    <row r="25" spans="1:13" ht="15.75" customHeight="1">
      <c r="A25" s="772"/>
      <c r="B25" s="774"/>
      <c r="C25" s="165" t="s">
        <v>451</v>
      </c>
      <c r="D25" s="780"/>
      <c r="E25" s="794"/>
      <c r="F25" s="781"/>
      <c r="G25" s="285"/>
      <c r="H25" s="285"/>
      <c r="I25" s="285"/>
      <c r="J25" s="285"/>
      <c r="K25" s="780"/>
      <c r="L25" s="781"/>
      <c r="M25" s="152"/>
    </row>
    <row r="26" spans="1:13" ht="15.75" customHeight="1">
      <c r="A26" s="772"/>
      <c r="B26" s="774"/>
      <c r="C26" s="165" t="s">
        <v>452</v>
      </c>
      <c r="D26" s="780"/>
      <c r="E26" s="794"/>
      <c r="F26" s="781"/>
      <c r="G26" s="285"/>
      <c r="H26" s="285"/>
      <c r="I26" s="285"/>
      <c r="J26" s="285"/>
      <c r="K26" s="780"/>
      <c r="L26" s="781"/>
      <c r="M26" s="152"/>
    </row>
    <row r="27" spans="1:13" ht="15.75" customHeight="1">
      <c r="A27" s="772"/>
      <c r="B27" s="774"/>
      <c r="C27" s="165" t="s">
        <v>453</v>
      </c>
      <c r="D27" s="780"/>
      <c r="E27" s="794"/>
      <c r="F27" s="781"/>
      <c r="G27" s="285"/>
      <c r="H27" s="285"/>
      <c r="I27" s="285"/>
      <c r="J27" s="285"/>
      <c r="K27" s="780"/>
      <c r="L27" s="781"/>
      <c r="M27" s="152"/>
    </row>
    <row r="28" spans="1:13" ht="15.75" customHeight="1">
      <c r="A28" s="768"/>
      <c r="B28" s="775"/>
      <c r="C28" s="165" t="s">
        <v>454</v>
      </c>
      <c r="D28" s="780"/>
      <c r="E28" s="794"/>
      <c r="F28" s="781"/>
      <c r="G28" s="285"/>
      <c r="H28" s="285"/>
      <c r="I28" s="285"/>
      <c r="J28" s="285"/>
      <c r="K28" s="780"/>
      <c r="L28" s="781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41">
    <mergeCell ref="D27:F27"/>
    <mergeCell ref="K27:L27"/>
    <mergeCell ref="K17:L17"/>
    <mergeCell ref="D22:F22"/>
    <mergeCell ref="K22:L22"/>
    <mergeCell ref="D23:F23"/>
    <mergeCell ref="K24:L24"/>
    <mergeCell ref="K23:L23"/>
    <mergeCell ref="D24:F24"/>
    <mergeCell ref="K25:L25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D28:F28"/>
    <mergeCell ref="K28:L28"/>
    <mergeCell ref="D25:F25"/>
    <mergeCell ref="D26:F26"/>
    <mergeCell ref="K26:L26"/>
    <mergeCell ref="K21:L21"/>
    <mergeCell ref="A1:L2"/>
    <mergeCell ref="K14:L14"/>
    <mergeCell ref="A3:L4"/>
    <mergeCell ref="A5:A6"/>
    <mergeCell ref="A7:B7"/>
    <mergeCell ref="D7:F7"/>
    <mergeCell ref="K7:L7"/>
    <mergeCell ref="A8:A17"/>
    <mergeCell ref="B8:B17"/>
    <mergeCell ref="K13:L13"/>
    <mergeCell ref="K15:L15"/>
    <mergeCell ref="K16:L16"/>
    <mergeCell ref="K8:L8"/>
    <mergeCell ref="K9:L9"/>
    <mergeCell ref="K10:L12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83" customWidth="1"/>
    <col min="2" max="2" width="14.85546875" style="183" customWidth="1"/>
    <col min="3" max="3" width="12.85546875" style="183" customWidth="1"/>
    <col min="4" max="4" width="2.5703125" style="183" customWidth="1"/>
    <col min="5" max="5" width="7.5703125" style="183" customWidth="1"/>
    <col min="6" max="6" width="12.85546875" style="183" customWidth="1"/>
    <col min="7" max="7" width="9.42578125" style="183" customWidth="1"/>
    <col min="8" max="8" width="12.85546875" style="183" customWidth="1"/>
    <col min="9" max="9" width="9.42578125" style="183" customWidth="1"/>
    <col min="10" max="10" width="12.85546875" style="183" customWidth="1"/>
    <col min="11" max="11" width="9.42578125" style="183" customWidth="1"/>
    <col min="12" max="12" width="12.85546875" style="183" customWidth="1"/>
    <col min="13" max="13" width="9.42578125" style="183" customWidth="1"/>
    <col min="14" max="16384" width="12.5703125" style="183"/>
  </cols>
  <sheetData>
    <row r="1" spans="1:14" ht="15.75" customHeight="1">
      <c r="A1" s="797" t="s">
        <v>236</v>
      </c>
      <c r="B1" s="797"/>
      <c r="C1" s="797"/>
      <c r="D1" s="797"/>
      <c r="E1" s="797"/>
      <c r="F1" s="797"/>
      <c r="G1" s="797"/>
      <c r="H1" s="797"/>
      <c r="I1" s="797"/>
      <c r="J1" s="797"/>
      <c r="K1" s="797"/>
      <c r="L1" s="797"/>
      <c r="M1" s="797"/>
    </row>
    <row r="2" spans="1:14" s="184" customFormat="1" ht="15.75" customHeight="1">
      <c r="A2" s="797"/>
      <c r="B2" s="797"/>
      <c r="C2" s="797"/>
      <c r="D2" s="797"/>
      <c r="E2" s="797"/>
      <c r="F2" s="797"/>
      <c r="G2" s="797"/>
      <c r="H2" s="797"/>
      <c r="I2" s="797"/>
      <c r="J2" s="797"/>
      <c r="K2" s="797"/>
      <c r="L2" s="797"/>
      <c r="M2" s="797"/>
    </row>
    <row r="3" spans="1:14" ht="15.75" customHeight="1">
      <c r="A3" s="798" t="s">
        <v>237</v>
      </c>
      <c r="B3" s="798"/>
      <c r="C3" s="798"/>
      <c r="D3" s="798"/>
      <c r="E3" s="798"/>
      <c r="F3" s="798"/>
      <c r="G3" s="798"/>
      <c r="H3" s="798"/>
      <c r="I3" s="798"/>
      <c r="J3" s="798"/>
      <c r="K3" s="798"/>
      <c r="L3" s="798"/>
      <c r="M3" s="798"/>
      <c r="N3" s="185"/>
    </row>
    <row r="4" spans="1:14" s="184" customFormat="1" ht="15.75" customHeight="1">
      <c r="A4" s="798"/>
      <c r="B4" s="798"/>
      <c r="C4" s="798"/>
      <c r="D4" s="798"/>
      <c r="E4" s="798"/>
      <c r="F4" s="798"/>
      <c r="G4" s="798"/>
      <c r="H4" s="798"/>
      <c r="I4" s="798"/>
      <c r="J4" s="798"/>
      <c r="K4" s="798"/>
      <c r="L4" s="798"/>
      <c r="M4" s="798"/>
      <c r="N4" s="186"/>
    </row>
    <row r="5" spans="1:14" ht="15.75" customHeight="1">
      <c r="A5" s="187" t="s">
        <v>238</v>
      </c>
      <c r="B5" s="188">
        <v>212376150</v>
      </c>
    </row>
    <row r="6" spans="1:14" ht="15.75" customHeight="1">
      <c r="A6" s="799" t="s">
        <v>239</v>
      </c>
      <c r="B6" s="800" t="s">
        <v>10</v>
      </c>
      <c r="C6" s="800"/>
      <c r="D6" s="801"/>
      <c r="E6" s="799" t="s">
        <v>239</v>
      </c>
      <c r="F6" s="803">
        <v>1</v>
      </c>
      <c r="G6" s="803"/>
      <c r="H6" s="803">
        <v>2</v>
      </c>
      <c r="I6" s="803"/>
      <c r="J6" s="803">
        <v>3</v>
      </c>
      <c r="K6" s="803"/>
      <c r="L6" s="803">
        <v>4</v>
      </c>
      <c r="M6" s="803"/>
    </row>
    <row r="7" spans="1:14" ht="31.35" customHeight="1">
      <c r="A7" s="799"/>
      <c r="B7" s="800"/>
      <c r="C7" s="800"/>
      <c r="D7" s="802"/>
      <c r="E7" s="799"/>
      <c r="F7" s="795" t="s">
        <v>250</v>
      </c>
      <c r="G7" s="795"/>
      <c r="H7" s="795" t="s">
        <v>240</v>
      </c>
      <c r="I7" s="795"/>
      <c r="J7" s="795" t="s">
        <v>241</v>
      </c>
      <c r="K7" s="795"/>
      <c r="L7" s="795" t="s">
        <v>242</v>
      </c>
      <c r="M7" s="795"/>
    </row>
    <row r="8" spans="1:14" ht="15.75" customHeight="1">
      <c r="A8" s="799"/>
      <c r="B8" s="216" t="s">
        <v>11</v>
      </c>
      <c r="C8" s="216" t="s">
        <v>243</v>
      </c>
      <c r="D8" s="802"/>
      <c r="E8" s="799"/>
      <c r="F8" s="216" t="s">
        <v>11</v>
      </c>
      <c r="G8" s="216" t="s">
        <v>243</v>
      </c>
      <c r="H8" s="216" t="s">
        <v>11</v>
      </c>
      <c r="I8" s="216" t="s">
        <v>243</v>
      </c>
      <c r="J8" s="216" t="s">
        <v>11</v>
      </c>
      <c r="K8" s="216" t="s">
        <v>243</v>
      </c>
      <c r="L8" s="216" t="s">
        <v>11</v>
      </c>
      <c r="M8" s="216" t="s">
        <v>243</v>
      </c>
    </row>
    <row r="9" spans="1:14" s="194" customFormat="1" ht="19.350000000000001" customHeight="1">
      <c r="A9" s="189" t="s">
        <v>244</v>
      </c>
      <c r="B9" s="190">
        <v>47927.00699999994</v>
      </c>
      <c r="C9" s="191">
        <f>B9/$B$5</f>
        <v>2.256703824793883E-4</v>
      </c>
      <c r="D9" s="802"/>
      <c r="E9" s="189" t="s">
        <v>244</v>
      </c>
      <c r="F9" s="192">
        <v>1423.9050000000002</v>
      </c>
      <c r="G9" s="193">
        <f>IFERROR(F9/$B$9,"")</f>
        <v>2.9709866923256903E-2</v>
      </c>
      <c r="H9" s="192">
        <v>5535.9419999999991</v>
      </c>
      <c r="I9" s="193">
        <f>IFERROR(H9/$B$9,"")</f>
        <v>0.11550777623146812</v>
      </c>
      <c r="J9" s="192">
        <v>6691.5360000000019</v>
      </c>
      <c r="K9" s="193">
        <f>IFERROR(J9/$B$9,"")</f>
        <v>0.13961931735065389</v>
      </c>
      <c r="L9" s="192">
        <v>17258.763000000006</v>
      </c>
      <c r="M9" s="193">
        <f>IFERROR(L9/$B$9,"")</f>
        <v>0.36010516993059943</v>
      </c>
    </row>
    <row r="10" spans="1:14" s="194" customFormat="1" ht="19.350000000000001" customHeight="1">
      <c r="A10" s="195" t="s">
        <v>245</v>
      </c>
      <c r="B10" s="196">
        <v>69974.579191980054</v>
      </c>
      <c r="C10" s="191">
        <f>B10/$B$5</f>
        <v>3.2948416849999424E-4</v>
      </c>
      <c r="D10" s="802"/>
      <c r="E10" s="195" t="s">
        <v>245</v>
      </c>
      <c r="F10" s="192">
        <v>1179.8078200000007</v>
      </c>
      <c r="G10" s="193">
        <f>IFERROR(F10/$B$10,"")</f>
        <v>1.6860520400746062E-2</v>
      </c>
      <c r="H10" s="192">
        <v>3563.9139100000007</v>
      </c>
      <c r="I10" s="193">
        <f>IFERROR(H10/$B$10,"")</f>
        <v>5.0931551874319365E-2</v>
      </c>
      <c r="J10" s="192">
        <v>3130.998689999999</v>
      </c>
      <c r="K10" s="193">
        <f>IFERROR(J10/$B$10,"")</f>
        <v>4.4744801986016804E-2</v>
      </c>
      <c r="L10" s="192">
        <v>14381.948886699534</v>
      </c>
      <c r="M10" s="193">
        <f>IFERROR(L10/$B$10,"")</f>
        <v>0.20553105217312806</v>
      </c>
    </row>
    <row r="11" spans="1:14" ht="15.75" customHeight="1">
      <c r="D11" s="802"/>
      <c r="E11" s="799" t="s">
        <v>239</v>
      </c>
      <c r="F11" s="803">
        <v>5</v>
      </c>
      <c r="G11" s="803"/>
      <c r="H11" s="803">
        <v>6</v>
      </c>
      <c r="I11" s="803"/>
      <c r="J11" s="803">
        <v>7</v>
      </c>
      <c r="K11" s="803"/>
      <c r="L11" s="804">
        <v>8</v>
      </c>
      <c r="M11" s="804"/>
    </row>
    <row r="12" spans="1:14" ht="31.35" customHeight="1">
      <c r="D12" s="802"/>
      <c r="E12" s="799"/>
      <c r="F12" s="795" t="s">
        <v>246</v>
      </c>
      <c r="G12" s="795"/>
      <c r="H12" s="795" t="s">
        <v>247</v>
      </c>
      <c r="I12" s="795"/>
      <c r="J12" s="795" t="s">
        <v>248</v>
      </c>
      <c r="K12" s="795"/>
      <c r="L12" s="796" t="s">
        <v>249</v>
      </c>
      <c r="M12" s="796"/>
    </row>
    <row r="13" spans="1:14" ht="15.75" customHeight="1">
      <c r="D13" s="802"/>
      <c r="E13" s="799"/>
      <c r="F13" s="216" t="s">
        <v>11</v>
      </c>
      <c r="G13" s="216" t="s">
        <v>243</v>
      </c>
      <c r="H13" s="216" t="s">
        <v>11</v>
      </c>
      <c r="I13" s="216" t="s">
        <v>243</v>
      </c>
      <c r="J13" s="216" t="s">
        <v>11</v>
      </c>
      <c r="K13" s="216" t="s">
        <v>243</v>
      </c>
      <c r="L13" s="216" t="s">
        <v>11</v>
      </c>
      <c r="M13" s="216" t="s">
        <v>243</v>
      </c>
    </row>
    <row r="14" spans="1:14" s="194" customFormat="1" ht="19.350000000000001" customHeight="1">
      <c r="D14" s="802"/>
      <c r="E14" s="189" t="s">
        <v>244</v>
      </c>
      <c r="F14" s="192">
        <v>12460.915000000001</v>
      </c>
      <c r="G14" s="193">
        <f>IFERROR(F14/$B$9,"")</f>
        <v>0.25999777119401629</v>
      </c>
      <c r="H14" s="192">
        <v>1494.27</v>
      </c>
      <c r="I14" s="193">
        <f>IFERROR(H14/$B$9,"")</f>
        <v>3.1178037051218365E-2</v>
      </c>
      <c r="J14" s="192">
        <v>3061.675999999999</v>
      </c>
      <c r="K14" s="193">
        <f>IFERROR(J14/$B$9,"")</f>
        <v>6.3882061318788444E-2</v>
      </c>
      <c r="L14" s="192">
        <v>0</v>
      </c>
      <c r="M14" s="193">
        <f>IFERROR(L14/$B$9,"")</f>
        <v>0</v>
      </c>
    </row>
    <row r="15" spans="1:14" s="194" customFormat="1" ht="19.350000000000001" customHeight="1">
      <c r="D15" s="802"/>
      <c r="E15" s="195" t="s">
        <v>245</v>
      </c>
      <c r="F15" s="192">
        <v>30846.731825280494</v>
      </c>
      <c r="G15" s="193">
        <f>IFERROR(F15/$B$10,"")</f>
        <v>0.44082768601795191</v>
      </c>
      <c r="H15" s="192">
        <v>12704.309300000044</v>
      </c>
      <c r="I15" s="193">
        <f>IFERROR(H15/$B$10,"")</f>
        <v>0.18155606574131589</v>
      </c>
      <c r="J15" s="192">
        <v>3994.7131600000112</v>
      </c>
      <c r="K15" s="193">
        <f>IFERROR(J15/$B$10,"")</f>
        <v>5.7088062638293857E-2</v>
      </c>
      <c r="L15" s="192">
        <v>0</v>
      </c>
      <c r="M15" s="193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N366"/>
  <sheetViews>
    <sheetView topLeftCell="A341" zoomScale="110" zoomScaleNormal="110" zoomScaleSheetLayoutView="115" workbookViewId="0">
      <selection activeCell="F365" sqref="F365"/>
    </sheetView>
  </sheetViews>
  <sheetFormatPr defaultColWidth="12.5703125" defaultRowHeight="15.75" customHeight="1"/>
  <cols>
    <col min="1" max="1" width="7.5703125" style="183" customWidth="1"/>
    <col min="2" max="2" width="14.85546875" style="183" customWidth="1"/>
    <col min="3" max="3" width="12.85546875" style="183" customWidth="1"/>
    <col min="4" max="4" width="2.5703125" style="183" customWidth="1"/>
    <col min="5" max="5" width="7.5703125" style="183" customWidth="1"/>
    <col min="6" max="6" width="12.85546875" style="183" customWidth="1"/>
    <col min="7" max="7" width="9.42578125" style="183" customWidth="1"/>
    <col min="8" max="8" width="12.85546875" style="183" customWidth="1"/>
    <col min="9" max="9" width="9.42578125" style="183" customWidth="1"/>
    <col min="10" max="10" width="12.85546875" style="183" customWidth="1"/>
    <col min="11" max="11" width="9.42578125" style="183" customWidth="1"/>
    <col min="12" max="12" width="12.85546875" style="183" customWidth="1"/>
    <col min="13" max="13" width="9.42578125" style="183" customWidth="1"/>
    <col min="14" max="16384" width="12.5703125" style="183"/>
  </cols>
  <sheetData>
    <row r="1" spans="1:14" ht="15.75" customHeight="1">
      <c r="A1" s="797" t="s">
        <v>236</v>
      </c>
      <c r="B1" s="797"/>
      <c r="C1" s="797"/>
      <c r="D1" s="797"/>
      <c r="E1" s="797"/>
      <c r="F1" s="797"/>
      <c r="G1" s="797"/>
      <c r="H1" s="797"/>
      <c r="I1" s="797"/>
      <c r="J1" s="797"/>
      <c r="K1" s="797"/>
      <c r="L1" s="797"/>
      <c r="M1" s="797"/>
    </row>
    <row r="2" spans="1:14" s="184" customFormat="1" ht="15.75" customHeight="1">
      <c r="A2" s="797"/>
      <c r="B2" s="797"/>
      <c r="C2" s="797"/>
      <c r="D2" s="797"/>
      <c r="E2" s="797"/>
      <c r="F2" s="797"/>
      <c r="G2" s="797"/>
      <c r="H2" s="797"/>
      <c r="I2" s="797"/>
      <c r="J2" s="797"/>
      <c r="K2" s="797"/>
      <c r="L2" s="797"/>
      <c r="M2" s="797"/>
    </row>
    <row r="3" spans="1:14" ht="15.75" customHeight="1">
      <c r="A3" s="798" t="s">
        <v>411</v>
      </c>
      <c r="B3" s="798"/>
      <c r="C3" s="798"/>
      <c r="D3" s="798"/>
      <c r="E3" s="798"/>
      <c r="F3" s="798"/>
      <c r="G3" s="798"/>
      <c r="H3" s="798"/>
      <c r="I3" s="798"/>
      <c r="J3" s="798"/>
      <c r="K3" s="798"/>
      <c r="L3" s="798"/>
      <c r="M3" s="798"/>
      <c r="N3" s="185"/>
    </row>
    <row r="4" spans="1:14" s="184" customFormat="1" ht="15.75" customHeight="1">
      <c r="A4" s="798"/>
      <c r="B4" s="798"/>
      <c r="C4" s="798"/>
      <c r="D4" s="798"/>
      <c r="E4" s="798"/>
      <c r="F4" s="798"/>
      <c r="G4" s="798"/>
      <c r="H4" s="798"/>
      <c r="I4" s="798"/>
      <c r="J4" s="798"/>
      <c r="K4" s="798"/>
      <c r="L4" s="798"/>
      <c r="M4" s="798"/>
      <c r="N4" s="186"/>
    </row>
    <row r="5" spans="1:14" ht="15.75" customHeight="1">
      <c r="A5" s="187" t="s">
        <v>238</v>
      </c>
      <c r="B5" s="188">
        <v>75872986</v>
      </c>
    </row>
    <row r="6" spans="1:14" ht="15.75" customHeight="1">
      <c r="A6" s="799" t="s">
        <v>239</v>
      </c>
      <c r="B6" s="800" t="s">
        <v>10</v>
      </c>
      <c r="C6" s="800"/>
      <c r="D6" s="801"/>
      <c r="E6" s="799" t="s">
        <v>239</v>
      </c>
      <c r="F6" s="803">
        <v>1</v>
      </c>
      <c r="G6" s="803"/>
      <c r="H6" s="803">
        <v>2</v>
      </c>
      <c r="I6" s="803"/>
      <c r="J6" s="803">
        <v>3</v>
      </c>
      <c r="K6" s="803"/>
      <c r="L6" s="803">
        <v>4</v>
      </c>
      <c r="M6" s="803"/>
    </row>
    <row r="7" spans="1:14" ht="31.35" customHeight="1">
      <c r="A7" s="799"/>
      <c r="B7" s="800"/>
      <c r="C7" s="800"/>
      <c r="D7" s="802"/>
      <c r="E7" s="799"/>
      <c r="F7" s="795" t="s">
        <v>250</v>
      </c>
      <c r="G7" s="795"/>
      <c r="H7" s="795" t="s">
        <v>240</v>
      </c>
      <c r="I7" s="795"/>
      <c r="J7" s="795" t="s">
        <v>241</v>
      </c>
      <c r="K7" s="795"/>
      <c r="L7" s="795" t="s">
        <v>709</v>
      </c>
      <c r="M7" s="795"/>
    </row>
    <row r="8" spans="1:14" ht="15.75" customHeight="1">
      <c r="A8" s="799"/>
      <c r="B8" s="217" t="s">
        <v>11</v>
      </c>
      <c r="C8" s="217" t="s">
        <v>243</v>
      </c>
      <c r="D8" s="802"/>
      <c r="E8" s="799"/>
      <c r="F8" s="217" t="s">
        <v>11</v>
      </c>
      <c r="G8" s="217" t="s">
        <v>243</v>
      </c>
      <c r="H8" s="217" t="s">
        <v>11</v>
      </c>
      <c r="I8" s="217" t="s">
        <v>243</v>
      </c>
      <c r="J8" s="217" t="s">
        <v>11</v>
      </c>
      <c r="K8" s="217" t="s">
        <v>243</v>
      </c>
      <c r="L8" s="217" t="s">
        <v>11</v>
      </c>
      <c r="M8" s="217" t="s">
        <v>243</v>
      </c>
    </row>
    <row r="9" spans="1:14" s="194" customFormat="1" ht="19.350000000000001" customHeight="1">
      <c r="A9" s="189" t="s">
        <v>244</v>
      </c>
      <c r="B9" s="190">
        <v>18257.814999999991</v>
      </c>
      <c r="C9" s="191">
        <f>B9/$B$5</f>
        <v>2.4063656859372835E-4</v>
      </c>
      <c r="D9" s="802"/>
      <c r="E9" s="189" t="s">
        <v>244</v>
      </c>
      <c r="F9" s="192">
        <v>552.57299999999998</v>
      </c>
      <c r="G9" s="193">
        <f>IFERROR(F9/$B$9,"")</f>
        <v>3.0265012543943523E-2</v>
      </c>
      <c r="H9" s="192">
        <v>1893.9470000000001</v>
      </c>
      <c r="I9" s="193">
        <f>IFERROR(H9/$B$9,"")</f>
        <v>0.10373349713533635</v>
      </c>
      <c r="J9" s="192">
        <v>2015.6379999999999</v>
      </c>
      <c r="K9" s="193">
        <f>IFERROR(J9/$B$9,"")</f>
        <v>0.11039864299205578</v>
      </c>
      <c r="L9" s="192">
        <v>6004.951</v>
      </c>
      <c r="M9" s="193">
        <f>IFERROR(L9/$B$9,"")</f>
        <v>0.32889757071150094</v>
      </c>
    </row>
    <row r="10" spans="1:14" s="194" customFormat="1" ht="19.350000000000001" customHeight="1">
      <c r="A10" s="195" t="s">
        <v>245</v>
      </c>
      <c r="B10" s="196">
        <v>22782.319846732516</v>
      </c>
      <c r="C10" s="191">
        <f>B10/$B$5</f>
        <v>3.0026918733279477E-4</v>
      </c>
      <c r="D10" s="802"/>
      <c r="E10" s="195" t="s">
        <v>245</v>
      </c>
      <c r="F10" s="192">
        <v>733.22632000000021</v>
      </c>
      <c r="G10" s="193">
        <f>IFERROR(F10/$B$10,"")</f>
        <v>3.2184006059644575E-2</v>
      </c>
      <c r="H10" s="192">
        <v>2126.0029800000007</v>
      </c>
      <c r="I10" s="193">
        <f>IFERROR(H10/$B$10,"")</f>
        <v>9.3318107826710892E-2</v>
      </c>
      <c r="J10" s="192">
        <v>833.94599999999934</v>
      </c>
      <c r="K10" s="193">
        <f>IFERROR(J10/$B$10,"")</f>
        <v>3.6604964095419169E-2</v>
      </c>
      <c r="L10" s="192">
        <v>7270.6642214520316</v>
      </c>
      <c r="M10" s="193">
        <f>IFERROR(L10/$B$10,"")</f>
        <v>0.31913625435711734</v>
      </c>
    </row>
    <row r="11" spans="1:14" ht="15.75" customHeight="1">
      <c r="D11" s="802"/>
      <c r="E11" s="799" t="s">
        <v>239</v>
      </c>
      <c r="F11" s="803">
        <v>5</v>
      </c>
      <c r="G11" s="803"/>
      <c r="H11" s="803">
        <v>6</v>
      </c>
      <c r="I11" s="803"/>
      <c r="J11" s="803">
        <v>7</v>
      </c>
      <c r="K11" s="803"/>
      <c r="L11" s="804">
        <v>8</v>
      </c>
      <c r="M11" s="804"/>
    </row>
    <row r="12" spans="1:14" ht="31.35" customHeight="1">
      <c r="D12" s="802"/>
      <c r="E12" s="799"/>
      <c r="F12" s="795" t="s">
        <v>246</v>
      </c>
      <c r="G12" s="795"/>
      <c r="H12" s="795" t="s">
        <v>247</v>
      </c>
      <c r="I12" s="795"/>
      <c r="J12" s="795" t="s">
        <v>189</v>
      </c>
      <c r="K12" s="795"/>
      <c r="L12" s="796" t="s">
        <v>249</v>
      </c>
      <c r="M12" s="796"/>
    </row>
    <row r="13" spans="1:14" ht="15.75" customHeight="1">
      <c r="D13" s="802"/>
      <c r="E13" s="799"/>
      <c r="F13" s="217" t="s">
        <v>11</v>
      </c>
      <c r="G13" s="217" t="s">
        <v>243</v>
      </c>
      <c r="H13" s="217" t="s">
        <v>11</v>
      </c>
      <c r="I13" s="217" t="s">
        <v>243</v>
      </c>
      <c r="J13" s="217" t="s">
        <v>11</v>
      </c>
      <c r="K13" s="217" t="s">
        <v>243</v>
      </c>
      <c r="L13" s="217" t="s">
        <v>11</v>
      </c>
      <c r="M13" s="217" t="s">
        <v>243</v>
      </c>
    </row>
    <row r="14" spans="1:14" s="194" customFormat="1" ht="19.350000000000001" customHeight="1">
      <c r="D14" s="802"/>
      <c r="E14" s="189" t="s">
        <v>244</v>
      </c>
      <c r="F14" s="192">
        <v>6580.9920000000002</v>
      </c>
      <c r="G14" s="193">
        <f>IFERROR(F14/$B$9,"")</f>
        <v>0.3604479506446967</v>
      </c>
      <c r="H14" s="192">
        <v>0</v>
      </c>
      <c r="I14" s="193">
        <f>IFERROR(H14/$B$9,"")</f>
        <v>0</v>
      </c>
      <c r="J14" s="192">
        <v>1209.7139999999999</v>
      </c>
      <c r="K14" s="193">
        <f>IFERROR(J14/$B$9,"")</f>
        <v>6.6257325972467154E-2</v>
      </c>
      <c r="L14" s="192">
        <v>0</v>
      </c>
      <c r="M14" s="193">
        <f>IFERROR(L14/$B$9,"")</f>
        <v>0</v>
      </c>
    </row>
    <row r="15" spans="1:14" s="194" customFormat="1" ht="19.350000000000001" customHeight="1" thickBot="1">
      <c r="D15" s="802"/>
      <c r="E15" s="195" t="s">
        <v>245</v>
      </c>
      <c r="F15" s="192">
        <v>9515.0165852805003</v>
      </c>
      <c r="G15" s="193">
        <f>IFERROR(F15/$B$10,"")</f>
        <v>0.41764915290859467</v>
      </c>
      <c r="H15" s="192">
        <v>415.10627999999923</v>
      </c>
      <c r="I15" s="193">
        <f>IFERROR(H15/$B$10,"")</f>
        <v>1.8220544825663772E-2</v>
      </c>
      <c r="J15" s="192">
        <v>1888.3574600000009</v>
      </c>
      <c r="K15" s="193">
        <f>IFERROR(J15/$B$10,"")</f>
        <v>8.2886969926850212E-2</v>
      </c>
      <c r="L15" s="192">
        <v>0</v>
      </c>
      <c r="M15" s="193">
        <f>IFERROR(L15/$B$10,"")</f>
        <v>0</v>
      </c>
    </row>
    <row r="16" spans="1:14" ht="15.75" customHeight="1">
      <c r="A16" s="805" t="s">
        <v>412</v>
      </c>
      <c r="B16" s="806"/>
      <c r="C16" s="806"/>
      <c r="D16" s="806"/>
      <c r="E16" s="806"/>
      <c r="F16" s="806"/>
      <c r="G16" s="806"/>
      <c r="H16" s="806"/>
      <c r="I16" s="806"/>
      <c r="J16" s="806"/>
      <c r="K16" s="806"/>
      <c r="L16" s="806"/>
      <c r="M16" s="807"/>
    </row>
    <row r="17" spans="1:13" ht="15.75" customHeight="1">
      <c r="A17" s="808"/>
      <c r="B17" s="798"/>
      <c r="C17" s="798"/>
      <c r="D17" s="798"/>
      <c r="E17" s="798"/>
      <c r="F17" s="798"/>
      <c r="G17" s="798"/>
      <c r="H17" s="798"/>
      <c r="I17" s="798"/>
      <c r="J17" s="798"/>
      <c r="K17" s="798"/>
      <c r="L17" s="798"/>
      <c r="M17" s="809"/>
    </row>
    <row r="18" spans="1:13" ht="15.75" customHeight="1">
      <c r="A18" s="266" t="s">
        <v>413</v>
      </c>
      <c r="B18" s="284">
        <v>48523585</v>
      </c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267"/>
    </row>
    <row r="19" spans="1:13" ht="15.75" customHeight="1">
      <c r="A19" s="810" t="s">
        <v>414</v>
      </c>
      <c r="B19" s="800" t="s">
        <v>10</v>
      </c>
      <c r="C19" s="800"/>
      <c r="D19" s="801"/>
      <c r="E19" s="799" t="s">
        <v>414</v>
      </c>
      <c r="F19" s="803">
        <v>1</v>
      </c>
      <c r="G19" s="803"/>
      <c r="H19" s="803">
        <v>2</v>
      </c>
      <c r="I19" s="803"/>
      <c r="J19" s="803">
        <v>3</v>
      </c>
      <c r="K19" s="803"/>
      <c r="L19" s="803">
        <v>4</v>
      </c>
      <c r="M19" s="812"/>
    </row>
    <row r="20" spans="1:13" ht="15.75" customHeight="1">
      <c r="A20" s="810"/>
      <c r="B20" s="800"/>
      <c r="C20" s="800"/>
      <c r="D20" s="802"/>
      <c r="E20" s="799"/>
      <c r="F20" s="795" t="s">
        <v>415</v>
      </c>
      <c r="G20" s="795"/>
      <c r="H20" s="795" t="s">
        <v>416</v>
      </c>
      <c r="I20" s="795"/>
      <c r="J20" s="795" t="s">
        <v>417</v>
      </c>
      <c r="K20" s="795"/>
      <c r="L20" s="795" t="s">
        <v>709</v>
      </c>
      <c r="M20" s="813"/>
    </row>
    <row r="21" spans="1:13" ht="15.75" customHeight="1">
      <c r="A21" s="810"/>
      <c r="B21" s="265" t="s">
        <v>11</v>
      </c>
      <c r="C21" s="265" t="s">
        <v>418</v>
      </c>
      <c r="D21" s="802"/>
      <c r="E21" s="799"/>
      <c r="F21" s="265" t="s">
        <v>11</v>
      </c>
      <c r="G21" s="265" t="s">
        <v>418</v>
      </c>
      <c r="H21" s="265" t="s">
        <v>11</v>
      </c>
      <c r="I21" s="265" t="s">
        <v>418</v>
      </c>
      <c r="J21" s="265" t="s">
        <v>11</v>
      </c>
      <c r="K21" s="265" t="s">
        <v>418</v>
      </c>
      <c r="L21" s="265" t="s">
        <v>11</v>
      </c>
      <c r="M21" s="268" t="s">
        <v>418</v>
      </c>
    </row>
    <row r="22" spans="1:13" ht="15.75" customHeight="1">
      <c r="A22" s="269" t="s">
        <v>419</v>
      </c>
      <c r="B22" s="270">
        <v>11676.691000000003</v>
      </c>
      <c r="C22" s="191">
        <f>B22/$B$18</f>
        <v>2.4063949520630024E-4</v>
      </c>
      <c r="D22" s="802"/>
      <c r="E22" s="189" t="s">
        <v>420</v>
      </c>
      <c r="F22" s="271">
        <v>165.98000000000002</v>
      </c>
      <c r="G22" s="193">
        <f>IFERROR(F22/$B$9,"")</f>
        <v>9.0909016221272978E-3</v>
      </c>
      <c r="H22" s="271">
        <v>1611.5420000000004</v>
      </c>
      <c r="I22" s="193">
        <f>IFERROR(H22/$B$9,"")</f>
        <v>8.8265874092820037E-2</v>
      </c>
      <c r="J22" s="271">
        <v>1228.9280000000001</v>
      </c>
      <c r="K22" s="193">
        <f>IFERROR(J22/$B$9,"")</f>
        <v>6.7309697244714153E-2</v>
      </c>
      <c r="L22" s="271">
        <v>3775.8909999999996</v>
      </c>
      <c r="M22" s="272">
        <f>IFERROR(L22/$B$9,"")</f>
        <v>0.20680957715915083</v>
      </c>
    </row>
    <row r="23" spans="1:13" ht="15.75" customHeight="1">
      <c r="A23" s="273" t="s">
        <v>421</v>
      </c>
      <c r="B23" s="274">
        <v>18680.446015247508</v>
      </c>
      <c r="C23" s="191">
        <f>B23/$B$18</f>
        <v>3.8497662559861369E-4</v>
      </c>
      <c r="D23" s="802"/>
      <c r="E23" s="195" t="s">
        <v>421</v>
      </c>
      <c r="F23" s="271">
        <v>0</v>
      </c>
      <c r="G23" s="193">
        <f>IFERROR(F23/$B$10,"")</f>
        <v>0</v>
      </c>
      <c r="H23" s="271">
        <v>644.21809999999959</v>
      </c>
      <c r="I23" s="193">
        <f>IFERROR(H23/$B$10,"")</f>
        <v>2.8277107174947972E-2</v>
      </c>
      <c r="J23" s="271">
        <v>874.41625999999883</v>
      </c>
      <c r="K23" s="193">
        <f>IFERROR(J23/$B$10,"")</f>
        <v>3.8381352991381575E-2</v>
      </c>
      <c r="L23" s="271">
        <v>3059.7451552474977</v>
      </c>
      <c r="M23" s="272">
        <f>IFERROR(L23/$B$10,"")</f>
        <v>0.13430349393002364</v>
      </c>
    </row>
    <row r="24" spans="1:13" ht="15.75" customHeight="1">
      <c r="A24" s="275"/>
      <c r="B24" s="185"/>
      <c r="C24" s="185"/>
      <c r="D24" s="802"/>
      <c r="E24" s="799" t="s">
        <v>422</v>
      </c>
      <c r="F24" s="803">
        <v>5</v>
      </c>
      <c r="G24" s="803"/>
      <c r="H24" s="803">
        <v>6</v>
      </c>
      <c r="I24" s="803"/>
      <c r="J24" s="803">
        <v>7</v>
      </c>
      <c r="K24" s="803"/>
      <c r="L24" s="804">
        <v>8</v>
      </c>
      <c r="M24" s="822"/>
    </row>
    <row r="25" spans="1:13" ht="15.75" customHeight="1">
      <c r="A25" s="275"/>
      <c r="B25" s="185"/>
      <c r="C25" s="185"/>
      <c r="D25" s="802"/>
      <c r="E25" s="799"/>
      <c r="F25" s="795" t="s">
        <v>423</v>
      </c>
      <c r="G25" s="795"/>
      <c r="H25" s="795" t="s">
        <v>424</v>
      </c>
      <c r="I25" s="795"/>
      <c r="J25" s="795" t="s">
        <v>425</v>
      </c>
      <c r="K25" s="795"/>
      <c r="L25" s="796" t="s">
        <v>426</v>
      </c>
      <c r="M25" s="823"/>
    </row>
    <row r="26" spans="1:13" ht="15.75" customHeight="1">
      <c r="A26" s="275"/>
      <c r="B26" s="185"/>
      <c r="C26" s="185"/>
      <c r="D26" s="802"/>
      <c r="E26" s="799"/>
      <c r="F26" s="265" t="s">
        <v>11</v>
      </c>
      <c r="G26" s="265" t="s">
        <v>427</v>
      </c>
      <c r="H26" s="265" t="s">
        <v>11</v>
      </c>
      <c r="I26" s="265" t="s">
        <v>427</v>
      </c>
      <c r="J26" s="265" t="s">
        <v>11</v>
      </c>
      <c r="K26" s="265" t="s">
        <v>427</v>
      </c>
      <c r="L26" s="265" t="s">
        <v>11</v>
      </c>
      <c r="M26" s="268" t="s">
        <v>427</v>
      </c>
    </row>
    <row r="27" spans="1:13" ht="15.75" customHeight="1">
      <c r="A27" s="276"/>
      <c r="B27" s="277"/>
      <c r="C27" s="277"/>
      <c r="D27" s="802"/>
      <c r="E27" s="189" t="s">
        <v>420</v>
      </c>
      <c r="F27" s="271">
        <v>3919.5130000000004</v>
      </c>
      <c r="G27" s="193">
        <f>IFERROR(F27/$B$9,"")</f>
        <v>0.21467590727587074</v>
      </c>
      <c r="H27" s="271">
        <v>0</v>
      </c>
      <c r="I27" s="193">
        <f>IFERROR(H27/$B$9,"")</f>
        <v>0</v>
      </c>
      <c r="J27" s="271">
        <v>974.8370000000001</v>
      </c>
      <c r="K27" s="193">
        <f>IFERROR(J27/$B$9,"")</f>
        <v>5.3392862179839184E-2</v>
      </c>
      <c r="L27" s="271">
        <v>0</v>
      </c>
      <c r="M27" s="272">
        <f>IFERROR(L27/$B$9,"")</f>
        <v>0</v>
      </c>
    </row>
    <row r="28" spans="1:13" ht="15.75" customHeight="1" thickBot="1">
      <c r="A28" s="278"/>
      <c r="B28" s="279"/>
      <c r="C28" s="279"/>
      <c r="D28" s="811"/>
      <c r="E28" s="280" t="s">
        <v>421</v>
      </c>
      <c r="F28" s="281">
        <v>10050.147089999993</v>
      </c>
      <c r="G28" s="282">
        <f>IFERROR(F28/$B$10,"")</f>
        <v>0.44113800339965836</v>
      </c>
      <c r="H28" s="281">
        <v>2190.4281100000026</v>
      </c>
      <c r="I28" s="282">
        <f>IFERROR(H28/$B$10,"")</f>
        <v>9.6145964271244222E-2</v>
      </c>
      <c r="J28" s="281">
        <v>1689.3357000000103</v>
      </c>
      <c r="K28" s="282">
        <f>IFERROR(J28/$B$10,"")</f>
        <v>7.4151171231243082E-2</v>
      </c>
      <c r="L28" s="281">
        <v>0</v>
      </c>
      <c r="M28" s="283">
        <f>IFERROR(L28/$B$10,"")</f>
        <v>0</v>
      </c>
    </row>
    <row r="29" spans="1:13" ht="15.75" customHeight="1">
      <c r="A29" s="805" t="s">
        <v>455</v>
      </c>
      <c r="B29" s="806"/>
      <c r="C29" s="806"/>
      <c r="D29" s="806"/>
      <c r="E29" s="806"/>
      <c r="F29" s="806"/>
      <c r="G29" s="806"/>
      <c r="H29" s="806"/>
      <c r="I29" s="806"/>
      <c r="J29" s="806"/>
      <c r="K29" s="806"/>
      <c r="L29" s="806"/>
      <c r="M29" s="807"/>
    </row>
    <row r="30" spans="1:13" ht="15.75" customHeight="1">
      <c r="A30" s="808"/>
      <c r="B30" s="798"/>
      <c r="C30" s="798"/>
      <c r="D30" s="798"/>
      <c r="E30" s="798"/>
      <c r="F30" s="798"/>
      <c r="G30" s="798"/>
      <c r="H30" s="798"/>
      <c r="I30" s="798"/>
      <c r="J30" s="798"/>
      <c r="K30" s="798"/>
      <c r="L30" s="798"/>
      <c r="M30" s="809"/>
    </row>
    <row r="31" spans="1:13" ht="15.75" customHeight="1">
      <c r="A31" s="266" t="s">
        <v>456</v>
      </c>
      <c r="B31" s="284">
        <v>48655452</v>
      </c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267"/>
    </row>
    <row r="32" spans="1:13" ht="15.75" customHeight="1">
      <c r="A32" s="810" t="s">
        <v>457</v>
      </c>
      <c r="B32" s="800" t="s">
        <v>10</v>
      </c>
      <c r="C32" s="800"/>
      <c r="D32" s="801"/>
      <c r="E32" s="799" t="s">
        <v>457</v>
      </c>
      <c r="F32" s="803">
        <v>1</v>
      </c>
      <c r="G32" s="803"/>
      <c r="H32" s="803">
        <v>2</v>
      </c>
      <c r="I32" s="803"/>
      <c r="J32" s="803">
        <v>3</v>
      </c>
      <c r="K32" s="803"/>
      <c r="L32" s="803">
        <v>4</v>
      </c>
      <c r="M32" s="812"/>
    </row>
    <row r="33" spans="1:13" ht="15.75" customHeight="1">
      <c r="A33" s="810"/>
      <c r="B33" s="800"/>
      <c r="C33" s="800"/>
      <c r="D33" s="802"/>
      <c r="E33" s="799"/>
      <c r="F33" s="795" t="s">
        <v>458</v>
      </c>
      <c r="G33" s="795"/>
      <c r="H33" s="795" t="s">
        <v>459</v>
      </c>
      <c r="I33" s="795"/>
      <c r="J33" s="795" t="s">
        <v>460</v>
      </c>
      <c r="K33" s="795"/>
      <c r="L33" s="795" t="s">
        <v>709</v>
      </c>
      <c r="M33" s="813"/>
    </row>
    <row r="34" spans="1:13" ht="15.75" customHeight="1">
      <c r="A34" s="810"/>
      <c r="B34" s="300" t="s">
        <v>11</v>
      </c>
      <c r="C34" s="300" t="s">
        <v>461</v>
      </c>
      <c r="D34" s="802"/>
      <c r="E34" s="799"/>
      <c r="F34" s="300" t="s">
        <v>11</v>
      </c>
      <c r="G34" s="300" t="s">
        <v>461</v>
      </c>
      <c r="H34" s="300" t="s">
        <v>11</v>
      </c>
      <c r="I34" s="300" t="s">
        <v>461</v>
      </c>
      <c r="J34" s="300" t="s">
        <v>11</v>
      </c>
      <c r="K34" s="300" t="s">
        <v>461</v>
      </c>
      <c r="L34" s="300" t="s">
        <v>11</v>
      </c>
      <c r="M34" s="268" t="s">
        <v>461</v>
      </c>
    </row>
    <row r="35" spans="1:13" ht="15.75" customHeight="1">
      <c r="A35" s="269" t="s">
        <v>462</v>
      </c>
      <c r="B35" s="270">
        <v>9800.9250000000029</v>
      </c>
      <c r="C35" s="191">
        <f>B35/$B$5</f>
        <v>1.2917542219835663E-4</v>
      </c>
      <c r="D35" s="802"/>
      <c r="E35" s="189" t="s">
        <v>462</v>
      </c>
      <c r="F35" s="271">
        <v>705.35199999999998</v>
      </c>
      <c r="G35" s="193">
        <f>IFERROR(F35/$B$9,"")</f>
        <v>3.8632881316849818E-2</v>
      </c>
      <c r="H35" s="271">
        <v>1195.5910000000001</v>
      </c>
      <c r="I35" s="193">
        <f>IFERROR(H35/$B$9,"")</f>
        <v>6.5483794199908407E-2</v>
      </c>
      <c r="J35" s="271">
        <v>1614.134</v>
      </c>
      <c r="K35" s="193">
        <f>IFERROR(J35/$B$9,"")</f>
        <v>8.8407840697257628E-2</v>
      </c>
      <c r="L35" s="271">
        <v>4035.8779999999997</v>
      </c>
      <c r="M35" s="272">
        <f>IFERROR(L35/$B$9,"")</f>
        <v>0.22104934243226812</v>
      </c>
    </row>
    <row r="36" spans="1:13" ht="15.75" customHeight="1" thickBot="1">
      <c r="A36" s="273" t="s">
        <v>463</v>
      </c>
      <c r="B36" s="274">
        <v>15896.425820000022</v>
      </c>
      <c r="C36" s="191">
        <f>B36/$B$5</f>
        <v>2.0951364455328042E-4</v>
      </c>
      <c r="D36" s="802"/>
      <c r="E36" s="195" t="s">
        <v>463</v>
      </c>
      <c r="F36" s="281">
        <v>446.58150000000035</v>
      </c>
      <c r="G36" s="193">
        <f>IFERROR(F36/$B$10,"")</f>
        <v>1.9602108257823003E-2</v>
      </c>
      <c r="H36" s="271">
        <v>793.69283000000019</v>
      </c>
      <c r="I36" s="193">
        <f>IFERROR(H36/$B$10,"")</f>
        <v>3.4838104079810514E-2</v>
      </c>
      <c r="J36" s="271">
        <v>666.6480400000014</v>
      </c>
      <c r="K36" s="193">
        <f>IFERROR(J36/$B$10,"")</f>
        <v>2.9261639924505464E-2</v>
      </c>
      <c r="L36" s="271">
        <v>1637.1258600000046</v>
      </c>
      <c r="M36" s="272">
        <f>IFERROR(L36/$B$10,"")</f>
        <v>7.1859488893744258E-2</v>
      </c>
    </row>
    <row r="37" spans="1:13" ht="15.75" customHeight="1">
      <c r="A37" s="275"/>
      <c r="B37" s="185"/>
      <c r="C37" s="185"/>
      <c r="D37" s="802"/>
      <c r="E37" s="799" t="s">
        <v>457</v>
      </c>
      <c r="F37" s="803">
        <v>5</v>
      </c>
      <c r="G37" s="803"/>
      <c r="H37" s="803">
        <v>6</v>
      </c>
      <c r="I37" s="803"/>
      <c r="J37" s="803">
        <v>7</v>
      </c>
      <c r="K37" s="803"/>
      <c r="L37" s="804">
        <v>8</v>
      </c>
      <c r="M37" s="822"/>
    </row>
    <row r="38" spans="1:13" ht="15.75" customHeight="1">
      <c r="A38" s="275"/>
      <c r="B38" s="185"/>
      <c r="C38" s="185"/>
      <c r="D38" s="802"/>
      <c r="E38" s="799"/>
      <c r="F38" s="795" t="s">
        <v>464</v>
      </c>
      <c r="G38" s="795"/>
      <c r="H38" s="795" t="s">
        <v>465</v>
      </c>
      <c r="I38" s="795"/>
      <c r="J38" s="795" t="s">
        <v>466</v>
      </c>
      <c r="K38" s="795"/>
      <c r="L38" s="796" t="s">
        <v>467</v>
      </c>
      <c r="M38" s="823"/>
    </row>
    <row r="39" spans="1:13" ht="15.75" customHeight="1">
      <c r="A39" s="275"/>
      <c r="B39" s="185"/>
      <c r="C39" s="185"/>
      <c r="D39" s="802"/>
      <c r="E39" s="799"/>
      <c r="F39" s="300" t="s">
        <v>11</v>
      </c>
      <c r="G39" s="300" t="s">
        <v>461</v>
      </c>
      <c r="H39" s="300" t="s">
        <v>11</v>
      </c>
      <c r="I39" s="300" t="s">
        <v>461</v>
      </c>
      <c r="J39" s="300" t="s">
        <v>11</v>
      </c>
      <c r="K39" s="300" t="s">
        <v>461</v>
      </c>
      <c r="L39" s="300" t="s">
        <v>11</v>
      </c>
      <c r="M39" s="268" t="s">
        <v>461</v>
      </c>
    </row>
    <row r="40" spans="1:13" ht="15.75" customHeight="1">
      <c r="A40" s="276"/>
      <c r="B40" s="277"/>
      <c r="C40" s="277"/>
      <c r="D40" s="802"/>
      <c r="E40" s="189" t="s">
        <v>462</v>
      </c>
      <c r="F40" s="271">
        <v>1269.0300000000002</v>
      </c>
      <c r="G40" s="193">
        <f>IFERROR(F40/$B$9,"")</f>
        <v>6.9506126554574069E-2</v>
      </c>
      <c r="H40" s="271">
        <v>361.74299999999999</v>
      </c>
      <c r="I40" s="193">
        <f>IFERROR(H40/$B$9,"")</f>
        <v>1.9813049918623898E-2</v>
      </c>
      <c r="J40" s="271">
        <v>619.197</v>
      </c>
      <c r="K40" s="193">
        <f>IFERROR(J40/$B$9,"")</f>
        <v>3.3914080080228677E-2</v>
      </c>
      <c r="L40" s="271">
        <v>0</v>
      </c>
      <c r="M40" s="272">
        <f>IFERROR(L40/$B$9,"")</f>
        <v>0</v>
      </c>
    </row>
    <row r="41" spans="1:13" ht="15.75" customHeight="1" thickBot="1">
      <c r="A41" s="278"/>
      <c r="B41" s="279"/>
      <c r="C41" s="279"/>
      <c r="D41" s="811"/>
      <c r="E41" s="280" t="s">
        <v>463</v>
      </c>
      <c r="F41" s="281">
        <v>6394.8248599999997</v>
      </c>
      <c r="G41" s="282">
        <f>IFERROR(F41/$B$10,"")</f>
        <v>0.28069243619706086</v>
      </c>
      <c r="H41" s="281">
        <v>5540.5327300000126</v>
      </c>
      <c r="I41" s="282">
        <f>IFERROR(H41/$B$10,"")</f>
        <v>0.24319440545448431</v>
      </c>
      <c r="J41" s="281">
        <v>417.01999999999981</v>
      </c>
      <c r="K41" s="282">
        <f>IFERROR(J41/$B$10,"")</f>
        <v>1.8304545050964578E-2</v>
      </c>
      <c r="L41" s="281">
        <v>0</v>
      </c>
      <c r="M41" s="283">
        <f>IFERROR(L41/$B$10,"")</f>
        <v>0</v>
      </c>
    </row>
    <row r="42" spans="1:13" ht="15.75" customHeight="1">
      <c r="A42" s="805" t="s">
        <v>570</v>
      </c>
      <c r="B42" s="806"/>
      <c r="C42" s="806"/>
      <c r="D42" s="806"/>
      <c r="E42" s="806"/>
      <c r="F42" s="806"/>
      <c r="G42" s="806"/>
      <c r="H42" s="806"/>
      <c r="I42" s="806"/>
      <c r="J42" s="806"/>
      <c r="K42" s="806"/>
      <c r="L42" s="806"/>
      <c r="M42" s="807"/>
    </row>
    <row r="43" spans="1:13" ht="15.75" customHeight="1">
      <c r="A43" s="808"/>
      <c r="B43" s="798"/>
      <c r="C43" s="798"/>
      <c r="D43" s="798"/>
      <c r="E43" s="798"/>
      <c r="F43" s="798"/>
      <c r="G43" s="798"/>
      <c r="H43" s="798"/>
      <c r="I43" s="798"/>
      <c r="J43" s="798"/>
      <c r="K43" s="798"/>
      <c r="L43" s="798"/>
      <c r="M43" s="809"/>
    </row>
    <row r="44" spans="1:13" ht="15.75" customHeight="1">
      <c r="A44" s="266" t="s">
        <v>571</v>
      </c>
      <c r="B44" s="284">
        <v>46287577</v>
      </c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267"/>
    </row>
    <row r="45" spans="1:13" ht="15.75" customHeight="1">
      <c r="A45" s="810" t="s">
        <v>572</v>
      </c>
      <c r="B45" s="800" t="s">
        <v>10</v>
      </c>
      <c r="C45" s="800"/>
      <c r="D45" s="801"/>
      <c r="E45" s="799" t="s">
        <v>572</v>
      </c>
      <c r="F45" s="803">
        <v>1</v>
      </c>
      <c r="G45" s="803"/>
      <c r="H45" s="803">
        <v>2</v>
      </c>
      <c r="I45" s="803"/>
      <c r="J45" s="803">
        <v>3</v>
      </c>
      <c r="K45" s="803"/>
      <c r="L45" s="803">
        <v>4</v>
      </c>
      <c r="M45" s="812"/>
    </row>
    <row r="46" spans="1:13" ht="15.75" customHeight="1">
      <c r="A46" s="810"/>
      <c r="B46" s="800"/>
      <c r="C46" s="800"/>
      <c r="D46" s="802"/>
      <c r="E46" s="799"/>
      <c r="F46" s="795" t="s">
        <v>573</v>
      </c>
      <c r="G46" s="795"/>
      <c r="H46" s="795" t="s">
        <v>574</v>
      </c>
      <c r="I46" s="795"/>
      <c r="J46" s="795" t="s">
        <v>575</v>
      </c>
      <c r="K46" s="795"/>
      <c r="L46" s="795" t="s">
        <v>709</v>
      </c>
      <c r="M46" s="813"/>
    </row>
    <row r="47" spans="1:13" ht="15.75" customHeight="1">
      <c r="A47" s="810"/>
      <c r="B47" s="324" t="s">
        <v>11</v>
      </c>
      <c r="C47" s="324" t="s">
        <v>576</v>
      </c>
      <c r="D47" s="802"/>
      <c r="E47" s="799"/>
      <c r="F47" s="324" t="s">
        <v>11</v>
      </c>
      <c r="G47" s="324" t="s">
        <v>576</v>
      </c>
      <c r="H47" s="324" t="s">
        <v>11</v>
      </c>
      <c r="I47" s="324" t="s">
        <v>576</v>
      </c>
      <c r="J47" s="324" t="s">
        <v>11</v>
      </c>
      <c r="K47" s="324" t="s">
        <v>576</v>
      </c>
      <c r="L47" s="324" t="s">
        <v>11</v>
      </c>
      <c r="M47" s="268" t="s">
        <v>576</v>
      </c>
    </row>
    <row r="48" spans="1:13" ht="15.75" customHeight="1">
      <c r="A48" s="269" t="s">
        <v>577</v>
      </c>
      <c r="B48" s="270">
        <v>9587.904999999997</v>
      </c>
      <c r="C48" s="191">
        <v>2.07137759662814E-4</v>
      </c>
      <c r="D48" s="802"/>
      <c r="E48" s="189" t="s">
        <v>577</v>
      </c>
      <c r="F48" s="271">
        <v>0</v>
      </c>
      <c r="G48" s="193">
        <v>0</v>
      </c>
      <c r="H48" s="271">
        <v>834.86200000000008</v>
      </c>
      <c r="I48" s="193">
        <v>4.5726282142742734E-2</v>
      </c>
      <c r="J48" s="271">
        <v>2231.3200000000002</v>
      </c>
      <c r="K48" s="193">
        <v>0.12221177616270081</v>
      </c>
      <c r="L48" s="271">
        <v>4146.4030000000002</v>
      </c>
      <c r="M48" s="272">
        <v>0.22710291456014875</v>
      </c>
    </row>
    <row r="49" spans="1:13" ht="15.75" customHeight="1">
      <c r="A49" s="273" t="s">
        <v>578</v>
      </c>
      <c r="B49" s="274">
        <v>14733.35162000003</v>
      </c>
      <c r="C49" s="191">
        <v>3.1830034265997612E-4</v>
      </c>
      <c r="D49" s="802"/>
      <c r="E49" s="195" t="s">
        <v>578</v>
      </c>
      <c r="F49" s="271">
        <v>0</v>
      </c>
      <c r="G49" s="193">
        <v>0</v>
      </c>
      <c r="H49" s="271">
        <v>0</v>
      </c>
      <c r="I49" s="193">
        <v>0</v>
      </c>
      <c r="J49" s="271">
        <v>1459.6556299999991</v>
      </c>
      <c r="K49" s="193">
        <v>6.4069666294731861E-2</v>
      </c>
      <c r="L49" s="271">
        <v>2414.4136500000041</v>
      </c>
      <c r="M49" s="272">
        <v>0.10597751529444373</v>
      </c>
    </row>
    <row r="50" spans="1:13" ht="15.75" customHeight="1">
      <c r="A50" s="275"/>
      <c r="B50" s="185"/>
      <c r="C50" s="185"/>
      <c r="D50" s="802"/>
      <c r="E50" s="799" t="s">
        <v>572</v>
      </c>
      <c r="F50" s="803">
        <v>5</v>
      </c>
      <c r="G50" s="803"/>
      <c r="H50" s="803">
        <v>6</v>
      </c>
      <c r="I50" s="803"/>
      <c r="J50" s="803">
        <v>7</v>
      </c>
      <c r="K50" s="803"/>
      <c r="L50" s="804">
        <v>8</v>
      </c>
      <c r="M50" s="822"/>
    </row>
    <row r="51" spans="1:13" ht="15.75" customHeight="1">
      <c r="A51" s="275"/>
      <c r="B51" s="185"/>
      <c r="C51" s="185"/>
      <c r="D51" s="802"/>
      <c r="E51" s="799"/>
      <c r="F51" s="795" t="s">
        <v>579</v>
      </c>
      <c r="G51" s="795"/>
      <c r="H51" s="795" t="s">
        <v>580</v>
      </c>
      <c r="I51" s="795"/>
      <c r="J51" s="795" t="s">
        <v>581</v>
      </c>
      <c r="K51" s="795"/>
      <c r="L51" s="796" t="s">
        <v>582</v>
      </c>
      <c r="M51" s="823"/>
    </row>
    <row r="52" spans="1:13" ht="15.75" customHeight="1">
      <c r="A52" s="275"/>
      <c r="B52" s="185"/>
      <c r="C52" s="185"/>
      <c r="D52" s="802"/>
      <c r="E52" s="799"/>
      <c r="F52" s="324" t="s">
        <v>11</v>
      </c>
      <c r="G52" s="324" t="s">
        <v>576</v>
      </c>
      <c r="H52" s="324" t="s">
        <v>11</v>
      </c>
      <c r="I52" s="324" t="s">
        <v>576</v>
      </c>
      <c r="J52" s="324" t="s">
        <v>11</v>
      </c>
      <c r="K52" s="324" t="s">
        <v>576</v>
      </c>
      <c r="L52" s="324" t="s">
        <v>11</v>
      </c>
      <c r="M52" s="268" t="s">
        <v>576</v>
      </c>
    </row>
    <row r="53" spans="1:13" ht="15.75" customHeight="1">
      <c r="A53" s="276"/>
      <c r="B53" s="277"/>
      <c r="C53" s="277"/>
      <c r="D53" s="802"/>
      <c r="E53" s="189" t="s">
        <v>577</v>
      </c>
      <c r="F53" s="271">
        <v>825.84</v>
      </c>
      <c r="G53" s="193">
        <v>4.523213758053745E-2</v>
      </c>
      <c r="H53" s="271">
        <v>1291.5520000000001</v>
      </c>
      <c r="I53" s="193">
        <v>7.0739680514891878E-2</v>
      </c>
      <c r="J53" s="271">
        <v>257.928</v>
      </c>
      <c r="K53" s="193">
        <v>1.4126991647138506E-2</v>
      </c>
      <c r="L53" s="271">
        <v>0</v>
      </c>
      <c r="M53" s="272">
        <v>0</v>
      </c>
    </row>
    <row r="54" spans="1:13" ht="15.75" customHeight="1" thickBot="1">
      <c r="A54" s="278"/>
      <c r="B54" s="279"/>
      <c r="C54" s="279"/>
      <c r="D54" s="811"/>
      <c r="E54" s="280" t="s">
        <v>578</v>
      </c>
      <c r="F54" s="281">
        <v>5870.1435299999976</v>
      </c>
      <c r="G54" s="282">
        <v>0.25766223850298126</v>
      </c>
      <c r="H54" s="281">
        <v>4989.1388100000286</v>
      </c>
      <c r="I54" s="282">
        <v>0.21899169371531671</v>
      </c>
      <c r="J54" s="281">
        <v>0</v>
      </c>
      <c r="K54" s="282">
        <v>0</v>
      </c>
      <c r="L54" s="281">
        <v>0</v>
      </c>
      <c r="M54" s="283">
        <v>0</v>
      </c>
    </row>
    <row r="55" spans="1:13" ht="15.75" customHeight="1">
      <c r="A55" s="805" t="s">
        <v>583</v>
      </c>
      <c r="B55" s="806"/>
      <c r="C55" s="806"/>
      <c r="D55" s="806"/>
      <c r="E55" s="806"/>
      <c r="F55" s="806"/>
      <c r="G55" s="806"/>
      <c r="H55" s="806"/>
      <c r="I55" s="806"/>
      <c r="J55" s="806"/>
      <c r="K55" s="806"/>
      <c r="L55" s="806"/>
      <c r="M55" s="807"/>
    </row>
    <row r="56" spans="1:13" ht="15.75" customHeight="1">
      <c r="A56" s="808"/>
      <c r="B56" s="798"/>
      <c r="C56" s="798"/>
      <c r="D56" s="798"/>
      <c r="E56" s="798"/>
      <c r="F56" s="798"/>
      <c r="G56" s="798"/>
      <c r="H56" s="798"/>
      <c r="I56" s="798"/>
      <c r="J56" s="798"/>
      <c r="K56" s="798"/>
      <c r="L56" s="798"/>
      <c r="M56" s="809"/>
    </row>
    <row r="57" spans="1:13" ht="15.75" customHeight="1">
      <c r="A57" s="266" t="s">
        <v>571</v>
      </c>
      <c r="B57" s="284">
        <v>48362935</v>
      </c>
      <c r="C57" s="185"/>
      <c r="D57" s="185"/>
      <c r="E57" s="185"/>
      <c r="F57" s="185"/>
      <c r="G57" s="185"/>
      <c r="H57" s="185"/>
      <c r="I57" s="185"/>
      <c r="J57" s="185"/>
      <c r="K57" s="185"/>
      <c r="L57" s="185"/>
      <c r="M57" s="267"/>
    </row>
    <row r="58" spans="1:13" ht="15.75" customHeight="1">
      <c r="A58" s="810" t="s">
        <v>572</v>
      </c>
      <c r="B58" s="800" t="s">
        <v>10</v>
      </c>
      <c r="C58" s="800"/>
      <c r="D58" s="801"/>
      <c r="E58" s="799" t="s">
        <v>585</v>
      </c>
      <c r="F58" s="803">
        <v>1</v>
      </c>
      <c r="G58" s="803"/>
      <c r="H58" s="803">
        <v>2</v>
      </c>
      <c r="I58" s="803"/>
      <c r="J58" s="803">
        <v>3</v>
      </c>
      <c r="K58" s="803"/>
      <c r="L58" s="803">
        <v>4</v>
      </c>
      <c r="M58" s="812"/>
    </row>
    <row r="59" spans="1:13" ht="15.75" customHeight="1">
      <c r="A59" s="810"/>
      <c r="B59" s="800"/>
      <c r="C59" s="800"/>
      <c r="D59" s="802"/>
      <c r="E59" s="799"/>
      <c r="F59" s="795" t="s">
        <v>586</v>
      </c>
      <c r="G59" s="795"/>
      <c r="H59" s="795" t="s">
        <v>587</v>
      </c>
      <c r="I59" s="795"/>
      <c r="J59" s="795" t="s">
        <v>588</v>
      </c>
      <c r="K59" s="795"/>
      <c r="L59" s="795" t="s">
        <v>709</v>
      </c>
      <c r="M59" s="813"/>
    </row>
    <row r="60" spans="1:13" ht="15.75" customHeight="1">
      <c r="A60" s="810"/>
      <c r="B60" s="324" t="s">
        <v>11</v>
      </c>
      <c r="C60" s="324" t="s">
        <v>576</v>
      </c>
      <c r="D60" s="802"/>
      <c r="E60" s="799"/>
      <c r="F60" s="325" t="s">
        <v>11</v>
      </c>
      <c r="G60" s="325" t="s">
        <v>589</v>
      </c>
      <c r="H60" s="325" t="s">
        <v>11</v>
      </c>
      <c r="I60" s="325" t="s">
        <v>589</v>
      </c>
      <c r="J60" s="325" t="s">
        <v>11</v>
      </c>
      <c r="K60" s="325" t="s">
        <v>589</v>
      </c>
      <c r="L60" s="325" t="s">
        <v>11</v>
      </c>
      <c r="M60" s="268" t="s">
        <v>589</v>
      </c>
    </row>
    <row r="61" spans="1:13" ht="15.75" customHeight="1">
      <c r="A61" s="269" t="s">
        <v>577</v>
      </c>
      <c r="B61" s="270">
        <v>10199.575000000004</v>
      </c>
      <c r="C61" s="191">
        <f>B61/$B$57</f>
        <v>2.1089652644116832E-4</v>
      </c>
      <c r="D61" s="802"/>
      <c r="E61" s="189" t="s">
        <v>590</v>
      </c>
      <c r="F61" s="271">
        <v>0</v>
      </c>
      <c r="G61" s="193">
        <f>IFERROR(F61/$B$9,"")</f>
        <v>0</v>
      </c>
      <c r="H61" s="271">
        <v>277.08100000000002</v>
      </c>
      <c r="I61" s="193">
        <f>IFERROR(H61/$B$9,"")</f>
        <v>1.5176021884327349E-2</v>
      </c>
      <c r="J61" s="271">
        <v>1993.0930000000003</v>
      </c>
      <c r="K61" s="193">
        <f>IFERROR(J61/$B$9,"")</f>
        <v>0.10916382929720786</v>
      </c>
      <c r="L61" s="271">
        <v>5007.6209999999992</v>
      </c>
      <c r="M61" s="272">
        <f>IFERROR(L61/$B$9,"")</f>
        <v>0.27427274293227322</v>
      </c>
    </row>
    <row r="62" spans="1:13" ht="15.75" customHeight="1">
      <c r="A62" s="273" t="s">
        <v>578</v>
      </c>
      <c r="B62" s="274">
        <v>38331.075293114794</v>
      </c>
      <c r="C62" s="191">
        <f>B62/$B$57</f>
        <v>7.9257132126316966E-4</v>
      </c>
      <c r="D62" s="802"/>
      <c r="E62" s="195" t="s">
        <v>591</v>
      </c>
      <c r="F62" s="271">
        <v>0</v>
      </c>
      <c r="G62" s="193">
        <f>IFERROR(F62/$B$62,"")</f>
        <v>0</v>
      </c>
      <c r="H62" s="271">
        <v>1230.5148299999994</v>
      </c>
      <c r="I62" s="193">
        <f>IFERROR(H62/$B$62,"")</f>
        <v>3.210227786698773E-2</v>
      </c>
      <c r="J62" s="271">
        <v>1139.0088600000024</v>
      </c>
      <c r="K62" s="193">
        <f>IFERROR(J62/$B$62,"")</f>
        <v>2.9715024984039426E-2</v>
      </c>
      <c r="L62" s="271">
        <v>2998.8652431147748</v>
      </c>
      <c r="M62" s="272">
        <f>IFERROR(L62/$B$62,"")</f>
        <v>7.8235875727009532E-2</v>
      </c>
    </row>
    <row r="63" spans="1:13" ht="15.75" customHeight="1">
      <c r="A63" s="275"/>
      <c r="B63" s="185"/>
      <c r="C63" s="185"/>
      <c r="D63" s="802"/>
      <c r="E63" s="799" t="s">
        <v>585</v>
      </c>
      <c r="F63" s="814">
        <v>5</v>
      </c>
      <c r="G63" s="815"/>
      <c r="H63" s="814">
        <v>6</v>
      </c>
      <c r="I63" s="815"/>
      <c r="J63" s="814">
        <v>7</v>
      </c>
      <c r="K63" s="815"/>
      <c r="L63" s="816">
        <v>8</v>
      </c>
      <c r="M63" s="817"/>
    </row>
    <row r="64" spans="1:13" ht="15.75" customHeight="1">
      <c r="A64" s="275"/>
      <c r="B64" s="185"/>
      <c r="C64" s="185"/>
      <c r="D64" s="802"/>
      <c r="E64" s="799"/>
      <c r="F64" s="818" t="s">
        <v>592</v>
      </c>
      <c r="G64" s="819"/>
      <c r="H64" s="818" t="s">
        <v>593</v>
      </c>
      <c r="I64" s="819"/>
      <c r="J64" s="818" t="s">
        <v>594</v>
      </c>
      <c r="K64" s="819"/>
      <c r="L64" s="820" t="s">
        <v>595</v>
      </c>
      <c r="M64" s="821"/>
    </row>
    <row r="65" spans="1:13" ht="15.75" customHeight="1">
      <c r="A65" s="275"/>
      <c r="B65" s="185"/>
      <c r="C65" s="185"/>
      <c r="D65" s="802"/>
      <c r="E65" s="799"/>
      <c r="F65" s="325" t="s">
        <v>11</v>
      </c>
      <c r="G65" s="325" t="s">
        <v>589</v>
      </c>
      <c r="H65" s="325" t="s">
        <v>11</v>
      </c>
      <c r="I65" s="325" t="s">
        <v>589</v>
      </c>
      <c r="J65" s="325" t="s">
        <v>11</v>
      </c>
      <c r="K65" s="325" t="s">
        <v>589</v>
      </c>
      <c r="L65" s="325" t="s">
        <v>11</v>
      </c>
      <c r="M65" s="268" t="s">
        <v>589</v>
      </c>
    </row>
    <row r="66" spans="1:13" ht="15.75" customHeight="1">
      <c r="A66" s="276"/>
      <c r="B66" s="277"/>
      <c r="C66" s="277"/>
      <c r="D66" s="802"/>
      <c r="E66" s="189" t="s">
        <v>590</v>
      </c>
      <c r="F66" s="271">
        <v>1790.1419999999998</v>
      </c>
      <c r="G66" s="193">
        <f>IFERROR(F66/$B$9,"")</f>
        <v>9.8047986574516216E-2</v>
      </c>
      <c r="H66" s="271">
        <v>1131.6379999999999</v>
      </c>
      <c r="I66" s="193">
        <f>IFERROR(H66/$B$9,"")</f>
        <v>6.1981020182316472E-2</v>
      </c>
      <c r="J66" s="271">
        <v>0</v>
      </c>
      <c r="K66" s="193">
        <f>IFERROR(J66/$B$9,"")</f>
        <v>0</v>
      </c>
      <c r="L66" s="271">
        <v>0</v>
      </c>
      <c r="M66" s="272">
        <f>IFERROR(L66/$B$9,"")</f>
        <v>0</v>
      </c>
    </row>
    <row r="67" spans="1:13" ht="15.75" customHeight="1" thickBot="1">
      <c r="A67" s="278"/>
      <c r="B67" s="279"/>
      <c r="C67" s="279"/>
      <c r="D67" s="811"/>
      <c r="E67" s="280" t="s">
        <v>591</v>
      </c>
      <c r="F67" s="281">
        <v>27345.851710000003</v>
      </c>
      <c r="G67" s="282">
        <f>IFERROR(F67/$B$62,"")</f>
        <v>0.71341206842981497</v>
      </c>
      <c r="H67" s="281">
        <v>5616.8346500000025</v>
      </c>
      <c r="I67" s="282">
        <f>IFERROR(H67/$B$62,"")</f>
        <v>0.14653475299214797</v>
      </c>
      <c r="J67" s="281">
        <v>0</v>
      </c>
      <c r="K67" s="282">
        <f>IFERROR(J67/$B$62,"")</f>
        <v>0</v>
      </c>
      <c r="L67" s="281">
        <v>0</v>
      </c>
      <c r="M67" s="283">
        <f>IFERROR(L67/$B$62,"")</f>
        <v>0</v>
      </c>
    </row>
    <row r="68" spans="1:13" ht="15.75" customHeight="1">
      <c r="A68" s="805" t="s">
        <v>605</v>
      </c>
      <c r="B68" s="806"/>
      <c r="C68" s="806"/>
      <c r="D68" s="806"/>
      <c r="E68" s="806"/>
      <c r="F68" s="806"/>
      <c r="G68" s="806"/>
      <c r="H68" s="806"/>
      <c r="I68" s="806"/>
      <c r="J68" s="806"/>
      <c r="K68" s="806"/>
      <c r="L68" s="806"/>
      <c r="M68" s="807"/>
    </row>
    <row r="69" spans="1:13" ht="15.75" customHeight="1">
      <c r="A69" s="808"/>
      <c r="B69" s="798"/>
      <c r="C69" s="798"/>
      <c r="D69" s="798"/>
      <c r="E69" s="798"/>
      <c r="F69" s="798"/>
      <c r="G69" s="798"/>
      <c r="H69" s="798"/>
      <c r="I69" s="798"/>
      <c r="J69" s="798"/>
      <c r="K69" s="798"/>
      <c r="L69" s="798"/>
      <c r="M69" s="809"/>
    </row>
    <row r="70" spans="1:13" ht="15.75" customHeight="1">
      <c r="A70" s="266" t="s">
        <v>606</v>
      </c>
      <c r="B70" s="284">
        <v>50470102</v>
      </c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267"/>
    </row>
    <row r="71" spans="1:13" ht="15.75" customHeight="1">
      <c r="A71" s="810" t="s">
        <v>607</v>
      </c>
      <c r="B71" s="800" t="s">
        <v>10</v>
      </c>
      <c r="C71" s="800"/>
      <c r="D71" s="801"/>
      <c r="E71" s="799" t="s">
        <v>607</v>
      </c>
      <c r="F71" s="803">
        <v>1</v>
      </c>
      <c r="G71" s="803"/>
      <c r="H71" s="803">
        <v>2</v>
      </c>
      <c r="I71" s="803"/>
      <c r="J71" s="803">
        <v>3</v>
      </c>
      <c r="K71" s="803"/>
      <c r="L71" s="803">
        <v>4</v>
      </c>
      <c r="M71" s="812"/>
    </row>
    <row r="72" spans="1:13" ht="15.75" customHeight="1">
      <c r="A72" s="810"/>
      <c r="B72" s="800"/>
      <c r="C72" s="800"/>
      <c r="D72" s="802"/>
      <c r="E72" s="799"/>
      <c r="F72" s="795" t="s">
        <v>608</v>
      </c>
      <c r="G72" s="795"/>
      <c r="H72" s="795" t="s">
        <v>609</v>
      </c>
      <c r="I72" s="795"/>
      <c r="J72" s="795" t="s">
        <v>610</v>
      </c>
      <c r="K72" s="795"/>
      <c r="L72" s="795" t="s">
        <v>709</v>
      </c>
      <c r="M72" s="813"/>
    </row>
    <row r="73" spans="1:13" ht="15.75" customHeight="1">
      <c r="A73" s="810"/>
      <c r="B73" s="329" t="s">
        <v>11</v>
      </c>
      <c r="C73" s="329" t="s">
        <v>611</v>
      </c>
      <c r="D73" s="802"/>
      <c r="E73" s="799"/>
      <c r="F73" s="329" t="s">
        <v>11</v>
      </c>
      <c r="G73" s="329" t="s">
        <v>611</v>
      </c>
      <c r="H73" s="329" t="s">
        <v>11</v>
      </c>
      <c r="I73" s="329" t="s">
        <v>611</v>
      </c>
      <c r="J73" s="329" t="s">
        <v>11</v>
      </c>
      <c r="K73" s="329" t="s">
        <v>611</v>
      </c>
      <c r="L73" s="329" t="s">
        <v>11</v>
      </c>
      <c r="M73" s="268" t="s">
        <v>611</v>
      </c>
    </row>
    <row r="74" spans="1:13" ht="15.75" customHeight="1">
      <c r="A74" s="269" t="s">
        <v>612</v>
      </c>
      <c r="B74" s="270">
        <v>11260.655999999997</v>
      </c>
      <c r="C74" s="191">
        <f>B74/$B$70</f>
        <v>2.2311538027008538E-4</v>
      </c>
      <c r="D74" s="802"/>
      <c r="E74" s="189" t="s">
        <v>612</v>
      </c>
      <c r="F74" s="271">
        <v>0</v>
      </c>
      <c r="G74" s="193">
        <f>IFERROR(F74/$B$74,"")</f>
        <v>0</v>
      </c>
      <c r="H74" s="271">
        <v>766.85</v>
      </c>
      <c r="I74" s="193">
        <f>IFERROR(H74/$B$74,"")</f>
        <v>6.809994018110492E-2</v>
      </c>
      <c r="J74" s="271">
        <v>2647.3230000000008</v>
      </c>
      <c r="K74" s="193">
        <f>IFERROR(J74/$B$74,"")</f>
        <v>0.23509491809358188</v>
      </c>
      <c r="L74" s="271">
        <v>4766.7250000000004</v>
      </c>
      <c r="M74" s="272">
        <f>IFERROR(L74/$B$74,"")</f>
        <v>0.42330793161606228</v>
      </c>
    </row>
    <row r="75" spans="1:13" ht="15.75" customHeight="1">
      <c r="A75" s="273" t="s">
        <v>613</v>
      </c>
      <c r="B75" s="274">
        <v>30667.696349999991</v>
      </c>
      <c r="C75" s="191">
        <f>B75/$B$70</f>
        <v>6.0764086329764084E-4</v>
      </c>
      <c r="D75" s="802"/>
      <c r="E75" s="195" t="s">
        <v>613</v>
      </c>
      <c r="F75" s="271">
        <v>0</v>
      </c>
      <c r="G75" s="193">
        <f>IFERROR(F75/$B$75,"")</f>
        <v>0</v>
      </c>
      <c r="H75" s="271">
        <v>264.93571999999978</v>
      </c>
      <c r="I75" s="193">
        <f>IFERROR(H75/$B$75,"")</f>
        <v>8.6389181951059667E-3</v>
      </c>
      <c r="J75" s="271">
        <v>1098.7587799999997</v>
      </c>
      <c r="K75" s="193">
        <f>IFERROR(J75/$B$75,"")</f>
        <v>3.5827887672430274E-2</v>
      </c>
      <c r="L75" s="271">
        <v>2446.1784400000056</v>
      </c>
      <c r="M75" s="272">
        <f>IFERROR(L75/$B$75,"")</f>
        <v>7.9764010054182183E-2</v>
      </c>
    </row>
    <row r="76" spans="1:13" ht="15.75" customHeight="1">
      <c r="A76" s="275"/>
      <c r="B76" s="185"/>
      <c r="C76" s="185"/>
      <c r="D76" s="802"/>
      <c r="E76" s="799" t="s">
        <v>607</v>
      </c>
      <c r="F76" s="814">
        <v>5</v>
      </c>
      <c r="G76" s="815"/>
      <c r="H76" s="814">
        <v>6</v>
      </c>
      <c r="I76" s="815"/>
      <c r="J76" s="814">
        <v>7</v>
      </c>
      <c r="K76" s="815"/>
      <c r="L76" s="816">
        <v>8</v>
      </c>
      <c r="M76" s="817"/>
    </row>
    <row r="77" spans="1:13" ht="15.75" customHeight="1">
      <c r="A77" s="275"/>
      <c r="B77" s="185"/>
      <c r="C77" s="185"/>
      <c r="D77" s="802"/>
      <c r="E77" s="799"/>
      <c r="F77" s="818" t="s">
        <v>614</v>
      </c>
      <c r="G77" s="819"/>
      <c r="H77" s="818" t="s">
        <v>615</v>
      </c>
      <c r="I77" s="819"/>
      <c r="J77" s="818" t="s">
        <v>616</v>
      </c>
      <c r="K77" s="819"/>
      <c r="L77" s="820" t="s">
        <v>617</v>
      </c>
      <c r="M77" s="821"/>
    </row>
    <row r="78" spans="1:13" ht="15.75" customHeight="1">
      <c r="A78" s="275"/>
      <c r="B78" s="185"/>
      <c r="C78" s="185"/>
      <c r="D78" s="802"/>
      <c r="E78" s="799"/>
      <c r="F78" s="329" t="s">
        <v>11</v>
      </c>
      <c r="G78" s="329" t="s">
        <v>611</v>
      </c>
      <c r="H78" s="329" t="s">
        <v>11</v>
      </c>
      <c r="I78" s="329" t="s">
        <v>611</v>
      </c>
      <c r="J78" s="329" t="s">
        <v>11</v>
      </c>
      <c r="K78" s="329" t="s">
        <v>611</v>
      </c>
      <c r="L78" s="329" t="s">
        <v>11</v>
      </c>
      <c r="M78" s="268" t="s">
        <v>611</v>
      </c>
    </row>
    <row r="79" spans="1:13" ht="15.75" customHeight="1">
      <c r="A79" s="276"/>
      <c r="B79" s="277"/>
      <c r="C79" s="277"/>
      <c r="D79" s="802"/>
      <c r="E79" s="189" t="s">
        <v>612</v>
      </c>
      <c r="F79" s="271">
        <v>2196.7870000000003</v>
      </c>
      <c r="G79" s="193">
        <f>IFERROR(F79/$B$74,"")</f>
        <v>0.1950851708816965</v>
      </c>
      <c r="H79" s="271">
        <v>882.97099999999989</v>
      </c>
      <c r="I79" s="193">
        <f>IFERROR(H79/$B$74,"")</f>
        <v>7.8412039227554783E-2</v>
      </c>
      <c r="J79" s="271">
        <v>0</v>
      </c>
      <c r="K79" s="193">
        <f>IFERROR(J79/$B$74,"")</f>
        <v>0</v>
      </c>
      <c r="L79" s="271">
        <v>0</v>
      </c>
      <c r="M79" s="272">
        <f>IFERROR(L79/$B$74,"")</f>
        <v>0</v>
      </c>
    </row>
    <row r="80" spans="1:13" ht="15.75" customHeight="1" thickBot="1">
      <c r="A80" s="278"/>
      <c r="B80" s="279"/>
      <c r="C80" s="279"/>
      <c r="D80" s="811"/>
      <c r="E80" s="280" t="s">
        <v>613</v>
      </c>
      <c r="F80" s="281">
        <v>21773.092659999995</v>
      </c>
      <c r="G80" s="282">
        <f>IFERROR(F80/$B$75,"")</f>
        <v>0.70996831361283519</v>
      </c>
      <c r="H80" s="281">
        <v>5084.7307499999924</v>
      </c>
      <c r="I80" s="282">
        <f>IFERROR(H80/$B$75,"")</f>
        <v>0.16580087046544642</v>
      </c>
      <c r="J80" s="281">
        <v>0</v>
      </c>
      <c r="K80" s="282">
        <f>IFERROR(J80/$B$75,"")</f>
        <v>0</v>
      </c>
      <c r="L80" s="281">
        <v>0</v>
      </c>
      <c r="M80" s="283">
        <f>IFERROR(L80/$B$75,"")</f>
        <v>0</v>
      </c>
    </row>
    <row r="81" spans="1:13" ht="15.75" customHeight="1">
      <c r="A81" s="805" t="s">
        <v>647</v>
      </c>
      <c r="B81" s="806"/>
      <c r="C81" s="806"/>
      <c r="D81" s="806"/>
      <c r="E81" s="806"/>
      <c r="F81" s="806"/>
      <c r="G81" s="806"/>
      <c r="H81" s="806"/>
      <c r="I81" s="806"/>
      <c r="J81" s="806"/>
      <c r="K81" s="806"/>
      <c r="L81" s="806"/>
      <c r="M81" s="807"/>
    </row>
    <row r="82" spans="1:13" ht="15.75" customHeight="1">
      <c r="A82" s="808"/>
      <c r="B82" s="798"/>
      <c r="C82" s="798"/>
      <c r="D82" s="798"/>
      <c r="E82" s="798"/>
      <c r="F82" s="798"/>
      <c r="G82" s="798"/>
      <c r="H82" s="798"/>
      <c r="I82" s="798"/>
      <c r="J82" s="798"/>
      <c r="K82" s="798"/>
      <c r="L82" s="798"/>
      <c r="M82" s="809"/>
    </row>
    <row r="83" spans="1:13" ht="15.75" customHeight="1">
      <c r="A83" s="266" t="s">
        <v>648</v>
      </c>
      <c r="B83" s="284">
        <v>52767858</v>
      </c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267"/>
    </row>
    <row r="84" spans="1:13" ht="15.75" customHeight="1">
      <c r="A84" s="810" t="s">
        <v>649</v>
      </c>
      <c r="B84" s="800" t="s">
        <v>10</v>
      </c>
      <c r="C84" s="800"/>
      <c r="D84" s="801"/>
      <c r="E84" s="799" t="s">
        <v>649</v>
      </c>
      <c r="F84" s="803">
        <v>1</v>
      </c>
      <c r="G84" s="803"/>
      <c r="H84" s="803">
        <v>2</v>
      </c>
      <c r="I84" s="803"/>
      <c r="J84" s="803">
        <v>3</v>
      </c>
      <c r="K84" s="803"/>
      <c r="L84" s="803">
        <v>4</v>
      </c>
      <c r="M84" s="812"/>
    </row>
    <row r="85" spans="1:13" ht="15.75" customHeight="1">
      <c r="A85" s="810"/>
      <c r="B85" s="800"/>
      <c r="C85" s="800"/>
      <c r="D85" s="802"/>
      <c r="E85" s="799"/>
      <c r="F85" s="795" t="s">
        <v>650</v>
      </c>
      <c r="G85" s="795"/>
      <c r="H85" s="795" t="s">
        <v>651</v>
      </c>
      <c r="I85" s="795"/>
      <c r="J85" s="795" t="s">
        <v>652</v>
      </c>
      <c r="K85" s="795"/>
      <c r="L85" s="795" t="s">
        <v>709</v>
      </c>
      <c r="M85" s="813"/>
    </row>
    <row r="86" spans="1:13" ht="15.75" customHeight="1">
      <c r="A86" s="810"/>
      <c r="B86" s="338" t="s">
        <v>11</v>
      </c>
      <c r="C86" s="338" t="s">
        <v>653</v>
      </c>
      <c r="D86" s="802"/>
      <c r="E86" s="799"/>
      <c r="F86" s="338" t="s">
        <v>11</v>
      </c>
      <c r="G86" s="338" t="s">
        <v>653</v>
      </c>
      <c r="H86" s="338" t="s">
        <v>11</v>
      </c>
      <c r="I86" s="338" t="s">
        <v>653</v>
      </c>
      <c r="J86" s="338" t="s">
        <v>11</v>
      </c>
      <c r="K86" s="338" t="s">
        <v>653</v>
      </c>
      <c r="L86" s="338" t="s">
        <v>11</v>
      </c>
      <c r="M86" s="268" t="s">
        <v>653</v>
      </c>
    </row>
    <row r="87" spans="1:13" ht="15.75" customHeight="1">
      <c r="A87" s="269" t="s">
        <v>654</v>
      </c>
      <c r="B87" s="270">
        <v>11250.800999999999</v>
      </c>
      <c r="C87" s="191">
        <f>B87/$B$83</f>
        <v>2.1321314577521793E-4</v>
      </c>
      <c r="D87" s="802"/>
      <c r="E87" s="189" t="s">
        <v>654</v>
      </c>
      <c r="F87" s="271">
        <v>0</v>
      </c>
      <c r="G87" s="193">
        <f>IFERROR(F87/$B$87,"")</f>
        <v>0</v>
      </c>
      <c r="H87" s="271">
        <v>318.62400000000002</v>
      </c>
      <c r="I87" s="193">
        <f>IFERROR(H87/$B$87,"")</f>
        <v>2.8320116941007136E-2</v>
      </c>
      <c r="J87" s="271">
        <v>3141.2160000000003</v>
      </c>
      <c r="K87" s="193">
        <f>IFERROR(J87/$B$87,"")</f>
        <v>0.27919932100834427</v>
      </c>
      <c r="L87" s="271">
        <v>5274.1350000000002</v>
      </c>
      <c r="M87" s="272">
        <f>IFERROR(L87/$B$87,"")</f>
        <v>0.46877862296204514</v>
      </c>
    </row>
    <row r="88" spans="1:13" ht="15.75" customHeight="1">
      <c r="A88" s="273" t="s">
        <v>655</v>
      </c>
      <c r="B88" s="274">
        <v>29022.845779999985</v>
      </c>
      <c r="C88" s="191">
        <f>B88/$B$83</f>
        <v>5.5000992801337487E-4</v>
      </c>
      <c r="D88" s="802"/>
      <c r="E88" s="195" t="s">
        <v>655</v>
      </c>
      <c r="F88" s="271">
        <v>0</v>
      </c>
      <c r="G88" s="193">
        <f>IFERROR(F88/$B$88,"")</f>
        <v>0</v>
      </c>
      <c r="H88" s="271">
        <v>952.74906999999962</v>
      </c>
      <c r="I88" s="193">
        <f>IFERROR(H88/$B$88,"")</f>
        <v>3.2827555134395239E-2</v>
      </c>
      <c r="J88" s="271">
        <v>1550.483820000004</v>
      </c>
      <c r="K88" s="193">
        <f>IFERROR(J88/$B$88,"")</f>
        <v>5.3422873544277397E-2</v>
      </c>
      <c r="L88" s="271">
        <v>2058.8515699999925</v>
      </c>
      <c r="M88" s="272">
        <f>IFERROR(L88/$B$88,"")</f>
        <v>7.0938997009685853E-2</v>
      </c>
    </row>
    <row r="89" spans="1:13" ht="15.75" customHeight="1">
      <c r="A89" s="275"/>
      <c r="B89" s="185"/>
      <c r="C89" s="185"/>
      <c r="D89" s="802"/>
      <c r="E89" s="799" t="s">
        <v>649</v>
      </c>
      <c r="F89" s="814">
        <v>5</v>
      </c>
      <c r="G89" s="815"/>
      <c r="H89" s="814">
        <v>6</v>
      </c>
      <c r="I89" s="815"/>
      <c r="J89" s="814">
        <v>7</v>
      </c>
      <c r="K89" s="815"/>
      <c r="L89" s="816">
        <v>8</v>
      </c>
      <c r="M89" s="817"/>
    </row>
    <row r="90" spans="1:13" ht="15.75" customHeight="1">
      <c r="A90" s="275"/>
      <c r="B90" s="185"/>
      <c r="C90" s="185"/>
      <c r="D90" s="802"/>
      <c r="E90" s="799"/>
      <c r="F90" s="818" t="s">
        <v>656</v>
      </c>
      <c r="G90" s="819"/>
      <c r="H90" s="818" t="s">
        <v>657</v>
      </c>
      <c r="I90" s="819"/>
      <c r="J90" s="818" t="s">
        <v>658</v>
      </c>
      <c r="K90" s="819"/>
      <c r="L90" s="820" t="s">
        <v>659</v>
      </c>
      <c r="M90" s="821"/>
    </row>
    <row r="91" spans="1:13" ht="15.75" customHeight="1">
      <c r="A91" s="275"/>
      <c r="B91" s="185"/>
      <c r="C91" s="185"/>
      <c r="D91" s="802"/>
      <c r="E91" s="799"/>
      <c r="F91" s="338" t="s">
        <v>11</v>
      </c>
      <c r="G91" s="338" t="s">
        <v>653</v>
      </c>
      <c r="H91" s="338" t="s">
        <v>11</v>
      </c>
      <c r="I91" s="338" t="s">
        <v>653</v>
      </c>
      <c r="J91" s="338" t="s">
        <v>11</v>
      </c>
      <c r="K91" s="338" t="s">
        <v>653</v>
      </c>
      <c r="L91" s="338" t="s">
        <v>11</v>
      </c>
      <c r="M91" s="268" t="s">
        <v>653</v>
      </c>
    </row>
    <row r="92" spans="1:13" ht="15.75" customHeight="1">
      <c r="A92" s="276"/>
      <c r="B92" s="277"/>
      <c r="C92" s="277"/>
      <c r="D92" s="802"/>
      <c r="E92" s="189" t="s">
        <v>654</v>
      </c>
      <c r="F92" s="271">
        <v>2015.4880000000001</v>
      </c>
      <c r="G92" s="193">
        <f>IFERROR(F92/$B$87,"")</f>
        <v>0.17914173399742828</v>
      </c>
      <c r="H92" s="271">
        <v>501.33799999999997</v>
      </c>
      <c r="I92" s="193">
        <f>IFERROR(H92/$B$87,"")</f>
        <v>4.4560205091175288E-2</v>
      </c>
      <c r="J92" s="271">
        <v>0</v>
      </c>
      <c r="K92" s="193">
        <f>IFERROR(J92/$B$87,"")</f>
        <v>0</v>
      </c>
      <c r="L92" s="271">
        <v>0</v>
      </c>
      <c r="M92" s="272">
        <f>IFERROR(L92/$B$87,"")</f>
        <v>0</v>
      </c>
    </row>
    <row r="93" spans="1:13" ht="15.75" customHeight="1" thickBot="1">
      <c r="A93" s="278"/>
      <c r="B93" s="279"/>
      <c r="C93" s="279"/>
      <c r="D93" s="811"/>
      <c r="E93" s="280" t="s">
        <v>655</v>
      </c>
      <c r="F93" s="281">
        <v>18726.078090000003</v>
      </c>
      <c r="G93" s="282">
        <f>IFERROR(F93/$B$88,"")</f>
        <v>0.64521853687085307</v>
      </c>
      <c r="H93" s="281">
        <v>5734.6832299999887</v>
      </c>
      <c r="I93" s="282">
        <f>IFERROR(H93/$B$88,"")</f>
        <v>0.19759203744078854</v>
      </c>
      <c r="J93" s="281">
        <v>0</v>
      </c>
      <c r="K93" s="282">
        <f>IFERROR(J93/$B$88,"")</f>
        <v>0</v>
      </c>
      <c r="L93" s="281">
        <v>0</v>
      </c>
      <c r="M93" s="283">
        <f>IFERROR(L93/$B$88,"")</f>
        <v>0</v>
      </c>
    </row>
    <row r="94" spans="1:13" ht="15.75" customHeight="1">
      <c r="A94" s="805" t="s">
        <v>661</v>
      </c>
      <c r="B94" s="806"/>
      <c r="C94" s="806"/>
      <c r="D94" s="806"/>
      <c r="E94" s="806"/>
      <c r="F94" s="806"/>
      <c r="G94" s="806"/>
      <c r="H94" s="806"/>
      <c r="I94" s="806"/>
      <c r="J94" s="806"/>
      <c r="K94" s="806"/>
      <c r="L94" s="806"/>
      <c r="M94" s="807"/>
    </row>
    <row r="95" spans="1:13" ht="15.75" customHeight="1">
      <c r="A95" s="808"/>
      <c r="B95" s="798"/>
      <c r="C95" s="798"/>
      <c r="D95" s="798"/>
      <c r="E95" s="798"/>
      <c r="F95" s="798"/>
      <c r="G95" s="798"/>
      <c r="H95" s="798"/>
      <c r="I95" s="798"/>
      <c r="J95" s="798"/>
      <c r="K95" s="798"/>
      <c r="L95" s="798"/>
      <c r="M95" s="809"/>
    </row>
    <row r="96" spans="1:13" ht="15.75" customHeight="1">
      <c r="A96" s="266" t="s">
        <v>662</v>
      </c>
      <c r="B96" s="284">
        <v>47691357</v>
      </c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267"/>
    </row>
    <row r="97" spans="1:13" ht="15.75" customHeight="1">
      <c r="A97" s="810" t="s">
        <v>663</v>
      </c>
      <c r="B97" s="800" t="s">
        <v>10</v>
      </c>
      <c r="C97" s="800"/>
      <c r="D97" s="801"/>
      <c r="E97" s="799" t="s">
        <v>663</v>
      </c>
      <c r="F97" s="803">
        <v>1</v>
      </c>
      <c r="G97" s="803"/>
      <c r="H97" s="803">
        <v>2</v>
      </c>
      <c r="I97" s="803"/>
      <c r="J97" s="803">
        <v>3</v>
      </c>
      <c r="K97" s="803"/>
      <c r="L97" s="803">
        <v>4</v>
      </c>
      <c r="M97" s="812"/>
    </row>
    <row r="98" spans="1:13" ht="15.75" customHeight="1">
      <c r="A98" s="810"/>
      <c r="B98" s="800"/>
      <c r="C98" s="800"/>
      <c r="D98" s="802"/>
      <c r="E98" s="799"/>
      <c r="F98" s="795" t="s">
        <v>664</v>
      </c>
      <c r="G98" s="795"/>
      <c r="H98" s="795" t="s">
        <v>665</v>
      </c>
      <c r="I98" s="795"/>
      <c r="J98" s="795" t="s">
        <v>666</v>
      </c>
      <c r="K98" s="795"/>
      <c r="L98" s="795" t="s">
        <v>709</v>
      </c>
      <c r="M98" s="813"/>
    </row>
    <row r="99" spans="1:13" ht="15.75" customHeight="1">
      <c r="A99" s="810"/>
      <c r="B99" s="342" t="s">
        <v>11</v>
      </c>
      <c r="C99" s="342" t="s">
        <v>667</v>
      </c>
      <c r="D99" s="802"/>
      <c r="E99" s="799"/>
      <c r="F99" s="342" t="s">
        <v>11</v>
      </c>
      <c r="G99" s="342" t="s">
        <v>667</v>
      </c>
      <c r="H99" s="342" t="s">
        <v>11</v>
      </c>
      <c r="I99" s="342" t="s">
        <v>667</v>
      </c>
      <c r="J99" s="342" t="s">
        <v>11</v>
      </c>
      <c r="K99" s="342" t="s">
        <v>667</v>
      </c>
      <c r="L99" s="342" t="s">
        <v>11</v>
      </c>
      <c r="M99" s="268" t="s">
        <v>667</v>
      </c>
    </row>
    <row r="100" spans="1:13" ht="15.75" customHeight="1">
      <c r="A100" s="269" t="s">
        <v>668</v>
      </c>
      <c r="B100" s="270">
        <v>10039.797000000002</v>
      </c>
      <c r="C100" s="191">
        <f>B100/B96</f>
        <v>2.1051606898080092E-4</v>
      </c>
      <c r="D100" s="802"/>
      <c r="E100" s="189" t="s">
        <v>668</v>
      </c>
      <c r="F100" s="271">
        <v>0</v>
      </c>
      <c r="G100" s="193">
        <f>IFERROR(F100/B100,"")</f>
        <v>0</v>
      </c>
      <c r="H100" s="271">
        <v>271.83799999999997</v>
      </c>
      <c r="I100" s="193">
        <f>IFERROR(H100/B100,"")</f>
        <v>2.7076045461875364E-2</v>
      </c>
      <c r="J100" s="271">
        <v>4273.6259999999993</v>
      </c>
      <c r="K100" s="193">
        <f>IFERROR(J100/B100,"")</f>
        <v>0.42566856680468723</v>
      </c>
      <c r="L100" s="271">
        <v>2693.489</v>
      </c>
      <c r="M100" s="272">
        <f>IFERROR(L100/B100,"")</f>
        <v>0.26828122122389519</v>
      </c>
    </row>
    <row r="101" spans="1:13" ht="15.75" customHeight="1">
      <c r="A101" s="273" t="s">
        <v>669</v>
      </c>
      <c r="B101" s="274">
        <v>24074.689549999996</v>
      </c>
      <c r="C101" s="191">
        <f>B101/B96</f>
        <v>5.0480194031803278E-4</v>
      </c>
      <c r="D101" s="802"/>
      <c r="E101" s="195" t="s">
        <v>669</v>
      </c>
      <c r="F101" s="271">
        <v>0</v>
      </c>
      <c r="G101" s="193">
        <f>IFERROR(F101/B101,"")</f>
        <v>0</v>
      </c>
      <c r="H101" s="271">
        <v>286.94316000000009</v>
      </c>
      <c r="I101" s="193">
        <f>IFERROR(H101/B101,"")</f>
        <v>1.191887269840205E-2</v>
      </c>
      <c r="J101" s="271">
        <v>1513.2548000000006</v>
      </c>
      <c r="K101" s="193">
        <f>IFERROR(J101/B101,"")</f>
        <v>6.2856669318919672E-2</v>
      </c>
      <c r="L101" s="271">
        <v>697.97637999999438</v>
      </c>
      <c r="M101" s="272">
        <f>IFERROR(L101/B101,"")</f>
        <v>2.8992123804977354E-2</v>
      </c>
    </row>
    <row r="102" spans="1:13" ht="15.75" customHeight="1">
      <c r="A102" s="275"/>
      <c r="B102" s="185"/>
      <c r="C102" s="185"/>
      <c r="D102" s="802"/>
      <c r="E102" s="799" t="s">
        <v>663</v>
      </c>
      <c r="F102" s="814">
        <v>5</v>
      </c>
      <c r="G102" s="815"/>
      <c r="H102" s="814">
        <v>6</v>
      </c>
      <c r="I102" s="815"/>
      <c r="J102" s="814">
        <v>7</v>
      </c>
      <c r="K102" s="815"/>
      <c r="L102" s="816">
        <v>8</v>
      </c>
      <c r="M102" s="817"/>
    </row>
    <row r="103" spans="1:13" ht="15.75" customHeight="1">
      <c r="A103" s="275"/>
      <c r="B103" s="185"/>
      <c r="C103" s="185"/>
      <c r="D103" s="802"/>
      <c r="E103" s="799"/>
      <c r="F103" s="818" t="s">
        <v>670</v>
      </c>
      <c r="G103" s="819"/>
      <c r="H103" s="818" t="s">
        <v>671</v>
      </c>
      <c r="I103" s="819"/>
      <c r="J103" s="818" t="s">
        <v>672</v>
      </c>
      <c r="K103" s="819"/>
      <c r="L103" s="820" t="s">
        <v>673</v>
      </c>
      <c r="M103" s="821"/>
    </row>
    <row r="104" spans="1:13" ht="15.75" customHeight="1">
      <c r="A104" s="275"/>
      <c r="B104" s="185"/>
      <c r="C104" s="185"/>
      <c r="D104" s="802"/>
      <c r="E104" s="799"/>
      <c r="F104" s="342" t="s">
        <v>11</v>
      </c>
      <c r="G104" s="342" t="s">
        <v>667</v>
      </c>
      <c r="H104" s="342" t="s">
        <v>11</v>
      </c>
      <c r="I104" s="342" t="s">
        <v>667</v>
      </c>
      <c r="J104" s="342" t="s">
        <v>11</v>
      </c>
      <c r="K104" s="342" t="s">
        <v>667</v>
      </c>
      <c r="L104" s="342" t="s">
        <v>11</v>
      </c>
      <c r="M104" s="268" t="s">
        <v>667</v>
      </c>
    </row>
    <row r="105" spans="1:13" ht="15.75" customHeight="1">
      <c r="A105" s="276"/>
      <c r="B105" s="277"/>
      <c r="C105" s="277"/>
      <c r="D105" s="802"/>
      <c r="E105" s="189" t="s">
        <v>668</v>
      </c>
      <c r="F105" s="271">
        <v>2055.0280000000002</v>
      </c>
      <c r="G105" s="193">
        <f>IFERROR(F105/B100,"")</f>
        <v>0.20468820236106366</v>
      </c>
      <c r="H105" s="271">
        <v>745.81600000000014</v>
      </c>
      <c r="I105" s="193">
        <f>IFERROR(H105/B100,"")</f>
        <v>7.4285964148478295E-2</v>
      </c>
      <c r="J105" s="271">
        <v>0</v>
      </c>
      <c r="K105" s="193">
        <f>IFERROR(J105/B100,"")</f>
        <v>0</v>
      </c>
      <c r="L105" s="271">
        <v>0</v>
      </c>
      <c r="M105" s="272">
        <f>IFERROR(L105/B100,"")</f>
        <v>0</v>
      </c>
    </row>
    <row r="106" spans="1:13" ht="15.75" customHeight="1" thickBot="1">
      <c r="A106" s="278"/>
      <c r="B106" s="279"/>
      <c r="C106" s="279"/>
      <c r="D106" s="811"/>
      <c r="E106" s="280" t="s">
        <v>669</v>
      </c>
      <c r="F106" s="281">
        <v>16573.329590000001</v>
      </c>
      <c r="G106" s="282">
        <f>IFERROR(F106/B101,"")</f>
        <v>0.68841301382430509</v>
      </c>
      <c r="H106" s="281">
        <v>5003.1856200000038</v>
      </c>
      <c r="I106" s="282">
        <f>IFERROR(H106/B101,"")</f>
        <v>0.20781932035339598</v>
      </c>
      <c r="J106" s="281">
        <v>0</v>
      </c>
      <c r="K106" s="282">
        <f>IFERROR(J106/B101,"")</f>
        <v>0</v>
      </c>
      <c r="L106" s="281">
        <v>0</v>
      </c>
      <c r="M106" s="283">
        <f>IFERROR(L106/B101,"")</f>
        <v>0</v>
      </c>
    </row>
    <row r="107" spans="1:13" ht="15.75" customHeight="1">
      <c r="A107" s="805" t="s">
        <v>693</v>
      </c>
      <c r="B107" s="806"/>
      <c r="C107" s="806"/>
      <c r="D107" s="806"/>
      <c r="E107" s="806"/>
      <c r="F107" s="806"/>
      <c r="G107" s="806"/>
      <c r="H107" s="806"/>
      <c r="I107" s="806"/>
      <c r="J107" s="806"/>
      <c r="K107" s="806"/>
      <c r="L107" s="806"/>
      <c r="M107" s="807"/>
    </row>
    <row r="108" spans="1:13" ht="15.75" customHeight="1">
      <c r="A108" s="808"/>
      <c r="B108" s="798"/>
      <c r="C108" s="798"/>
      <c r="D108" s="798"/>
      <c r="E108" s="798"/>
      <c r="F108" s="798"/>
      <c r="G108" s="798"/>
      <c r="H108" s="798"/>
      <c r="I108" s="798"/>
      <c r="J108" s="798"/>
      <c r="K108" s="798"/>
      <c r="L108" s="798"/>
      <c r="M108" s="809"/>
    </row>
    <row r="109" spans="1:13" ht="15.75" customHeight="1">
      <c r="A109" s="266" t="s">
        <v>694</v>
      </c>
      <c r="B109" s="355">
        <v>50444409</v>
      </c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267"/>
    </row>
    <row r="110" spans="1:13" ht="15.75" customHeight="1">
      <c r="A110" s="810" t="s">
        <v>695</v>
      </c>
      <c r="B110" s="800" t="s">
        <v>10</v>
      </c>
      <c r="C110" s="800"/>
      <c r="D110" s="801"/>
      <c r="E110" s="799" t="s">
        <v>695</v>
      </c>
      <c r="F110" s="803">
        <v>1</v>
      </c>
      <c r="G110" s="803"/>
      <c r="H110" s="803">
        <v>2</v>
      </c>
      <c r="I110" s="803"/>
      <c r="J110" s="803">
        <v>3</v>
      </c>
      <c r="K110" s="803"/>
      <c r="L110" s="803">
        <v>4</v>
      </c>
      <c r="M110" s="812"/>
    </row>
    <row r="111" spans="1:13" ht="15.75" customHeight="1">
      <c r="A111" s="810"/>
      <c r="B111" s="800"/>
      <c r="C111" s="800"/>
      <c r="D111" s="802"/>
      <c r="E111" s="799"/>
      <c r="F111" s="795" t="s">
        <v>696</v>
      </c>
      <c r="G111" s="795"/>
      <c r="H111" s="795" t="s">
        <v>697</v>
      </c>
      <c r="I111" s="795"/>
      <c r="J111" s="795" t="s">
        <v>698</v>
      </c>
      <c r="K111" s="795"/>
      <c r="L111" s="795" t="s">
        <v>709</v>
      </c>
      <c r="M111" s="813"/>
    </row>
    <row r="112" spans="1:13" ht="15.75" customHeight="1">
      <c r="A112" s="810"/>
      <c r="B112" s="354" t="s">
        <v>11</v>
      </c>
      <c r="C112" s="354" t="s">
        <v>699</v>
      </c>
      <c r="D112" s="802"/>
      <c r="E112" s="799"/>
      <c r="F112" s="354" t="s">
        <v>11</v>
      </c>
      <c r="G112" s="354" t="s">
        <v>699</v>
      </c>
      <c r="H112" s="354" t="s">
        <v>11</v>
      </c>
      <c r="I112" s="354" t="s">
        <v>699</v>
      </c>
      <c r="J112" s="354" t="s">
        <v>11</v>
      </c>
      <c r="K112" s="354" t="s">
        <v>699</v>
      </c>
      <c r="L112" s="354" t="s">
        <v>11</v>
      </c>
      <c r="M112" s="268" t="s">
        <v>699</v>
      </c>
    </row>
    <row r="113" spans="1:13" ht="15.75" customHeight="1">
      <c r="A113" s="269" t="s">
        <v>700</v>
      </c>
      <c r="B113" s="270">
        <v>10637.800000000001</v>
      </c>
      <c r="C113" s="191">
        <f>B113/B109</f>
        <v>2.1088164597190544E-4</v>
      </c>
      <c r="D113" s="802"/>
      <c r="E113" s="189" t="s">
        <v>700</v>
      </c>
      <c r="F113" s="271">
        <v>0</v>
      </c>
      <c r="G113" s="193">
        <f>IFERROR(F113/B113,"")</f>
        <v>0</v>
      </c>
      <c r="H113" s="271">
        <v>136.82900000000001</v>
      </c>
      <c r="I113" s="193">
        <f>IFERROR(H113/B113,"")</f>
        <v>1.2862527966308823E-2</v>
      </c>
      <c r="J113" s="271">
        <v>3185.3060000000005</v>
      </c>
      <c r="K113" s="193">
        <f>IFERROR(J113/B113,"")</f>
        <v>0.29943277745398489</v>
      </c>
      <c r="L113" s="271">
        <v>4151.8950000000004</v>
      </c>
      <c r="M113" s="272">
        <f>IFERROR(L113/B113,"")</f>
        <v>0.39029639587132681</v>
      </c>
    </row>
    <row r="114" spans="1:13" ht="15.75" customHeight="1">
      <c r="A114" s="273" t="s">
        <v>701</v>
      </c>
      <c r="B114" s="274">
        <v>22192.718089999984</v>
      </c>
      <c r="C114" s="191">
        <f>B114/B109</f>
        <v>4.3994405980650865E-4</v>
      </c>
      <c r="D114" s="802"/>
      <c r="E114" s="195" t="s">
        <v>701</v>
      </c>
      <c r="F114" s="271">
        <v>0</v>
      </c>
      <c r="G114" s="193">
        <f>IFERROR(F114/B114,"")</f>
        <v>0</v>
      </c>
      <c r="H114" s="271">
        <v>431.16616000000005</v>
      </c>
      <c r="I114" s="193">
        <f>IFERROR(H114/B114,"")</f>
        <v>1.942827184355949E-2</v>
      </c>
      <c r="J114" s="271">
        <v>1784.5664799999979</v>
      </c>
      <c r="K114" s="193">
        <f>IFERROR(J114/B114,"")</f>
        <v>8.0412253819604082E-2</v>
      </c>
      <c r="L114" s="271">
        <v>2934.7442599999968</v>
      </c>
      <c r="M114" s="272">
        <f>IFERROR(L114/B114,"")</f>
        <v>0.13223906364684501</v>
      </c>
    </row>
    <row r="115" spans="1:13" ht="15.75" customHeight="1">
      <c r="A115" s="275"/>
      <c r="B115" s="185"/>
      <c r="C115" s="185"/>
      <c r="D115" s="802"/>
      <c r="E115" s="799" t="s">
        <v>695</v>
      </c>
      <c r="F115" s="814">
        <v>5</v>
      </c>
      <c r="G115" s="815"/>
      <c r="H115" s="814">
        <v>6</v>
      </c>
      <c r="I115" s="815"/>
      <c r="J115" s="814">
        <v>7</v>
      </c>
      <c r="K115" s="815"/>
      <c r="L115" s="816">
        <v>8</v>
      </c>
      <c r="M115" s="817"/>
    </row>
    <row r="116" spans="1:13" ht="15.75" customHeight="1">
      <c r="A116" s="275"/>
      <c r="B116" s="185"/>
      <c r="C116" s="185"/>
      <c r="D116" s="802"/>
      <c r="E116" s="799"/>
      <c r="F116" s="818" t="s">
        <v>702</v>
      </c>
      <c r="G116" s="819"/>
      <c r="H116" s="818" t="s">
        <v>703</v>
      </c>
      <c r="I116" s="819"/>
      <c r="J116" s="818" t="s">
        <v>704</v>
      </c>
      <c r="K116" s="819"/>
      <c r="L116" s="820" t="s">
        <v>705</v>
      </c>
      <c r="M116" s="821"/>
    </row>
    <row r="117" spans="1:13" ht="15.75" customHeight="1">
      <c r="A117" s="275"/>
      <c r="B117" s="185"/>
      <c r="C117" s="185"/>
      <c r="D117" s="802"/>
      <c r="E117" s="799"/>
      <c r="F117" s="354" t="s">
        <v>11</v>
      </c>
      <c r="G117" s="354" t="s">
        <v>699</v>
      </c>
      <c r="H117" s="354" t="s">
        <v>11</v>
      </c>
      <c r="I117" s="354" t="s">
        <v>699</v>
      </c>
      <c r="J117" s="354" t="s">
        <v>11</v>
      </c>
      <c r="K117" s="354" t="s">
        <v>699</v>
      </c>
      <c r="L117" s="354" t="s">
        <v>11</v>
      </c>
      <c r="M117" s="268" t="s">
        <v>699</v>
      </c>
    </row>
    <row r="118" spans="1:13" ht="15.75" customHeight="1">
      <c r="A118" s="276"/>
      <c r="B118" s="277"/>
      <c r="C118" s="277"/>
      <c r="D118" s="802"/>
      <c r="E118" s="189" t="s">
        <v>700</v>
      </c>
      <c r="F118" s="271">
        <v>2466.5980000000004</v>
      </c>
      <c r="G118" s="193">
        <f>IFERROR(F118/B113,"")</f>
        <v>0.23187106356577489</v>
      </c>
      <c r="H118" s="271">
        <v>697.17200000000003</v>
      </c>
      <c r="I118" s="193">
        <f>IFERROR(H118/B113,"")</f>
        <v>6.5537235142604663E-2</v>
      </c>
      <c r="J118" s="271">
        <v>0</v>
      </c>
      <c r="K118" s="193">
        <f>IFERROR(J118/B113,"")</f>
        <v>0</v>
      </c>
      <c r="L118" s="271">
        <v>0</v>
      </c>
      <c r="M118" s="272">
        <f>IFERROR(L118/B113,"")</f>
        <v>0</v>
      </c>
    </row>
    <row r="119" spans="1:13" ht="15.75" customHeight="1" thickBot="1">
      <c r="A119" s="278"/>
      <c r="B119" s="279"/>
      <c r="C119" s="279"/>
      <c r="D119" s="811"/>
      <c r="E119" s="280" t="s">
        <v>701</v>
      </c>
      <c r="F119" s="281">
        <v>10862.057839999987</v>
      </c>
      <c r="G119" s="282">
        <f>IFERROR(F119/B114,"")</f>
        <v>0.48944242863583343</v>
      </c>
      <c r="H119" s="281">
        <v>6180.1833500000057</v>
      </c>
      <c r="I119" s="282">
        <f>IFERROR(H119/B114,"")</f>
        <v>0.27847798205415814</v>
      </c>
      <c r="J119" s="281">
        <v>0</v>
      </c>
      <c r="K119" s="282">
        <f>IFERROR(J119/B114,"")</f>
        <v>0</v>
      </c>
      <c r="L119" s="281">
        <v>0</v>
      </c>
      <c r="M119" s="283">
        <f>IFERROR(L119/B114,"")</f>
        <v>0</v>
      </c>
    </row>
    <row r="120" spans="1:13" ht="15.75" customHeight="1">
      <c r="A120" s="805" t="s">
        <v>711</v>
      </c>
      <c r="B120" s="806"/>
      <c r="C120" s="806"/>
      <c r="D120" s="806"/>
      <c r="E120" s="806"/>
      <c r="F120" s="806"/>
      <c r="G120" s="806"/>
      <c r="H120" s="806"/>
      <c r="I120" s="806"/>
      <c r="J120" s="806"/>
      <c r="K120" s="806"/>
      <c r="L120" s="806"/>
      <c r="M120" s="807"/>
    </row>
    <row r="121" spans="1:13" ht="15.75" customHeight="1">
      <c r="A121" s="808"/>
      <c r="B121" s="798"/>
      <c r="C121" s="798"/>
      <c r="D121" s="798"/>
      <c r="E121" s="798"/>
      <c r="F121" s="798"/>
      <c r="G121" s="798"/>
      <c r="H121" s="798"/>
      <c r="I121" s="798"/>
      <c r="J121" s="798"/>
      <c r="K121" s="798"/>
      <c r="L121" s="798"/>
      <c r="M121" s="809"/>
    </row>
    <row r="122" spans="1:13" ht="15.75" customHeight="1">
      <c r="A122" s="266" t="s">
        <v>694</v>
      </c>
      <c r="B122" s="355">
        <v>50896038</v>
      </c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267"/>
    </row>
    <row r="123" spans="1:13" ht="15.75" customHeight="1">
      <c r="A123" s="810" t="s">
        <v>695</v>
      </c>
      <c r="B123" s="800" t="s">
        <v>10</v>
      </c>
      <c r="C123" s="800"/>
      <c r="D123" s="801"/>
      <c r="E123" s="799" t="s">
        <v>695</v>
      </c>
      <c r="F123" s="803">
        <v>1</v>
      </c>
      <c r="G123" s="803"/>
      <c r="H123" s="803">
        <v>2</v>
      </c>
      <c r="I123" s="803"/>
      <c r="J123" s="803">
        <v>3</v>
      </c>
      <c r="K123" s="803"/>
      <c r="L123" s="803">
        <v>4</v>
      </c>
      <c r="M123" s="812"/>
    </row>
    <row r="124" spans="1:13" ht="15.75" customHeight="1">
      <c r="A124" s="810"/>
      <c r="B124" s="800"/>
      <c r="C124" s="800"/>
      <c r="D124" s="802"/>
      <c r="E124" s="799"/>
      <c r="F124" s="795" t="s">
        <v>321</v>
      </c>
      <c r="G124" s="795"/>
      <c r="H124" s="795" t="s">
        <v>240</v>
      </c>
      <c r="I124" s="795"/>
      <c r="J124" s="795" t="s">
        <v>698</v>
      </c>
      <c r="K124" s="795"/>
      <c r="L124" s="795" t="s">
        <v>709</v>
      </c>
      <c r="M124" s="813"/>
    </row>
    <row r="125" spans="1:13" ht="15.75" customHeight="1">
      <c r="A125" s="810"/>
      <c r="B125" s="369" t="s">
        <v>11</v>
      </c>
      <c r="C125" s="369" t="s">
        <v>699</v>
      </c>
      <c r="D125" s="802"/>
      <c r="E125" s="799"/>
      <c r="F125" s="369" t="s">
        <v>11</v>
      </c>
      <c r="G125" s="369" t="s">
        <v>699</v>
      </c>
      <c r="H125" s="369" t="s">
        <v>11</v>
      </c>
      <c r="I125" s="369" t="s">
        <v>699</v>
      </c>
      <c r="J125" s="369" t="s">
        <v>11</v>
      </c>
      <c r="K125" s="369" t="s">
        <v>699</v>
      </c>
      <c r="L125" s="369" t="s">
        <v>11</v>
      </c>
      <c r="M125" s="268" t="s">
        <v>699</v>
      </c>
    </row>
    <row r="126" spans="1:13" ht="15.75" customHeight="1">
      <c r="A126" s="269" t="s">
        <v>419</v>
      </c>
      <c r="B126" s="270">
        <v>125923.71199999998</v>
      </c>
      <c r="C126" s="191">
        <f>B126/B122</f>
        <v>2.4741358453088231E-3</v>
      </c>
      <c r="D126" s="802"/>
      <c r="E126" s="189" t="s">
        <v>419</v>
      </c>
      <c r="F126" s="271">
        <v>0</v>
      </c>
      <c r="G126" s="193">
        <f>IFERROR(F126/B126,"")</f>
        <v>0</v>
      </c>
      <c r="H126" s="271">
        <v>413.55200000000002</v>
      </c>
      <c r="I126" s="193">
        <f>IFERROR(H126/B126,"")</f>
        <v>3.2841471509353222E-3</v>
      </c>
      <c r="J126" s="271">
        <v>2539.8149999999996</v>
      </c>
      <c r="K126" s="193">
        <f>IFERROR(J126/B126,"")</f>
        <v>2.0169473720723859E-2</v>
      </c>
      <c r="L126" s="271">
        <v>3379.052000000001</v>
      </c>
      <c r="M126" s="272">
        <f>IFERROR(L126/B126,"")</f>
        <v>2.683412001069347E-2</v>
      </c>
    </row>
    <row r="127" spans="1:13" ht="15.75" customHeight="1">
      <c r="A127" s="273" t="s">
        <v>701</v>
      </c>
      <c r="B127" s="274">
        <v>119028.51714747345</v>
      </c>
      <c r="C127" s="191">
        <f>B127/B122</f>
        <v>2.3386597822697606E-3</v>
      </c>
      <c r="D127" s="802"/>
      <c r="E127" s="195" t="s">
        <v>701</v>
      </c>
      <c r="F127" s="271">
        <v>0</v>
      </c>
      <c r="G127" s="193">
        <f>IFERROR(F127/B127,"")</f>
        <v>0</v>
      </c>
      <c r="H127" s="271">
        <v>1857.0376799999999</v>
      </c>
      <c r="I127" s="193">
        <f>IFERROR(H127/B127,"")</f>
        <v>1.5601619884915268E-2</v>
      </c>
      <c r="J127" s="271">
        <v>916.46043999999961</v>
      </c>
      <c r="K127" s="193">
        <f>IFERROR(J127/B127,"")</f>
        <v>7.6995031271752069E-3</v>
      </c>
      <c r="L127" s="271">
        <v>2305.2656700000025</v>
      </c>
      <c r="M127" s="272">
        <f>IFERROR(L127/B127,"")</f>
        <v>1.936733923303299E-2</v>
      </c>
    </row>
    <row r="128" spans="1:13" ht="15.75" customHeight="1">
      <c r="A128" s="275"/>
      <c r="B128" s="185"/>
      <c r="C128" s="185"/>
      <c r="D128" s="802"/>
      <c r="E128" s="799" t="s">
        <v>695</v>
      </c>
      <c r="F128" s="814">
        <v>5</v>
      </c>
      <c r="G128" s="815"/>
      <c r="H128" s="814">
        <v>6</v>
      </c>
      <c r="I128" s="815"/>
      <c r="J128" s="814">
        <v>7</v>
      </c>
      <c r="K128" s="815"/>
      <c r="L128" s="816">
        <v>8</v>
      </c>
      <c r="M128" s="817"/>
    </row>
    <row r="129" spans="1:13" ht="15.75" customHeight="1">
      <c r="A129" s="275"/>
      <c r="B129" s="185"/>
      <c r="C129" s="185"/>
      <c r="D129" s="802"/>
      <c r="E129" s="799"/>
      <c r="F129" s="818" t="s">
        <v>702</v>
      </c>
      <c r="G129" s="819"/>
      <c r="H129" s="818" t="s">
        <v>424</v>
      </c>
      <c r="I129" s="819"/>
      <c r="J129" s="818" t="s">
        <v>248</v>
      </c>
      <c r="K129" s="819"/>
      <c r="L129" s="820" t="s">
        <v>705</v>
      </c>
      <c r="M129" s="821"/>
    </row>
    <row r="130" spans="1:13" ht="15.75" customHeight="1">
      <c r="A130" s="275"/>
      <c r="B130" s="185"/>
      <c r="C130" s="185"/>
      <c r="D130" s="802"/>
      <c r="E130" s="799"/>
      <c r="F130" s="369" t="s">
        <v>11</v>
      </c>
      <c r="G130" s="369" t="s">
        <v>699</v>
      </c>
      <c r="H130" s="369" t="s">
        <v>11</v>
      </c>
      <c r="I130" s="369" t="s">
        <v>699</v>
      </c>
      <c r="J130" s="369" t="s">
        <v>11</v>
      </c>
      <c r="K130" s="369" t="s">
        <v>699</v>
      </c>
      <c r="L130" s="369" t="s">
        <v>11</v>
      </c>
      <c r="M130" s="268" t="s">
        <v>699</v>
      </c>
    </row>
    <row r="131" spans="1:13" ht="15.75" customHeight="1">
      <c r="A131" s="276"/>
      <c r="B131" s="277"/>
      <c r="C131" s="277"/>
      <c r="D131" s="802"/>
      <c r="E131" s="189" t="s">
        <v>419</v>
      </c>
      <c r="F131" s="271">
        <v>1678.1869999999997</v>
      </c>
      <c r="G131" s="193">
        <f>IFERROR(F131/B126,"")</f>
        <v>1.332701342222186E-2</v>
      </c>
      <c r="H131" s="271">
        <v>737.43200000000002</v>
      </c>
      <c r="I131" s="193">
        <f>IFERROR(H131/B126,"")</f>
        <v>5.8561806056034952E-3</v>
      </c>
      <c r="J131" s="271">
        <v>0</v>
      </c>
      <c r="K131" s="193">
        <f>IFERROR(J131/B126,"")</f>
        <v>0</v>
      </c>
      <c r="L131" s="271">
        <v>0</v>
      </c>
      <c r="M131" s="272">
        <f>IFERROR(L131/B126,"")</f>
        <v>0</v>
      </c>
    </row>
    <row r="132" spans="1:13" ht="15.75" customHeight="1" thickBot="1">
      <c r="A132" s="278"/>
      <c r="B132" s="279"/>
      <c r="C132" s="279"/>
      <c r="D132" s="811"/>
      <c r="E132" s="280" t="s">
        <v>701</v>
      </c>
      <c r="F132" s="281">
        <v>8281.5108900000032</v>
      </c>
      <c r="G132" s="282">
        <f>IFERROR(F132/B127,"")</f>
        <v>6.9575855336745998E-2</v>
      </c>
      <c r="H132" s="281">
        <v>5034.3212100000064</v>
      </c>
      <c r="I132" s="282">
        <f>IFERROR(H132/B127,"")</f>
        <v>4.229508466246458E-2</v>
      </c>
      <c r="J132" s="281">
        <v>935.0999999999998</v>
      </c>
      <c r="K132" s="282">
        <f>IFERROR(J132/B127,"")</f>
        <v>7.856100558166523E-3</v>
      </c>
      <c r="L132" s="281">
        <v>0</v>
      </c>
      <c r="M132" s="283">
        <f>IFERROR(L132/B127,"")</f>
        <v>0</v>
      </c>
    </row>
    <row r="133" spans="1:13" ht="15.75" customHeight="1">
      <c r="A133" s="805" t="s">
        <v>770</v>
      </c>
      <c r="B133" s="806"/>
      <c r="C133" s="806"/>
      <c r="D133" s="806"/>
      <c r="E133" s="806"/>
      <c r="F133" s="806"/>
      <c r="G133" s="806"/>
      <c r="H133" s="806"/>
      <c r="I133" s="806"/>
      <c r="J133" s="806"/>
      <c r="K133" s="806"/>
      <c r="L133" s="806"/>
      <c r="M133" s="807"/>
    </row>
    <row r="134" spans="1:13" ht="15.75" customHeight="1">
      <c r="A134" s="808"/>
      <c r="B134" s="798"/>
      <c r="C134" s="798"/>
      <c r="D134" s="798"/>
      <c r="E134" s="798"/>
      <c r="F134" s="798"/>
      <c r="G134" s="798"/>
      <c r="H134" s="798"/>
      <c r="I134" s="798"/>
      <c r="J134" s="798"/>
      <c r="K134" s="798"/>
      <c r="L134" s="798"/>
      <c r="M134" s="809"/>
    </row>
    <row r="135" spans="1:13" ht="15.75" customHeight="1">
      <c r="A135" s="266" t="s">
        <v>238</v>
      </c>
      <c r="B135" s="355">
        <v>51190043</v>
      </c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267"/>
    </row>
    <row r="136" spans="1:13" ht="15.75" customHeight="1">
      <c r="A136" s="810" t="s">
        <v>197</v>
      </c>
      <c r="B136" s="800" t="s">
        <v>10</v>
      </c>
      <c r="C136" s="800"/>
      <c r="D136" s="801"/>
      <c r="E136" s="799" t="s">
        <v>197</v>
      </c>
      <c r="F136" s="803">
        <v>1</v>
      </c>
      <c r="G136" s="803"/>
      <c r="H136" s="803">
        <v>2</v>
      </c>
      <c r="I136" s="803"/>
      <c r="J136" s="803">
        <v>3</v>
      </c>
      <c r="K136" s="803"/>
      <c r="L136" s="803">
        <v>4</v>
      </c>
      <c r="M136" s="812"/>
    </row>
    <row r="137" spans="1:13" ht="15.75" customHeight="1">
      <c r="A137" s="810"/>
      <c r="B137" s="800"/>
      <c r="C137" s="800"/>
      <c r="D137" s="802"/>
      <c r="E137" s="799"/>
      <c r="F137" s="795" t="s">
        <v>250</v>
      </c>
      <c r="G137" s="795"/>
      <c r="H137" s="795" t="s">
        <v>240</v>
      </c>
      <c r="I137" s="795"/>
      <c r="J137" s="795" t="s">
        <v>164</v>
      </c>
      <c r="K137" s="795"/>
      <c r="L137" s="795" t="s">
        <v>709</v>
      </c>
      <c r="M137" s="813"/>
    </row>
    <row r="138" spans="1:13" ht="15.75" customHeight="1">
      <c r="A138" s="810"/>
      <c r="B138" s="427" t="s">
        <v>11</v>
      </c>
      <c r="C138" s="427" t="s">
        <v>41</v>
      </c>
      <c r="D138" s="802"/>
      <c r="E138" s="799"/>
      <c r="F138" s="427" t="s">
        <v>11</v>
      </c>
      <c r="G138" s="427" t="s">
        <v>41</v>
      </c>
      <c r="H138" s="427" t="s">
        <v>11</v>
      </c>
      <c r="I138" s="427" t="s">
        <v>41</v>
      </c>
      <c r="J138" s="427" t="s">
        <v>11</v>
      </c>
      <c r="K138" s="427" t="s">
        <v>41</v>
      </c>
      <c r="L138" s="427" t="s">
        <v>11</v>
      </c>
      <c r="M138" s="268" t="s">
        <v>41</v>
      </c>
    </row>
    <row r="139" spans="1:13" ht="15.75" customHeight="1">
      <c r="A139" s="269" t="s">
        <v>244</v>
      </c>
      <c r="B139" s="270">
        <v>126488</v>
      </c>
      <c r="C139" s="191">
        <f>B139/B135</f>
        <v>2.4709492820703433E-3</v>
      </c>
      <c r="D139" s="802"/>
      <c r="E139" s="189" t="s">
        <v>244</v>
      </c>
      <c r="F139" s="271">
        <v>0</v>
      </c>
      <c r="G139" s="193">
        <f>IFERROR(F139/B139,"")</f>
        <v>0</v>
      </c>
      <c r="H139" s="271">
        <v>134.22499999999999</v>
      </c>
      <c r="I139" s="193">
        <f>IFERROR(H139/B139,"")</f>
        <v>1.0611678578205047E-3</v>
      </c>
      <c r="J139" s="271">
        <v>4376.1360000000004</v>
      </c>
      <c r="K139" s="193">
        <f>IFERROR(J139/B139,"")</f>
        <v>3.4597242426159004E-2</v>
      </c>
      <c r="L139" s="271">
        <v>2683.2860000000001</v>
      </c>
      <c r="M139" s="272">
        <f>IFERROR(L139/B139,"")</f>
        <v>2.1213759408007085E-2</v>
      </c>
    </row>
    <row r="140" spans="1:13" ht="15.75" customHeight="1">
      <c r="A140" s="273" t="s">
        <v>245</v>
      </c>
      <c r="B140" s="274">
        <v>115508.24525041386</v>
      </c>
      <c r="C140" s="191">
        <f>B140/B135</f>
        <v>2.2564592346682316E-3</v>
      </c>
      <c r="D140" s="802"/>
      <c r="E140" s="195" t="s">
        <v>245</v>
      </c>
      <c r="F140" s="271">
        <v>0</v>
      </c>
      <c r="G140" s="193">
        <f>IFERROR(F140/B140,"")</f>
        <v>0</v>
      </c>
      <c r="H140" s="271">
        <v>1567.3288099999995</v>
      </c>
      <c r="I140" s="193">
        <f>IFERROR(H140/B140,"")</f>
        <v>1.3568977752212748E-2</v>
      </c>
      <c r="J140" s="271">
        <v>0</v>
      </c>
      <c r="K140" s="193">
        <f>IFERROR(J140/B140,"")</f>
        <v>0</v>
      </c>
      <c r="L140" s="271">
        <v>3126.5364695081889</v>
      </c>
      <c r="M140" s="272">
        <f>IFERROR(L140/B140,"")</f>
        <v>2.7067647532261221E-2</v>
      </c>
    </row>
    <row r="141" spans="1:13" ht="15.75" customHeight="1">
      <c r="A141" s="275"/>
      <c r="B141" s="185"/>
      <c r="C141" s="185"/>
      <c r="D141" s="802"/>
      <c r="E141" s="799" t="s">
        <v>197</v>
      </c>
      <c r="F141" s="814">
        <v>5</v>
      </c>
      <c r="G141" s="815"/>
      <c r="H141" s="814">
        <v>6</v>
      </c>
      <c r="I141" s="815"/>
      <c r="J141" s="814">
        <v>7</v>
      </c>
      <c r="K141" s="815"/>
      <c r="L141" s="816">
        <v>8</v>
      </c>
      <c r="M141" s="817"/>
    </row>
    <row r="142" spans="1:13" ht="15.75" customHeight="1">
      <c r="A142" s="275"/>
      <c r="B142" s="185"/>
      <c r="C142" s="185"/>
      <c r="D142" s="802"/>
      <c r="E142" s="799"/>
      <c r="F142" s="818" t="s">
        <v>188</v>
      </c>
      <c r="G142" s="819"/>
      <c r="H142" s="818" t="s">
        <v>165</v>
      </c>
      <c r="I142" s="819"/>
      <c r="J142" s="818" t="s">
        <v>189</v>
      </c>
      <c r="K142" s="819"/>
      <c r="L142" s="820" t="s">
        <v>249</v>
      </c>
      <c r="M142" s="821"/>
    </row>
    <row r="143" spans="1:13" ht="15.75" customHeight="1">
      <c r="A143" s="275"/>
      <c r="B143" s="185"/>
      <c r="C143" s="185"/>
      <c r="D143" s="802"/>
      <c r="E143" s="799"/>
      <c r="F143" s="427" t="s">
        <v>11</v>
      </c>
      <c r="G143" s="427" t="s">
        <v>41</v>
      </c>
      <c r="H143" s="427" t="s">
        <v>11</v>
      </c>
      <c r="I143" s="427" t="s">
        <v>41</v>
      </c>
      <c r="J143" s="427" t="s">
        <v>11</v>
      </c>
      <c r="K143" s="427" t="s">
        <v>41</v>
      </c>
      <c r="L143" s="427" t="s">
        <v>11</v>
      </c>
      <c r="M143" s="268" t="s">
        <v>41</v>
      </c>
    </row>
    <row r="144" spans="1:13" ht="15.75" customHeight="1">
      <c r="A144" s="276"/>
      <c r="B144" s="277"/>
      <c r="C144" s="277"/>
      <c r="D144" s="802"/>
      <c r="E144" s="189" t="s">
        <v>244</v>
      </c>
      <c r="F144" s="271">
        <v>1998.4399999999998</v>
      </c>
      <c r="G144" s="193">
        <f>IFERROR(F144/B139,"")</f>
        <v>1.5799443425463282E-2</v>
      </c>
      <c r="H144" s="271">
        <v>929.51</v>
      </c>
      <c r="I144" s="193">
        <f>IFERROR(H144/B139,"")</f>
        <v>7.3486022389475684E-3</v>
      </c>
      <c r="J144" s="271">
        <v>0</v>
      </c>
      <c r="K144" s="193">
        <f>IFERROR(J144/B139,"")</f>
        <v>0</v>
      </c>
      <c r="L144" s="271">
        <v>0</v>
      </c>
      <c r="M144" s="272">
        <f>IFERROR(L144/B139,"")</f>
        <v>0</v>
      </c>
    </row>
    <row r="145" spans="1:13" ht="15.75" customHeight="1" thickBot="1">
      <c r="A145" s="278"/>
      <c r="B145" s="279"/>
      <c r="C145" s="279"/>
      <c r="D145" s="811"/>
      <c r="E145" s="280" t="s">
        <v>245</v>
      </c>
      <c r="F145" s="281">
        <v>9727.9645499999788</v>
      </c>
      <c r="G145" s="282">
        <f>IFERROR(F145/B140,"")</f>
        <v>8.421878913414732E-2</v>
      </c>
      <c r="H145" s="281">
        <v>5044.1673599999995</v>
      </c>
      <c r="I145" s="282">
        <f>IFERROR(H145/B140,"")</f>
        <v>4.3669327233433378E-2</v>
      </c>
      <c r="J145" s="281">
        <v>1022.6864000000024</v>
      </c>
      <c r="K145" s="282">
        <f>IFERROR(J145/B140,"")</f>
        <v>8.8537956557377291E-3</v>
      </c>
      <c r="L145" s="281">
        <v>0</v>
      </c>
      <c r="M145" s="283">
        <f>IFERROR(L145/B140,"")</f>
        <v>0</v>
      </c>
    </row>
    <row r="146" spans="1:13" ht="15.75" customHeight="1">
      <c r="A146" s="805" t="s">
        <v>773</v>
      </c>
      <c r="B146" s="806"/>
      <c r="C146" s="806"/>
      <c r="D146" s="806"/>
      <c r="E146" s="806"/>
      <c r="F146" s="806"/>
      <c r="G146" s="806"/>
      <c r="H146" s="806"/>
      <c r="I146" s="806"/>
      <c r="J146" s="806"/>
      <c r="K146" s="806"/>
      <c r="L146" s="806"/>
      <c r="M146" s="807"/>
    </row>
    <row r="147" spans="1:13" ht="15.75" customHeight="1">
      <c r="A147" s="808"/>
      <c r="B147" s="798"/>
      <c r="C147" s="798"/>
      <c r="D147" s="798"/>
      <c r="E147" s="798"/>
      <c r="F147" s="798"/>
      <c r="G147" s="798"/>
      <c r="H147" s="798"/>
      <c r="I147" s="798"/>
      <c r="J147" s="798"/>
      <c r="K147" s="798"/>
      <c r="L147" s="798"/>
      <c r="M147" s="809"/>
    </row>
    <row r="148" spans="1:13" ht="15.75" customHeight="1">
      <c r="A148" s="266" t="s">
        <v>238</v>
      </c>
      <c r="B148" s="355">
        <v>49497330</v>
      </c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267"/>
    </row>
    <row r="149" spans="1:13" ht="15.75" customHeight="1">
      <c r="A149" s="810" t="s">
        <v>197</v>
      </c>
      <c r="B149" s="800" t="s">
        <v>10</v>
      </c>
      <c r="C149" s="800"/>
      <c r="D149" s="801"/>
      <c r="E149" s="799" t="s">
        <v>197</v>
      </c>
      <c r="F149" s="803">
        <v>1</v>
      </c>
      <c r="G149" s="803"/>
      <c r="H149" s="803">
        <v>2</v>
      </c>
      <c r="I149" s="803"/>
      <c r="J149" s="803">
        <v>3</v>
      </c>
      <c r="K149" s="803"/>
      <c r="L149" s="803">
        <v>4</v>
      </c>
      <c r="M149" s="812"/>
    </row>
    <row r="150" spans="1:13" ht="15.75" customHeight="1">
      <c r="A150" s="810"/>
      <c r="B150" s="800"/>
      <c r="C150" s="800"/>
      <c r="D150" s="802"/>
      <c r="E150" s="799"/>
      <c r="F150" s="795" t="s">
        <v>250</v>
      </c>
      <c r="G150" s="795"/>
      <c r="H150" s="795" t="s">
        <v>240</v>
      </c>
      <c r="I150" s="795"/>
      <c r="J150" s="795" t="s">
        <v>164</v>
      </c>
      <c r="K150" s="795"/>
      <c r="L150" s="795" t="s">
        <v>709</v>
      </c>
      <c r="M150" s="813"/>
    </row>
    <row r="151" spans="1:13" ht="15.75" customHeight="1">
      <c r="A151" s="810"/>
      <c r="B151" s="430" t="s">
        <v>11</v>
      </c>
      <c r="C151" s="430" t="s">
        <v>41</v>
      </c>
      <c r="D151" s="802"/>
      <c r="E151" s="799"/>
      <c r="F151" s="430" t="s">
        <v>11</v>
      </c>
      <c r="G151" s="430" t="s">
        <v>41</v>
      </c>
      <c r="H151" s="430" t="s">
        <v>11</v>
      </c>
      <c r="I151" s="430" t="s">
        <v>41</v>
      </c>
      <c r="J151" s="430" t="s">
        <v>11</v>
      </c>
      <c r="K151" s="430" t="s">
        <v>41</v>
      </c>
      <c r="L151" s="430" t="s">
        <v>11</v>
      </c>
      <c r="M151" s="268" t="s">
        <v>41</v>
      </c>
    </row>
    <row r="152" spans="1:13" ht="15.75" customHeight="1">
      <c r="A152" s="269" t="s">
        <v>244</v>
      </c>
      <c r="B152" s="270">
        <v>121653.17465</v>
      </c>
      <c r="C152" s="191">
        <f>B152/B148</f>
        <v>2.4577724626762697E-3</v>
      </c>
      <c r="D152" s="802"/>
      <c r="E152" s="189" t="s">
        <v>244</v>
      </c>
      <c r="F152" s="271">
        <v>0</v>
      </c>
      <c r="G152" s="193">
        <f>IFERROR(F152/B152,"")</f>
        <v>0</v>
      </c>
      <c r="H152" s="271">
        <v>278.36500000000001</v>
      </c>
      <c r="I152" s="193">
        <f>IFERROR(H152/B152,"")</f>
        <v>2.2881852512346254E-3</v>
      </c>
      <c r="J152" s="271">
        <v>1647.2909999999999</v>
      </c>
      <c r="K152" s="193">
        <f>IFERROR(J152/B152,"")</f>
        <v>1.3540879674856886E-2</v>
      </c>
      <c r="L152" s="271">
        <v>4182.6130000000003</v>
      </c>
      <c r="M152" s="272">
        <f>IFERROR(L152/B152,"")</f>
        <v>3.4381453768333702E-2</v>
      </c>
    </row>
    <row r="153" spans="1:13" ht="15.75" customHeight="1">
      <c r="A153" s="273" t="s">
        <v>245</v>
      </c>
      <c r="B153" s="274">
        <v>118133.70914207518</v>
      </c>
      <c r="C153" s="191">
        <f>B153/B148</f>
        <v>2.3866683140701768E-3</v>
      </c>
      <c r="D153" s="802"/>
      <c r="E153" s="195" t="s">
        <v>245</v>
      </c>
      <c r="F153" s="271">
        <v>0</v>
      </c>
      <c r="G153" s="193">
        <f>IFERROR(F153/B153,"")</f>
        <v>0</v>
      </c>
      <c r="H153" s="271">
        <v>439.30235999999979</v>
      </c>
      <c r="I153" s="193">
        <f>IFERROR(H153/B153,"")</f>
        <v>3.7186876056830363E-3</v>
      </c>
      <c r="J153" s="271">
        <v>403.64119999999946</v>
      </c>
      <c r="K153" s="193">
        <f>IFERROR(J153/B153,"")</f>
        <v>3.4168164441070298E-3</v>
      </c>
      <c r="L153" s="271">
        <v>2938.0159700000004</v>
      </c>
      <c r="M153" s="272">
        <f>IFERROR(L153/B153,"")</f>
        <v>2.4870259228604714E-2</v>
      </c>
    </row>
    <row r="154" spans="1:13" ht="15.75" customHeight="1">
      <c r="A154" s="275"/>
      <c r="B154" s="185"/>
      <c r="C154" s="185"/>
      <c r="D154" s="802"/>
      <c r="E154" s="799" t="s">
        <v>197</v>
      </c>
      <c r="F154" s="814">
        <v>5</v>
      </c>
      <c r="G154" s="815"/>
      <c r="H154" s="814">
        <v>6</v>
      </c>
      <c r="I154" s="815"/>
      <c r="J154" s="814">
        <v>7</v>
      </c>
      <c r="K154" s="815"/>
      <c r="L154" s="816">
        <v>8</v>
      </c>
      <c r="M154" s="817"/>
    </row>
    <row r="155" spans="1:13" ht="15.75" customHeight="1">
      <c r="A155" s="275"/>
      <c r="B155" s="185"/>
      <c r="C155" s="185"/>
      <c r="D155" s="802"/>
      <c r="E155" s="799"/>
      <c r="F155" s="818" t="s">
        <v>188</v>
      </c>
      <c r="G155" s="819"/>
      <c r="H155" s="818" t="s">
        <v>165</v>
      </c>
      <c r="I155" s="819"/>
      <c r="J155" s="818" t="s">
        <v>189</v>
      </c>
      <c r="K155" s="819"/>
      <c r="L155" s="820" t="s">
        <v>249</v>
      </c>
      <c r="M155" s="821"/>
    </row>
    <row r="156" spans="1:13" ht="15.75" customHeight="1">
      <c r="A156" s="275"/>
      <c r="B156" s="185"/>
      <c r="C156" s="185"/>
      <c r="D156" s="802"/>
      <c r="E156" s="799"/>
      <c r="F156" s="430" t="s">
        <v>11</v>
      </c>
      <c r="G156" s="430" t="s">
        <v>41</v>
      </c>
      <c r="H156" s="430" t="s">
        <v>11</v>
      </c>
      <c r="I156" s="430" t="s">
        <v>41</v>
      </c>
      <c r="J156" s="430" t="s">
        <v>11</v>
      </c>
      <c r="K156" s="430" t="s">
        <v>41</v>
      </c>
      <c r="L156" s="430" t="s">
        <v>11</v>
      </c>
      <c r="M156" s="268" t="s">
        <v>41</v>
      </c>
    </row>
    <row r="157" spans="1:13" ht="15.75" customHeight="1">
      <c r="A157" s="276"/>
      <c r="B157" s="277"/>
      <c r="C157" s="277"/>
      <c r="D157" s="802"/>
      <c r="E157" s="189" t="s">
        <v>244</v>
      </c>
      <c r="F157" s="271">
        <v>2506.0449999999996</v>
      </c>
      <c r="G157" s="193">
        <f>IFERROR(F157/B152,"")</f>
        <v>2.0599914529234192E-2</v>
      </c>
      <c r="H157" s="271">
        <v>1135.7530000000002</v>
      </c>
      <c r="I157" s="193">
        <f>IFERROR(H157/B152,"")</f>
        <v>9.3359914631705836E-3</v>
      </c>
      <c r="J157" s="271">
        <v>290.55100000000004</v>
      </c>
      <c r="K157" s="193">
        <f>IFERROR(J157/B152,"")</f>
        <v>2.3883552635262039E-3</v>
      </c>
      <c r="L157" s="271">
        <v>0</v>
      </c>
      <c r="M157" s="272">
        <f>IFERROR(L157/B152,"")</f>
        <v>0</v>
      </c>
    </row>
    <row r="158" spans="1:13" ht="15.75" customHeight="1" thickBot="1">
      <c r="A158" s="278"/>
      <c r="B158" s="279"/>
      <c r="C158" s="279"/>
      <c r="D158" s="811"/>
      <c r="E158" s="280" t="s">
        <v>245</v>
      </c>
      <c r="F158" s="281">
        <v>7689.4863200000027</v>
      </c>
      <c r="G158" s="282">
        <f>IFERROR(F158/B153,"")</f>
        <v>6.5091381417239108E-2</v>
      </c>
      <c r="H158" s="281">
        <v>5591.6998200000153</v>
      </c>
      <c r="I158" s="282">
        <f>IFERROR(H158/B153,"")</f>
        <v>4.7333651509029302E-2</v>
      </c>
      <c r="J158" s="281">
        <v>1252.1805999999999</v>
      </c>
      <c r="K158" s="282">
        <f>IFERROR(J158/B153,"")</f>
        <v>1.0599689191965073E-2</v>
      </c>
      <c r="L158" s="281">
        <v>0</v>
      </c>
      <c r="M158" s="283">
        <f>IFERROR(L158/B153,"")</f>
        <v>0</v>
      </c>
    </row>
    <row r="159" spans="1:13" ht="15.75" customHeight="1">
      <c r="A159" s="805" t="s">
        <v>776</v>
      </c>
      <c r="B159" s="806"/>
      <c r="C159" s="806"/>
      <c r="D159" s="806"/>
      <c r="E159" s="806"/>
      <c r="F159" s="806"/>
      <c r="G159" s="806"/>
      <c r="H159" s="806"/>
      <c r="I159" s="806"/>
      <c r="J159" s="806"/>
      <c r="K159" s="806"/>
      <c r="L159" s="806"/>
      <c r="M159" s="807"/>
    </row>
    <row r="160" spans="1:13" ht="15.75" customHeight="1">
      <c r="A160" s="808"/>
      <c r="B160" s="798"/>
      <c r="C160" s="798"/>
      <c r="D160" s="798"/>
      <c r="E160" s="798"/>
      <c r="F160" s="798"/>
      <c r="G160" s="798"/>
      <c r="H160" s="798"/>
      <c r="I160" s="798"/>
      <c r="J160" s="798"/>
      <c r="K160" s="798"/>
      <c r="L160" s="798"/>
      <c r="M160" s="809"/>
    </row>
    <row r="161" spans="1:13" ht="15.75" customHeight="1">
      <c r="A161" s="266" t="s">
        <v>238</v>
      </c>
      <c r="B161" s="355">
        <v>52649495</v>
      </c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267"/>
    </row>
    <row r="162" spans="1:13" ht="15.75" customHeight="1">
      <c r="A162" s="810" t="s">
        <v>197</v>
      </c>
      <c r="B162" s="800" t="s">
        <v>10</v>
      </c>
      <c r="C162" s="800"/>
      <c r="D162" s="801"/>
      <c r="E162" s="799" t="s">
        <v>197</v>
      </c>
      <c r="F162" s="803">
        <v>1</v>
      </c>
      <c r="G162" s="803"/>
      <c r="H162" s="803">
        <v>2</v>
      </c>
      <c r="I162" s="803"/>
      <c r="J162" s="803">
        <v>3</v>
      </c>
      <c r="K162" s="803"/>
      <c r="L162" s="803">
        <v>4</v>
      </c>
      <c r="M162" s="812"/>
    </row>
    <row r="163" spans="1:13" ht="15.75" customHeight="1">
      <c r="A163" s="810"/>
      <c r="B163" s="800"/>
      <c r="C163" s="800"/>
      <c r="D163" s="802"/>
      <c r="E163" s="799"/>
      <c r="F163" s="795" t="s">
        <v>250</v>
      </c>
      <c r="G163" s="795"/>
      <c r="H163" s="795" t="s">
        <v>240</v>
      </c>
      <c r="I163" s="795"/>
      <c r="J163" s="795" t="s">
        <v>164</v>
      </c>
      <c r="K163" s="795"/>
      <c r="L163" s="795" t="s">
        <v>709</v>
      </c>
      <c r="M163" s="813"/>
    </row>
    <row r="164" spans="1:13" ht="15.75" customHeight="1">
      <c r="A164" s="810"/>
      <c r="B164" s="445" t="s">
        <v>11</v>
      </c>
      <c r="C164" s="445" t="s">
        <v>41</v>
      </c>
      <c r="D164" s="802"/>
      <c r="E164" s="799"/>
      <c r="F164" s="445" t="s">
        <v>11</v>
      </c>
      <c r="G164" s="445" t="s">
        <v>41</v>
      </c>
      <c r="H164" s="445" t="s">
        <v>11</v>
      </c>
      <c r="I164" s="445" t="s">
        <v>41</v>
      </c>
      <c r="J164" s="445" t="s">
        <v>11</v>
      </c>
      <c r="K164" s="445" t="s">
        <v>41</v>
      </c>
      <c r="L164" s="445" t="s">
        <v>11</v>
      </c>
      <c r="M164" s="268" t="s">
        <v>41</v>
      </c>
    </row>
    <row r="165" spans="1:13" ht="15.75" customHeight="1">
      <c r="A165" s="269" t="s">
        <v>244</v>
      </c>
      <c r="B165" s="270">
        <v>129274</v>
      </c>
      <c r="C165" s="191">
        <f>B165/B161</f>
        <v>2.4553701797139743E-3</v>
      </c>
      <c r="D165" s="802"/>
      <c r="E165" s="189" t="s">
        <v>244</v>
      </c>
      <c r="F165" s="271">
        <v>0</v>
      </c>
      <c r="G165" s="193">
        <f>IFERROR(F165/B165,"")</f>
        <v>0</v>
      </c>
      <c r="H165" s="271">
        <v>308.69000000000005</v>
      </c>
      <c r="I165" s="193">
        <f>IFERROR(H165/B165,"")</f>
        <v>2.3878738184012257E-3</v>
      </c>
      <c r="J165" s="271">
        <v>721.21400000000006</v>
      </c>
      <c r="K165" s="193">
        <f>IFERROR(J165/B165,"")</f>
        <v>5.5789563253245047E-3</v>
      </c>
      <c r="L165" s="271">
        <v>4567.991</v>
      </c>
      <c r="M165" s="272">
        <f>IFERROR(L165/B165,"")</f>
        <v>3.5335728762164086E-2</v>
      </c>
    </row>
    <row r="166" spans="1:13" ht="15.75" customHeight="1">
      <c r="A166" s="273" t="s">
        <v>245</v>
      </c>
      <c r="B166" s="274">
        <v>118981.92926777399</v>
      </c>
      <c r="C166" s="191">
        <f>B166/B161</f>
        <v>2.2598873791244149E-3</v>
      </c>
      <c r="D166" s="802"/>
      <c r="E166" s="195" t="s">
        <v>245</v>
      </c>
      <c r="F166" s="271">
        <v>0</v>
      </c>
      <c r="G166" s="193">
        <f>IFERROR(F166/B166,"")</f>
        <v>0</v>
      </c>
      <c r="H166" s="271">
        <v>0</v>
      </c>
      <c r="I166" s="193">
        <f>IFERROR(H166/B166,"")</f>
        <v>0</v>
      </c>
      <c r="J166" s="271">
        <v>638.26473999999939</v>
      </c>
      <c r="K166" s="193">
        <f>IFERROR(J166/B166,"")</f>
        <v>5.3643838516314263E-3</v>
      </c>
      <c r="L166" s="271">
        <v>4112.5036300000047</v>
      </c>
      <c r="M166" s="272">
        <f>IFERROR(L166/B166,"")</f>
        <v>3.4564102761728104E-2</v>
      </c>
    </row>
    <row r="167" spans="1:13" ht="15.75" customHeight="1">
      <c r="A167" s="275"/>
      <c r="B167" s="185"/>
      <c r="C167" s="185"/>
      <c r="D167" s="802"/>
      <c r="E167" s="799" t="s">
        <v>197</v>
      </c>
      <c r="F167" s="814">
        <v>5</v>
      </c>
      <c r="G167" s="815"/>
      <c r="H167" s="814">
        <v>6</v>
      </c>
      <c r="I167" s="815"/>
      <c r="J167" s="814">
        <v>7</v>
      </c>
      <c r="K167" s="815"/>
      <c r="L167" s="816">
        <v>8</v>
      </c>
      <c r="M167" s="817"/>
    </row>
    <row r="168" spans="1:13" ht="15.75" customHeight="1">
      <c r="A168" s="275"/>
      <c r="B168" s="185"/>
      <c r="C168" s="185"/>
      <c r="D168" s="802"/>
      <c r="E168" s="799"/>
      <c r="F168" s="818" t="s">
        <v>188</v>
      </c>
      <c r="G168" s="819"/>
      <c r="H168" s="818" t="s">
        <v>165</v>
      </c>
      <c r="I168" s="819"/>
      <c r="J168" s="818" t="s">
        <v>189</v>
      </c>
      <c r="K168" s="819"/>
      <c r="L168" s="820" t="s">
        <v>249</v>
      </c>
      <c r="M168" s="821"/>
    </row>
    <row r="169" spans="1:13" ht="15.75" customHeight="1">
      <c r="A169" s="275"/>
      <c r="B169" s="185"/>
      <c r="C169" s="185"/>
      <c r="D169" s="802"/>
      <c r="E169" s="799"/>
      <c r="F169" s="445" t="s">
        <v>11</v>
      </c>
      <c r="G169" s="445" t="s">
        <v>41</v>
      </c>
      <c r="H169" s="445" t="s">
        <v>11</v>
      </c>
      <c r="I169" s="445" t="s">
        <v>41</v>
      </c>
      <c r="J169" s="445" t="s">
        <v>11</v>
      </c>
      <c r="K169" s="445" t="s">
        <v>41</v>
      </c>
      <c r="L169" s="445" t="s">
        <v>11</v>
      </c>
      <c r="M169" s="268" t="s">
        <v>41</v>
      </c>
    </row>
    <row r="170" spans="1:13" ht="15.75" customHeight="1">
      <c r="A170" s="276"/>
      <c r="B170" s="277"/>
      <c r="C170" s="277"/>
      <c r="D170" s="802"/>
      <c r="E170" s="189" t="s">
        <v>244</v>
      </c>
      <c r="F170" s="271">
        <v>2919.8290000000006</v>
      </c>
      <c r="G170" s="193">
        <f>IFERROR(F170/B165,"")</f>
        <v>2.2586359206027511E-2</v>
      </c>
      <c r="H170" s="271">
        <v>1754.818</v>
      </c>
      <c r="I170" s="193">
        <f>IFERROR(H170/B165,"")</f>
        <v>1.3574407846898834E-2</v>
      </c>
      <c r="J170" s="271">
        <v>504.61500000000001</v>
      </c>
      <c r="K170" s="193">
        <f>IFERROR(J170/B165,"")</f>
        <v>3.9034531305598961E-3</v>
      </c>
      <c r="L170" s="271">
        <v>0</v>
      </c>
      <c r="M170" s="272">
        <f>IFERROR(L170/B165,"")</f>
        <v>0</v>
      </c>
    </row>
    <row r="171" spans="1:13" ht="15.75" customHeight="1" thickBot="1">
      <c r="A171" s="278"/>
      <c r="B171" s="279"/>
      <c r="C171" s="279"/>
      <c r="D171" s="811"/>
      <c r="E171" s="280" t="s">
        <v>245</v>
      </c>
      <c r="F171" s="281">
        <v>7286.3094799999935</v>
      </c>
      <c r="G171" s="282">
        <f>IFERROR(F171/B166,"")</f>
        <v>6.1238790838580526E-2</v>
      </c>
      <c r="H171" s="281">
        <v>3621.9585500000039</v>
      </c>
      <c r="I171" s="282">
        <f>IFERROR(H171/B166,"")</f>
        <v>3.0441249123206175E-2</v>
      </c>
      <c r="J171" s="281">
        <v>1091.537080000001</v>
      </c>
      <c r="K171" s="282">
        <f>IFERROR(J171/B166,"")</f>
        <v>9.1739736169805207E-3</v>
      </c>
      <c r="L171" s="281">
        <v>0</v>
      </c>
      <c r="M171" s="283">
        <f>IFERROR(L171/B166,"")</f>
        <v>0</v>
      </c>
    </row>
    <row r="172" spans="1:13" ht="15.75" customHeight="1">
      <c r="A172" s="805" t="s">
        <v>804</v>
      </c>
      <c r="B172" s="806"/>
      <c r="C172" s="806"/>
      <c r="D172" s="806"/>
      <c r="E172" s="806"/>
      <c r="F172" s="806"/>
      <c r="G172" s="806"/>
      <c r="H172" s="806"/>
      <c r="I172" s="806"/>
      <c r="J172" s="806"/>
      <c r="K172" s="806"/>
      <c r="L172" s="806"/>
      <c r="M172" s="807"/>
    </row>
    <row r="173" spans="1:13" ht="15.75" customHeight="1">
      <c r="A173" s="808"/>
      <c r="B173" s="798"/>
      <c r="C173" s="798"/>
      <c r="D173" s="798"/>
      <c r="E173" s="798"/>
      <c r="F173" s="798"/>
      <c r="G173" s="798"/>
      <c r="H173" s="798"/>
      <c r="I173" s="798"/>
      <c r="J173" s="798"/>
      <c r="K173" s="798"/>
      <c r="L173" s="798"/>
      <c r="M173" s="809"/>
    </row>
    <row r="174" spans="1:13" ht="15.75" customHeight="1">
      <c r="A174" s="266" t="s">
        <v>238</v>
      </c>
      <c r="B174" s="355">
        <v>49899447</v>
      </c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267"/>
    </row>
    <row r="175" spans="1:13" ht="15.75" customHeight="1">
      <c r="A175" s="810" t="s">
        <v>197</v>
      </c>
      <c r="B175" s="800" t="s">
        <v>10</v>
      </c>
      <c r="C175" s="800"/>
      <c r="D175" s="801"/>
      <c r="E175" s="799" t="s">
        <v>197</v>
      </c>
      <c r="F175" s="803">
        <v>1</v>
      </c>
      <c r="G175" s="803"/>
      <c r="H175" s="803">
        <v>2</v>
      </c>
      <c r="I175" s="803"/>
      <c r="J175" s="803">
        <v>3</v>
      </c>
      <c r="K175" s="803"/>
      <c r="L175" s="803">
        <v>4</v>
      </c>
      <c r="M175" s="812"/>
    </row>
    <row r="176" spans="1:13" ht="15.75" customHeight="1">
      <c r="A176" s="810"/>
      <c r="B176" s="800"/>
      <c r="C176" s="800"/>
      <c r="D176" s="802"/>
      <c r="E176" s="799"/>
      <c r="F176" s="795" t="s">
        <v>250</v>
      </c>
      <c r="G176" s="795"/>
      <c r="H176" s="795" t="s">
        <v>240</v>
      </c>
      <c r="I176" s="795"/>
      <c r="J176" s="795" t="s">
        <v>164</v>
      </c>
      <c r="K176" s="795"/>
      <c r="L176" s="795" t="s">
        <v>709</v>
      </c>
      <c r="M176" s="813"/>
    </row>
    <row r="177" spans="1:13" ht="15.75" customHeight="1">
      <c r="A177" s="810"/>
      <c r="B177" s="454" t="s">
        <v>11</v>
      </c>
      <c r="C177" s="454" t="s">
        <v>41</v>
      </c>
      <c r="D177" s="802"/>
      <c r="E177" s="799"/>
      <c r="F177" s="454" t="s">
        <v>11</v>
      </c>
      <c r="G177" s="454" t="s">
        <v>41</v>
      </c>
      <c r="H177" s="454" t="s">
        <v>11</v>
      </c>
      <c r="I177" s="454" t="s">
        <v>41</v>
      </c>
      <c r="J177" s="454" t="s">
        <v>11</v>
      </c>
      <c r="K177" s="454" t="s">
        <v>41</v>
      </c>
      <c r="L177" s="454" t="s">
        <v>11</v>
      </c>
      <c r="M177" s="268" t="s">
        <v>41</v>
      </c>
    </row>
    <row r="178" spans="1:13" ht="15.75" customHeight="1">
      <c r="A178" s="269" t="s">
        <v>244</v>
      </c>
      <c r="B178" s="270">
        <v>122397.80100000001</v>
      </c>
      <c r="C178" s="191">
        <f>B178/B174</f>
        <v>2.4528889268051407E-3</v>
      </c>
      <c r="D178" s="802"/>
      <c r="E178" s="189" t="s">
        <v>244</v>
      </c>
      <c r="F178" s="271">
        <v>0</v>
      </c>
      <c r="G178" s="193">
        <f>IFERROR(F178/B178,"")</f>
        <v>0</v>
      </c>
      <c r="H178" s="271">
        <v>280.89300000000003</v>
      </c>
      <c r="I178" s="193">
        <f>IFERROR(H178/B178,"")</f>
        <v>2.2949186807694364E-3</v>
      </c>
      <c r="J178" s="271">
        <v>1185.7960000000003</v>
      </c>
      <c r="K178" s="193">
        <f>IFERROR(J178/B178,"")</f>
        <v>9.6880498694580323E-3</v>
      </c>
      <c r="L178" s="271">
        <v>2752.3570000000004</v>
      </c>
      <c r="M178" s="272">
        <f>IFERROR(L178/B178,"")</f>
        <v>2.2486980791427785E-2</v>
      </c>
    </row>
    <row r="179" spans="1:13" ht="15.75" customHeight="1">
      <c r="A179" s="273" t="s">
        <v>245</v>
      </c>
      <c r="B179" s="274">
        <v>110502.30436585688</v>
      </c>
      <c r="C179" s="191">
        <f>B179/B174</f>
        <v>2.2144995788401598E-3</v>
      </c>
      <c r="D179" s="802"/>
      <c r="E179" s="195" t="s">
        <v>245</v>
      </c>
      <c r="F179" s="271">
        <v>0</v>
      </c>
      <c r="G179" s="193">
        <f>IFERROR(F179/B179,"")</f>
        <v>0</v>
      </c>
      <c r="H179" s="271">
        <v>0</v>
      </c>
      <c r="I179" s="193">
        <f>IFERROR(H179/B179,"")</f>
        <v>0</v>
      </c>
      <c r="J179" s="271">
        <v>335.43429000000094</v>
      </c>
      <c r="K179" s="193">
        <f>IFERROR(J179/B179,"")</f>
        <v>3.0355411312458004E-3</v>
      </c>
      <c r="L179" s="271">
        <v>2469.7383400000108</v>
      </c>
      <c r="M179" s="272">
        <f>IFERROR(L179/B179,"")</f>
        <v>2.2350107123767032E-2</v>
      </c>
    </row>
    <row r="180" spans="1:13" ht="15.75" customHeight="1">
      <c r="A180" s="275"/>
      <c r="B180" s="185"/>
      <c r="C180" s="185"/>
      <c r="D180" s="802"/>
      <c r="E180" s="799" t="s">
        <v>197</v>
      </c>
      <c r="F180" s="814">
        <v>5</v>
      </c>
      <c r="G180" s="815"/>
      <c r="H180" s="814">
        <v>6</v>
      </c>
      <c r="I180" s="815"/>
      <c r="J180" s="814">
        <v>7</v>
      </c>
      <c r="K180" s="815"/>
      <c r="L180" s="816">
        <v>8</v>
      </c>
      <c r="M180" s="817"/>
    </row>
    <row r="181" spans="1:13" ht="15.75" customHeight="1">
      <c r="A181" s="275"/>
      <c r="B181" s="185"/>
      <c r="C181" s="185"/>
      <c r="D181" s="802"/>
      <c r="E181" s="799"/>
      <c r="F181" s="818" t="s">
        <v>188</v>
      </c>
      <c r="G181" s="819"/>
      <c r="H181" s="818" t="s">
        <v>165</v>
      </c>
      <c r="I181" s="819"/>
      <c r="J181" s="818" t="s">
        <v>189</v>
      </c>
      <c r="K181" s="819"/>
      <c r="L181" s="820" t="s">
        <v>249</v>
      </c>
      <c r="M181" s="821"/>
    </row>
    <row r="182" spans="1:13" ht="15.75" customHeight="1">
      <c r="A182" s="275"/>
      <c r="B182" s="185"/>
      <c r="C182" s="185"/>
      <c r="D182" s="802"/>
      <c r="E182" s="799"/>
      <c r="F182" s="454" t="s">
        <v>11</v>
      </c>
      <c r="G182" s="454" t="s">
        <v>41</v>
      </c>
      <c r="H182" s="454" t="s">
        <v>11</v>
      </c>
      <c r="I182" s="454" t="s">
        <v>41</v>
      </c>
      <c r="J182" s="454" t="s">
        <v>11</v>
      </c>
      <c r="K182" s="454" t="s">
        <v>41</v>
      </c>
      <c r="L182" s="454" t="s">
        <v>11</v>
      </c>
      <c r="M182" s="268" t="s">
        <v>41</v>
      </c>
    </row>
    <row r="183" spans="1:13" ht="15.75" customHeight="1">
      <c r="A183" s="276"/>
      <c r="B183" s="277"/>
      <c r="C183" s="277"/>
      <c r="D183" s="802"/>
      <c r="E183" s="189" t="s">
        <v>244</v>
      </c>
      <c r="F183" s="271">
        <v>4668.351999999999</v>
      </c>
      <c r="G183" s="193">
        <f>IFERROR(F183/B178,"")</f>
        <v>3.814081594488776E-2</v>
      </c>
      <c r="H183" s="271">
        <v>1295.3419999999999</v>
      </c>
      <c r="I183" s="193">
        <f>IFERROR(H183/B178,"")</f>
        <v>1.0583049608873282E-2</v>
      </c>
      <c r="J183" s="271">
        <v>336.41</v>
      </c>
      <c r="K183" s="193">
        <f>IFERROR(J183/B178,"")</f>
        <v>2.7484970910547652E-3</v>
      </c>
      <c r="L183" s="271">
        <v>0</v>
      </c>
      <c r="M183" s="272">
        <f>IFERROR(L183/B178,"")</f>
        <v>0</v>
      </c>
    </row>
    <row r="184" spans="1:13" ht="15.75" customHeight="1" thickBot="1">
      <c r="A184" s="278"/>
      <c r="B184" s="279"/>
      <c r="C184" s="279"/>
      <c r="D184" s="811"/>
      <c r="E184" s="280" t="s">
        <v>245</v>
      </c>
      <c r="F184" s="281">
        <v>8778.6225899999881</v>
      </c>
      <c r="G184" s="282">
        <f>IFERROR(F184/B179,"")</f>
        <v>7.9442891624551648E-2</v>
      </c>
      <c r="H184" s="281">
        <v>3397.7179399999904</v>
      </c>
      <c r="I184" s="282">
        <f>IFERROR(H184/B179,"")</f>
        <v>3.0747937425364868E-2</v>
      </c>
      <c r="J184" s="281">
        <v>1368.9606800000008</v>
      </c>
      <c r="K184" s="282">
        <f>IFERROR(J184/B179,"")</f>
        <v>1.2388526084194346E-2</v>
      </c>
      <c r="L184" s="281">
        <v>0</v>
      </c>
      <c r="M184" s="283">
        <f>IFERROR(L184/B179,"")</f>
        <v>0</v>
      </c>
    </row>
    <row r="185" spans="1:13" ht="15.75" customHeight="1">
      <c r="A185" s="805" t="s">
        <v>807</v>
      </c>
      <c r="B185" s="806"/>
      <c r="C185" s="806"/>
      <c r="D185" s="806"/>
      <c r="E185" s="806"/>
      <c r="F185" s="806"/>
      <c r="G185" s="806"/>
      <c r="H185" s="806"/>
      <c r="I185" s="806"/>
      <c r="J185" s="806"/>
      <c r="K185" s="806"/>
      <c r="L185" s="806"/>
      <c r="M185" s="807"/>
    </row>
    <row r="186" spans="1:13" ht="15.75" customHeight="1">
      <c r="A186" s="808"/>
      <c r="B186" s="798"/>
      <c r="C186" s="798"/>
      <c r="D186" s="798"/>
      <c r="E186" s="798"/>
      <c r="F186" s="798"/>
      <c r="G186" s="798"/>
      <c r="H186" s="798"/>
      <c r="I186" s="798"/>
      <c r="J186" s="798"/>
      <c r="K186" s="798"/>
      <c r="L186" s="798"/>
      <c r="M186" s="809"/>
    </row>
    <row r="187" spans="1:13" ht="15.75" customHeight="1">
      <c r="A187" s="266" t="s">
        <v>238</v>
      </c>
      <c r="B187" s="355">
        <v>50932396</v>
      </c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267"/>
    </row>
    <row r="188" spans="1:13" ht="15.75" customHeight="1">
      <c r="A188" s="810" t="s">
        <v>197</v>
      </c>
      <c r="B188" s="800" t="s">
        <v>10</v>
      </c>
      <c r="C188" s="800"/>
      <c r="D188" s="801"/>
      <c r="E188" s="799" t="s">
        <v>197</v>
      </c>
      <c r="F188" s="803">
        <v>1</v>
      </c>
      <c r="G188" s="803"/>
      <c r="H188" s="803">
        <v>2</v>
      </c>
      <c r="I188" s="803"/>
      <c r="J188" s="803">
        <v>3</v>
      </c>
      <c r="K188" s="803"/>
      <c r="L188" s="803">
        <v>4</v>
      </c>
      <c r="M188" s="812"/>
    </row>
    <row r="189" spans="1:13" ht="15.75" customHeight="1">
      <c r="A189" s="810"/>
      <c r="B189" s="800"/>
      <c r="C189" s="800"/>
      <c r="D189" s="802"/>
      <c r="E189" s="799"/>
      <c r="F189" s="795" t="s">
        <v>250</v>
      </c>
      <c r="G189" s="795"/>
      <c r="H189" s="795" t="s">
        <v>240</v>
      </c>
      <c r="I189" s="795"/>
      <c r="J189" s="795" t="s">
        <v>164</v>
      </c>
      <c r="K189" s="795"/>
      <c r="L189" s="795" t="s">
        <v>709</v>
      </c>
      <c r="M189" s="813"/>
    </row>
    <row r="190" spans="1:13" ht="15.75" customHeight="1">
      <c r="A190" s="810"/>
      <c r="B190" s="460" t="s">
        <v>11</v>
      </c>
      <c r="C190" s="460" t="s">
        <v>41</v>
      </c>
      <c r="D190" s="802"/>
      <c r="E190" s="799"/>
      <c r="F190" s="460" t="s">
        <v>11</v>
      </c>
      <c r="G190" s="460" t="s">
        <v>41</v>
      </c>
      <c r="H190" s="460" t="s">
        <v>11</v>
      </c>
      <c r="I190" s="460" t="s">
        <v>41</v>
      </c>
      <c r="J190" s="460" t="s">
        <v>11</v>
      </c>
      <c r="K190" s="460" t="s">
        <v>41</v>
      </c>
      <c r="L190" s="460" t="s">
        <v>11</v>
      </c>
      <c r="M190" s="268" t="s">
        <v>41</v>
      </c>
    </row>
    <row r="191" spans="1:13" ht="15.75" customHeight="1">
      <c r="A191" s="269" t="s">
        <v>244</v>
      </c>
      <c r="B191" s="270">
        <v>125026</v>
      </c>
      <c r="C191" s="191">
        <f>B191/B187</f>
        <v>2.4547441278827721E-3</v>
      </c>
      <c r="D191" s="802"/>
      <c r="E191" s="189" t="s">
        <v>244</v>
      </c>
      <c r="F191" s="271">
        <v>0</v>
      </c>
      <c r="G191" s="193">
        <f>IFERROR(F191/B191,"")</f>
        <v>0</v>
      </c>
      <c r="H191" s="271">
        <v>0</v>
      </c>
      <c r="I191" s="193">
        <f>IFERROR(H191/B191,"")</f>
        <v>0</v>
      </c>
      <c r="J191" s="271">
        <v>2703.6120000000001</v>
      </c>
      <c r="K191" s="193">
        <f>IFERROR(J191/B191,"")</f>
        <v>2.1624398125189962E-2</v>
      </c>
      <c r="L191" s="271">
        <v>6391.12</v>
      </c>
      <c r="M191" s="272">
        <f>IFERROR(L191/B191,"")</f>
        <v>5.1118327387903319E-2</v>
      </c>
    </row>
    <row r="192" spans="1:13" ht="15.75" customHeight="1">
      <c r="A192" s="273" t="s">
        <v>245</v>
      </c>
      <c r="B192" s="274">
        <v>115976.36212522408</v>
      </c>
      <c r="C192" s="191">
        <f>B192/B187</f>
        <v>2.2770647217386767E-3</v>
      </c>
      <c r="D192" s="802"/>
      <c r="E192" s="195" t="s">
        <v>245</v>
      </c>
      <c r="F192" s="271">
        <v>0</v>
      </c>
      <c r="G192" s="193">
        <f>IFERROR(F192/B192,"")</f>
        <v>0</v>
      </c>
      <c r="H192" s="271">
        <v>0</v>
      </c>
      <c r="I192" s="193">
        <f>IFERROR(H192/B192,"")</f>
        <v>0</v>
      </c>
      <c r="J192" s="271">
        <v>0</v>
      </c>
      <c r="K192" s="193">
        <f>IFERROR(J192/B192,"")</f>
        <v>0</v>
      </c>
      <c r="L192" s="271">
        <v>13832.589219999996</v>
      </c>
      <c r="M192" s="272">
        <f>IFERROR(L192/B192,"")</f>
        <v>0.11927076316693244</v>
      </c>
    </row>
    <row r="193" spans="1:13" ht="15.75" customHeight="1">
      <c r="A193" s="275"/>
      <c r="B193" s="185"/>
      <c r="C193" s="185"/>
      <c r="D193" s="802"/>
      <c r="E193" s="799" t="s">
        <v>197</v>
      </c>
      <c r="F193" s="814">
        <v>5</v>
      </c>
      <c r="G193" s="815"/>
      <c r="H193" s="814">
        <v>6</v>
      </c>
      <c r="I193" s="815"/>
      <c r="J193" s="814">
        <v>7</v>
      </c>
      <c r="K193" s="815"/>
      <c r="L193" s="816">
        <v>8</v>
      </c>
      <c r="M193" s="817"/>
    </row>
    <row r="194" spans="1:13" ht="15.75" customHeight="1">
      <c r="A194" s="275"/>
      <c r="B194" s="185"/>
      <c r="C194" s="185"/>
      <c r="D194" s="802"/>
      <c r="E194" s="799"/>
      <c r="F194" s="818" t="s">
        <v>188</v>
      </c>
      <c r="G194" s="819"/>
      <c r="H194" s="818" t="s">
        <v>165</v>
      </c>
      <c r="I194" s="819"/>
      <c r="J194" s="818" t="s">
        <v>189</v>
      </c>
      <c r="K194" s="819"/>
      <c r="L194" s="820" t="s">
        <v>249</v>
      </c>
      <c r="M194" s="821"/>
    </row>
    <row r="195" spans="1:13" ht="15.75" customHeight="1">
      <c r="A195" s="275"/>
      <c r="B195" s="185"/>
      <c r="C195" s="185"/>
      <c r="D195" s="802"/>
      <c r="E195" s="799"/>
      <c r="F195" s="460" t="s">
        <v>11</v>
      </c>
      <c r="G195" s="460" t="s">
        <v>41</v>
      </c>
      <c r="H195" s="460" t="s">
        <v>11</v>
      </c>
      <c r="I195" s="460" t="s">
        <v>41</v>
      </c>
      <c r="J195" s="460" t="s">
        <v>11</v>
      </c>
      <c r="K195" s="460" t="s">
        <v>41</v>
      </c>
      <c r="L195" s="460" t="s">
        <v>11</v>
      </c>
      <c r="M195" s="268" t="s">
        <v>41</v>
      </c>
    </row>
    <row r="196" spans="1:13" ht="15.75" customHeight="1">
      <c r="A196" s="276"/>
      <c r="B196" s="277"/>
      <c r="C196" s="277"/>
      <c r="D196" s="802"/>
      <c r="E196" s="189" t="s">
        <v>244</v>
      </c>
      <c r="F196" s="271">
        <v>3607.0949999999998</v>
      </c>
      <c r="G196" s="193">
        <f>IFERROR(F196/B191,"")</f>
        <v>2.8850759042119239E-2</v>
      </c>
      <c r="H196" s="271">
        <v>1671.3330000000001</v>
      </c>
      <c r="I196" s="193">
        <f>IFERROR(H196/B191,"")</f>
        <v>1.3367883480236112E-2</v>
      </c>
      <c r="J196" s="271">
        <v>0</v>
      </c>
      <c r="K196" s="193">
        <f>IFERROR(J196/B191,"")</f>
        <v>0</v>
      </c>
      <c r="L196" s="271">
        <v>0</v>
      </c>
      <c r="M196" s="272">
        <f>IFERROR(L196/B191,"")</f>
        <v>0</v>
      </c>
    </row>
    <row r="197" spans="1:13" ht="15.75" customHeight="1" thickBot="1">
      <c r="A197" s="278"/>
      <c r="B197" s="279"/>
      <c r="C197" s="279"/>
      <c r="D197" s="811"/>
      <c r="E197" s="280" t="s">
        <v>245</v>
      </c>
      <c r="F197" s="281">
        <v>11873.359339999959</v>
      </c>
      <c r="G197" s="282">
        <f>IFERROR(F197/B192,"")</f>
        <v>0.10237740796852933</v>
      </c>
      <c r="H197" s="281">
        <v>7203.390679999995</v>
      </c>
      <c r="I197" s="282">
        <f>IFERROR(H197/B192,"")</f>
        <v>6.2110852142630756E-2</v>
      </c>
      <c r="J197" s="281">
        <v>0</v>
      </c>
      <c r="K197" s="282">
        <f>IFERROR(J197/B192,"")</f>
        <v>0</v>
      </c>
      <c r="L197" s="281">
        <v>0</v>
      </c>
      <c r="M197" s="283">
        <f>IFERROR(L197/B192,"")</f>
        <v>0</v>
      </c>
    </row>
    <row r="198" spans="1:13" ht="15.75" customHeight="1">
      <c r="A198" s="805" t="s">
        <v>813</v>
      </c>
      <c r="B198" s="806"/>
      <c r="C198" s="806"/>
      <c r="D198" s="806"/>
      <c r="E198" s="806"/>
      <c r="F198" s="806"/>
      <c r="G198" s="806"/>
      <c r="H198" s="806"/>
      <c r="I198" s="806"/>
      <c r="J198" s="806"/>
      <c r="K198" s="806"/>
      <c r="L198" s="806"/>
      <c r="M198" s="807"/>
    </row>
    <row r="199" spans="1:13" ht="15.75" customHeight="1">
      <c r="A199" s="808"/>
      <c r="B199" s="798"/>
      <c r="C199" s="798"/>
      <c r="D199" s="798"/>
      <c r="E199" s="798"/>
      <c r="F199" s="798"/>
      <c r="G199" s="798"/>
      <c r="H199" s="798"/>
      <c r="I199" s="798"/>
      <c r="J199" s="798"/>
      <c r="K199" s="798"/>
      <c r="L199" s="798"/>
      <c r="M199" s="809"/>
    </row>
    <row r="200" spans="1:13" ht="15.75" customHeight="1">
      <c r="A200" s="266" t="s">
        <v>238</v>
      </c>
      <c r="B200" s="355">
        <v>48568543</v>
      </c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267"/>
    </row>
    <row r="201" spans="1:13" ht="15.75" customHeight="1">
      <c r="A201" s="810" t="s">
        <v>197</v>
      </c>
      <c r="B201" s="800" t="s">
        <v>10</v>
      </c>
      <c r="C201" s="800"/>
      <c r="D201" s="801"/>
      <c r="E201" s="799" t="s">
        <v>197</v>
      </c>
      <c r="F201" s="803">
        <v>1</v>
      </c>
      <c r="G201" s="803"/>
      <c r="H201" s="803">
        <v>2</v>
      </c>
      <c r="I201" s="803"/>
      <c r="J201" s="803">
        <v>3</v>
      </c>
      <c r="K201" s="803"/>
      <c r="L201" s="803">
        <v>4</v>
      </c>
      <c r="M201" s="812"/>
    </row>
    <row r="202" spans="1:13" ht="15.75" customHeight="1">
      <c r="A202" s="810"/>
      <c r="B202" s="800"/>
      <c r="C202" s="800"/>
      <c r="D202" s="802"/>
      <c r="E202" s="799"/>
      <c r="F202" s="795" t="s">
        <v>250</v>
      </c>
      <c r="G202" s="795"/>
      <c r="H202" s="795" t="s">
        <v>240</v>
      </c>
      <c r="I202" s="795"/>
      <c r="J202" s="795" t="s">
        <v>164</v>
      </c>
      <c r="K202" s="795"/>
      <c r="L202" s="795" t="s">
        <v>709</v>
      </c>
      <c r="M202" s="813"/>
    </row>
    <row r="203" spans="1:13" ht="15.75" customHeight="1">
      <c r="A203" s="810"/>
      <c r="B203" s="467" t="s">
        <v>11</v>
      </c>
      <c r="C203" s="467" t="s">
        <v>41</v>
      </c>
      <c r="D203" s="802"/>
      <c r="E203" s="799"/>
      <c r="F203" s="467" t="s">
        <v>11</v>
      </c>
      <c r="G203" s="467" t="s">
        <v>41</v>
      </c>
      <c r="H203" s="467" t="s">
        <v>11</v>
      </c>
      <c r="I203" s="467" t="s">
        <v>41</v>
      </c>
      <c r="J203" s="467" t="s">
        <v>11</v>
      </c>
      <c r="K203" s="467" t="s">
        <v>41</v>
      </c>
      <c r="L203" s="467" t="s">
        <v>11</v>
      </c>
      <c r="M203" s="268" t="s">
        <v>41</v>
      </c>
    </row>
    <row r="204" spans="1:13" ht="15.75" customHeight="1">
      <c r="A204" s="269" t="s">
        <v>244</v>
      </c>
      <c r="B204" s="270">
        <v>118904</v>
      </c>
      <c r="C204" s="191">
        <f>B204/B200</f>
        <v>2.4481689722502071E-3</v>
      </c>
      <c r="D204" s="802"/>
      <c r="E204" s="189" t="s">
        <v>244</v>
      </c>
      <c r="F204" s="271">
        <v>0</v>
      </c>
      <c r="G204" s="193">
        <f>IFERROR(F204/B204,"")</f>
        <v>0</v>
      </c>
      <c r="H204" s="271">
        <v>644.82600000000002</v>
      </c>
      <c r="I204" s="193">
        <f>IFERROR(H204/B204,"")</f>
        <v>5.4230808046827695E-3</v>
      </c>
      <c r="J204" s="271">
        <v>1959.9749999999999</v>
      </c>
      <c r="K204" s="193">
        <f>IFERROR(J204/B204,"")</f>
        <v>1.6483675906613739E-2</v>
      </c>
      <c r="L204" s="271">
        <v>5007.1060000000007</v>
      </c>
      <c r="M204" s="272">
        <f>IFERROR(L204/B204,"")</f>
        <v>4.2110492498149771E-2</v>
      </c>
    </row>
    <row r="205" spans="1:13" ht="15.75" customHeight="1">
      <c r="A205" s="273" t="s">
        <v>245</v>
      </c>
      <c r="B205" s="274">
        <v>107634.69212281464</v>
      </c>
      <c r="C205" s="191">
        <f>B205/B200</f>
        <v>2.2161400255061108E-3</v>
      </c>
      <c r="D205" s="802"/>
      <c r="E205" s="195" t="s">
        <v>245</v>
      </c>
      <c r="F205" s="271">
        <v>0</v>
      </c>
      <c r="G205" s="193">
        <f>IFERROR(F205/B205,"")</f>
        <v>0</v>
      </c>
      <c r="H205" s="271">
        <v>0</v>
      </c>
      <c r="I205" s="193">
        <f>IFERROR(H205/B205,"")</f>
        <v>0</v>
      </c>
      <c r="J205" s="271">
        <v>0</v>
      </c>
      <c r="K205" s="193">
        <f>IFERROR(J205/B205,"")</f>
        <v>0</v>
      </c>
      <c r="L205" s="271">
        <v>14266.462739999961</v>
      </c>
      <c r="M205" s="272">
        <f>IFERROR(L205/B205,"")</f>
        <v>0.13254520878567172</v>
      </c>
    </row>
    <row r="206" spans="1:13" ht="15.75" customHeight="1">
      <c r="A206" s="275"/>
      <c r="B206" s="185"/>
      <c r="C206" s="185"/>
      <c r="D206" s="802"/>
      <c r="E206" s="799" t="s">
        <v>197</v>
      </c>
      <c r="F206" s="814">
        <v>5</v>
      </c>
      <c r="G206" s="815"/>
      <c r="H206" s="814">
        <v>6</v>
      </c>
      <c r="I206" s="815"/>
      <c r="J206" s="814">
        <v>7</v>
      </c>
      <c r="K206" s="815"/>
      <c r="L206" s="816">
        <v>8</v>
      </c>
      <c r="M206" s="817"/>
    </row>
    <row r="207" spans="1:13" ht="15.75" customHeight="1">
      <c r="A207" s="275"/>
      <c r="B207" s="185"/>
      <c r="C207" s="185"/>
      <c r="D207" s="802"/>
      <c r="E207" s="799"/>
      <c r="F207" s="818" t="s">
        <v>188</v>
      </c>
      <c r="G207" s="819"/>
      <c r="H207" s="818" t="s">
        <v>165</v>
      </c>
      <c r="I207" s="819"/>
      <c r="J207" s="818" t="s">
        <v>189</v>
      </c>
      <c r="K207" s="819"/>
      <c r="L207" s="820" t="s">
        <v>249</v>
      </c>
      <c r="M207" s="821"/>
    </row>
    <row r="208" spans="1:13" ht="15.75" customHeight="1">
      <c r="A208" s="275"/>
      <c r="B208" s="185"/>
      <c r="C208" s="185"/>
      <c r="D208" s="802"/>
      <c r="E208" s="799"/>
      <c r="F208" s="467" t="s">
        <v>11</v>
      </c>
      <c r="G208" s="467" t="s">
        <v>41</v>
      </c>
      <c r="H208" s="467" t="s">
        <v>11</v>
      </c>
      <c r="I208" s="467" t="s">
        <v>41</v>
      </c>
      <c r="J208" s="467" t="s">
        <v>11</v>
      </c>
      <c r="K208" s="467" t="s">
        <v>41</v>
      </c>
      <c r="L208" s="467" t="s">
        <v>11</v>
      </c>
      <c r="M208" s="268" t="s">
        <v>41</v>
      </c>
    </row>
    <row r="209" spans="1:13" ht="15.75" customHeight="1">
      <c r="A209" s="276"/>
      <c r="B209" s="277"/>
      <c r="C209" s="277"/>
      <c r="D209" s="802"/>
      <c r="E209" s="189" t="s">
        <v>244</v>
      </c>
      <c r="F209" s="271">
        <v>4790.9799999999996</v>
      </c>
      <c r="G209" s="193">
        <f>IFERROR(F209/B204,"")</f>
        <v>4.0292841283724679E-2</v>
      </c>
      <c r="H209" s="271">
        <v>1516.2709999999997</v>
      </c>
      <c r="I209" s="193">
        <f>IFERROR(H209/B204,"")</f>
        <v>1.2752060485770031E-2</v>
      </c>
      <c r="J209" s="271">
        <v>0</v>
      </c>
      <c r="K209" s="193">
        <f>IFERROR(J209/B204,"")</f>
        <v>0</v>
      </c>
      <c r="L209" s="271">
        <v>0</v>
      </c>
      <c r="M209" s="272">
        <f>IFERROR(L209/B204,"")</f>
        <v>0</v>
      </c>
    </row>
    <row r="210" spans="1:13" ht="15.75" customHeight="1" thickBot="1">
      <c r="A210" s="278"/>
      <c r="B210" s="279"/>
      <c r="C210" s="279"/>
      <c r="D210" s="811"/>
      <c r="E210" s="280" t="s">
        <v>245</v>
      </c>
      <c r="F210" s="281">
        <v>10972.051010000034</v>
      </c>
      <c r="G210" s="282">
        <f>IFERROR(F210/B205,"")</f>
        <v>0.10193786774138371</v>
      </c>
      <c r="H210" s="281">
        <v>3627.1672599999574</v>
      </c>
      <c r="I210" s="282">
        <f>IFERROR(H210/B205,"")</f>
        <v>3.3698867794978625E-2</v>
      </c>
      <c r="J210" s="281">
        <v>0</v>
      </c>
      <c r="K210" s="282">
        <f>IFERROR(J210/B205,"")</f>
        <v>0</v>
      </c>
      <c r="L210" s="281">
        <v>0</v>
      </c>
      <c r="M210" s="283">
        <f>IFERROR(L210/B205,"")</f>
        <v>0</v>
      </c>
    </row>
    <row r="211" spans="1:13" ht="15.75" customHeight="1">
      <c r="A211" s="805" t="s">
        <v>815</v>
      </c>
      <c r="B211" s="806"/>
      <c r="C211" s="806"/>
      <c r="D211" s="806"/>
      <c r="E211" s="806"/>
      <c r="F211" s="806"/>
      <c r="G211" s="806"/>
      <c r="H211" s="806"/>
      <c r="I211" s="806"/>
      <c r="J211" s="806"/>
      <c r="K211" s="806"/>
      <c r="L211" s="806"/>
      <c r="M211" s="807"/>
    </row>
    <row r="212" spans="1:13" ht="15.75" customHeight="1">
      <c r="A212" s="808"/>
      <c r="B212" s="798"/>
      <c r="C212" s="798"/>
      <c r="D212" s="798"/>
      <c r="E212" s="798"/>
      <c r="F212" s="798"/>
      <c r="G212" s="798"/>
      <c r="H212" s="798"/>
      <c r="I212" s="798"/>
      <c r="J212" s="798"/>
      <c r="K212" s="798"/>
      <c r="L212" s="798"/>
      <c r="M212" s="809"/>
    </row>
    <row r="213" spans="1:13" ht="15.75" customHeight="1">
      <c r="A213" s="266" t="s">
        <v>238</v>
      </c>
      <c r="B213" s="355">
        <v>49954974</v>
      </c>
      <c r="C213" s="185"/>
      <c r="D213" s="185"/>
      <c r="E213" s="185"/>
      <c r="F213" s="185"/>
      <c r="G213" s="185"/>
      <c r="H213" s="185"/>
      <c r="I213" s="185"/>
      <c r="J213" s="185"/>
      <c r="K213" s="185"/>
      <c r="L213" s="185"/>
      <c r="M213" s="267"/>
    </row>
    <row r="214" spans="1:13" ht="15.75" customHeight="1">
      <c r="A214" s="810" t="s">
        <v>197</v>
      </c>
      <c r="B214" s="800" t="s">
        <v>10</v>
      </c>
      <c r="C214" s="800"/>
      <c r="D214" s="801"/>
      <c r="E214" s="799" t="s">
        <v>197</v>
      </c>
      <c r="F214" s="803">
        <v>1</v>
      </c>
      <c r="G214" s="803"/>
      <c r="H214" s="803">
        <v>2</v>
      </c>
      <c r="I214" s="803"/>
      <c r="J214" s="803">
        <v>3</v>
      </c>
      <c r="K214" s="803"/>
      <c r="L214" s="803">
        <v>4</v>
      </c>
      <c r="M214" s="812"/>
    </row>
    <row r="215" spans="1:13" ht="15.75" customHeight="1">
      <c r="A215" s="810"/>
      <c r="B215" s="800"/>
      <c r="C215" s="800"/>
      <c r="D215" s="802"/>
      <c r="E215" s="799"/>
      <c r="F215" s="795" t="s">
        <v>250</v>
      </c>
      <c r="G215" s="795"/>
      <c r="H215" s="795" t="s">
        <v>240</v>
      </c>
      <c r="I215" s="795"/>
      <c r="J215" s="795" t="s">
        <v>164</v>
      </c>
      <c r="K215" s="795"/>
      <c r="L215" s="795" t="s">
        <v>709</v>
      </c>
      <c r="M215" s="813"/>
    </row>
    <row r="216" spans="1:13" ht="15.75" customHeight="1">
      <c r="A216" s="810"/>
      <c r="B216" s="470" t="s">
        <v>11</v>
      </c>
      <c r="C216" s="470" t="s">
        <v>41</v>
      </c>
      <c r="D216" s="802"/>
      <c r="E216" s="799"/>
      <c r="F216" s="470" t="s">
        <v>11</v>
      </c>
      <c r="G216" s="470" t="s">
        <v>41</v>
      </c>
      <c r="H216" s="470" t="s">
        <v>11</v>
      </c>
      <c r="I216" s="470" t="s">
        <v>41</v>
      </c>
      <c r="J216" s="470" t="s">
        <v>11</v>
      </c>
      <c r="K216" s="470" t="s">
        <v>41</v>
      </c>
      <c r="L216" s="470" t="s">
        <v>11</v>
      </c>
      <c r="M216" s="268" t="s">
        <v>41</v>
      </c>
    </row>
    <row r="217" spans="1:13" ht="15.75" customHeight="1">
      <c r="A217" s="269" t="s">
        <v>244</v>
      </c>
      <c r="B217" s="270">
        <v>122936</v>
      </c>
      <c r="C217" s="191">
        <f>B217/B213</f>
        <v>2.4609361221967605E-3</v>
      </c>
      <c r="D217" s="802"/>
      <c r="E217" s="189" t="s">
        <v>244</v>
      </c>
      <c r="F217" s="271">
        <v>0</v>
      </c>
      <c r="G217" s="193">
        <f>IFERROR(F217/B217,"")</f>
        <v>0</v>
      </c>
      <c r="H217" s="271">
        <v>1501.0600000000002</v>
      </c>
      <c r="I217" s="193">
        <f>IFERROR(H217/B217,"")</f>
        <v>1.2210093056549751E-2</v>
      </c>
      <c r="J217" s="271">
        <v>2748.6741000000002</v>
      </c>
      <c r="K217" s="193">
        <f>IFERROR(J217/B217,"")</f>
        <v>2.2358577633890805E-2</v>
      </c>
      <c r="L217" s="271">
        <v>6482.1190000000006</v>
      </c>
      <c r="M217" s="272">
        <f>IFERROR(L217/B217,"")</f>
        <v>5.2727589965510517E-2</v>
      </c>
    </row>
    <row r="218" spans="1:13" ht="15.75" customHeight="1">
      <c r="A218" s="273" t="s">
        <v>245</v>
      </c>
      <c r="B218" s="274">
        <v>110726.85705083513</v>
      </c>
      <c r="C218" s="191">
        <f>B218/B213</f>
        <v>2.2165331734700757E-3</v>
      </c>
      <c r="D218" s="802"/>
      <c r="E218" s="195" t="s">
        <v>245</v>
      </c>
      <c r="F218" s="271">
        <v>0</v>
      </c>
      <c r="G218" s="193">
        <f>IFERROR(F218/B218,"")</f>
        <v>0</v>
      </c>
      <c r="H218" s="271">
        <v>1280.8224000000021</v>
      </c>
      <c r="I218" s="193">
        <f>IFERROR(H218/B218,"")</f>
        <v>1.1567405001046598E-2</v>
      </c>
      <c r="J218" s="271">
        <v>1314.0638399999846</v>
      </c>
      <c r="K218" s="193">
        <f>IFERROR(J218/B218,"")</f>
        <v>1.1867616177317242E-2</v>
      </c>
      <c r="L218" s="271">
        <v>11296.346420000025</v>
      </c>
      <c r="M218" s="272">
        <f>IFERROR(L218/B218,"")</f>
        <v>0.10201993193768545</v>
      </c>
    </row>
    <row r="219" spans="1:13" ht="15.75" customHeight="1">
      <c r="A219" s="275"/>
      <c r="B219" s="185"/>
      <c r="C219" s="185"/>
      <c r="D219" s="802"/>
      <c r="E219" s="799" t="s">
        <v>197</v>
      </c>
      <c r="F219" s="814">
        <v>5</v>
      </c>
      <c r="G219" s="815"/>
      <c r="H219" s="814">
        <v>6</v>
      </c>
      <c r="I219" s="815"/>
      <c r="J219" s="814">
        <v>7</v>
      </c>
      <c r="K219" s="815"/>
      <c r="L219" s="816">
        <v>8</v>
      </c>
      <c r="M219" s="817"/>
    </row>
    <row r="220" spans="1:13" ht="15.75" customHeight="1">
      <c r="A220" s="275"/>
      <c r="B220" s="185"/>
      <c r="C220" s="185"/>
      <c r="D220" s="802"/>
      <c r="E220" s="799"/>
      <c r="F220" s="818" t="s">
        <v>188</v>
      </c>
      <c r="G220" s="819"/>
      <c r="H220" s="818" t="s">
        <v>165</v>
      </c>
      <c r="I220" s="819"/>
      <c r="J220" s="818" t="s">
        <v>189</v>
      </c>
      <c r="K220" s="819"/>
      <c r="L220" s="820" t="s">
        <v>249</v>
      </c>
      <c r="M220" s="821"/>
    </row>
    <row r="221" spans="1:13" ht="15.75" customHeight="1">
      <c r="A221" s="275"/>
      <c r="B221" s="185"/>
      <c r="C221" s="185"/>
      <c r="D221" s="802"/>
      <c r="E221" s="799"/>
      <c r="F221" s="470" t="s">
        <v>11</v>
      </c>
      <c r="G221" s="470" t="s">
        <v>41</v>
      </c>
      <c r="H221" s="470" t="s">
        <v>11</v>
      </c>
      <c r="I221" s="470" t="s">
        <v>41</v>
      </c>
      <c r="J221" s="470" t="s">
        <v>11</v>
      </c>
      <c r="K221" s="470" t="s">
        <v>41</v>
      </c>
      <c r="L221" s="470" t="s">
        <v>11</v>
      </c>
      <c r="M221" s="268" t="s">
        <v>41</v>
      </c>
    </row>
    <row r="222" spans="1:13" ht="15.75" customHeight="1">
      <c r="A222" s="276"/>
      <c r="B222" s="277"/>
      <c r="C222" s="277"/>
      <c r="D222" s="802"/>
      <c r="E222" s="189" t="s">
        <v>244</v>
      </c>
      <c r="F222" s="271">
        <v>2195.3139999999999</v>
      </c>
      <c r="G222" s="193">
        <f>IFERROR(F222/B217,"")</f>
        <v>1.7857372942018609E-2</v>
      </c>
      <c r="H222" s="271">
        <v>1509.8239999999998</v>
      </c>
      <c r="I222" s="193">
        <f>IFERROR(H222/B217,"")</f>
        <v>1.2281382182599075E-2</v>
      </c>
      <c r="J222" s="271">
        <v>0</v>
      </c>
      <c r="K222" s="193">
        <f>IFERROR(J222/B217,"")</f>
        <v>0</v>
      </c>
      <c r="L222" s="271">
        <v>0</v>
      </c>
      <c r="M222" s="272">
        <f>IFERROR(L222/B217,"")</f>
        <v>0</v>
      </c>
    </row>
    <row r="223" spans="1:13" ht="15.75" customHeight="1" thickBot="1">
      <c r="A223" s="278"/>
      <c r="B223" s="279"/>
      <c r="C223" s="279"/>
      <c r="D223" s="811"/>
      <c r="E223" s="280" t="s">
        <v>245</v>
      </c>
      <c r="F223" s="281">
        <v>9630.2537600000069</v>
      </c>
      <c r="G223" s="282">
        <f>IFERROR(F223/B218,"")</f>
        <v>8.697306160851942E-2</v>
      </c>
      <c r="H223" s="281">
        <v>5050.8231600000054</v>
      </c>
      <c r="I223" s="282">
        <f>IFERROR(H223/B218,"")</f>
        <v>4.5615158729567777E-2</v>
      </c>
      <c r="J223" s="281">
        <v>0</v>
      </c>
      <c r="K223" s="282">
        <f>IFERROR(J223/B218,"")</f>
        <v>0</v>
      </c>
      <c r="L223" s="281">
        <v>0</v>
      </c>
      <c r="M223" s="283">
        <f>IFERROR(L223/B218,"")</f>
        <v>0</v>
      </c>
    </row>
    <row r="224" spans="1:13" ht="15.75" customHeight="1">
      <c r="A224" s="805" t="s">
        <v>823</v>
      </c>
      <c r="B224" s="806"/>
      <c r="C224" s="806"/>
      <c r="D224" s="806"/>
      <c r="E224" s="806"/>
      <c r="F224" s="806"/>
      <c r="G224" s="806"/>
      <c r="H224" s="806"/>
      <c r="I224" s="806"/>
      <c r="J224" s="806"/>
      <c r="K224" s="806"/>
      <c r="L224" s="806"/>
      <c r="M224" s="807"/>
    </row>
    <row r="225" spans="1:13" ht="15.75" customHeight="1">
      <c r="A225" s="808"/>
      <c r="B225" s="798"/>
      <c r="C225" s="798"/>
      <c r="D225" s="798"/>
      <c r="E225" s="798"/>
      <c r="F225" s="798"/>
      <c r="G225" s="798"/>
      <c r="H225" s="798"/>
      <c r="I225" s="798"/>
      <c r="J225" s="798"/>
      <c r="K225" s="798"/>
      <c r="L225" s="798"/>
      <c r="M225" s="809"/>
    </row>
    <row r="226" spans="1:13" ht="15.75" customHeight="1">
      <c r="A226" s="266" t="s">
        <v>238</v>
      </c>
      <c r="B226" s="355">
        <v>47582302</v>
      </c>
      <c r="C226" s="185"/>
      <c r="D226" s="185"/>
      <c r="E226" s="185"/>
      <c r="F226" s="185"/>
      <c r="G226" s="185"/>
      <c r="H226" s="185"/>
      <c r="I226" s="185"/>
      <c r="J226" s="185"/>
      <c r="K226" s="185"/>
      <c r="L226" s="185"/>
      <c r="M226" s="267"/>
    </row>
    <row r="227" spans="1:13" ht="15.75" customHeight="1">
      <c r="A227" s="810" t="s">
        <v>197</v>
      </c>
      <c r="B227" s="800" t="s">
        <v>10</v>
      </c>
      <c r="C227" s="800"/>
      <c r="D227" s="801"/>
      <c r="E227" s="799" t="s">
        <v>197</v>
      </c>
      <c r="F227" s="803">
        <v>1</v>
      </c>
      <c r="G227" s="803"/>
      <c r="H227" s="803">
        <v>2</v>
      </c>
      <c r="I227" s="803"/>
      <c r="J227" s="803">
        <v>3</v>
      </c>
      <c r="K227" s="803"/>
      <c r="L227" s="803">
        <v>4</v>
      </c>
      <c r="M227" s="812"/>
    </row>
    <row r="228" spans="1:13" ht="15.75" customHeight="1">
      <c r="A228" s="810"/>
      <c r="B228" s="800"/>
      <c r="C228" s="800"/>
      <c r="D228" s="802"/>
      <c r="E228" s="799"/>
      <c r="F228" s="795" t="s">
        <v>250</v>
      </c>
      <c r="G228" s="795"/>
      <c r="H228" s="795" t="s">
        <v>240</v>
      </c>
      <c r="I228" s="795"/>
      <c r="J228" s="795" t="s">
        <v>164</v>
      </c>
      <c r="K228" s="795"/>
      <c r="L228" s="795" t="s">
        <v>709</v>
      </c>
      <c r="M228" s="813"/>
    </row>
    <row r="229" spans="1:13" ht="15.75" customHeight="1">
      <c r="A229" s="810"/>
      <c r="B229" s="482" t="s">
        <v>11</v>
      </c>
      <c r="C229" s="482" t="s">
        <v>41</v>
      </c>
      <c r="D229" s="802"/>
      <c r="E229" s="799"/>
      <c r="F229" s="482" t="s">
        <v>11</v>
      </c>
      <c r="G229" s="482" t="s">
        <v>41</v>
      </c>
      <c r="H229" s="482" t="s">
        <v>11</v>
      </c>
      <c r="I229" s="482" t="s">
        <v>41</v>
      </c>
      <c r="J229" s="482" t="s">
        <v>11</v>
      </c>
      <c r="K229" s="482" t="s">
        <v>41</v>
      </c>
      <c r="L229" s="482" t="s">
        <v>11</v>
      </c>
      <c r="M229" s="268" t="s">
        <v>41</v>
      </c>
    </row>
    <row r="230" spans="1:13" ht="15.75" customHeight="1">
      <c r="A230" s="269" t="s">
        <v>244</v>
      </c>
      <c r="B230" s="270">
        <v>116707.33200000001</v>
      </c>
      <c r="C230" s="191">
        <f>B230/B226</f>
        <v>2.4527466535772063E-3</v>
      </c>
      <c r="D230" s="802"/>
      <c r="E230" s="189" t="s">
        <v>244</v>
      </c>
      <c r="F230" s="271">
        <v>0</v>
      </c>
      <c r="G230" s="193">
        <f>IFERROR(F230/B230,"")</f>
        <v>0</v>
      </c>
      <c r="H230" s="271">
        <v>655.30500000000006</v>
      </c>
      <c r="I230" s="193">
        <f>IFERROR(H230/B230,"")</f>
        <v>5.6149428555182807E-3</v>
      </c>
      <c r="J230" s="271">
        <v>2194.0420000000004</v>
      </c>
      <c r="K230" s="193">
        <f>IFERROR(J230/B230,"")</f>
        <v>1.879952152449171E-2</v>
      </c>
      <c r="L230" s="271">
        <v>6503.0510000000004</v>
      </c>
      <c r="M230" s="272">
        <f>IFERROR(L230/B230,"")</f>
        <v>5.572101502585973E-2</v>
      </c>
    </row>
    <row r="231" spans="1:13" ht="15.75" customHeight="1">
      <c r="A231" s="273" t="s">
        <v>245</v>
      </c>
      <c r="B231" s="274">
        <v>104435.35944224003</v>
      </c>
      <c r="C231" s="191">
        <f>B231/B226</f>
        <v>2.1948362112081091E-3</v>
      </c>
      <c r="D231" s="802"/>
      <c r="E231" s="195" t="s">
        <v>245</v>
      </c>
      <c r="F231" s="271">
        <v>0</v>
      </c>
      <c r="G231" s="193">
        <f>IFERROR(F231/B231,"")</f>
        <v>0</v>
      </c>
      <c r="H231" s="271">
        <v>0</v>
      </c>
      <c r="I231" s="193">
        <f>IFERROR(H231/B231,"")</f>
        <v>0</v>
      </c>
      <c r="J231" s="271">
        <v>6120.2293400000053</v>
      </c>
      <c r="K231" s="193">
        <f>IFERROR(J231/B231,"")</f>
        <v>5.8603038019751488E-2</v>
      </c>
      <c r="L231" s="271">
        <v>5601.6356299999961</v>
      </c>
      <c r="M231" s="272">
        <f>IFERROR(L231/B231,"")</f>
        <v>5.3637347158249478E-2</v>
      </c>
    </row>
    <row r="232" spans="1:13" ht="15.75" customHeight="1">
      <c r="A232" s="275"/>
      <c r="B232" s="185"/>
      <c r="C232" s="185"/>
      <c r="D232" s="802"/>
      <c r="E232" s="799" t="s">
        <v>197</v>
      </c>
      <c r="F232" s="814">
        <v>5</v>
      </c>
      <c r="G232" s="815"/>
      <c r="H232" s="814">
        <v>6</v>
      </c>
      <c r="I232" s="815"/>
      <c r="J232" s="814">
        <v>7</v>
      </c>
      <c r="K232" s="815"/>
      <c r="L232" s="816">
        <v>8</v>
      </c>
      <c r="M232" s="817"/>
    </row>
    <row r="233" spans="1:13" ht="15.75" customHeight="1">
      <c r="A233" s="275"/>
      <c r="B233" s="185"/>
      <c r="C233" s="185"/>
      <c r="D233" s="802"/>
      <c r="E233" s="799"/>
      <c r="F233" s="818" t="s">
        <v>188</v>
      </c>
      <c r="G233" s="819"/>
      <c r="H233" s="818" t="s">
        <v>165</v>
      </c>
      <c r="I233" s="819"/>
      <c r="J233" s="818" t="s">
        <v>189</v>
      </c>
      <c r="K233" s="819"/>
      <c r="L233" s="820" t="s">
        <v>249</v>
      </c>
      <c r="M233" s="821"/>
    </row>
    <row r="234" spans="1:13" ht="15.75" customHeight="1">
      <c r="A234" s="275"/>
      <c r="B234" s="185"/>
      <c r="C234" s="185"/>
      <c r="D234" s="802"/>
      <c r="E234" s="799"/>
      <c r="F234" s="482" t="s">
        <v>11</v>
      </c>
      <c r="G234" s="482" t="s">
        <v>41</v>
      </c>
      <c r="H234" s="482" t="s">
        <v>11</v>
      </c>
      <c r="I234" s="482" t="s">
        <v>41</v>
      </c>
      <c r="J234" s="482" t="s">
        <v>11</v>
      </c>
      <c r="K234" s="482" t="s">
        <v>41</v>
      </c>
      <c r="L234" s="482" t="s">
        <v>11</v>
      </c>
      <c r="M234" s="268" t="s">
        <v>41</v>
      </c>
    </row>
    <row r="235" spans="1:13" ht="15.75" customHeight="1">
      <c r="A235" s="276"/>
      <c r="B235" s="277"/>
      <c r="C235" s="277"/>
      <c r="D235" s="802"/>
      <c r="E235" s="189" t="s">
        <v>244</v>
      </c>
      <c r="F235" s="271">
        <v>2881.55</v>
      </c>
      <c r="G235" s="193">
        <f>IFERROR(F235/B230,"")</f>
        <v>2.4690393916296537E-2</v>
      </c>
      <c r="H235" s="271">
        <v>2465.4870000000001</v>
      </c>
      <c r="I235" s="193">
        <f>IFERROR(H235/B230,"")</f>
        <v>2.1125382251048288E-2</v>
      </c>
      <c r="J235" s="271">
        <v>0</v>
      </c>
      <c r="K235" s="193">
        <f>IFERROR(J235/B230,"")</f>
        <v>0</v>
      </c>
      <c r="L235" s="271">
        <v>0</v>
      </c>
      <c r="M235" s="272">
        <f>IFERROR(L235/B230,"")</f>
        <v>0</v>
      </c>
    </row>
    <row r="236" spans="1:13" ht="15.75" customHeight="1" thickBot="1">
      <c r="A236" s="278"/>
      <c r="B236" s="279"/>
      <c r="C236" s="279"/>
      <c r="D236" s="811"/>
      <c r="E236" s="280" t="s">
        <v>245</v>
      </c>
      <c r="F236" s="281">
        <v>12214.969340000049</v>
      </c>
      <c r="G236" s="282">
        <f>IFERROR(F236/B231,"")</f>
        <v>0.11696200793712756</v>
      </c>
      <c r="H236" s="281">
        <v>5285.9332799999956</v>
      </c>
      <c r="I236" s="282">
        <f>IFERROR(H236/B231,"")</f>
        <v>5.061440213573911E-2</v>
      </c>
      <c r="J236" s="281">
        <v>0</v>
      </c>
      <c r="K236" s="282">
        <f>IFERROR(J236/B231,"")</f>
        <v>0</v>
      </c>
      <c r="L236" s="281">
        <v>0</v>
      </c>
      <c r="M236" s="283">
        <f>IFERROR(L236/B231,"")</f>
        <v>0</v>
      </c>
    </row>
    <row r="237" spans="1:13" ht="15.75" customHeight="1">
      <c r="A237" s="805" t="s">
        <v>831</v>
      </c>
      <c r="B237" s="806"/>
      <c r="C237" s="806"/>
      <c r="D237" s="806"/>
      <c r="E237" s="806"/>
      <c r="F237" s="806"/>
      <c r="G237" s="806"/>
      <c r="H237" s="806"/>
      <c r="I237" s="806"/>
      <c r="J237" s="806"/>
      <c r="K237" s="806"/>
      <c r="L237" s="806"/>
      <c r="M237" s="807"/>
    </row>
    <row r="238" spans="1:13" ht="15.75" customHeight="1">
      <c r="A238" s="808"/>
      <c r="B238" s="798"/>
      <c r="C238" s="798"/>
      <c r="D238" s="798"/>
      <c r="E238" s="798"/>
      <c r="F238" s="798"/>
      <c r="G238" s="798"/>
      <c r="H238" s="798"/>
      <c r="I238" s="798"/>
      <c r="J238" s="798"/>
      <c r="K238" s="798"/>
      <c r="L238" s="798"/>
      <c r="M238" s="809"/>
    </row>
    <row r="239" spans="1:13" ht="15.75" customHeight="1">
      <c r="A239" s="266" t="s">
        <v>238</v>
      </c>
      <c r="B239" s="355">
        <v>49743811</v>
      </c>
      <c r="C239" s="185"/>
      <c r="D239" s="185"/>
      <c r="E239" s="185"/>
      <c r="F239" s="185"/>
      <c r="G239" s="185"/>
      <c r="H239" s="185"/>
      <c r="I239" s="185"/>
      <c r="J239" s="185"/>
      <c r="K239" s="185"/>
      <c r="L239" s="185"/>
      <c r="M239" s="267"/>
    </row>
    <row r="240" spans="1:13" ht="15.75" customHeight="1">
      <c r="A240" s="810" t="s">
        <v>197</v>
      </c>
      <c r="B240" s="800" t="s">
        <v>10</v>
      </c>
      <c r="C240" s="800"/>
      <c r="D240" s="801"/>
      <c r="E240" s="799" t="s">
        <v>197</v>
      </c>
      <c r="F240" s="803">
        <v>1</v>
      </c>
      <c r="G240" s="803"/>
      <c r="H240" s="803">
        <v>2</v>
      </c>
      <c r="I240" s="803"/>
      <c r="J240" s="803">
        <v>3</v>
      </c>
      <c r="K240" s="803"/>
      <c r="L240" s="803">
        <v>4</v>
      </c>
      <c r="M240" s="812"/>
    </row>
    <row r="241" spans="1:13" ht="15.75" customHeight="1">
      <c r="A241" s="810"/>
      <c r="B241" s="800"/>
      <c r="C241" s="800"/>
      <c r="D241" s="802"/>
      <c r="E241" s="799"/>
      <c r="F241" s="795" t="s">
        <v>250</v>
      </c>
      <c r="G241" s="795"/>
      <c r="H241" s="795" t="s">
        <v>240</v>
      </c>
      <c r="I241" s="795"/>
      <c r="J241" s="795" t="s">
        <v>164</v>
      </c>
      <c r="K241" s="795"/>
      <c r="L241" s="795" t="s">
        <v>709</v>
      </c>
      <c r="M241" s="813"/>
    </row>
    <row r="242" spans="1:13" ht="15.75" customHeight="1">
      <c r="A242" s="810"/>
      <c r="B242" s="484" t="s">
        <v>11</v>
      </c>
      <c r="C242" s="484" t="s">
        <v>41</v>
      </c>
      <c r="D242" s="802"/>
      <c r="E242" s="799"/>
      <c r="F242" s="484" t="s">
        <v>11</v>
      </c>
      <c r="G242" s="484" t="s">
        <v>41</v>
      </c>
      <c r="H242" s="484" t="s">
        <v>11</v>
      </c>
      <c r="I242" s="484" t="s">
        <v>41</v>
      </c>
      <c r="J242" s="484" t="s">
        <v>11</v>
      </c>
      <c r="K242" s="484" t="s">
        <v>41</v>
      </c>
      <c r="L242" s="484" t="s">
        <v>11</v>
      </c>
      <c r="M242" s="268" t="s">
        <v>41</v>
      </c>
    </row>
    <row r="243" spans="1:13" ht="15.75" customHeight="1">
      <c r="A243" s="269" t="s">
        <v>244</v>
      </c>
      <c r="B243" s="270">
        <v>122573</v>
      </c>
      <c r="C243" s="191">
        <f>B243/B239</f>
        <v>2.464085431652995E-3</v>
      </c>
      <c r="D243" s="802"/>
      <c r="E243" s="189" t="s">
        <v>244</v>
      </c>
      <c r="F243" s="271">
        <v>0</v>
      </c>
      <c r="G243" s="193">
        <f>IFERROR(F243/B243,"")</f>
        <v>0</v>
      </c>
      <c r="H243" s="271">
        <v>811.54099999999994</v>
      </c>
      <c r="I243" s="193">
        <f>IFERROR(H243/B243,"")</f>
        <v>6.6208789863999411E-3</v>
      </c>
      <c r="J243" s="271">
        <v>6045.5380000000005</v>
      </c>
      <c r="K243" s="193">
        <f>IFERROR(J243/B243,"")</f>
        <v>4.9321938763022856E-2</v>
      </c>
      <c r="L243" s="271">
        <v>3624.6750000000002</v>
      </c>
      <c r="M243" s="272">
        <f>IFERROR(L243/B243,"")</f>
        <v>2.9571561436858036E-2</v>
      </c>
    </row>
    <row r="244" spans="1:13" ht="15.75" customHeight="1">
      <c r="A244" s="273" t="s">
        <v>245</v>
      </c>
      <c r="B244" s="274">
        <v>101215.76197099355</v>
      </c>
      <c r="C244" s="191">
        <f>B244/B239</f>
        <v>2.0347408036548217E-3</v>
      </c>
      <c r="D244" s="802"/>
      <c r="E244" s="195" t="s">
        <v>245</v>
      </c>
      <c r="F244" s="271">
        <v>0</v>
      </c>
      <c r="G244" s="193">
        <f>IFERROR(F244/B244,"")</f>
        <v>0</v>
      </c>
      <c r="H244" s="271">
        <v>0</v>
      </c>
      <c r="I244" s="193">
        <f>IFERROR(H244/B244,"")</f>
        <v>0</v>
      </c>
      <c r="J244" s="271">
        <v>4566.049100000002</v>
      </c>
      <c r="K244" s="193">
        <f>IFERROR(J244/B244,"")</f>
        <v>4.5112036021707193E-2</v>
      </c>
      <c r="L244" s="271">
        <v>12694.373069999985</v>
      </c>
      <c r="M244" s="272">
        <f>IFERROR(L244/B244,"")</f>
        <v>0.12541893498403878</v>
      </c>
    </row>
    <row r="245" spans="1:13" ht="15.75" customHeight="1">
      <c r="A245" s="275"/>
      <c r="B245" s="185"/>
      <c r="C245" s="185"/>
      <c r="D245" s="802"/>
      <c r="E245" s="799" t="s">
        <v>197</v>
      </c>
      <c r="F245" s="814">
        <v>5</v>
      </c>
      <c r="G245" s="815"/>
      <c r="H245" s="814">
        <v>6</v>
      </c>
      <c r="I245" s="815"/>
      <c r="J245" s="814">
        <v>7</v>
      </c>
      <c r="K245" s="815"/>
      <c r="L245" s="816">
        <v>8</v>
      </c>
      <c r="M245" s="817"/>
    </row>
    <row r="246" spans="1:13" ht="15.75" customHeight="1">
      <c r="A246" s="275"/>
      <c r="B246" s="185"/>
      <c r="C246" s="185"/>
      <c r="D246" s="802"/>
      <c r="E246" s="799"/>
      <c r="F246" s="818" t="s">
        <v>188</v>
      </c>
      <c r="G246" s="819"/>
      <c r="H246" s="818" t="s">
        <v>165</v>
      </c>
      <c r="I246" s="819"/>
      <c r="J246" s="818" t="s">
        <v>189</v>
      </c>
      <c r="K246" s="819"/>
      <c r="L246" s="820" t="s">
        <v>249</v>
      </c>
      <c r="M246" s="821"/>
    </row>
    <row r="247" spans="1:13" ht="15.75" customHeight="1">
      <c r="A247" s="275"/>
      <c r="B247" s="185"/>
      <c r="C247" s="185"/>
      <c r="D247" s="802"/>
      <c r="E247" s="799"/>
      <c r="F247" s="484" t="s">
        <v>11</v>
      </c>
      <c r="G247" s="484" t="s">
        <v>41</v>
      </c>
      <c r="H247" s="484" t="s">
        <v>11</v>
      </c>
      <c r="I247" s="484" t="s">
        <v>41</v>
      </c>
      <c r="J247" s="484" t="s">
        <v>11</v>
      </c>
      <c r="K247" s="484" t="s">
        <v>41</v>
      </c>
      <c r="L247" s="484" t="s">
        <v>11</v>
      </c>
      <c r="M247" s="268" t="s">
        <v>41</v>
      </c>
    </row>
    <row r="248" spans="1:13" ht="15.75" customHeight="1">
      <c r="A248" s="276"/>
      <c r="B248" s="277"/>
      <c r="C248" s="277"/>
      <c r="D248" s="802"/>
      <c r="E248" s="189" t="s">
        <v>244</v>
      </c>
      <c r="F248" s="271">
        <v>2214.98</v>
      </c>
      <c r="G248" s="193">
        <f>IFERROR(F248/B243,"")</f>
        <v>1.8070700725282076E-2</v>
      </c>
      <c r="H248" s="271">
        <v>2466.8669999999997</v>
      </c>
      <c r="I248" s="193">
        <f>IFERROR(H248/B243,"")</f>
        <v>2.0125696523704238E-2</v>
      </c>
      <c r="J248" s="271">
        <v>0</v>
      </c>
      <c r="K248" s="193">
        <f>IFERROR(J248/B243,"")</f>
        <v>0</v>
      </c>
      <c r="L248" s="271">
        <v>0</v>
      </c>
      <c r="M248" s="272">
        <f>IFERROR(L248/B243,"")</f>
        <v>0</v>
      </c>
    </row>
    <row r="249" spans="1:13" ht="15.75" customHeight="1" thickBot="1">
      <c r="A249" s="278"/>
      <c r="B249" s="279"/>
      <c r="C249" s="279"/>
      <c r="D249" s="811"/>
      <c r="E249" s="280" t="s">
        <v>245</v>
      </c>
      <c r="F249" s="281">
        <v>6735.8776599999837</v>
      </c>
      <c r="G249" s="282">
        <f>IFERROR(F249/B244,"")</f>
        <v>6.6549690767830738E-2</v>
      </c>
      <c r="H249" s="281">
        <v>5140.3288799999918</v>
      </c>
      <c r="I249" s="282">
        <f>IFERROR(H249/B244,"")</f>
        <v>5.0785853704021999E-2</v>
      </c>
      <c r="J249" s="281">
        <v>0</v>
      </c>
      <c r="K249" s="282">
        <f>IFERROR(J249/B244,"")</f>
        <v>0</v>
      </c>
      <c r="L249" s="281">
        <v>0</v>
      </c>
      <c r="M249" s="283">
        <f>IFERROR(L249/B244,"")</f>
        <v>0</v>
      </c>
    </row>
    <row r="250" spans="1:13" ht="15.75" customHeight="1">
      <c r="A250" s="805" t="s">
        <v>836</v>
      </c>
      <c r="B250" s="806"/>
      <c r="C250" s="806"/>
      <c r="D250" s="806"/>
      <c r="E250" s="806"/>
      <c r="F250" s="806"/>
      <c r="G250" s="806"/>
      <c r="H250" s="806"/>
      <c r="I250" s="806"/>
      <c r="J250" s="806"/>
      <c r="K250" s="806"/>
      <c r="L250" s="806"/>
      <c r="M250" s="807"/>
    </row>
    <row r="251" spans="1:13" ht="15.75" customHeight="1">
      <c r="A251" s="808"/>
      <c r="B251" s="798"/>
      <c r="C251" s="798"/>
      <c r="D251" s="798"/>
      <c r="E251" s="798"/>
      <c r="F251" s="798"/>
      <c r="G251" s="798"/>
      <c r="H251" s="798"/>
      <c r="I251" s="798"/>
      <c r="J251" s="798"/>
      <c r="K251" s="798"/>
      <c r="L251" s="798"/>
      <c r="M251" s="809"/>
    </row>
    <row r="252" spans="1:13" ht="15.75" customHeight="1">
      <c r="A252" s="266" t="s">
        <v>238</v>
      </c>
      <c r="B252" s="355">
        <v>52585700</v>
      </c>
      <c r="C252" s="185"/>
      <c r="D252" s="185"/>
      <c r="E252" s="185"/>
      <c r="F252" s="185"/>
      <c r="G252" s="185"/>
      <c r="H252" s="185"/>
      <c r="I252" s="185"/>
      <c r="J252" s="185"/>
      <c r="K252" s="185"/>
      <c r="L252" s="185"/>
      <c r="M252" s="267"/>
    </row>
    <row r="253" spans="1:13" ht="15.75" customHeight="1">
      <c r="A253" s="810" t="s">
        <v>197</v>
      </c>
      <c r="B253" s="800" t="s">
        <v>10</v>
      </c>
      <c r="C253" s="800"/>
      <c r="D253" s="801"/>
      <c r="E253" s="799" t="s">
        <v>197</v>
      </c>
      <c r="F253" s="803">
        <v>1</v>
      </c>
      <c r="G253" s="803"/>
      <c r="H253" s="803">
        <v>2</v>
      </c>
      <c r="I253" s="803"/>
      <c r="J253" s="803">
        <v>3</v>
      </c>
      <c r="K253" s="803"/>
      <c r="L253" s="803">
        <v>4</v>
      </c>
      <c r="M253" s="812"/>
    </row>
    <row r="254" spans="1:13" ht="15.75" customHeight="1">
      <c r="A254" s="810"/>
      <c r="B254" s="800"/>
      <c r="C254" s="800"/>
      <c r="D254" s="802"/>
      <c r="E254" s="799"/>
      <c r="F254" s="795" t="s">
        <v>250</v>
      </c>
      <c r="G254" s="795"/>
      <c r="H254" s="795" t="s">
        <v>240</v>
      </c>
      <c r="I254" s="795"/>
      <c r="J254" s="795" t="s">
        <v>164</v>
      </c>
      <c r="K254" s="795"/>
      <c r="L254" s="795" t="s">
        <v>709</v>
      </c>
      <c r="M254" s="813"/>
    </row>
    <row r="255" spans="1:13" ht="15.75" customHeight="1">
      <c r="A255" s="810"/>
      <c r="B255" s="489" t="s">
        <v>11</v>
      </c>
      <c r="C255" s="489" t="s">
        <v>41</v>
      </c>
      <c r="D255" s="802"/>
      <c r="E255" s="799"/>
      <c r="F255" s="489" t="s">
        <v>11</v>
      </c>
      <c r="G255" s="489" t="s">
        <v>41</v>
      </c>
      <c r="H255" s="489" t="s">
        <v>11</v>
      </c>
      <c r="I255" s="489" t="s">
        <v>41</v>
      </c>
      <c r="J255" s="489" t="s">
        <v>11</v>
      </c>
      <c r="K255" s="489" t="s">
        <v>41</v>
      </c>
      <c r="L255" s="489" t="s">
        <v>11</v>
      </c>
      <c r="M255" s="268" t="s">
        <v>41</v>
      </c>
    </row>
    <row r="256" spans="1:13" ht="15.75" customHeight="1">
      <c r="A256" s="269" t="s">
        <v>244</v>
      </c>
      <c r="B256" s="270">
        <v>129101.829</v>
      </c>
      <c r="C256" s="191">
        <f>B256/B252</f>
        <v>2.4550748397377995E-3</v>
      </c>
      <c r="D256" s="802"/>
      <c r="E256" s="189" t="s">
        <v>244</v>
      </c>
      <c r="F256" s="271">
        <v>0</v>
      </c>
      <c r="G256" s="193">
        <f>IFERROR(F256/B256,"")</f>
        <v>0</v>
      </c>
      <c r="H256" s="271">
        <v>3603.7519999999995</v>
      </c>
      <c r="I256" s="193">
        <f>IFERROR(H256/B256,"")</f>
        <v>2.79140274612221E-2</v>
      </c>
      <c r="J256" s="271">
        <v>811.50300000000004</v>
      </c>
      <c r="K256" s="193">
        <f>IFERROR(J256/B256,"")</f>
        <v>6.285759127393928E-3</v>
      </c>
      <c r="L256" s="271">
        <v>10731.770000000002</v>
      </c>
      <c r="M256" s="272">
        <f>IFERROR(L256/B256,"")</f>
        <v>8.3126397845223424E-2</v>
      </c>
    </row>
    <row r="257" spans="1:13" ht="15.75" customHeight="1">
      <c r="A257" s="273" t="s">
        <v>245</v>
      </c>
      <c r="B257" s="274">
        <v>100452.3190710835</v>
      </c>
      <c r="C257" s="191">
        <f>B257/B252</f>
        <v>1.9102592353260203E-3</v>
      </c>
      <c r="D257" s="802"/>
      <c r="E257" s="195" t="s">
        <v>245</v>
      </c>
      <c r="F257" s="271">
        <v>0</v>
      </c>
      <c r="G257" s="193">
        <f>IFERROR(F257/B257,"")</f>
        <v>0</v>
      </c>
      <c r="H257" s="271">
        <v>1963.473449999999</v>
      </c>
      <c r="I257" s="193">
        <f>IFERROR(H257/B257,"")</f>
        <v>1.9546322754485916E-2</v>
      </c>
      <c r="J257" s="271">
        <v>0</v>
      </c>
      <c r="K257" s="193">
        <f>IFERROR(J257/B257,"")</f>
        <v>0</v>
      </c>
      <c r="L257" s="271">
        <v>18817.172480000161</v>
      </c>
      <c r="M257" s="272">
        <f>IFERROR(L257/B257,"")</f>
        <v>0.18732442072028704</v>
      </c>
    </row>
    <row r="258" spans="1:13" ht="15.75" customHeight="1">
      <c r="A258" s="275"/>
      <c r="B258" s="185"/>
      <c r="C258" s="185"/>
      <c r="D258" s="802"/>
      <c r="E258" s="799" t="s">
        <v>197</v>
      </c>
      <c r="F258" s="814">
        <v>5</v>
      </c>
      <c r="G258" s="815"/>
      <c r="H258" s="814">
        <v>6</v>
      </c>
      <c r="I258" s="815"/>
      <c r="J258" s="814">
        <v>7</v>
      </c>
      <c r="K258" s="815"/>
      <c r="L258" s="816">
        <v>8</v>
      </c>
      <c r="M258" s="817"/>
    </row>
    <row r="259" spans="1:13" ht="15.75" customHeight="1">
      <c r="A259" s="275"/>
      <c r="B259" s="185"/>
      <c r="C259" s="185"/>
      <c r="D259" s="802"/>
      <c r="E259" s="799"/>
      <c r="F259" s="818" t="s">
        <v>188</v>
      </c>
      <c r="G259" s="819"/>
      <c r="H259" s="818" t="s">
        <v>165</v>
      </c>
      <c r="I259" s="819"/>
      <c r="J259" s="818" t="s">
        <v>189</v>
      </c>
      <c r="K259" s="819"/>
      <c r="L259" s="820" t="s">
        <v>249</v>
      </c>
      <c r="M259" s="821"/>
    </row>
    <row r="260" spans="1:13" ht="15.75" customHeight="1">
      <c r="A260" s="275"/>
      <c r="B260" s="185"/>
      <c r="C260" s="185"/>
      <c r="D260" s="802"/>
      <c r="E260" s="799"/>
      <c r="F260" s="489" t="s">
        <v>11</v>
      </c>
      <c r="G260" s="489" t="s">
        <v>41</v>
      </c>
      <c r="H260" s="489" t="s">
        <v>11</v>
      </c>
      <c r="I260" s="489" t="s">
        <v>41</v>
      </c>
      <c r="J260" s="489" t="s">
        <v>11</v>
      </c>
      <c r="K260" s="489" t="s">
        <v>41</v>
      </c>
      <c r="L260" s="489" t="s">
        <v>11</v>
      </c>
      <c r="M260" s="268" t="s">
        <v>41</v>
      </c>
    </row>
    <row r="261" spans="1:13" ht="15.75" customHeight="1">
      <c r="A261" s="276"/>
      <c r="B261" s="277"/>
      <c r="C261" s="277"/>
      <c r="D261" s="802"/>
      <c r="E261" s="189" t="s">
        <v>244</v>
      </c>
      <c r="F261" s="271">
        <v>1612.078</v>
      </c>
      <c r="G261" s="193">
        <f>IFERROR(F261/B256,"")</f>
        <v>1.2486871893968288E-2</v>
      </c>
      <c r="H261" s="271">
        <v>1022.1999999999998</v>
      </c>
      <c r="I261" s="193">
        <f>IFERROR(H261/B256,"")</f>
        <v>7.9177809324451932E-3</v>
      </c>
      <c r="J261" s="271">
        <v>0</v>
      </c>
      <c r="K261" s="193">
        <f>IFERROR(J261/B256,"")</f>
        <v>0</v>
      </c>
      <c r="L261" s="271">
        <v>0</v>
      </c>
      <c r="M261" s="272">
        <f>IFERROR(L261/B256,"")</f>
        <v>0</v>
      </c>
    </row>
    <row r="262" spans="1:13" ht="15.75" customHeight="1" thickBot="1">
      <c r="A262" s="278"/>
      <c r="B262" s="279"/>
      <c r="C262" s="279"/>
      <c r="D262" s="811"/>
      <c r="E262" s="280" t="s">
        <v>245</v>
      </c>
      <c r="F262" s="281">
        <v>5619.3451999999734</v>
      </c>
      <c r="G262" s="282">
        <f>IFERROR(F262/B257,"")</f>
        <v>5.5940422799234051E-2</v>
      </c>
      <c r="H262" s="281">
        <v>4763.3846399999848</v>
      </c>
      <c r="I262" s="282">
        <f>IFERROR(H262/B257,"")</f>
        <v>4.7419359593174254E-2</v>
      </c>
      <c r="J262" s="281">
        <v>0</v>
      </c>
      <c r="K262" s="282">
        <f>IFERROR(J262/B257,"")</f>
        <v>0</v>
      </c>
      <c r="L262" s="281">
        <v>0</v>
      </c>
      <c r="M262" s="283">
        <f>IFERROR(L262/B257,"")</f>
        <v>0</v>
      </c>
    </row>
    <row r="263" spans="1:13" ht="15.75" customHeight="1">
      <c r="A263" s="805" t="s">
        <v>841</v>
      </c>
      <c r="B263" s="806"/>
      <c r="C263" s="806"/>
      <c r="D263" s="806"/>
      <c r="E263" s="806"/>
      <c r="F263" s="806"/>
      <c r="G263" s="806"/>
      <c r="H263" s="806"/>
      <c r="I263" s="806"/>
      <c r="J263" s="806"/>
      <c r="K263" s="806"/>
      <c r="L263" s="806"/>
      <c r="M263" s="807"/>
    </row>
    <row r="264" spans="1:13" ht="15.75" customHeight="1">
      <c r="A264" s="808"/>
      <c r="B264" s="798"/>
      <c r="C264" s="798"/>
      <c r="D264" s="798"/>
      <c r="E264" s="798"/>
      <c r="F264" s="798"/>
      <c r="G264" s="798"/>
      <c r="H264" s="798"/>
      <c r="I264" s="798"/>
      <c r="J264" s="798"/>
      <c r="K264" s="798"/>
      <c r="L264" s="798"/>
      <c r="M264" s="809"/>
    </row>
    <row r="265" spans="1:13" ht="15.75" customHeight="1">
      <c r="A265" s="266" t="s">
        <v>238</v>
      </c>
      <c r="B265" s="355">
        <v>48784609</v>
      </c>
      <c r="C265" s="185"/>
      <c r="D265" s="185"/>
      <c r="E265" s="185"/>
      <c r="F265" s="185"/>
      <c r="G265" s="185"/>
      <c r="H265" s="185"/>
      <c r="I265" s="185"/>
      <c r="J265" s="185"/>
      <c r="K265" s="185"/>
      <c r="L265" s="185"/>
      <c r="M265" s="267"/>
    </row>
    <row r="266" spans="1:13" ht="15.75" customHeight="1">
      <c r="A266" s="810" t="s">
        <v>197</v>
      </c>
      <c r="B266" s="800" t="s">
        <v>10</v>
      </c>
      <c r="C266" s="800"/>
      <c r="D266" s="801"/>
      <c r="E266" s="799" t="s">
        <v>197</v>
      </c>
      <c r="F266" s="803">
        <v>1</v>
      </c>
      <c r="G266" s="803"/>
      <c r="H266" s="803">
        <v>2</v>
      </c>
      <c r="I266" s="803"/>
      <c r="J266" s="803">
        <v>3</v>
      </c>
      <c r="K266" s="803"/>
      <c r="L266" s="803">
        <v>4</v>
      </c>
      <c r="M266" s="812"/>
    </row>
    <row r="267" spans="1:13" ht="15.75" customHeight="1">
      <c r="A267" s="810"/>
      <c r="B267" s="800"/>
      <c r="C267" s="800"/>
      <c r="D267" s="802"/>
      <c r="E267" s="799"/>
      <c r="F267" s="795" t="s">
        <v>250</v>
      </c>
      <c r="G267" s="795"/>
      <c r="H267" s="795" t="s">
        <v>240</v>
      </c>
      <c r="I267" s="795"/>
      <c r="J267" s="795" t="s">
        <v>164</v>
      </c>
      <c r="K267" s="795"/>
      <c r="L267" s="795" t="s">
        <v>709</v>
      </c>
      <c r="M267" s="813"/>
    </row>
    <row r="268" spans="1:13" ht="15.75" customHeight="1">
      <c r="A268" s="810"/>
      <c r="B268" s="491" t="s">
        <v>11</v>
      </c>
      <c r="C268" s="491" t="s">
        <v>41</v>
      </c>
      <c r="D268" s="802"/>
      <c r="E268" s="799"/>
      <c r="F268" s="491" t="s">
        <v>11</v>
      </c>
      <c r="G268" s="491" t="s">
        <v>41</v>
      </c>
      <c r="H268" s="491" t="s">
        <v>11</v>
      </c>
      <c r="I268" s="491" t="s">
        <v>41</v>
      </c>
      <c r="J268" s="491" t="s">
        <v>11</v>
      </c>
      <c r="K268" s="491" t="s">
        <v>41</v>
      </c>
      <c r="L268" s="491" t="s">
        <v>11</v>
      </c>
      <c r="M268" s="268" t="s">
        <v>41</v>
      </c>
    </row>
    <row r="269" spans="1:13" ht="15.75" customHeight="1">
      <c r="A269" s="269" t="s">
        <v>244</v>
      </c>
      <c r="B269" s="270">
        <v>119574</v>
      </c>
      <c r="C269" s="191">
        <f>B269/B265</f>
        <v>2.451059923427899E-3</v>
      </c>
      <c r="D269" s="802"/>
      <c r="E269" s="189" t="s">
        <v>244</v>
      </c>
      <c r="F269" s="271">
        <v>0</v>
      </c>
      <c r="G269" s="193">
        <f>IFERROR(F269/B269,"")</f>
        <v>0</v>
      </c>
      <c r="H269" s="271">
        <v>1458.4679999999998</v>
      </c>
      <c r="I269" s="193">
        <f>IFERROR(H269/B269,"")</f>
        <v>1.2197200060213758E-2</v>
      </c>
      <c r="J269" s="271">
        <v>1387.144</v>
      </c>
      <c r="K269" s="193">
        <f>IFERROR(J269/B269,"")</f>
        <v>1.1600715874688477E-2</v>
      </c>
      <c r="L269" s="271">
        <v>8259.2160000000003</v>
      </c>
      <c r="M269" s="272">
        <f>IFERROR(L269/B269,"")</f>
        <v>6.9072005619950833E-2</v>
      </c>
    </row>
    <row r="270" spans="1:13" ht="15.75" customHeight="1">
      <c r="A270" s="273" t="s">
        <v>245</v>
      </c>
      <c r="B270" s="274">
        <v>107362.99873387686</v>
      </c>
      <c r="C270" s="191">
        <f>B270/B265</f>
        <v>2.2007555443126921E-3</v>
      </c>
      <c r="D270" s="802"/>
      <c r="E270" s="195" t="s">
        <v>245</v>
      </c>
      <c r="F270" s="271">
        <v>0</v>
      </c>
      <c r="G270" s="193">
        <f>IFERROR(F270/B270,"")</f>
        <v>0</v>
      </c>
      <c r="H270" s="271">
        <v>3354.9993999999924</v>
      </c>
      <c r="I270" s="193">
        <f>IFERROR(H270/B270,"")</f>
        <v>3.1249121574147783E-2</v>
      </c>
      <c r="J270" s="271">
        <v>1249.2024999999915</v>
      </c>
      <c r="K270" s="193">
        <f>IFERROR(J270/B270,"")</f>
        <v>1.1635316773299324E-2</v>
      </c>
      <c r="L270" s="271">
        <v>13497.26806</v>
      </c>
      <c r="M270" s="272">
        <f>IFERROR(L270/B270,"")</f>
        <v>0.12571619849642976</v>
      </c>
    </row>
    <row r="271" spans="1:13" ht="15.75" customHeight="1">
      <c r="A271" s="275"/>
      <c r="B271" s="185"/>
      <c r="C271" s="185"/>
      <c r="D271" s="802"/>
      <c r="E271" s="799" t="s">
        <v>197</v>
      </c>
      <c r="F271" s="814">
        <v>5</v>
      </c>
      <c r="G271" s="815"/>
      <c r="H271" s="814">
        <v>6</v>
      </c>
      <c r="I271" s="815"/>
      <c r="J271" s="814">
        <v>7</v>
      </c>
      <c r="K271" s="815"/>
      <c r="L271" s="816">
        <v>8</v>
      </c>
      <c r="M271" s="817"/>
    </row>
    <row r="272" spans="1:13" ht="15.75" customHeight="1">
      <c r="A272" s="275"/>
      <c r="B272" s="185"/>
      <c r="C272" s="185"/>
      <c r="D272" s="802"/>
      <c r="E272" s="799"/>
      <c r="F272" s="818" t="s">
        <v>188</v>
      </c>
      <c r="G272" s="819"/>
      <c r="H272" s="818" t="s">
        <v>165</v>
      </c>
      <c r="I272" s="819"/>
      <c r="J272" s="818" t="s">
        <v>189</v>
      </c>
      <c r="K272" s="819"/>
      <c r="L272" s="820" t="s">
        <v>249</v>
      </c>
      <c r="M272" s="821"/>
    </row>
    <row r="273" spans="1:13" ht="15.75" customHeight="1">
      <c r="A273" s="275"/>
      <c r="B273" s="185"/>
      <c r="C273" s="185"/>
      <c r="D273" s="802"/>
      <c r="E273" s="799"/>
      <c r="F273" s="491" t="s">
        <v>11</v>
      </c>
      <c r="G273" s="491" t="s">
        <v>41</v>
      </c>
      <c r="H273" s="491" t="s">
        <v>11</v>
      </c>
      <c r="I273" s="491" t="s">
        <v>41</v>
      </c>
      <c r="J273" s="491" t="s">
        <v>11</v>
      </c>
      <c r="K273" s="491" t="s">
        <v>41</v>
      </c>
      <c r="L273" s="491" t="s">
        <v>11</v>
      </c>
      <c r="M273" s="268" t="s">
        <v>41</v>
      </c>
    </row>
    <row r="274" spans="1:13" ht="15.75" customHeight="1">
      <c r="A274" s="276"/>
      <c r="B274" s="277"/>
      <c r="C274" s="277"/>
      <c r="D274" s="802"/>
      <c r="E274" s="189" t="s">
        <v>244</v>
      </c>
      <c r="F274" s="271">
        <v>3769.37</v>
      </c>
      <c r="G274" s="193">
        <f>IFERROR(F274/B269,"")</f>
        <v>3.1523324468529949E-2</v>
      </c>
      <c r="H274" s="271">
        <v>0</v>
      </c>
      <c r="I274" s="193">
        <f>IFERROR(H274/B269,"")</f>
        <v>0</v>
      </c>
      <c r="J274" s="271">
        <v>0</v>
      </c>
      <c r="K274" s="193">
        <f>IFERROR(J274/B269,"")</f>
        <v>0</v>
      </c>
      <c r="L274" s="271">
        <v>0</v>
      </c>
      <c r="M274" s="272">
        <f>IFERROR(L274/B269,"")</f>
        <v>0</v>
      </c>
    </row>
    <row r="275" spans="1:13" ht="15.75" customHeight="1" thickBot="1">
      <c r="A275" s="278"/>
      <c r="B275" s="279"/>
      <c r="C275" s="279"/>
      <c r="D275" s="811"/>
      <c r="E275" s="280" t="s">
        <v>245</v>
      </c>
      <c r="F275" s="281">
        <v>8107.1470500000132</v>
      </c>
      <c r="G275" s="282">
        <f>IFERROR(F275/B270,"")</f>
        <v>7.551155561605899E-2</v>
      </c>
      <c r="H275" s="281">
        <v>2973.3343199999513</v>
      </c>
      <c r="I275" s="282">
        <f>IFERROR(H275/B270,"")</f>
        <v>2.7694218260147743E-2</v>
      </c>
      <c r="J275" s="281">
        <v>0</v>
      </c>
      <c r="K275" s="282">
        <f>IFERROR(J275/B270,"")</f>
        <v>0</v>
      </c>
      <c r="L275" s="281">
        <v>0</v>
      </c>
      <c r="M275" s="283">
        <f>IFERROR(L275/B270,"")</f>
        <v>0</v>
      </c>
    </row>
    <row r="276" spans="1:13" ht="15.75" customHeight="1">
      <c r="A276" s="805" t="s">
        <v>877</v>
      </c>
      <c r="B276" s="806"/>
      <c r="C276" s="806"/>
      <c r="D276" s="806"/>
      <c r="E276" s="806"/>
      <c r="F276" s="806"/>
      <c r="G276" s="806"/>
      <c r="H276" s="806"/>
      <c r="I276" s="806"/>
      <c r="J276" s="806"/>
      <c r="K276" s="806"/>
      <c r="L276" s="806"/>
      <c r="M276" s="807"/>
    </row>
    <row r="277" spans="1:13" ht="15.75" customHeight="1">
      <c r="A277" s="808"/>
      <c r="B277" s="798"/>
      <c r="C277" s="798"/>
      <c r="D277" s="798"/>
      <c r="E277" s="798"/>
      <c r="F277" s="798"/>
      <c r="G277" s="798"/>
      <c r="H277" s="798"/>
      <c r="I277" s="798"/>
      <c r="J277" s="798"/>
      <c r="K277" s="798"/>
      <c r="L277" s="798"/>
      <c r="M277" s="809"/>
    </row>
    <row r="278" spans="1:13" ht="15.75" customHeight="1">
      <c r="A278" s="266" t="s">
        <v>238</v>
      </c>
      <c r="B278" s="355">
        <v>47077667</v>
      </c>
      <c r="C278" s="185"/>
      <c r="D278" s="185"/>
      <c r="E278" s="185"/>
      <c r="F278" s="185"/>
      <c r="G278" s="185"/>
      <c r="H278" s="185"/>
      <c r="I278" s="185"/>
      <c r="J278" s="185"/>
      <c r="K278" s="185"/>
      <c r="L278" s="185"/>
      <c r="M278" s="267"/>
    </row>
    <row r="279" spans="1:13" ht="15.75" customHeight="1">
      <c r="A279" s="810" t="s">
        <v>197</v>
      </c>
      <c r="B279" s="800" t="s">
        <v>10</v>
      </c>
      <c r="C279" s="800"/>
      <c r="D279" s="801"/>
      <c r="E279" s="799" t="s">
        <v>197</v>
      </c>
      <c r="F279" s="803">
        <v>1</v>
      </c>
      <c r="G279" s="803"/>
      <c r="H279" s="803">
        <v>2</v>
      </c>
      <c r="I279" s="803"/>
      <c r="J279" s="803">
        <v>3</v>
      </c>
      <c r="K279" s="803"/>
      <c r="L279" s="803">
        <v>4</v>
      </c>
      <c r="M279" s="812"/>
    </row>
    <row r="280" spans="1:13" ht="15.75" customHeight="1">
      <c r="A280" s="810"/>
      <c r="B280" s="800"/>
      <c r="C280" s="800"/>
      <c r="D280" s="802"/>
      <c r="E280" s="799"/>
      <c r="F280" s="795" t="s">
        <v>250</v>
      </c>
      <c r="G280" s="795"/>
      <c r="H280" s="795" t="s">
        <v>240</v>
      </c>
      <c r="I280" s="795"/>
      <c r="J280" s="795" t="s">
        <v>164</v>
      </c>
      <c r="K280" s="795"/>
      <c r="L280" s="795" t="s">
        <v>709</v>
      </c>
      <c r="M280" s="813"/>
    </row>
    <row r="281" spans="1:13" ht="15.75" customHeight="1">
      <c r="A281" s="810"/>
      <c r="B281" s="503" t="s">
        <v>11</v>
      </c>
      <c r="C281" s="503" t="s">
        <v>41</v>
      </c>
      <c r="D281" s="802"/>
      <c r="E281" s="799"/>
      <c r="F281" s="503" t="s">
        <v>11</v>
      </c>
      <c r="G281" s="503" t="s">
        <v>41</v>
      </c>
      <c r="H281" s="503" t="s">
        <v>11</v>
      </c>
      <c r="I281" s="503" t="s">
        <v>41</v>
      </c>
      <c r="J281" s="503" t="s">
        <v>11</v>
      </c>
      <c r="K281" s="503" t="s">
        <v>41</v>
      </c>
      <c r="L281" s="503" t="s">
        <v>11</v>
      </c>
      <c r="M281" s="268" t="s">
        <v>41</v>
      </c>
    </row>
    <row r="282" spans="1:13" ht="15.75" customHeight="1">
      <c r="A282" s="269" t="s">
        <v>244</v>
      </c>
      <c r="B282" s="270">
        <v>115557</v>
      </c>
      <c r="C282" s="191">
        <f>B282/B278</f>
        <v>2.454603368514417E-3</v>
      </c>
      <c r="D282" s="802"/>
      <c r="E282" s="189" t="s">
        <v>244</v>
      </c>
      <c r="F282" s="271">
        <v>0</v>
      </c>
      <c r="G282" s="193">
        <f>IFERROR(F282/B282,"")</f>
        <v>0</v>
      </c>
      <c r="H282" s="271">
        <v>2058.9650000000001</v>
      </c>
      <c r="I282" s="193">
        <f>IFERROR(H282/B282,"")</f>
        <v>1.7817743624358545E-2</v>
      </c>
      <c r="J282" s="271">
        <v>1278.299</v>
      </c>
      <c r="K282" s="193">
        <f>IFERROR(J282/B282,"")</f>
        <v>1.1062064608807775E-2</v>
      </c>
      <c r="L282" s="271">
        <v>6266.3449999999993</v>
      </c>
      <c r="M282" s="272">
        <f>IFERROR(L282/B282,"")</f>
        <v>5.422730773557638E-2</v>
      </c>
    </row>
    <row r="283" spans="1:13" ht="15.75" customHeight="1">
      <c r="A283" s="273" t="s">
        <v>245</v>
      </c>
      <c r="B283" s="274">
        <v>104545.0793315998</v>
      </c>
      <c r="C283" s="191">
        <f>B283/B278</f>
        <v>2.2206937172906168E-3</v>
      </c>
      <c r="D283" s="802"/>
      <c r="E283" s="195" t="s">
        <v>245</v>
      </c>
      <c r="F283" s="271">
        <v>0</v>
      </c>
      <c r="G283" s="193">
        <f>IFERROR(F283/B283,"")</f>
        <v>0</v>
      </c>
      <c r="H283" s="271">
        <v>0</v>
      </c>
      <c r="I283" s="193">
        <f>IFERROR(H283/B283,"")</f>
        <v>0</v>
      </c>
      <c r="J283" s="271">
        <v>1502.8863499999807</v>
      </c>
      <c r="K283" s="193">
        <f>IFERROR(J283/B283,"")</f>
        <v>1.4375486245823892E-2</v>
      </c>
      <c r="L283" s="271">
        <v>13574.219739999902</v>
      </c>
      <c r="M283" s="272">
        <f>IFERROR(L283/B283,"")</f>
        <v>0.12984082872943939</v>
      </c>
    </row>
    <row r="284" spans="1:13" ht="15.75" customHeight="1">
      <c r="A284" s="275"/>
      <c r="B284" s="185"/>
      <c r="C284" s="185"/>
      <c r="D284" s="802"/>
      <c r="E284" s="799" t="s">
        <v>197</v>
      </c>
      <c r="F284" s="814">
        <v>5</v>
      </c>
      <c r="G284" s="815"/>
      <c r="H284" s="814">
        <v>6</v>
      </c>
      <c r="I284" s="815"/>
      <c r="J284" s="814">
        <v>7</v>
      </c>
      <c r="K284" s="815"/>
      <c r="L284" s="816">
        <v>8</v>
      </c>
      <c r="M284" s="817"/>
    </row>
    <row r="285" spans="1:13" ht="15.75" customHeight="1">
      <c r="A285" s="275"/>
      <c r="B285" s="185"/>
      <c r="C285" s="185"/>
      <c r="D285" s="802"/>
      <c r="E285" s="799"/>
      <c r="F285" s="818" t="s">
        <v>188</v>
      </c>
      <c r="G285" s="819"/>
      <c r="H285" s="818" t="s">
        <v>165</v>
      </c>
      <c r="I285" s="819"/>
      <c r="J285" s="818" t="s">
        <v>189</v>
      </c>
      <c r="K285" s="819"/>
      <c r="L285" s="820" t="s">
        <v>249</v>
      </c>
      <c r="M285" s="821"/>
    </row>
    <row r="286" spans="1:13" ht="15.75" customHeight="1">
      <c r="A286" s="275"/>
      <c r="B286" s="185"/>
      <c r="C286" s="185"/>
      <c r="D286" s="802"/>
      <c r="E286" s="799"/>
      <c r="F286" s="503" t="s">
        <v>11</v>
      </c>
      <c r="G286" s="503" t="s">
        <v>41</v>
      </c>
      <c r="H286" s="503" t="s">
        <v>11</v>
      </c>
      <c r="I286" s="503" t="s">
        <v>41</v>
      </c>
      <c r="J286" s="503" t="s">
        <v>11</v>
      </c>
      <c r="K286" s="503" t="s">
        <v>41</v>
      </c>
      <c r="L286" s="503" t="s">
        <v>11</v>
      </c>
      <c r="M286" s="268" t="s">
        <v>41</v>
      </c>
    </row>
    <row r="287" spans="1:13" ht="15.75" customHeight="1">
      <c r="A287" s="276"/>
      <c r="B287" s="277"/>
      <c r="C287" s="277"/>
      <c r="D287" s="802"/>
      <c r="E287" s="189" t="s">
        <v>244</v>
      </c>
      <c r="F287" s="271">
        <v>4216.2010000000009</v>
      </c>
      <c r="G287" s="193">
        <f>IFERROR(F287/B282,"")</f>
        <v>3.648589873395814E-2</v>
      </c>
      <c r="H287" s="271">
        <v>860.79999999999984</v>
      </c>
      <c r="I287" s="193">
        <f>IFERROR(H287/B282,"")</f>
        <v>7.4491376550100798E-3</v>
      </c>
      <c r="J287" s="271">
        <v>0</v>
      </c>
      <c r="K287" s="193">
        <f>IFERROR(J287/B282,"")</f>
        <v>0</v>
      </c>
      <c r="L287" s="271">
        <v>0</v>
      </c>
      <c r="M287" s="272">
        <f>IFERROR(L287/B282,"")</f>
        <v>0</v>
      </c>
    </row>
    <row r="288" spans="1:13" ht="15.75" customHeight="1" thickBot="1">
      <c r="A288" s="278"/>
      <c r="B288" s="279"/>
      <c r="C288" s="279"/>
      <c r="D288" s="811"/>
      <c r="E288" s="280" t="s">
        <v>245</v>
      </c>
      <c r="F288" s="281">
        <v>11653.282010000023</v>
      </c>
      <c r="G288" s="282">
        <f>IFERROR(F288/B283,"")</f>
        <v>0.11146657580159969</v>
      </c>
      <c r="H288" s="281">
        <v>0</v>
      </c>
      <c r="I288" s="282">
        <f>IFERROR(H288/B283,"")</f>
        <v>0</v>
      </c>
      <c r="J288" s="281">
        <v>0</v>
      </c>
      <c r="K288" s="282">
        <f>IFERROR(J288/B283,"")</f>
        <v>0</v>
      </c>
      <c r="L288" s="281">
        <v>0</v>
      </c>
      <c r="M288" s="283">
        <f>IFERROR(L288/B283,"")</f>
        <v>0</v>
      </c>
    </row>
    <row r="289" spans="1:13" ht="15.75" customHeight="1">
      <c r="A289" s="805" t="s">
        <v>920</v>
      </c>
      <c r="B289" s="806"/>
      <c r="C289" s="806"/>
      <c r="D289" s="806"/>
      <c r="E289" s="806"/>
      <c r="F289" s="806"/>
      <c r="G289" s="806"/>
      <c r="H289" s="806"/>
      <c r="I289" s="806"/>
      <c r="J289" s="806"/>
      <c r="K289" s="806"/>
      <c r="L289" s="806"/>
      <c r="M289" s="807"/>
    </row>
    <row r="290" spans="1:13" ht="15.75" customHeight="1">
      <c r="A290" s="808"/>
      <c r="B290" s="798"/>
      <c r="C290" s="798"/>
      <c r="D290" s="798"/>
      <c r="E290" s="798"/>
      <c r="F290" s="798"/>
      <c r="G290" s="798"/>
      <c r="H290" s="798"/>
      <c r="I290" s="798"/>
      <c r="J290" s="798"/>
      <c r="K290" s="798"/>
      <c r="L290" s="798"/>
      <c r="M290" s="809"/>
    </row>
    <row r="291" spans="1:13" ht="15.75" customHeight="1">
      <c r="A291" s="266" t="s">
        <v>238</v>
      </c>
      <c r="B291" s="355">
        <v>47860768</v>
      </c>
      <c r="C291" s="185"/>
      <c r="D291" s="185"/>
      <c r="E291" s="185"/>
      <c r="F291" s="185"/>
      <c r="G291" s="185"/>
      <c r="H291" s="185"/>
      <c r="I291" s="185"/>
      <c r="J291" s="185"/>
      <c r="K291" s="185"/>
      <c r="L291" s="185"/>
      <c r="M291" s="267"/>
    </row>
    <row r="292" spans="1:13" ht="15.75" customHeight="1">
      <c r="A292" s="810" t="s">
        <v>197</v>
      </c>
      <c r="B292" s="800" t="s">
        <v>10</v>
      </c>
      <c r="C292" s="800"/>
      <c r="D292" s="801"/>
      <c r="E292" s="799" t="s">
        <v>197</v>
      </c>
      <c r="F292" s="803">
        <v>1</v>
      </c>
      <c r="G292" s="803"/>
      <c r="H292" s="803">
        <v>2</v>
      </c>
      <c r="I292" s="803"/>
      <c r="J292" s="803">
        <v>3</v>
      </c>
      <c r="K292" s="803"/>
      <c r="L292" s="803">
        <v>4</v>
      </c>
      <c r="M292" s="812"/>
    </row>
    <row r="293" spans="1:13" ht="15.75" customHeight="1">
      <c r="A293" s="810"/>
      <c r="B293" s="800"/>
      <c r="C293" s="800"/>
      <c r="D293" s="802"/>
      <c r="E293" s="799"/>
      <c r="F293" s="795" t="s">
        <v>250</v>
      </c>
      <c r="G293" s="795"/>
      <c r="H293" s="795" t="s">
        <v>240</v>
      </c>
      <c r="I293" s="795"/>
      <c r="J293" s="795" t="s">
        <v>164</v>
      </c>
      <c r="K293" s="795"/>
      <c r="L293" s="795" t="s">
        <v>709</v>
      </c>
      <c r="M293" s="813"/>
    </row>
    <row r="294" spans="1:13" ht="15.75" customHeight="1">
      <c r="A294" s="810"/>
      <c r="B294" s="532" t="s">
        <v>11</v>
      </c>
      <c r="C294" s="532" t="s">
        <v>41</v>
      </c>
      <c r="D294" s="802"/>
      <c r="E294" s="799"/>
      <c r="F294" s="532" t="s">
        <v>11</v>
      </c>
      <c r="G294" s="532" t="s">
        <v>41</v>
      </c>
      <c r="H294" s="532" t="s">
        <v>11</v>
      </c>
      <c r="I294" s="532" t="s">
        <v>41</v>
      </c>
      <c r="J294" s="532" t="s">
        <v>11</v>
      </c>
      <c r="K294" s="532" t="s">
        <v>41</v>
      </c>
      <c r="L294" s="532" t="s">
        <v>11</v>
      </c>
      <c r="M294" s="268" t="s">
        <v>41</v>
      </c>
    </row>
    <row r="295" spans="1:13" ht="15.75" customHeight="1">
      <c r="A295" s="269" t="s">
        <v>244</v>
      </c>
      <c r="B295" s="270">
        <v>117024</v>
      </c>
      <c r="C295" s="191">
        <f>B295/B291</f>
        <v>2.4450923980158445E-3</v>
      </c>
      <c r="D295" s="802"/>
      <c r="E295" s="189" t="s">
        <v>244</v>
      </c>
      <c r="F295" s="271">
        <v>0</v>
      </c>
      <c r="G295" s="193">
        <f>IFERROR(F295/B295,"")</f>
        <v>0</v>
      </c>
      <c r="H295" s="271">
        <v>3420.3180000000002</v>
      </c>
      <c r="I295" s="193">
        <f>IFERROR(H295/B295,"")</f>
        <v>2.9227491796554556E-2</v>
      </c>
      <c r="J295" s="271">
        <v>1232.9130000000002</v>
      </c>
      <c r="K295" s="193">
        <f>IFERROR(J295/B295,"")</f>
        <v>1.0535556808859724E-2</v>
      </c>
      <c r="L295" s="271">
        <v>1214.7220000000002</v>
      </c>
      <c r="M295" s="272">
        <f>IFERROR(L295/B295,"")</f>
        <v>1.0380110062893083E-2</v>
      </c>
    </row>
    <row r="296" spans="1:13" ht="15.75" customHeight="1">
      <c r="A296" s="273" t="s">
        <v>245</v>
      </c>
      <c r="B296" s="274">
        <v>106787.07459785466</v>
      </c>
      <c r="C296" s="191">
        <f>B296/B291</f>
        <v>2.2312026960757225E-3</v>
      </c>
      <c r="D296" s="802"/>
      <c r="E296" s="195" t="s">
        <v>245</v>
      </c>
      <c r="F296" s="271">
        <v>0</v>
      </c>
      <c r="G296" s="193">
        <f>IFERROR(F296/B296,"")</f>
        <v>0</v>
      </c>
      <c r="H296" s="271">
        <v>2618.8591999999899</v>
      </c>
      <c r="I296" s="193">
        <f>IFERROR(H296/B296,"")</f>
        <v>2.4524121574284633E-2</v>
      </c>
      <c r="J296" s="271">
        <v>1594.8998000000151</v>
      </c>
      <c r="K296" s="193">
        <f>IFERROR(J296/B296,"")</f>
        <v>1.493532626496406E-2</v>
      </c>
      <c r="L296" s="271">
        <v>3295.7032599999875</v>
      </c>
      <c r="M296" s="272">
        <f>IFERROR(L296/B296,"")</f>
        <v>3.0862379856468114E-2</v>
      </c>
    </row>
    <row r="297" spans="1:13" ht="15.75" customHeight="1">
      <c r="A297" s="275"/>
      <c r="B297" s="185"/>
      <c r="C297" s="185"/>
      <c r="D297" s="802"/>
      <c r="E297" s="799" t="s">
        <v>197</v>
      </c>
      <c r="F297" s="814">
        <v>5</v>
      </c>
      <c r="G297" s="815"/>
      <c r="H297" s="814">
        <v>6</v>
      </c>
      <c r="I297" s="815"/>
      <c r="J297" s="814">
        <v>7</v>
      </c>
      <c r="K297" s="815"/>
      <c r="L297" s="816">
        <v>8</v>
      </c>
      <c r="M297" s="817"/>
    </row>
    <row r="298" spans="1:13" ht="15.75" customHeight="1">
      <c r="A298" s="275"/>
      <c r="B298" s="185"/>
      <c r="C298" s="185"/>
      <c r="D298" s="802"/>
      <c r="E298" s="799"/>
      <c r="F298" s="818" t="s">
        <v>188</v>
      </c>
      <c r="G298" s="819"/>
      <c r="H298" s="818" t="s">
        <v>165</v>
      </c>
      <c r="I298" s="819"/>
      <c r="J298" s="818" t="s">
        <v>189</v>
      </c>
      <c r="K298" s="819"/>
      <c r="L298" s="820" t="s">
        <v>249</v>
      </c>
      <c r="M298" s="821"/>
    </row>
    <row r="299" spans="1:13" ht="15.75" customHeight="1">
      <c r="A299" s="275"/>
      <c r="B299" s="185"/>
      <c r="C299" s="185"/>
      <c r="D299" s="802"/>
      <c r="E299" s="799"/>
      <c r="F299" s="532" t="s">
        <v>11</v>
      </c>
      <c r="G299" s="532" t="s">
        <v>41</v>
      </c>
      <c r="H299" s="532" t="s">
        <v>11</v>
      </c>
      <c r="I299" s="532" t="s">
        <v>41</v>
      </c>
      <c r="J299" s="532" t="s">
        <v>11</v>
      </c>
      <c r="K299" s="532" t="s">
        <v>41</v>
      </c>
      <c r="L299" s="532" t="s">
        <v>11</v>
      </c>
      <c r="M299" s="268" t="s">
        <v>41</v>
      </c>
    </row>
    <row r="300" spans="1:13" ht="15.75" customHeight="1">
      <c r="A300" s="276"/>
      <c r="B300" s="277"/>
      <c r="C300" s="277"/>
      <c r="D300" s="802"/>
      <c r="E300" s="189" t="s">
        <v>244</v>
      </c>
      <c r="F300" s="271">
        <v>1368.8999999999999</v>
      </c>
      <c r="G300" s="193">
        <f>IFERROR(F300/B295,"")</f>
        <v>1.1697600492206726E-2</v>
      </c>
      <c r="H300" s="271">
        <v>807</v>
      </c>
      <c r="I300" s="193">
        <f>IFERROR(H300/B295,"")</f>
        <v>6.8960213289581624E-3</v>
      </c>
      <c r="J300" s="271">
        <v>0</v>
      </c>
      <c r="K300" s="193">
        <f>IFERROR(J300/B295,"")</f>
        <v>0</v>
      </c>
      <c r="L300" s="271">
        <v>0</v>
      </c>
      <c r="M300" s="272">
        <f>IFERROR(L300/B295,"")</f>
        <v>0</v>
      </c>
    </row>
    <row r="301" spans="1:13" ht="15.75" customHeight="1" thickBot="1">
      <c r="A301" s="278"/>
      <c r="B301" s="279"/>
      <c r="C301" s="279"/>
      <c r="D301" s="811"/>
      <c r="E301" s="280" t="s">
        <v>245</v>
      </c>
      <c r="F301" s="281">
        <v>6554.8831299998656</v>
      </c>
      <c r="G301" s="282">
        <f>IFERROR(F301/B296,"")</f>
        <v>6.1382739012981184E-2</v>
      </c>
      <c r="H301" s="281">
        <v>1088.1764799999992</v>
      </c>
      <c r="I301" s="282">
        <f>IFERROR(H301/B296,"")</f>
        <v>1.0190151608684113E-2</v>
      </c>
      <c r="J301" s="281">
        <v>0</v>
      </c>
      <c r="K301" s="282">
        <f>IFERROR(J301/B296,"")</f>
        <v>0</v>
      </c>
      <c r="L301" s="281">
        <v>0</v>
      </c>
      <c r="M301" s="283">
        <f>IFERROR(L301/B296,"")</f>
        <v>0</v>
      </c>
    </row>
    <row r="302" spans="1:13" ht="15.75" customHeight="1">
      <c r="A302" s="805" t="s">
        <v>919</v>
      </c>
      <c r="B302" s="806"/>
      <c r="C302" s="806"/>
      <c r="D302" s="806"/>
      <c r="E302" s="806"/>
      <c r="F302" s="806"/>
      <c r="G302" s="806"/>
      <c r="H302" s="806"/>
      <c r="I302" s="806"/>
      <c r="J302" s="806"/>
      <c r="K302" s="806"/>
      <c r="L302" s="806"/>
      <c r="M302" s="807"/>
    </row>
    <row r="303" spans="1:13" ht="15.75" customHeight="1">
      <c r="A303" s="808"/>
      <c r="B303" s="798"/>
      <c r="C303" s="798"/>
      <c r="D303" s="798"/>
      <c r="E303" s="798"/>
      <c r="F303" s="798"/>
      <c r="G303" s="798"/>
      <c r="H303" s="798"/>
      <c r="I303" s="798"/>
      <c r="J303" s="798"/>
      <c r="K303" s="798"/>
      <c r="L303" s="798"/>
      <c r="M303" s="809"/>
    </row>
    <row r="304" spans="1:13" ht="15.75" customHeight="1">
      <c r="A304" s="266" t="s">
        <v>238</v>
      </c>
      <c r="B304" s="355">
        <v>45268529</v>
      </c>
      <c r="C304" s="185"/>
      <c r="D304" s="185"/>
      <c r="E304" s="185"/>
      <c r="F304" s="185"/>
      <c r="G304" s="185"/>
      <c r="H304" s="185"/>
      <c r="I304" s="185"/>
      <c r="J304" s="185"/>
      <c r="K304" s="185"/>
      <c r="L304" s="185"/>
      <c r="M304" s="267"/>
    </row>
    <row r="305" spans="1:13" ht="15.75" customHeight="1">
      <c r="A305" s="810" t="s">
        <v>197</v>
      </c>
      <c r="B305" s="800" t="s">
        <v>10</v>
      </c>
      <c r="C305" s="800"/>
      <c r="D305" s="801"/>
      <c r="E305" s="799" t="s">
        <v>197</v>
      </c>
      <c r="F305" s="803">
        <v>1</v>
      </c>
      <c r="G305" s="803"/>
      <c r="H305" s="803">
        <v>2</v>
      </c>
      <c r="I305" s="803"/>
      <c r="J305" s="803">
        <v>3</v>
      </c>
      <c r="K305" s="803"/>
      <c r="L305" s="803">
        <v>4</v>
      </c>
      <c r="M305" s="812"/>
    </row>
    <row r="306" spans="1:13" ht="15.75" customHeight="1">
      <c r="A306" s="810"/>
      <c r="B306" s="800"/>
      <c r="C306" s="800"/>
      <c r="D306" s="802"/>
      <c r="E306" s="799"/>
      <c r="F306" s="795" t="s">
        <v>250</v>
      </c>
      <c r="G306" s="795"/>
      <c r="H306" s="795" t="s">
        <v>240</v>
      </c>
      <c r="I306" s="795"/>
      <c r="J306" s="795" t="s">
        <v>164</v>
      </c>
      <c r="K306" s="795"/>
      <c r="L306" s="795" t="s">
        <v>709</v>
      </c>
      <c r="M306" s="813"/>
    </row>
    <row r="307" spans="1:13" ht="15.75" customHeight="1">
      <c r="A307" s="810"/>
      <c r="B307" s="535" t="s">
        <v>11</v>
      </c>
      <c r="C307" s="535" t="s">
        <v>41</v>
      </c>
      <c r="D307" s="802"/>
      <c r="E307" s="799"/>
      <c r="F307" s="535" t="s">
        <v>11</v>
      </c>
      <c r="G307" s="535" t="s">
        <v>41</v>
      </c>
      <c r="H307" s="535" t="s">
        <v>11</v>
      </c>
      <c r="I307" s="535" t="s">
        <v>41</v>
      </c>
      <c r="J307" s="535" t="s">
        <v>11</v>
      </c>
      <c r="K307" s="535" t="s">
        <v>41</v>
      </c>
      <c r="L307" s="535" t="s">
        <v>11</v>
      </c>
      <c r="M307" s="268" t="s">
        <v>41</v>
      </c>
    </row>
    <row r="308" spans="1:13" ht="15.75" customHeight="1">
      <c r="A308" s="269" t="s">
        <v>244</v>
      </c>
      <c r="B308" s="270">
        <v>111302</v>
      </c>
      <c r="C308" s="191">
        <f>B308/B304</f>
        <v>2.4587059146543066E-3</v>
      </c>
      <c r="D308" s="802"/>
      <c r="E308" s="189" t="s">
        <v>244</v>
      </c>
      <c r="F308" s="271">
        <v>0</v>
      </c>
      <c r="G308" s="193">
        <f>IFERROR(F308/B308,"")</f>
        <v>0</v>
      </c>
      <c r="H308" s="271">
        <v>2032.4850000000001</v>
      </c>
      <c r="I308" s="193">
        <f>IFERROR(H308/B308,"")</f>
        <v>1.8260992614687967E-2</v>
      </c>
      <c r="J308" s="271">
        <v>0</v>
      </c>
      <c r="K308" s="193">
        <f>IFERROR(J308/B308,"")</f>
        <v>0</v>
      </c>
      <c r="L308" s="271">
        <v>1297.2910000000002</v>
      </c>
      <c r="M308" s="272">
        <f>IFERROR(L308/B308,"")</f>
        <v>1.1655594688325459E-2</v>
      </c>
    </row>
    <row r="309" spans="1:13" ht="15.75" customHeight="1">
      <c r="A309" s="273" t="s">
        <v>245</v>
      </c>
      <c r="B309" s="274">
        <v>101893.93253329059</v>
      </c>
      <c r="C309" s="191">
        <f>B309/B304</f>
        <v>2.2508779230111628E-3</v>
      </c>
      <c r="D309" s="802"/>
      <c r="E309" s="195" t="s">
        <v>245</v>
      </c>
      <c r="F309" s="271">
        <v>0</v>
      </c>
      <c r="G309" s="193">
        <f>IFERROR(F309/B309,"")</f>
        <v>0</v>
      </c>
      <c r="H309" s="271">
        <v>1351.4083999999991</v>
      </c>
      <c r="I309" s="193">
        <f>IFERROR(H309/B309,"")</f>
        <v>1.3262893740591175E-2</v>
      </c>
      <c r="J309" s="271">
        <v>2382.4582500000106</v>
      </c>
      <c r="K309" s="193">
        <f>IFERROR(J309/B309,"")</f>
        <v>2.3381747968375041E-2</v>
      </c>
      <c r="L309" s="271">
        <v>2411.1381199999896</v>
      </c>
      <c r="M309" s="272">
        <f>IFERROR(L309/B309,"")</f>
        <v>2.3663215856471409E-2</v>
      </c>
    </row>
    <row r="310" spans="1:13" ht="15.75" customHeight="1">
      <c r="A310" s="275"/>
      <c r="B310" s="185"/>
      <c r="C310" s="185"/>
      <c r="D310" s="802"/>
      <c r="E310" s="799" t="s">
        <v>197</v>
      </c>
      <c r="F310" s="814">
        <v>5</v>
      </c>
      <c r="G310" s="815"/>
      <c r="H310" s="814">
        <v>6</v>
      </c>
      <c r="I310" s="815"/>
      <c r="J310" s="814">
        <v>7</v>
      </c>
      <c r="K310" s="815"/>
      <c r="L310" s="816">
        <v>8</v>
      </c>
      <c r="M310" s="817"/>
    </row>
    <row r="311" spans="1:13" ht="15.75" customHeight="1">
      <c r="A311" s="275"/>
      <c r="B311" s="185"/>
      <c r="C311" s="185"/>
      <c r="D311" s="802"/>
      <c r="E311" s="799"/>
      <c r="F311" s="818" t="s">
        <v>188</v>
      </c>
      <c r="G311" s="819"/>
      <c r="H311" s="818" t="s">
        <v>165</v>
      </c>
      <c r="I311" s="819"/>
      <c r="J311" s="818" t="s">
        <v>189</v>
      </c>
      <c r="K311" s="819"/>
      <c r="L311" s="820" t="s">
        <v>249</v>
      </c>
      <c r="M311" s="821"/>
    </row>
    <row r="312" spans="1:13" ht="15.75" customHeight="1">
      <c r="A312" s="275"/>
      <c r="B312" s="185"/>
      <c r="C312" s="185"/>
      <c r="D312" s="802"/>
      <c r="E312" s="799"/>
      <c r="F312" s="535" t="s">
        <v>11</v>
      </c>
      <c r="G312" s="535" t="s">
        <v>41</v>
      </c>
      <c r="H312" s="535" t="s">
        <v>11</v>
      </c>
      <c r="I312" s="535" t="s">
        <v>41</v>
      </c>
      <c r="J312" s="535" t="s">
        <v>11</v>
      </c>
      <c r="K312" s="535" t="s">
        <v>41</v>
      </c>
      <c r="L312" s="535" t="s">
        <v>11</v>
      </c>
      <c r="M312" s="268" t="s">
        <v>41</v>
      </c>
    </row>
    <row r="313" spans="1:13" ht="15.75" customHeight="1">
      <c r="A313" s="276"/>
      <c r="B313" s="277"/>
      <c r="C313" s="277"/>
      <c r="D313" s="802"/>
      <c r="E313" s="189" t="s">
        <v>244</v>
      </c>
      <c r="F313" s="271">
        <v>4126.5310000000009</v>
      </c>
      <c r="G313" s="193">
        <f>IFERROR(F313/B308,"")</f>
        <v>3.7075084005678251E-2</v>
      </c>
      <c r="H313" s="271">
        <v>780.09999999999991</v>
      </c>
      <c r="I313" s="193">
        <f>IFERROR(H313/B308,"")</f>
        <v>7.0088587806149032E-3</v>
      </c>
      <c r="J313" s="271">
        <v>631.87</v>
      </c>
      <c r="K313" s="193">
        <f>IFERROR(J313/B308,"")</f>
        <v>5.677076782088372E-3</v>
      </c>
      <c r="L313" s="271">
        <v>0</v>
      </c>
      <c r="M313" s="272">
        <f>IFERROR(L313/B308,"")</f>
        <v>0</v>
      </c>
    </row>
    <row r="314" spans="1:13" ht="15.75" customHeight="1" thickBot="1">
      <c r="A314" s="278"/>
      <c r="B314" s="279"/>
      <c r="C314" s="279"/>
      <c r="D314" s="811"/>
      <c r="E314" s="280" t="s">
        <v>245</v>
      </c>
      <c r="F314" s="281">
        <v>7919.6729299999806</v>
      </c>
      <c r="G314" s="282">
        <f>IFERROR(F314/B309,"")</f>
        <v>7.7724676367873821E-2</v>
      </c>
      <c r="H314" s="281">
        <v>2969.7468799999551</v>
      </c>
      <c r="I314" s="282">
        <f>IFERROR(H314/B309,"")</f>
        <v>2.9145473201063126E-2</v>
      </c>
      <c r="J314" s="281">
        <v>1220.7728400000015</v>
      </c>
      <c r="K314" s="282">
        <f>IFERROR(J314/B309,"")</f>
        <v>1.1980819756869753E-2</v>
      </c>
      <c r="L314" s="281">
        <v>0</v>
      </c>
      <c r="M314" s="283">
        <f>IFERROR(L314/B309,"")</f>
        <v>0</v>
      </c>
    </row>
    <row r="315" spans="1:13" ht="15.75" customHeight="1">
      <c r="A315" s="805" t="s">
        <v>947</v>
      </c>
      <c r="B315" s="806"/>
      <c r="C315" s="806"/>
      <c r="D315" s="806"/>
      <c r="E315" s="806"/>
      <c r="F315" s="806"/>
      <c r="G315" s="806"/>
      <c r="H315" s="806"/>
      <c r="I315" s="806"/>
      <c r="J315" s="806"/>
      <c r="K315" s="806"/>
      <c r="L315" s="806"/>
      <c r="M315" s="807"/>
    </row>
    <row r="316" spans="1:13" ht="15.75" customHeight="1">
      <c r="A316" s="808"/>
      <c r="B316" s="798"/>
      <c r="C316" s="798"/>
      <c r="D316" s="798"/>
      <c r="E316" s="798"/>
      <c r="F316" s="798"/>
      <c r="G316" s="798"/>
      <c r="H316" s="798"/>
      <c r="I316" s="798"/>
      <c r="J316" s="798"/>
      <c r="K316" s="798"/>
      <c r="L316" s="798"/>
      <c r="M316" s="809"/>
    </row>
    <row r="317" spans="1:13" ht="15.75" customHeight="1">
      <c r="A317" s="266" t="s">
        <v>238</v>
      </c>
      <c r="B317" s="355">
        <v>46317667</v>
      </c>
      <c r="C317" s="185"/>
      <c r="D317" s="185"/>
      <c r="E317" s="185"/>
      <c r="F317" s="185"/>
      <c r="G317" s="185"/>
      <c r="H317" s="185"/>
      <c r="I317" s="185"/>
      <c r="J317" s="185"/>
      <c r="K317" s="185"/>
      <c r="L317" s="185"/>
      <c r="M317" s="267"/>
    </row>
    <row r="318" spans="1:13" ht="15.75" customHeight="1">
      <c r="A318" s="810" t="s">
        <v>197</v>
      </c>
      <c r="B318" s="800" t="s">
        <v>10</v>
      </c>
      <c r="C318" s="800"/>
      <c r="D318" s="801"/>
      <c r="E318" s="799" t="s">
        <v>197</v>
      </c>
      <c r="F318" s="803">
        <v>1</v>
      </c>
      <c r="G318" s="803"/>
      <c r="H318" s="803">
        <v>2</v>
      </c>
      <c r="I318" s="803"/>
      <c r="J318" s="803">
        <v>3</v>
      </c>
      <c r="K318" s="803"/>
      <c r="L318" s="803">
        <v>4</v>
      </c>
      <c r="M318" s="812"/>
    </row>
    <row r="319" spans="1:13" ht="15.75" customHeight="1">
      <c r="A319" s="810"/>
      <c r="B319" s="800"/>
      <c r="C319" s="800"/>
      <c r="D319" s="802"/>
      <c r="E319" s="799"/>
      <c r="F319" s="795" t="s">
        <v>250</v>
      </c>
      <c r="G319" s="795"/>
      <c r="H319" s="795" t="s">
        <v>240</v>
      </c>
      <c r="I319" s="795"/>
      <c r="J319" s="795" t="s">
        <v>164</v>
      </c>
      <c r="K319" s="795"/>
      <c r="L319" s="795" t="s">
        <v>709</v>
      </c>
      <c r="M319" s="813"/>
    </row>
    <row r="320" spans="1:13" ht="15.75" customHeight="1">
      <c r="A320" s="810"/>
      <c r="B320" s="545" t="s">
        <v>11</v>
      </c>
      <c r="C320" s="545" t="s">
        <v>41</v>
      </c>
      <c r="D320" s="802"/>
      <c r="E320" s="799"/>
      <c r="F320" s="545" t="s">
        <v>11</v>
      </c>
      <c r="G320" s="545" t="s">
        <v>41</v>
      </c>
      <c r="H320" s="545" t="s">
        <v>11</v>
      </c>
      <c r="I320" s="545" t="s">
        <v>41</v>
      </c>
      <c r="J320" s="545" t="s">
        <v>11</v>
      </c>
      <c r="K320" s="545" t="s">
        <v>41</v>
      </c>
      <c r="L320" s="545" t="s">
        <v>11</v>
      </c>
      <c r="M320" s="268" t="s">
        <v>41</v>
      </c>
    </row>
    <row r="321" spans="1:13" ht="15.75" customHeight="1">
      <c r="A321" s="269" t="s">
        <v>244</v>
      </c>
      <c r="B321" s="270">
        <v>113778.49100000001</v>
      </c>
      <c r="C321" s="191">
        <f>B321/B317</f>
        <v>2.4564814760639824E-3</v>
      </c>
      <c r="D321" s="802"/>
      <c r="E321" s="189" t="s">
        <v>244</v>
      </c>
      <c r="F321" s="271">
        <v>0</v>
      </c>
      <c r="G321" s="193">
        <f>IFERROR(F321/B321,"")</f>
        <v>0</v>
      </c>
      <c r="H321" s="271">
        <v>1400.0409999999999</v>
      </c>
      <c r="I321" s="193">
        <f>IFERROR(H321/B321,"")</f>
        <v>1.2304970717180629E-2</v>
      </c>
      <c r="J321" s="271">
        <v>1362.7540000000004</v>
      </c>
      <c r="K321" s="193">
        <f>IFERROR(J321/B321,"")</f>
        <v>1.1977254998047041E-2</v>
      </c>
      <c r="L321" s="271">
        <v>7475.5</v>
      </c>
      <c r="M321" s="272">
        <f>IFERROR(L321/B321,"")</f>
        <v>6.5702224860760369E-2</v>
      </c>
    </row>
    <row r="322" spans="1:13" ht="15.75" customHeight="1">
      <c r="A322" s="273" t="s">
        <v>245</v>
      </c>
      <c r="B322" s="274">
        <v>98194.248914419688</v>
      </c>
      <c r="C322" s="191">
        <f>B322/B317</f>
        <v>2.1200171613656553E-3</v>
      </c>
      <c r="D322" s="802"/>
      <c r="E322" s="195" t="s">
        <v>245</v>
      </c>
      <c r="F322" s="271">
        <v>0</v>
      </c>
      <c r="G322" s="193">
        <f>IFERROR(F322/B322,"")</f>
        <v>0</v>
      </c>
      <c r="H322" s="271">
        <v>2511.7135999999964</v>
      </c>
      <c r="I322" s="193">
        <f>IFERROR(H322/B322,"")</f>
        <v>2.5579029604768988E-2</v>
      </c>
      <c r="J322" s="271">
        <v>1140.6631499999999</v>
      </c>
      <c r="K322" s="193">
        <f>IFERROR(J322/B322,"")</f>
        <v>1.161639467291139E-2</v>
      </c>
      <c r="L322" s="271">
        <v>15389.934349999996</v>
      </c>
      <c r="M322" s="272">
        <f>IFERROR(L322/B322,"")</f>
        <v>0.15672948792971525</v>
      </c>
    </row>
    <row r="323" spans="1:13" ht="15.75" customHeight="1">
      <c r="A323" s="275"/>
      <c r="B323" s="185"/>
      <c r="C323" s="185"/>
      <c r="D323" s="802"/>
      <c r="E323" s="799" t="s">
        <v>197</v>
      </c>
      <c r="F323" s="814">
        <v>5</v>
      </c>
      <c r="G323" s="815"/>
      <c r="H323" s="814">
        <v>6</v>
      </c>
      <c r="I323" s="815"/>
      <c r="J323" s="814">
        <v>7</v>
      </c>
      <c r="K323" s="815"/>
      <c r="L323" s="816">
        <v>8</v>
      </c>
      <c r="M323" s="817"/>
    </row>
    <row r="324" spans="1:13" ht="15.75" customHeight="1">
      <c r="A324" s="275"/>
      <c r="B324" s="185"/>
      <c r="C324" s="185"/>
      <c r="D324" s="802"/>
      <c r="E324" s="799"/>
      <c r="F324" s="818" t="s">
        <v>188</v>
      </c>
      <c r="G324" s="819"/>
      <c r="H324" s="818" t="s">
        <v>165</v>
      </c>
      <c r="I324" s="819"/>
      <c r="J324" s="818" t="s">
        <v>189</v>
      </c>
      <c r="K324" s="819"/>
      <c r="L324" s="820" t="s">
        <v>249</v>
      </c>
      <c r="M324" s="821"/>
    </row>
    <row r="325" spans="1:13" ht="15.75" customHeight="1">
      <c r="A325" s="275"/>
      <c r="B325" s="185"/>
      <c r="C325" s="185"/>
      <c r="D325" s="802"/>
      <c r="E325" s="799"/>
      <c r="F325" s="545" t="s">
        <v>11</v>
      </c>
      <c r="G325" s="545" t="s">
        <v>41</v>
      </c>
      <c r="H325" s="545" t="s">
        <v>11</v>
      </c>
      <c r="I325" s="545" t="s">
        <v>41</v>
      </c>
      <c r="J325" s="545" t="s">
        <v>11</v>
      </c>
      <c r="K325" s="545" t="s">
        <v>41</v>
      </c>
      <c r="L325" s="545" t="s">
        <v>11</v>
      </c>
      <c r="M325" s="268" t="s">
        <v>41</v>
      </c>
    </row>
    <row r="326" spans="1:13" ht="15.75" customHeight="1">
      <c r="A326" s="276"/>
      <c r="B326" s="277"/>
      <c r="C326" s="277"/>
      <c r="D326" s="802"/>
      <c r="E326" s="189" t="s">
        <v>244</v>
      </c>
      <c r="F326" s="271">
        <v>3369.085</v>
      </c>
      <c r="G326" s="193">
        <f>IFERROR(F326/B321,"")</f>
        <v>2.9610913015184915E-2</v>
      </c>
      <c r="H326" s="271">
        <v>0</v>
      </c>
      <c r="I326" s="193">
        <f>IFERROR(H326/B321,"")</f>
        <v>0</v>
      </c>
      <c r="J326" s="271">
        <v>651.53000000000009</v>
      </c>
      <c r="K326" s="193">
        <f>IFERROR(J326/B321,"")</f>
        <v>5.726301994987788E-3</v>
      </c>
      <c r="L326" s="271">
        <v>0</v>
      </c>
      <c r="M326" s="272">
        <f>IFERROR(L326/B321,"")</f>
        <v>0</v>
      </c>
    </row>
    <row r="327" spans="1:13" ht="15.75" customHeight="1" thickBot="1">
      <c r="A327" s="278"/>
      <c r="B327" s="279"/>
      <c r="C327" s="279"/>
      <c r="D327" s="811"/>
      <c r="E327" s="280" t="s">
        <v>245</v>
      </c>
      <c r="F327" s="281">
        <v>5034.1327199998859</v>
      </c>
      <c r="G327" s="282">
        <f>IFERROR(F327/B322,"")</f>
        <v>5.1267083109799425E-2</v>
      </c>
      <c r="H327" s="281">
        <v>0</v>
      </c>
      <c r="I327" s="282">
        <f>IFERROR(H327/B322,"")</f>
        <v>0</v>
      </c>
      <c r="J327" s="281">
        <v>1714.8269600000033</v>
      </c>
      <c r="K327" s="282">
        <f>IFERROR(J327/B322,"")</f>
        <v>1.7463619091323213E-2</v>
      </c>
      <c r="L327" s="281">
        <v>0</v>
      </c>
      <c r="M327" s="283">
        <f>IFERROR(L327/B322,"")</f>
        <v>0</v>
      </c>
    </row>
    <row r="328" spans="1:13" ht="15.75" customHeight="1">
      <c r="A328" s="805" t="s">
        <v>955</v>
      </c>
      <c r="B328" s="806"/>
      <c r="C328" s="806"/>
      <c r="D328" s="806"/>
      <c r="E328" s="806"/>
      <c r="F328" s="806"/>
      <c r="G328" s="806"/>
      <c r="H328" s="806"/>
      <c r="I328" s="806"/>
      <c r="J328" s="806"/>
      <c r="K328" s="806"/>
      <c r="L328" s="806"/>
      <c r="M328" s="807"/>
    </row>
    <row r="329" spans="1:13" ht="15.75" customHeight="1">
      <c r="A329" s="808"/>
      <c r="B329" s="798"/>
      <c r="C329" s="798"/>
      <c r="D329" s="798"/>
      <c r="E329" s="798"/>
      <c r="F329" s="798"/>
      <c r="G329" s="798"/>
      <c r="H329" s="798"/>
      <c r="I329" s="798"/>
      <c r="J329" s="798"/>
      <c r="K329" s="798"/>
      <c r="L329" s="798"/>
      <c r="M329" s="809"/>
    </row>
    <row r="330" spans="1:13" ht="15.75" customHeight="1">
      <c r="A330" s="266" t="s">
        <v>238</v>
      </c>
      <c r="B330" s="355">
        <v>45146482</v>
      </c>
      <c r="C330" s="185"/>
      <c r="D330" s="185"/>
      <c r="E330" s="185"/>
      <c r="F330" s="185"/>
      <c r="G330" s="185"/>
      <c r="H330" s="185"/>
      <c r="I330" s="185"/>
      <c r="J330" s="185"/>
      <c r="K330" s="185"/>
      <c r="L330" s="185"/>
      <c r="M330" s="267"/>
    </row>
    <row r="331" spans="1:13" ht="15.75" customHeight="1">
      <c r="A331" s="810" t="s">
        <v>197</v>
      </c>
      <c r="B331" s="800" t="s">
        <v>10</v>
      </c>
      <c r="C331" s="800"/>
      <c r="D331" s="801"/>
      <c r="E331" s="799" t="s">
        <v>197</v>
      </c>
      <c r="F331" s="803">
        <v>1</v>
      </c>
      <c r="G331" s="803"/>
      <c r="H331" s="803">
        <v>2</v>
      </c>
      <c r="I331" s="803"/>
      <c r="J331" s="803">
        <v>3</v>
      </c>
      <c r="K331" s="803"/>
      <c r="L331" s="803">
        <v>4</v>
      </c>
      <c r="M331" s="812"/>
    </row>
    <row r="332" spans="1:13" ht="15.75" customHeight="1">
      <c r="A332" s="810"/>
      <c r="B332" s="800"/>
      <c r="C332" s="800"/>
      <c r="D332" s="802"/>
      <c r="E332" s="799"/>
      <c r="F332" s="795" t="s">
        <v>250</v>
      </c>
      <c r="G332" s="795"/>
      <c r="H332" s="795" t="s">
        <v>240</v>
      </c>
      <c r="I332" s="795"/>
      <c r="J332" s="795" t="s">
        <v>164</v>
      </c>
      <c r="K332" s="795"/>
      <c r="L332" s="795" t="s">
        <v>709</v>
      </c>
      <c r="M332" s="813"/>
    </row>
    <row r="333" spans="1:13" ht="15.75" customHeight="1">
      <c r="A333" s="810"/>
      <c r="B333" s="549" t="s">
        <v>11</v>
      </c>
      <c r="C333" s="549" t="s">
        <v>41</v>
      </c>
      <c r="D333" s="802"/>
      <c r="E333" s="799"/>
      <c r="F333" s="549" t="s">
        <v>11</v>
      </c>
      <c r="G333" s="549" t="s">
        <v>41</v>
      </c>
      <c r="H333" s="549" t="s">
        <v>11</v>
      </c>
      <c r="I333" s="549" t="s">
        <v>41</v>
      </c>
      <c r="J333" s="549" t="s">
        <v>11</v>
      </c>
      <c r="K333" s="549" t="s">
        <v>41</v>
      </c>
      <c r="L333" s="549" t="s">
        <v>11</v>
      </c>
      <c r="M333" s="268" t="s">
        <v>41</v>
      </c>
    </row>
    <row r="334" spans="1:13" ht="15.75" customHeight="1">
      <c r="A334" s="269" t="s">
        <v>244</v>
      </c>
      <c r="B334" s="270">
        <v>110495</v>
      </c>
      <c r="C334" s="191">
        <f>B334/B330</f>
        <v>2.4474775243838488E-3</v>
      </c>
      <c r="D334" s="802"/>
      <c r="E334" s="189" t="s">
        <v>244</v>
      </c>
      <c r="F334" s="271">
        <v>0</v>
      </c>
      <c r="G334" s="193">
        <f>IFERROR(F334/B334,"")</f>
        <v>0</v>
      </c>
      <c r="H334" s="271">
        <v>2701.6150000000002</v>
      </c>
      <c r="I334" s="193">
        <f>IFERROR(H334/B334,"")</f>
        <v>2.4450110864745012E-2</v>
      </c>
      <c r="J334" s="271">
        <v>1255.49</v>
      </c>
      <c r="K334" s="193">
        <f>IFERROR(J334/B334,"")</f>
        <v>1.1362414588895425E-2</v>
      </c>
      <c r="L334" s="271">
        <v>6920.2499999999991</v>
      </c>
      <c r="M334" s="272">
        <f>IFERROR(L334/B334,"")</f>
        <v>6.2629530747997639E-2</v>
      </c>
    </row>
    <row r="335" spans="1:13" ht="15.75" customHeight="1">
      <c r="A335" s="273" t="s">
        <v>245</v>
      </c>
      <c r="B335" s="274">
        <v>99044.287757320009</v>
      </c>
      <c r="C335" s="191">
        <f>B335/B330</f>
        <v>2.1938428725702262E-3</v>
      </c>
      <c r="D335" s="802"/>
      <c r="E335" s="195" t="s">
        <v>245</v>
      </c>
      <c r="F335" s="271">
        <v>0</v>
      </c>
      <c r="G335" s="193">
        <f>IFERROR(F335/B335,"")</f>
        <v>0</v>
      </c>
      <c r="H335" s="271">
        <v>1147.9823999999996</v>
      </c>
      <c r="I335" s="193">
        <f>IFERROR(H335/B335,"")</f>
        <v>1.159059675216006E-2</v>
      </c>
      <c r="J335" s="271">
        <v>0</v>
      </c>
      <c r="K335" s="193">
        <f>IFERROR(J335/B335,"")</f>
        <v>0</v>
      </c>
      <c r="L335" s="271">
        <v>17357.638680000058</v>
      </c>
      <c r="M335" s="272">
        <f>IFERROR(L335/B335,"")</f>
        <v>0.17525128478413654</v>
      </c>
    </row>
    <row r="336" spans="1:13" ht="15.75" customHeight="1">
      <c r="A336" s="275"/>
      <c r="B336" s="185"/>
      <c r="C336" s="185"/>
      <c r="D336" s="802"/>
      <c r="E336" s="799" t="s">
        <v>197</v>
      </c>
      <c r="F336" s="814">
        <v>5</v>
      </c>
      <c r="G336" s="815"/>
      <c r="H336" s="814">
        <v>6</v>
      </c>
      <c r="I336" s="815"/>
      <c r="J336" s="814">
        <v>7</v>
      </c>
      <c r="K336" s="815"/>
      <c r="L336" s="816">
        <v>8</v>
      </c>
      <c r="M336" s="817"/>
    </row>
    <row r="337" spans="1:13" ht="15.75" customHeight="1">
      <c r="A337" s="275"/>
      <c r="B337" s="185"/>
      <c r="C337" s="185"/>
      <c r="D337" s="802"/>
      <c r="E337" s="799"/>
      <c r="F337" s="818" t="s">
        <v>188</v>
      </c>
      <c r="G337" s="819"/>
      <c r="H337" s="818" t="s">
        <v>165</v>
      </c>
      <c r="I337" s="819"/>
      <c r="J337" s="818" t="s">
        <v>189</v>
      </c>
      <c r="K337" s="819"/>
      <c r="L337" s="820" t="s">
        <v>249</v>
      </c>
      <c r="M337" s="821"/>
    </row>
    <row r="338" spans="1:13" ht="15.75" customHeight="1">
      <c r="A338" s="275"/>
      <c r="B338" s="185"/>
      <c r="C338" s="185"/>
      <c r="D338" s="802"/>
      <c r="E338" s="799"/>
      <c r="F338" s="549" t="s">
        <v>11</v>
      </c>
      <c r="G338" s="549" t="s">
        <v>41</v>
      </c>
      <c r="H338" s="549" t="s">
        <v>11</v>
      </c>
      <c r="I338" s="549" t="s">
        <v>41</v>
      </c>
      <c r="J338" s="549" t="s">
        <v>11</v>
      </c>
      <c r="K338" s="549" t="s">
        <v>41</v>
      </c>
      <c r="L338" s="549" t="s">
        <v>11</v>
      </c>
      <c r="M338" s="268" t="s">
        <v>41</v>
      </c>
    </row>
    <row r="339" spans="1:13" ht="15.75" customHeight="1">
      <c r="A339" s="276"/>
      <c r="B339" s="277"/>
      <c r="C339" s="277"/>
      <c r="D339" s="802"/>
      <c r="E339" s="189" t="s">
        <v>244</v>
      </c>
      <c r="F339" s="271">
        <v>1429.7170000000001</v>
      </c>
      <c r="G339" s="193">
        <f>IFERROR(F339/B334,"")</f>
        <v>1.2939200868817594E-2</v>
      </c>
      <c r="H339" s="271">
        <v>1387.08</v>
      </c>
      <c r="I339" s="193">
        <f>IFERROR(H339/B334,"")</f>
        <v>1.2553328204896148E-2</v>
      </c>
      <c r="J339" s="271">
        <v>0</v>
      </c>
      <c r="K339" s="193">
        <f>IFERROR(J339/B334,"")</f>
        <v>0</v>
      </c>
      <c r="L339" s="271">
        <v>0</v>
      </c>
      <c r="M339" s="272">
        <f>IFERROR(L339/B334,"")</f>
        <v>0</v>
      </c>
    </row>
    <row r="340" spans="1:13" ht="15.75" customHeight="1" thickBot="1">
      <c r="A340" s="278"/>
      <c r="B340" s="279"/>
      <c r="C340" s="279"/>
      <c r="D340" s="811"/>
      <c r="E340" s="280" t="s">
        <v>245</v>
      </c>
      <c r="F340" s="281">
        <v>3937.4843599999795</v>
      </c>
      <c r="G340" s="282">
        <f>IFERROR(F340/B335,"")</f>
        <v>3.9754784946787344E-2</v>
      </c>
      <c r="H340" s="281">
        <v>1597.3776000000053</v>
      </c>
      <c r="I340" s="282">
        <f>IFERROR(H340/B335,"")</f>
        <v>1.6127912433616838E-2</v>
      </c>
      <c r="J340" s="281">
        <v>1201.4213199999961</v>
      </c>
      <c r="K340" s="282">
        <f>IFERROR(J340/B335,"")</f>
        <v>1.2130142456511363E-2</v>
      </c>
      <c r="L340" s="281">
        <v>0</v>
      </c>
      <c r="M340" s="283">
        <f>IFERROR(L340/B335,"")</f>
        <v>0</v>
      </c>
    </row>
    <row r="341" spans="1:13" ht="15.75" customHeight="1">
      <c r="A341" s="805" t="s">
        <v>984</v>
      </c>
      <c r="B341" s="806"/>
      <c r="C341" s="806"/>
      <c r="D341" s="806"/>
      <c r="E341" s="806"/>
      <c r="F341" s="806"/>
      <c r="G341" s="806"/>
      <c r="H341" s="806"/>
      <c r="I341" s="806"/>
      <c r="J341" s="806"/>
      <c r="K341" s="806"/>
      <c r="L341" s="806"/>
      <c r="M341" s="807"/>
    </row>
    <row r="342" spans="1:13" ht="15.75" customHeight="1">
      <c r="A342" s="808"/>
      <c r="B342" s="798"/>
      <c r="C342" s="798"/>
      <c r="D342" s="798"/>
      <c r="E342" s="798"/>
      <c r="F342" s="798"/>
      <c r="G342" s="798"/>
      <c r="H342" s="798"/>
      <c r="I342" s="798"/>
      <c r="J342" s="798"/>
      <c r="K342" s="798"/>
      <c r="L342" s="798"/>
      <c r="M342" s="809"/>
    </row>
    <row r="343" spans="1:13" ht="15.75" customHeight="1">
      <c r="A343" s="266" t="s">
        <v>238</v>
      </c>
      <c r="B343" s="355">
        <v>47419360</v>
      </c>
      <c r="C343" s="185"/>
      <c r="D343" s="185"/>
      <c r="E343" s="185"/>
      <c r="F343" s="185"/>
      <c r="G343" s="185"/>
      <c r="H343" s="185"/>
      <c r="I343" s="185"/>
      <c r="J343" s="185"/>
      <c r="K343" s="185"/>
      <c r="L343" s="185"/>
      <c r="M343" s="267"/>
    </row>
    <row r="344" spans="1:13" ht="15.75" customHeight="1">
      <c r="A344" s="810" t="s">
        <v>197</v>
      </c>
      <c r="B344" s="800" t="s">
        <v>10</v>
      </c>
      <c r="C344" s="800"/>
      <c r="D344" s="801"/>
      <c r="E344" s="799" t="s">
        <v>197</v>
      </c>
      <c r="F344" s="803">
        <v>1</v>
      </c>
      <c r="G344" s="803"/>
      <c r="H344" s="803">
        <v>2</v>
      </c>
      <c r="I344" s="803"/>
      <c r="J344" s="803">
        <v>3</v>
      </c>
      <c r="K344" s="803"/>
      <c r="L344" s="803">
        <v>4</v>
      </c>
      <c r="M344" s="812"/>
    </row>
    <row r="345" spans="1:13" ht="15.75" customHeight="1">
      <c r="A345" s="810"/>
      <c r="B345" s="800"/>
      <c r="C345" s="800"/>
      <c r="D345" s="802"/>
      <c r="E345" s="799"/>
      <c r="F345" s="795" t="s">
        <v>250</v>
      </c>
      <c r="G345" s="795"/>
      <c r="H345" s="795" t="s">
        <v>240</v>
      </c>
      <c r="I345" s="795"/>
      <c r="J345" s="795" t="s">
        <v>164</v>
      </c>
      <c r="K345" s="795"/>
      <c r="L345" s="795" t="s">
        <v>709</v>
      </c>
      <c r="M345" s="813"/>
    </row>
    <row r="346" spans="1:13" ht="15.75" customHeight="1">
      <c r="A346" s="810"/>
      <c r="B346" s="569" t="s">
        <v>11</v>
      </c>
      <c r="C346" s="569" t="s">
        <v>41</v>
      </c>
      <c r="D346" s="802"/>
      <c r="E346" s="799"/>
      <c r="F346" s="569" t="s">
        <v>11</v>
      </c>
      <c r="G346" s="569" t="s">
        <v>41</v>
      </c>
      <c r="H346" s="569" t="s">
        <v>11</v>
      </c>
      <c r="I346" s="569" t="s">
        <v>41</v>
      </c>
      <c r="J346" s="569" t="s">
        <v>11</v>
      </c>
      <c r="K346" s="569" t="s">
        <v>41</v>
      </c>
      <c r="L346" s="569" t="s">
        <v>11</v>
      </c>
      <c r="M346" s="268" t="s">
        <v>41</v>
      </c>
    </row>
    <row r="347" spans="1:13" ht="15.75" customHeight="1">
      <c r="A347" s="269" t="s">
        <v>244</v>
      </c>
      <c r="B347" s="270">
        <v>115356.747</v>
      </c>
      <c r="C347" s="191">
        <f>B347/B343</f>
        <v>2.4326930392987167E-3</v>
      </c>
      <c r="D347" s="802"/>
      <c r="E347" s="189" t="s">
        <v>244</v>
      </c>
      <c r="F347" s="271">
        <v>0</v>
      </c>
      <c r="G347" s="193">
        <f>IFERROR(F347/B347,"")</f>
        <v>0</v>
      </c>
      <c r="H347" s="271">
        <v>663.423</v>
      </c>
      <c r="I347" s="193">
        <f>IFERROR(H347/B347,"")</f>
        <v>5.7510550293170103E-3</v>
      </c>
      <c r="J347" s="271">
        <v>1524.336</v>
      </c>
      <c r="K347" s="193">
        <f>IFERROR(J347/B347,"")</f>
        <v>1.3214103549573914E-2</v>
      </c>
      <c r="L347" s="271">
        <v>8311.619999999999</v>
      </c>
      <c r="M347" s="272">
        <f>IFERROR(L347/B347,"")</f>
        <v>7.2051442296652127E-2</v>
      </c>
    </row>
    <row r="348" spans="1:13" ht="15.75" customHeight="1">
      <c r="A348" s="273" t="s">
        <v>245</v>
      </c>
      <c r="B348" s="274">
        <v>95866.762821479511</v>
      </c>
      <c r="C348" s="191">
        <f>B348/B343</f>
        <v>2.0216798122429215E-3</v>
      </c>
      <c r="D348" s="802"/>
      <c r="E348" s="195" t="s">
        <v>245</v>
      </c>
      <c r="F348" s="271">
        <v>0</v>
      </c>
      <c r="G348" s="193">
        <f>IFERROR(F348/B348,"")</f>
        <v>0</v>
      </c>
      <c r="H348" s="271">
        <v>0</v>
      </c>
      <c r="I348" s="193">
        <f>IFERROR(H348/B348,"")</f>
        <v>0</v>
      </c>
      <c r="J348" s="271">
        <v>3530.5467499999868</v>
      </c>
      <c r="K348" s="193">
        <f>IFERROR(J348/B348,"")</f>
        <v>3.6827641260553205E-2</v>
      </c>
      <c r="L348" s="271">
        <v>13515.838550000013</v>
      </c>
      <c r="M348" s="272">
        <f>IFERROR(L348/B348,"")</f>
        <v>0.14098565709545072</v>
      </c>
    </row>
    <row r="349" spans="1:13" ht="15.75" customHeight="1">
      <c r="A349" s="275"/>
      <c r="B349" s="185"/>
      <c r="C349" s="185"/>
      <c r="D349" s="802"/>
      <c r="E349" s="799" t="s">
        <v>197</v>
      </c>
      <c r="F349" s="814">
        <v>5</v>
      </c>
      <c r="G349" s="815"/>
      <c r="H349" s="814">
        <v>6</v>
      </c>
      <c r="I349" s="815"/>
      <c r="J349" s="814">
        <v>7</v>
      </c>
      <c r="K349" s="815"/>
      <c r="L349" s="816">
        <v>8</v>
      </c>
      <c r="M349" s="817"/>
    </row>
    <row r="350" spans="1:13" ht="15.75" customHeight="1">
      <c r="A350" s="275"/>
      <c r="B350" s="185"/>
      <c r="C350" s="185"/>
      <c r="D350" s="802"/>
      <c r="E350" s="799"/>
      <c r="F350" s="818" t="s">
        <v>188</v>
      </c>
      <c r="G350" s="819"/>
      <c r="H350" s="818" t="s">
        <v>165</v>
      </c>
      <c r="I350" s="819"/>
      <c r="J350" s="818" t="s">
        <v>189</v>
      </c>
      <c r="K350" s="819"/>
      <c r="L350" s="820" t="s">
        <v>249</v>
      </c>
      <c r="M350" s="821"/>
    </row>
    <row r="351" spans="1:13" ht="15.75" customHeight="1">
      <c r="A351" s="275"/>
      <c r="B351" s="185"/>
      <c r="C351" s="185"/>
      <c r="D351" s="802"/>
      <c r="E351" s="799"/>
      <c r="F351" s="569" t="s">
        <v>11</v>
      </c>
      <c r="G351" s="569" t="s">
        <v>41</v>
      </c>
      <c r="H351" s="569" t="s">
        <v>11</v>
      </c>
      <c r="I351" s="569" t="s">
        <v>41</v>
      </c>
      <c r="J351" s="569" t="s">
        <v>11</v>
      </c>
      <c r="K351" s="569" t="s">
        <v>41</v>
      </c>
      <c r="L351" s="569" t="s">
        <v>11</v>
      </c>
      <c r="M351" s="268" t="s">
        <v>41</v>
      </c>
    </row>
    <row r="352" spans="1:13" ht="15.75" customHeight="1">
      <c r="A352" s="276"/>
      <c r="B352" s="277"/>
      <c r="C352" s="277"/>
      <c r="D352" s="802"/>
      <c r="E352" s="189" t="s">
        <v>244</v>
      </c>
      <c r="F352" s="271">
        <v>3325.0299999999997</v>
      </c>
      <c r="G352" s="193">
        <f>IFERROR(F352/B347,"")</f>
        <v>2.8823888385132772E-2</v>
      </c>
      <c r="H352" s="271">
        <v>887.69999999999982</v>
      </c>
      <c r="I352" s="193">
        <f>IFERROR(H352/B347,"")</f>
        <v>7.695258605029837E-3</v>
      </c>
      <c r="J352" s="271">
        <v>0</v>
      </c>
      <c r="K352" s="193">
        <f>IFERROR(J352/B347,"")</f>
        <v>0</v>
      </c>
      <c r="L352" s="271">
        <v>0</v>
      </c>
      <c r="M352" s="272">
        <f>IFERROR(L352/B347,"")</f>
        <v>0</v>
      </c>
    </row>
    <row r="353" spans="1:13" ht="15.75" customHeight="1" thickBot="1">
      <c r="A353" s="278"/>
      <c r="B353" s="279"/>
      <c r="C353" s="279"/>
      <c r="D353" s="811"/>
      <c r="E353" s="280" t="s">
        <v>245</v>
      </c>
      <c r="F353" s="281">
        <v>6539.3127300000378</v>
      </c>
      <c r="G353" s="282">
        <f>IFERROR(F353/B348,"")</f>
        <v>6.821251221528539E-2</v>
      </c>
      <c r="H353" s="281">
        <v>1669.5423999999894</v>
      </c>
      <c r="I353" s="282">
        <f>IFERROR(H353/B348,"")</f>
        <v>1.7415237052584805E-2</v>
      </c>
      <c r="J353" s="281">
        <v>1443.7904800000053</v>
      </c>
      <c r="K353" s="282">
        <f>IFERROR(J353/B348,"")</f>
        <v>1.5060386285167393E-2</v>
      </c>
      <c r="L353" s="281">
        <v>0</v>
      </c>
      <c r="M353" s="283">
        <f>IFERROR(L353/B348,"")</f>
        <v>0</v>
      </c>
    </row>
    <row r="354" spans="1:13" ht="15.75" customHeight="1">
      <c r="A354" s="805" t="s">
        <v>1008</v>
      </c>
      <c r="B354" s="806"/>
      <c r="C354" s="806"/>
      <c r="D354" s="806"/>
      <c r="E354" s="806"/>
      <c r="F354" s="806"/>
      <c r="G354" s="806"/>
      <c r="H354" s="806"/>
      <c r="I354" s="806"/>
      <c r="J354" s="806"/>
      <c r="K354" s="806"/>
      <c r="L354" s="806"/>
      <c r="M354" s="807"/>
    </row>
    <row r="355" spans="1:13" ht="15.75" customHeight="1">
      <c r="A355" s="808"/>
      <c r="B355" s="798"/>
      <c r="C355" s="798"/>
      <c r="D355" s="798"/>
      <c r="E355" s="798"/>
      <c r="F355" s="798"/>
      <c r="G355" s="798"/>
      <c r="H355" s="798"/>
      <c r="I355" s="798"/>
      <c r="J355" s="798"/>
      <c r="K355" s="798"/>
      <c r="L355" s="798"/>
      <c r="M355" s="809"/>
    </row>
    <row r="356" spans="1:13" ht="15.75" customHeight="1">
      <c r="A356" s="266" t="s">
        <v>238</v>
      </c>
      <c r="B356" s="355">
        <v>46841477</v>
      </c>
      <c r="C356" s="185"/>
      <c r="D356" s="185"/>
      <c r="E356" s="185"/>
      <c r="F356" s="185"/>
      <c r="G356" s="185"/>
      <c r="H356" s="185"/>
      <c r="I356" s="185"/>
      <c r="J356" s="185"/>
      <c r="K356" s="185"/>
      <c r="L356" s="185"/>
      <c r="M356" s="267"/>
    </row>
    <row r="357" spans="1:13" ht="15.75" customHeight="1">
      <c r="A357" s="810" t="s">
        <v>197</v>
      </c>
      <c r="B357" s="800" t="s">
        <v>10</v>
      </c>
      <c r="C357" s="800"/>
      <c r="D357" s="801"/>
      <c r="E357" s="799" t="s">
        <v>197</v>
      </c>
      <c r="F357" s="803">
        <v>1</v>
      </c>
      <c r="G357" s="803"/>
      <c r="H357" s="803">
        <v>2</v>
      </c>
      <c r="I357" s="803"/>
      <c r="J357" s="803">
        <v>3</v>
      </c>
      <c r="K357" s="803"/>
      <c r="L357" s="803">
        <v>4</v>
      </c>
      <c r="M357" s="812"/>
    </row>
    <row r="358" spans="1:13" ht="15.75" customHeight="1">
      <c r="A358" s="810"/>
      <c r="B358" s="800"/>
      <c r="C358" s="800"/>
      <c r="D358" s="802"/>
      <c r="E358" s="799"/>
      <c r="F358" s="795" t="s">
        <v>250</v>
      </c>
      <c r="G358" s="795"/>
      <c r="H358" s="795" t="s">
        <v>240</v>
      </c>
      <c r="I358" s="795"/>
      <c r="J358" s="795" t="s">
        <v>164</v>
      </c>
      <c r="K358" s="795"/>
      <c r="L358" s="795" t="s">
        <v>709</v>
      </c>
      <c r="M358" s="813"/>
    </row>
    <row r="359" spans="1:13" ht="15.75" customHeight="1">
      <c r="A359" s="810"/>
      <c r="B359" s="574" t="s">
        <v>11</v>
      </c>
      <c r="C359" s="574" t="s">
        <v>41</v>
      </c>
      <c r="D359" s="802"/>
      <c r="E359" s="799"/>
      <c r="F359" s="574" t="s">
        <v>11</v>
      </c>
      <c r="G359" s="574" t="s">
        <v>41</v>
      </c>
      <c r="H359" s="574" t="s">
        <v>11</v>
      </c>
      <c r="I359" s="574" t="s">
        <v>41</v>
      </c>
      <c r="J359" s="574" t="s">
        <v>11</v>
      </c>
      <c r="K359" s="574" t="s">
        <v>41</v>
      </c>
      <c r="L359" s="574" t="s">
        <v>11</v>
      </c>
      <c r="M359" s="268" t="s">
        <v>41</v>
      </c>
    </row>
    <row r="360" spans="1:13" ht="15.75" customHeight="1">
      <c r="A360" s="269" t="s">
        <v>244</v>
      </c>
      <c r="B360" s="270">
        <v>114102</v>
      </c>
      <c r="C360" s="191">
        <f>B360/B356</f>
        <v>2.4359180646673462E-3</v>
      </c>
      <c r="D360" s="802"/>
      <c r="E360" s="189" t="s">
        <v>244</v>
      </c>
      <c r="F360" s="271">
        <v>0</v>
      </c>
      <c r="G360" s="193">
        <f>IFERROR(F360/B360,"")</f>
        <v>0</v>
      </c>
      <c r="H360" s="271">
        <v>2063.7719999999999</v>
      </c>
      <c r="I360" s="193">
        <f>IFERROR(H360/B360,"")</f>
        <v>1.8087079981069568E-2</v>
      </c>
      <c r="J360" s="271">
        <v>1384.5540000000001</v>
      </c>
      <c r="K360" s="193">
        <f>IFERROR(J360/B360,"")</f>
        <v>1.2134353473208183E-2</v>
      </c>
      <c r="L360" s="271">
        <v>8151.3090000000002</v>
      </c>
      <c r="M360" s="272">
        <f>IFERROR(L360/B360,"")</f>
        <v>7.1438791607509072E-2</v>
      </c>
    </row>
    <row r="361" spans="1:13" ht="15.75" customHeight="1">
      <c r="A361" s="273" t="s">
        <v>245</v>
      </c>
      <c r="B361" s="274">
        <v>97189.411734956419</v>
      </c>
      <c r="C361" s="191">
        <f>B361/B356</f>
        <v>2.0748579669030596E-3</v>
      </c>
      <c r="D361" s="802"/>
      <c r="E361" s="195" t="s">
        <v>245</v>
      </c>
      <c r="F361" s="271">
        <v>0</v>
      </c>
      <c r="G361" s="193">
        <f>IFERROR(F361/B361,"")</f>
        <v>0</v>
      </c>
      <c r="H361" s="271">
        <v>0</v>
      </c>
      <c r="I361" s="193">
        <f>IFERROR(H361/B361,"")</f>
        <v>0</v>
      </c>
      <c r="J361" s="271">
        <v>0</v>
      </c>
      <c r="K361" s="193">
        <f>IFERROR(J361/B361,"")</f>
        <v>0</v>
      </c>
      <c r="L361" s="271">
        <v>16541.958809999967</v>
      </c>
      <c r="M361" s="272">
        <f>IFERROR(L361/B361,"")</f>
        <v>0.17020330213656668</v>
      </c>
    </row>
    <row r="362" spans="1:13" ht="15.75" customHeight="1">
      <c r="A362" s="275"/>
      <c r="B362" s="185"/>
      <c r="C362" s="185"/>
      <c r="D362" s="802"/>
      <c r="E362" s="799" t="s">
        <v>197</v>
      </c>
      <c r="F362" s="814">
        <v>5</v>
      </c>
      <c r="G362" s="815"/>
      <c r="H362" s="814">
        <v>6</v>
      </c>
      <c r="I362" s="815"/>
      <c r="J362" s="814">
        <v>7</v>
      </c>
      <c r="K362" s="815"/>
      <c r="L362" s="816">
        <v>8</v>
      </c>
      <c r="M362" s="817"/>
    </row>
    <row r="363" spans="1:13" ht="15.75" customHeight="1">
      <c r="A363" s="275"/>
      <c r="B363" s="185"/>
      <c r="C363" s="185"/>
      <c r="D363" s="802"/>
      <c r="E363" s="799"/>
      <c r="F363" s="818" t="s">
        <v>188</v>
      </c>
      <c r="G363" s="819"/>
      <c r="H363" s="818" t="s">
        <v>165</v>
      </c>
      <c r="I363" s="819"/>
      <c r="J363" s="818" t="s">
        <v>189</v>
      </c>
      <c r="K363" s="819"/>
      <c r="L363" s="820" t="s">
        <v>249</v>
      </c>
      <c r="M363" s="821"/>
    </row>
    <row r="364" spans="1:13" ht="15.75" customHeight="1">
      <c r="A364" s="275"/>
      <c r="B364" s="185"/>
      <c r="C364" s="185"/>
      <c r="D364" s="802"/>
      <c r="E364" s="799"/>
      <c r="F364" s="574" t="s">
        <v>11</v>
      </c>
      <c r="G364" s="574" t="s">
        <v>41</v>
      </c>
      <c r="H364" s="574" t="s">
        <v>11</v>
      </c>
      <c r="I364" s="574" t="s">
        <v>41</v>
      </c>
      <c r="J364" s="574" t="s">
        <v>11</v>
      </c>
      <c r="K364" s="574" t="s">
        <v>41</v>
      </c>
      <c r="L364" s="574" t="s">
        <v>11</v>
      </c>
      <c r="M364" s="268" t="s">
        <v>41</v>
      </c>
    </row>
    <row r="365" spans="1:13" ht="15.75" customHeight="1">
      <c r="A365" s="276"/>
      <c r="B365" s="277"/>
      <c r="C365" s="277"/>
      <c r="D365" s="802"/>
      <c r="E365" s="189" t="s">
        <v>244</v>
      </c>
      <c r="F365" s="271">
        <v>2255.2030000000004</v>
      </c>
      <c r="G365" s="193">
        <f>IFERROR(F365/B360,"")</f>
        <v>1.9764798163047104E-2</v>
      </c>
      <c r="H365" s="271">
        <v>941.49999999999989</v>
      </c>
      <c r="I365" s="193">
        <f>IFERROR(H365/B360,"")</f>
        <v>8.2513891079910948E-3</v>
      </c>
      <c r="J365" s="271">
        <v>0</v>
      </c>
      <c r="K365" s="193">
        <f>IFERROR(J365/B360,"")</f>
        <v>0</v>
      </c>
      <c r="L365" s="271">
        <v>0</v>
      </c>
      <c r="M365" s="272">
        <f>IFERROR(L365/B360,"")</f>
        <v>0</v>
      </c>
    </row>
    <row r="366" spans="1:13" ht="15.75" customHeight="1" thickBot="1">
      <c r="A366" s="278"/>
      <c r="B366" s="279"/>
      <c r="C366" s="279"/>
      <c r="D366" s="811"/>
      <c r="E366" s="280" t="s">
        <v>245</v>
      </c>
      <c r="F366" s="281">
        <v>6805.0356099999872</v>
      </c>
      <c r="G366" s="282">
        <f>IFERROR(F366/B361,"")</f>
        <v>7.0018281709101016E-2</v>
      </c>
      <c r="H366" s="281">
        <v>1638.3359999999791</v>
      </c>
      <c r="I366" s="282">
        <f>IFERROR(H366/B361,"")</f>
        <v>1.685714493743266E-2</v>
      </c>
      <c r="J366" s="281">
        <v>1600.1576799999741</v>
      </c>
      <c r="K366" s="282">
        <f>IFERROR(J366/B361,"")</f>
        <v>1.6464321076083234E-2</v>
      </c>
      <c r="L366" s="281">
        <v>0</v>
      </c>
      <c r="M366" s="283">
        <f>IFERROR(L366/B361,"")</f>
        <v>0</v>
      </c>
    </row>
  </sheetData>
  <mergeCells count="617">
    <mergeCell ref="A354:M355"/>
    <mergeCell ref="A357:A359"/>
    <mergeCell ref="B357:C358"/>
    <mergeCell ref="D357:D366"/>
    <mergeCell ref="E357:E359"/>
    <mergeCell ref="F357:G357"/>
    <mergeCell ref="H357:I357"/>
    <mergeCell ref="J357:K357"/>
    <mergeCell ref="L357:M357"/>
    <mergeCell ref="F358:G358"/>
    <mergeCell ref="H358:I358"/>
    <mergeCell ref="J358:K358"/>
    <mergeCell ref="L358:M358"/>
    <mergeCell ref="E362:E364"/>
    <mergeCell ref="F362:G362"/>
    <mergeCell ref="H362:I362"/>
    <mergeCell ref="J362:K362"/>
    <mergeCell ref="L362:M362"/>
    <mergeCell ref="F363:G363"/>
    <mergeCell ref="H363:I363"/>
    <mergeCell ref="J363:K363"/>
    <mergeCell ref="L363:M363"/>
    <mergeCell ref="A341:M342"/>
    <mergeCell ref="A344:A346"/>
    <mergeCell ref="B344:C345"/>
    <mergeCell ref="D344:D353"/>
    <mergeCell ref="E344:E346"/>
    <mergeCell ref="F344:G344"/>
    <mergeCell ref="H344:I344"/>
    <mergeCell ref="J344:K344"/>
    <mergeCell ref="L344:M344"/>
    <mergeCell ref="F345:G345"/>
    <mergeCell ref="H345:I345"/>
    <mergeCell ref="J345:K345"/>
    <mergeCell ref="L345:M345"/>
    <mergeCell ref="E349:E351"/>
    <mergeCell ref="F349:G349"/>
    <mergeCell ref="H349:I349"/>
    <mergeCell ref="J349:K349"/>
    <mergeCell ref="L349:M349"/>
    <mergeCell ref="F350:G350"/>
    <mergeCell ref="H350:I350"/>
    <mergeCell ref="J350:K350"/>
    <mergeCell ref="L350:M350"/>
    <mergeCell ref="A328:M329"/>
    <mergeCell ref="A331:A333"/>
    <mergeCell ref="B331:C332"/>
    <mergeCell ref="D331:D340"/>
    <mergeCell ref="E331:E333"/>
    <mergeCell ref="F331:G331"/>
    <mergeCell ref="H331:I331"/>
    <mergeCell ref="J331:K331"/>
    <mergeCell ref="L331:M331"/>
    <mergeCell ref="F332:G332"/>
    <mergeCell ref="H332:I332"/>
    <mergeCell ref="J332:K332"/>
    <mergeCell ref="L332:M332"/>
    <mergeCell ref="E336:E338"/>
    <mergeCell ref="F336:G336"/>
    <mergeCell ref="H336:I336"/>
    <mergeCell ref="J336:K336"/>
    <mergeCell ref="L336:M336"/>
    <mergeCell ref="F337:G337"/>
    <mergeCell ref="H337:I337"/>
    <mergeCell ref="J337:K337"/>
    <mergeCell ref="L337:M337"/>
    <mergeCell ref="A302:M303"/>
    <mergeCell ref="A305:A307"/>
    <mergeCell ref="B305:C306"/>
    <mergeCell ref="D305:D314"/>
    <mergeCell ref="E305:E307"/>
    <mergeCell ref="F305:G305"/>
    <mergeCell ref="H305:I305"/>
    <mergeCell ref="J305:K305"/>
    <mergeCell ref="L305:M305"/>
    <mergeCell ref="F306:G306"/>
    <mergeCell ref="H306:I306"/>
    <mergeCell ref="J306:K306"/>
    <mergeCell ref="L306:M306"/>
    <mergeCell ref="E310:E312"/>
    <mergeCell ref="F310:G310"/>
    <mergeCell ref="H310:I310"/>
    <mergeCell ref="J310:K310"/>
    <mergeCell ref="L310:M310"/>
    <mergeCell ref="F311:G311"/>
    <mergeCell ref="H311:I311"/>
    <mergeCell ref="J311:K311"/>
    <mergeCell ref="L311:M311"/>
    <mergeCell ref="A224:M225"/>
    <mergeCell ref="A227:A229"/>
    <mergeCell ref="B227:C228"/>
    <mergeCell ref="D227:D236"/>
    <mergeCell ref="E227:E229"/>
    <mergeCell ref="F227:G227"/>
    <mergeCell ref="H227:I227"/>
    <mergeCell ref="J227:K227"/>
    <mergeCell ref="L227:M227"/>
    <mergeCell ref="F228:G228"/>
    <mergeCell ref="H228:I228"/>
    <mergeCell ref="J228:K228"/>
    <mergeCell ref="L228:M228"/>
    <mergeCell ref="E232:E234"/>
    <mergeCell ref="F232:G232"/>
    <mergeCell ref="H232:I232"/>
    <mergeCell ref="J232:K232"/>
    <mergeCell ref="L232:M232"/>
    <mergeCell ref="F233:G233"/>
    <mergeCell ref="H233:I233"/>
    <mergeCell ref="J233:K233"/>
    <mergeCell ref="L233:M233"/>
    <mergeCell ref="A211:M212"/>
    <mergeCell ref="A214:A216"/>
    <mergeCell ref="B214:C215"/>
    <mergeCell ref="D214:D223"/>
    <mergeCell ref="E214:E216"/>
    <mergeCell ref="F214:G214"/>
    <mergeCell ref="H214:I214"/>
    <mergeCell ref="J214:K214"/>
    <mergeCell ref="L214:M214"/>
    <mergeCell ref="F215:G215"/>
    <mergeCell ref="H215:I215"/>
    <mergeCell ref="J215:K215"/>
    <mergeCell ref="L215:M215"/>
    <mergeCell ref="E219:E221"/>
    <mergeCell ref="F219:G219"/>
    <mergeCell ref="H219:I219"/>
    <mergeCell ref="J219:K219"/>
    <mergeCell ref="L219:M219"/>
    <mergeCell ref="F220:G220"/>
    <mergeCell ref="H220:I220"/>
    <mergeCell ref="J220:K220"/>
    <mergeCell ref="L220:M220"/>
    <mergeCell ref="A198:M199"/>
    <mergeCell ref="A201:A203"/>
    <mergeCell ref="B201:C202"/>
    <mergeCell ref="D201:D210"/>
    <mergeCell ref="E201:E203"/>
    <mergeCell ref="F201:G201"/>
    <mergeCell ref="H201:I201"/>
    <mergeCell ref="J201:K201"/>
    <mergeCell ref="L201:M201"/>
    <mergeCell ref="F202:G202"/>
    <mergeCell ref="H202:I202"/>
    <mergeCell ref="J202:K202"/>
    <mergeCell ref="L202:M202"/>
    <mergeCell ref="E206:E208"/>
    <mergeCell ref="F206:G206"/>
    <mergeCell ref="H206:I206"/>
    <mergeCell ref="J206:K206"/>
    <mergeCell ref="L206:M206"/>
    <mergeCell ref="F207:G207"/>
    <mergeCell ref="H207:I207"/>
    <mergeCell ref="J207:K207"/>
    <mergeCell ref="L207:M207"/>
    <mergeCell ref="A185:M186"/>
    <mergeCell ref="A188:A190"/>
    <mergeCell ref="B188:C189"/>
    <mergeCell ref="D188:D197"/>
    <mergeCell ref="E188:E190"/>
    <mergeCell ref="F188:G188"/>
    <mergeCell ref="H188:I188"/>
    <mergeCell ref="J188:K188"/>
    <mergeCell ref="L188:M188"/>
    <mergeCell ref="F189:G189"/>
    <mergeCell ref="H189:I189"/>
    <mergeCell ref="J189:K189"/>
    <mergeCell ref="L189:M189"/>
    <mergeCell ref="E193:E195"/>
    <mergeCell ref="F193:G193"/>
    <mergeCell ref="H193:I193"/>
    <mergeCell ref="J193:K193"/>
    <mergeCell ref="L193:M193"/>
    <mergeCell ref="F194:G194"/>
    <mergeCell ref="H194:I194"/>
    <mergeCell ref="J194:K194"/>
    <mergeCell ref="L194:M194"/>
    <mergeCell ref="A172:M173"/>
    <mergeCell ref="A175:A177"/>
    <mergeCell ref="B175:C176"/>
    <mergeCell ref="D175:D184"/>
    <mergeCell ref="E175:E177"/>
    <mergeCell ref="F175:G175"/>
    <mergeCell ref="H175:I175"/>
    <mergeCell ref="J175:K175"/>
    <mergeCell ref="L175:M175"/>
    <mergeCell ref="F176:G176"/>
    <mergeCell ref="H176:I176"/>
    <mergeCell ref="J176:K176"/>
    <mergeCell ref="L176:M176"/>
    <mergeCell ref="E180:E182"/>
    <mergeCell ref="F180:G180"/>
    <mergeCell ref="H180:I180"/>
    <mergeCell ref="J180:K180"/>
    <mergeCell ref="L180:M180"/>
    <mergeCell ref="F181:G181"/>
    <mergeCell ref="H181:I181"/>
    <mergeCell ref="J181:K181"/>
    <mergeCell ref="L181:M181"/>
    <mergeCell ref="A159:M160"/>
    <mergeCell ref="A162:A164"/>
    <mergeCell ref="B162:C163"/>
    <mergeCell ref="D162:D171"/>
    <mergeCell ref="E162:E164"/>
    <mergeCell ref="F162:G162"/>
    <mergeCell ref="H162:I162"/>
    <mergeCell ref="J162:K162"/>
    <mergeCell ref="L162:M162"/>
    <mergeCell ref="F163:G163"/>
    <mergeCell ref="H163:I163"/>
    <mergeCell ref="J163:K163"/>
    <mergeCell ref="L163:M163"/>
    <mergeCell ref="E167:E169"/>
    <mergeCell ref="F167:G167"/>
    <mergeCell ref="H167:I167"/>
    <mergeCell ref="J167:K167"/>
    <mergeCell ref="L167:M167"/>
    <mergeCell ref="F168:G168"/>
    <mergeCell ref="H168:I168"/>
    <mergeCell ref="J168:K168"/>
    <mergeCell ref="L168:M168"/>
    <mergeCell ref="A107:M108"/>
    <mergeCell ref="A110:A112"/>
    <mergeCell ref="B110:C111"/>
    <mergeCell ref="D110:D119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E115:E117"/>
    <mergeCell ref="F115:G115"/>
    <mergeCell ref="H115:I115"/>
    <mergeCell ref="J115:K115"/>
    <mergeCell ref="L115:M115"/>
    <mergeCell ref="F116:G116"/>
    <mergeCell ref="H116:I116"/>
    <mergeCell ref="J116:K116"/>
    <mergeCell ref="L116:M116"/>
    <mergeCell ref="A81:M82"/>
    <mergeCell ref="A84:A86"/>
    <mergeCell ref="B84:C85"/>
    <mergeCell ref="D84:D93"/>
    <mergeCell ref="E84:E86"/>
    <mergeCell ref="F84:G84"/>
    <mergeCell ref="H84:I84"/>
    <mergeCell ref="J84:K84"/>
    <mergeCell ref="L84:M84"/>
    <mergeCell ref="F85:G85"/>
    <mergeCell ref="H85:I85"/>
    <mergeCell ref="J85:K85"/>
    <mergeCell ref="L85:M85"/>
    <mergeCell ref="E89:E91"/>
    <mergeCell ref="F89:G89"/>
    <mergeCell ref="H89:I89"/>
    <mergeCell ref="J89:K89"/>
    <mergeCell ref="L89:M89"/>
    <mergeCell ref="F90:G90"/>
    <mergeCell ref="H90:I90"/>
    <mergeCell ref="J90:K90"/>
    <mergeCell ref="L90:M90"/>
    <mergeCell ref="J63:K63"/>
    <mergeCell ref="L63:M63"/>
    <mergeCell ref="F64:G64"/>
    <mergeCell ref="H64:I64"/>
    <mergeCell ref="J64:K64"/>
    <mergeCell ref="L64:M64"/>
    <mergeCell ref="A55:M56"/>
    <mergeCell ref="A58:A60"/>
    <mergeCell ref="B58:C59"/>
    <mergeCell ref="D58:D67"/>
    <mergeCell ref="E58:E60"/>
    <mergeCell ref="F58:G58"/>
    <mergeCell ref="H58:I58"/>
    <mergeCell ref="J58:K58"/>
    <mergeCell ref="L58:M58"/>
    <mergeCell ref="F59:G59"/>
    <mergeCell ref="H59:I59"/>
    <mergeCell ref="J59:K59"/>
    <mergeCell ref="L59:M59"/>
    <mergeCell ref="E63:E65"/>
    <mergeCell ref="F63:G63"/>
    <mergeCell ref="H63:I63"/>
    <mergeCell ref="J24:K24"/>
    <mergeCell ref="L24:M24"/>
    <mergeCell ref="F25:G25"/>
    <mergeCell ref="H25:I25"/>
    <mergeCell ref="J25:K25"/>
    <mergeCell ref="L25:M25"/>
    <mergeCell ref="A16:M17"/>
    <mergeCell ref="A19:A21"/>
    <mergeCell ref="B19:C20"/>
    <mergeCell ref="D19:D28"/>
    <mergeCell ref="E19:E21"/>
    <mergeCell ref="F19:G19"/>
    <mergeCell ref="H19:I19"/>
    <mergeCell ref="J19:K19"/>
    <mergeCell ref="L19:M19"/>
    <mergeCell ref="F20:G20"/>
    <mergeCell ref="H20:I20"/>
    <mergeCell ref="J20:K20"/>
    <mergeCell ref="L20:M20"/>
    <mergeCell ref="E24:E26"/>
    <mergeCell ref="F24:G24"/>
    <mergeCell ref="H24:I24"/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A29:M30"/>
    <mergeCell ref="A32:A34"/>
    <mergeCell ref="B32:C33"/>
    <mergeCell ref="D32:D41"/>
    <mergeCell ref="E32:E34"/>
    <mergeCell ref="F32:G32"/>
    <mergeCell ref="H32:I32"/>
    <mergeCell ref="J32:K32"/>
    <mergeCell ref="L32:M32"/>
    <mergeCell ref="F33:G33"/>
    <mergeCell ref="H33:I33"/>
    <mergeCell ref="J33:K33"/>
    <mergeCell ref="L33:M33"/>
    <mergeCell ref="E37:E39"/>
    <mergeCell ref="F37:G37"/>
    <mergeCell ref="H37:I37"/>
    <mergeCell ref="J37:K37"/>
    <mergeCell ref="L37:M37"/>
    <mergeCell ref="F38:G38"/>
    <mergeCell ref="H38:I38"/>
    <mergeCell ref="J38:K38"/>
    <mergeCell ref="L38:M38"/>
    <mergeCell ref="A42:M43"/>
    <mergeCell ref="A45:A47"/>
    <mergeCell ref="B45:C46"/>
    <mergeCell ref="D45:D54"/>
    <mergeCell ref="E45:E47"/>
    <mergeCell ref="F45:G45"/>
    <mergeCell ref="H45:I45"/>
    <mergeCell ref="J45:K45"/>
    <mergeCell ref="L45:M45"/>
    <mergeCell ref="F46:G46"/>
    <mergeCell ref="H46:I46"/>
    <mergeCell ref="J46:K46"/>
    <mergeCell ref="L46:M46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A68:M69"/>
    <mergeCell ref="A71:A73"/>
    <mergeCell ref="B71:C72"/>
    <mergeCell ref="D71:D80"/>
    <mergeCell ref="E71:E73"/>
    <mergeCell ref="F71:G71"/>
    <mergeCell ref="H71:I71"/>
    <mergeCell ref="J71:K71"/>
    <mergeCell ref="L71:M71"/>
    <mergeCell ref="F72:G72"/>
    <mergeCell ref="H72:I72"/>
    <mergeCell ref="J72:K72"/>
    <mergeCell ref="L72:M72"/>
    <mergeCell ref="E76:E78"/>
    <mergeCell ref="F76:G76"/>
    <mergeCell ref="H76:I76"/>
    <mergeCell ref="J76:K76"/>
    <mergeCell ref="L76:M76"/>
    <mergeCell ref="F77:G77"/>
    <mergeCell ref="H77:I77"/>
    <mergeCell ref="J77:K77"/>
    <mergeCell ref="L77:M77"/>
    <mergeCell ref="A94:M95"/>
    <mergeCell ref="A97:A99"/>
    <mergeCell ref="B97:C98"/>
    <mergeCell ref="D97:D106"/>
    <mergeCell ref="E97:E99"/>
    <mergeCell ref="F97:G97"/>
    <mergeCell ref="H97:I97"/>
    <mergeCell ref="J97:K97"/>
    <mergeCell ref="L97:M97"/>
    <mergeCell ref="F98:G98"/>
    <mergeCell ref="H98:I98"/>
    <mergeCell ref="J98:K98"/>
    <mergeCell ref="L98:M98"/>
    <mergeCell ref="E102:E104"/>
    <mergeCell ref="F102:G102"/>
    <mergeCell ref="H102:I102"/>
    <mergeCell ref="J102:K102"/>
    <mergeCell ref="L102:M102"/>
    <mergeCell ref="F103:G103"/>
    <mergeCell ref="H103:I103"/>
    <mergeCell ref="J103:K103"/>
    <mergeCell ref="L103:M103"/>
    <mergeCell ref="A120:M121"/>
    <mergeCell ref="A123:A125"/>
    <mergeCell ref="B123:C124"/>
    <mergeCell ref="D123:D132"/>
    <mergeCell ref="E123:E125"/>
    <mergeCell ref="F123:G123"/>
    <mergeCell ref="H123:I123"/>
    <mergeCell ref="J123:K123"/>
    <mergeCell ref="L123:M123"/>
    <mergeCell ref="F124:G124"/>
    <mergeCell ref="H124:I124"/>
    <mergeCell ref="J124:K124"/>
    <mergeCell ref="L124:M124"/>
    <mergeCell ref="E128:E130"/>
    <mergeCell ref="F128:G128"/>
    <mergeCell ref="H128:I128"/>
    <mergeCell ref="J128:K128"/>
    <mergeCell ref="L128:M128"/>
    <mergeCell ref="F129:G129"/>
    <mergeCell ref="H129:I129"/>
    <mergeCell ref="J129:K129"/>
    <mergeCell ref="L129:M129"/>
    <mergeCell ref="A133:M134"/>
    <mergeCell ref="A136:A138"/>
    <mergeCell ref="B136:C137"/>
    <mergeCell ref="D136:D145"/>
    <mergeCell ref="E136:E138"/>
    <mergeCell ref="F136:G136"/>
    <mergeCell ref="H136:I136"/>
    <mergeCell ref="J136:K136"/>
    <mergeCell ref="L136:M136"/>
    <mergeCell ref="F137:G137"/>
    <mergeCell ref="H137:I137"/>
    <mergeCell ref="J137:K137"/>
    <mergeCell ref="L137:M137"/>
    <mergeCell ref="E141:E143"/>
    <mergeCell ref="F141:G141"/>
    <mergeCell ref="H141:I141"/>
    <mergeCell ref="J141:K141"/>
    <mergeCell ref="L141:M141"/>
    <mergeCell ref="F142:G142"/>
    <mergeCell ref="H142:I142"/>
    <mergeCell ref="J142:K142"/>
    <mergeCell ref="L142:M142"/>
    <mergeCell ref="A146:M147"/>
    <mergeCell ref="A149:A151"/>
    <mergeCell ref="B149:C150"/>
    <mergeCell ref="D149:D158"/>
    <mergeCell ref="E149:E151"/>
    <mergeCell ref="F149:G149"/>
    <mergeCell ref="H149:I149"/>
    <mergeCell ref="J149:K149"/>
    <mergeCell ref="L149:M149"/>
    <mergeCell ref="F150:G150"/>
    <mergeCell ref="H150:I150"/>
    <mergeCell ref="J150:K150"/>
    <mergeCell ref="L150:M150"/>
    <mergeCell ref="E154:E156"/>
    <mergeCell ref="F154:G154"/>
    <mergeCell ref="H154:I154"/>
    <mergeCell ref="J154:K154"/>
    <mergeCell ref="L154:M154"/>
    <mergeCell ref="F155:G155"/>
    <mergeCell ref="H155:I155"/>
    <mergeCell ref="J155:K155"/>
    <mergeCell ref="L155:M155"/>
    <mergeCell ref="A237:M238"/>
    <mergeCell ref="A240:A242"/>
    <mergeCell ref="B240:C241"/>
    <mergeCell ref="D240:D249"/>
    <mergeCell ref="E240:E242"/>
    <mergeCell ref="F240:G240"/>
    <mergeCell ref="H240:I240"/>
    <mergeCell ref="J240:K240"/>
    <mergeCell ref="L240:M240"/>
    <mergeCell ref="F241:G241"/>
    <mergeCell ref="H241:I241"/>
    <mergeCell ref="J241:K241"/>
    <mergeCell ref="L241:M241"/>
    <mergeCell ref="E245:E247"/>
    <mergeCell ref="F245:G245"/>
    <mergeCell ref="H245:I245"/>
    <mergeCell ref="J245:K245"/>
    <mergeCell ref="L245:M245"/>
    <mergeCell ref="F246:G246"/>
    <mergeCell ref="H246:I246"/>
    <mergeCell ref="J246:K246"/>
    <mergeCell ref="L246:M246"/>
    <mergeCell ref="A250:M251"/>
    <mergeCell ref="A253:A255"/>
    <mergeCell ref="B253:C254"/>
    <mergeCell ref="D253:D262"/>
    <mergeCell ref="E253:E255"/>
    <mergeCell ref="F253:G253"/>
    <mergeCell ref="H253:I253"/>
    <mergeCell ref="J253:K253"/>
    <mergeCell ref="L253:M253"/>
    <mergeCell ref="F254:G254"/>
    <mergeCell ref="H254:I254"/>
    <mergeCell ref="J254:K254"/>
    <mergeCell ref="L254:M254"/>
    <mergeCell ref="E258:E260"/>
    <mergeCell ref="F258:G258"/>
    <mergeCell ref="H258:I258"/>
    <mergeCell ref="J258:K258"/>
    <mergeCell ref="L258:M258"/>
    <mergeCell ref="F259:G259"/>
    <mergeCell ref="H259:I259"/>
    <mergeCell ref="J259:K259"/>
    <mergeCell ref="L259:M259"/>
    <mergeCell ref="A263:M264"/>
    <mergeCell ref="A266:A268"/>
    <mergeCell ref="B266:C267"/>
    <mergeCell ref="D266:D275"/>
    <mergeCell ref="E266:E268"/>
    <mergeCell ref="F266:G266"/>
    <mergeCell ref="H266:I266"/>
    <mergeCell ref="J266:K266"/>
    <mergeCell ref="L266:M266"/>
    <mergeCell ref="F267:G267"/>
    <mergeCell ref="H267:I267"/>
    <mergeCell ref="J267:K267"/>
    <mergeCell ref="L267:M267"/>
    <mergeCell ref="E271:E273"/>
    <mergeCell ref="F271:G271"/>
    <mergeCell ref="H271:I271"/>
    <mergeCell ref="J271:K271"/>
    <mergeCell ref="L271:M271"/>
    <mergeCell ref="F272:G272"/>
    <mergeCell ref="H272:I272"/>
    <mergeCell ref="J272:K272"/>
    <mergeCell ref="L272:M272"/>
    <mergeCell ref="A276:M277"/>
    <mergeCell ref="A279:A281"/>
    <mergeCell ref="B279:C280"/>
    <mergeCell ref="D279:D288"/>
    <mergeCell ref="E279:E281"/>
    <mergeCell ref="F279:G279"/>
    <mergeCell ref="H279:I279"/>
    <mergeCell ref="J279:K279"/>
    <mergeCell ref="L279:M279"/>
    <mergeCell ref="F280:G280"/>
    <mergeCell ref="H280:I280"/>
    <mergeCell ref="J280:K280"/>
    <mergeCell ref="L280:M280"/>
    <mergeCell ref="E284:E286"/>
    <mergeCell ref="F284:G284"/>
    <mergeCell ref="H284:I284"/>
    <mergeCell ref="J284:K284"/>
    <mergeCell ref="L284:M284"/>
    <mergeCell ref="F285:G285"/>
    <mergeCell ref="H285:I285"/>
    <mergeCell ref="J285:K285"/>
    <mergeCell ref="L285:M285"/>
    <mergeCell ref="A289:M290"/>
    <mergeCell ref="A292:A294"/>
    <mergeCell ref="B292:C293"/>
    <mergeCell ref="D292:D301"/>
    <mergeCell ref="E292:E294"/>
    <mergeCell ref="F292:G292"/>
    <mergeCell ref="H292:I292"/>
    <mergeCell ref="J292:K292"/>
    <mergeCell ref="L292:M292"/>
    <mergeCell ref="F293:G293"/>
    <mergeCell ref="H293:I293"/>
    <mergeCell ref="J293:K293"/>
    <mergeCell ref="L293:M293"/>
    <mergeCell ref="E297:E299"/>
    <mergeCell ref="F297:G297"/>
    <mergeCell ref="H297:I297"/>
    <mergeCell ref="J297:K297"/>
    <mergeCell ref="L297:M297"/>
    <mergeCell ref="F298:G298"/>
    <mergeCell ref="H298:I298"/>
    <mergeCell ref="J298:K298"/>
    <mergeCell ref="L298:M298"/>
    <mergeCell ref="A315:M316"/>
    <mergeCell ref="A318:A320"/>
    <mergeCell ref="B318:C319"/>
    <mergeCell ref="D318:D327"/>
    <mergeCell ref="E318:E320"/>
    <mergeCell ref="F318:G318"/>
    <mergeCell ref="H318:I318"/>
    <mergeCell ref="J318:K318"/>
    <mergeCell ref="L318:M318"/>
    <mergeCell ref="F319:G319"/>
    <mergeCell ref="H319:I319"/>
    <mergeCell ref="J319:K319"/>
    <mergeCell ref="L319:M319"/>
    <mergeCell ref="E323:E325"/>
    <mergeCell ref="F323:G323"/>
    <mergeCell ref="H323:I323"/>
    <mergeCell ref="J323:K323"/>
    <mergeCell ref="L323:M323"/>
    <mergeCell ref="F324:G324"/>
    <mergeCell ref="H324:I324"/>
    <mergeCell ref="J324:K324"/>
    <mergeCell ref="L324:M324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topLeftCell="A4" zoomScale="115" zoomScaleNormal="60" zoomScaleSheetLayoutView="115" workbookViewId="0">
      <selection activeCell="M22" sqref="M22"/>
    </sheetView>
  </sheetViews>
  <sheetFormatPr defaultColWidth="12.5703125" defaultRowHeight="15.75" customHeight="1"/>
  <cols>
    <col min="1" max="1" width="5.42578125" style="120" customWidth="1"/>
    <col min="2" max="2" width="11.42578125" style="175" customWidth="1"/>
    <col min="3" max="3" width="4" style="161" customWidth="1"/>
    <col min="4" max="17" width="9.5703125" style="120" customWidth="1"/>
    <col min="18" max="16384" width="12.5703125" style="120"/>
  </cols>
  <sheetData>
    <row r="1" spans="1:17" ht="15.75" customHeight="1">
      <c r="A1" s="605" t="s">
        <v>204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</row>
    <row r="2" spans="1:17" s="121" customFormat="1" ht="15.75" customHeight="1">
      <c r="A2" s="605"/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5"/>
    </row>
    <row r="3" spans="1:17" ht="15.75" customHeight="1">
      <c r="A3" s="750" t="s">
        <v>210</v>
      </c>
      <c r="B3" s="751"/>
      <c r="C3" s="751"/>
      <c r="D3" s="751"/>
      <c r="E3" s="751"/>
      <c r="F3" s="751"/>
      <c r="G3" s="751"/>
      <c r="H3" s="751"/>
      <c r="I3" s="751"/>
      <c r="J3" s="751"/>
      <c r="K3" s="751"/>
      <c r="L3" s="751"/>
      <c r="M3" s="751"/>
      <c r="N3" s="152"/>
    </row>
    <row r="4" spans="1:17" s="121" customFormat="1" ht="15.75" customHeight="1">
      <c r="A4" s="751"/>
      <c r="B4" s="751"/>
      <c r="C4" s="751"/>
      <c r="D4" s="751"/>
      <c r="E4" s="751"/>
      <c r="F4" s="751"/>
      <c r="G4" s="751"/>
      <c r="H4" s="751"/>
      <c r="I4" s="751"/>
      <c r="J4" s="751"/>
      <c r="K4" s="751"/>
      <c r="L4" s="751"/>
      <c r="M4" s="751"/>
      <c r="N4" s="131"/>
    </row>
    <row r="5" spans="1:17" ht="15.75" customHeight="1">
      <c r="A5" s="624" t="s">
        <v>190</v>
      </c>
      <c r="B5" s="854">
        <v>1</v>
      </c>
      <c r="C5" s="854"/>
      <c r="D5" s="854">
        <v>2</v>
      </c>
      <c r="E5" s="854"/>
      <c r="F5" s="854">
        <v>3</v>
      </c>
      <c r="G5" s="854"/>
      <c r="H5" s="850">
        <v>4</v>
      </c>
      <c r="I5" s="850"/>
      <c r="J5" s="850">
        <v>5</v>
      </c>
      <c r="K5" s="850"/>
      <c r="L5" s="850">
        <v>6</v>
      </c>
      <c r="M5" s="850"/>
      <c r="N5" s="850">
        <v>7</v>
      </c>
      <c r="O5" s="850"/>
      <c r="P5" s="850">
        <v>8</v>
      </c>
      <c r="Q5" s="850"/>
    </row>
    <row r="6" spans="1:17" ht="15.75" customHeight="1">
      <c r="A6" s="624"/>
      <c r="B6" s="855" t="s">
        <v>321</v>
      </c>
      <c r="C6" s="855"/>
      <c r="D6" s="855" t="s">
        <v>211</v>
      </c>
      <c r="E6" s="855"/>
      <c r="F6" s="855" t="s">
        <v>164</v>
      </c>
      <c r="G6" s="855"/>
      <c r="H6" s="624" t="s">
        <v>709</v>
      </c>
      <c r="I6" s="624"/>
      <c r="J6" s="624" t="s">
        <v>188</v>
      </c>
      <c r="K6" s="624"/>
      <c r="L6" s="624" t="s">
        <v>165</v>
      </c>
      <c r="M6" s="624"/>
      <c r="N6" s="624" t="s">
        <v>189</v>
      </c>
      <c r="O6" s="624"/>
      <c r="P6" s="853" t="s">
        <v>214</v>
      </c>
      <c r="Q6" s="624"/>
    </row>
    <row r="8" spans="1:17" s="154" customFormat="1" ht="15.75" customHeight="1">
      <c r="A8" s="843" t="s">
        <v>1009</v>
      </c>
      <c r="B8" s="844"/>
      <c r="C8" s="577" t="s">
        <v>1010</v>
      </c>
      <c r="D8" s="845" t="s">
        <v>12</v>
      </c>
      <c r="E8" s="846"/>
      <c r="F8" s="847"/>
      <c r="G8" s="575" t="s">
        <v>1011</v>
      </c>
      <c r="H8" s="576"/>
      <c r="I8" s="577"/>
      <c r="J8" s="170" t="s">
        <v>1012</v>
      </c>
      <c r="K8" s="170" t="s">
        <v>1013</v>
      </c>
      <c r="L8" s="170" t="s">
        <v>1014</v>
      </c>
      <c r="M8" s="170" t="s">
        <v>11</v>
      </c>
      <c r="N8" s="372" t="s">
        <v>1015</v>
      </c>
      <c r="O8" s="848" t="s">
        <v>1005</v>
      </c>
      <c r="P8" s="849"/>
    </row>
    <row r="9" spans="1:17" ht="15.75" customHeight="1">
      <c r="A9" s="767">
        <v>1</v>
      </c>
      <c r="B9" s="830" t="s">
        <v>1016</v>
      </c>
      <c r="C9" s="171">
        <v>1</v>
      </c>
      <c r="D9" s="578">
        <v>0</v>
      </c>
      <c r="E9" s="833"/>
      <c r="F9" s="834"/>
      <c r="G9" s="578">
        <v>0</v>
      </c>
      <c r="H9" s="833"/>
      <c r="I9" s="834"/>
      <c r="J9" s="4">
        <v>0</v>
      </c>
      <c r="K9" s="14">
        <v>0</v>
      </c>
      <c r="L9" s="4">
        <v>0</v>
      </c>
      <c r="M9" s="16">
        <v>0</v>
      </c>
      <c r="N9" s="172"/>
      <c r="O9" s="841"/>
      <c r="P9" s="842"/>
    </row>
    <row r="10" spans="1:17" ht="15.75" customHeight="1">
      <c r="A10" s="772"/>
      <c r="B10" s="831"/>
      <c r="C10" s="171">
        <v>2</v>
      </c>
      <c r="D10" s="578">
        <v>0</v>
      </c>
      <c r="E10" s="833"/>
      <c r="F10" s="834"/>
      <c r="G10" s="578">
        <v>0</v>
      </c>
      <c r="H10" s="833"/>
      <c r="I10" s="834"/>
      <c r="J10" s="4">
        <v>0</v>
      </c>
      <c r="K10" s="14">
        <v>0</v>
      </c>
      <c r="L10" s="4">
        <v>0</v>
      </c>
      <c r="M10" s="16">
        <v>0</v>
      </c>
      <c r="N10" s="172"/>
      <c r="O10" s="841"/>
      <c r="P10" s="842"/>
    </row>
    <row r="11" spans="1:17" ht="15.75" customHeight="1">
      <c r="A11" s="772"/>
      <c r="B11" s="831"/>
      <c r="C11" s="171">
        <v>3</v>
      </c>
      <c r="D11" s="578">
        <v>0</v>
      </c>
      <c r="E11" s="833"/>
      <c r="F11" s="834"/>
      <c r="G11" s="578">
        <v>0</v>
      </c>
      <c r="H11" s="833"/>
      <c r="I11" s="834"/>
      <c r="J11" s="4">
        <v>0</v>
      </c>
      <c r="K11" s="14">
        <v>0</v>
      </c>
      <c r="L11" s="4">
        <v>0</v>
      </c>
      <c r="M11" s="16">
        <v>0</v>
      </c>
      <c r="N11" s="172"/>
      <c r="O11" s="841"/>
      <c r="P11" s="842"/>
    </row>
    <row r="12" spans="1:17" ht="15.75" customHeight="1">
      <c r="A12" s="772"/>
      <c r="B12" s="831"/>
      <c r="C12" s="171">
        <v>4</v>
      </c>
      <c r="D12" s="578">
        <v>0</v>
      </c>
      <c r="E12" s="833"/>
      <c r="F12" s="834"/>
      <c r="G12" s="578">
        <v>0</v>
      </c>
      <c r="H12" s="833"/>
      <c r="I12" s="834"/>
      <c r="J12" s="4">
        <v>0</v>
      </c>
      <c r="K12" s="14">
        <v>0</v>
      </c>
      <c r="L12" s="4">
        <v>0</v>
      </c>
      <c r="M12" s="16">
        <v>0</v>
      </c>
      <c r="N12" s="172"/>
      <c r="O12" s="841"/>
      <c r="P12" s="842"/>
    </row>
    <row r="13" spans="1:17" ht="15.75" customHeight="1" thickBot="1">
      <c r="A13" s="772"/>
      <c r="B13" s="831"/>
      <c r="C13" s="173">
        <v>5</v>
      </c>
      <c r="D13" s="838">
        <v>0</v>
      </c>
      <c r="E13" s="839"/>
      <c r="F13" s="840"/>
      <c r="G13" s="838">
        <v>0</v>
      </c>
      <c r="H13" s="839"/>
      <c r="I13" s="840"/>
      <c r="J13" s="4">
        <v>0</v>
      </c>
      <c r="K13" s="14">
        <v>0</v>
      </c>
      <c r="L13" s="4">
        <v>0</v>
      </c>
      <c r="M13" s="16">
        <v>0</v>
      </c>
      <c r="N13" s="174"/>
      <c r="O13" s="851"/>
      <c r="P13" s="852"/>
    </row>
    <row r="14" spans="1:17" ht="15.75" customHeight="1" thickTop="1" thickBot="1">
      <c r="A14" s="768"/>
      <c r="B14" s="832"/>
      <c r="C14" s="824"/>
      <c r="D14" s="825"/>
      <c r="E14" s="825"/>
      <c r="F14" s="825"/>
      <c r="G14" s="825"/>
      <c r="H14" s="825"/>
      <c r="I14" s="826"/>
      <c r="J14" s="370" t="s">
        <v>1017</v>
      </c>
      <c r="K14" s="246">
        <v>0</v>
      </c>
      <c r="L14" s="370" t="s">
        <v>1018</v>
      </c>
      <c r="M14" s="248">
        <v>0</v>
      </c>
      <c r="N14" s="827"/>
      <c r="O14" s="828"/>
      <c r="P14" s="829"/>
    </row>
    <row r="15" spans="1:17" ht="15.75" customHeight="1" thickTop="1"/>
    <row r="16" spans="1:17" ht="15.75" customHeight="1">
      <c r="A16" s="843" t="s">
        <v>1009</v>
      </c>
      <c r="B16" s="844"/>
      <c r="C16" s="577" t="s">
        <v>1010</v>
      </c>
      <c r="D16" s="845" t="s">
        <v>12</v>
      </c>
      <c r="E16" s="846"/>
      <c r="F16" s="847"/>
      <c r="G16" s="575" t="s">
        <v>1011</v>
      </c>
      <c r="H16" s="576"/>
      <c r="I16" s="577"/>
      <c r="J16" s="170" t="s">
        <v>1012</v>
      </c>
      <c r="K16" s="170" t="s">
        <v>1013</v>
      </c>
      <c r="L16" s="170" t="s">
        <v>1014</v>
      </c>
      <c r="M16" s="170" t="s">
        <v>11</v>
      </c>
      <c r="N16" s="372" t="s">
        <v>1015</v>
      </c>
      <c r="O16" s="848" t="s">
        <v>1005</v>
      </c>
      <c r="P16" s="849"/>
    </row>
    <row r="17" spans="1:16" ht="15.75" customHeight="1">
      <c r="A17" s="767">
        <v>2</v>
      </c>
      <c r="B17" s="830" t="s">
        <v>1019</v>
      </c>
      <c r="C17" s="171">
        <v>1</v>
      </c>
      <c r="D17" s="578" t="s">
        <v>780</v>
      </c>
      <c r="E17" s="833"/>
      <c r="F17" s="834"/>
      <c r="G17" s="578" t="s">
        <v>1020</v>
      </c>
      <c r="H17" s="833"/>
      <c r="I17" s="834"/>
      <c r="J17" s="373">
        <v>278.12</v>
      </c>
      <c r="K17" s="14">
        <v>1.8982536066818531E-2</v>
      </c>
      <c r="L17" s="4">
        <v>0.60000000000000009</v>
      </c>
      <c r="M17" s="339">
        <v>166.87200000000001</v>
      </c>
      <c r="N17" s="172"/>
      <c r="O17" s="841" t="s">
        <v>714</v>
      </c>
      <c r="P17" s="842"/>
    </row>
    <row r="18" spans="1:16" ht="15.75" customHeight="1">
      <c r="A18" s="772"/>
      <c r="B18" s="831"/>
      <c r="C18" s="171">
        <v>2</v>
      </c>
      <c r="D18" s="578" t="s">
        <v>396</v>
      </c>
      <c r="E18" s="833"/>
      <c r="F18" s="834"/>
      <c r="G18" s="578" t="s">
        <v>1021</v>
      </c>
      <c r="H18" s="833"/>
      <c r="I18" s="834"/>
      <c r="J18" s="373">
        <v>394.38</v>
      </c>
      <c r="K18" s="14">
        <v>3.316749585406302E-2</v>
      </c>
      <c r="L18" s="4">
        <v>0.4</v>
      </c>
      <c r="M18" s="339">
        <v>157.75200000000001</v>
      </c>
      <c r="N18" s="172"/>
      <c r="O18" s="841" t="s">
        <v>714</v>
      </c>
      <c r="P18" s="842"/>
    </row>
    <row r="19" spans="1:16" ht="15.75" customHeight="1">
      <c r="A19" s="772"/>
      <c r="B19" s="831"/>
      <c r="C19" s="171">
        <v>3</v>
      </c>
      <c r="D19" s="578" t="s">
        <v>383</v>
      </c>
      <c r="E19" s="833"/>
      <c r="F19" s="834"/>
      <c r="G19" s="578" t="s">
        <v>986</v>
      </c>
      <c r="H19" s="833"/>
      <c r="I19" s="834"/>
      <c r="J19" s="373">
        <v>70.95</v>
      </c>
      <c r="K19" s="14">
        <v>2.9645600323406553E-2</v>
      </c>
      <c r="L19" s="4">
        <v>2.2000000000000002</v>
      </c>
      <c r="M19" s="339">
        <v>156.09000000000003</v>
      </c>
      <c r="N19" s="172"/>
      <c r="O19" s="841" t="s">
        <v>714</v>
      </c>
      <c r="P19" s="842"/>
    </row>
    <row r="20" spans="1:16" ht="15.75" customHeight="1">
      <c r="A20" s="772"/>
      <c r="B20" s="831"/>
      <c r="C20" s="171">
        <v>4</v>
      </c>
      <c r="D20" s="578" t="s">
        <v>809</v>
      </c>
      <c r="E20" s="833"/>
      <c r="F20" s="834"/>
      <c r="G20" s="578" t="s">
        <v>1022</v>
      </c>
      <c r="H20" s="833"/>
      <c r="I20" s="834"/>
      <c r="J20" s="373">
        <v>311.47000000000003</v>
      </c>
      <c r="K20" s="14">
        <v>0.33333333333333331</v>
      </c>
      <c r="L20" s="4">
        <v>0.5</v>
      </c>
      <c r="M20" s="339">
        <v>155.73500000000001</v>
      </c>
      <c r="N20" s="172"/>
      <c r="O20" s="841" t="s">
        <v>714</v>
      </c>
      <c r="P20" s="842"/>
    </row>
    <row r="21" spans="1:16" ht="15.75" customHeight="1" thickBot="1">
      <c r="A21" s="772"/>
      <c r="B21" s="831"/>
      <c r="C21" s="173">
        <v>5</v>
      </c>
      <c r="D21" s="578" t="s">
        <v>376</v>
      </c>
      <c r="E21" s="833"/>
      <c r="F21" s="834"/>
      <c r="G21" s="578" t="s">
        <v>985</v>
      </c>
      <c r="H21" s="833"/>
      <c r="I21" s="834"/>
      <c r="J21" s="373">
        <v>354.37</v>
      </c>
      <c r="K21" s="14">
        <v>2.7238678924072182E-2</v>
      </c>
      <c r="L21" s="4">
        <v>0.4</v>
      </c>
      <c r="M21" s="339">
        <v>141.74800000000002</v>
      </c>
      <c r="N21" s="174"/>
      <c r="O21" s="841" t="s">
        <v>714</v>
      </c>
      <c r="P21" s="842"/>
    </row>
    <row r="22" spans="1:16" ht="15.75" customHeight="1" thickTop="1" thickBot="1">
      <c r="A22" s="768"/>
      <c r="B22" s="832"/>
      <c r="C22" s="835"/>
      <c r="D22" s="836"/>
      <c r="E22" s="836"/>
      <c r="F22" s="836"/>
      <c r="G22" s="836"/>
      <c r="H22" s="836"/>
      <c r="I22" s="837"/>
      <c r="J22" s="370" t="s">
        <v>1017</v>
      </c>
      <c r="K22" s="246">
        <v>6.820187200925489E-3</v>
      </c>
      <c r="L22" s="370" t="s">
        <v>1018</v>
      </c>
      <c r="M22" s="248">
        <v>778.19700000000012</v>
      </c>
      <c r="N22" s="827"/>
      <c r="O22" s="828"/>
      <c r="P22" s="829"/>
    </row>
    <row r="23" spans="1:16" ht="15.75" customHeight="1" thickTop="1"/>
    <row r="24" spans="1:16" ht="15.75" customHeight="1">
      <c r="A24" s="843" t="s">
        <v>1009</v>
      </c>
      <c r="B24" s="844"/>
      <c r="C24" s="577" t="s">
        <v>1010</v>
      </c>
      <c r="D24" s="845" t="s">
        <v>12</v>
      </c>
      <c r="E24" s="846"/>
      <c r="F24" s="847"/>
      <c r="G24" s="575" t="s">
        <v>1011</v>
      </c>
      <c r="H24" s="576"/>
      <c r="I24" s="577"/>
      <c r="J24" s="170" t="s">
        <v>1012</v>
      </c>
      <c r="K24" s="170" t="s">
        <v>1013</v>
      </c>
      <c r="L24" s="170" t="s">
        <v>1014</v>
      </c>
      <c r="M24" s="170" t="s">
        <v>11</v>
      </c>
      <c r="N24" s="372" t="s">
        <v>1015</v>
      </c>
      <c r="O24" s="848" t="s">
        <v>1005</v>
      </c>
      <c r="P24" s="849"/>
    </row>
    <row r="25" spans="1:16" ht="15.75" customHeight="1">
      <c r="A25" s="767">
        <v>3</v>
      </c>
      <c r="B25" s="830" t="s">
        <v>1023</v>
      </c>
      <c r="C25" s="171">
        <v>1</v>
      </c>
      <c r="D25" s="578" t="s">
        <v>830</v>
      </c>
      <c r="E25" s="833"/>
      <c r="F25" s="834"/>
      <c r="G25" s="578" t="s">
        <v>948</v>
      </c>
      <c r="H25" s="833"/>
      <c r="I25" s="834"/>
      <c r="J25" s="373">
        <v>240.51</v>
      </c>
      <c r="K25" s="14">
        <v>1.4855687606112056E-2</v>
      </c>
      <c r="L25" s="4">
        <v>0.70000000000000007</v>
      </c>
      <c r="M25" s="339">
        <v>168.357</v>
      </c>
      <c r="N25" s="172"/>
      <c r="O25" s="841" t="s">
        <v>1024</v>
      </c>
      <c r="P25" s="842"/>
    </row>
    <row r="26" spans="1:16" ht="15.75" customHeight="1">
      <c r="A26" s="772"/>
      <c r="B26" s="831"/>
      <c r="C26" s="171">
        <v>2</v>
      </c>
      <c r="D26" s="578" t="s">
        <v>780</v>
      </c>
      <c r="E26" s="833"/>
      <c r="F26" s="834"/>
      <c r="G26" s="578" t="s">
        <v>783</v>
      </c>
      <c r="H26" s="833"/>
      <c r="I26" s="834"/>
      <c r="J26" s="373">
        <v>103.97</v>
      </c>
      <c r="K26" s="14">
        <v>1.5873015873015872E-2</v>
      </c>
      <c r="L26" s="4">
        <v>1.5</v>
      </c>
      <c r="M26" s="339">
        <v>155.95499999999998</v>
      </c>
      <c r="N26" s="172"/>
      <c r="O26" s="841" t="s">
        <v>1024</v>
      </c>
      <c r="P26" s="842"/>
    </row>
    <row r="27" spans="1:16" ht="15.75" customHeight="1">
      <c r="A27" s="772"/>
      <c r="B27" s="831"/>
      <c r="C27" s="171">
        <v>3</v>
      </c>
      <c r="D27" s="578" t="s">
        <v>349</v>
      </c>
      <c r="E27" s="833"/>
      <c r="F27" s="834"/>
      <c r="G27" s="578" t="s">
        <v>409</v>
      </c>
      <c r="H27" s="833"/>
      <c r="I27" s="834"/>
      <c r="J27" s="373">
        <v>127.48</v>
      </c>
      <c r="K27" s="14">
        <v>1.1382931294523861E-2</v>
      </c>
      <c r="L27" s="4">
        <v>1.2</v>
      </c>
      <c r="M27" s="339">
        <v>152.976</v>
      </c>
      <c r="N27" s="172"/>
      <c r="O27" s="841" t="s">
        <v>1024</v>
      </c>
      <c r="P27" s="842"/>
    </row>
    <row r="28" spans="1:16" ht="15.75" customHeight="1">
      <c r="A28" s="772"/>
      <c r="B28" s="831"/>
      <c r="C28" s="171">
        <v>4</v>
      </c>
      <c r="D28" s="578" t="s">
        <v>812</v>
      </c>
      <c r="E28" s="833"/>
      <c r="F28" s="834"/>
      <c r="G28" s="578" t="s">
        <v>921</v>
      </c>
      <c r="H28" s="833"/>
      <c r="I28" s="834"/>
      <c r="J28" s="373">
        <v>462.04</v>
      </c>
      <c r="K28" s="14">
        <v>2.1834061135371178E-2</v>
      </c>
      <c r="L28" s="4">
        <v>0.3</v>
      </c>
      <c r="M28" s="339">
        <v>138.61199999999999</v>
      </c>
      <c r="N28" s="172"/>
      <c r="O28" s="841" t="s">
        <v>1024</v>
      </c>
      <c r="P28" s="842"/>
    </row>
    <row r="29" spans="1:16" ht="15.75" customHeight="1" thickBot="1">
      <c r="A29" s="772"/>
      <c r="B29" s="831"/>
      <c r="C29" s="173">
        <v>5</v>
      </c>
      <c r="D29" s="838" t="s">
        <v>816</v>
      </c>
      <c r="E29" s="839"/>
      <c r="F29" s="840"/>
      <c r="G29" s="838" t="s">
        <v>818</v>
      </c>
      <c r="H29" s="839"/>
      <c r="I29" s="840"/>
      <c r="J29" s="373">
        <v>105.09</v>
      </c>
      <c r="K29" s="14">
        <v>1.7793594306049824E-2</v>
      </c>
      <c r="L29" s="4">
        <v>1.3</v>
      </c>
      <c r="M29" s="339">
        <v>136.61700000000002</v>
      </c>
      <c r="N29" s="174"/>
      <c r="O29" s="841" t="s">
        <v>1024</v>
      </c>
      <c r="P29" s="842"/>
    </row>
    <row r="30" spans="1:16" ht="15.75" customHeight="1" thickTop="1" thickBot="1">
      <c r="A30" s="768"/>
      <c r="B30" s="832"/>
      <c r="C30" s="824"/>
      <c r="D30" s="825"/>
      <c r="E30" s="825"/>
      <c r="F30" s="825"/>
      <c r="G30" s="825"/>
      <c r="H30" s="825"/>
      <c r="I30" s="826"/>
      <c r="J30" s="370" t="s">
        <v>1017</v>
      </c>
      <c r="K30" s="246">
        <v>6.5951254141031713E-3</v>
      </c>
      <c r="L30" s="370" t="s">
        <v>1018</v>
      </c>
      <c r="M30" s="248">
        <v>752.51700000000005</v>
      </c>
      <c r="N30" s="827"/>
      <c r="O30" s="828"/>
      <c r="P30" s="829"/>
    </row>
    <row r="31" spans="1:16" ht="15.75" customHeight="1" thickTop="1"/>
  </sheetData>
  <mergeCells count="85">
    <mergeCell ref="O17:P17"/>
    <mergeCell ref="O18:P18"/>
    <mergeCell ref="O19:P19"/>
    <mergeCell ref="O20:P20"/>
    <mergeCell ref="O21:P21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topLeftCell="A7" zoomScaleNormal="60" zoomScaleSheetLayoutView="100" workbookViewId="0">
      <selection activeCell="O28" sqref="O28:P28"/>
    </sheetView>
  </sheetViews>
  <sheetFormatPr defaultColWidth="12.5703125" defaultRowHeight="15.75" customHeight="1"/>
  <cols>
    <col min="1" max="1" width="5.42578125" style="76" customWidth="1"/>
    <col min="2" max="2" width="11.42578125" style="111" customWidth="1"/>
    <col min="3" max="3" width="4" style="109" customWidth="1"/>
    <col min="4" max="17" width="9.5703125" style="76" customWidth="1"/>
    <col min="18" max="16384" width="12.5703125" style="76"/>
  </cols>
  <sheetData>
    <row r="1" spans="1:17" s="120" customFormat="1" ht="15.75" customHeight="1">
      <c r="A1" s="605" t="s">
        <v>204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</row>
    <row r="2" spans="1:17" s="121" customFormat="1" ht="15.75" customHeight="1">
      <c r="A2" s="605"/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5"/>
    </row>
    <row r="3" spans="1:17" s="120" customFormat="1" ht="15.75" customHeight="1">
      <c r="A3" s="750" t="s">
        <v>210</v>
      </c>
      <c r="B3" s="751"/>
      <c r="C3" s="751"/>
      <c r="D3" s="751"/>
      <c r="E3" s="751"/>
      <c r="F3" s="751"/>
      <c r="G3" s="751"/>
      <c r="H3" s="751"/>
      <c r="I3" s="751"/>
      <c r="J3" s="751"/>
      <c r="K3" s="751"/>
      <c r="L3" s="751"/>
      <c r="M3" s="751"/>
      <c r="N3" s="152"/>
    </row>
    <row r="4" spans="1:17" s="121" customFormat="1" ht="15.75" customHeight="1">
      <c r="A4" s="751"/>
      <c r="B4" s="751"/>
      <c r="C4" s="751"/>
      <c r="D4" s="751"/>
      <c r="E4" s="751"/>
      <c r="F4" s="751"/>
      <c r="G4" s="751"/>
      <c r="H4" s="751"/>
      <c r="I4" s="751"/>
      <c r="J4" s="751"/>
      <c r="K4" s="751"/>
      <c r="L4" s="751"/>
      <c r="M4" s="751"/>
      <c r="N4" s="131"/>
    </row>
    <row r="5" spans="1:17" s="120" customFormat="1" ht="15.75" customHeight="1">
      <c r="A5" s="624" t="s">
        <v>190</v>
      </c>
      <c r="B5" s="850">
        <v>1</v>
      </c>
      <c r="C5" s="850"/>
      <c r="D5" s="850">
        <v>2</v>
      </c>
      <c r="E5" s="850"/>
      <c r="F5" s="850">
        <v>3</v>
      </c>
      <c r="G5" s="850"/>
      <c r="H5" s="854">
        <v>4</v>
      </c>
      <c r="I5" s="854"/>
      <c r="J5" s="854">
        <v>5</v>
      </c>
      <c r="K5" s="854"/>
      <c r="L5" s="854">
        <v>6</v>
      </c>
      <c r="M5" s="854"/>
      <c r="N5" s="854">
        <v>7</v>
      </c>
      <c r="O5" s="854"/>
      <c r="P5" s="850">
        <v>8</v>
      </c>
      <c r="Q5" s="850"/>
    </row>
    <row r="6" spans="1:17" s="120" customFormat="1" ht="15.75" customHeight="1">
      <c r="A6" s="624"/>
      <c r="B6" s="624" t="s">
        <v>322</v>
      </c>
      <c r="C6" s="624"/>
      <c r="D6" s="624" t="s">
        <v>211</v>
      </c>
      <c r="E6" s="624"/>
      <c r="F6" s="624" t="s">
        <v>164</v>
      </c>
      <c r="G6" s="624"/>
      <c r="H6" s="855" t="s">
        <v>709</v>
      </c>
      <c r="I6" s="855"/>
      <c r="J6" s="855" t="s">
        <v>188</v>
      </c>
      <c r="K6" s="855"/>
      <c r="L6" s="855" t="s">
        <v>165</v>
      </c>
      <c r="M6" s="855"/>
      <c r="N6" s="855" t="s">
        <v>189</v>
      </c>
      <c r="O6" s="855"/>
      <c r="P6" s="853" t="s">
        <v>214</v>
      </c>
      <c r="Q6" s="624"/>
    </row>
    <row r="7" spans="1:17" s="120" customFormat="1" ht="15.75" customHeight="1">
      <c r="B7" s="175"/>
      <c r="C7" s="161"/>
    </row>
    <row r="8" spans="1:17" s="110" customFormat="1" ht="15.75" customHeight="1">
      <c r="A8" s="856" t="s">
        <v>1009</v>
      </c>
      <c r="B8" s="857"/>
      <c r="C8" s="117" t="s">
        <v>1010</v>
      </c>
      <c r="D8" s="858" t="s">
        <v>12</v>
      </c>
      <c r="E8" s="859"/>
      <c r="F8" s="860"/>
      <c r="G8" s="115" t="s">
        <v>1011</v>
      </c>
      <c r="H8" s="116"/>
      <c r="I8" s="117"/>
      <c r="J8" s="114" t="s">
        <v>1012</v>
      </c>
      <c r="K8" s="114" t="s">
        <v>1013</v>
      </c>
      <c r="L8" s="114" t="s">
        <v>1014</v>
      </c>
      <c r="M8" s="118" t="s">
        <v>11</v>
      </c>
      <c r="N8" s="372" t="s">
        <v>1015</v>
      </c>
      <c r="O8" s="861" t="s">
        <v>1005</v>
      </c>
      <c r="P8" s="862"/>
    </row>
    <row r="9" spans="1:17" ht="15.75" customHeight="1">
      <c r="A9" s="857">
        <v>4</v>
      </c>
      <c r="B9" s="864" t="s">
        <v>709</v>
      </c>
      <c r="C9" s="112">
        <v>1</v>
      </c>
      <c r="D9" s="578" t="s">
        <v>374</v>
      </c>
      <c r="E9" s="833"/>
      <c r="F9" s="834"/>
      <c r="G9" s="578" t="s">
        <v>837</v>
      </c>
      <c r="H9" s="833"/>
      <c r="I9" s="834"/>
      <c r="J9" s="373">
        <v>432.07</v>
      </c>
      <c r="K9" s="14">
        <v>1.0311936065996391E-2</v>
      </c>
      <c r="L9" s="4">
        <v>0.4</v>
      </c>
      <c r="M9" s="339">
        <v>172.828</v>
      </c>
      <c r="N9" s="4"/>
      <c r="O9" s="841" t="s">
        <v>1025</v>
      </c>
      <c r="P9" s="870"/>
      <c r="Q9" s="264"/>
    </row>
    <row r="10" spans="1:17" ht="15.75" customHeight="1">
      <c r="A10" s="857"/>
      <c r="B10" s="864"/>
      <c r="C10" s="112">
        <v>2</v>
      </c>
      <c r="D10" s="578" t="s">
        <v>349</v>
      </c>
      <c r="E10" s="833"/>
      <c r="F10" s="834"/>
      <c r="G10" s="578" t="s">
        <v>409</v>
      </c>
      <c r="H10" s="833"/>
      <c r="I10" s="834"/>
      <c r="J10" s="373">
        <v>127.48</v>
      </c>
      <c r="K10" s="14">
        <v>1.1100832562442183E-2</v>
      </c>
      <c r="L10" s="4">
        <v>1.2</v>
      </c>
      <c r="M10" s="339">
        <v>152.976</v>
      </c>
      <c r="N10" s="4"/>
      <c r="O10" s="841" t="s">
        <v>1025</v>
      </c>
      <c r="P10" s="870"/>
      <c r="Q10" s="264"/>
    </row>
    <row r="11" spans="1:17" ht="15.75" customHeight="1">
      <c r="A11" s="857"/>
      <c r="B11" s="864"/>
      <c r="C11" s="112">
        <v>3</v>
      </c>
      <c r="D11" s="578" t="s">
        <v>352</v>
      </c>
      <c r="E11" s="833"/>
      <c r="F11" s="834"/>
      <c r="G11" s="578" t="s">
        <v>826</v>
      </c>
      <c r="H11" s="833"/>
      <c r="I11" s="834"/>
      <c r="J11" s="373">
        <v>111.17</v>
      </c>
      <c r="K11" s="14">
        <v>6.2479273702473704E-3</v>
      </c>
      <c r="L11" s="4">
        <v>1.3</v>
      </c>
      <c r="M11" s="339">
        <v>144.52100000000002</v>
      </c>
      <c r="N11" s="4"/>
      <c r="O11" s="841" t="s">
        <v>1025</v>
      </c>
      <c r="P11" s="870"/>
      <c r="Q11" s="264"/>
    </row>
    <row r="12" spans="1:17" ht="15.75" customHeight="1">
      <c r="A12" s="857"/>
      <c r="B12" s="864"/>
      <c r="C12" s="112">
        <v>4</v>
      </c>
      <c r="D12" s="578" t="s">
        <v>376</v>
      </c>
      <c r="E12" s="833"/>
      <c r="F12" s="834"/>
      <c r="G12" s="578" t="s">
        <v>985</v>
      </c>
      <c r="H12" s="833"/>
      <c r="I12" s="834"/>
      <c r="J12" s="373">
        <v>354.37</v>
      </c>
      <c r="K12" s="14">
        <v>2.7758501040943791E-2</v>
      </c>
      <c r="L12" s="4">
        <v>0.4</v>
      </c>
      <c r="M12" s="339">
        <v>141.74800000000002</v>
      </c>
      <c r="N12" s="4"/>
      <c r="O12" s="841" t="s">
        <v>1025</v>
      </c>
      <c r="P12" s="870"/>
      <c r="Q12" s="264"/>
    </row>
    <row r="13" spans="1:17" ht="15.75" customHeight="1" thickBot="1">
      <c r="A13" s="857"/>
      <c r="B13" s="864"/>
      <c r="C13" s="113">
        <v>5</v>
      </c>
      <c r="D13" s="578" t="s">
        <v>834</v>
      </c>
      <c r="E13" s="833"/>
      <c r="F13" s="834"/>
      <c r="G13" s="578" t="s">
        <v>838</v>
      </c>
      <c r="H13" s="833"/>
      <c r="I13" s="834"/>
      <c r="J13" s="373">
        <v>117.03</v>
      </c>
      <c r="K13" s="14">
        <v>6.6803985971162945E-3</v>
      </c>
      <c r="L13" s="4">
        <v>1.2</v>
      </c>
      <c r="M13" s="339">
        <v>140.43600000000001</v>
      </c>
      <c r="N13" s="27"/>
      <c r="O13" s="841" t="s">
        <v>1025</v>
      </c>
      <c r="P13" s="870"/>
      <c r="Q13" s="264"/>
    </row>
    <row r="14" spans="1:17" ht="15.75" customHeight="1" thickTop="1" thickBot="1">
      <c r="A14" s="857"/>
      <c r="B14" s="864"/>
      <c r="C14" s="872"/>
      <c r="D14" s="872"/>
      <c r="E14" s="872"/>
      <c r="F14" s="872"/>
      <c r="G14" s="872"/>
      <c r="H14" s="872"/>
      <c r="I14" s="872"/>
      <c r="J14" s="247" t="s">
        <v>1017</v>
      </c>
      <c r="K14" s="246">
        <v>6.5950553013969957E-3</v>
      </c>
      <c r="L14" s="247" t="s">
        <v>1018</v>
      </c>
      <c r="M14" s="248">
        <v>752.50900000000001</v>
      </c>
      <c r="N14" s="871"/>
      <c r="O14" s="871"/>
      <c r="P14" s="871"/>
      <c r="Q14" s="264"/>
    </row>
    <row r="15" spans="1:17" ht="15.75" customHeight="1" thickTop="1">
      <c r="A15" s="570"/>
      <c r="D15" s="570"/>
      <c r="E15" s="570"/>
      <c r="F15" s="570"/>
      <c r="G15" s="570"/>
      <c r="H15" s="570"/>
      <c r="I15" s="570"/>
      <c r="J15" s="570"/>
      <c r="K15" s="570"/>
      <c r="L15" s="570"/>
      <c r="M15" s="570"/>
      <c r="N15" s="570"/>
      <c r="O15" s="570"/>
      <c r="P15" s="570"/>
      <c r="Q15" s="264"/>
    </row>
    <row r="16" spans="1:17" ht="15.75" customHeight="1">
      <c r="A16" s="856" t="s">
        <v>1009</v>
      </c>
      <c r="B16" s="857"/>
      <c r="C16" s="117" t="s">
        <v>1010</v>
      </c>
      <c r="D16" s="858" t="s">
        <v>12</v>
      </c>
      <c r="E16" s="859"/>
      <c r="F16" s="860"/>
      <c r="G16" s="115" t="s">
        <v>1011</v>
      </c>
      <c r="H16" s="116"/>
      <c r="I16" s="117"/>
      <c r="J16" s="114" t="s">
        <v>1012</v>
      </c>
      <c r="K16" s="114" t="s">
        <v>1013</v>
      </c>
      <c r="L16" s="114" t="s">
        <v>1014</v>
      </c>
      <c r="M16" s="118" t="s">
        <v>11</v>
      </c>
      <c r="N16" s="372" t="s">
        <v>1015</v>
      </c>
      <c r="O16" s="861" t="s">
        <v>1005</v>
      </c>
      <c r="P16" s="862"/>
      <c r="Q16" s="264"/>
    </row>
    <row r="17" spans="1:17" ht="15.75" customHeight="1">
      <c r="A17" s="857">
        <v>5</v>
      </c>
      <c r="B17" s="863" t="s">
        <v>212</v>
      </c>
      <c r="C17" s="112">
        <v>1</v>
      </c>
      <c r="D17" s="578" t="s">
        <v>716</v>
      </c>
      <c r="E17" s="833"/>
      <c r="F17" s="834"/>
      <c r="G17" s="578" t="s">
        <v>1026</v>
      </c>
      <c r="H17" s="833"/>
      <c r="I17" s="834"/>
      <c r="J17" s="373">
        <v>300.93</v>
      </c>
      <c r="K17" s="14">
        <v>1.3908205841446452E-2</v>
      </c>
      <c r="L17" s="4">
        <v>0.5</v>
      </c>
      <c r="M17" s="339">
        <v>150.465</v>
      </c>
      <c r="N17" s="4"/>
      <c r="O17" s="841" t="s">
        <v>728</v>
      </c>
      <c r="P17" s="870"/>
      <c r="Q17" s="264"/>
    </row>
    <row r="18" spans="1:17" ht="15.75" customHeight="1">
      <c r="A18" s="857"/>
      <c r="B18" s="864"/>
      <c r="C18" s="112">
        <v>2</v>
      </c>
      <c r="D18" s="578" t="s">
        <v>835</v>
      </c>
      <c r="E18" s="833"/>
      <c r="F18" s="834"/>
      <c r="G18" s="578" t="s">
        <v>922</v>
      </c>
      <c r="H18" s="833"/>
      <c r="I18" s="834"/>
      <c r="J18" s="373">
        <v>290.67</v>
      </c>
      <c r="K18" s="14">
        <v>2.4300155520995334E-2</v>
      </c>
      <c r="L18" s="4">
        <v>0.5</v>
      </c>
      <c r="M18" s="339">
        <v>145.33500000000001</v>
      </c>
      <c r="N18" s="4"/>
      <c r="O18" s="841" t="s">
        <v>728</v>
      </c>
      <c r="P18" s="870"/>
      <c r="Q18" s="264"/>
    </row>
    <row r="19" spans="1:17" ht="15.75" customHeight="1">
      <c r="A19" s="857"/>
      <c r="B19" s="864"/>
      <c r="C19" s="112">
        <v>3</v>
      </c>
      <c r="D19" s="578" t="s">
        <v>780</v>
      </c>
      <c r="E19" s="833"/>
      <c r="F19" s="834"/>
      <c r="G19" s="578" t="s">
        <v>1020</v>
      </c>
      <c r="H19" s="833"/>
      <c r="I19" s="834"/>
      <c r="J19" s="373">
        <v>278.12</v>
      </c>
      <c r="K19" s="14">
        <v>1.5729205989681642E-2</v>
      </c>
      <c r="L19" s="4">
        <v>0.5</v>
      </c>
      <c r="M19" s="339">
        <v>139.06</v>
      </c>
      <c r="N19" s="4"/>
      <c r="O19" s="841" t="s">
        <v>728</v>
      </c>
      <c r="P19" s="870"/>
      <c r="Q19" s="264"/>
    </row>
    <row r="20" spans="1:17" ht="15.75" customHeight="1">
      <c r="A20" s="857"/>
      <c r="B20" s="864"/>
      <c r="C20" s="112">
        <v>4</v>
      </c>
      <c r="D20" s="578" t="s">
        <v>352</v>
      </c>
      <c r="E20" s="833"/>
      <c r="F20" s="834"/>
      <c r="G20" s="578" t="s">
        <v>808</v>
      </c>
      <c r="H20" s="833"/>
      <c r="I20" s="834"/>
      <c r="J20" s="373">
        <v>136.88999999999999</v>
      </c>
      <c r="K20" s="14">
        <v>6.0655320078124046E-3</v>
      </c>
      <c r="L20" s="4">
        <v>1</v>
      </c>
      <c r="M20" s="339">
        <v>136.88999999999999</v>
      </c>
      <c r="N20" s="4"/>
      <c r="O20" s="841" t="s">
        <v>728</v>
      </c>
      <c r="P20" s="870"/>
      <c r="Q20" s="264"/>
    </row>
    <row r="21" spans="1:17" ht="15.75" customHeight="1" thickBot="1">
      <c r="A21" s="857"/>
      <c r="B21" s="864"/>
      <c r="C21" s="113">
        <v>5</v>
      </c>
      <c r="D21" s="578" t="s">
        <v>352</v>
      </c>
      <c r="E21" s="833"/>
      <c r="F21" s="834"/>
      <c r="G21" s="578" t="s">
        <v>1027</v>
      </c>
      <c r="H21" s="833"/>
      <c r="I21" s="834"/>
      <c r="J21" s="373">
        <v>136.88999999999999</v>
      </c>
      <c r="K21" s="14">
        <v>1.7269964078474715E-2</v>
      </c>
      <c r="L21" s="4">
        <v>1</v>
      </c>
      <c r="M21" s="339">
        <v>136.88999999999999</v>
      </c>
      <c r="N21" s="4"/>
      <c r="O21" s="841" t="s">
        <v>728</v>
      </c>
      <c r="P21" s="870"/>
      <c r="Q21" s="264"/>
    </row>
    <row r="22" spans="1:17" ht="15.75" customHeight="1" thickTop="1" thickBot="1">
      <c r="A22" s="857"/>
      <c r="B22" s="864"/>
      <c r="C22" s="865"/>
      <c r="D22" s="865"/>
      <c r="E22" s="865"/>
      <c r="F22" s="865"/>
      <c r="G22" s="865"/>
      <c r="H22" s="865"/>
      <c r="I22" s="866"/>
      <c r="J22" s="119" t="s">
        <v>1017</v>
      </c>
      <c r="K22" s="246">
        <v>6.2105835129971426E-3</v>
      </c>
      <c r="L22" s="119" t="s">
        <v>1018</v>
      </c>
      <c r="M22" s="248">
        <v>708.64</v>
      </c>
      <c r="N22" s="867"/>
      <c r="O22" s="868"/>
      <c r="P22" s="869"/>
      <c r="Q22" s="264"/>
    </row>
    <row r="23" spans="1:17" ht="15.75" customHeight="1" thickTop="1">
      <c r="A23" s="570"/>
      <c r="D23" s="570"/>
      <c r="E23" s="570"/>
      <c r="F23" s="570"/>
      <c r="G23" s="570"/>
      <c r="H23" s="570"/>
      <c r="I23" s="570"/>
      <c r="J23" s="570"/>
      <c r="K23" s="570"/>
      <c r="L23" s="570"/>
      <c r="M23" s="570"/>
      <c r="N23" s="570"/>
      <c r="O23" s="570"/>
      <c r="P23" s="570"/>
      <c r="Q23" s="264"/>
    </row>
    <row r="24" spans="1:17" ht="15.75" customHeight="1">
      <c r="A24" s="856" t="s">
        <v>1009</v>
      </c>
      <c r="B24" s="857"/>
      <c r="C24" s="117" t="s">
        <v>1010</v>
      </c>
      <c r="D24" s="858" t="s">
        <v>12</v>
      </c>
      <c r="E24" s="859"/>
      <c r="F24" s="860"/>
      <c r="G24" s="115" t="s">
        <v>1011</v>
      </c>
      <c r="H24" s="116"/>
      <c r="I24" s="117"/>
      <c r="J24" s="114" t="s">
        <v>1012</v>
      </c>
      <c r="K24" s="114" t="s">
        <v>1013</v>
      </c>
      <c r="L24" s="114" t="s">
        <v>1014</v>
      </c>
      <c r="M24" s="118" t="s">
        <v>11</v>
      </c>
      <c r="N24" s="372" t="s">
        <v>1015</v>
      </c>
      <c r="O24" s="861" t="s">
        <v>1005</v>
      </c>
      <c r="P24" s="862"/>
      <c r="Q24" s="264"/>
    </row>
    <row r="25" spans="1:17" ht="15.75" customHeight="1">
      <c r="A25" s="857">
        <v>6</v>
      </c>
      <c r="B25" s="863" t="s">
        <v>213</v>
      </c>
      <c r="C25" s="112">
        <v>1</v>
      </c>
      <c r="D25" s="578" t="s">
        <v>774</v>
      </c>
      <c r="E25" s="833"/>
      <c r="F25" s="834"/>
      <c r="G25" s="578" t="s">
        <v>471</v>
      </c>
      <c r="H25" s="833"/>
      <c r="I25" s="834"/>
      <c r="J25" s="373">
        <v>13.45</v>
      </c>
      <c r="K25" s="14">
        <v>1.4344262295081968E-2</v>
      </c>
      <c r="L25" s="4">
        <v>14</v>
      </c>
      <c r="M25" s="339">
        <v>188.29999999999998</v>
      </c>
      <c r="N25" s="4"/>
      <c r="O25" s="841" t="s">
        <v>1028</v>
      </c>
      <c r="P25" s="870"/>
      <c r="Q25" s="264"/>
    </row>
    <row r="26" spans="1:17" ht="15.75" customHeight="1">
      <c r="A26" s="857"/>
      <c r="B26" s="864"/>
      <c r="C26" s="112">
        <v>2</v>
      </c>
      <c r="D26" s="578" t="s">
        <v>911</v>
      </c>
      <c r="E26" s="833"/>
      <c r="F26" s="834"/>
      <c r="G26" s="578" t="s">
        <v>354</v>
      </c>
      <c r="H26" s="833"/>
      <c r="I26" s="834"/>
      <c r="J26" s="373">
        <v>487.6</v>
      </c>
      <c r="K26" s="14">
        <v>5.8915946582875096E-3</v>
      </c>
      <c r="L26" s="4">
        <v>0.3</v>
      </c>
      <c r="M26" s="339">
        <v>146.28</v>
      </c>
      <c r="N26" s="4"/>
      <c r="O26" s="841" t="s">
        <v>1029</v>
      </c>
      <c r="P26" s="870"/>
      <c r="Q26" s="264"/>
    </row>
    <row r="27" spans="1:17" ht="15.75" customHeight="1">
      <c r="A27" s="857"/>
      <c r="B27" s="864"/>
      <c r="C27" s="112">
        <v>3</v>
      </c>
      <c r="D27" s="578" t="s">
        <v>910</v>
      </c>
      <c r="E27" s="833"/>
      <c r="F27" s="834"/>
      <c r="G27" s="578" t="s">
        <v>915</v>
      </c>
      <c r="H27" s="833"/>
      <c r="I27" s="834"/>
      <c r="J27" s="373">
        <v>444.88</v>
      </c>
      <c r="K27" s="14">
        <v>1.7433751743375175E-2</v>
      </c>
      <c r="L27" s="4">
        <v>0.3</v>
      </c>
      <c r="M27" s="339">
        <v>133.464</v>
      </c>
      <c r="N27" s="4"/>
      <c r="O27" s="841" t="s">
        <v>1029</v>
      </c>
      <c r="P27" s="870"/>
      <c r="Q27" s="264"/>
    </row>
    <row r="28" spans="1:17" ht="15.75" customHeight="1">
      <c r="A28" s="857"/>
      <c r="B28" s="864"/>
      <c r="C28" s="112">
        <v>4</v>
      </c>
      <c r="D28" s="578">
        <v>0</v>
      </c>
      <c r="E28" s="833"/>
      <c r="F28" s="834"/>
      <c r="G28" s="578">
        <v>0</v>
      </c>
      <c r="H28" s="833"/>
      <c r="I28" s="834"/>
      <c r="J28" s="373">
        <v>0</v>
      </c>
      <c r="K28" s="14">
        <v>0</v>
      </c>
      <c r="L28" s="4">
        <v>0</v>
      </c>
      <c r="M28" s="339">
        <v>0</v>
      </c>
      <c r="N28" s="4"/>
      <c r="O28" s="841"/>
      <c r="P28" s="870"/>
      <c r="Q28" s="264"/>
    </row>
    <row r="29" spans="1:17" ht="15.75" customHeight="1" thickBot="1">
      <c r="A29" s="857"/>
      <c r="B29" s="864"/>
      <c r="C29" s="113">
        <v>5</v>
      </c>
      <c r="D29" s="578">
        <v>0</v>
      </c>
      <c r="E29" s="833"/>
      <c r="F29" s="834"/>
      <c r="G29" s="578">
        <v>0</v>
      </c>
      <c r="H29" s="833"/>
      <c r="I29" s="834"/>
      <c r="J29" s="373">
        <v>0</v>
      </c>
      <c r="K29" s="14">
        <v>0</v>
      </c>
      <c r="L29" s="4">
        <v>0</v>
      </c>
      <c r="M29" s="339">
        <v>0</v>
      </c>
      <c r="N29" s="4"/>
      <c r="O29" s="841"/>
      <c r="P29" s="870"/>
      <c r="Q29" s="264"/>
    </row>
    <row r="30" spans="1:17" ht="15.75" customHeight="1" thickTop="1" thickBot="1">
      <c r="A30" s="857"/>
      <c r="B30" s="864"/>
      <c r="C30" s="865"/>
      <c r="D30" s="865"/>
      <c r="E30" s="865"/>
      <c r="F30" s="865"/>
      <c r="G30" s="865"/>
      <c r="H30" s="865"/>
      <c r="I30" s="866"/>
      <c r="J30" s="119" t="s">
        <v>1017</v>
      </c>
      <c r="K30" s="246">
        <v>4.1019789311317941E-3</v>
      </c>
      <c r="L30" s="119" t="s">
        <v>1018</v>
      </c>
      <c r="M30" s="248">
        <v>468.04399999999998</v>
      </c>
      <c r="N30" s="867"/>
      <c r="O30" s="868"/>
      <c r="P30" s="869"/>
      <c r="Q30" s="264"/>
    </row>
    <row r="31" spans="1:17" ht="15.75" customHeight="1" thickTop="1">
      <c r="A31" s="570"/>
      <c r="D31" s="570"/>
      <c r="E31" s="570"/>
      <c r="F31" s="570"/>
      <c r="G31" s="570"/>
      <c r="H31" s="570"/>
      <c r="I31" s="570"/>
      <c r="J31" s="570"/>
      <c r="K31" s="570"/>
      <c r="L31" s="570"/>
      <c r="M31" s="570"/>
      <c r="N31" s="570"/>
      <c r="O31" s="570"/>
      <c r="P31" s="570"/>
      <c r="Q31" s="264"/>
    </row>
    <row r="32" spans="1:17" ht="15.75" customHeight="1">
      <c r="A32" s="856" t="s">
        <v>1009</v>
      </c>
      <c r="B32" s="857"/>
      <c r="C32" s="117" t="s">
        <v>1010</v>
      </c>
      <c r="D32" s="858" t="s">
        <v>12</v>
      </c>
      <c r="E32" s="859"/>
      <c r="F32" s="860"/>
      <c r="G32" s="115" t="s">
        <v>1011</v>
      </c>
      <c r="H32" s="116"/>
      <c r="I32" s="117"/>
      <c r="J32" s="114" t="s">
        <v>1012</v>
      </c>
      <c r="K32" s="114" t="s">
        <v>1013</v>
      </c>
      <c r="L32" s="114" t="s">
        <v>1014</v>
      </c>
      <c r="M32" s="118" t="s">
        <v>11</v>
      </c>
      <c r="N32" s="118" t="s">
        <v>13</v>
      </c>
      <c r="O32" s="861" t="s">
        <v>1005</v>
      </c>
      <c r="P32" s="862"/>
      <c r="Q32" s="264"/>
    </row>
    <row r="33" spans="1:17" ht="15.75" customHeight="1">
      <c r="A33" s="857">
        <v>7</v>
      </c>
      <c r="B33" s="863" t="s">
        <v>1030</v>
      </c>
      <c r="C33" s="112">
        <v>1</v>
      </c>
      <c r="D33" s="578" t="s">
        <v>925</v>
      </c>
      <c r="E33" s="833"/>
      <c r="F33" s="834"/>
      <c r="G33" s="578" t="s">
        <v>926</v>
      </c>
      <c r="H33" s="833"/>
      <c r="I33" s="834"/>
      <c r="J33" s="4">
        <v>651.53</v>
      </c>
      <c r="K33" s="14">
        <v>7.3746312684365781E-3</v>
      </c>
      <c r="L33" s="4">
        <v>0.2</v>
      </c>
      <c r="M33" s="339">
        <v>130.30600000000001</v>
      </c>
      <c r="N33" s="4"/>
      <c r="O33" s="841" t="s">
        <v>1031</v>
      </c>
      <c r="P33" s="870"/>
      <c r="Q33" s="264"/>
    </row>
    <row r="34" spans="1:17" ht="15.75" customHeight="1">
      <c r="A34" s="857"/>
      <c r="B34" s="864"/>
      <c r="C34" s="112">
        <v>2</v>
      </c>
      <c r="D34" s="578">
        <v>0</v>
      </c>
      <c r="E34" s="833"/>
      <c r="F34" s="834"/>
      <c r="G34" s="578">
        <v>0</v>
      </c>
      <c r="H34" s="833"/>
      <c r="I34" s="834"/>
      <c r="J34" s="4">
        <v>0</v>
      </c>
      <c r="K34" s="14">
        <v>0</v>
      </c>
      <c r="L34" s="4">
        <v>0</v>
      </c>
      <c r="M34" s="339">
        <v>0</v>
      </c>
      <c r="N34" s="4"/>
      <c r="O34" s="841"/>
      <c r="P34" s="870"/>
      <c r="Q34" s="264"/>
    </row>
    <row r="35" spans="1:17" ht="15.75" customHeight="1">
      <c r="A35" s="857"/>
      <c r="B35" s="864"/>
      <c r="C35" s="112">
        <v>3</v>
      </c>
      <c r="D35" s="578">
        <v>0</v>
      </c>
      <c r="E35" s="833"/>
      <c r="F35" s="834"/>
      <c r="G35" s="578">
        <v>0</v>
      </c>
      <c r="H35" s="833"/>
      <c r="I35" s="834"/>
      <c r="J35" s="4">
        <v>0</v>
      </c>
      <c r="K35" s="14">
        <v>0</v>
      </c>
      <c r="L35" s="4">
        <v>0</v>
      </c>
      <c r="M35" s="339">
        <v>0</v>
      </c>
      <c r="N35" s="4"/>
      <c r="O35" s="841"/>
      <c r="P35" s="870"/>
      <c r="Q35" s="264"/>
    </row>
    <row r="36" spans="1:17" ht="15.75" customHeight="1">
      <c r="A36" s="857"/>
      <c r="B36" s="864"/>
      <c r="C36" s="112">
        <v>4</v>
      </c>
      <c r="D36" s="578">
        <v>0</v>
      </c>
      <c r="E36" s="833"/>
      <c r="F36" s="834"/>
      <c r="G36" s="578">
        <v>0</v>
      </c>
      <c r="H36" s="833"/>
      <c r="I36" s="834"/>
      <c r="J36" s="4">
        <v>0</v>
      </c>
      <c r="K36" s="14">
        <v>0</v>
      </c>
      <c r="L36" s="4">
        <v>0</v>
      </c>
      <c r="M36" s="339">
        <v>0</v>
      </c>
      <c r="N36" s="4"/>
      <c r="O36" s="841"/>
      <c r="P36" s="870"/>
      <c r="Q36" s="264"/>
    </row>
    <row r="37" spans="1:17" ht="15.75" customHeight="1" thickBot="1">
      <c r="A37" s="857"/>
      <c r="B37" s="864"/>
      <c r="C37" s="113">
        <v>5</v>
      </c>
      <c r="D37" s="578">
        <v>0</v>
      </c>
      <c r="E37" s="833"/>
      <c r="F37" s="834"/>
      <c r="G37" s="578">
        <v>0</v>
      </c>
      <c r="H37" s="833"/>
      <c r="I37" s="834"/>
      <c r="J37" s="4">
        <v>0</v>
      </c>
      <c r="K37" s="14">
        <v>0</v>
      </c>
      <c r="L37" s="4">
        <v>0</v>
      </c>
      <c r="M37" s="339">
        <v>0</v>
      </c>
      <c r="N37" s="4"/>
      <c r="O37" s="841"/>
      <c r="P37" s="870"/>
      <c r="Q37" s="264"/>
    </row>
    <row r="38" spans="1:17" ht="15.75" customHeight="1" thickTop="1" thickBot="1">
      <c r="A38" s="857"/>
      <c r="B38" s="864"/>
      <c r="C38" s="865"/>
      <c r="D38" s="865"/>
      <c r="E38" s="865"/>
      <c r="F38" s="865"/>
      <c r="G38" s="865"/>
      <c r="H38" s="865"/>
      <c r="I38" s="866"/>
      <c r="J38" s="119" t="s">
        <v>1017</v>
      </c>
      <c r="K38" s="246">
        <v>1.1420132863578204E-3</v>
      </c>
      <c r="L38" s="119" t="s">
        <v>1018</v>
      </c>
      <c r="M38" s="248">
        <v>130.30600000000001</v>
      </c>
      <c r="N38" s="867"/>
      <c r="O38" s="868"/>
      <c r="P38" s="869"/>
      <c r="Q38" s="264"/>
    </row>
    <row r="39" spans="1:17" ht="15.75" customHeight="1" thickTop="1"/>
  </sheetData>
  <mergeCells count="107"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1"/>
  <sheetViews>
    <sheetView view="pageBreakPreview" topLeftCell="A7" zoomScale="115" zoomScaleNormal="60" zoomScaleSheetLayoutView="115" workbookViewId="0">
      <selection activeCell="M25" sqref="M25"/>
    </sheetView>
  </sheetViews>
  <sheetFormatPr defaultColWidth="12.5703125" defaultRowHeight="15.75" customHeight="1"/>
  <cols>
    <col min="1" max="1" width="5.42578125" style="183" customWidth="1"/>
    <col min="2" max="2" width="11.42578125" style="375" customWidth="1"/>
    <col min="3" max="3" width="4" style="376" customWidth="1"/>
    <col min="4" max="17" width="9.5703125" style="183" customWidth="1"/>
    <col min="18" max="16384" width="12.5703125" style="183"/>
  </cols>
  <sheetData>
    <row r="1" spans="1:23" ht="15.75" customHeight="1">
      <c r="A1" s="797" t="s">
        <v>718</v>
      </c>
      <c r="B1" s="797"/>
      <c r="C1" s="797"/>
      <c r="D1" s="797"/>
      <c r="E1" s="797"/>
      <c r="F1" s="797"/>
      <c r="G1" s="797"/>
      <c r="H1" s="797"/>
      <c r="I1" s="797"/>
      <c r="J1" s="797"/>
      <c r="K1" s="797"/>
      <c r="L1" s="797"/>
      <c r="M1" s="797"/>
      <c r="N1" s="797"/>
      <c r="O1" s="797"/>
      <c r="P1" s="797"/>
      <c r="Q1" s="797"/>
    </row>
    <row r="2" spans="1:23" s="184" customFormat="1" ht="15.75" customHeight="1">
      <c r="A2" s="797"/>
      <c r="B2" s="797"/>
      <c r="C2" s="797"/>
      <c r="D2" s="797"/>
      <c r="E2" s="797"/>
      <c r="F2" s="797"/>
      <c r="G2" s="797"/>
      <c r="H2" s="797"/>
      <c r="I2" s="797"/>
      <c r="J2" s="797"/>
      <c r="K2" s="797"/>
      <c r="L2" s="797"/>
      <c r="M2" s="797"/>
      <c r="N2" s="797"/>
      <c r="O2" s="797"/>
      <c r="P2" s="797"/>
      <c r="Q2" s="797"/>
      <c r="R2" s="183"/>
      <c r="S2" s="183"/>
      <c r="T2" s="183"/>
      <c r="U2" s="183"/>
      <c r="V2" s="183"/>
      <c r="W2" s="183"/>
    </row>
    <row r="3" spans="1:23" ht="15.75" customHeight="1">
      <c r="A3" s="798" t="s">
        <v>719</v>
      </c>
      <c r="B3" s="798"/>
      <c r="C3" s="798"/>
      <c r="D3" s="798"/>
      <c r="E3" s="798"/>
      <c r="F3" s="798"/>
      <c r="G3" s="798"/>
      <c r="H3" s="798"/>
      <c r="I3" s="798"/>
      <c r="J3" s="798"/>
      <c r="K3" s="798"/>
      <c r="L3" s="798"/>
      <c r="M3" s="798"/>
      <c r="N3" s="185"/>
    </row>
    <row r="4" spans="1:23" s="184" customFormat="1" ht="15.75" customHeight="1">
      <c r="A4" s="798"/>
      <c r="B4" s="798"/>
      <c r="C4" s="798"/>
      <c r="D4" s="798"/>
      <c r="E4" s="798"/>
      <c r="F4" s="798"/>
      <c r="G4" s="798"/>
      <c r="H4" s="798"/>
      <c r="I4" s="798"/>
      <c r="J4" s="798"/>
      <c r="K4" s="798"/>
      <c r="L4" s="798"/>
      <c r="M4" s="798"/>
      <c r="N4" s="186"/>
      <c r="R4" s="183"/>
      <c r="S4" s="183"/>
      <c r="T4" s="183"/>
      <c r="U4" s="183"/>
      <c r="V4" s="183"/>
      <c r="W4" s="183"/>
    </row>
    <row r="5" spans="1:23" ht="15.75" customHeight="1">
      <c r="A5" s="800" t="s">
        <v>712</v>
      </c>
      <c r="B5" s="874">
        <v>1</v>
      </c>
      <c r="C5" s="874"/>
      <c r="D5" s="874">
        <v>2</v>
      </c>
      <c r="E5" s="874"/>
      <c r="F5" s="874">
        <v>3</v>
      </c>
      <c r="G5" s="874"/>
      <c r="H5" s="803">
        <v>4</v>
      </c>
      <c r="I5" s="803"/>
      <c r="J5" s="803">
        <v>5</v>
      </c>
      <c r="K5" s="803"/>
      <c r="L5" s="803">
        <v>6</v>
      </c>
      <c r="M5" s="803"/>
      <c r="N5" s="803">
        <v>7</v>
      </c>
      <c r="O5" s="803"/>
      <c r="P5" s="803">
        <v>8</v>
      </c>
      <c r="Q5" s="803"/>
    </row>
    <row r="6" spans="1:23" ht="15.75" customHeight="1">
      <c r="A6" s="800"/>
      <c r="B6" s="875" t="s">
        <v>720</v>
      </c>
      <c r="C6" s="875"/>
      <c r="D6" s="875" t="s">
        <v>721</v>
      </c>
      <c r="E6" s="875"/>
      <c r="F6" s="875" t="s">
        <v>722</v>
      </c>
      <c r="G6" s="875"/>
      <c r="H6" s="873" t="s">
        <v>723</v>
      </c>
      <c r="I6" s="800"/>
      <c r="J6" s="800" t="s">
        <v>724</v>
      </c>
      <c r="K6" s="800"/>
      <c r="L6" s="800" t="s">
        <v>725</v>
      </c>
      <c r="M6" s="800"/>
      <c r="N6" s="800" t="s">
        <v>726</v>
      </c>
      <c r="O6" s="800"/>
      <c r="P6" s="873" t="s">
        <v>727</v>
      </c>
      <c r="Q6" s="800"/>
    </row>
    <row r="8" spans="1:23" s="374" customFormat="1" ht="15.75" customHeight="1">
      <c r="A8" s="843" t="s">
        <v>1009</v>
      </c>
      <c r="B8" s="844"/>
      <c r="C8" s="577" t="s">
        <v>1010</v>
      </c>
      <c r="D8" s="845" t="s">
        <v>12</v>
      </c>
      <c r="E8" s="846"/>
      <c r="F8" s="847"/>
      <c r="G8" s="575" t="s">
        <v>1011</v>
      </c>
      <c r="H8" s="576"/>
      <c r="I8" s="577"/>
      <c r="J8" s="170" t="s">
        <v>1012</v>
      </c>
      <c r="K8" s="372" t="s">
        <v>1032</v>
      </c>
      <c r="L8" s="170" t="s">
        <v>1014</v>
      </c>
      <c r="M8" s="170" t="s">
        <v>11</v>
      </c>
      <c r="N8" s="372" t="s">
        <v>1015</v>
      </c>
      <c r="O8" s="848" t="s">
        <v>1005</v>
      </c>
      <c r="P8" s="849"/>
      <c r="R8" s="183"/>
      <c r="S8" s="183"/>
      <c r="T8" s="183"/>
      <c r="U8" s="183"/>
      <c r="V8" s="183"/>
      <c r="W8" s="183"/>
    </row>
    <row r="9" spans="1:23" ht="15.75" customHeight="1">
      <c r="A9" s="767">
        <v>1</v>
      </c>
      <c r="B9" s="830" t="s">
        <v>1016</v>
      </c>
      <c r="C9" s="171">
        <v>1</v>
      </c>
      <c r="D9" s="578">
        <v>0</v>
      </c>
      <c r="E9" s="833"/>
      <c r="F9" s="834"/>
      <c r="G9" s="578">
        <v>0</v>
      </c>
      <c r="H9" s="833"/>
      <c r="I9" s="834"/>
      <c r="J9" s="4">
        <v>0</v>
      </c>
      <c r="K9" s="14">
        <v>0</v>
      </c>
      <c r="L9" s="373">
        <v>0</v>
      </c>
      <c r="M9" s="16">
        <v>0</v>
      </c>
      <c r="N9" s="172"/>
      <c r="O9" s="841"/>
      <c r="P9" s="842"/>
    </row>
    <row r="10" spans="1:23" ht="15.75" customHeight="1">
      <c r="A10" s="772"/>
      <c r="B10" s="831"/>
      <c r="C10" s="171">
        <v>2</v>
      </c>
      <c r="D10" s="578">
        <v>0</v>
      </c>
      <c r="E10" s="833"/>
      <c r="F10" s="834"/>
      <c r="G10" s="578">
        <v>0</v>
      </c>
      <c r="H10" s="833"/>
      <c r="I10" s="834"/>
      <c r="J10" s="4">
        <v>0</v>
      </c>
      <c r="K10" s="14">
        <v>0</v>
      </c>
      <c r="L10" s="373">
        <v>0</v>
      </c>
      <c r="M10" s="16">
        <v>0</v>
      </c>
      <c r="N10" s="172"/>
      <c r="O10" s="841"/>
      <c r="P10" s="842"/>
    </row>
    <row r="11" spans="1:23" ht="15.75" customHeight="1">
      <c r="A11" s="772"/>
      <c r="B11" s="831"/>
      <c r="C11" s="171">
        <v>3</v>
      </c>
      <c r="D11" s="578">
        <v>0</v>
      </c>
      <c r="E11" s="833"/>
      <c r="F11" s="834"/>
      <c r="G11" s="578">
        <v>0</v>
      </c>
      <c r="H11" s="833"/>
      <c r="I11" s="834"/>
      <c r="J11" s="4">
        <v>0</v>
      </c>
      <c r="K11" s="14">
        <v>0</v>
      </c>
      <c r="L11" s="373">
        <v>0</v>
      </c>
      <c r="M11" s="16">
        <v>0</v>
      </c>
      <c r="N11" s="172"/>
      <c r="O11" s="841"/>
      <c r="P11" s="842"/>
    </row>
    <row r="12" spans="1:23" ht="15.75" customHeight="1">
      <c r="A12" s="772"/>
      <c r="B12" s="831"/>
      <c r="C12" s="171">
        <v>4</v>
      </c>
      <c r="D12" s="578">
        <v>0</v>
      </c>
      <c r="E12" s="833"/>
      <c r="F12" s="834"/>
      <c r="G12" s="578">
        <v>0</v>
      </c>
      <c r="H12" s="833"/>
      <c r="I12" s="834"/>
      <c r="J12" s="4">
        <v>0</v>
      </c>
      <c r="K12" s="14">
        <v>0</v>
      </c>
      <c r="L12" s="373">
        <v>0</v>
      </c>
      <c r="M12" s="16">
        <v>0</v>
      </c>
      <c r="N12" s="172"/>
      <c r="O12" s="841"/>
      <c r="P12" s="842"/>
    </row>
    <row r="13" spans="1:23" ht="15.75" customHeight="1" thickBot="1">
      <c r="A13" s="772"/>
      <c r="B13" s="831"/>
      <c r="C13" s="173">
        <v>5</v>
      </c>
      <c r="D13" s="838">
        <v>0</v>
      </c>
      <c r="E13" s="839"/>
      <c r="F13" s="840"/>
      <c r="G13" s="838">
        <v>0</v>
      </c>
      <c r="H13" s="839"/>
      <c r="I13" s="840"/>
      <c r="J13" s="4">
        <v>0</v>
      </c>
      <c r="K13" s="14">
        <v>0</v>
      </c>
      <c r="L13" s="373">
        <v>0</v>
      </c>
      <c r="M13" s="16">
        <v>0</v>
      </c>
      <c r="N13" s="174"/>
      <c r="O13" s="851"/>
      <c r="P13" s="852"/>
    </row>
    <row r="14" spans="1:23" ht="15.75" customHeight="1" thickTop="1" thickBot="1">
      <c r="A14" s="768"/>
      <c r="B14" s="832"/>
      <c r="C14" s="824"/>
      <c r="D14" s="825"/>
      <c r="E14" s="825"/>
      <c r="F14" s="825"/>
      <c r="G14" s="825"/>
      <c r="H14" s="825"/>
      <c r="I14" s="826"/>
      <c r="J14" s="370" t="s">
        <v>1017</v>
      </c>
      <c r="K14" s="246">
        <v>0</v>
      </c>
      <c r="L14" s="370" t="s">
        <v>1018</v>
      </c>
      <c r="M14" s="248">
        <v>0</v>
      </c>
      <c r="N14" s="827"/>
      <c r="O14" s="828"/>
      <c r="P14" s="829"/>
    </row>
    <row r="15" spans="1:23" ht="15.75" customHeight="1" thickTop="1">
      <c r="A15" s="120"/>
      <c r="B15" s="175"/>
      <c r="C15" s="161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</row>
    <row r="16" spans="1:23" ht="15.75" customHeight="1">
      <c r="A16" s="843" t="s">
        <v>1009</v>
      </c>
      <c r="B16" s="844"/>
      <c r="C16" s="577" t="s">
        <v>1010</v>
      </c>
      <c r="D16" s="845" t="s">
        <v>12</v>
      </c>
      <c r="E16" s="846"/>
      <c r="F16" s="847"/>
      <c r="G16" s="575" t="s">
        <v>1011</v>
      </c>
      <c r="H16" s="576"/>
      <c r="I16" s="577"/>
      <c r="J16" s="170" t="s">
        <v>1012</v>
      </c>
      <c r="K16" s="372" t="s">
        <v>1032</v>
      </c>
      <c r="L16" s="170" t="s">
        <v>1014</v>
      </c>
      <c r="M16" s="170" t="s">
        <v>11</v>
      </c>
      <c r="N16" s="372" t="s">
        <v>1015</v>
      </c>
      <c r="O16" s="848" t="s">
        <v>1005</v>
      </c>
      <c r="P16" s="849"/>
    </row>
    <row r="17" spans="1:16" ht="15.75" customHeight="1">
      <c r="A17" s="767">
        <v>2</v>
      </c>
      <c r="B17" s="830" t="s">
        <v>1019</v>
      </c>
      <c r="C17" s="171">
        <v>1</v>
      </c>
      <c r="D17" s="578" t="s">
        <v>909</v>
      </c>
      <c r="E17" s="833"/>
      <c r="F17" s="834"/>
      <c r="G17" s="578" t="s">
        <v>1033</v>
      </c>
      <c r="H17" s="833"/>
      <c r="I17" s="834"/>
      <c r="J17" s="373">
        <v>459.58</v>
      </c>
      <c r="K17" s="14">
        <v>6.306306306306303E-2</v>
      </c>
      <c r="L17" s="373">
        <v>0.34999999999999981</v>
      </c>
      <c r="M17" s="339">
        <v>160.85299999999992</v>
      </c>
      <c r="N17" s="172"/>
      <c r="O17" s="841" t="s">
        <v>714</v>
      </c>
      <c r="P17" s="842"/>
    </row>
    <row r="18" spans="1:16" ht="15.75" customHeight="1">
      <c r="A18" s="772"/>
      <c r="B18" s="831"/>
      <c r="C18" s="171">
        <v>2</v>
      </c>
      <c r="D18" s="578" t="s">
        <v>396</v>
      </c>
      <c r="E18" s="833"/>
      <c r="F18" s="834"/>
      <c r="G18" s="578" t="s">
        <v>1021</v>
      </c>
      <c r="H18" s="833"/>
      <c r="I18" s="834"/>
      <c r="J18" s="373">
        <v>394.38</v>
      </c>
      <c r="K18" s="14">
        <v>2.8192371475953579E-2</v>
      </c>
      <c r="L18" s="373">
        <v>0.34000000000000019</v>
      </c>
      <c r="M18" s="339">
        <v>134.08920000000006</v>
      </c>
      <c r="N18" s="172"/>
      <c r="O18" s="841" t="s">
        <v>714</v>
      </c>
      <c r="P18" s="842"/>
    </row>
    <row r="19" spans="1:16" ht="15.75" customHeight="1">
      <c r="A19" s="772"/>
      <c r="B19" s="831"/>
      <c r="C19" s="171">
        <v>3</v>
      </c>
      <c r="D19" s="578" t="s">
        <v>835</v>
      </c>
      <c r="E19" s="833"/>
      <c r="F19" s="834"/>
      <c r="G19" s="578" t="s">
        <v>842</v>
      </c>
      <c r="H19" s="833"/>
      <c r="I19" s="834"/>
      <c r="J19" s="373">
        <v>730.4</v>
      </c>
      <c r="K19" s="14">
        <v>0.2178619756427605</v>
      </c>
      <c r="L19" s="373">
        <v>0.161</v>
      </c>
      <c r="M19" s="339">
        <v>117.59439999999999</v>
      </c>
      <c r="N19" s="172"/>
      <c r="O19" s="841" t="s">
        <v>714</v>
      </c>
      <c r="P19" s="842"/>
    </row>
    <row r="20" spans="1:16" ht="15.75" customHeight="1">
      <c r="A20" s="772"/>
      <c r="B20" s="831"/>
      <c r="C20" s="171">
        <v>4</v>
      </c>
      <c r="D20" s="578">
        <v>0</v>
      </c>
      <c r="E20" s="833"/>
      <c r="F20" s="834"/>
      <c r="G20" s="578">
        <v>0</v>
      </c>
      <c r="H20" s="833"/>
      <c r="I20" s="834"/>
      <c r="J20" s="373">
        <v>0</v>
      </c>
      <c r="K20" s="14">
        <v>0</v>
      </c>
      <c r="L20" s="373">
        <v>0</v>
      </c>
      <c r="M20" s="339">
        <v>0</v>
      </c>
      <c r="N20" s="172"/>
      <c r="O20" s="841"/>
      <c r="P20" s="842"/>
    </row>
    <row r="21" spans="1:16" ht="15.75" customHeight="1" thickBot="1">
      <c r="A21" s="772"/>
      <c r="B21" s="831"/>
      <c r="C21" s="173">
        <v>5</v>
      </c>
      <c r="D21" s="578">
        <v>0</v>
      </c>
      <c r="E21" s="833"/>
      <c r="F21" s="834"/>
      <c r="G21" s="578">
        <v>0</v>
      </c>
      <c r="H21" s="833"/>
      <c r="I21" s="834"/>
      <c r="J21" s="373">
        <v>0</v>
      </c>
      <c r="K21" s="14">
        <v>0</v>
      </c>
      <c r="L21" s="373">
        <v>0</v>
      </c>
      <c r="M21" s="339">
        <v>0</v>
      </c>
      <c r="N21" s="174"/>
      <c r="O21" s="841"/>
      <c r="P21" s="842"/>
    </row>
    <row r="22" spans="1:16" ht="15.75" customHeight="1" thickTop="1" thickBot="1">
      <c r="A22" s="768"/>
      <c r="B22" s="832"/>
      <c r="C22" s="835"/>
      <c r="D22" s="836"/>
      <c r="E22" s="836"/>
      <c r="F22" s="836"/>
      <c r="G22" s="836"/>
      <c r="H22" s="836"/>
      <c r="I22" s="837"/>
      <c r="J22" s="370" t="s">
        <v>1017</v>
      </c>
      <c r="K22" s="246">
        <v>4.2446660869295254E-3</v>
      </c>
      <c r="L22" s="370" t="s">
        <v>1018</v>
      </c>
      <c r="M22" s="248">
        <v>412.53659999999996</v>
      </c>
      <c r="N22" s="827"/>
      <c r="O22" s="828"/>
      <c r="P22" s="829"/>
    </row>
    <row r="23" spans="1:16" ht="15.75" customHeight="1" thickTop="1">
      <c r="A23" s="120"/>
      <c r="B23" s="175"/>
      <c r="C23" s="161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</row>
    <row r="24" spans="1:16" ht="15.75" customHeight="1">
      <c r="A24" s="843" t="s">
        <v>1009</v>
      </c>
      <c r="B24" s="844"/>
      <c r="C24" s="577" t="s">
        <v>1010</v>
      </c>
      <c r="D24" s="845" t="s">
        <v>12</v>
      </c>
      <c r="E24" s="846"/>
      <c r="F24" s="847"/>
      <c r="G24" s="575" t="s">
        <v>1011</v>
      </c>
      <c r="H24" s="576"/>
      <c r="I24" s="577"/>
      <c r="J24" s="170" t="s">
        <v>1012</v>
      </c>
      <c r="K24" s="372" t="s">
        <v>1032</v>
      </c>
      <c r="L24" s="170" t="s">
        <v>1014</v>
      </c>
      <c r="M24" s="170" t="s">
        <v>11</v>
      </c>
      <c r="N24" s="372" t="s">
        <v>1015</v>
      </c>
      <c r="O24" s="848" t="s">
        <v>1005</v>
      </c>
      <c r="P24" s="849"/>
    </row>
    <row r="25" spans="1:16" ht="15.75" customHeight="1">
      <c r="A25" s="767">
        <v>3</v>
      </c>
      <c r="B25" s="830" t="s">
        <v>1023</v>
      </c>
      <c r="C25" s="171">
        <v>1</v>
      </c>
      <c r="D25" s="578" t="s">
        <v>830</v>
      </c>
      <c r="E25" s="833"/>
      <c r="F25" s="834"/>
      <c r="G25" s="578" t="s">
        <v>1034</v>
      </c>
      <c r="H25" s="833"/>
      <c r="I25" s="834"/>
      <c r="J25" s="373">
        <v>77.8</v>
      </c>
      <c r="K25" s="14">
        <v>2.434354485776791E-2</v>
      </c>
      <c r="L25" s="373">
        <v>1.7799999999999898</v>
      </c>
      <c r="M25" s="339">
        <v>138.48399999999918</v>
      </c>
      <c r="N25" s="172"/>
      <c r="O25" s="841" t="s">
        <v>819</v>
      </c>
      <c r="P25" s="842"/>
    </row>
    <row r="26" spans="1:16" ht="15.75" customHeight="1">
      <c r="A26" s="772"/>
      <c r="B26" s="831"/>
      <c r="C26" s="171">
        <v>2</v>
      </c>
      <c r="D26" s="578" t="s">
        <v>349</v>
      </c>
      <c r="E26" s="833"/>
      <c r="F26" s="834"/>
      <c r="G26" s="578" t="s">
        <v>409</v>
      </c>
      <c r="H26" s="833"/>
      <c r="I26" s="834"/>
      <c r="J26" s="373">
        <v>127.48</v>
      </c>
      <c r="K26" s="14">
        <v>1.0235152388992671E-2</v>
      </c>
      <c r="L26" s="373">
        <v>1.0789999999999964</v>
      </c>
      <c r="M26" s="339">
        <v>137.55091999999956</v>
      </c>
      <c r="N26" s="172"/>
      <c r="O26" s="841" t="s">
        <v>819</v>
      </c>
      <c r="P26" s="842"/>
    </row>
    <row r="27" spans="1:16" ht="15.75" customHeight="1">
      <c r="A27" s="772"/>
      <c r="B27" s="831"/>
      <c r="C27" s="171">
        <v>3</v>
      </c>
      <c r="D27" s="578">
        <v>0</v>
      </c>
      <c r="E27" s="833"/>
      <c r="F27" s="834"/>
      <c r="G27" s="578">
        <v>0</v>
      </c>
      <c r="H27" s="833"/>
      <c r="I27" s="834"/>
      <c r="J27" s="373">
        <v>0</v>
      </c>
      <c r="K27" s="14">
        <v>0</v>
      </c>
      <c r="L27" s="373">
        <v>0</v>
      </c>
      <c r="M27" s="339">
        <v>0</v>
      </c>
      <c r="N27" s="172"/>
      <c r="O27" s="841"/>
      <c r="P27" s="842"/>
    </row>
    <row r="28" spans="1:16" ht="15.75" customHeight="1">
      <c r="A28" s="772"/>
      <c r="B28" s="831"/>
      <c r="C28" s="171">
        <v>4</v>
      </c>
      <c r="D28" s="578">
        <v>0</v>
      </c>
      <c r="E28" s="833"/>
      <c r="F28" s="834"/>
      <c r="G28" s="578">
        <v>0</v>
      </c>
      <c r="H28" s="833"/>
      <c r="I28" s="834"/>
      <c r="J28" s="373">
        <v>0</v>
      </c>
      <c r="K28" s="14">
        <v>0</v>
      </c>
      <c r="L28" s="373">
        <v>0</v>
      </c>
      <c r="M28" s="339">
        <v>0</v>
      </c>
      <c r="N28" s="172"/>
      <c r="O28" s="841"/>
      <c r="P28" s="842"/>
    </row>
    <row r="29" spans="1:16" ht="15.75" customHeight="1" thickBot="1">
      <c r="A29" s="772"/>
      <c r="B29" s="831"/>
      <c r="C29" s="173">
        <v>5</v>
      </c>
      <c r="D29" s="838">
        <v>0</v>
      </c>
      <c r="E29" s="839"/>
      <c r="F29" s="840"/>
      <c r="G29" s="838">
        <v>0</v>
      </c>
      <c r="H29" s="839"/>
      <c r="I29" s="840"/>
      <c r="J29" s="373">
        <v>0</v>
      </c>
      <c r="K29" s="14">
        <v>0</v>
      </c>
      <c r="L29" s="373">
        <v>0</v>
      </c>
      <c r="M29" s="339">
        <v>0</v>
      </c>
      <c r="N29" s="174"/>
      <c r="O29" s="851"/>
      <c r="P29" s="852"/>
    </row>
    <row r="30" spans="1:16" ht="15.75" customHeight="1" thickTop="1" thickBot="1">
      <c r="A30" s="768"/>
      <c r="B30" s="832"/>
      <c r="C30" s="824"/>
      <c r="D30" s="825"/>
      <c r="E30" s="825"/>
      <c r="F30" s="825"/>
      <c r="G30" s="825"/>
      <c r="H30" s="825"/>
      <c r="I30" s="826"/>
      <c r="J30" s="370" t="s">
        <v>1017</v>
      </c>
      <c r="K30" s="246">
        <v>2.8401748202033453E-3</v>
      </c>
      <c r="L30" s="370" t="s">
        <v>1018</v>
      </c>
      <c r="M30" s="248">
        <v>276.03491999999875</v>
      </c>
      <c r="N30" s="827"/>
      <c r="O30" s="828"/>
      <c r="P30" s="829"/>
    </row>
    <row r="31" spans="1:16" ht="15.75" customHeight="1" thickTop="1"/>
  </sheetData>
  <mergeCells count="85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D29:F29"/>
    <mergeCell ref="G29:I29"/>
    <mergeCell ref="O29:P29"/>
    <mergeCell ref="A24:B24"/>
    <mergeCell ref="D24:F24"/>
    <mergeCell ref="O24:P24"/>
    <mergeCell ref="A16:B16"/>
    <mergeCell ref="D16:F16"/>
    <mergeCell ref="O16:P16"/>
    <mergeCell ref="A17:A22"/>
    <mergeCell ref="B17:B22"/>
    <mergeCell ref="D17:F17"/>
    <mergeCell ref="G17:I17"/>
    <mergeCell ref="O17:P17"/>
    <mergeCell ref="D18:F18"/>
    <mergeCell ref="G18:I18"/>
    <mergeCell ref="O18:P18"/>
    <mergeCell ref="O19:P19"/>
    <mergeCell ref="D20:F20"/>
    <mergeCell ref="C22:I22"/>
    <mergeCell ref="N22:P22"/>
    <mergeCell ref="D28:F28"/>
    <mergeCell ref="G28:I28"/>
    <mergeCell ref="O28:P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9"/>
  <sheetViews>
    <sheetView view="pageBreakPreview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378" customWidth="1"/>
    <col min="2" max="2" width="11.42578125" style="379" customWidth="1"/>
    <col min="3" max="3" width="4" style="380" customWidth="1"/>
    <col min="4" max="17" width="9.5703125" style="378" customWidth="1"/>
    <col min="18" max="16384" width="12.5703125" style="378"/>
  </cols>
  <sheetData>
    <row r="1" spans="1:23" s="183" customFormat="1" ht="15.75" customHeight="1">
      <c r="A1" s="797" t="s">
        <v>718</v>
      </c>
      <c r="B1" s="797"/>
      <c r="C1" s="797"/>
      <c r="D1" s="797"/>
      <c r="E1" s="797"/>
      <c r="F1" s="797"/>
      <c r="G1" s="797"/>
      <c r="H1" s="797"/>
      <c r="I1" s="797"/>
      <c r="J1" s="797"/>
      <c r="K1" s="797"/>
      <c r="L1" s="797"/>
      <c r="M1" s="797"/>
      <c r="N1" s="797"/>
      <c r="O1" s="797"/>
      <c r="P1" s="797"/>
      <c r="Q1" s="797"/>
    </row>
    <row r="2" spans="1:23" s="184" customFormat="1" ht="15.75" customHeight="1">
      <c r="A2" s="797"/>
      <c r="B2" s="797"/>
      <c r="C2" s="797"/>
      <c r="D2" s="797"/>
      <c r="E2" s="797"/>
      <c r="F2" s="797"/>
      <c r="G2" s="797"/>
      <c r="H2" s="797"/>
      <c r="I2" s="797"/>
      <c r="J2" s="797"/>
      <c r="K2" s="797"/>
      <c r="L2" s="797"/>
      <c r="M2" s="797"/>
      <c r="N2" s="797"/>
      <c r="O2" s="797"/>
      <c r="P2" s="797"/>
      <c r="Q2" s="797"/>
    </row>
    <row r="3" spans="1:23" s="183" customFormat="1" ht="15.75" customHeight="1">
      <c r="A3" s="798" t="s">
        <v>719</v>
      </c>
      <c r="B3" s="798"/>
      <c r="C3" s="798"/>
      <c r="D3" s="798"/>
      <c r="E3" s="798"/>
      <c r="F3" s="798"/>
      <c r="G3" s="798"/>
      <c r="H3" s="798"/>
      <c r="I3" s="798"/>
      <c r="J3" s="798"/>
      <c r="K3" s="798"/>
      <c r="L3" s="798"/>
      <c r="M3" s="798"/>
      <c r="N3" s="185"/>
    </row>
    <row r="4" spans="1:23" s="184" customFormat="1" ht="15.75" customHeight="1">
      <c r="A4" s="798"/>
      <c r="B4" s="798"/>
      <c r="C4" s="798"/>
      <c r="D4" s="798"/>
      <c r="E4" s="798"/>
      <c r="F4" s="798"/>
      <c r="G4" s="798"/>
      <c r="H4" s="798"/>
      <c r="I4" s="798"/>
      <c r="J4" s="798"/>
      <c r="K4" s="798"/>
      <c r="L4" s="798"/>
      <c r="M4" s="798"/>
      <c r="N4" s="186"/>
    </row>
    <row r="5" spans="1:23" s="183" customFormat="1" ht="15.75" customHeight="1">
      <c r="A5" s="800" t="s">
        <v>712</v>
      </c>
      <c r="B5" s="803">
        <v>1</v>
      </c>
      <c r="C5" s="803"/>
      <c r="D5" s="803">
        <v>2</v>
      </c>
      <c r="E5" s="803"/>
      <c r="F5" s="803">
        <v>3</v>
      </c>
      <c r="G5" s="803"/>
      <c r="H5" s="874">
        <v>4</v>
      </c>
      <c r="I5" s="874"/>
      <c r="J5" s="874">
        <v>5</v>
      </c>
      <c r="K5" s="874"/>
      <c r="L5" s="874">
        <v>6</v>
      </c>
      <c r="M5" s="874"/>
      <c r="N5" s="874">
        <v>7</v>
      </c>
      <c r="O5" s="874"/>
      <c r="P5" s="803">
        <v>8</v>
      </c>
      <c r="Q5" s="803"/>
    </row>
    <row r="6" spans="1:23" s="183" customFormat="1" ht="15.75" customHeight="1">
      <c r="A6" s="800"/>
      <c r="B6" s="800" t="s">
        <v>720</v>
      </c>
      <c r="C6" s="800"/>
      <c r="D6" s="800" t="s">
        <v>721</v>
      </c>
      <c r="E6" s="800"/>
      <c r="F6" s="800" t="s">
        <v>722</v>
      </c>
      <c r="G6" s="800"/>
      <c r="H6" s="876" t="s">
        <v>723</v>
      </c>
      <c r="I6" s="875"/>
      <c r="J6" s="875" t="s">
        <v>724</v>
      </c>
      <c r="K6" s="875"/>
      <c r="L6" s="875" t="s">
        <v>725</v>
      </c>
      <c r="M6" s="875"/>
      <c r="N6" s="875" t="s">
        <v>726</v>
      </c>
      <c r="O6" s="875"/>
      <c r="P6" s="873" t="s">
        <v>727</v>
      </c>
      <c r="Q6" s="800"/>
    </row>
    <row r="7" spans="1:23" s="183" customFormat="1" ht="15.75" customHeight="1">
      <c r="B7" s="375"/>
      <c r="C7" s="376"/>
    </row>
    <row r="8" spans="1:23" s="377" customFormat="1" ht="15.75" customHeight="1">
      <c r="A8" s="856" t="s">
        <v>1009</v>
      </c>
      <c r="B8" s="857"/>
      <c r="C8" s="117" t="s">
        <v>1010</v>
      </c>
      <c r="D8" s="858" t="s">
        <v>12</v>
      </c>
      <c r="E8" s="859"/>
      <c r="F8" s="860"/>
      <c r="G8" s="115" t="s">
        <v>1011</v>
      </c>
      <c r="H8" s="116"/>
      <c r="I8" s="117"/>
      <c r="J8" s="114" t="s">
        <v>1012</v>
      </c>
      <c r="K8" s="114" t="s">
        <v>1032</v>
      </c>
      <c r="L8" s="114" t="s">
        <v>1014</v>
      </c>
      <c r="M8" s="118" t="s">
        <v>11</v>
      </c>
      <c r="N8" s="372" t="s">
        <v>1015</v>
      </c>
      <c r="O8" s="861" t="s">
        <v>1005</v>
      </c>
      <c r="P8" s="862"/>
      <c r="R8" s="183"/>
      <c r="S8" s="183"/>
      <c r="T8" s="183"/>
      <c r="U8" s="183"/>
      <c r="V8" s="183"/>
      <c r="W8" s="183"/>
    </row>
    <row r="9" spans="1:23" ht="15.75" customHeight="1">
      <c r="A9" s="857">
        <v>4</v>
      </c>
      <c r="B9" s="864" t="s">
        <v>709</v>
      </c>
      <c r="C9" s="112">
        <v>1</v>
      </c>
      <c r="D9" s="578" t="s">
        <v>374</v>
      </c>
      <c r="E9" s="833"/>
      <c r="F9" s="834"/>
      <c r="G9" s="578" t="s">
        <v>837</v>
      </c>
      <c r="H9" s="833"/>
      <c r="I9" s="834"/>
      <c r="J9" s="373">
        <v>432.07</v>
      </c>
      <c r="K9" s="14">
        <v>1.179391682184973E-2</v>
      </c>
      <c r="L9" s="373">
        <v>0.37999999999999828</v>
      </c>
      <c r="M9" s="339">
        <v>164.18659999999926</v>
      </c>
      <c r="N9" s="4"/>
      <c r="O9" s="841" t="s">
        <v>584</v>
      </c>
      <c r="P9" s="870"/>
      <c r="R9" s="183"/>
      <c r="S9" s="183"/>
      <c r="T9" s="183"/>
      <c r="U9" s="183"/>
      <c r="V9" s="183"/>
      <c r="W9" s="183"/>
    </row>
    <row r="10" spans="1:23" ht="15.75" customHeight="1">
      <c r="A10" s="857"/>
      <c r="B10" s="864"/>
      <c r="C10" s="112">
        <v>2</v>
      </c>
      <c r="D10" s="578" t="s">
        <v>809</v>
      </c>
      <c r="E10" s="833"/>
      <c r="F10" s="834"/>
      <c r="G10" s="578" t="s">
        <v>991</v>
      </c>
      <c r="H10" s="833"/>
      <c r="I10" s="834"/>
      <c r="J10" s="373">
        <v>73.930000000000007</v>
      </c>
      <c r="K10" s="14">
        <v>1.0115818794898075E-2</v>
      </c>
      <c r="L10" s="373">
        <v>2.0699999999999932</v>
      </c>
      <c r="M10" s="339">
        <v>153.03509999999952</v>
      </c>
      <c r="N10" s="4"/>
      <c r="O10" s="841" t="s">
        <v>584</v>
      </c>
      <c r="P10" s="870"/>
      <c r="R10" s="183"/>
      <c r="S10" s="183"/>
      <c r="T10" s="183"/>
      <c r="U10" s="183"/>
      <c r="V10" s="183"/>
      <c r="W10" s="183"/>
    </row>
    <row r="11" spans="1:23" ht="15.75" customHeight="1">
      <c r="A11" s="857"/>
      <c r="B11" s="864"/>
      <c r="C11" s="112">
        <v>3</v>
      </c>
      <c r="D11" s="578" t="s">
        <v>389</v>
      </c>
      <c r="E11" s="833"/>
      <c r="F11" s="834"/>
      <c r="G11" s="578" t="s">
        <v>1035</v>
      </c>
      <c r="H11" s="833"/>
      <c r="I11" s="834"/>
      <c r="J11" s="373">
        <v>371.13</v>
      </c>
      <c r="K11" s="14">
        <v>5.8951465201463639E-3</v>
      </c>
      <c r="L11" s="373">
        <v>0.4119999999999891</v>
      </c>
      <c r="M11" s="339">
        <v>152.90555999999594</v>
      </c>
      <c r="N11" s="4"/>
      <c r="O11" s="841" t="s">
        <v>584</v>
      </c>
      <c r="P11" s="870"/>
      <c r="R11" s="183"/>
      <c r="S11" s="183"/>
      <c r="T11" s="183"/>
      <c r="U11" s="183"/>
      <c r="V11" s="183"/>
      <c r="W11" s="183"/>
    </row>
    <row r="12" spans="1:23" ht="15.75" customHeight="1">
      <c r="A12" s="857"/>
      <c r="B12" s="864"/>
      <c r="C12" s="112">
        <v>4</v>
      </c>
      <c r="D12" s="578" t="s">
        <v>816</v>
      </c>
      <c r="E12" s="833"/>
      <c r="F12" s="834"/>
      <c r="G12" s="578" t="s">
        <v>818</v>
      </c>
      <c r="H12" s="833"/>
      <c r="I12" s="834"/>
      <c r="J12" s="373">
        <v>105.09</v>
      </c>
      <c r="K12" s="14">
        <v>1.6651031894934255E-2</v>
      </c>
      <c r="L12" s="373">
        <v>1.4199999999999933</v>
      </c>
      <c r="M12" s="339">
        <v>149.22779999999926</v>
      </c>
      <c r="N12" s="4"/>
      <c r="O12" s="841" t="s">
        <v>584</v>
      </c>
      <c r="P12" s="870"/>
      <c r="R12" s="183"/>
      <c r="S12" s="183"/>
      <c r="T12" s="183"/>
      <c r="U12" s="183"/>
      <c r="V12" s="183"/>
      <c r="W12" s="183"/>
    </row>
    <row r="13" spans="1:23" ht="15.75" customHeight="1" thickBot="1">
      <c r="A13" s="857"/>
      <c r="B13" s="864"/>
      <c r="C13" s="113">
        <v>5</v>
      </c>
      <c r="D13" s="578" t="s">
        <v>822</v>
      </c>
      <c r="E13" s="833"/>
      <c r="F13" s="834"/>
      <c r="G13" s="578" t="s">
        <v>1036</v>
      </c>
      <c r="H13" s="833"/>
      <c r="I13" s="834"/>
      <c r="J13" s="373">
        <v>50.54</v>
      </c>
      <c r="K13" s="14">
        <v>2.1715126978284999E-2</v>
      </c>
      <c r="L13" s="373">
        <v>2.9500000000000171</v>
      </c>
      <c r="M13" s="339">
        <v>149.09300000000087</v>
      </c>
      <c r="N13" s="4"/>
      <c r="O13" s="841" t="s">
        <v>584</v>
      </c>
      <c r="P13" s="870"/>
      <c r="R13" s="183"/>
      <c r="S13" s="183"/>
      <c r="T13" s="183"/>
      <c r="U13" s="183"/>
      <c r="V13" s="183"/>
      <c r="W13" s="183"/>
    </row>
    <row r="14" spans="1:23" ht="15.75" customHeight="1" thickTop="1" thickBot="1">
      <c r="A14" s="857"/>
      <c r="B14" s="864"/>
      <c r="C14" s="872"/>
      <c r="D14" s="872"/>
      <c r="E14" s="872"/>
      <c r="F14" s="872"/>
      <c r="G14" s="872"/>
      <c r="H14" s="872"/>
      <c r="I14" s="872"/>
      <c r="J14" s="247" t="s">
        <v>1017</v>
      </c>
      <c r="K14" s="246">
        <v>7.9067055380026008E-3</v>
      </c>
      <c r="L14" s="247" t="s">
        <v>1018</v>
      </c>
      <c r="M14" s="248">
        <v>768.44805999999483</v>
      </c>
      <c r="N14" s="871"/>
      <c r="O14" s="871"/>
      <c r="P14" s="871"/>
      <c r="R14" s="183"/>
      <c r="S14" s="183"/>
      <c r="T14" s="183"/>
      <c r="U14" s="183"/>
      <c r="V14" s="183"/>
      <c r="W14" s="183"/>
    </row>
    <row r="15" spans="1:23" ht="15.75" customHeight="1" thickTop="1">
      <c r="A15" s="570"/>
      <c r="B15" s="111"/>
      <c r="C15" s="109"/>
      <c r="D15" s="570"/>
      <c r="E15" s="570"/>
      <c r="F15" s="570"/>
      <c r="G15" s="570"/>
      <c r="H15" s="570"/>
      <c r="I15" s="570"/>
      <c r="J15" s="570"/>
      <c r="K15" s="570"/>
      <c r="L15" s="570"/>
      <c r="M15" s="570"/>
      <c r="N15" s="570"/>
      <c r="O15" s="570"/>
      <c r="P15" s="570"/>
      <c r="R15" s="183"/>
      <c r="S15" s="183"/>
      <c r="T15" s="183"/>
      <c r="U15" s="183"/>
      <c r="V15" s="183"/>
      <c r="W15" s="183"/>
    </row>
    <row r="16" spans="1:23" ht="15.75" customHeight="1">
      <c r="A16" s="856" t="s">
        <v>1009</v>
      </c>
      <c r="B16" s="857"/>
      <c r="C16" s="117" t="s">
        <v>1010</v>
      </c>
      <c r="D16" s="858" t="s">
        <v>12</v>
      </c>
      <c r="E16" s="859"/>
      <c r="F16" s="860"/>
      <c r="G16" s="115" t="s">
        <v>1011</v>
      </c>
      <c r="H16" s="116"/>
      <c r="I16" s="117"/>
      <c r="J16" s="114" t="s">
        <v>1012</v>
      </c>
      <c r="K16" s="114" t="s">
        <v>1032</v>
      </c>
      <c r="L16" s="114" t="s">
        <v>1014</v>
      </c>
      <c r="M16" s="118" t="s">
        <v>11</v>
      </c>
      <c r="N16" s="372" t="s">
        <v>1015</v>
      </c>
      <c r="O16" s="861" t="s">
        <v>1005</v>
      </c>
      <c r="P16" s="862"/>
      <c r="R16" s="183"/>
      <c r="S16" s="183"/>
      <c r="T16" s="183"/>
      <c r="U16" s="183"/>
      <c r="V16" s="183"/>
      <c r="W16" s="183"/>
    </row>
    <row r="17" spans="1:23" ht="15.75" customHeight="1">
      <c r="A17" s="857">
        <v>5</v>
      </c>
      <c r="B17" s="863" t="s">
        <v>212</v>
      </c>
      <c r="C17" s="112">
        <v>1</v>
      </c>
      <c r="D17" s="578" t="s">
        <v>355</v>
      </c>
      <c r="E17" s="833"/>
      <c r="F17" s="834"/>
      <c r="G17" s="578" t="s">
        <v>924</v>
      </c>
      <c r="H17" s="833"/>
      <c r="I17" s="834"/>
      <c r="J17" s="373">
        <v>581.91999999999996</v>
      </c>
      <c r="K17" s="14">
        <v>1.9672468843341378E-2</v>
      </c>
      <c r="L17" s="373">
        <v>0.38200000000000289</v>
      </c>
      <c r="M17" s="339">
        <v>222.29344000000162</v>
      </c>
      <c r="N17" s="4"/>
      <c r="O17" s="841" t="s">
        <v>728</v>
      </c>
      <c r="P17" s="842"/>
      <c r="R17" s="183"/>
      <c r="S17" s="183"/>
      <c r="T17" s="183"/>
      <c r="U17" s="183"/>
      <c r="V17" s="183"/>
      <c r="W17" s="183"/>
    </row>
    <row r="18" spans="1:23" ht="15.75" customHeight="1">
      <c r="A18" s="857"/>
      <c r="B18" s="864"/>
      <c r="C18" s="112">
        <v>2</v>
      </c>
      <c r="D18" s="578" t="s">
        <v>387</v>
      </c>
      <c r="E18" s="833"/>
      <c r="F18" s="834"/>
      <c r="G18" s="578" t="s">
        <v>408</v>
      </c>
      <c r="H18" s="833"/>
      <c r="I18" s="834"/>
      <c r="J18" s="373">
        <v>420.33</v>
      </c>
      <c r="K18" s="14">
        <v>5.9009194455880492E-3</v>
      </c>
      <c r="L18" s="373">
        <v>0.43000000000000116</v>
      </c>
      <c r="M18" s="339">
        <v>180.74190000000044</v>
      </c>
      <c r="N18" s="4"/>
      <c r="O18" s="841" t="s">
        <v>728</v>
      </c>
      <c r="P18" s="842"/>
      <c r="R18" s="183"/>
      <c r="S18" s="183"/>
      <c r="T18" s="183"/>
      <c r="U18" s="183"/>
      <c r="V18" s="183"/>
      <c r="W18" s="183"/>
    </row>
    <row r="19" spans="1:23" ht="15.75" customHeight="1">
      <c r="A19" s="857"/>
      <c r="B19" s="864"/>
      <c r="C19" s="112">
        <v>3</v>
      </c>
      <c r="D19" s="578" t="s">
        <v>347</v>
      </c>
      <c r="E19" s="833"/>
      <c r="F19" s="834"/>
      <c r="G19" s="578" t="s">
        <v>989</v>
      </c>
      <c r="H19" s="833"/>
      <c r="I19" s="834"/>
      <c r="J19" s="373">
        <v>272.74</v>
      </c>
      <c r="K19" s="14">
        <v>8.3918007979089208E-3</v>
      </c>
      <c r="L19" s="373">
        <v>0.60999999999999943</v>
      </c>
      <c r="M19" s="339">
        <v>166.37139999999982</v>
      </c>
      <c r="N19" s="4"/>
      <c r="O19" s="841" t="s">
        <v>728</v>
      </c>
      <c r="P19" s="842"/>
      <c r="R19" s="183"/>
      <c r="S19" s="183"/>
      <c r="T19" s="183"/>
      <c r="U19" s="183"/>
      <c r="V19" s="183"/>
      <c r="W19" s="183"/>
    </row>
    <row r="20" spans="1:23" ht="15.75" customHeight="1">
      <c r="A20" s="857"/>
      <c r="B20" s="864"/>
      <c r="C20" s="112">
        <v>4</v>
      </c>
      <c r="D20" s="578" t="s">
        <v>352</v>
      </c>
      <c r="E20" s="833"/>
      <c r="F20" s="834"/>
      <c r="G20" s="578" t="s">
        <v>808</v>
      </c>
      <c r="H20" s="833"/>
      <c r="I20" s="834"/>
      <c r="J20" s="373">
        <v>136.88999999999999</v>
      </c>
      <c r="K20" s="14">
        <v>4.4053590285111615E-3</v>
      </c>
      <c r="L20" s="373">
        <v>1.0680000000000178</v>
      </c>
      <c r="M20" s="339">
        <v>146.19852000000239</v>
      </c>
      <c r="N20" s="4"/>
      <c r="O20" s="841" t="s">
        <v>728</v>
      </c>
      <c r="P20" s="842"/>
      <c r="R20" s="183"/>
      <c r="S20" s="183"/>
      <c r="T20" s="183"/>
      <c r="U20" s="183"/>
      <c r="V20" s="183"/>
      <c r="W20" s="183"/>
    </row>
    <row r="21" spans="1:23" ht="15.75" customHeight="1" thickBot="1">
      <c r="A21" s="857"/>
      <c r="B21" s="864"/>
      <c r="C21" s="113">
        <v>5</v>
      </c>
      <c r="D21" s="578" t="s">
        <v>943</v>
      </c>
      <c r="E21" s="833"/>
      <c r="F21" s="834"/>
      <c r="G21" s="578" t="s">
        <v>950</v>
      </c>
      <c r="H21" s="833"/>
      <c r="I21" s="834"/>
      <c r="J21" s="373">
        <v>261.2</v>
      </c>
      <c r="K21" s="14">
        <v>9.0466249130132514E-3</v>
      </c>
      <c r="L21" s="373">
        <v>0.52000000000000168</v>
      </c>
      <c r="M21" s="339">
        <v>135.82400000000041</v>
      </c>
      <c r="N21" s="4"/>
      <c r="O21" s="841" t="s">
        <v>728</v>
      </c>
      <c r="P21" s="842"/>
      <c r="R21" s="183"/>
      <c r="S21" s="183"/>
      <c r="T21" s="183"/>
      <c r="U21" s="183"/>
      <c r="V21" s="183"/>
      <c r="W21" s="183"/>
    </row>
    <row r="22" spans="1:23" ht="15.75" customHeight="1" thickTop="1" thickBot="1">
      <c r="A22" s="857"/>
      <c r="B22" s="864"/>
      <c r="C22" s="865"/>
      <c r="D22" s="865"/>
      <c r="E22" s="865"/>
      <c r="F22" s="865"/>
      <c r="G22" s="865"/>
      <c r="H22" s="865"/>
      <c r="I22" s="866"/>
      <c r="J22" s="119" t="s">
        <v>1017</v>
      </c>
      <c r="K22" s="246">
        <v>8.7605145951693067E-3</v>
      </c>
      <c r="L22" s="119" t="s">
        <v>1018</v>
      </c>
      <c r="M22" s="248">
        <v>851.42926000000477</v>
      </c>
      <c r="N22" s="867"/>
      <c r="O22" s="868"/>
      <c r="P22" s="869"/>
      <c r="R22" s="183"/>
      <c r="S22" s="183"/>
      <c r="T22" s="183"/>
      <c r="U22" s="183"/>
      <c r="V22" s="183"/>
      <c r="W22" s="183"/>
    </row>
    <row r="23" spans="1:23" ht="15.75" customHeight="1" thickTop="1">
      <c r="A23" s="570"/>
      <c r="B23" s="111"/>
      <c r="C23" s="109"/>
      <c r="D23" s="570"/>
      <c r="E23" s="570"/>
      <c r="F23" s="570"/>
      <c r="G23" s="570"/>
      <c r="H23" s="570"/>
      <c r="I23" s="570"/>
      <c r="J23" s="570"/>
      <c r="K23" s="570"/>
      <c r="L23" s="570"/>
      <c r="M23" s="570"/>
      <c r="N23" s="570"/>
      <c r="O23" s="570"/>
      <c r="P23" s="570"/>
      <c r="R23" s="183"/>
      <c r="S23" s="183"/>
      <c r="T23" s="183"/>
      <c r="U23" s="183"/>
      <c r="V23" s="183"/>
      <c r="W23" s="183"/>
    </row>
    <row r="24" spans="1:23" ht="15.75" customHeight="1">
      <c r="A24" s="856" t="s">
        <v>1009</v>
      </c>
      <c r="B24" s="857"/>
      <c r="C24" s="117" t="s">
        <v>1010</v>
      </c>
      <c r="D24" s="858" t="s">
        <v>12</v>
      </c>
      <c r="E24" s="859"/>
      <c r="F24" s="860"/>
      <c r="G24" s="115" t="s">
        <v>1011</v>
      </c>
      <c r="H24" s="116"/>
      <c r="I24" s="117"/>
      <c r="J24" s="114" t="s">
        <v>1012</v>
      </c>
      <c r="K24" s="114" t="s">
        <v>1032</v>
      </c>
      <c r="L24" s="114" t="s">
        <v>1014</v>
      </c>
      <c r="M24" s="118" t="s">
        <v>11</v>
      </c>
      <c r="N24" s="372" t="s">
        <v>1015</v>
      </c>
      <c r="O24" s="861" t="s">
        <v>1005</v>
      </c>
      <c r="P24" s="862"/>
      <c r="R24" s="183"/>
      <c r="S24" s="183"/>
      <c r="T24" s="183"/>
      <c r="U24" s="183"/>
      <c r="V24" s="183"/>
      <c r="W24" s="183"/>
    </row>
    <row r="25" spans="1:23" ht="15.75" customHeight="1">
      <c r="A25" s="857">
        <v>6</v>
      </c>
      <c r="B25" s="863" t="s">
        <v>213</v>
      </c>
      <c r="C25" s="112">
        <v>1</v>
      </c>
      <c r="D25" s="578" t="s">
        <v>911</v>
      </c>
      <c r="E25" s="833"/>
      <c r="F25" s="834"/>
      <c r="G25" s="578" t="s">
        <v>354</v>
      </c>
      <c r="H25" s="833"/>
      <c r="I25" s="834"/>
      <c r="J25" s="373">
        <v>487.6</v>
      </c>
      <c r="K25" s="14">
        <v>8.5971901866220418E-3</v>
      </c>
      <c r="L25" s="373">
        <v>0.41000000000000514</v>
      </c>
      <c r="M25" s="339">
        <v>199.9160000000025</v>
      </c>
      <c r="N25" s="4"/>
      <c r="O25" s="841" t="s">
        <v>1037</v>
      </c>
      <c r="P25" s="870"/>
      <c r="R25" s="183"/>
      <c r="S25" s="183"/>
      <c r="T25" s="183"/>
      <c r="U25" s="183"/>
      <c r="V25" s="183"/>
      <c r="W25" s="183"/>
    </row>
    <row r="26" spans="1:23" ht="15.75" customHeight="1">
      <c r="A26" s="857"/>
      <c r="B26" s="864"/>
      <c r="C26" s="112">
        <v>2</v>
      </c>
      <c r="D26" s="578" t="s">
        <v>910</v>
      </c>
      <c r="E26" s="833"/>
      <c r="F26" s="834"/>
      <c r="G26" s="578" t="s">
        <v>915</v>
      </c>
      <c r="H26" s="833"/>
      <c r="I26" s="834"/>
      <c r="J26" s="373">
        <v>444.88</v>
      </c>
      <c r="K26" s="14">
        <v>1.6671485014936781E-2</v>
      </c>
      <c r="L26" s="373">
        <v>0.34599999999999798</v>
      </c>
      <c r="M26" s="339">
        <v>153.9284799999991</v>
      </c>
      <c r="N26" s="4"/>
      <c r="O26" s="841" t="s">
        <v>1037</v>
      </c>
      <c r="P26" s="870"/>
      <c r="R26" s="183"/>
      <c r="S26" s="183"/>
      <c r="T26" s="183"/>
      <c r="U26" s="183"/>
      <c r="V26" s="183"/>
      <c r="W26" s="183"/>
    </row>
    <row r="27" spans="1:23" ht="15.75" customHeight="1">
      <c r="A27" s="857"/>
      <c r="B27" s="864"/>
      <c r="C27" s="112">
        <v>3</v>
      </c>
      <c r="D27" s="578">
        <v>0</v>
      </c>
      <c r="E27" s="833"/>
      <c r="F27" s="834"/>
      <c r="G27" s="578">
        <v>0</v>
      </c>
      <c r="H27" s="833"/>
      <c r="I27" s="834"/>
      <c r="J27" s="373">
        <v>0</v>
      </c>
      <c r="K27" s="14">
        <v>0</v>
      </c>
      <c r="L27" s="373">
        <v>0</v>
      </c>
      <c r="M27" s="339">
        <v>0</v>
      </c>
      <c r="N27" s="4"/>
      <c r="O27" s="841"/>
      <c r="P27" s="870"/>
      <c r="R27" s="183"/>
      <c r="S27" s="183"/>
      <c r="T27" s="183"/>
      <c r="U27" s="183"/>
      <c r="V27" s="183"/>
      <c r="W27" s="183"/>
    </row>
    <row r="28" spans="1:23" ht="15.75" customHeight="1">
      <c r="A28" s="857"/>
      <c r="B28" s="864"/>
      <c r="C28" s="112">
        <v>4</v>
      </c>
      <c r="D28" s="578">
        <v>0</v>
      </c>
      <c r="E28" s="833"/>
      <c r="F28" s="834"/>
      <c r="G28" s="578">
        <v>0</v>
      </c>
      <c r="H28" s="833"/>
      <c r="I28" s="834"/>
      <c r="J28" s="373">
        <v>0</v>
      </c>
      <c r="K28" s="14">
        <v>0</v>
      </c>
      <c r="L28" s="373">
        <v>0</v>
      </c>
      <c r="M28" s="339">
        <v>0</v>
      </c>
      <c r="N28" s="4"/>
      <c r="O28" s="841"/>
      <c r="P28" s="870"/>
      <c r="R28" s="183"/>
      <c r="S28" s="183"/>
      <c r="T28" s="183"/>
      <c r="U28" s="183"/>
      <c r="V28" s="183"/>
      <c r="W28" s="183"/>
    </row>
    <row r="29" spans="1:23" ht="15.75" customHeight="1" thickBot="1">
      <c r="A29" s="857"/>
      <c r="B29" s="864"/>
      <c r="C29" s="113">
        <v>5</v>
      </c>
      <c r="D29" s="578">
        <v>0</v>
      </c>
      <c r="E29" s="833"/>
      <c r="F29" s="834"/>
      <c r="G29" s="578">
        <v>0</v>
      </c>
      <c r="H29" s="833"/>
      <c r="I29" s="834"/>
      <c r="J29" s="373">
        <v>0</v>
      </c>
      <c r="K29" s="14">
        <v>0</v>
      </c>
      <c r="L29" s="373">
        <v>0</v>
      </c>
      <c r="M29" s="339">
        <v>0</v>
      </c>
      <c r="N29" s="4"/>
      <c r="O29" s="841"/>
      <c r="P29" s="870"/>
      <c r="R29" s="183"/>
      <c r="S29" s="183"/>
      <c r="T29" s="183"/>
      <c r="U29" s="183"/>
      <c r="V29" s="183"/>
      <c r="W29" s="183"/>
    </row>
    <row r="30" spans="1:23" ht="15.75" customHeight="1" thickTop="1" thickBot="1">
      <c r="A30" s="857"/>
      <c r="B30" s="864"/>
      <c r="C30" s="865"/>
      <c r="D30" s="865"/>
      <c r="E30" s="865"/>
      <c r="F30" s="865"/>
      <c r="G30" s="865"/>
      <c r="H30" s="865"/>
      <c r="I30" s="866"/>
      <c r="J30" s="119" t="s">
        <v>1017</v>
      </c>
      <c r="K30" s="246">
        <v>3.6407719080033614E-3</v>
      </c>
      <c r="L30" s="119" t="s">
        <v>1018</v>
      </c>
      <c r="M30" s="248">
        <v>353.84448000000157</v>
      </c>
      <c r="N30" s="867"/>
      <c r="O30" s="868"/>
      <c r="P30" s="869"/>
      <c r="R30" s="183"/>
      <c r="S30" s="183"/>
      <c r="T30" s="183"/>
      <c r="U30" s="183"/>
      <c r="V30" s="183"/>
      <c r="W30" s="183"/>
    </row>
    <row r="31" spans="1:23" ht="15.75" customHeight="1" thickTop="1">
      <c r="A31" s="570"/>
      <c r="B31" s="111"/>
      <c r="C31" s="109"/>
      <c r="D31" s="570"/>
      <c r="E31" s="570"/>
      <c r="F31" s="570"/>
      <c r="G31" s="570"/>
      <c r="H31" s="570"/>
      <c r="I31" s="570"/>
      <c r="J31" s="570"/>
      <c r="K31" s="570"/>
      <c r="L31" s="570"/>
      <c r="M31" s="570"/>
      <c r="N31" s="570"/>
      <c r="O31" s="570"/>
      <c r="P31" s="570"/>
      <c r="R31" s="183"/>
      <c r="S31" s="183"/>
      <c r="T31" s="183"/>
      <c r="U31" s="183"/>
      <c r="V31" s="183"/>
      <c r="W31" s="183"/>
    </row>
    <row r="32" spans="1:23" ht="15.75" customHeight="1">
      <c r="A32" s="856" t="s">
        <v>1009</v>
      </c>
      <c r="B32" s="857"/>
      <c r="C32" s="117" t="s">
        <v>1010</v>
      </c>
      <c r="D32" s="858" t="s">
        <v>12</v>
      </c>
      <c r="E32" s="859"/>
      <c r="F32" s="860"/>
      <c r="G32" s="115" t="s">
        <v>1011</v>
      </c>
      <c r="H32" s="116"/>
      <c r="I32" s="117"/>
      <c r="J32" s="114" t="s">
        <v>1012</v>
      </c>
      <c r="K32" s="114" t="s">
        <v>1032</v>
      </c>
      <c r="L32" s="114" t="s">
        <v>1014</v>
      </c>
      <c r="M32" s="118" t="s">
        <v>11</v>
      </c>
      <c r="N32" s="118" t="s">
        <v>13</v>
      </c>
      <c r="O32" s="861" t="s">
        <v>1005</v>
      </c>
      <c r="P32" s="862"/>
      <c r="R32" s="183"/>
      <c r="S32" s="183"/>
      <c r="T32" s="183"/>
      <c r="U32" s="183"/>
      <c r="V32" s="183"/>
      <c r="W32" s="183"/>
    </row>
    <row r="33" spans="1:23" ht="15.75" customHeight="1">
      <c r="A33" s="857">
        <v>7</v>
      </c>
      <c r="B33" s="863" t="s">
        <v>1030</v>
      </c>
      <c r="C33" s="112">
        <v>1</v>
      </c>
      <c r="D33" s="578" t="s">
        <v>951</v>
      </c>
      <c r="E33" s="833"/>
      <c r="F33" s="834"/>
      <c r="G33" s="578" t="s">
        <v>952</v>
      </c>
      <c r="H33" s="833"/>
      <c r="I33" s="834"/>
      <c r="J33" s="373">
        <v>2485</v>
      </c>
      <c r="K33" s="14">
        <v>1.4563901161839374E-2</v>
      </c>
      <c r="L33" s="373">
        <v>8.9000000000000412E-2</v>
      </c>
      <c r="M33" s="339">
        <v>221.16500000000102</v>
      </c>
      <c r="N33" s="4"/>
      <c r="O33" s="841" t="s">
        <v>1031</v>
      </c>
      <c r="P33" s="870"/>
      <c r="R33" s="183"/>
      <c r="S33" s="183"/>
      <c r="T33" s="183"/>
      <c r="U33" s="183"/>
      <c r="V33" s="183"/>
      <c r="W33" s="183"/>
    </row>
    <row r="34" spans="1:23" ht="15.75" customHeight="1">
      <c r="A34" s="857"/>
      <c r="B34" s="864"/>
      <c r="C34" s="112">
        <v>2</v>
      </c>
      <c r="D34" s="578" t="s">
        <v>835</v>
      </c>
      <c r="E34" s="833"/>
      <c r="F34" s="834"/>
      <c r="G34" s="578" t="s">
        <v>842</v>
      </c>
      <c r="H34" s="833"/>
      <c r="I34" s="834"/>
      <c r="J34" s="373">
        <v>730.4</v>
      </c>
      <c r="K34" s="14">
        <v>0.39968895800933124</v>
      </c>
      <c r="L34" s="373">
        <v>0.25700000000000001</v>
      </c>
      <c r="M34" s="339">
        <v>187.71279999999999</v>
      </c>
      <c r="N34" s="4"/>
      <c r="O34" s="841" t="s">
        <v>1031</v>
      </c>
      <c r="P34" s="870"/>
      <c r="R34" s="183"/>
      <c r="S34" s="183"/>
      <c r="T34" s="183"/>
      <c r="U34" s="183"/>
      <c r="V34" s="183"/>
      <c r="W34" s="183"/>
    </row>
    <row r="35" spans="1:23" ht="15.75" customHeight="1">
      <c r="A35" s="857"/>
      <c r="B35" s="864"/>
      <c r="C35" s="112">
        <v>3</v>
      </c>
      <c r="D35" s="578" t="s">
        <v>925</v>
      </c>
      <c r="E35" s="833"/>
      <c r="F35" s="834"/>
      <c r="G35" s="578" t="s">
        <v>926</v>
      </c>
      <c r="H35" s="833"/>
      <c r="I35" s="834"/>
      <c r="J35" s="373">
        <v>651.53</v>
      </c>
      <c r="K35" s="14">
        <v>9.0399796282149333E-3</v>
      </c>
      <c r="L35" s="373">
        <v>0.28400000000000036</v>
      </c>
      <c r="M35" s="339">
        <v>185.03452000000021</v>
      </c>
      <c r="N35" s="4"/>
      <c r="O35" s="841" t="s">
        <v>1031</v>
      </c>
      <c r="P35" s="870"/>
      <c r="R35" s="183"/>
      <c r="S35" s="183"/>
      <c r="T35" s="183"/>
      <c r="U35" s="183"/>
      <c r="V35" s="183"/>
      <c r="W35" s="183"/>
    </row>
    <row r="36" spans="1:23" ht="15.75" customHeight="1">
      <c r="A36" s="857"/>
      <c r="B36" s="864"/>
      <c r="C36" s="112">
        <v>4</v>
      </c>
      <c r="D36" s="578" t="s">
        <v>345</v>
      </c>
      <c r="E36" s="833"/>
      <c r="F36" s="834"/>
      <c r="G36" s="578" t="s">
        <v>949</v>
      </c>
      <c r="H36" s="833"/>
      <c r="I36" s="834"/>
      <c r="J36" s="373">
        <v>846.44</v>
      </c>
      <c r="K36" s="14">
        <v>3.8604742308446023E-2</v>
      </c>
      <c r="L36" s="373">
        <v>0.19700000000000006</v>
      </c>
      <c r="M36" s="339">
        <v>166.74868000000006</v>
      </c>
      <c r="N36" s="4"/>
      <c r="O36" s="841" t="s">
        <v>916</v>
      </c>
      <c r="P36" s="870"/>
      <c r="R36" s="183"/>
      <c r="S36" s="183"/>
      <c r="T36" s="183"/>
      <c r="U36" s="183"/>
      <c r="V36" s="183"/>
      <c r="W36" s="183"/>
    </row>
    <row r="37" spans="1:23" ht="15.75" customHeight="1" thickBot="1">
      <c r="A37" s="857"/>
      <c r="B37" s="864"/>
      <c r="C37" s="113">
        <v>5</v>
      </c>
      <c r="D37" s="578" t="s">
        <v>348</v>
      </c>
      <c r="E37" s="833"/>
      <c r="F37" s="834"/>
      <c r="G37" s="578" t="s">
        <v>879</v>
      </c>
      <c r="H37" s="833"/>
      <c r="I37" s="834"/>
      <c r="J37" s="373">
        <v>1760</v>
      </c>
      <c r="K37" s="14">
        <v>5.1248357424441567E-2</v>
      </c>
      <c r="L37" s="373">
        <v>7.8000000000000069E-2</v>
      </c>
      <c r="M37" s="339">
        <v>137.28000000000011</v>
      </c>
      <c r="N37" s="4"/>
      <c r="O37" s="841" t="s">
        <v>916</v>
      </c>
      <c r="P37" s="870"/>
      <c r="R37" s="183"/>
      <c r="S37" s="183"/>
      <c r="T37" s="183"/>
      <c r="U37" s="183"/>
      <c r="V37" s="183"/>
      <c r="W37" s="183"/>
    </row>
    <row r="38" spans="1:23" ht="15.75" customHeight="1" thickTop="1" thickBot="1">
      <c r="A38" s="857"/>
      <c r="B38" s="864"/>
      <c r="C38" s="865"/>
      <c r="D38" s="865"/>
      <c r="E38" s="865"/>
      <c r="F38" s="865"/>
      <c r="G38" s="865"/>
      <c r="H38" s="865"/>
      <c r="I38" s="866"/>
      <c r="J38" s="119" t="s">
        <v>1017</v>
      </c>
      <c r="K38" s="246">
        <v>9.239082570524873E-3</v>
      </c>
      <c r="L38" s="119" t="s">
        <v>1018</v>
      </c>
      <c r="M38" s="248">
        <v>897.9410000000014</v>
      </c>
      <c r="N38" s="867"/>
      <c r="O38" s="868"/>
      <c r="P38" s="869"/>
      <c r="R38" s="183"/>
      <c r="S38" s="183"/>
      <c r="T38" s="183"/>
      <c r="U38" s="183"/>
      <c r="V38" s="183"/>
      <c r="W38" s="183"/>
    </row>
    <row r="39" spans="1:23" ht="15.75" customHeight="1" thickTop="1"/>
  </sheetData>
  <mergeCells count="10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S31" sqref="S31"/>
    </sheetView>
  </sheetViews>
  <sheetFormatPr defaultColWidth="12.5703125" defaultRowHeight="15.75" customHeight="1"/>
  <cols>
    <col min="1" max="1" width="5.42578125" style="120" customWidth="1"/>
    <col min="2" max="2" width="7.85546875" style="176" customWidth="1"/>
    <col min="3" max="3" width="4" style="161" customWidth="1"/>
    <col min="4" max="17" width="8.5703125" style="120" customWidth="1"/>
    <col min="18" max="16384" width="12.5703125" style="120"/>
  </cols>
  <sheetData>
    <row r="1" spans="1:17" ht="15.75" customHeight="1">
      <c r="A1" s="605" t="s">
        <v>204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</row>
    <row r="2" spans="1:17" s="121" customFormat="1" ht="15.75" customHeight="1">
      <c r="A2" s="605"/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5"/>
    </row>
    <row r="3" spans="1:17" ht="15.75" customHeight="1">
      <c r="A3" s="750" t="s">
        <v>215</v>
      </c>
      <c r="B3" s="750"/>
      <c r="C3" s="750"/>
      <c r="D3" s="750"/>
      <c r="E3" s="750"/>
      <c r="F3" s="750"/>
      <c r="G3" s="750"/>
      <c r="H3" s="750"/>
      <c r="I3" s="750"/>
      <c r="J3" s="750"/>
      <c r="K3" s="750"/>
      <c r="L3" s="750"/>
      <c r="M3" s="750"/>
      <c r="N3" s="750"/>
      <c r="O3" s="750"/>
      <c r="P3" s="750"/>
      <c r="Q3" s="750"/>
    </row>
    <row r="4" spans="1:17" s="121" customFormat="1" ht="15.75" customHeight="1">
      <c r="A4" s="882"/>
      <c r="B4" s="882"/>
      <c r="C4" s="882"/>
      <c r="D4" s="882"/>
      <c r="E4" s="882"/>
      <c r="F4" s="882"/>
      <c r="G4" s="882"/>
      <c r="H4" s="882"/>
      <c r="I4" s="882"/>
      <c r="J4" s="882"/>
      <c r="K4" s="882"/>
      <c r="L4" s="882"/>
      <c r="M4" s="882"/>
      <c r="N4" s="882"/>
      <c r="O4" s="882"/>
      <c r="P4" s="882"/>
      <c r="Q4" s="882"/>
    </row>
    <row r="5" spans="1:17" ht="15.75" customHeight="1">
      <c r="A5" s="624" t="s">
        <v>190</v>
      </c>
      <c r="B5" s="850">
        <v>1</v>
      </c>
      <c r="C5" s="850"/>
      <c r="D5" s="850">
        <v>2</v>
      </c>
      <c r="E5" s="850"/>
      <c r="F5" s="850">
        <v>3</v>
      </c>
      <c r="G5" s="850"/>
      <c r="H5" s="850">
        <v>4</v>
      </c>
      <c r="I5" s="850"/>
      <c r="J5" s="850">
        <v>5</v>
      </c>
      <c r="K5" s="850"/>
      <c r="L5" s="850">
        <v>6</v>
      </c>
      <c r="M5" s="850"/>
      <c r="N5" s="850">
        <v>7</v>
      </c>
      <c r="O5" s="850"/>
      <c r="P5" s="854">
        <v>8</v>
      </c>
      <c r="Q5" s="854"/>
    </row>
    <row r="6" spans="1:17" ht="15.75" customHeight="1">
      <c r="A6" s="624"/>
      <c r="B6" s="624" t="s">
        <v>323</v>
      </c>
      <c r="C6" s="624"/>
      <c r="D6" s="624" t="s">
        <v>216</v>
      </c>
      <c r="E6" s="624"/>
      <c r="F6" s="624" t="s">
        <v>164</v>
      </c>
      <c r="G6" s="624"/>
      <c r="H6" s="624" t="s">
        <v>709</v>
      </c>
      <c r="I6" s="624"/>
      <c r="J6" s="624" t="s">
        <v>188</v>
      </c>
      <c r="K6" s="624"/>
      <c r="L6" s="624" t="s">
        <v>165</v>
      </c>
      <c r="M6" s="624"/>
      <c r="N6" s="624" t="s">
        <v>189</v>
      </c>
      <c r="O6" s="624"/>
      <c r="P6" s="855" t="s">
        <v>217</v>
      </c>
      <c r="Q6" s="855"/>
    </row>
    <row r="8" spans="1:17" s="154" customFormat="1" ht="15.75" customHeight="1">
      <c r="A8" s="163" t="s">
        <v>192</v>
      </c>
      <c r="B8" s="180" t="s">
        <v>18</v>
      </c>
      <c r="C8" s="880" t="s">
        <v>12</v>
      </c>
      <c r="D8" s="880"/>
      <c r="E8" s="880"/>
      <c r="F8" s="880" t="s">
        <v>53</v>
      </c>
      <c r="G8" s="880"/>
      <c r="H8" s="880"/>
      <c r="I8" s="180" t="s">
        <v>54</v>
      </c>
      <c r="J8" s="181" t="s">
        <v>19</v>
      </c>
      <c r="K8" s="180" t="s">
        <v>57</v>
      </c>
      <c r="L8" s="180" t="s">
        <v>2</v>
      </c>
      <c r="M8" s="883" t="s">
        <v>50</v>
      </c>
      <c r="N8" s="884"/>
      <c r="O8" s="884"/>
      <c r="P8" s="884"/>
      <c r="Q8" s="884"/>
    </row>
    <row r="9" spans="1:17" ht="15.75" customHeight="1">
      <c r="A9" s="880" t="s">
        <v>191</v>
      </c>
      <c r="B9" s="156">
        <v>1</v>
      </c>
      <c r="C9" s="733"/>
      <c r="D9" s="731"/>
      <c r="E9" s="731"/>
      <c r="F9" s="733"/>
      <c r="G9" s="731"/>
      <c r="H9" s="731"/>
      <c r="I9" s="164"/>
      <c r="J9" s="178"/>
      <c r="K9" s="178"/>
      <c r="L9" s="179">
        <f>K9-J9</f>
        <v>0</v>
      </c>
      <c r="M9" s="733"/>
      <c r="N9" s="733"/>
      <c r="O9" s="733"/>
      <c r="P9" s="733"/>
      <c r="Q9" s="733"/>
    </row>
    <row r="10" spans="1:17" ht="15.75" customHeight="1">
      <c r="A10" s="881"/>
      <c r="B10" s="156">
        <v>2</v>
      </c>
      <c r="C10" s="733"/>
      <c r="D10" s="731"/>
      <c r="E10" s="731"/>
      <c r="F10" s="733"/>
      <c r="G10" s="731"/>
      <c r="H10" s="731"/>
      <c r="I10" s="164"/>
      <c r="J10" s="178"/>
      <c r="K10" s="178"/>
      <c r="L10" s="179">
        <f>K10-J10</f>
        <v>0</v>
      </c>
      <c r="M10" s="733"/>
      <c r="N10" s="733"/>
      <c r="O10" s="733"/>
      <c r="P10" s="733"/>
      <c r="Q10" s="733"/>
    </row>
    <row r="11" spans="1:17" ht="15.75" customHeight="1">
      <c r="A11" s="881"/>
      <c r="B11" s="156">
        <v>3</v>
      </c>
      <c r="C11" s="733"/>
      <c r="D11" s="731"/>
      <c r="E11" s="731"/>
      <c r="F11" s="733"/>
      <c r="G11" s="731"/>
      <c r="H11" s="731"/>
      <c r="I11" s="164"/>
      <c r="J11" s="178"/>
      <c r="K11" s="178"/>
      <c r="L11" s="179">
        <f>K11-J11</f>
        <v>0</v>
      </c>
      <c r="M11" s="733"/>
      <c r="N11" s="733"/>
      <c r="O11" s="733"/>
      <c r="P11" s="733"/>
      <c r="Q11" s="733"/>
    </row>
    <row r="12" spans="1:17" ht="15.75" customHeight="1">
      <c r="A12" s="881"/>
      <c r="B12" s="156">
        <v>4</v>
      </c>
      <c r="C12" s="733"/>
      <c r="D12" s="731"/>
      <c r="E12" s="731"/>
      <c r="F12" s="733"/>
      <c r="G12" s="731"/>
      <c r="H12" s="731"/>
      <c r="I12" s="164"/>
      <c r="J12" s="178"/>
      <c r="K12" s="178"/>
      <c r="L12" s="179">
        <f>K12-J12</f>
        <v>0</v>
      </c>
      <c r="M12" s="733"/>
      <c r="N12" s="733"/>
      <c r="O12" s="733"/>
      <c r="P12" s="733"/>
      <c r="Q12" s="733"/>
    </row>
    <row r="13" spans="1:17" ht="15.75" customHeight="1">
      <c r="A13" s="881"/>
      <c r="B13" s="156">
        <v>5</v>
      </c>
      <c r="C13" s="733"/>
      <c r="D13" s="731"/>
      <c r="E13" s="731"/>
      <c r="F13" s="733"/>
      <c r="G13" s="731"/>
      <c r="H13" s="731"/>
      <c r="I13" s="164"/>
      <c r="J13" s="178"/>
      <c r="K13" s="178"/>
      <c r="L13" s="179">
        <f>K13-J13</f>
        <v>0</v>
      </c>
      <c r="M13" s="733"/>
      <c r="N13" s="733"/>
      <c r="O13" s="733"/>
      <c r="P13" s="733"/>
      <c r="Q13" s="733"/>
    </row>
    <row r="14" spans="1:17" ht="15.75" customHeight="1">
      <c r="A14" s="878"/>
      <c r="B14" s="878"/>
      <c r="C14" s="878"/>
      <c r="D14" s="878"/>
      <c r="E14" s="878"/>
      <c r="F14" s="878"/>
      <c r="G14" s="878"/>
      <c r="H14" s="878"/>
      <c r="I14" s="878"/>
      <c r="J14" s="878"/>
      <c r="K14" s="878"/>
      <c r="L14" s="878"/>
      <c r="M14" s="878"/>
      <c r="N14" s="878"/>
      <c r="O14" s="879"/>
    </row>
    <row r="15" spans="1:17" s="154" customFormat="1" ht="15.75" customHeight="1">
      <c r="A15" s="163" t="s">
        <v>192</v>
      </c>
      <c r="B15" s="163" t="s">
        <v>18</v>
      </c>
      <c r="C15" s="877" t="s">
        <v>12</v>
      </c>
      <c r="D15" s="877"/>
      <c r="E15" s="877"/>
      <c r="F15" s="877" t="s">
        <v>53</v>
      </c>
      <c r="G15" s="877"/>
      <c r="H15" s="877"/>
      <c r="I15" s="163" t="s">
        <v>54</v>
      </c>
      <c r="J15" s="177" t="s">
        <v>19</v>
      </c>
      <c r="K15" s="163" t="s">
        <v>57</v>
      </c>
      <c r="L15" s="163" t="s">
        <v>2</v>
      </c>
      <c r="M15" s="877" t="s">
        <v>50</v>
      </c>
      <c r="N15" s="877"/>
      <c r="O15" s="877"/>
      <c r="P15" s="877"/>
      <c r="Q15" s="877"/>
    </row>
    <row r="16" spans="1:17" ht="15.75" customHeight="1">
      <c r="A16" s="877" t="s">
        <v>193</v>
      </c>
      <c r="B16" s="156">
        <v>1</v>
      </c>
      <c r="C16" s="733"/>
      <c r="D16" s="731"/>
      <c r="E16" s="731"/>
      <c r="F16" s="733"/>
      <c r="G16" s="731"/>
      <c r="H16" s="731"/>
      <c r="I16" s="164"/>
      <c r="J16" s="178"/>
      <c r="K16" s="178"/>
      <c r="L16" s="179">
        <f>K16-J16</f>
        <v>0</v>
      </c>
      <c r="M16" s="733"/>
      <c r="N16" s="733"/>
      <c r="O16" s="733"/>
      <c r="P16" s="733"/>
      <c r="Q16" s="733"/>
    </row>
    <row r="17" spans="1:17" ht="15.75" customHeight="1">
      <c r="A17" s="877"/>
      <c r="B17" s="156">
        <v>2</v>
      </c>
      <c r="C17" s="733"/>
      <c r="D17" s="731"/>
      <c r="E17" s="731"/>
      <c r="F17" s="733"/>
      <c r="G17" s="731"/>
      <c r="H17" s="731"/>
      <c r="I17" s="164"/>
      <c r="J17" s="178"/>
      <c r="K17" s="178"/>
      <c r="L17" s="179">
        <f>K17-J17</f>
        <v>0</v>
      </c>
      <c r="M17" s="733"/>
      <c r="N17" s="733"/>
      <c r="O17" s="733"/>
      <c r="P17" s="733"/>
      <c r="Q17" s="733"/>
    </row>
    <row r="18" spans="1:17" ht="15.75" customHeight="1">
      <c r="A18" s="877"/>
      <c r="B18" s="156">
        <v>3</v>
      </c>
      <c r="C18" s="733"/>
      <c r="D18" s="731"/>
      <c r="E18" s="731"/>
      <c r="F18" s="733"/>
      <c r="G18" s="731"/>
      <c r="H18" s="731"/>
      <c r="I18" s="164"/>
      <c r="J18" s="178"/>
      <c r="K18" s="178"/>
      <c r="L18" s="179">
        <f>K18-J18</f>
        <v>0</v>
      </c>
      <c r="M18" s="733"/>
      <c r="N18" s="733"/>
      <c r="O18" s="733"/>
      <c r="P18" s="733"/>
      <c r="Q18" s="733"/>
    </row>
    <row r="19" spans="1:17" ht="15.75" customHeight="1">
      <c r="A19" s="877"/>
      <c r="B19" s="156">
        <v>4</v>
      </c>
      <c r="C19" s="733"/>
      <c r="D19" s="731"/>
      <c r="E19" s="731"/>
      <c r="F19" s="733"/>
      <c r="G19" s="731"/>
      <c r="H19" s="731"/>
      <c r="I19" s="164"/>
      <c r="J19" s="178"/>
      <c r="K19" s="178"/>
      <c r="L19" s="179">
        <f>K19-J19</f>
        <v>0</v>
      </c>
      <c r="M19" s="733"/>
      <c r="N19" s="733"/>
      <c r="O19" s="733"/>
      <c r="P19" s="733"/>
      <c r="Q19" s="733"/>
    </row>
    <row r="20" spans="1:17" ht="15.75" customHeight="1">
      <c r="A20" s="877"/>
      <c r="B20" s="156">
        <v>5</v>
      </c>
      <c r="C20" s="733"/>
      <c r="D20" s="731"/>
      <c r="E20" s="731"/>
      <c r="F20" s="733"/>
      <c r="G20" s="731"/>
      <c r="H20" s="731"/>
      <c r="I20" s="164"/>
      <c r="J20" s="178"/>
      <c r="K20" s="178"/>
      <c r="L20" s="179">
        <f>K20-J20</f>
        <v>0</v>
      </c>
      <c r="M20" s="733"/>
      <c r="N20" s="733"/>
      <c r="O20" s="733"/>
      <c r="P20" s="733"/>
      <c r="Q20" s="733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tabSelected="1" zoomScale="55" zoomScaleNormal="55" workbookViewId="0">
      <pane xSplit="4" ySplit="6" topLeftCell="E7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B7" sqref="B7:C26"/>
    </sheetView>
  </sheetViews>
  <sheetFormatPr defaultColWidth="8.85546875" defaultRowHeight="14.25"/>
  <cols>
    <col min="1" max="1" width="8.85546875" style="381"/>
    <col min="2" max="2" width="12.42578125" style="381" customWidth="1"/>
    <col min="3" max="3" width="8.85546875" style="381"/>
    <col min="4" max="4" width="11.5703125" style="381" customWidth="1"/>
    <col min="5" max="5" width="39.28515625" style="381" bestFit="1" customWidth="1"/>
    <col min="6" max="6" width="11.42578125" style="381" bestFit="1" customWidth="1"/>
    <col min="7" max="7" width="14.140625" style="381" customWidth="1"/>
    <col min="8" max="8" width="14" style="381" customWidth="1"/>
    <col min="9" max="9" width="16.85546875" style="381" customWidth="1"/>
    <col min="10" max="10" width="14" style="381" customWidth="1"/>
    <col min="11" max="11" width="11.5703125" style="381" bestFit="1" customWidth="1"/>
    <col min="12" max="12" width="13.42578125" style="381" bestFit="1" customWidth="1"/>
    <col min="13" max="13" width="19.140625" style="381" bestFit="1" customWidth="1"/>
    <col min="14" max="14" width="15.28515625" style="381" bestFit="1" customWidth="1"/>
    <col min="15" max="15" width="12.5703125" style="381" bestFit="1" customWidth="1"/>
    <col min="16" max="16" width="9.7109375" style="381" bestFit="1" customWidth="1"/>
    <col min="17" max="17" width="12.140625" style="381" bestFit="1" customWidth="1"/>
    <col min="18" max="18" width="10.7109375" style="381" customWidth="1"/>
    <col min="19" max="19" width="13.42578125" style="381" bestFit="1" customWidth="1"/>
    <col min="20" max="20" width="12.42578125" style="381" bestFit="1" customWidth="1"/>
    <col min="21" max="21" width="25.28515625" style="381" bestFit="1" customWidth="1"/>
    <col min="22" max="23" width="88.28515625" style="381" customWidth="1"/>
    <col min="24" max="24" width="7.42578125" style="381" bestFit="1" customWidth="1"/>
    <col min="25" max="25" width="69.5703125" style="381" bestFit="1" customWidth="1"/>
    <col min="26" max="26" width="11.42578125" style="381" bestFit="1" customWidth="1"/>
    <col min="27" max="27" width="21.5703125" style="381" customWidth="1"/>
    <col min="28" max="28" width="19.42578125" style="381" bestFit="1" customWidth="1"/>
    <col min="29" max="34" width="14.42578125" style="381" customWidth="1"/>
    <col min="35" max="35" width="11.42578125" style="381" bestFit="1" customWidth="1"/>
    <col min="36" max="16384" width="8.85546875" style="381"/>
  </cols>
  <sheetData>
    <row r="2" spans="2:35" ht="41.1" customHeight="1">
      <c r="B2" s="896" t="s">
        <v>729</v>
      </c>
      <c r="C2" s="897"/>
      <c r="D2" s="897"/>
      <c r="E2" s="897"/>
      <c r="F2" s="897"/>
      <c r="G2" s="897"/>
      <c r="H2" s="897"/>
      <c r="I2" s="897"/>
      <c r="J2" s="897"/>
      <c r="K2" s="897"/>
      <c r="L2" s="897"/>
      <c r="M2" s="897"/>
      <c r="N2" s="897"/>
      <c r="O2" s="897"/>
      <c r="P2" s="897"/>
      <c r="Q2" s="897"/>
      <c r="R2" s="897"/>
      <c r="S2" s="897"/>
      <c r="T2" s="897"/>
      <c r="U2" s="897"/>
      <c r="V2" s="897"/>
      <c r="W2" s="897"/>
      <c r="X2" s="897"/>
      <c r="Y2" s="897"/>
      <c r="AA2" s="382"/>
      <c r="AB2" s="382"/>
    </row>
    <row r="3" spans="2:35" ht="17.100000000000001" customHeight="1">
      <c r="B3" s="898" t="s">
        <v>730</v>
      </c>
      <c r="C3" s="899"/>
      <c r="D3" s="892" t="s">
        <v>168</v>
      </c>
      <c r="E3" s="892"/>
      <c r="F3" s="892"/>
      <c r="G3" s="892" t="s">
        <v>182</v>
      </c>
      <c r="H3" s="892"/>
      <c r="I3" s="892"/>
      <c r="J3" s="892"/>
      <c r="K3" s="892"/>
      <c r="L3" s="892"/>
      <c r="M3" s="892"/>
      <c r="N3" s="892"/>
      <c r="O3" s="892"/>
      <c r="P3" s="892"/>
      <c r="Q3" s="892"/>
      <c r="R3" s="892"/>
      <c r="S3" s="892"/>
      <c r="T3" s="892" t="s">
        <v>169</v>
      </c>
      <c r="U3" s="904" t="s">
        <v>731</v>
      </c>
      <c r="V3" s="907" t="s">
        <v>732</v>
      </c>
      <c r="W3" s="907" t="s">
        <v>733</v>
      </c>
      <c r="X3" s="910" t="s">
        <v>734</v>
      </c>
      <c r="Y3" s="894" t="s">
        <v>170</v>
      </c>
      <c r="AA3" s="892" t="s">
        <v>735</v>
      </c>
      <c r="AB3" s="892"/>
      <c r="AC3" s="892"/>
      <c r="AD3" s="892"/>
      <c r="AE3" s="892"/>
      <c r="AF3" s="892"/>
      <c r="AG3" s="892"/>
      <c r="AH3" s="892"/>
      <c r="AI3" s="892"/>
    </row>
    <row r="4" spans="2:35" ht="17.100000000000001" customHeight="1">
      <c r="B4" s="900"/>
      <c r="C4" s="901"/>
      <c r="D4" s="893" t="s">
        <v>167</v>
      </c>
      <c r="E4" s="892" t="s">
        <v>171</v>
      </c>
      <c r="F4" s="892"/>
      <c r="G4" s="892" t="s">
        <v>183</v>
      </c>
      <c r="H4" s="892"/>
      <c r="I4" s="892"/>
      <c r="J4" s="892"/>
      <c r="K4" s="892"/>
      <c r="L4" s="892"/>
      <c r="M4" s="892"/>
      <c r="N4" s="892"/>
      <c r="O4" s="892" t="s">
        <v>172</v>
      </c>
      <c r="P4" s="892"/>
      <c r="Q4" s="892"/>
      <c r="R4" s="892"/>
      <c r="S4" s="892"/>
      <c r="T4" s="892"/>
      <c r="U4" s="905"/>
      <c r="V4" s="908"/>
      <c r="W4" s="908"/>
      <c r="X4" s="911"/>
      <c r="Y4" s="894"/>
      <c r="AA4" s="892"/>
      <c r="AB4" s="892"/>
      <c r="AC4" s="892"/>
      <c r="AD4" s="892"/>
      <c r="AE4" s="892"/>
      <c r="AF4" s="892"/>
      <c r="AG4" s="892"/>
      <c r="AH4" s="892"/>
      <c r="AI4" s="892"/>
    </row>
    <row r="5" spans="2:35" ht="17.100000000000001" customHeight="1">
      <c r="B5" s="900"/>
      <c r="C5" s="901"/>
      <c r="D5" s="893"/>
      <c r="E5" s="893" t="s">
        <v>173</v>
      </c>
      <c r="F5" s="894" t="s">
        <v>736</v>
      </c>
      <c r="G5" s="895" t="s">
        <v>184</v>
      </c>
      <c r="H5" s="895"/>
      <c r="I5" s="895"/>
      <c r="J5" s="895"/>
      <c r="K5" s="895"/>
      <c r="L5" s="895"/>
      <c r="M5" s="895"/>
      <c r="N5" s="895"/>
      <c r="O5" s="895" t="s">
        <v>166</v>
      </c>
      <c r="P5" s="895"/>
      <c r="Q5" s="895" t="s">
        <v>174</v>
      </c>
      <c r="R5" s="895"/>
      <c r="S5" s="895"/>
      <c r="T5" s="892"/>
      <c r="U5" s="905"/>
      <c r="V5" s="908"/>
      <c r="W5" s="908"/>
      <c r="X5" s="911"/>
      <c r="Y5" s="894"/>
      <c r="AA5" s="892"/>
      <c r="AB5" s="892"/>
      <c r="AC5" s="892"/>
      <c r="AD5" s="892"/>
      <c r="AE5" s="892"/>
      <c r="AF5" s="892"/>
      <c r="AG5" s="892"/>
      <c r="AH5" s="892"/>
      <c r="AI5" s="892"/>
    </row>
    <row r="6" spans="2:35" ht="38.450000000000003" customHeight="1">
      <c r="B6" s="902"/>
      <c r="C6" s="903"/>
      <c r="D6" s="893"/>
      <c r="E6" s="893"/>
      <c r="F6" s="894"/>
      <c r="G6" s="383" t="s">
        <v>175</v>
      </c>
      <c r="H6" s="383" t="s">
        <v>737</v>
      </c>
      <c r="I6" s="383" t="s">
        <v>738</v>
      </c>
      <c r="J6" s="383" t="s">
        <v>176</v>
      </c>
      <c r="K6" s="383" t="s">
        <v>739</v>
      </c>
      <c r="L6" s="383" t="s">
        <v>177</v>
      </c>
      <c r="M6" s="383" t="s">
        <v>185</v>
      </c>
      <c r="N6" s="383" t="s">
        <v>178</v>
      </c>
      <c r="O6" s="384" t="s">
        <v>179</v>
      </c>
      <c r="P6" s="384" t="s">
        <v>180</v>
      </c>
      <c r="Q6" s="384" t="s">
        <v>179</v>
      </c>
      <c r="R6" s="384" t="s">
        <v>180</v>
      </c>
      <c r="S6" s="383" t="s">
        <v>181</v>
      </c>
      <c r="T6" s="892"/>
      <c r="U6" s="906"/>
      <c r="V6" s="909"/>
      <c r="W6" s="909"/>
      <c r="X6" s="912"/>
      <c r="Y6" s="894"/>
      <c r="AA6" s="224" t="s">
        <v>740</v>
      </c>
      <c r="AB6" s="224" t="s">
        <v>741</v>
      </c>
      <c r="AC6" s="371" t="s">
        <v>742</v>
      </c>
      <c r="AD6" s="371" t="s">
        <v>743</v>
      </c>
      <c r="AE6" s="371" t="s">
        <v>744</v>
      </c>
      <c r="AF6" s="371" t="s">
        <v>745</v>
      </c>
      <c r="AG6" s="371" t="s">
        <v>746</v>
      </c>
      <c r="AH6" s="371" t="s">
        <v>747</v>
      </c>
      <c r="AI6" s="371" t="s">
        <v>748</v>
      </c>
    </row>
    <row r="7" spans="2:35" s="397" customFormat="1" ht="27" customHeight="1">
      <c r="B7" s="885" t="s">
        <v>1057</v>
      </c>
      <c r="C7" s="886"/>
      <c r="D7" s="385">
        <v>1</v>
      </c>
      <c r="E7" s="386" t="s">
        <v>471</v>
      </c>
      <c r="F7" s="387">
        <v>941.49999999999989</v>
      </c>
      <c r="G7" s="387">
        <v>5870</v>
      </c>
      <c r="H7" s="387">
        <v>5940</v>
      </c>
      <c r="I7" s="388">
        <v>1.0119250425894377</v>
      </c>
      <c r="J7" s="387">
        <v>0</v>
      </c>
      <c r="K7" s="388">
        <v>0</v>
      </c>
      <c r="L7" s="387">
        <v>13.45</v>
      </c>
      <c r="M7" s="388">
        <v>1.0119250425894377</v>
      </c>
      <c r="N7" s="389">
        <v>941.5</v>
      </c>
      <c r="O7" s="387">
        <v>70</v>
      </c>
      <c r="P7" s="388">
        <v>1.192504258943782E-2</v>
      </c>
      <c r="Q7" s="390">
        <v>70</v>
      </c>
      <c r="R7" s="388">
        <v>1.192504258943782E-2</v>
      </c>
      <c r="S7" s="387">
        <v>941.5</v>
      </c>
      <c r="T7" s="398" t="s">
        <v>346</v>
      </c>
      <c r="U7" s="391" t="s">
        <v>213</v>
      </c>
      <c r="V7" s="431" t="s">
        <v>1028</v>
      </c>
      <c r="W7" s="431" t="s">
        <v>1038</v>
      </c>
      <c r="X7" s="392">
        <v>1</v>
      </c>
      <c r="Y7" s="393" t="s">
        <v>774</v>
      </c>
      <c r="Z7" s="394" t="s">
        <v>749</v>
      </c>
      <c r="AA7" s="395">
        <f>SUM(X7:X26)</f>
        <v>20</v>
      </c>
      <c r="AB7" s="396">
        <f>SUMIF($U$7:$U$26,TRIM(AB6),$X$7:$X$26)</f>
        <v>0</v>
      </c>
      <c r="AC7" s="396">
        <f>SUMIF($U$7:$U$26,TRIM(AC6),$X$7:$X$26)</f>
        <v>3</v>
      </c>
      <c r="AD7" s="396">
        <f t="shared" ref="AD7:AI7" ca="1" si="0">SUMIF($U$7:$U$9710,TRIM(AD6),$X$7:$X$26)</f>
        <v>2</v>
      </c>
      <c r="AE7" s="396">
        <f t="shared" ca="1" si="0"/>
        <v>11</v>
      </c>
      <c r="AF7" s="396">
        <f t="shared" ca="1" si="0"/>
        <v>3</v>
      </c>
      <c r="AG7" s="396">
        <f t="shared" ca="1" si="0"/>
        <v>1</v>
      </c>
      <c r="AH7" s="396">
        <f t="shared" ca="1" si="0"/>
        <v>0</v>
      </c>
      <c r="AI7" s="396">
        <f t="shared" ca="1" si="0"/>
        <v>0</v>
      </c>
    </row>
    <row r="8" spans="2:35" s="397" customFormat="1" ht="27" customHeight="1">
      <c r="B8" s="887"/>
      <c r="C8" s="888"/>
      <c r="D8" s="385">
        <v>2</v>
      </c>
      <c r="E8" s="386" t="s">
        <v>409</v>
      </c>
      <c r="F8" s="387">
        <v>930.60400000000004</v>
      </c>
      <c r="G8" s="387">
        <v>763.84400000000005</v>
      </c>
      <c r="H8" s="387">
        <v>776.7</v>
      </c>
      <c r="I8" s="388">
        <v>1.0168306617581599</v>
      </c>
      <c r="J8" s="387">
        <v>0</v>
      </c>
      <c r="K8" s="388">
        <v>0</v>
      </c>
      <c r="L8" s="387">
        <v>127.48</v>
      </c>
      <c r="M8" s="388">
        <v>1.0168306617581599</v>
      </c>
      <c r="N8" s="389">
        <v>1638.8828799999994</v>
      </c>
      <c r="O8" s="387">
        <v>7.3000000000000007</v>
      </c>
      <c r="P8" s="388">
        <v>9.5569252360429621E-3</v>
      </c>
      <c r="Q8" s="390">
        <v>12.855999999999995</v>
      </c>
      <c r="R8" s="388">
        <v>1.6830661758160035E-2</v>
      </c>
      <c r="S8" s="387">
        <v>1638.8828799999994</v>
      </c>
      <c r="T8" s="398" t="s">
        <v>344</v>
      </c>
      <c r="U8" s="391" t="s">
        <v>709</v>
      </c>
      <c r="V8" s="431" t="s">
        <v>956</v>
      </c>
      <c r="W8" s="431" t="s">
        <v>824</v>
      </c>
      <c r="X8" s="392">
        <v>1</v>
      </c>
      <c r="Y8" s="393" t="s">
        <v>349</v>
      </c>
      <c r="AA8" s="395"/>
      <c r="AB8" s="399">
        <f>SUMIF($U$7:$U$26,TRIM(AB6),$F$7:$F$26)</f>
        <v>0</v>
      </c>
      <c r="AC8" s="399">
        <f>SUMIF($U$7:$U$26,TRIM(AC6),$F$7:$F$26)</f>
        <v>2063.7719999999999</v>
      </c>
      <c r="AD8" s="399">
        <f t="shared" ref="AD8:AI8" ca="1" si="1">SUMIF($U$7:$U$176,TRIM(AD6),$F$7:$F$26)</f>
        <v>1384.5540000000001</v>
      </c>
      <c r="AE8" s="399">
        <f t="shared" ca="1" si="1"/>
        <v>8151.3090000000002</v>
      </c>
      <c r="AF8" s="399">
        <f t="shared" ca="1" si="1"/>
        <v>2255.2030000000004</v>
      </c>
      <c r="AG8" s="399">
        <f t="shared" ca="1" si="1"/>
        <v>941.49999999999989</v>
      </c>
      <c r="AH8" s="399">
        <f t="shared" ca="1" si="1"/>
        <v>0</v>
      </c>
      <c r="AI8" s="399">
        <f t="shared" ca="1" si="1"/>
        <v>0</v>
      </c>
    </row>
    <row r="9" spans="2:35" s="397" customFormat="1" ht="27" customHeight="1">
      <c r="B9" s="887"/>
      <c r="C9" s="888"/>
      <c r="D9" s="385">
        <v>3</v>
      </c>
      <c r="E9" s="386" t="s">
        <v>817</v>
      </c>
      <c r="F9" s="387">
        <v>815.83200000000011</v>
      </c>
      <c r="G9" s="387">
        <v>317.92199999999997</v>
      </c>
      <c r="H9" s="387">
        <v>325.2</v>
      </c>
      <c r="I9" s="388">
        <v>1.0228924075716685</v>
      </c>
      <c r="J9" s="387">
        <v>0</v>
      </c>
      <c r="K9" s="388">
        <v>0</v>
      </c>
      <c r="L9" s="387">
        <v>151.08000000000001</v>
      </c>
      <c r="M9" s="388">
        <v>1.0228924075716685</v>
      </c>
      <c r="N9" s="389">
        <v>1099.5602400000032</v>
      </c>
      <c r="O9" s="387">
        <v>5.4</v>
      </c>
      <c r="P9" s="388">
        <v>1.6985298280710364E-2</v>
      </c>
      <c r="Q9" s="390">
        <v>7.27800000000002</v>
      </c>
      <c r="R9" s="388">
        <v>2.2892407571668588E-2</v>
      </c>
      <c r="S9" s="387">
        <v>1099.5602400000032</v>
      </c>
      <c r="T9" s="398" t="s">
        <v>344</v>
      </c>
      <c r="U9" s="391" t="s">
        <v>709</v>
      </c>
      <c r="V9" s="431" t="s">
        <v>833</v>
      </c>
      <c r="W9" s="431" t="s">
        <v>828</v>
      </c>
      <c r="X9" s="392">
        <v>1</v>
      </c>
      <c r="Y9" s="393" t="s">
        <v>816</v>
      </c>
    </row>
    <row r="10" spans="2:35" s="397" customFormat="1" ht="27" customHeight="1">
      <c r="B10" s="887"/>
      <c r="C10" s="888"/>
      <c r="D10" s="385">
        <v>4</v>
      </c>
      <c r="E10" s="386" t="s">
        <v>783</v>
      </c>
      <c r="F10" s="387">
        <v>790.17200000000003</v>
      </c>
      <c r="G10" s="387">
        <v>661.92000000000007</v>
      </c>
      <c r="H10" s="387">
        <v>674.2</v>
      </c>
      <c r="I10" s="388">
        <v>1.0185520908871162</v>
      </c>
      <c r="J10" s="387">
        <v>0</v>
      </c>
      <c r="K10" s="388">
        <v>0</v>
      </c>
      <c r="L10" s="387">
        <v>103.97</v>
      </c>
      <c r="M10" s="388">
        <v>1.0185520908871162</v>
      </c>
      <c r="N10" s="389">
        <v>1276.7515999999971</v>
      </c>
      <c r="O10" s="387">
        <v>7.6000000000000005</v>
      </c>
      <c r="P10" s="388">
        <v>1.1481750060430264E-2</v>
      </c>
      <c r="Q10" s="390">
        <v>12.279999999999973</v>
      </c>
      <c r="R10" s="388">
        <v>1.8552090887116224E-2</v>
      </c>
      <c r="S10" s="387">
        <v>1276.7515999999971</v>
      </c>
      <c r="T10" s="391" t="s">
        <v>344</v>
      </c>
      <c r="U10" s="391" t="s">
        <v>709</v>
      </c>
      <c r="V10" s="431" t="s">
        <v>956</v>
      </c>
      <c r="W10" s="431" t="s">
        <v>824</v>
      </c>
      <c r="X10" s="392">
        <v>1</v>
      </c>
      <c r="Y10" s="393" t="s">
        <v>780</v>
      </c>
    </row>
    <row r="11" spans="2:35" s="397" customFormat="1" ht="27" customHeight="1">
      <c r="B11" s="887"/>
      <c r="C11" s="888"/>
      <c r="D11" s="385">
        <v>5</v>
      </c>
      <c r="E11" s="386" t="s">
        <v>826</v>
      </c>
      <c r="F11" s="387">
        <v>778.18999999999994</v>
      </c>
      <c r="G11" s="387">
        <v>1565.1929999999998</v>
      </c>
      <c r="H11" s="387">
        <v>1577.1</v>
      </c>
      <c r="I11" s="388">
        <v>1.0076073685481599</v>
      </c>
      <c r="J11" s="387">
        <v>0</v>
      </c>
      <c r="K11" s="388">
        <v>0</v>
      </c>
      <c r="L11" s="387">
        <v>111.17</v>
      </c>
      <c r="M11" s="388">
        <v>1.0076073685481599</v>
      </c>
      <c r="N11" s="389">
        <v>1323.701190000017</v>
      </c>
      <c r="O11" s="387">
        <v>7</v>
      </c>
      <c r="P11" s="388">
        <v>4.4722919154379049E-3</v>
      </c>
      <c r="Q11" s="390">
        <v>11.907000000000153</v>
      </c>
      <c r="R11" s="388">
        <v>7.6073685481599746E-3</v>
      </c>
      <c r="S11" s="387">
        <v>1323.701190000017</v>
      </c>
      <c r="T11" s="391" t="s">
        <v>344</v>
      </c>
      <c r="U11" s="391" t="s">
        <v>709</v>
      </c>
      <c r="V11" s="431" t="s">
        <v>958</v>
      </c>
      <c r="W11" s="431" t="s">
        <v>827</v>
      </c>
      <c r="X11" s="392">
        <v>1</v>
      </c>
      <c r="Y11" s="393" t="s">
        <v>352</v>
      </c>
    </row>
    <row r="12" spans="2:35" s="397" customFormat="1" ht="27" customHeight="1">
      <c r="B12" s="887"/>
      <c r="C12" s="888"/>
      <c r="D12" s="385">
        <v>6</v>
      </c>
      <c r="E12" s="386" t="s">
        <v>989</v>
      </c>
      <c r="F12" s="387">
        <v>763.67200000000003</v>
      </c>
      <c r="G12" s="387">
        <v>487.11</v>
      </c>
      <c r="H12" s="387">
        <v>492.70000000000005</v>
      </c>
      <c r="I12" s="388">
        <v>1.0114758473445424</v>
      </c>
      <c r="J12" s="387">
        <v>0</v>
      </c>
      <c r="K12" s="388">
        <v>0</v>
      </c>
      <c r="L12" s="387">
        <v>272.74</v>
      </c>
      <c r="M12" s="388">
        <v>1.0114758473445424</v>
      </c>
      <c r="N12" s="389">
        <v>1524.6166000000087</v>
      </c>
      <c r="O12" s="387">
        <v>2.8</v>
      </c>
      <c r="P12" s="388">
        <v>5.748188294225123E-3</v>
      </c>
      <c r="Q12" s="390">
        <v>5.5900000000000318</v>
      </c>
      <c r="R12" s="388">
        <v>1.1475847344542366E-2</v>
      </c>
      <c r="S12" s="387">
        <v>1524.6166000000087</v>
      </c>
      <c r="T12" s="391" t="s">
        <v>346</v>
      </c>
      <c r="U12" s="391" t="s">
        <v>212</v>
      </c>
      <c r="V12" s="431" t="s">
        <v>992</v>
      </c>
      <c r="W12" s="431" t="s">
        <v>825</v>
      </c>
      <c r="X12" s="392">
        <v>1</v>
      </c>
      <c r="Y12" s="393" t="s">
        <v>347</v>
      </c>
    </row>
    <row r="13" spans="2:35" s="397" customFormat="1" ht="27" customHeight="1">
      <c r="B13" s="887"/>
      <c r="C13" s="888"/>
      <c r="D13" s="385">
        <v>7</v>
      </c>
      <c r="E13" s="386" t="s">
        <v>1026</v>
      </c>
      <c r="F13" s="387">
        <v>752.32500000000016</v>
      </c>
      <c r="G13" s="387">
        <v>205.42500000000001</v>
      </c>
      <c r="H13" s="387">
        <v>208.89999999999998</v>
      </c>
      <c r="I13" s="388">
        <v>1.0169161494462697</v>
      </c>
      <c r="J13" s="387">
        <v>0.6</v>
      </c>
      <c r="K13" s="388">
        <v>2.9207740051113542E-3</v>
      </c>
      <c r="L13" s="387">
        <v>300.93</v>
      </c>
      <c r="M13" s="388">
        <v>1.0198369234513811</v>
      </c>
      <c r="N13" s="389">
        <v>1045.7317499999897</v>
      </c>
      <c r="O13" s="387">
        <v>2.5</v>
      </c>
      <c r="P13" s="388">
        <v>1.2169891687963976E-2</v>
      </c>
      <c r="Q13" s="390">
        <v>4.0749999999999602</v>
      </c>
      <c r="R13" s="388">
        <v>1.9836923451381088E-2</v>
      </c>
      <c r="S13" s="387">
        <v>1226.2897499999881</v>
      </c>
      <c r="T13" s="385" t="s">
        <v>346</v>
      </c>
      <c r="U13" s="391" t="s">
        <v>212</v>
      </c>
      <c r="V13" s="431" t="s">
        <v>992</v>
      </c>
      <c r="W13" s="431" t="s">
        <v>825</v>
      </c>
      <c r="X13" s="392">
        <v>1</v>
      </c>
      <c r="Y13" s="393" t="s">
        <v>716</v>
      </c>
      <c r="AB13" s="397">
        <v>1</v>
      </c>
      <c r="AC13" s="400" t="s">
        <v>713</v>
      </c>
    </row>
    <row r="14" spans="2:35" s="397" customFormat="1" ht="27" customHeight="1">
      <c r="B14" s="887"/>
      <c r="C14" s="888"/>
      <c r="D14" s="385">
        <v>8</v>
      </c>
      <c r="E14" s="386" t="s">
        <v>1021</v>
      </c>
      <c r="F14" s="387">
        <v>749.322</v>
      </c>
      <c r="G14" s="387">
        <v>105.35000000000001</v>
      </c>
      <c r="H14" s="387">
        <v>107.8</v>
      </c>
      <c r="I14" s="388">
        <v>1.0232558139534882</v>
      </c>
      <c r="J14" s="387">
        <v>0.6</v>
      </c>
      <c r="K14" s="388">
        <v>5.6953013763644984E-3</v>
      </c>
      <c r="L14" s="387">
        <v>394.38</v>
      </c>
      <c r="M14" s="388">
        <v>1.0289511153298527</v>
      </c>
      <c r="N14" s="389">
        <v>966.23099999999556</v>
      </c>
      <c r="O14" s="387">
        <v>1.9000000000000004</v>
      </c>
      <c r="P14" s="388">
        <v>1.8035121025154251E-2</v>
      </c>
      <c r="Q14" s="390">
        <v>3.0499999999999829</v>
      </c>
      <c r="R14" s="388">
        <v>2.8951115329852707E-2</v>
      </c>
      <c r="S14" s="387">
        <v>1202.8589999999933</v>
      </c>
      <c r="T14" s="385" t="s">
        <v>344</v>
      </c>
      <c r="U14" s="391" t="s">
        <v>709</v>
      </c>
      <c r="V14" s="431" t="s">
        <v>833</v>
      </c>
      <c r="W14" s="431" t="s">
        <v>828</v>
      </c>
      <c r="X14" s="392">
        <v>1</v>
      </c>
      <c r="Y14" s="393" t="s">
        <v>396</v>
      </c>
      <c r="AB14" s="397">
        <v>2</v>
      </c>
      <c r="AC14" s="400" t="s">
        <v>351</v>
      </c>
    </row>
    <row r="15" spans="2:35" s="397" customFormat="1" ht="27" customHeight="1">
      <c r="B15" s="887"/>
      <c r="C15" s="888"/>
      <c r="D15" s="385">
        <v>9</v>
      </c>
      <c r="E15" s="386" t="s">
        <v>838</v>
      </c>
      <c r="F15" s="387">
        <v>748.99199999999996</v>
      </c>
      <c r="G15" s="387">
        <v>1104.8050000000001</v>
      </c>
      <c r="H15" s="387">
        <v>1115</v>
      </c>
      <c r="I15" s="388">
        <v>1.0092278727920312</v>
      </c>
      <c r="J15" s="387">
        <v>0</v>
      </c>
      <c r="K15" s="388">
        <v>0</v>
      </c>
      <c r="L15" s="387">
        <v>117.03</v>
      </c>
      <c r="M15" s="388">
        <v>1.0092278727920312</v>
      </c>
      <c r="N15" s="389">
        <v>1193.1208499999925</v>
      </c>
      <c r="O15" s="387">
        <v>6.3999999999999995</v>
      </c>
      <c r="P15" s="388">
        <v>5.7928774761156938E-3</v>
      </c>
      <c r="Q15" s="390">
        <v>10.194999999999936</v>
      </c>
      <c r="R15" s="388">
        <v>9.2278727920311141E-3</v>
      </c>
      <c r="S15" s="387">
        <v>1193.1208499999925</v>
      </c>
      <c r="T15" s="391" t="s">
        <v>344</v>
      </c>
      <c r="U15" s="391" t="s">
        <v>709</v>
      </c>
      <c r="V15" s="431" t="s">
        <v>958</v>
      </c>
      <c r="W15" s="431" t="s">
        <v>827</v>
      </c>
      <c r="X15" s="392">
        <v>1</v>
      </c>
      <c r="Y15" s="393" t="s">
        <v>834</v>
      </c>
      <c r="AB15" s="397">
        <v>3</v>
      </c>
      <c r="AC15" s="400" t="s">
        <v>407</v>
      </c>
    </row>
    <row r="16" spans="2:35" s="397" customFormat="1" ht="27" customHeight="1">
      <c r="B16" s="887"/>
      <c r="C16" s="888"/>
      <c r="D16" s="385">
        <v>10</v>
      </c>
      <c r="E16" s="386" t="s">
        <v>808</v>
      </c>
      <c r="F16" s="387">
        <v>739.2059999999999</v>
      </c>
      <c r="G16" s="387">
        <v>1551.346</v>
      </c>
      <c r="H16" s="387">
        <v>1562.8</v>
      </c>
      <c r="I16" s="388">
        <v>1.0073832658865269</v>
      </c>
      <c r="J16" s="387">
        <v>0</v>
      </c>
      <c r="K16" s="388">
        <v>0</v>
      </c>
      <c r="L16" s="387">
        <v>136.88999999999999</v>
      </c>
      <c r="M16" s="388">
        <v>1.0073832658865269</v>
      </c>
      <c r="N16" s="389">
        <v>1567.9380599999931</v>
      </c>
      <c r="O16" s="387">
        <v>5.4</v>
      </c>
      <c r="P16" s="388">
        <v>3.4808482440409814E-3</v>
      </c>
      <c r="Q16" s="390">
        <v>11.453999999999951</v>
      </c>
      <c r="R16" s="388">
        <v>7.3832658865268944E-3</v>
      </c>
      <c r="S16" s="387">
        <v>1567.9380599999931</v>
      </c>
      <c r="T16" s="391" t="s">
        <v>346</v>
      </c>
      <c r="U16" s="391" t="s">
        <v>212</v>
      </c>
      <c r="V16" s="431" t="s">
        <v>957</v>
      </c>
      <c r="W16" s="431" t="s">
        <v>825</v>
      </c>
      <c r="X16" s="392">
        <v>1</v>
      </c>
      <c r="Y16" s="393" t="s">
        <v>352</v>
      </c>
      <c r="AB16" s="397">
        <v>4</v>
      </c>
      <c r="AC16" s="400" t="s">
        <v>750</v>
      </c>
    </row>
    <row r="17" spans="2:29" s="397" customFormat="1" ht="27" customHeight="1">
      <c r="B17" s="887"/>
      <c r="C17" s="888"/>
      <c r="D17" s="385">
        <v>11</v>
      </c>
      <c r="E17" s="386" t="s">
        <v>818</v>
      </c>
      <c r="F17" s="387">
        <v>735.63</v>
      </c>
      <c r="G17" s="387">
        <v>500.96800000000007</v>
      </c>
      <c r="H17" s="387">
        <v>513.20000000000005</v>
      </c>
      <c r="I17" s="388">
        <v>1.024416729212245</v>
      </c>
      <c r="J17" s="387">
        <v>0</v>
      </c>
      <c r="K17" s="388">
        <v>0</v>
      </c>
      <c r="L17" s="387">
        <v>105.09</v>
      </c>
      <c r="M17" s="388">
        <v>1.024416729212245</v>
      </c>
      <c r="N17" s="389">
        <v>1285.4608799999969</v>
      </c>
      <c r="O17" s="387">
        <v>7</v>
      </c>
      <c r="P17" s="388">
        <v>1.3972948371951899E-2</v>
      </c>
      <c r="Q17" s="390">
        <v>12.231999999999971</v>
      </c>
      <c r="R17" s="388">
        <v>2.4416729212245032E-2</v>
      </c>
      <c r="S17" s="387">
        <v>1285.4608799999969</v>
      </c>
      <c r="T17" s="391" t="s">
        <v>350</v>
      </c>
      <c r="U17" s="391" t="s">
        <v>407</v>
      </c>
      <c r="V17" s="431" t="s">
        <v>990</v>
      </c>
      <c r="W17" s="431" t="s">
        <v>959</v>
      </c>
      <c r="X17" s="392">
        <v>1</v>
      </c>
      <c r="Y17" s="393" t="s">
        <v>816</v>
      </c>
      <c r="AB17" s="397">
        <v>5</v>
      </c>
      <c r="AC17" s="400" t="s">
        <v>212</v>
      </c>
    </row>
    <row r="18" spans="2:29" s="397" customFormat="1" ht="27" customHeight="1">
      <c r="B18" s="887"/>
      <c r="C18" s="888"/>
      <c r="D18" s="385">
        <v>12</v>
      </c>
      <c r="E18" s="386" t="s">
        <v>985</v>
      </c>
      <c r="F18" s="387">
        <v>708.74</v>
      </c>
      <c r="G18" s="387">
        <v>102.443</v>
      </c>
      <c r="H18" s="387">
        <v>104.9</v>
      </c>
      <c r="I18" s="388">
        <v>1.0239840691896958</v>
      </c>
      <c r="J18" s="387">
        <v>0.8</v>
      </c>
      <c r="K18" s="388">
        <v>7.8092207373856685E-3</v>
      </c>
      <c r="L18" s="387">
        <v>354.37</v>
      </c>
      <c r="M18" s="388">
        <v>1.0317932899270814</v>
      </c>
      <c r="N18" s="389">
        <v>870.68709000000274</v>
      </c>
      <c r="O18" s="387">
        <v>2</v>
      </c>
      <c r="P18" s="388">
        <v>1.952305184346417E-2</v>
      </c>
      <c r="Q18" s="390">
        <v>3.257000000000005</v>
      </c>
      <c r="R18" s="388">
        <v>3.1793289927081449E-2</v>
      </c>
      <c r="S18" s="387">
        <v>1154.1830900000018</v>
      </c>
      <c r="T18" s="385" t="s">
        <v>344</v>
      </c>
      <c r="U18" s="391" t="s">
        <v>709</v>
      </c>
      <c r="V18" s="431" t="s">
        <v>1039</v>
      </c>
      <c r="W18" s="431" t="s">
        <v>1040</v>
      </c>
      <c r="X18" s="392">
        <v>1</v>
      </c>
      <c r="Y18" s="393" t="s">
        <v>376</v>
      </c>
      <c r="AB18" s="397">
        <v>6</v>
      </c>
      <c r="AC18" s="400" t="s">
        <v>213</v>
      </c>
    </row>
    <row r="19" spans="2:29" s="397" customFormat="1" ht="27" customHeight="1">
      <c r="B19" s="887"/>
      <c r="C19" s="888"/>
      <c r="D19" s="385">
        <v>13</v>
      </c>
      <c r="E19" s="386" t="s">
        <v>1041</v>
      </c>
      <c r="F19" s="387">
        <v>696.65000000000009</v>
      </c>
      <c r="G19" s="387">
        <v>64.97999999999999</v>
      </c>
      <c r="H19" s="387">
        <v>72.099999999999994</v>
      </c>
      <c r="I19" s="388">
        <v>1.1095721760541706</v>
      </c>
      <c r="J19" s="387">
        <v>0</v>
      </c>
      <c r="K19" s="388">
        <v>0</v>
      </c>
      <c r="L19" s="387">
        <v>139.33000000000001</v>
      </c>
      <c r="M19" s="388">
        <v>1.1095721760541706</v>
      </c>
      <c r="N19" s="389">
        <v>992.02960000000076</v>
      </c>
      <c r="O19" s="387">
        <v>5</v>
      </c>
      <c r="P19" s="388">
        <v>7.694675284702987E-2</v>
      </c>
      <c r="Q19" s="390">
        <v>7.1200000000000045</v>
      </c>
      <c r="R19" s="388">
        <v>0.10957217605417061</v>
      </c>
      <c r="S19" s="387">
        <v>992.02960000000076</v>
      </c>
      <c r="T19" s="385" t="s">
        <v>350</v>
      </c>
      <c r="U19" s="391" t="s">
        <v>351</v>
      </c>
      <c r="V19" s="431" t="s">
        <v>958</v>
      </c>
      <c r="W19" s="431" t="s">
        <v>827</v>
      </c>
      <c r="X19" s="392">
        <v>1</v>
      </c>
      <c r="Y19" s="393" t="s">
        <v>355</v>
      </c>
      <c r="AB19" s="397">
        <v>7</v>
      </c>
      <c r="AC19" s="400" t="s">
        <v>751</v>
      </c>
    </row>
    <row r="20" spans="2:29" s="397" customFormat="1" ht="27" customHeight="1">
      <c r="B20" s="887"/>
      <c r="C20" s="888"/>
      <c r="D20" s="385">
        <v>14</v>
      </c>
      <c r="E20" s="386" t="s">
        <v>1042</v>
      </c>
      <c r="F20" s="387">
        <v>696.36599999999987</v>
      </c>
      <c r="G20" s="387">
        <v>49.302</v>
      </c>
      <c r="H20" s="387">
        <v>52.7</v>
      </c>
      <c r="I20" s="388">
        <v>1.0689221532595028</v>
      </c>
      <c r="J20" s="387">
        <v>0</v>
      </c>
      <c r="K20" s="388">
        <v>0</v>
      </c>
      <c r="L20" s="387">
        <v>316.52999999999997</v>
      </c>
      <c r="M20" s="388">
        <v>1.0689221532595028</v>
      </c>
      <c r="N20" s="389">
        <v>1075.568940000001</v>
      </c>
      <c r="O20" s="387">
        <v>2.1999999999999997</v>
      </c>
      <c r="P20" s="388">
        <v>4.4622936189201247E-2</v>
      </c>
      <c r="Q20" s="390">
        <v>3.3980000000000032</v>
      </c>
      <c r="R20" s="388">
        <v>6.8922153259502725E-2</v>
      </c>
      <c r="S20" s="387">
        <v>1075.568940000001</v>
      </c>
      <c r="T20" s="391" t="s">
        <v>350</v>
      </c>
      <c r="U20" s="391" t="s">
        <v>351</v>
      </c>
      <c r="V20" s="431" t="s">
        <v>1039</v>
      </c>
      <c r="W20" s="431" t="s">
        <v>1040</v>
      </c>
      <c r="X20" s="392">
        <v>1</v>
      </c>
      <c r="Y20" s="393" t="s">
        <v>716</v>
      </c>
      <c r="AB20" s="397">
        <v>8</v>
      </c>
      <c r="AC20" s="401" t="s">
        <v>752</v>
      </c>
    </row>
    <row r="21" spans="2:29" s="397" customFormat="1" ht="27" customHeight="1">
      <c r="B21" s="887"/>
      <c r="C21" s="888"/>
      <c r="D21" s="385">
        <v>15</v>
      </c>
      <c r="E21" s="386" t="s">
        <v>913</v>
      </c>
      <c r="F21" s="387">
        <v>670.75600000000009</v>
      </c>
      <c r="G21" s="387">
        <v>172.74</v>
      </c>
      <c r="H21" s="387">
        <v>181.6</v>
      </c>
      <c r="I21" s="388">
        <v>1.051290957508394</v>
      </c>
      <c r="J21" s="387">
        <v>0</v>
      </c>
      <c r="K21" s="388">
        <v>0</v>
      </c>
      <c r="L21" s="387">
        <v>109.96</v>
      </c>
      <c r="M21" s="388">
        <v>1.051290957508394</v>
      </c>
      <c r="N21" s="389">
        <v>974.24559999999838</v>
      </c>
      <c r="O21" s="387">
        <v>6.1</v>
      </c>
      <c r="P21" s="388">
        <v>3.5313187449345834E-2</v>
      </c>
      <c r="Q21" s="390">
        <v>8.8599999999999852</v>
      </c>
      <c r="R21" s="388">
        <v>5.1290957508394033E-2</v>
      </c>
      <c r="S21" s="387">
        <v>974.24559999999838</v>
      </c>
      <c r="T21" s="391" t="s">
        <v>350</v>
      </c>
      <c r="U21" s="391" t="s">
        <v>351</v>
      </c>
      <c r="V21" s="431" t="s">
        <v>1043</v>
      </c>
      <c r="W21" s="431" t="s">
        <v>1044</v>
      </c>
      <c r="X21" s="392">
        <v>1</v>
      </c>
      <c r="Y21" s="393" t="s">
        <v>912</v>
      </c>
      <c r="AC21" s="400"/>
    </row>
    <row r="22" spans="2:29" s="397" customFormat="1" ht="27" customHeight="1">
      <c r="B22" s="887"/>
      <c r="C22" s="888"/>
      <c r="D22" s="385">
        <v>16</v>
      </c>
      <c r="E22" s="386" t="s">
        <v>1045</v>
      </c>
      <c r="F22" s="387">
        <v>668.96</v>
      </c>
      <c r="G22" s="387">
        <v>1266.4079999999999</v>
      </c>
      <c r="H22" s="387">
        <v>1280.2</v>
      </c>
      <c r="I22" s="388">
        <v>1.0108906450369866</v>
      </c>
      <c r="J22" s="387">
        <v>0</v>
      </c>
      <c r="K22" s="388">
        <v>0</v>
      </c>
      <c r="L22" s="387">
        <v>90.4</v>
      </c>
      <c r="M22" s="388">
        <v>1.0108906450369866</v>
      </c>
      <c r="N22" s="389">
        <v>1246.796800000013</v>
      </c>
      <c r="O22" s="387">
        <v>7.4</v>
      </c>
      <c r="P22" s="388">
        <v>5.8432985262253561E-3</v>
      </c>
      <c r="Q22" s="390">
        <v>13.792000000000144</v>
      </c>
      <c r="R22" s="388">
        <v>1.0890645036986614E-2</v>
      </c>
      <c r="S22" s="387">
        <v>1246.796800000013</v>
      </c>
      <c r="T22" s="391" t="s">
        <v>344</v>
      </c>
      <c r="U22" s="391" t="s">
        <v>709</v>
      </c>
      <c r="V22" s="431" t="s">
        <v>961</v>
      </c>
      <c r="W22" s="431" t="s">
        <v>828</v>
      </c>
      <c r="X22" s="392">
        <v>1</v>
      </c>
      <c r="Y22" s="393" t="s">
        <v>381</v>
      </c>
      <c r="AC22" s="400"/>
    </row>
    <row r="23" spans="2:29" s="397" customFormat="1" ht="27" customHeight="1">
      <c r="B23" s="887"/>
      <c r="C23" s="888"/>
      <c r="D23" s="385">
        <v>17</v>
      </c>
      <c r="E23" s="386" t="s">
        <v>1046</v>
      </c>
      <c r="F23" s="387">
        <v>660.50400000000013</v>
      </c>
      <c r="G23" s="387">
        <v>346.16399999999999</v>
      </c>
      <c r="H23" s="387">
        <v>352</v>
      </c>
      <c r="I23" s="388">
        <v>1.016859061023099</v>
      </c>
      <c r="J23" s="387">
        <v>0</v>
      </c>
      <c r="K23" s="388">
        <v>0</v>
      </c>
      <c r="L23" s="387">
        <v>169.36</v>
      </c>
      <c r="M23" s="388">
        <v>1.016859061023099</v>
      </c>
      <c r="N23" s="389">
        <v>988.38496000000225</v>
      </c>
      <c r="O23" s="387">
        <v>3.9</v>
      </c>
      <c r="P23" s="388">
        <v>1.1266336187471835E-2</v>
      </c>
      <c r="Q23" s="390">
        <v>5.8360000000000127</v>
      </c>
      <c r="R23" s="388">
        <v>1.6859061023098917E-2</v>
      </c>
      <c r="S23" s="387">
        <v>988.38496000000225</v>
      </c>
      <c r="T23" s="391" t="s">
        <v>344</v>
      </c>
      <c r="U23" s="391" t="s">
        <v>709</v>
      </c>
      <c r="V23" s="431" t="s">
        <v>1047</v>
      </c>
      <c r="W23" s="431" t="s">
        <v>1048</v>
      </c>
      <c r="X23" s="392">
        <v>1</v>
      </c>
      <c r="Y23" s="393" t="s">
        <v>352</v>
      </c>
      <c r="AB23" s="402">
        <v>1</v>
      </c>
      <c r="AC23" s="400" t="s">
        <v>350</v>
      </c>
    </row>
    <row r="24" spans="2:29" s="397" customFormat="1" ht="27" customHeight="1">
      <c r="B24" s="887"/>
      <c r="C24" s="888"/>
      <c r="D24" s="385">
        <v>18</v>
      </c>
      <c r="E24" s="386" t="s">
        <v>1049</v>
      </c>
      <c r="F24" s="387">
        <v>651.90300000000002</v>
      </c>
      <c r="G24" s="387">
        <v>108.92399999999999</v>
      </c>
      <c r="H24" s="387">
        <v>112.6</v>
      </c>
      <c r="I24" s="388">
        <v>1.0337483015680657</v>
      </c>
      <c r="J24" s="387">
        <v>0</v>
      </c>
      <c r="K24" s="388">
        <v>0</v>
      </c>
      <c r="L24" s="387">
        <v>310.43</v>
      </c>
      <c r="M24" s="388">
        <v>1.0337483015680657</v>
      </c>
      <c r="N24" s="389">
        <v>1141.1406800000007</v>
      </c>
      <c r="O24" s="387">
        <v>2.1</v>
      </c>
      <c r="P24" s="388">
        <v>1.9279497631376007E-2</v>
      </c>
      <c r="Q24" s="390">
        <v>3.6760000000000019</v>
      </c>
      <c r="R24" s="388">
        <v>3.3748301568065825E-2</v>
      </c>
      <c r="S24" s="387">
        <v>1141.1406800000007</v>
      </c>
      <c r="T24" s="391" t="s">
        <v>344</v>
      </c>
      <c r="U24" s="391" t="s">
        <v>709</v>
      </c>
      <c r="V24" s="431" t="s">
        <v>1050</v>
      </c>
      <c r="W24" s="431" t="s">
        <v>825</v>
      </c>
      <c r="X24" s="392">
        <v>1</v>
      </c>
      <c r="Y24" s="393" t="s">
        <v>345</v>
      </c>
      <c r="AB24" s="397">
        <v>2</v>
      </c>
      <c r="AC24" s="400" t="s">
        <v>410</v>
      </c>
    </row>
    <row r="25" spans="2:29" s="397" customFormat="1" ht="27" customHeight="1">
      <c r="B25" s="887"/>
      <c r="C25" s="888"/>
      <c r="D25" s="385">
        <v>19</v>
      </c>
      <c r="E25" s="386" t="s">
        <v>878</v>
      </c>
      <c r="F25" s="387">
        <v>648.92400000000021</v>
      </c>
      <c r="G25" s="387">
        <v>405.9</v>
      </c>
      <c r="H25" s="387">
        <v>416</v>
      </c>
      <c r="I25" s="388">
        <v>1.0248829761024885</v>
      </c>
      <c r="J25" s="387">
        <v>0</v>
      </c>
      <c r="K25" s="388">
        <v>0</v>
      </c>
      <c r="L25" s="387">
        <v>95.43</v>
      </c>
      <c r="M25" s="388">
        <v>1.0248829761024885</v>
      </c>
      <c r="N25" s="389">
        <v>963.84300000000223</v>
      </c>
      <c r="O25" s="387">
        <v>6.8</v>
      </c>
      <c r="P25" s="388">
        <v>1.6752894801675289E-2</v>
      </c>
      <c r="Q25" s="390">
        <v>10.100000000000023</v>
      </c>
      <c r="R25" s="388">
        <v>2.4882976102488356E-2</v>
      </c>
      <c r="S25" s="387">
        <v>963.84300000000223</v>
      </c>
      <c r="T25" s="391" t="s">
        <v>350</v>
      </c>
      <c r="U25" s="391" t="s">
        <v>407</v>
      </c>
      <c r="V25" s="431" t="s">
        <v>961</v>
      </c>
      <c r="W25" s="431" t="s">
        <v>828</v>
      </c>
      <c r="X25" s="392">
        <v>1</v>
      </c>
      <c r="Y25" s="393" t="s">
        <v>381</v>
      </c>
      <c r="AB25" s="403">
        <v>3</v>
      </c>
      <c r="AC25" s="400" t="s">
        <v>344</v>
      </c>
    </row>
    <row r="26" spans="2:29" s="397" customFormat="1" ht="27" customHeight="1">
      <c r="B26" s="889"/>
      <c r="C26" s="890"/>
      <c r="D26" s="385">
        <v>20</v>
      </c>
      <c r="E26" s="386" t="s">
        <v>1051</v>
      </c>
      <c r="F26" s="387">
        <v>648.09</v>
      </c>
      <c r="G26" s="387">
        <v>144.55000000000001</v>
      </c>
      <c r="H26" s="387">
        <v>147.6</v>
      </c>
      <c r="I26" s="388">
        <v>1.0210999654098927</v>
      </c>
      <c r="J26" s="387">
        <v>0</v>
      </c>
      <c r="K26" s="388">
        <v>0</v>
      </c>
      <c r="L26" s="387">
        <v>360.05</v>
      </c>
      <c r="M26" s="388">
        <v>1.0210999654098927</v>
      </c>
      <c r="N26" s="389">
        <v>1098.152499999994</v>
      </c>
      <c r="O26" s="387">
        <v>1.8</v>
      </c>
      <c r="P26" s="388">
        <v>1.2452438602559667E-2</v>
      </c>
      <c r="Q26" s="390">
        <v>3.0499999999999829</v>
      </c>
      <c r="R26" s="388">
        <v>2.1099965409892649E-2</v>
      </c>
      <c r="S26" s="387">
        <v>1098.152499999994</v>
      </c>
      <c r="T26" s="391" t="s">
        <v>344</v>
      </c>
      <c r="U26" s="391" t="s">
        <v>709</v>
      </c>
      <c r="V26" s="431" t="s">
        <v>1052</v>
      </c>
      <c r="W26" s="431" t="s">
        <v>1053</v>
      </c>
      <c r="X26" s="392">
        <v>1</v>
      </c>
      <c r="Y26" s="393" t="s">
        <v>832</v>
      </c>
      <c r="AB26" s="403">
        <v>4</v>
      </c>
      <c r="AC26" s="400" t="s">
        <v>346</v>
      </c>
    </row>
    <row r="27" spans="2:29" ht="29.45" customHeight="1">
      <c r="C27" s="891"/>
      <c r="AB27" s="397"/>
      <c r="AC27" s="400"/>
    </row>
    <row r="28" spans="2:29">
      <c r="C28" s="891"/>
    </row>
    <row r="29" spans="2:29">
      <c r="C29" s="891"/>
    </row>
    <row r="30" spans="2:29">
      <c r="C30" s="891"/>
    </row>
    <row r="31" spans="2:29">
      <c r="C31" s="891"/>
    </row>
    <row r="32" spans="2:29">
      <c r="C32" s="891"/>
    </row>
    <row r="33" spans="3:3">
      <c r="C33" s="891"/>
    </row>
    <row r="34" spans="3:3">
      <c r="C34" s="891"/>
    </row>
    <row r="35" spans="3:3">
      <c r="C35" s="891"/>
    </row>
    <row r="36" spans="3:3">
      <c r="C36" s="891"/>
    </row>
    <row r="67" ht="14.1" customHeight="1"/>
    <row r="77" ht="14.1" customHeight="1"/>
    <row r="87" ht="14.1" customHeight="1"/>
    <row r="112" spans="26:26">
      <c r="Z112" s="404" t="s">
        <v>753</v>
      </c>
    </row>
    <row r="113" spans="26:26">
      <c r="Z113" s="397" t="s">
        <v>754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1" type="noConversion"/>
  <dataValidations count="2">
    <dataValidation type="list" allowBlank="1" showInputMessage="1" showErrorMessage="1" sqref="T1:T1048576">
      <formula1>$AC$23:$AC$27</formula1>
    </dataValidation>
    <dataValidation type="list" allowBlank="1" showInputMessage="1" showErrorMessage="1" sqref="U1:U1048576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E7" sqref="E7:Y26"/>
    </sheetView>
  </sheetViews>
  <sheetFormatPr defaultColWidth="8.85546875" defaultRowHeight="14.25"/>
  <cols>
    <col min="1" max="1" width="8.85546875" style="381"/>
    <col min="2" max="2" width="12.42578125" style="381" customWidth="1"/>
    <col min="3" max="3" width="8.85546875" style="381"/>
    <col min="4" max="4" width="11.5703125" style="381" customWidth="1"/>
    <col min="5" max="5" width="39.28515625" style="381" bestFit="1" customWidth="1"/>
    <col min="6" max="6" width="13.42578125" style="381" bestFit="1" customWidth="1"/>
    <col min="7" max="7" width="14.140625" style="381" customWidth="1"/>
    <col min="8" max="8" width="14" style="381" customWidth="1"/>
    <col min="9" max="9" width="16.85546875" style="381" customWidth="1"/>
    <col min="10" max="10" width="14" style="381" customWidth="1"/>
    <col min="11" max="11" width="11.7109375" style="381" bestFit="1" customWidth="1"/>
    <col min="12" max="12" width="13.42578125" style="381" bestFit="1" customWidth="1"/>
    <col min="13" max="13" width="19.28515625" style="381" bestFit="1" customWidth="1"/>
    <col min="14" max="14" width="15.42578125" style="381" bestFit="1" customWidth="1"/>
    <col min="15" max="15" width="12.7109375" style="381" bestFit="1" customWidth="1"/>
    <col min="16" max="16" width="9.85546875" style="381" bestFit="1" customWidth="1"/>
    <col min="17" max="17" width="12.28515625" style="381" bestFit="1" customWidth="1"/>
    <col min="18" max="18" width="10.7109375" style="381" customWidth="1"/>
    <col min="19" max="19" width="10.7109375" style="381" bestFit="1" customWidth="1"/>
    <col min="20" max="20" width="12.42578125" style="381" bestFit="1" customWidth="1"/>
    <col min="21" max="21" width="25.28515625" style="381" bestFit="1" customWidth="1"/>
    <col min="22" max="23" width="88.28515625" style="381" customWidth="1"/>
    <col min="24" max="24" width="7.42578125" style="381" bestFit="1" customWidth="1"/>
    <col min="25" max="25" width="69.5703125" style="381" bestFit="1" customWidth="1"/>
    <col min="26" max="26" width="11.42578125" style="381" bestFit="1" customWidth="1"/>
    <col min="27" max="27" width="21.5703125" style="381" customWidth="1"/>
    <col min="28" max="28" width="19.42578125" style="381" bestFit="1" customWidth="1"/>
    <col min="29" max="34" width="14.42578125" style="381" customWidth="1"/>
    <col min="35" max="35" width="11.42578125" style="381" bestFit="1" customWidth="1"/>
    <col min="36" max="16384" width="8.85546875" style="381"/>
  </cols>
  <sheetData>
    <row r="2" spans="2:35" ht="41.1" customHeight="1">
      <c r="B2" s="896" t="s">
        <v>755</v>
      </c>
      <c r="C2" s="897"/>
      <c r="D2" s="897"/>
      <c r="E2" s="897"/>
      <c r="F2" s="897"/>
      <c r="G2" s="897"/>
      <c r="H2" s="897"/>
      <c r="I2" s="897"/>
      <c r="J2" s="897"/>
      <c r="K2" s="897"/>
      <c r="L2" s="897"/>
      <c r="M2" s="897"/>
      <c r="N2" s="897"/>
      <c r="O2" s="897"/>
      <c r="P2" s="897"/>
      <c r="Q2" s="897"/>
      <c r="R2" s="897"/>
      <c r="S2" s="897"/>
      <c r="T2" s="897"/>
      <c r="U2" s="897"/>
      <c r="V2" s="897"/>
      <c r="W2" s="897"/>
      <c r="X2" s="897"/>
      <c r="Y2" s="897"/>
      <c r="AA2" s="382"/>
      <c r="AB2" s="382"/>
    </row>
    <row r="3" spans="2:35" ht="17.100000000000001" customHeight="1">
      <c r="B3" s="898" t="s">
        <v>730</v>
      </c>
      <c r="C3" s="899"/>
      <c r="D3" s="892" t="s">
        <v>168</v>
      </c>
      <c r="E3" s="892"/>
      <c r="F3" s="892"/>
      <c r="G3" s="892" t="s">
        <v>182</v>
      </c>
      <c r="H3" s="892"/>
      <c r="I3" s="892"/>
      <c r="J3" s="892"/>
      <c r="K3" s="892"/>
      <c r="L3" s="892"/>
      <c r="M3" s="892"/>
      <c r="N3" s="892"/>
      <c r="O3" s="892"/>
      <c r="P3" s="892"/>
      <c r="Q3" s="892"/>
      <c r="R3" s="892"/>
      <c r="S3" s="892"/>
      <c r="T3" s="892" t="s">
        <v>169</v>
      </c>
      <c r="U3" s="904" t="s">
        <v>731</v>
      </c>
      <c r="V3" s="913" t="s">
        <v>756</v>
      </c>
      <c r="W3" s="913" t="s">
        <v>733</v>
      </c>
      <c r="X3" s="910" t="s">
        <v>757</v>
      </c>
      <c r="Y3" s="894" t="s">
        <v>170</v>
      </c>
      <c r="AA3" s="892" t="s">
        <v>758</v>
      </c>
      <c r="AB3" s="892"/>
      <c r="AC3" s="892"/>
      <c r="AD3" s="892"/>
      <c r="AE3" s="892"/>
      <c r="AF3" s="892"/>
      <c r="AG3" s="892"/>
      <c r="AH3" s="892"/>
      <c r="AI3" s="892"/>
    </row>
    <row r="4" spans="2:35" ht="17.100000000000001" customHeight="1">
      <c r="B4" s="900"/>
      <c r="C4" s="901"/>
      <c r="D4" s="893" t="s">
        <v>167</v>
      </c>
      <c r="E4" s="892" t="s">
        <v>171</v>
      </c>
      <c r="F4" s="892"/>
      <c r="G4" s="892" t="s">
        <v>183</v>
      </c>
      <c r="H4" s="892"/>
      <c r="I4" s="892"/>
      <c r="J4" s="892"/>
      <c r="K4" s="892"/>
      <c r="L4" s="892"/>
      <c r="M4" s="892"/>
      <c r="N4" s="892"/>
      <c r="O4" s="892" t="s">
        <v>172</v>
      </c>
      <c r="P4" s="892"/>
      <c r="Q4" s="892"/>
      <c r="R4" s="892"/>
      <c r="S4" s="892"/>
      <c r="T4" s="892"/>
      <c r="U4" s="905"/>
      <c r="V4" s="911"/>
      <c r="W4" s="914"/>
      <c r="X4" s="911"/>
      <c r="Y4" s="894"/>
      <c r="AA4" s="892"/>
      <c r="AB4" s="892"/>
      <c r="AC4" s="892"/>
      <c r="AD4" s="892"/>
      <c r="AE4" s="892"/>
      <c r="AF4" s="892"/>
      <c r="AG4" s="892"/>
      <c r="AH4" s="892"/>
      <c r="AI4" s="892"/>
    </row>
    <row r="5" spans="2:35" ht="17.100000000000001" customHeight="1">
      <c r="B5" s="900"/>
      <c r="C5" s="901"/>
      <c r="D5" s="893"/>
      <c r="E5" s="893" t="s">
        <v>173</v>
      </c>
      <c r="F5" s="894" t="s">
        <v>777</v>
      </c>
      <c r="G5" s="895" t="s">
        <v>184</v>
      </c>
      <c r="H5" s="895"/>
      <c r="I5" s="895"/>
      <c r="J5" s="895"/>
      <c r="K5" s="895"/>
      <c r="L5" s="895"/>
      <c r="M5" s="895"/>
      <c r="N5" s="895"/>
      <c r="O5" s="895" t="s">
        <v>166</v>
      </c>
      <c r="P5" s="895"/>
      <c r="Q5" s="895" t="s">
        <v>174</v>
      </c>
      <c r="R5" s="895"/>
      <c r="S5" s="895"/>
      <c r="T5" s="892"/>
      <c r="U5" s="905"/>
      <c r="V5" s="911"/>
      <c r="W5" s="914"/>
      <c r="X5" s="911"/>
      <c r="Y5" s="894"/>
      <c r="AA5" s="892"/>
      <c r="AB5" s="892"/>
      <c r="AC5" s="892"/>
      <c r="AD5" s="892"/>
      <c r="AE5" s="892"/>
      <c r="AF5" s="892"/>
      <c r="AG5" s="892"/>
      <c r="AH5" s="892"/>
      <c r="AI5" s="892"/>
    </row>
    <row r="6" spans="2:35" ht="38.450000000000003" customHeight="1">
      <c r="B6" s="902"/>
      <c r="C6" s="903"/>
      <c r="D6" s="893"/>
      <c r="E6" s="893"/>
      <c r="F6" s="894"/>
      <c r="G6" s="383" t="s">
        <v>175</v>
      </c>
      <c r="H6" s="383" t="s">
        <v>759</v>
      </c>
      <c r="I6" s="383" t="s">
        <v>760</v>
      </c>
      <c r="J6" s="383" t="s">
        <v>176</v>
      </c>
      <c r="K6" s="383" t="s">
        <v>761</v>
      </c>
      <c r="L6" s="383" t="s">
        <v>177</v>
      </c>
      <c r="M6" s="383" t="s">
        <v>185</v>
      </c>
      <c r="N6" s="383" t="s">
        <v>178</v>
      </c>
      <c r="O6" s="384" t="s">
        <v>179</v>
      </c>
      <c r="P6" s="384" t="s">
        <v>180</v>
      </c>
      <c r="Q6" s="384" t="s">
        <v>179</v>
      </c>
      <c r="R6" s="384" t="s">
        <v>180</v>
      </c>
      <c r="S6" s="383" t="s">
        <v>181</v>
      </c>
      <c r="T6" s="892"/>
      <c r="U6" s="906"/>
      <c r="V6" s="912"/>
      <c r="W6" s="915"/>
      <c r="X6" s="912"/>
      <c r="Y6" s="894"/>
      <c r="AA6" s="224" t="s">
        <v>762</v>
      </c>
      <c r="AB6" s="224" t="s">
        <v>713</v>
      </c>
      <c r="AC6" s="371" t="s">
        <v>763</v>
      </c>
      <c r="AD6" s="371" t="s">
        <v>715</v>
      </c>
      <c r="AE6" s="371" t="s">
        <v>764</v>
      </c>
      <c r="AF6" s="371" t="s">
        <v>765</v>
      </c>
      <c r="AG6" s="371" t="s">
        <v>766</v>
      </c>
      <c r="AH6" s="371" t="s">
        <v>717</v>
      </c>
      <c r="AI6" s="371" t="s">
        <v>767</v>
      </c>
    </row>
    <row r="7" spans="2:35" s="397" customFormat="1" ht="27" customHeight="1">
      <c r="B7" s="885" t="s">
        <v>962</v>
      </c>
      <c r="C7" s="886"/>
      <c r="D7" s="385">
        <v>1</v>
      </c>
      <c r="E7" s="386" t="s">
        <v>409</v>
      </c>
      <c r="F7" s="387">
        <v>1638.8828799999994</v>
      </c>
      <c r="G7" s="387">
        <v>763.84400000000005</v>
      </c>
      <c r="H7" s="387">
        <v>776.7</v>
      </c>
      <c r="I7" s="388">
        <v>1.0168306617581599</v>
      </c>
      <c r="J7" s="387">
        <v>0</v>
      </c>
      <c r="K7" s="388">
        <v>0</v>
      </c>
      <c r="L7" s="387">
        <v>127.48</v>
      </c>
      <c r="M7" s="388">
        <v>1.0168306617581599</v>
      </c>
      <c r="N7" s="389">
        <v>1638.8828799999994</v>
      </c>
      <c r="O7" s="387">
        <v>7.3000000000000007</v>
      </c>
      <c r="P7" s="388">
        <v>9.5569252360429621E-3</v>
      </c>
      <c r="Q7" s="387">
        <v>930.60400000000004</v>
      </c>
      <c r="R7" s="390">
        <v>12.855999999999995</v>
      </c>
      <c r="S7" s="388">
        <v>1.6830661758160035E-2</v>
      </c>
      <c r="T7" s="431" t="s">
        <v>344</v>
      </c>
      <c r="U7" s="391" t="s">
        <v>709</v>
      </c>
      <c r="V7" s="431" t="s">
        <v>956</v>
      </c>
      <c r="W7" s="431" t="s">
        <v>824</v>
      </c>
      <c r="X7" s="392">
        <v>1</v>
      </c>
      <c r="Y7" s="393" t="s">
        <v>349</v>
      </c>
      <c r="Z7" s="394" t="s">
        <v>749</v>
      </c>
      <c r="AA7" s="395">
        <f>SUM(X7:X26)</f>
        <v>20</v>
      </c>
      <c r="AB7" s="396">
        <f>SUMIF($U$7:$U$26,TRIM(AB6),$X$7:$X$26)</f>
        <v>0</v>
      </c>
      <c r="AC7" s="396">
        <f>SUMIF($U$7:$U$26,TRIM(AC6),$X$7:$X$26)</f>
        <v>0</v>
      </c>
      <c r="AD7" s="396">
        <f t="shared" ref="AD7:AI7" ca="1" si="0">SUMIF($U$7:$U$9710,TRIM(AD6),$X$7:$X$26)</f>
        <v>0</v>
      </c>
      <c r="AE7" s="396">
        <f t="shared" ca="1" si="0"/>
        <v>13</v>
      </c>
      <c r="AF7" s="396">
        <f t="shared" ca="1" si="0"/>
        <v>5</v>
      </c>
      <c r="AG7" s="396">
        <f t="shared" ca="1" si="0"/>
        <v>1</v>
      </c>
      <c r="AH7" s="396">
        <f t="shared" ca="1" si="0"/>
        <v>1</v>
      </c>
      <c r="AI7" s="396">
        <f t="shared" ca="1" si="0"/>
        <v>0</v>
      </c>
    </row>
    <row r="8" spans="2:35" s="397" customFormat="1" ht="27" customHeight="1">
      <c r="B8" s="887"/>
      <c r="C8" s="888"/>
      <c r="D8" s="385">
        <v>2</v>
      </c>
      <c r="E8" s="386" t="s">
        <v>354</v>
      </c>
      <c r="F8" s="387">
        <v>1638.3359999999791</v>
      </c>
      <c r="G8" s="387">
        <v>345.04</v>
      </c>
      <c r="H8" s="387">
        <v>348.4</v>
      </c>
      <c r="I8" s="388">
        <v>1.009738001391143</v>
      </c>
      <c r="J8" s="387">
        <v>0</v>
      </c>
      <c r="K8" s="388">
        <v>0</v>
      </c>
      <c r="L8" s="387">
        <v>487.6</v>
      </c>
      <c r="M8" s="388">
        <v>1.009738001391143</v>
      </c>
      <c r="N8" s="389">
        <v>1638.3359999999791</v>
      </c>
      <c r="O8" s="387">
        <v>1.2</v>
      </c>
      <c r="P8" s="388">
        <v>3.477857639693948E-3</v>
      </c>
      <c r="Q8" s="387">
        <v>585.12</v>
      </c>
      <c r="R8" s="390">
        <v>3.3599999999999568</v>
      </c>
      <c r="S8" s="388">
        <v>9.7380013911429301E-3</v>
      </c>
      <c r="T8" s="431" t="s">
        <v>346</v>
      </c>
      <c r="U8" s="391" t="s">
        <v>213</v>
      </c>
      <c r="V8" s="431" t="s">
        <v>960</v>
      </c>
      <c r="W8" s="432" t="s">
        <v>825</v>
      </c>
      <c r="X8" s="392">
        <v>1</v>
      </c>
      <c r="Y8" s="393" t="s">
        <v>911</v>
      </c>
      <c r="AA8" s="395"/>
      <c r="AB8" s="399">
        <f>SUMIF($U$7:$U$26,TRIM(AB6),$F$7:$F$26)</f>
        <v>0</v>
      </c>
      <c r="AC8" s="399">
        <f>SUMIF($U$7:$U$26,TRIM(AC6),$F$7:$F$26)</f>
        <v>0</v>
      </c>
      <c r="AD8" s="399">
        <f t="shared" ref="AD8:AI8" ca="1" si="1">SUMIF($U$7:$U$176,TRIM(AD6),$F$7:$F$26)</f>
        <v>0</v>
      </c>
      <c r="AE8" s="399">
        <f t="shared" ca="1" si="1"/>
        <v>16541.958809999967</v>
      </c>
      <c r="AF8" s="399">
        <f t="shared" ca="1" si="1"/>
        <v>6805.0356099999872</v>
      </c>
      <c r="AG8" s="399">
        <f t="shared" ca="1" si="1"/>
        <v>1638.3359999999791</v>
      </c>
      <c r="AH8" s="399">
        <f t="shared" ca="1" si="1"/>
        <v>1600.1576799999741</v>
      </c>
      <c r="AI8" s="399">
        <f t="shared" ca="1" si="1"/>
        <v>0</v>
      </c>
    </row>
    <row r="9" spans="2:35" s="397" customFormat="1" ht="27" customHeight="1">
      <c r="B9" s="887"/>
      <c r="C9" s="888"/>
      <c r="D9" s="385">
        <v>3</v>
      </c>
      <c r="E9" s="386" t="s">
        <v>926</v>
      </c>
      <c r="F9" s="387">
        <v>1600.1576799999741</v>
      </c>
      <c r="G9" s="387">
        <v>227.54400000000001</v>
      </c>
      <c r="H9" s="387">
        <v>228.89999999999998</v>
      </c>
      <c r="I9" s="388">
        <v>1.0059592869950427</v>
      </c>
      <c r="J9" s="387">
        <v>1.1000000000000001</v>
      </c>
      <c r="K9" s="388">
        <v>4.8342298632352426E-3</v>
      </c>
      <c r="L9" s="387">
        <v>651.53</v>
      </c>
      <c r="M9" s="388">
        <v>1.0107935168582778</v>
      </c>
      <c r="N9" s="389">
        <v>883.47467999997787</v>
      </c>
      <c r="O9" s="387">
        <v>0.79999999999999993</v>
      </c>
      <c r="P9" s="388">
        <v>3.5158035368983574E-3</v>
      </c>
      <c r="Q9" s="387">
        <v>521.22400000000005</v>
      </c>
      <c r="R9" s="390">
        <v>2.4559999999999604</v>
      </c>
      <c r="S9" s="388">
        <v>1.0793516858277785E-2</v>
      </c>
      <c r="T9" s="505" t="s">
        <v>346</v>
      </c>
      <c r="U9" s="391" t="s">
        <v>751</v>
      </c>
      <c r="V9" s="431" t="s">
        <v>916</v>
      </c>
      <c r="W9" s="431" t="s">
        <v>993</v>
      </c>
      <c r="X9" s="392">
        <v>1</v>
      </c>
      <c r="Y9" s="393" t="s">
        <v>925</v>
      </c>
    </row>
    <row r="10" spans="2:35" s="397" customFormat="1" ht="27" customHeight="1">
      <c r="B10" s="887"/>
      <c r="C10" s="888"/>
      <c r="D10" s="385">
        <v>4</v>
      </c>
      <c r="E10" s="386" t="s">
        <v>808</v>
      </c>
      <c r="F10" s="387">
        <v>1567.9380599999931</v>
      </c>
      <c r="G10" s="387">
        <v>1551.346</v>
      </c>
      <c r="H10" s="387">
        <v>1562.8</v>
      </c>
      <c r="I10" s="388">
        <v>1.0073832658865269</v>
      </c>
      <c r="J10" s="387">
        <v>0</v>
      </c>
      <c r="K10" s="388">
        <v>0</v>
      </c>
      <c r="L10" s="387">
        <v>136.88999999999999</v>
      </c>
      <c r="M10" s="388">
        <v>1.0073832658865269</v>
      </c>
      <c r="N10" s="389">
        <v>1567.9380599999931</v>
      </c>
      <c r="O10" s="387">
        <v>5.4</v>
      </c>
      <c r="P10" s="388">
        <v>3.4808482440409814E-3</v>
      </c>
      <c r="Q10" s="387">
        <v>739.2059999999999</v>
      </c>
      <c r="R10" s="390">
        <v>11.453999999999951</v>
      </c>
      <c r="S10" s="388">
        <v>7.3832658865268944E-3</v>
      </c>
      <c r="T10" s="431" t="s">
        <v>346</v>
      </c>
      <c r="U10" s="391" t="s">
        <v>212</v>
      </c>
      <c r="V10" s="431" t="s">
        <v>957</v>
      </c>
      <c r="W10" s="431" t="s">
        <v>825</v>
      </c>
      <c r="X10" s="392">
        <v>1</v>
      </c>
      <c r="Y10" s="393" t="s">
        <v>352</v>
      </c>
    </row>
    <row r="11" spans="2:35" s="397" customFormat="1" ht="27" customHeight="1">
      <c r="B11" s="887"/>
      <c r="C11" s="888"/>
      <c r="D11" s="385">
        <v>5</v>
      </c>
      <c r="E11" s="386" t="s">
        <v>989</v>
      </c>
      <c r="F11" s="387">
        <v>1524.6166000000087</v>
      </c>
      <c r="G11" s="387">
        <v>487.11</v>
      </c>
      <c r="H11" s="387">
        <v>492.70000000000005</v>
      </c>
      <c r="I11" s="388">
        <v>1.0114758473445424</v>
      </c>
      <c r="J11" s="387">
        <v>0</v>
      </c>
      <c r="K11" s="388">
        <v>0</v>
      </c>
      <c r="L11" s="387">
        <v>272.74</v>
      </c>
      <c r="M11" s="388">
        <v>1.0114758473445424</v>
      </c>
      <c r="N11" s="389">
        <v>1524.6166000000087</v>
      </c>
      <c r="O11" s="387">
        <v>2.8</v>
      </c>
      <c r="P11" s="388">
        <v>5.748188294225123E-3</v>
      </c>
      <c r="Q11" s="387">
        <v>763.67200000000003</v>
      </c>
      <c r="R11" s="390">
        <v>5.5900000000000318</v>
      </c>
      <c r="S11" s="388">
        <v>1.1475847344542366E-2</v>
      </c>
      <c r="T11" s="431" t="s">
        <v>346</v>
      </c>
      <c r="U11" s="391" t="s">
        <v>212</v>
      </c>
      <c r="V11" s="431" t="s">
        <v>992</v>
      </c>
      <c r="W11" s="431" t="s">
        <v>825</v>
      </c>
      <c r="X11" s="392">
        <v>1</v>
      </c>
      <c r="Y11" s="393" t="s">
        <v>347</v>
      </c>
    </row>
    <row r="12" spans="2:35" s="397" customFormat="1" ht="27" customHeight="1">
      <c r="B12" s="887"/>
      <c r="C12" s="888"/>
      <c r="D12" s="385">
        <v>6</v>
      </c>
      <c r="E12" s="386" t="s">
        <v>826</v>
      </c>
      <c r="F12" s="387">
        <v>1323.701190000017</v>
      </c>
      <c r="G12" s="387">
        <v>1565.1929999999998</v>
      </c>
      <c r="H12" s="387">
        <v>1577.1</v>
      </c>
      <c r="I12" s="388">
        <v>1.0076073685481599</v>
      </c>
      <c r="J12" s="387">
        <v>0</v>
      </c>
      <c r="K12" s="388">
        <v>0</v>
      </c>
      <c r="L12" s="387">
        <v>111.17</v>
      </c>
      <c r="M12" s="388">
        <v>1.0076073685481599</v>
      </c>
      <c r="N12" s="389">
        <v>1323.701190000017</v>
      </c>
      <c r="O12" s="387">
        <v>7</v>
      </c>
      <c r="P12" s="388">
        <v>4.4722919154379049E-3</v>
      </c>
      <c r="Q12" s="387">
        <v>778.18999999999994</v>
      </c>
      <c r="R12" s="390">
        <v>11.907000000000153</v>
      </c>
      <c r="S12" s="388">
        <v>7.6073685481599746E-3</v>
      </c>
      <c r="T12" s="431" t="s">
        <v>344</v>
      </c>
      <c r="U12" s="391" t="s">
        <v>709</v>
      </c>
      <c r="V12" s="431" t="s">
        <v>958</v>
      </c>
      <c r="W12" s="431" t="s">
        <v>827</v>
      </c>
      <c r="X12" s="392">
        <v>1</v>
      </c>
      <c r="Y12" s="393" t="s">
        <v>352</v>
      </c>
    </row>
    <row r="13" spans="2:35" s="397" customFormat="1" ht="27" customHeight="1">
      <c r="B13" s="887"/>
      <c r="C13" s="888"/>
      <c r="D13" s="385">
        <v>7</v>
      </c>
      <c r="E13" s="386" t="s">
        <v>837</v>
      </c>
      <c r="F13" s="387">
        <v>1317.8134999999927</v>
      </c>
      <c r="G13" s="387">
        <v>253.95000000000002</v>
      </c>
      <c r="H13" s="387">
        <v>254.8</v>
      </c>
      <c r="I13" s="388">
        <v>1.0033471155739317</v>
      </c>
      <c r="J13" s="387">
        <v>2.2000000000000002</v>
      </c>
      <c r="K13" s="388">
        <v>8.6631226619413269E-3</v>
      </c>
      <c r="L13" s="387">
        <v>432.07</v>
      </c>
      <c r="M13" s="388">
        <v>1.0120102382358731</v>
      </c>
      <c r="N13" s="389">
        <v>367.25949999999756</v>
      </c>
      <c r="O13" s="387">
        <v>1.0999999999999999</v>
      </c>
      <c r="P13" s="388">
        <v>4.3315613309706626E-3</v>
      </c>
      <c r="Q13" s="387">
        <v>475.27699999999999</v>
      </c>
      <c r="R13" s="390">
        <v>3.0499999999999829</v>
      </c>
      <c r="S13" s="388">
        <v>1.2010238235873135E-2</v>
      </c>
      <c r="T13" s="505" t="s">
        <v>344</v>
      </c>
      <c r="U13" s="391" t="s">
        <v>709</v>
      </c>
      <c r="V13" s="431" t="s">
        <v>992</v>
      </c>
      <c r="W13" s="431" t="s">
        <v>825</v>
      </c>
      <c r="X13" s="392">
        <v>1</v>
      </c>
      <c r="Y13" s="393" t="s">
        <v>374</v>
      </c>
      <c r="AB13" s="397">
        <v>1</v>
      </c>
      <c r="AC13" s="400" t="s">
        <v>713</v>
      </c>
    </row>
    <row r="14" spans="2:35" s="397" customFormat="1" ht="27" customHeight="1">
      <c r="B14" s="887"/>
      <c r="C14" s="888"/>
      <c r="D14" s="385">
        <v>8</v>
      </c>
      <c r="E14" s="386" t="s">
        <v>1035</v>
      </c>
      <c r="F14" s="387">
        <v>1315.2847199999514</v>
      </c>
      <c r="G14" s="387">
        <v>403.95600000000007</v>
      </c>
      <c r="H14" s="387">
        <v>407.09999999999997</v>
      </c>
      <c r="I14" s="388">
        <v>1.0077830258741047</v>
      </c>
      <c r="J14" s="387">
        <v>0.4</v>
      </c>
      <c r="K14" s="388">
        <v>9.9020685421184469E-4</v>
      </c>
      <c r="L14" s="387">
        <v>371.13</v>
      </c>
      <c r="M14" s="388">
        <v>1.0087732327283165</v>
      </c>
      <c r="N14" s="389">
        <v>1166.8327199999599</v>
      </c>
      <c r="O14" s="387">
        <v>1.4000000000000001</v>
      </c>
      <c r="P14" s="388">
        <v>3.4657239897414567E-3</v>
      </c>
      <c r="Q14" s="387">
        <v>519.58199999999999</v>
      </c>
      <c r="R14" s="390">
        <v>3.543999999999869</v>
      </c>
      <c r="S14" s="388">
        <v>8.7732327283166194E-3</v>
      </c>
      <c r="T14" s="391" t="s">
        <v>344</v>
      </c>
      <c r="U14" s="391" t="s">
        <v>709</v>
      </c>
      <c r="V14" s="431" t="s">
        <v>1054</v>
      </c>
      <c r="W14" s="431" t="s">
        <v>1055</v>
      </c>
      <c r="X14" s="392">
        <v>1</v>
      </c>
      <c r="Y14" s="393" t="s">
        <v>389</v>
      </c>
      <c r="AB14" s="397">
        <v>2</v>
      </c>
      <c r="AC14" s="400" t="s">
        <v>351</v>
      </c>
    </row>
    <row r="15" spans="2:35" s="397" customFormat="1" ht="27" customHeight="1">
      <c r="B15" s="887"/>
      <c r="C15" s="888"/>
      <c r="D15" s="385">
        <v>9</v>
      </c>
      <c r="E15" s="386" t="s">
        <v>818</v>
      </c>
      <c r="F15" s="387">
        <v>1285.4608799999969</v>
      </c>
      <c r="G15" s="387">
        <v>500.96800000000007</v>
      </c>
      <c r="H15" s="387">
        <v>513.20000000000005</v>
      </c>
      <c r="I15" s="388">
        <v>1.024416729212245</v>
      </c>
      <c r="J15" s="387">
        <v>0</v>
      </c>
      <c r="K15" s="388">
        <v>0</v>
      </c>
      <c r="L15" s="387">
        <v>105.09</v>
      </c>
      <c r="M15" s="388">
        <v>1.024416729212245</v>
      </c>
      <c r="N15" s="389">
        <v>1285.4608799999969</v>
      </c>
      <c r="O15" s="387">
        <v>7</v>
      </c>
      <c r="P15" s="388">
        <v>1.3972948371951899E-2</v>
      </c>
      <c r="Q15" s="387">
        <v>735.63</v>
      </c>
      <c r="R15" s="390">
        <v>12.231999999999971</v>
      </c>
      <c r="S15" s="388">
        <v>2.4416729212245032E-2</v>
      </c>
      <c r="T15" s="391" t="s">
        <v>344</v>
      </c>
      <c r="U15" s="391" t="s">
        <v>709</v>
      </c>
      <c r="V15" s="431" t="s">
        <v>961</v>
      </c>
      <c r="W15" s="431" t="s">
        <v>828</v>
      </c>
      <c r="X15" s="392">
        <v>1</v>
      </c>
      <c r="Y15" s="393" t="s">
        <v>816</v>
      </c>
      <c r="AB15" s="397">
        <v>3</v>
      </c>
      <c r="AC15" s="400" t="s">
        <v>407</v>
      </c>
    </row>
    <row r="16" spans="2:35" s="397" customFormat="1" ht="27" customHeight="1">
      <c r="B16" s="887"/>
      <c r="C16" s="888"/>
      <c r="D16" s="385">
        <v>10</v>
      </c>
      <c r="E16" s="386" t="s">
        <v>408</v>
      </c>
      <c r="F16" s="387">
        <v>1284.1081500000028</v>
      </c>
      <c r="G16" s="387">
        <v>440.54500000000002</v>
      </c>
      <c r="H16" s="387">
        <v>442.1</v>
      </c>
      <c r="I16" s="388">
        <v>1.003529718870944</v>
      </c>
      <c r="J16" s="387">
        <v>1.5</v>
      </c>
      <c r="K16" s="388">
        <v>3.4048735089491425E-3</v>
      </c>
      <c r="L16" s="387">
        <v>420.33</v>
      </c>
      <c r="M16" s="388">
        <v>1.0069345923798931</v>
      </c>
      <c r="N16" s="389">
        <v>653.61315000000286</v>
      </c>
      <c r="O16" s="387">
        <v>1</v>
      </c>
      <c r="P16" s="388">
        <v>2.2699156726327615E-3</v>
      </c>
      <c r="Q16" s="387">
        <v>420.33000000000004</v>
      </c>
      <c r="R16" s="390">
        <v>3.0550000000000068</v>
      </c>
      <c r="S16" s="388">
        <v>6.9345923798931021E-3</v>
      </c>
      <c r="T16" s="431" t="s">
        <v>346</v>
      </c>
      <c r="U16" s="391" t="s">
        <v>212</v>
      </c>
      <c r="V16" s="431" t="s">
        <v>992</v>
      </c>
      <c r="W16" s="431" t="s">
        <v>825</v>
      </c>
      <c r="X16" s="392">
        <v>1</v>
      </c>
      <c r="Y16" s="393" t="s">
        <v>387</v>
      </c>
      <c r="AB16" s="397">
        <v>4</v>
      </c>
      <c r="AC16" s="400" t="s">
        <v>750</v>
      </c>
    </row>
    <row r="17" spans="2:29" s="397" customFormat="1" ht="27" customHeight="1">
      <c r="B17" s="887"/>
      <c r="C17" s="888"/>
      <c r="D17" s="385">
        <v>11</v>
      </c>
      <c r="E17" s="386" t="s">
        <v>783</v>
      </c>
      <c r="F17" s="387">
        <v>1276.7515999999971</v>
      </c>
      <c r="G17" s="387">
        <v>661.92000000000007</v>
      </c>
      <c r="H17" s="387">
        <v>674.2</v>
      </c>
      <c r="I17" s="388">
        <v>1.0185520908871162</v>
      </c>
      <c r="J17" s="387">
        <v>0</v>
      </c>
      <c r="K17" s="388">
        <v>0</v>
      </c>
      <c r="L17" s="387">
        <v>103.97</v>
      </c>
      <c r="M17" s="388">
        <v>1.0185520908871162</v>
      </c>
      <c r="N17" s="389">
        <v>1276.7515999999971</v>
      </c>
      <c r="O17" s="387">
        <v>7.6000000000000005</v>
      </c>
      <c r="P17" s="388">
        <v>1.1481750060430264E-2</v>
      </c>
      <c r="Q17" s="387">
        <v>790.17200000000003</v>
      </c>
      <c r="R17" s="390">
        <v>12.279999999999973</v>
      </c>
      <c r="S17" s="388">
        <v>1.8552090887116224E-2</v>
      </c>
      <c r="T17" s="391" t="s">
        <v>344</v>
      </c>
      <c r="U17" s="391" t="s">
        <v>709</v>
      </c>
      <c r="V17" s="431" t="s">
        <v>956</v>
      </c>
      <c r="W17" s="431" t="s">
        <v>824</v>
      </c>
      <c r="X17" s="392">
        <v>1</v>
      </c>
      <c r="Y17" s="393" t="s">
        <v>780</v>
      </c>
      <c r="AB17" s="397">
        <v>5</v>
      </c>
      <c r="AC17" s="400" t="s">
        <v>212</v>
      </c>
    </row>
    <row r="18" spans="2:29" s="397" customFormat="1" ht="27" customHeight="1">
      <c r="B18" s="887"/>
      <c r="C18" s="888"/>
      <c r="D18" s="385">
        <v>12</v>
      </c>
      <c r="E18" s="386" t="s">
        <v>1045</v>
      </c>
      <c r="F18" s="387">
        <v>1246.796800000013</v>
      </c>
      <c r="G18" s="387">
        <v>1266.4079999999999</v>
      </c>
      <c r="H18" s="387">
        <v>1280.2</v>
      </c>
      <c r="I18" s="388">
        <v>1.0108906450369866</v>
      </c>
      <c r="J18" s="387">
        <v>0</v>
      </c>
      <c r="K18" s="388">
        <v>0</v>
      </c>
      <c r="L18" s="387">
        <v>90.4</v>
      </c>
      <c r="M18" s="388">
        <v>1.0108906450369866</v>
      </c>
      <c r="N18" s="389">
        <v>1246.796800000013</v>
      </c>
      <c r="O18" s="387">
        <v>7.4</v>
      </c>
      <c r="P18" s="388">
        <v>5.8432985262253561E-3</v>
      </c>
      <c r="Q18" s="387">
        <v>668.96</v>
      </c>
      <c r="R18" s="390">
        <v>13.792000000000144</v>
      </c>
      <c r="S18" s="388">
        <v>1.0890645036986614E-2</v>
      </c>
      <c r="T18" s="391" t="s">
        <v>344</v>
      </c>
      <c r="U18" s="391" t="s">
        <v>709</v>
      </c>
      <c r="V18" s="431" t="s">
        <v>961</v>
      </c>
      <c r="W18" s="431" t="s">
        <v>828</v>
      </c>
      <c r="X18" s="392">
        <v>1</v>
      </c>
      <c r="Y18" s="393" t="s">
        <v>381</v>
      </c>
      <c r="AB18" s="397">
        <v>6</v>
      </c>
      <c r="AC18" s="400" t="s">
        <v>213</v>
      </c>
    </row>
    <row r="19" spans="2:29" s="397" customFormat="1" ht="27" customHeight="1">
      <c r="B19" s="887"/>
      <c r="C19" s="888"/>
      <c r="D19" s="385">
        <v>13</v>
      </c>
      <c r="E19" s="386" t="s">
        <v>1026</v>
      </c>
      <c r="F19" s="387">
        <v>1226.2897499999881</v>
      </c>
      <c r="G19" s="387">
        <v>205.42500000000001</v>
      </c>
      <c r="H19" s="387">
        <v>208.89999999999998</v>
      </c>
      <c r="I19" s="388">
        <v>1.0169161494462697</v>
      </c>
      <c r="J19" s="387">
        <v>0.6</v>
      </c>
      <c r="K19" s="388">
        <v>2.9207740051113542E-3</v>
      </c>
      <c r="L19" s="387">
        <v>300.93</v>
      </c>
      <c r="M19" s="388">
        <v>1.0198369234513811</v>
      </c>
      <c r="N19" s="389">
        <v>1045.7317499999897</v>
      </c>
      <c r="O19" s="387">
        <v>2.5</v>
      </c>
      <c r="P19" s="388">
        <v>1.2169891687963976E-2</v>
      </c>
      <c r="Q19" s="387">
        <v>752.32500000000016</v>
      </c>
      <c r="R19" s="390">
        <v>4.0749999999999602</v>
      </c>
      <c r="S19" s="388">
        <v>1.9836923451381088E-2</v>
      </c>
      <c r="T19" s="391" t="s">
        <v>346</v>
      </c>
      <c r="U19" s="391" t="s">
        <v>212</v>
      </c>
      <c r="V19" s="431" t="s">
        <v>992</v>
      </c>
      <c r="W19" s="431" t="s">
        <v>825</v>
      </c>
      <c r="X19" s="392">
        <v>1</v>
      </c>
      <c r="Y19" s="393" t="s">
        <v>716</v>
      </c>
      <c r="AB19" s="397">
        <v>7</v>
      </c>
      <c r="AC19" s="400" t="s">
        <v>751</v>
      </c>
    </row>
    <row r="20" spans="2:29" s="397" customFormat="1" ht="27" customHeight="1">
      <c r="B20" s="887"/>
      <c r="C20" s="888"/>
      <c r="D20" s="385">
        <v>14</v>
      </c>
      <c r="E20" s="386" t="s">
        <v>1021</v>
      </c>
      <c r="F20" s="387">
        <v>1202.8589999999933</v>
      </c>
      <c r="G20" s="387">
        <v>105.35000000000001</v>
      </c>
      <c r="H20" s="387">
        <v>107.8</v>
      </c>
      <c r="I20" s="388">
        <v>1.0232558139534882</v>
      </c>
      <c r="J20" s="387">
        <v>0.6</v>
      </c>
      <c r="K20" s="388">
        <v>5.6953013763644984E-3</v>
      </c>
      <c r="L20" s="387">
        <v>394.38</v>
      </c>
      <c r="M20" s="388">
        <v>1.0289511153298527</v>
      </c>
      <c r="N20" s="389">
        <v>966.23099999999556</v>
      </c>
      <c r="O20" s="387">
        <v>1.9000000000000004</v>
      </c>
      <c r="P20" s="388">
        <v>1.8035121025154251E-2</v>
      </c>
      <c r="Q20" s="387">
        <v>749.322</v>
      </c>
      <c r="R20" s="390">
        <v>3.0499999999999829</v>
      </c>
      <c r="S20" s="388">
        <v>2.8951115329852707E-2</v>
      </c>
      <c r="T20" s="391" t="s">
        <v>344</v>
      </c>
      <c r="U20" s="391" t="s">
        <v>709</v>
      </c>
      <c r="V20" s="431" t="s">
        <v>961</v>
      </c>
      <c r="W20" s="431" t="s">
        <v>828</v>
      </c>
      <c r="X20" s="392">
        <v>1</v>
      </c>
      <c r="Y20" s="393" t="s">
        <v>396</v>
      </c>
      <c r="AB20" s="397">
        <v>8</v>
      </c>
      <c r="AC20" s="401" t="s">
        <v>752</v>
      </c>
    </row>
    <row r="21" spans="2:29" s="397" customFormat="1" ht="27" customHeight="1">
      <c r="B21" s="887"/>
      <c r="C21" s="888"/>
      <c r="D21" s="385">
        <v>15</v>
      </c>
      <c r="E21" s="386" t="s">
        <v>988</v>
      </c>
      <c r="F21" s="387">
        <v>1202.0830499999947</v>
      </c>
      <c r="G21" s="387">
        <v>427.36700000000002</v>
      </c>
      <c r="H21" s="387">
        <v>431.2</v>
      </c>
      <c r="I21" s="388">
        <v>1.0089688721871366</v>
      </c>
      <c r="J21" s="387">
        <v>0.3</v>
      </c>
      <c r="K21" s="388">
        <v>7.0197277749568863E-4</v>
      </c>
      <c r="L21" s="387">
        <v>290.85000000000002</v>
      </c>
      <c r="M21" s="388">
        <v>1.0096708449646323</v>
      </c>
      <c r="N21" s="389">
        <v>1114.8280499999914</v>
      </c>
      <c r="O21" s="387">
        <v>1.6</v>
      </c>
      <c r="P21" s="388">
        <v>3.7438548133103397E-3</v>
      </c>
      <c r="Q21" s="387">
        <v>465.36000000000007</v>
      </c>
      <c r="R21" s="390">
        <v>4.1329999999999814</v>
      </c>
      <c r="S21" s="388">
        <v>9.6708449646322279E-3</v>
      </c>
      <c r="T21" s="505" t="s">
        <v>346</v>
      </c>
      <c r="U21" s="391" t="s">
        <v>212</v>
      </c>
      <c r="V21" s="431" t="s">
        <v>992</v>
      </c>
      <c r="W21" s="431" t="s">
        <v>825</v>
      </c>
      <c r="X21" s="392">
        <v>1</v>
      </c>
      <c r="Y21" s="393" t="s">
        <v>987</v>
      </c>
      <c r="AC21" s="400"/>
    </row>
    <row r="22" spans="2:29" s="397" customFormat="1" ht="27" customHeight="1">
      <c r="B22" s="887"/>
      <c r="C22" s="888"/>
      <c r="D22" s="385">
        <v>16</v>
      </c>
      <c r="E22" s="386" t="s">
        <v>923</v>
      </c>
      <c r="F22" s="387">
        <v>1196.2760500000024</v>
      </c>
      <c r="G22" s="387">
        <v>1453.915</v>
      </c>
      <c r="H22" s="387">
        <v>1470.5</v>
      </c>
      <c r="I22" s="388">
        <v>1.0114071317786804</v>
      </c>
      <c r="J22" s="387">
        <v>0</v>
      </c>
      <c r="K22" s="388">
        <v>0</v>
      </c>
      <c r="L22" s="387">
        <v>72.13</v>
      </c>
      <c r="M22" s="388">
        <v>1.0114071317786804</v>
      </c>
      <c r="N22" s="389">
        <v>1196.2760500000024</v>
      </c>
      <c r="O22" s="387">
        <v>8.1</v>
      </c>
      <c r="P22" s="388">
        <v>5.5711647517220743E-3</v>
      </c>
      <c r="Q22" s="387">
        <v>584.25300000000004</v>
      </c>
      <c r="R22" s="390">
        <v>16.585000000000036</v>
      </c>
      <c r="S22" s="388">
        <v>1.1407131778680347E-2</v>
      </c>
      <c r="T22" s="391" t="s">
        <v>344</v>
      </c>
      <c r="U22" s="391" t="s">
        <v>709</v>
      </c>
      <c r="V22" s="431" t="s">
        <v>956</v>
      </c>
      <c r="W22" s="431" t="s">
        <v>824</v>
      </c>
      <c r="X22" s="392">
        <v>1</v>
      </c>
      <c r="Y22" s="393" t="s">
        <v>806</v>
      </c>
      <c r="AC22" s="400"/>
    </row>
    <row r="23" spans="2:29" s="397" customFormat="1" ht="27" customHeight="1">
      <c r="B23" s="887"/>
      <c r="C23" s="888"/>
      <c r="D23" s="385">
        <v>17</v>
      </c>
      <c r="E23" s="386" t="s">
        <v>838</v>
      </c>
      <c r="F23" s="387">
        <v>1193.1208499999925</v>
      </c>
      <c r="G23" s="387">
        <v>1104.8050000000001</v>
      </c>
      <c r="H23" s="387">
        <v>1115</v>
      </c>
      <c r="I23" s="388">
        <v>1.0092278727920312</v>
      </c>
      <c r="J23" s="387">
        <v>0</v>
      </c>
      <c r="K23" s="388">
        <v>0</v>
      </c>
      <c r="L23" s="387">
        <v>117.03</v>
      </c>
      <c r="M23" s="388">
        <v>1.0092278727920312</v>
      </c>
      <c r="N23" s="389">
        <v>1193.1208499999925</v>
      </c>
      <c r="O23" s="387">
        <v>6.3999999999999995</v>
      </c>
      <c r="P23" s="388">
        <v>5.7928774761156938E-3</v>
      </c>
      <c r="Q23" s="387">
        <v>748.99199999999996</v>
      </c>
      <c r="R23" s="390">
        <v>10.194999999999936</v>
      </c>
      <c r="S23" s="388">
        <v>9.2278727920311141E-3</v>
      </c>
      <c r="T23" s="431" t="s">
        <v>344</v>
      </c>
      <c r="U23" s="391" t="s">
        <v>709</v>
      </c>
      <c r="V23" s="431" t="s">
        <v>958</v>
      </c>
      <c r="W23" s="431" t="s">
        <v>827</v>
      </c>
      <c r="X23" s="392">
        <v>1</v>
      </c>
      <c r="Y23" s="393" t="s">
        <v>834</v>
      </c>
      <c r="AB23" s="402">
        <v>1</v>
      </c>
      <c r="AC23" s="400" t="s">
        <v>350</v>
      </c>
    </row>
    <row r="24" spans="2:29" s="397" customFormat="1" ht="27" customHeight="1">
      <c r="B24" s="887"/>
      <c r="C24" s="888"/>
      <c r="D24" s="385">
        <v>18</v>
      </c>
      <c r="E24" s="386" t="s">
        <v>921</v>
      </c>
      <c r="F24" s="387">
        <v>1186.5187200000121</v>
      </c>
      <c r="G24" s="387">
        <v>106.63199999999999</v>
      </c>
      <c r="H24" s="387">
        <v>107.80000000000001</v>
      </c>
      <c r="I24" s="388">
        <v>1.0109535599069699</v>
      </c>
      <c r="J24" s="387">
        <v>1.4</v>
      </c>
      <c r="K24" s="388">
        <v>1.3129267011778828E-2</v>
      </c>
      <c r="L24" s="387">
        <v>462.04</v>
      </c>
      <c r="M24" s="388">
        <v>1.0240828269187487</v>
      </c>
      <c r="N24" s="389">
        <v>539.66272000000959</v>
      </c>
      <c r="O24" s="387">
        <v>1.0999999999999999</v>
      </c>
      <c r="P24" s="388">
        <v>1.0315852652111936E-2</v>
      </c>
      <c r="Q24" s="387">
        <v>508.24400000000003</v>
      </c>
      <c r="R24" s="390">
        <v>2.5680000000000263</v>
      </c>
      <c r="S24" s="388">
        <v>2.4082826918748843E-2</v>
      </c>
      <c r="T24" s="431" t="s">
        <v>344</v>
      </c>
      <c r="U24" s="391" t="s">
        <v>709</v>
      </c>
      <c r="V24" s="431" t="s">
        <v>1056</v>
      </c>
      <c r="W24" s="431" t="s">
        <v>1040</v>
      </c>
      <c r="X24" s="392">
        <v>1</v>
      </c>
      <c r="Y24" s="393" t="s">
        <v>812</v>
      </c>
      <c r="AB24" s="397">
        <v>2</v>
      </c>
      <c r="AC24" s="400" t="s">
        <v>410</v>
      </c>
    </row>
    <row r="25" spans="2:29" s="397" customFormat="1" ht="27" customHeight="1">
      <c r="B25" s="887"/>
      <c r="C25" s="888"/>
      <c r="D25" s="385">
        <v>19</v>
      </c>
      <c r="E25" s="386" t="s">
        <v>1020</v>
      </c>
      <c r="F25" s="387">
        <v>1183.6787199999922</v>
      </c>
      <c r="G25" s="387">
        <v>226.94399999999999</v>
      </c>
      <c r="H25" s="387">
        <v>228.29999999999995</v>
      </c>
      <c r="I25" s="388">
        <v>1.0059750423011842</v>
      </c>
      <c r="J25" s="387">
        <v>2.9</v>
      </c>
      <c r="K25" s="388">
        <v>1.2778482797518332E-2</v>
      </c>
      <c r="L25" s="387">
        <v>278.12</v>
      </c>
      <c r="M25" s="388">
        <v>1.0187535250987025</v>
      </c>
      <c r="N25" s="389">
        <v>377.13071999999056</v>
      </c>
      <c r="O25" s="387">
        <v>2</v>
      </c>
      <c r="P25" s="388">
        <v>8.8127467569091931E-3</v>
      </c>
      <c r="Q25" s="387">
        <v>556.24</v>
      </c>
      <c r="R25" s="390">
        <v>4.2559999999999718</v>
      </c>
      <c r="S25" s="388">
        <v>1.875352509870264E-2</v>
      </c>
      <c r="T25" s="391" t="s">
        <v>344</v>
      </c>
      <c r="U25" s="391" t="s">
        <v>709</v>
      </c>
      <c r="V25" s="431" t="s">
        <v>992</v>
      </c>
      <c r="W25" s="431" t="s">
        <v>825</v>
      </c>
      <c r="X25" s="392">
        <v>1</v>
      </c>
      <c r="Y25" s="393" t="s">
        <v>780</v>
      </c>
      <c r="AB25" s="403">
        <v>3</v>
      </c>
      <c r="AC25" s="400" t="s">
        <v>344</v>
      </c>
    </row>
    <row r="26" spans="2:29" s="397" customFormat="1" ht="27" customHeight="1">
      <c r="B26" s="889"/>
      <c r="C26" s="890"/>
      <c r="D26" s="385">
        <v>20</v>
      </c>
      <c r="E26" s="386" t="s">
        <v>914</v>
      </c>
      <c r="F26" s="387">
        <v>1174.8139000000078</v>
      </c>
      <c r="G26" s="387">
        <v>689.36500000000001</v>
      </c>
      <c r="H26" s="387">
        <v>705.00000000000011</v>
      </c>
      <c r="I26" s="388">
        <v>1.0226802927331677</v>
      </c>
      <c r="J26" s="387">
        <v>0</v>
      </c>
      <c r="K26" s="388">
        <v>0</v>
      </c>
      <c r="L26" s="387">
        <v>75.14</v>
      </c>
      <c r="M26" s="388">
        <v>1.0226802927331677</v>
      </c>
      <c r="N26" s="389">
        <v>1174.8139000000078</v>
      </c>
      <c r="O26" s="387">
        <v>8.1999999999999993</v>
      </c>
      <c r="P26" s="388">
        <v>1.1895004823279393E-2</v>
      </c>
      <c r="Q26" s="387">
        <v>616.14800000000002</v>
      </c>
      <c r="R26" s="390">
        <v>15.635000000000105</v>
      </c>
      <c r="S26" s="388">
        <v>2.2680292733167632E-2</v>
      </c>
      <c r="T26" s="505" t="s">
        <v>344</v>
      </c>
      <c r="U26" s="391" t="s">
        <v>709</v>
      </c>
      <c r="V26" s="431" t="s">
        <v>961</v>
      </c>
      <c r="W26" s="431" t="s">
        <v>828</v>
      </c>
      <c r="X26" s="392">
        <v>1</v>
      </c>
      <c r="Y26" s="393" t="s">
        <v>352</v>
      </c>
      <c r="AB26" s="403">
        <v>4</v>
      </c>
      <c r="AC26" s="400" t="s">
        <v>346</v>
      </c>
    </row>
    <row r="27" spans="2:29" ht="29.45" customHeight="1">
      <c r="C27" s="891"/>
      <c r="AB27" s="397"/>
      <c r="AC27" s="400"/>
    </row>
    <row r="28" spans="2:29">
      <c r="C28" s="891"/>
    </row>
    <row r="29" spans="2:29">
      <c r="C29" s="891"/>
    </row>
    <row r="30" spans="2:29">
      <c r="C30" s="891"/>
    </row>
    <row r="31" spans="2:29">
      <c r="C31" s="891"/>
    </row>
    <row r="32" spans="2:29">
      <c r="C32" s="891"/>
    </row>
    <row r="33" spans="3:3">
      <c r="C33" s="891"/>
    </row>
    <row r="34" spans="3:3">
      <c r="C34" s="891"/>
    </row>
    <row r="35" spans="3:3">
      <c r="C35" s="891"/>
    </row>
    <row r="36" spans="3:3">
      <c r="C36" s="891"/>
    </row>
    <row r="67" ht="14.1" customHeight="1"/>
    <row r="77" ht="14.1" customHeight="1"/>
    <row r="87" ht="14.1" customHeight="1"/>
    <row r="112" spans="26:26">
      <c r="Z112" s="404" t="s">
        <v>753</v>
      </c>
    </row>
    <row r="113" spans="26:26">
      <c r="Z113" s="397" t="s">
        <v>754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1" type="noConversion"/>
  <dataValidations count="2">
    <dataValidation type="list" allowBlank="1" showInputMessage="1" showErrorMessage="1" sqref="U1:U1048576">
      <formula1>$AC$13:$AC$20</formula1>
    </dataValidation>
    <dataValidation type="list" allowBlank="1" showInputMessage="1" showErrorMessage="1" sqref="T1:T1048576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R68"/>
  <sheetViews>
    <sheetView zoomScale="55" zoomScaleNormal="55" workbookViewId="0">
      <selection activeCell="U21" sqref="U21"/>
    </sheetView>
  </sheetViews>
  <sheetFormatPr defaultColWidth="8.28515625" defaultRowHeight="15"/>
  <cols>
    <col min="1" max="1" width="18.42578125" style="405" customWidth="1"/>
    <col min="2" max="2" width="21.140625" style="405" bestFit="1" customWidth="1"/>
    <col min="3" max="6" width="14.28515625" style="405" customWidth="1"/>
    <col min="7" max="10" width="18.42578125" style="405" customWidth="1"/>
    <col min="11" max="11" width="17.140625" style="405" bestFit="1" customWidth="1"/>
    <col min="12" max="12" width="16" style="405" customWidth="1"/>
    <col min="13" max="13" width="23.28515625" style="405" bestFit="1" customWidth="1"/>
    <col min="14" max="15" width="13.28515625" style="405" bestFit="1" customWidth="1"/>
    <col min="16" max="16" width="8.28515625" style="405"/>
    <col min="17" max="17" width="12.85546875" style="405" bestFit="1" customWidth="1"/>
    <col min="18" max="16384" width="8.28515625" style="405"/>
  </cols>
  <sheetData>
    <row r="1" spans="1:18" ht="27" customHeight="1">
      <c r="A1" s="916" t="s">
        <v>784</v>
      </c>
      <c r="B1" s="916"/>
      <c r="C1" s="916"/>
      <c r="D1" s="916"/>
      <c r="E1" s="916"/>
      <c r="F1" s="916"/>
      <c r="G1" s="916"/>
      <c r="H1" s="916"/>
      <c r="I1" s="916"/>
      <c r="J1" s="916"/>
      <c r="K1" s="916"/>
      <c r="L1" s="916"/>
      <c r="M1" s="916"/>
      <c r="N1" s="916"/>
      <c r="O1" s="916"/>
    </row>
    <row r="2" spans="1:18" ht="16.5" customHeight="1">
      <c r="A2" s="917" t="s">
        <v>785</v>
      </c>
      <c r="B2" s="917" t="s">
        <v>786</v>
      </c>
      <c r="C2" s="917" t="s">
        <v>787</v>
      </c>
      <c r="D2" s="917" t="s">
        <v>788</v>
      </c>
      <c r="E2" s="917" t="s">
        <v>789</v>
      </c>
      <c r="F2" s="917" t="s">
        <v>790</v>
      </c>
      <c r="G2" s="917" t="s">
        <v>791</v>
      </c>
      <c r="H2" s="917"/>
      <c r="I2" s="917" t="s">
        <v>792</v>
      </c>
      <c r="J2" s="917"/>
      <c r="K2" s="917" t="s">
        <v>793</v>
      </c>
      <c r="L2" s="917"/>
      <c r="M2" s="918" t="s">
        <v>794</v>
      </c>
      <c r="N2" s="918"/>
      <c r="O2" s="918"/>
    </row>
    <row r="3" spans="1:18" ht="37.5" customHeight="1">
      <c r="A3" s="917"/>
      <c r="B3" s="917"/>
      <c r="C3" s="917"/>
      <c r="D3" s="917"/>
      <c r="E3" s="917"/>
      <c r="F3" s="917"/>
      <c r="G3" s="559" t="s">
        <v>795</v>
      </c>
      <c r="H3" s="559" t="s">
        <v>796</v>
      </c>
      <c r="I3" s="559" t="s">
        <v>795</v>
      </c>
      <c r="J3" s="559" t="s">
        <v>796</v>
      </c>
      <c r="K3" s="559" t="s">
        <v>797</v>
      </c>
      <c r="L3" s="559" t="s">
        <v>798</v>
      </c>
      <c r="M3" s="455" t="s">
        <v>799</v>
      </c>
      <c r="N3" s="406" t="s">
        <v>800</v>
      </c>
      <c r="O3" s="406" t="s">
        <v>801</v>
      </c>
    </row>
    <row r="4" spans="1:18" ht="18.75">
      <c r="A4" s="506">
        <v>46054</v>
      </c>
      <c r="B4" s="433">
        <v>6940443</v>
      </c>
      <c r="C4" s="433">
        <v>16806</v>
      </c>
      <c r="D4" s="469">
        <f t="shared" ref="D4:D24" si="0">C4/B4</f>
        <v>2.4214592641997059E-3</v>
      </c>
      <c r="E4" s="434">
        <v>13080.889342133953</v>
      </c>
      <c r="F4" s="410">
        <f t="shared" ref="F4:F24" si="1">E4/B4</f>
        <v>1.8847340641129035E-3</v>
      </c>
      <c r="G4" s="433">
        <v>1513.2429999999999</v>
      </c>
      <c r="H4" s="411">
        <f t="shared" ref="H4:H24" si="2">G4/C4</f>
        <v>9.0041830298702843E-2</v>
      </c>
      <c r="I4" s="412">
        <v>1312.2201499999994</v>
      </c>
      <c r="J4" s="411">
        <f t="shared" ref="J4:J38" si="3">I4/E4</f>
        <v>0.10031582071207479</v>
      </c>
      <c r="K4" s="435">
        <v>2321.9410000000003</v>
      </c>
      <c r="L4" s="436">
        <f t="shared" ref="L4:L38" si="4">K4/C4</f>
        <v>0.138161430441509</v>
      </c>
      <c r="M4" s="562">
        <f>SUM(B4:B5)</f>
        <v>13568594</v>
      </c>
      <c r="N4" s="563">
        <f>SUM(C4:C5)</f>
        <v>32899</v>
      </c>
      <c r="O4" s="563">
        <f>SUM(E4:E5)</f>
        <v>27770.858910116636</v>
      </c>
    </row>
    <row r="5" spans="1:18" ht="18.75">
      <c r="A5" s="506">
        <f>A4+1</f>
        <v>46055</v>
      </c>
      <c r="B5" s="433">
        <v>6628151</v>
      </c>
      <c r="C5" s="433">
        <v>16093</v>
      </c>
      <c r="D5" s="469">
        <f t="shared" si="0"/>
        <v>2.4279772745068721E-3</v>
      </c>
      <c r="E5" s="434">
        <v>14689.969567982684</v>
      </c>
      <c r="F5" s="410">
        <f t="shared" si="1"/>
        <v>2.2162997747007702E-3</v>
      </c>
      <c r="G5" s="433">
        <v>1383.172</v>
      </c>
      <c r="H5" s="411">
        <f t="shared" si="2"/>
        <v>8.5948673336233142E-2</v>
      </c>
      <c r="I5" s="412">
        <v>1496.7732299999973</v>
      </c>
      <c r="J5" s="411">
        <f t="shared" si="3"/>
        <v>0.10189083258976031</v>
      </c>
      <c r="K5" s="435">
        <v>2940.596</v>
      </c>
      <c r="L5" s="436">
        <f t="shared" si="4"/>
        <v>0.18272516000745667</v>
      </c>
      <c r="M5" s="562"/>
      <c r="N5" s="563"/>
      <c r="O5" s="563"/>
    </row>
    <row r="6" spans="1:18" ht="18.75">
      <c r="A6" s="415">
        <f t="shared" ref="A6:A33" si="5">A5+1</f>
        <v>46056</v>
      </c>
      <c r="B6" s="433">
        <v>7316700</v>
      </c>
      <c r="C6" s="433">
        <v>17727</v>
      </c>
      <c r="D6" s="469">
        <v>2.4228135634917379E-3</v>
      </c>
      <c r="E6" s="434">
        <v>13328.49692144937</v>
      </c>
      <c r="F6" s="410">
        <v>1.8216541502930788E-3</v>
      </c>
      <c r="G6" s="433">
        <v>1435.8410000000001</v>
      </c>
      <c r="H6" s="411">
        <v>8.0997405088283417E-2</v>
      </c>
      <c r="I6" s="412">
        <v>1417.093626666925</v>
      </c>
      <c r="J6" s="411">
        <v>0.10632058776158138</v>
      </c>
      <c r="K6" s="435">
        <v>2822.3140000000008</v>
      </c>
      <c r="L6" s="436">
        <v>0.15920990579342251</v>
      </c>
      <c r="M6" s="562">
        <f>SUM(B6:B12)</f>
        <v>47419360</v>
      </c>
      <c r="N6" s="563">
        <f>SUM(C6:C12)</f>
        <v>115356.747</v>
      </c>
      <c r="O6" s="563">
        <f>SUM(E6:E12)</f>
        <v>95866.762821479511</v>
      </c>
    </row>
    <row r="7" spans="1:18" ht="18.75">
      <c r="A7" s="415">
        <f t="shared" si="5"/>
        <v>46057</v>
      </c>
      <c r="B7" s="433">
        <v>6974914</v>
      </c>
      <c r="C7" s="433">
        <v>17023</v>
      </c>
      <c r="D7" s="469">
        <v>2.4406035687321737E-3</v>
      </c>
      <c r="E7" s="434">
        <v>13196.758727236351</v>
      </c>
      <c r="F7" s="410">
        <v>1.8920317479522114E-3</v>
      </c>
      <c r="G7" s="433">
        <v>1498.0769999999998</v>
      </c>
      <c r="H7" s="411">
        <v>8.8003113434764718E-2</v>
      </c>
      <c r="I7" s="412">
        <v>1210.4675433332693</v>
      </c>
      <c r="J7" s="411">
        <v>9.172460968275685E-2</v>
      </c>
      <c r="K7" s="435">
        <v>2513.1470000000004</v>
      </c>
      <c r="L7" s="436">
        <v>0.14763243846560539</v>
      </c>
      <c r="M7" s="562"/>
      <c r="N7" s="563"/>
      <c r="O7" s="563"/>
    </row>
    <row r="8" spans="1:18" ht="18.75">
      <c r="A8" s="415">
        <f t="shared" si="5"/>
        <v>46058</v>
      </c>
      <c r="B8" s="433">
        <v>6570703</v>
      </c>
      <c r="C8" s="433">
        <v>15911</v>
      </c>
      <c r="D8" s="469">
        <v>2.4215064963368457E-3</v>
      </c>
      <c r="E8" s="434">
        <v>14310.446827613567</v>
      </c>
      <c r="F8" s="410">
        <v>2.1779171616208444E-3</v>
      </c>
      <c r="G8" s="433">
        <v>1386.0539999999999</v>
      </c>
      <c r="H8" s="411">
        <v>8.7112940732826341E-2</v>
      </c>
      <c r="I8" s="412">
        <v>1480.1434833333824</v>
      </c>
      <c r="J8" s="411">
        <v>0.10343097606688871</v>
      </c>
      <c r="K8" s="435">
        <v>2501.5949999999993</v>
      </c>
      <c r="L8" s="436">
        <v>0.15722424737602911</v>
      </c>
      <c r="M8" s="562"/>
      <c r="N8" s="563"/>
      <c r="O8" s="563"/>
      <c r="P8" s="416"/>
      <c r="Q8" s="416"/>
      <c r="R8" s="416"/>
    </row>
    <row r="9" spans="1:18" ht="18.75">
      <c r="A9" s="415">
        <f t="shared" si="5"/>
        <v>46059</v>
      </c>
      <c r="B9" s="433">
        <v>6000072</v>
      </c>
      <c r="C9" s="433">
        <v>14577</v>
      </c>
      <c r="D9" s="469">
        <v>2.4294708463498439E-3</v>
      </c>
      <c r="E9" s="434">
        <v>14507.125984537113</v>
      </c>
      <c r="F9" s="410">
        <v>2.4178253168523835E-3</v>
      </c>
      <c r="G9" s="433">
        <v>1432.4470000000003</v>
      </c>
      <c r="H9" s="411">
        <v>9.82676133635179E-2</v>
      </c>
      <c r="I9" s="412">
        <v>1444.5257899999995</v>
      </c>
      <c r="J9" s="411">
        <v>9.957353314086427E-2</v>
      </c>
      <c r="K9" s="435">
        <v>2528.3599999999997</v>
      </c>
      <c r="L9" s="436">
        <v>0.17344858338478422</v>
      </c>
      <c r="M9" s="562"/>
      <c r="N9" s="563"/>
      <c r="O9" s="563"/>
    </row>
    <row r="10" spans="1:18" ht="18.75">
      <c r="A10" s="415">
        <f t="shared" si="5"/>
        <v>46060</v>
      </c>
      <c r="B10" s="433">
        <v>6372390</v>
      </c>
      <c r="C10" s="433">
        <v>15349</v>
      </c>
      <c r="D10" s="469">
        <v>2.4086724133331452E-3</v>
      </c>
      <c r="E10" s="434">
        <v>14399.605822153666</v>
      </c>
      <c r="F10" s="410">
        <v>2.2596868399695665E-3</v>
      </c>
      <c r="G10" s="433">
        <v>1484.924</v>
      </c>
      <c r="H10" s="411">
        <v>9.6744022411883512E-2</v>
      </c>
      <c r="I10" s="412">
        <v>1478.355680000006</v>
      </c>
      <c r="J10" s="411">
        <v>0.10266639922362103</v>
      </c>
      <c r="K10" s="435">
        <v>2085.6410000000001</v>
      </c>
      <c r="L10" s="436">
        <v>0.13588123004756011</v>
      </c>
      <c r="M10" s="562"/>
      <c r="N10" s="563"/>
      <c r="O10" s="563"/>
      <c r="P10" s="417"/>
      <c r="Q10" s="417"/>
    </row>
    <row r="11" spans="1:18" ht="18.75">
      <c r="A11" s="415">
        <f t="shared" si="5"/>
        <v>46061</v>
      </c>
      <c r="B11" s="433">
        <v>7231076</v>
      </c>
      <c r="C11" s="433">
        <v>17801.747000000007</v>
      </c>
      <c r="D11" s="469">
        <v>2.4618392892012207E-3</v>
      </c>
      <c r="E11" s="434">
        <v>13791.185612230691</v>
      </c>
      <c r="F11" s="410">
        <v>1.9072107127944293E-3</v>
      </c>
      <c r="G11" s="433">
        <v>1595.104</v>
      </c>
      <c r="H11" s="411">
        <v>8.9603790010047854E-2</v>
      </c>
      <c r="I11" s="412">
        <v>1361.3073799999947</v>
      </c>
      <c r="J11" s="411">
        <v>9.8708509788507343E-2</v>
      </c>
      <c r="K11" s="435">
        <v>2001.4570000000006</v>
      </c>
      <c r="L11" s="436">
        <v>0.11243036989571865</v>
      </c>
      <c r="M11" s="562"/>
      <c r="N11" s="563"/>
      <c r="O11" s="563"/>
    </row>
    <row r="12" spans="1:18" ht="18.75">
      <c r="A12" s="415">
        <f t="shared" si="5"/>
        <v>46062</v>
      </c>
      <c r="B12" s="433">
        <v>6953505</v>
      </c>
      <c r="C12" s="433">
        <v>16968</v>
      </c>
      <c r="D12" s="469">
        <v>2.4402082115422366E-3</v>
      </c>
      <c r="E12" s="434">
        <v>12333.142926258752</v>
      </c>
      <c r="F12" s="410">
        <v>1.7736584537235182E-3</v>
      </c>
      <c r="G12" s="433">
        <v>1465.8860000000002</v>
      </c>
      <c r="H12" s="411">
        <v>8.6391206977840654E-2</v>
      </c>
      <c r="I12" s="412">
        <v>1311.1656900000044</v>
      </c>
      <c r="J12" s="411">
        <v>0.10631237291577755</v>
      </c>
      <c r="K12" s="435">
        <v>2844.6609999999996</v>
      </c>
      <c r="L12" s="436">
        <v>0.16764857378594999</v>
      </c>
      <c r="M12" s="562"/>
      <c r="N12" s="563"/>
      <c r="O12" s="563"/>
    </row>
    <row r="13" spans="1:18" ht="18.75">
      <c r="A13" s="506">
        <f t="shared" si="5"/>
        <v>46063</v>
      </c>
      <c r="B13" s="433">
        <v>6822744</v>
      </c>
      <c r="C13" s="433">
        <v>16650</v>
      </c>
      <c r="D13" s="469">
        <f t="shared" si="0"/>
        <v>2.4403671015650009E-3</v>
      </c>
      <c r="E13" s="434">
        <v>15027.403113604894</v>
      </c>
      <c r="F13" s="410">
        <f t="shared" si="1"/>
        <v>2.2025453561799906E-3</v>
      </c>
      <c r="G13" s="433">
        <v>1397.5229999999999</v>
      </c>
      <c r="H13" s="411">
        <f t="shared" si="2"/>
        <v>8.3935315315315312E-2</v>
      </c>
      <c r="I13" s="412">
        <v>1597.7333000000021</v>
      </c>
      <c r="J13" s="411">
        <f t="shared" si="3"/>
        <v>0.10632131765690853</v>
      </c>
      <c r="K13" s="435">
        <v>3212.0309999999999</v>
      </c>
      <c r="L13" s="436">
        <f t="shared" si="4"/>
        <v>0.19291477477477478</v>
      </c>
      <c r="M13" s="562">
        <f>SUM(B13:B19)</f>
        <v>46841477</v>
      </c>
      <c r="N13" s="563">
        <f>SUM(C13:C19)</f>
        <v>114102</v>
      </c>
      <c r="O13" s="563">
        <f>SUM(E13:E19)</f>
        <v>97189.411734956419</v>
      </c>
    </row>
    <row r="14" spans="1:18" ht="18.75">
      <c r="A14" s="506">
        <f t="shared" si="5"/>
        <v>46064</v>
      </c>
      <c r="B14" s="433">
        <v>6624486</v>
      </c>
      <c r="C14" s="433">
        <v>16092</v>
      </c>
      <c r="D14" s="469">
        <f t="shared" si="0"/>
        <v>2.4291695989696409E-3</v>
      </c>
      <c r="E14" s="434">
        <v>14214.660333694314</v>
      </c>
      <c r="F14" s="410">
        <f t="shared" si="1"/>
        <v>2.1457755867691944E-3</v>
      </c>
      <c r="G14" s="433">
        <v>1348.827</v>
      </c>
      <c r="H14" s="411">
        <f t="shared" si="2"/>
        <v>8.3819724086502609E-2</v>
      </c>
      <c r="I14" s="412">
        <v>1528.2089099999987</v>
      </c>
      <c r="J14" s="411">
        <f t="shared" si="3"/>
        <v>0.10750935119972899</v>
      </c>
      <c r="K14" s="435">
        <v>2798.444</v>
      </c>
      <c r="L14" s="436">
        <f t="shared" si="4"/>
        <v>0.17390280884911757</v>
      </c>
      <c r="M14" s="562"/>
      <c r="N14" s="563"/>
      <c r="O14" s="563"/>
    </row>
    <row r="15" spans="1:18" ht="18.75">
      <c r="A15" s="506">
        <f t="shared" si="5"/>
        <v>46065</v>
      </c>
      <c r="B15" s="433">
        <v>6520982</v>
      </c>
      <c r="C15" s="433">
        <v>15917</v>
      </c>
      <c r="D15" s="469">
        <f t="shared" si="0"/>
        <v>2.4408900377274464E-3</v>
      </c>
      <c r="E15" s="434">
        <v>13979.62369767808</v>
      </c>
      <c r="F15" s="410">
        <f t="shared" si="1"/>
        <v>2.1437911801747162E-3</v>
      </c>
      <c r="G15" s="433">
        <v>1381.8980000000001</v>
      </c>
      <c r="H15" s="411">
        <f t="shared" si="2"/>
        <v>8.6818998555004093E-2</v>
      </c>
      <c r="I15" s="412">
        <v>1485.5735400000051</v>
      </c>
      <c r="J15" s="411">
        <f t="shared" si="3"/>
        <v>0.10626706212748407</v>
      </c>
      <c r="K15" s="435">
        <v>2661.1949999999993</v>
      </c>
      <c r="L15" s="436">
        <f t="shared" si="4"/>
        <v>0.16719199597914175</v>
      </c>
      <c r="M15" s="562"/>
      <c r="N15" s="563"/>
      <c r="O15" s="563"/>
    </row>
    <row r="16" spans="1:18" ht="18.75">
      <c r="A16" s="506">
        <f t="shared" si="5"/>
        <v>46066</v>
      </c>
      <c r="B16" s="433">
        <v>6287200</v>
      </c>
      <c r="C16" s="433">
        <v>15412</v>
      </c>
      <c r="D16" s="469">
        <f t="shared" si="0"/>
        <v>2.4513296857106501E-3</v>
      </c>
      <c r="E16" s="434">
        <v>13554.576981417484</v>
      </c>
      <c r="F16" s="410">
        <f t="shared" si="1"/>
        <v>2.1559003978587421E-3</v>
      </c>
      <c r="G16" s="433">
        <v>1441.7900000000002</v>
      </c>
      <c r="H16" s="411">
        <f t="shared" si="2"/>
        <v>9.3549831300285505E-2</v>
      </c>
      <c r="I16" s="412">
        <v>1401.0021699999941</v>
      </c>
      <c r="J16" s="411">
        <f t="shared" si="3"/>
        <v>0.10336008065177427</v>
      </c>
      <c r="K16" s="435">
        <v>2770.9080000000004</v>
      </c>
      <c r="L16" s="436">
        <f t="shared" si="4"/>
        <v>0.17978899558785363</v>
      </c>
      <c r="M16" s="562"/>
      <c r="N16" s="563"/>
      <c r="O16" s="563"/>
    </row>
    <row r="17" spans="1:15" ht="18.75">
      <c r="A17" s="506">
        <f t="shared" si="5"/>
        <v>46067</v>
      </c>
      <c r="B17" s="433">
        <v>6831701</v>
      </c>
      <c r="C17" s="433">
        <v>16537</v>
      </c>
      <c r="D17" s="469">
        <f t="shared" si="0"/>
        <v>2.4206270151460084E-3</v>
      </c>
      <c r="E17" s="434">
        <v>14061.255131321703</v>
      </c>
      <c r="F17" s="410">
        <f t="shared" si="1"/>
        <v>2.058236320840403E-3</v>
      </c>
      <c r="G17" s="433">
        <v>1401.7969999999998</v>
      </c>
      <c r="H17" s="411">
        <f t="shared" si="2"/>
        <v>8.4767309669226576E-2</v>
      </c>
      <c r="I17" s="412">
        <v>1533.916549999999</v>
      </c>
      <c r="J17" s="411">
        <f t="shared" si="3"/>
        <v>0.10908816714257405</v>
      </c>
      <c r="K17" s="435">
        <v>2138.3439999999996</v>
      </c>
      <c r="L17" s="436">
        <f t="shared" si="4"/>
        <v>0.12930664570357378</v>
      </c>
      <c r="M17" s="562"/>
      <c r="N17" s="563"/>
      <c r="O17" s="563"/>
    </row>
    <row r="18" spans="1:15" ht="18.75">
      <c r="A18" s="506">
        <f t="shared" si="5"/>
        <v>46068</v>
      </c>
      <c r="B18" s="433">
        <v>6930409</v>
      </c>
      <c r="C18" s="433">
        <v>16843</v>
      </c>
      <c r="D18" s="469">
        <f t="shared" si="0"/>
        <v>2.4303038969272954E-3</v>
      </c>
      <c r="E18" s="434">
        <v>13268.44306980538</v>
      </c>
      <c r="F18" s="410">
        <f t="shared" si="1"/>
        <v>1.9145252567064051E-3</v>
      </c>
      <c r="G18" s="433">
        <v>1424.2330000000002</v>
      </c>
      <c r="H18" s="411">
        <f t="shared" si="2"/>
        <v>8.4559342159947759E-2</v>
      </c>
      <c r="I18" s="412">
        <v>1338.5720199999957</v>
      </c>
      <c r="J18" s="411">
        <f t="shared" si="3"/>
        <v>0.10088388011749067</v>
      </c>
      <c r="K18" s="435">
        <v>3309.9360000000011</v>
      </c>
      <c r="L18" s="436">
        <f t="shared" si="4"/>
        <v>0.196517010033842</v>
      </c>
      <c r="M18" s="562"/>
      <c r="N18" s="563"/>
      <c r="O18" s="563"/>
    </row>
    <row r="19" spans="1:15" ht="18.75">
      <c r="A19" s="506">
        <f t="shared" si="5"/>
        <v>46069</v>
      </c>
      <c r="B19" s="433">
        <v>6823955</v>
      </c>
      <c r="C19" s="433">
        <v>16651</v>
      </c>
      <c r="D19" s="469">
        <f t="shared" si="0"/>
        <v>2.4400805691127798E-3</v>
      </c>
      <c r="E19" s="434">
        <v>13083.449407434569</v>
      </c>
      <c r="F19" s="410">
        <f t="shared" si="1"/>
        <v>1.9172824861000064E-3</v>
      </c>
      <c r="G19" s="433">
        <v>1467.3220000000003</v>
      </c>
      <c r="H19" s="411">
        <f t="shared" si="2"/>
        <v>8.8122154825536023E-2</v>
      </c>
      <c r="I19" s="412">
        <v>1481.6295199999927</v>
      </c>
      <c r="J19" s="411">
        <f t="shared" si="3"/>
        <v>0.11324456371253808</v>
      </c>
      <c r="K19" s="435">
        <v>2521.5740000000001</v>
      </c>
      <c r="L19" s="436">
        <f t="shared" si="4"/>
        <v>0.15143679058314816</v>
      </c>
      <c r="M19" s="562"/>
      <c r="N19" s="563"/>
      <c r="O19" s="563"/>
    </row>
    <row r="20" spans="1:15" ht="18.75">
      <c r="A20" s="415">
        <f t="shared" si="5"/>
        <v>46070</v>
      </c>
      <c r="B20" s="433"/>
      <c r="C20" s="433"/>
      <c r="D20" s="469" t="e">
        <f t="shared" si="0"/>
        <v>#DIV/0!</v>
      </c>
      <c r="E20" s="434"/>
      <c r="F20" s="410" t="e">
        <f t="shared" si="1"/>
        <v>#DIV/0!</v>
      </c>
      <c r="G20" s="433"/>
      <c r="H20" s="411" t="e">
        <f t="shared" si="2"/>
        <v>#DIV/0!</v>
      </c>
      <c r="I20" s="412"/>
      <c r="J20" s="411" t="e">
        <f t="shared" si="3"/>
        <v>#DIV/0!</v>
      </c>
      <c r="K20" s="435"/>
      <c r="L20" s="436" t="e">
        <f t="shared" si="4"/>
        <v>#DIV/0!</v>
      </c>
      <c r="M20" s="562">
        <f>SUM(B20:B26)</f>
        <v>0</v>
      </c>
      <c r="N20" s="563">
        <f>SUM(C20:C26)</f>
        <v>0</v>
      </c>
      <c r="O20" s="563">
        <f>SUM(E20:E26)</f>
        <v>0</v>
      </c>
    </row>
    <row r="21" spans="1:15" ht="18.75">
      <c r="A21" s="415">
        <f t="shared" si="5"/>
        <v>46071</v>
      </c>
      <c r="B21" s="433"/>
      <c r="C21" s="433"/>
      <c r="D21" s="469" t="e">
        <f t="shared" si="0"/>
        <v>#DIV/0!</v>
      </c>
      <c r="E21" s="434"/>
      <c r="F21" s="410" t="e">
        <f t="shared" si="1"/>
        <v>#DIV/0!</v>
      </c>
      <c r="G21" s="433"/>
      <c r="H21" s="411" t="e">
        <f t="shared" si="2"/>
        <v>#DIV/0!</v>
      </c>
      <c r="I21" s="412"/>
      <c r="J21" s="411" t="e">
        <f t="shared" si="3"/>
        <v>#DIV/0!</v>
      </c>
      <c r="K21" s="435"/>
      <c r="L21" s="436" t="e">
        <f t="shared" si="4"/>
        <v>#DIV/0!</v>
      </c>
      <c r="M21" s="562"/>
      <c r="N21" s="563"/>
      <c r="O21" s="563"/>
    </row>
    <row r="22" spans="1:15" ht="18.75">
      <c r="A22" s="415">
        <f t="shared" si="5"/>
        <v>46072</v>
      </c>
      <c r="B22" s="433"/>
      <c r="C22" s="433"/>
      <c r="D22" s="469" t="e">
        <f t="shared" si="0"/>
        <v>#DIV/0!</v>
      </c>
      <c r="E22" s="434"/>
      <c r="F22" s="410" t="e">
        <f t="shared" si="1"/>
        <v>#DIV/0!</v>
      </c>
      <c r="G22" s="433"/>
      <c r="H22" s="411" t="e">
        <f t="shared" si="2"/>
        <v>#DIV/0!</v>
      </c>
      <c r="I22" s="412"/>
      <c r="J22" s="411" t="e">
        <f t="shared" si="3"/>
        <v>#DIV/0!</v>
      </c>
      <c r="K22" s="435"/>
      <c r="L22" s="436" t="e">
        <f t="shared" si="4"/>
        <v>#DIV/0!</v>
      </c>
      <c r="M22" s="562"/>
      <c r="N22" s="563"/>
      <c r="O22" s="563"/>
    </row>
    <row r="23" spans="1:15" ht="18.75">
      <c r="A23" s="415">
        <f t="shared" si="5"/>
        <v>46073</v>
      </c>
      <c r="B23" s="433"/>
      <c r="C23" s="433"/>
      <c r="D23" s="469" t="e">
        <f t="shared" si="0"/>
        <v>#DIV/0!</v>
      </c>
      <c r="E23" s="434"/>
      <c r="F23" s="410" t="e">
        <f t="shared" si="1"/>
        <v>#DIV/0!</v>
      </c>
      <c r="G23" s="433"/>
      <c r="H23" s="411" t="e">
        <f t="shared" si="2"/>
        <v>#DIV/0!</v>
      </c>
      <c r="I23" s="412"/>
      <c r="J23" s="411" t="e">
        <f t="shared" si="3"/>
        <v>#DIV/0!</v>
      </c>
      <c r="K23" s="435"/>
      <c r="L23" s="436" t="e">
        <f t="shared" si="4"/>
        <v>#DIV/0!</v>
      </c>
      <c r="M23" s="562"/>
      <c r="N23" s="563"/>
      <c r="O23" s="563"/>
    </row>
    <row r="24" spans="1:15" ht="18.75">
      <c r="A24" s="415">
        <f t="shared" si="5"/>
        <v>46074</v>
      </c>
      <c r="B24" s="433"/>
      <c r="C24" s="433"/>
      <c r="D24" s="469" t="e">
        <f t="shared" si="0"/>
        <v>#DIV/0!</v>
      </c>
      <c r="E24" s="434"/>
      <c r="F24" s="410" t="e">
        <f t="shared" si="1"/>
        <v>#DIV/0!</v>
      </c>
      <c r="G24" s="433"/>
      <c r="H24" s="411" t="e">
        <f t="shared" si="2"/>
        <v>#DIV/0!</v>
      </c>
      <c r="I24" s="412"/>
      <c r="J24" s="411" t="e">
        <f t="shared" si="3"/>
        <v>#DIV/0!</v>
      </c>
      <c r="K24" s="435"/>
      <c r="L24" s="436" t="e">
        <f t="shared" si="4"/>
        <v>#DIV/0!</v>
      </c>
      <c r="M24" s="562"/>
      <c r="N24" s="563"/>
      <c r="O24" s="563"/>
    </row>
    <row r="25" spans="1:15" ht="18.75">
      <c r="A25" s="415">
        <f t="shared" si="5"/>
        <v>46075</v>
      </c>
      <c r="B25" s="433"/>
      <c r="C25" s="433"/>
      <c r="D25" s="469" t="e">
        <f t="shared" ref="D25:D38" si="6">C25/B25</f>
        <v>#DIV/0!</v>
      </c>
      <c r="E25" s="434"/>
      <c r="F25" s="410" t="e">
        <f t="shared" ref="F25:F38" si="7">E25/B25</f>
        <v>#DIV/0!</v>
      </c>
      <c r="G25" s="433"/>
      <c r="H25" s="411" t="e">
        <f t="shared" ref="H25:H38" si="8">G25/C25</f>
        <v>#DIV/0!</v>
      </c>
      <c r="I25" s="412"/>
      <c r="J25" s="411" t="e">
        <f t="shared" ref="J25" si="9">I25/E25</f>
        <v>#DIV/0!</v>
      </c>
      <c r="K25" s="435"/>
      <c r="L25" s="436" t="e">
        <f t="shared" ref="L25" si="10">K25/C25</f>
        <v>#DIV/0!</v>
      </c>
      <c r="M25" s="562"/>
      <c r="N25" s="563"/>
      <c r="O25" s="563"/>
    </row>
    <row r="26" spans="1:15" ht="18.75">
      <c r="A26" s="415">
        <f t="shared" si="5"/>
        <v>46076</v>
      </c>
      <c r="B26" s="433"/>
      <c r="C26" s="433"/>
      <c r="D26" s="469" t="e">
        <f t="shared" si="6"/>
        <v>#DIV/0!</v>
      </c>
      <c r="E26" s="434"/>
      <c r="F26" s="410" t="e">
        <f t="shared" si="7"/>
        <v>#DIV/0!</v>
      </c>
      <c r="G26" s="433"/>
      <c r="H26" s="411" t="e">
        <f t="shared" si="8"/>
        <v>#DIV/0!</v>
      </c>
      <c r="I26" s="412"/>
      <c r="J26" s="411" t="e">
        <f t="shared" si="3"/>
        <v>#DIV/0!</v>
      </c>
      <c r="K26" s="435"/>
      <c r="L26" s="436" t="e">
        <f t="shared" si="4"/>
        <v>#DIV/0!</v>
      </c>
      <c r="M26" s="562"/>
      <c r="N26" s="563"/>
      <c r="O26" s="563"/>
    </row>
    <row r="27" spans="1:15" ht="18.75">
      <c r="A27" s="506">
        <f t="shared" si="5"/>
        <v>46077</v>
      </c>
      <c r="B27" s="433"/>
      <c r="C27" s="433"/>
      <c r="D27" s="469" t="e">
        <f t="shared" si="6"/>
        <v>#DIV/0!</v>
      </c>
      <c r="E27" s="434"/>
      <c r="F27" s="410" t="e">
        <f t="shared" si="7"/>
        <v>#DIV/0!</v>
      </c>
      <c r="G27" s="433"/>
      <c r="H27" s="411" t="e">
        <f t="shared" si="8"/>
        <v>#DIV/0!</v>
      </c>
      <c r="I27" s="412"/>
      <c r="J27" s="411" t="e">
        <f t="shared" si="3"/>
        <v>#DIV/0!</v>
      </c>
      <c r="K27" s="435"/>
      <c r="L27" s="436" t="e">
        <f t="shared" si="4"/>
        <v>#DIV/0!</v>
      </c>
      <c r="M27" s="562">
        <f>SUM(B27:B33)</f>
        <v>0</v>
      </c>
      <c r="N27" s="563">
        <f>SUM(C27:C33)</f>
        <v>0</v>
      </c>
      <c r="O27" s="563">
        <f>SUM(E27:E33)</f>
        <v>0</v>
      </c>
    </row>
    <row r="28" spans="1:15" ht="18.75">
      <c r="A28" s="506">
        <f t="shared" si="5"/>
        <v>46078</v>
      </c>
      <c r="B28" s="433"/>
      <c r="C28" s="433"/>
      <c r="D28" s="469" t="e">
        <f t="shared" si="6"/>
        <v>#DIV/0!</v>
      </c>
      <c r="E28" s="434"/>
      <c r="F28" s="410" t="e">
        <f t="shared" si="7"/>
        <v>#DIV/0!</v>
      </c>
      <c r="G28" s="433"/>
      <c r="H28" s="411" t="e">
        <f t="shared" si="8"/>
        <v>#DIV/0!</v>
      </c>
      <c r="I28" s="412"/>
      <c r="J28" s="411" t="e">
        <f t="shared" si="3"/>
        <v>#DIV/0!</v>
      </c>
      <c r="K28" s="435"/>
      <c r="L28" s="436" t="e">
        <f t="shared" si="4"/>
        <v>#DIV/0!</v>
      </c>
      <c r="M28" s="562"/>
      <c r="N28" s="563"/>
      <c r="O28" s="563"/>
    </row>
    <row r="29" spans="1:15" ht="18.75">
      <c r="A29" s="506">
        <f t="shared" si="5"/>
        <v>46079</v>
      </c>
      <c r="B29" s="433"/>
      <c r="C29" s="433"/>
      <c r="D29" s="469" t="e">
        <f t="shared" si="6"/>
        <v>#DIV/0!</v>
      </c>
      <c r="E29" s="434"/>
      <c r="F29" s="410" t="e">
        <f t="shared" si="7"/>
        <v>#DIV/0!</v>
      </c>
      <c r="G29" s="433"/>
      <c r="H29" s="411" t="e">
        <f t="shared" si="8"/>
        <v>#DIV/0!</v>
      </c>
      <c r="I29" s="412"/>
      <c r="J29" s="411" t="e">
        <f t="shared" si="3"/>
        <v>#DIV/0!</v>
      </c>
      <c r="K29" s="435"/>
      <c r="L29" s="436" t="e">
        <f t="shared" si="4"/>
        <v>#DIV/0!</v>
      </c>
      <c r="M29" s="562"/>
      <c r="N29" s="563"/>
      <c r="O29" s="563"/>
    </row>
    <row r="30" spans="1:15" ht="18.75">
      <c r="A30" s="506">
        <f t="shared" si="5"/>
        <v>46080</v>
      </c>
      <c r="B30" s="433"/>
      <c r="C30" s="433"/>
      <c r="D30" s="469" t="e">
        <f t="shared" si="6"/>
        <v>#DIV/0!</v>
      </c>
      <c r="E30" s="434"/>
      <c r="F30" s="410" t="e">
        <f t="shared" si="7"/>
        <v>#DIV/0!</v>
      </c>
      <c r="G30" s="433"/>
      <c r="H30" s="411" t="e">
        <f t="shared" si="8"/>
        <v>#DIV/0!</v>
      </c>
      <c r="I30" s="412"/>
      <c r="J30" s="411" t="e">
        <f t="shared" si="3"/>
        <v>#DIV/0!</v>
      </c>
      <c r="K30" s="435"/>
      <c r="L30" s="436" t="e">
        <f t="shared" si="4"/>
        <v>#DIV/0!</v>
      </c>
      <c r="M30" s="562"/>
      <c r="N30" s="563"/>
      <c r="O30" s="563"/>
    </row>
    <row r="31" spans="1:15" ht="18.75">
      <c r="A31" s="506">
        <f t="shared" si="5"/>
        <v>46081</v>
      </c>
      <c r="B31" s="433"/>
      <c r="C31" s="433"/>
      <c r="D31" s="469" t="e">
        <f t="shared" si="6"/>
        <v>#DIV/0!</v>
      </c>
      <c r="E31" s="434"/>
      <c r="F31" s="410" t="e">
        <f t="shared" si="7"/>
        <v>#DIV/0!</v>
      </c>
      <c r="G31" s="433"/>
      <c r="H31" s="411" t="e">
        <f t="shared" si="8"/>
        <v>#DIV/0!</v>
      </c>
      <c r="I31" s="412"/>
      <c r="J31" s="411" t="e">
        <f t="shared" si="3"/>
        <v>#DIV/0!</v>
      </c>
      <c r="K31" s="435"/>
      <c r="L31" s="436" t="e">
        <f t="shared" si="4"/>
        <v>#DIV/0!</v>
      </c>
      <c r="M31" s="562"/>
      <c r="N31" s="563"/>
      <c r="O31" s="563"/>
    </row>
    <row r="32" spans="1:15" ht="18.75">
      <c r="A32" s="506">
        <f t="shared" si="5"/>
        <v>46082</v>
      </c>
      <c r="B32" s="433"/>
      <c r="C32" s="433"/>
      <c r="D32" s="469" t="e">
        <f t="shared" si="6"/>
        <v>#DIV/0!</v>
      </c>
      <c r="E32" s="434"/>
      <c r="F32" s="410" t="e">
        <f t="shared" si="7"/>
        <v>#DIV/0!</v>
      </c>
      <c r="G32" s="433"/>
      <c r="H32" s="411" t="e">
        <f t="shared" si="8"/>
        <v>#DIV/0!</v>
      </c>
      <c r="I32" s="412"/>
      <c r="J32" s="411" t="e">
        <f t="shared" si="3"/>
        <v>#DIV/0!</v>
      </c>
      <c r="K32" s="435"/>
      <c r="L32" s="436" t="e">
        <f t="shared" si="4"/>
        <v>#DIV/0!</v>
      </c>
      <c r="M32" s="562"/>
      <c r="N32" s="563"/>
      <c r="O32" s="563"/>
    </row>
    <row r="33" spans="1:15" ht="18.75">
      <c r="A33" s="506">
        <f t="shared" si="5"/>
        <v>46083</v>
      </c>
      <c r="B33" s="433"/>
      <c r="C33" s="433"/>
      <c r="D33" s="469" t="e">
        <f t="shared" si="6"/>
        <v>#DIV/0!</v>
      </c>
      <c r="E33" s="434"/>
      <c r="F33" s="410" t="e">
        <f t="shared" si="7"/>
        <v>#DIV/0!</v>
      </c>
      <c r="G33" s="433"/>
      <c r="H33" s="411" t="e">
        <f t="shared" si="8"/>
        <v>#DIV/0!</v>
      </c>
      <c r="I33" s="412"/>
      <c r="J33" s="411" t="e">
        <f t="shared" si="3"/>
        <v>#DIV/0!</v>
      </c>
      <c r="K33" s="435"/>
      <c r="L33" s="436" t="e">
        <f t="shared" si="4"/>
        <v>#DIV/0!</v>
      </c>
      <c r="M33" s="562"/>
      <c r="N33" s="563"/>
      <c r="O33" s="563"/>
    </row>
    <row r="34" spans="1:15" ht="18.75">
      <c r="A34" s="415"/>
      <c r="B34" s="433"/>
      <c r="C34" s="433"/>
      <c r="D34" s="469" t="e">
        <f t="shared" si="6"/>
        <v>#DIV/0!</v>
      </c>
      <c r="E34" s="434"/>
      <c r="F34" s="410" t="e">
        <f t="shared" si="7"/>
        <v>#DIV/0!</v>
      </c>
      <c r="G34" s="433"/>
      <c r="H34" s="411" t="e">
        <f t="shared" si="8"/>
        <v>#DIV/0!</v>
      </c>
      <c r="I34" s="412"/>
      <c r="J34" s="411" t="e">
        <f t="shared" si="3"/>
        <v>#DIV/0!</v>
      </c>
      <c r="K34" s="435"/>
      <c r="L34" s="436" t="e">
        <f t="shared" si="4"/>
        <v>#DIV/0!</v>
      </c>
      <c r="M34" s="562"/>
      <c r="N34" s="563"/>
      <c r="O34" s="563"/>
    </row>
    <row r="35" spans="1:15" ht="18.75">
      <c r="A35" s="415"/>
      <c r="B35" s="433"/>
      <c r="C35" s="433"/>
      <c r="D35" s="469" t="e">
        <f t="shared" si="6"/>
        <v>#DIV/0!</v>
      </c>
      <c r="E35" s="434"/>
      <c r="F35" s="410" t="e">
        <f t="shared" si="7"/>
        <v>#DIV/0!</v>
      </c>
      <c r="G35" s="433"/>
      <c r="H35" s="411" t="e">
        <f t="shared" si="8"/>
        <v>#DIV/0!</v>
      </c>
      <c r="I35" s="412"/>
      <c r="J35" s="411" t="e">
        <f t="shared" si="3"/>
        <v>#DIV/0!</v>
      </c>
      <c r="K35" s="435"/>
      <c r="L35" s="436" t="e">
        <f t="shared" si="4"/>
        <v>#DIV/0!</v>
      </c>
      <c r="M35" s="562"/>
      <c r="N35" s="563"/>
      <c r="O35" s="563"/>
    </row>
    <row r="36" spans="1:15" ht="18.75">
      <c r="A36" s="415"/>
      <c r="B36" s="433"/>
      <c r="C36" s="433"/>
      <c r="D36" s="469" t="e">
        <f t="shared" si="6"/>
        <v>#DIV/0!</v>
      </c>
      <c r="E36" s="434"/>
      <c r="F36" s="410" t="e">
        <f t="shared" si="7"/>
        <v>#DIV/0!</v>
      </c>
      <c r="G36" s="433"/>
      <c r="H36" s="411" t="e">
        <f t="shared" si="8"/>
        <v>#DIV/0!</v>
      </c>
      <c r="I36" s="412"/>
      <c r="J36" s="411" t="e">
        <f t="shared" si="3"/>
        <v>#DIV/0!</v>
      </c>
      <c r="K36" s="435"/>
      <c r="L36" s="436" t="e">
        <f t="shared" si="4"/>
        <v>#DIV/0!</v>
      </c>
      <c r="M36" s="562"/>
      <c r="N36" s="563"/>
      <c r="O36" s="563"/>
    </row>
    <row r="37" spans="1:15" ht="18.75">
      <c r="A37" s="415"/>
      <c r="B37" s="433"/>
      <c r="C37" s="433"/>
      <c r="D37" s="469" t="e">
        <f t="shared" si="6"/>
        <v>#DIV/0!</v>
      </c>
      <c r="E37" s="434"/>
      <c r="F37" s="410" t="e">
        <f t="shared" si="7"/>
        <v>#DIV/0!</v>
      </c>
      <c r="G37" s="433"/>
      <c r="H37" s="411" t="e">
        <f t="shared" si="8"/>
        <v>#DIV/0!</v>
      </c>
      <c r="I37" s="412"/>
      <c r="J37" s="411" t="e">
        <f t="shared" si="3"/>
        <v>#DIV/0!</v>
      </c>
      <c r="K37" s="435"/>
      <c r="L37" s="436" t="e">
        <f t="shared" si="4"/>
        <v>#DIV/0!</v>
      </c>
      <c r="M37" s="562"/>
      <c r="N37" s="563"/>
      <c r="O37" s="563"/>
    </row>
    <row r="38" spans="1:15" ht="19.5" thickBot="1">
      <c r="A38" s="506"/>
      <c r="B38" s="472"/>
      <c r="C38" s="472"/>
      <c r="D38" s="473" t="e">
        <f t="shared" si="6"/>
        <v>#DIV/0!</v>
      </c>
      <c r="E38" s="474"/>
      <c r="F38" s="461" t="e">
        <f t="shared" si="7"/>
        <v>#DIV/0!</v>
      </c>
      <c r="G38" s="472"/>
      <c r="H38" s="462" t="e">
        <f t="shared" si="8"/>
        <v>#DIV/0!</v>
      </c>
      <c r="I38" s="463"/>
      <c r="J38" s="462" t="e">
        <f t="shared" si="3"/>
        <v>#DIV/0!</v>
      </c>
      <c r="K38" s="475"/>
      <c r="L38" s="476" t="e">
        <f t="shared" si="4"/>
        <v>#DIV/0!</v>
      </c>
      <c r="M38" s="562"/>
      <c r="N38" s="563"/>
      <c r="O38" s="563"/>
    </row>
    <row r="39" spans="1:15" ht="18.75">
      <c r="A39" s="415" t="s">
        <v>802</v>
      </c>
      <c r="B39" s="407">
        <f>AVERAGE(B4:B38)</f>
        <v>6739339.4375</v>
      </c>
      <c r="C39" s="407">
        <f>AVERAGE(C4:C38)</f>
        <v>16397.359187499998</v>
      </c>
      <c r="D39" s="408">
        <f t="shared" ref="D39:D40" si="11">C39/B39</f>
        <v>2.4330810667080307E-3</v>
      </c>
      <c r="E39" s="409">
        <f>AVERAGE(E4:E38)</f>
        <v>13801.689591659535</v>
      </c>
      <c r="F39" s="420">
        <f t="shared" ref="F39" si="12">E39/B39</f>
        <v>2.0479291360310761E-3</v>
      </c>
      <c r="G39" s="407">
        <f>AVERAGE(G4:G38)</f>
        <v>1441.1336249999999</v>
      </c>
      <c r="H39" s="421">
        <f t="shared" ref="H39:H40" si="13">G39/C39</f>
        <v>8.788815372774185E-2</v>
      </c>
      <c r="I39" s="458">
        <f>AVERAGE(I4:I38)</f>
        <v>1429.9180364583476</v>
      </c>
      <c r="J39" s="421">
        <f t="shared" ref="J39:J40" si="14">I39/E39</f>
        <v>0.10360456427903275</v>
      </c>
      <c r="K39" s="413">
        <f>AVERAGE(K4:K38)</f>
        <v>2623.259</v>
      </c>
      <c r="L39" s="414">
        <f t="shared" ref="L39:L40" si="15">K39/C39</f>
        <v>0.15998057797012566</v>
      </c>
      <c r="M39" s="564"/>
      <c r="N39" s="565"/>
      <c r="O39" s="565"/>
    </row>
    <row r="40" spans="1:15" ht="18.75">
      <c r="A40" s="415" t="s">
        <v>803</v>
      </c>
      <c r="B40" s="407">
        <f>SUM(B4:B38)</f>
        <v>107829431</v>
      </c>
      <c r="C40" s="407">
        <f>SUM(C4:C38)</f>
        <v>262357.74699999997</v>
      </c>
      <c r="D40" s="408">
        <f t="shared" si="11"/>
        <v>2.4330810667080307E-3</v>
      </c>
      <c r="E40" s="407">
        <f>SUM(E4:E38)</f>
        <v>220827.03346655256</v>
      </c>
      <c r="F40" s="420">
        <f>E40/B40</f>
        <v>2.0479291360310761E-3</v>
      </c>
      <c r="G40" s="407">
        <f>SUM(G4:G38)</f>
        <v>23058.137999999999</v>
      </c>
      <c r="H40" s="421">
        <f t="shared" si="13"/>
        <v>8.788815372774185E-2</v>
      </c>
      <c r="I40" s="407">
        <f>SUM(I4:I38)</f>
        <v>22878.688583333562</v>
      </c>
      <c r="J40" s="421">
        <f t="shared" si="14"/>
        <v>0.10360456427903275</v>
      </c>
      <c r="K40" s="407">
        <f>SUM(K4:K38)</f>
        <v>41972.144</v>
      </c>
      <c r="L40" s="414">
        <f t="shared" si="15"/>
        <v>0.15998057797012566</v>
      </c>
      <c r="M40" s="414"/>
      <c r="N40" s="418"/>
      <c r="O40" s="419"/>
    </row>
    <row r="41" spans="1:15" ht="18.75">
      <c r="A41" s="422"/>
      <c r="B41" s="422"/>
      <c r="C41" s="422"/>
      <c r="D41" s="422"/>
      <c r="E41" s="422"/>
      <c r="F41" s="422"/>
      <c r="G41" s="422"/>
      <c r="H41" s="422"/>
      <c r="I41" s="422"/>
      <c r="J41" s="422"/>
      <c r="K41" s="422"/>
      <c r="L41" s="422"/>
      <c r="M41" s="422"/>
    </row>
    <row r="42" spans="1:15" ht="18.75">
      <c r="A42" s="422"/>
      <c r="B42" s="422"/>
      <c r="C42" s="422"/>
      <c r="D42" s="422"/>
      <c r="E42" s="422"/>
      <c r="F42" s="422"/>
      <c r="G42" s="422"/>
      <c r="H42" s="422"/>
      <c r="I42" s="422"/>
      <c r="J42" s="422"/>
      <c r="K42" s="422"/>
      <c r="L42" s="422"/>
      <c r="M42" s="422"/>
    </row>
    <row r="43" spans="1:15" ht="18.75">
      <c r="A43" s="422"/>
      <c r="B43" s="422"/>
      <c r="C43" s="422"/>
      <c r="D43" s="422"/>
      <c r="E43" s="422"/>
      <c r="F43" s="422"/>
      <c r="G43" s="422"/>
      <c r="H43" s="422"/>
      <c r="I43" s="422"/>
      <c r="J43" s="422"/>
      <c r="K43" s="422"/>
      <c r="L43" s="422"/>
      <c r="M43" s="422"/>
    </row>
    <row r="44" spans="1:15" ht="18.75">
      <c r="A44" s="422"/>
      <c r="B44" s="422"/>
      <c r="C44" s="422"/>
      <c r="D44" s="422"/>
      <c r="E44" s="422"/>
      <c r="F44" s="422"/>
      <c r="G44" s="422"/>
      <c r="H44" s="422"/>
      <c r="I44" s="422"/>
      <c r="J44" s="422"/>
      <c r="K44" s="422"/>
      <c r="L44" s="422"/>
      <c r="M44" s="422"/>
    </row>
    <row r="45" spans="1:15" ht="18.75">
      <c r="A45" s="422"/>
      <c r="B45" s="422"/>
      <c r="C45" s="422"/>
      <c r="D45" s="422"/>
      <c r="E45" s="422"/>
      <c r="F45" s="422"/>
      <c r="G45" s="422"/>
      <c r="H45" s="422"/>
      <c r="I45" s="422"/>
      <c r="J45" s="422"/>
      <c r="K45" s="422"/>
      <c r="L45" s="422"/>
      <c r="M45" s="422"/>
    </row>
    <row r="46" spans="1:15" ht="18.75">
      <c r="A46" s="422"/>
      <c r="B46" s="422"/>
      <c r="C46" s="422"/>
      <c r="D46" s="422"/>
      <c r="E46" s="422"/>
      <c r="F46" s="422"/>
      <c r="G46" s="422"/>
      <c r="H46" s="422"/>
      <c r="I46" s="422"/>
      <c r="J46" s="422"/>
      <c r="K46" s="422"/>
      <c r="L46" s="422"/>
      <c r="M46" s="422"/>
    </row>
    <row r="47" spans="1:15" ht="18.75">
      <c r="A47" s="422"/>
      <c r="B47" s="422"/>
      <c r="C47" s="422"/>
      <c r="D47" s="422"/>
      <c r="E47" s="422"/>
      <c r="F47" s="422"/>
      <c r="G47" s="422"/>
      <c r="H47" s="422"/>
      <c r="I47" s="422"/>
      <c r="J47" s="422"/>
      <c r="K47" s="422"/>
      <c r="L47" s="422"/>
      <c r="M47" s="422"/>
    </row>
    <row r="48" spans="1:15" ht="18.75">
      <c r="A48" s="422"/>
      <c r="B48" s="422"/>
      <c r="C48" s="422"/>
      <c r="D48" s="422"/>
      <c r="E48" s="422"/>
      <c r="F48" s="422"/>
      <c r="G48" s="422"/>
      <c r="H48" s="422"/>
      <c r="I48" s="422"/>
      <c r="J48" s="422"/>
      <c r="K48" s="422"/>
      <c r="L48" s="422"/>
      <c r="M48" s="422"/>
    </row>
    <row r="49" spans="1:13" ht="18.75">
      <c r="A49" s="422"/>
      <c r="B49" s="422"/>
      <c r="C49" s="422"/>
      <c r="D49" s="422"/>
      <c r="E49" s="422"/>
      <c r="F49" s="422"/>
      <c r="G49" s="422"/>
      <c r="H49" s="422"/>
      <c r="I49" s="422"/>
      <c r="J49" s="422"/>
      <c r="K49" s="422"/>
      <c r="L49" s="422"/>
      <c r="M49" s="422"/>
    </row>
    <row r="50" spans="1:13" ht="18.75">
      <c r="A50" s="422"/>
      <c r="B50" s="422"/>
      <c r="C50" s="422"/>
      <c r="D50" s="422"/>
      <c r="E50" s="422"/>
      <c r="F50" s="422"/>
      <c r="G50" s="422"/>
      <c r="H50" s="422"/>
      <c r="I50" s="422"/>
      <c r="J50" s="422"/>
      <c r="K50" s="422"/>
      <c r="L50" s="422"/>
      <c r="M50" s="422"/>
    </row>
    <row r="51" spans="1:13" ht="18.75">
      <c r="A51" s="422"/>
      <c r="B51" s="422"/>
      <c r="C51" s="422"/>
      <c r="D51" s="422"/>
      <c r="E51" s="422"/>
      <c r="F51" s="422"/>
      <c r="G51" s="422"/>
      <c r="H51" s="422"/>
      <c r="I51" s="422"/>
      <c r="J51" s="422"/>
      <c r="K51" s="422"/>
      <c r="L51" s="422"/>
      <c r="M51" s="422"/>
    </row>
    <row r="52" spans="1:13" ht="18.75">
      <c r="A52" s="422"/>
      <c r="B52" s="422"/>
      <c r="C52" s="422"/>
      <c r="D52" s="422"/>
      <c r="E52" s="422"/>
      <c r="F52" s="422"/>
      <c r="G52" s="422"/>
      <c r="H52" s="422"/>
      <c r="I52" s="422"/>
      <c r="J52" s="422"/>
      <c r="K52" s="422"/>
      <c r="L52" s="422"/>
      <c r="M52" s="422"/>
    </row>
    <row r="53" spans="1:13" ht="18.75">
      <c r="A53" s="422"/>
      <c r="B53" s="422"/>
      <c r="C53" s="422"/>
      <c r="D53" s="422"/>
      <c r="E53" s="422"/>
      <c r="F53" s="422"/>
      <c r="G53" s="422"/>
      <c r="H53" s="422"/>
      <c r="I53" s="422"/>
      <c r="J53" s="422"/>
      <c r="K53" s="422"/>
      <c r="L53" s="422"/>
      <c r="M53" s="422"/>
    </row>
    <row r="54" spans="1:13" ht="18.75">
      <c r="A54" s="422"/>
      <c r="B54" s="422"/>
      <c r="C54" s="422"/>
      <c r="D54" s="422"/>
      <c r="E54" s="422"/>
      <c r="F54" s="422"/>
      <c r="G54" s="422"/>
      <c r="H54" s="422"/>
      <c r="I54" s="422"/>
      <c r="J54" s="422"/>
      <c r="K54" s="422"/>
      <c r="L54" s="422"/>
      <c r="M54" s="422"/>
    </row>
    <row r="55" spans="1:13" ht="18.75">
      <c r="A55" s="422"/>
      <c r="B55" s="422"/>
      <c r="C55" s="422"/>
      <c r="D55" s="422"/>
      <c r="E55" s="422"/>
      <c r="F55" s="422"/>
      <c r="G55" s="422"/>
      <c r="H55" s="422"/>
      <c r="I55" s="422"/>
      <c r="J55" s="422"/>
      <c r="K55" s="422"/>
      <c r="L55" s="422"/>
      <c r="M55" s="422"/>
    </row>
    <row r="56" spans="1:13" ht="18.75">
      <c r="A56" s="422"/>
      <c r="B56" s="422"/>
      <c r="C56" s="422"/>
      <c r="D56" s="422"/>
      <c r="E56" s="422"/>
      <c r="F56" s="422"/>
      <c r="G56" s="422"/>
      <c r="H56" s="422"/>
      <c r="I56" s="422"/>
      <c r="J56" s="422"/>
      <c r="K56" s="422"/>
      <c r="L56" s="422"/>
      <c r="M56" s="422"/>
    </row>
    <row r="57" spans="1:13" ht="18.75">
      <c r="A57" s="422"/>
      <c r="B57" s="422"/>
      <c r="C57" s="422"/>
      <c r="D57" s="422"/>
      <c r="E57" s="422"/>
      <c r="F57" s="422"/>
      <c r="G57" s="422"/>
      <c r="H57" s="422"/>
      <c r="I57" s="422"/>
      <c r="J57" s="422"/>
      <c r="K57" s="422"/>
      <c r="L57" s="422"/>
      <c r="M57" s="422"/>
    </row>
    <row r="58" spans="1:13" ht="18.75">
      <c r="A58" s="422"/>
      <c r="B58" s="422"/>
      <c r="C58" s="422"/>
      <c r="D58" s="422"/>
      <c r="E58" s="422"/>
      <c r="F58" s="422"/>
      <c r="G58" s="422"/>
      <c r="H58" s="422"/>
      <c r="I58" s="422"/>
      <c r="J58" s="422"/>
      <c r="K58" s="422"/>
      <c r="L58" s="422"/>
      <c r="M58" s="422"/>
    </row>
    <row r="59" spans="1:13" ht="18.75">
      <c r="A59" s="422"/>
      <c r="B59" s="422"/>
      <c r="C59" s="422"/>
      <c r="D59" s="422"/>
      <c r="E59" s="422"/>
      <c r="F59" s="422"/>
      <c r="G59" s="422"/>
      <c r="H59" s="422"/>
      <c r="I59" s="422"/>
      <c r="J59" s="422"/>
      <c r="K59" s="422"/>
      <c r="L59" s="422"/>
      <c r="M59" s="422"/>
    </row>
    <row r="60" spans="1:13" ht="18.75">
      <c r="A60" s="422"/>
      <c r="B60" s="422"/>
      <c r="C60" s="422"/>
      <c r="D60" s="422"/>
      <c r="E60" s="422"/>
      <c r="F60" s="422"/>
      <c r="G60" s="422"/>
      <c r="H60" s="422"/>
      <c r="I60" s="422"/>
      <c r="J60" s="422"/>
      <c r="K60" s="422"/>
      <c r="L60" s="422"/>
      <c r="M60" s="422"/>
    </row>
    <row r="61" spans="1:13" ht="18.75">
      <c r="A61" s="422"/>
      <c r="B61" s="422"/>
      <c r="C61" s="422"/>
      <c r="D61" s="422"/>
      <c r="E61" s="422"/>
      <c r="F61" s="422"/>
      <c r="G61" s="422"/>
      <c r="H61" s="422"/>
      <c r="I61" s="422"/>
      <c r="J61" s="422"/>
      <c r="K61" s="422"/>
      <c r="L61" s="422"/>
      <c r="M61" s="422"/>
    </row>
    <row r="62" spans="1:13" ht="18.75">
      <c r="A62" s="422"/>
      <c r="B62" s="422"/>
      <c r="C62" s="422"/>
      <c r="D62" s="422"/>
      <c r="E62" s="422"/>
      <c r="F62" s="422"/>
      <c r="G62" s="422"/>
      <c r="H62" s="422"/>
      <c r="I62" s="422"/>
      <c r="J62" s="422"/>
      <c r="K62" s="422"/>
      <c r="L62" s="422"/>
      <c r="M62" s="422"/>
    </row>
    <row r="63" spans="1:13" ht="18.75">
      <c r="A63" s="422"/>
      <c r="B63" s="422"/>
      <c r="C63" s="422"/>
      <c r="D63" s="422"/>
      <c r="E63" s="422"/>
      <c r="F63" s="422"/>
      <c r="G63" s="422"/>
      <c r="H63" s="422"/>
      <c r="I63" s="422"/>
      <c r="J63" s="422"/>
      <c r="K63" s="422"/>
      <c r="L63" s="422"/>
      <c r="M63" s="422"/>
    </row>
    <row r="64" spans="1:13" ht="18.75">
      <c r="A64" s="422"/>
      <c r="B64" s="422"/>
      <c r="C64" s="422"/>
      <c r="D64" s="422"/>
      <c r="E64" s="422"/>
      <c r="F64" s="422"/>
      <c r="G64" s="422"/>
      <c r="H64" s="422"/>
      <c r="I64" s="422"/>
      <c r="J64" s="422"/>
      <c r="K64" s="422"/>
      <c r="L64" s="422"/>
      <c r="M64" s="422"/>
    </row>
    <row r="65" spans="1:13" ht="18.75">
      <c r="A65" s="422"/>
      <c r="B65" s="422"/>
      <c r="C65" s="422"/>
      <c r="D65" s="422"/>
      <c r="E65" s="422"/>
      <c r="F65" s="422"/>
      <c r="G65" s="422"/>
      <c r="H65" s="422"/>
      <c r="I65" s="422"/>
      <c r="J65" s="422"/>
      <c r="K65" s="422"/>
      <c r="L65" s="422"/>
      <c r="M65" s="422"/>
    </row>
    <row r="66" spans="1:13" ht="18.75">
      <c r="A66" s="422"/>
      <c r="B66" s="422"/>
      <c r="C66" s="422"/>
      <c r="D66" s="422"/>
      <c r="E66" s="422"/>
      <c r="F66" s="422"/>
      <c r="G66" s="422"/>
      <c r="H66" s="422"/>
      <c r="I66" s="422"/>
      <c r="J66" s="422"/>
      <c r="K66" s="422"/>
      <c r="L66" s="422"/>
      <c r="M66" s="422"/>
    </row>
    <row r="67" spans="1:13" ht="18.75">
      <c r="A67" s="422"/>
      <c r="B67" s="422"/>
      <c r="C67" s="422"/>
      <c r="D67" s="422"/>
      <c r="E67" s="422"/>
      <c r="F67" s="422"/>
      <c r="G67" s="422"/>
      <c r="H67" s="422"/>
      <c r="I67" s="422"/>
      <c r="J67" s="422"/>
      <c r="K67" s="422"/>
      <c r="L67" s="422"/>
      <c r="M67" s="422"/>
    </row>
    <row r="68" spans="1:13" ht="18.75">
      <c r="A68" s="422"/>
      <c r="B68" s="422"/>
      <c r="C68" s="422"/>
      <c r="D68" s="422"/>
      <c r="E68" s="422"/>
      <c r="F68" s="422"/>
      <c r="G68" s="422"/>
      <c r="H68" s="422"/>
      <c r="I68" s="422"/>
      <c r="J68" s="422"/>
      <c r="K68" s="422"/>
      <c r="L68" s="422"/>
      <c r="M68" s="422"/>
    </row>
  </sheetData>
  <mergeCells count="11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11" type="noConversion"/>
  <conditionalFormatting sqref="J39:J40 H39:H40">
    <cfRule type="cellIs" dxfId="42" priority="163" operator="greaterThan">
      <formula>0.16</formula>
    </cfRule>
  </conditionalFormatting>
  <conditionalFormatting sqref="L40:M40 L39">
    <cfRule type="cellIs" dxfId="41" priority="161" operator="greaterThan">
      <formula>0.15</formula>
    </cfRule>
  </conditionalFormatting>
  <conditionalFormatting sqref="D39:D40">
    <cfRule type="cellIs" dxfId="40" priority="162" operator="greaterThan">
      <formula>0.0025</formula>
    </cfRule>
  </conditionalFormatting>
  <conditionalFormatting sqref="D25:D30">
    <cfRule type="cellIs" dxfId="39" priority="57" operator="greaterThan">
      <formula>0.0025</formula>
    </cfRule>
  </conditionalFormatting>
  <conditionalFormatting sqref="J25:J30">
    <cfRule type="cellIs" dxfId="38" priority="55" operator="greaterThan">
      <formula>0.16</formula>
    </cfRule>
  </conditionalFormatting>
  <conditionalFormatting sqref="L31">
    <cfRule type="cellIs" dxfId="37" priority="50" operator="greaterThan">
      <formula>0.15</formula>
    </cfRule>
  </conditionalFormatting>
  <conditionalFormatting sqref="H31">
    <cfRule type="cellIs" dxfId="36" priority="52" operator="greaterThan">
      <formula>0.16</formula>
    </cfRule>
  </conditionalFormatting>
  <conditionalFormatting sqref="H25:H30">
    <cfRule type="cellIs" dxfId="35" priority="56" operator="greaterThan">
      <formula>0.16</formula>
    </cfRule>
  </conditionalFormatting>
  <conditionalFormatting sqref="L25:L30">
    <cfRule type="cellIs" dxfId="34" priority="54" operator="greaterThan">
      <formula>0.15</formula>
    </cfRule>
  </conditionalFormatting>
  <conditionalFormatting sqref="D31">
    <cfRule type="cellIs" dxfId="33" priority="53" operator="greaterThan">
      <formula>0.0025</formula>
    </cfRule>
  </conditionalFormatting>
  <conditionalFormatting sqref="J31">
    <cfRule type="cellIs" dxfId="32" priority="51" operator="greaterThan">
      <formula>0.16</formula>
    </cfRule>
  </conditionalFormatting>
  <conditionalFormatting sqref="H32:H37">
    <cfRule type="cellIs" dxfId="31" priority="39" operator="greaterThan">
      <formula>0.16</formula>
    </cfRule>
  </conditionalFormatting>
  <conditionalFormatting sqref="L32:L37">
    <cfRule type="cellIs" dxfId="30" priority="37" operator="greaterThan">
      <formula>0.15</formula>
    </cfRule>
  </conditionalFormatting>
  <conditionalFormatting sqref="D32:D37">
    <cfRule type="cellIs" dxfId="29" priority="40" operator="greaterThan">
      <formula>0.0025</formula>
    </cfRule>
  </conditionalFormatting>
  <conditionalFormatting sqref="J32:J37">
    <cfRule type="cellIs" dxfId="28" priority="38" operator="greaterThan">
      <formula>0.16</formula>
    </cfRule>
  </conditionalFormatting>
  <conditionalFormatting sqref="H38">
    <cfRule type="cellIs" dxfId="27" priority="35" operator="greaterThan">
      <formula>0.16</formula>
    </cfRule>
  </conditionalFormatting>
  <conditionalFormatting sqref="L38">
    <cfRule type="cellIs" dxfId="26" priority="33" operator="greaterThan">
      <formula>0.15</formula>
    </cfRule>
  </conditionalFormatting>
  <conditionalFormatting sqref="D38">
    <cfRule type="cellIs" dxfId="25" priority="36" operator="greaterThan">
      <formula>0.0025</formula>
    </cfRule>
  </conditionalFormatting>
  <conditionalFormatting sqref="J38">
    <cfRule type="cellIs" dxfId="24" priority="34" operator="greaterThan">
      <formula>0.16</formula>
    </cfRule>
  </conditionalFormatting>
  <conditionalFormatting sqref="L24">
    <cfRule type="cellIs" dxfId="23" priority="1" operator="greaterThan">
      <formula>0.15</formula>
    </cfRule>
  </conditionalFormatting>
  <conditionalFormatting sqref="H4:H9">
    <cfRule type="cellIs" dxfId="22" priority="23" operator="greaterThan">
      <formula>0.16</formula>
    </cfRule>
  </conditionalFormatting>
  <conditionalFormatting sqref="L4:L9">
    <cfRule type="cellIs" dxfId="21" priority="21" operator="greaterThan">
      <formula>0.15</formula>
    </cfRule>
  </conditionalFormatting>
  <conditionalFormatting sqref="D4:D9">
    <cfRule type="cellIs" dxfId="20" priority="24" operator="greaterThan">
      <formula>0.0025</formula>
    </cfRule>
  </conditionalFormatting>
  <conditionalFormatting sqref="J4:J9">
    <cfRule type="cellIs" dxfId="19" priority="22" operator="greaterThan">
      <formula>0.16</formula>
    </cfRule>
  </conditionalFormatting>
  <conditionalFormatting sqref="H10">
    <cfRule type="cellIs" dxfId="18" priority="19" operator="greaterThan">
      <formula>0.16</formula>
    </cfRule>
  </conditionalFormatting>
  <conditionalFormatting sqref="L10">
    <cfRule type="cellIs" dxfId="17" priority="17" operator="greaterThan">
      <formula>0.15</formula>
    </cfRule>
  </conditionalFormatting>
  <conditionalFormatting sqref="D10">
    <cfRule type="cellIs" dxfId="16" priority="20" operator="greaterThan">
      <formula>0.0025</formula>
    </cfRule>
  </conditionalFormatting>
  <conditionalFormatting sqref="J10">
    <cfRule type="cellIs" dxfId="15" priority="18" operator="greaterThan">
      <formula>0.16</formula>
    </cfRule>
  </conditionalFormatting>
  <conditionalFormatting sqref="H11:H16">
    <cfRule type="cellIs" dxfId="14" priority="15" operator="greaterThan">
      <formula>0.16</formula>
    </cfRule>
  </conditionalFormatting>
  <conditionalFormatting sqref="L11:L16">
    <cfRule type="cellIs" dxfId="13" priority="13" operator="greaterThan">
      <formula>0.15</formula>
    </cfRule>
  </conditionalFormatting>
  <conditionalFormatting sqref="D11:D16">
    <cfRule type="cellIs" dxfId="12" priority="16" operator="greaterThan">
      <formula>0.0025</formula>
    </cfRule>
  </conditionalFormatting>
  <conditionalFormatting sqref="J11:J16">
    <cfRule type="cellIs" dxfId="11" priority="14" operator="greaterThan">
      <formula>0.16</formula>
    </cfRule>
  </conditionalFormatting>
  <conditionalFormatting sqref="H17">
    <cfRule type="cellIs" dxfId="10" priority="11" operator="greaterThan">
      <formula>0.16</formula>
    </cfRule>
  </conditionalFormatting>
  <conditionalFormatting sqref="L17">
    <cfRule type="cellIs" dxfId="9" priority="9" operator="greaterThan">
      <formula>0.15</formula>
    </cfRule>
  </conditionalFormatting>
  <conditionalFormatting sqref="D17">
    <cfRule type="cellIs" dxfId="8" priority="12" operator="greaterThan">
      <formula>0.0025</formula>
    </cfRule>
  </conditionalFormatting>
  <conditionalFormatting sqref="J17">
    <cfRule type="cellIs" dxfId="7" priority="10" operator="greaterThan">
      <formula>0.16</formula>
    </cfRule>
  </conditionalFormatting>
  <conditionalFormatting sqref="H18:H23">
    <cfRule type="cellIs" dxfId="6" priority="7" operator="greaterThan">
      <formula>0.16</formula>
    </cfRule>
  </conditionalFormatting>
  <conditionalFormatting sqref="L18:L23">
    <cfRule type="cellIs" dxfId="5" priority="5" operator="greaterThan">
      <formula>0.15</formula>
    </cfRule>
  </conditionalFormatting>
  <conditionalFormatting sqref="D18:D23">
    <cfRule type="cellIs" dxfId="4" priority="8" operator="greaterThan">
      <formula>0.0025</formula>
    </cfRule>
  </conditionalFormatting>
  <conditionalFormatting sqref="J18:J23">
    <cfRule type="cellIs" dxfId="3" priority="6" operator="greaterThan">
      <formula>0.16</formula>
    </cfRule>
  </conditionalFormatting>
  <conditionalFormatting sqref="H24">
    <cfRule type="cellIs" dxfId="2" priority="3" operator="greaterThan">
      <formula>0.16</formula>
    </cfRule>
  </conditionalFormatting>
  <conditionalFormatting sqref="D24">
    <cfRule type="cellIs" dxfId="1" priority="4" operator="greaterThan">
      <formula>0.0025</formula>
    </cfRule>
  </conditionalFormatting>
  <conditionalFormatting sqref="J24">
    <cfRule type="cellIs" dxfId="0" priority="2" operator="greaterThan">
      <formula>0.16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209"/>
    <col min="3" max="3" width="14" style="209" bestFit="1" customWidth="1"/>
    <col min="4" max="4" width="0.28515625" style="209" customWidth="1"/>
    <col min="5" max="5" width="8.7109375" style="209"/>
    <col min="6" max="6" width="16.28515625" style="209" bestFit="1" customWidth="1"/>
    <col min="7" max="16384" width="8.7109375" style="209"/>
  </cols>
  <sheetData>
    <row r="2" spans="2:7" ht="15.75">
      <c r="B2" s="919" t="s">
        <v>252</v>
      </c>
      <c r="C2" s="919"/>
      <c r="D2" s="919"/>
      <c r="E2" s="919"/>
      <c r="F2" s="919"/>
    </row>
    <row r="3" spans="2:7" ht="15">
      <c r="B3" s="210" t="s">
        <v>253</v>
      </c>
      <c r="C3" s="210" t="s">
        <v>254</v>
      </c>
      <c r="D3" s="211"/>
      <c r="E3" s="210" t="s">
        <v>255</v>
      </c>
      <c r="F3" s="210" t="s">
        <v>256</v>
      </c>
      <c r="G3" s="211"/>
    </row>
    <row r="4" spans="2:7" ht="15">
      <c r="B4" s="212" t="s">
        <v>257</v>
      </c>
      <c r="C4" s="212" t="s">
        <v>258</v>
      </c>
      <c r="D4" s="211"/>
      <c r="E4" s="212" t="s">
        <v>259</v>
      </c>
      <c r="F4" s="212" t="s">
        <v>260</v>
      </c>
      <c r="G4" s="211"/>
    </row>
    <row r="5" spans="2:7" ht="15">
      <c r="B5" s="212" t="s">
        <v>261</v>
      </c>
      <c r="C5" s="212" t="s">
        <v>262</v>
      </c>
      <c r="D5" s="211"/>
      <c r="E5" s="212" t="s">
        <v>263</v>
      </c>
      <c r="F5" s="212" t="s">
        <v>264</v>
      </c>
      <c r="G5" s="211"/>
    </row>
    <row r="6" spans="2:7" ht="15">
      <c r="B6" s="212" t="s">
        <v>265</v>
      </c>
      <c r="C6" s="212" t="s">
        <v>266</v>
      </c>
      <c r="D6" s="211"/>
      <c r="E6" s="213" t="s">
        <v>267</v>
      </c>
      <c r="F6" s="213" t="s">
        <v>136</v>
      </c>
      <c r="G6" s="211"/>
    </row>
    <row r="7" spans="2:7" ht="15">
      <c r="B7" s="213" t="s">
        <v>268</v>
      </c>
      <c r="C7" s="213" t="s">
        <v>269</v>
      </c>
      <c r="D7" s="211"/>
      <c r="E7" s="212" t="s">
        <v>270</v>
      </c>
      <c r="F7" s="212" t="s">
        <v>271</v>
      </c>
      <c r="G7" s="211"/>
    </row>
    <row r="8" spans="2:7" ht="15">
      <c r="B8" s="212" t="s">
        <v>272</v>
      </c>
      <c r="C8" s="212" t="s">
        <v>273</v>
      </c>
      <c r="D8" s="211"/>
      <c r="E8" s="212" t="s">
        <v>274</v>
      </c>
      <c r="F8" s="212" t="s">
        <v>275</v>
      </c>
      <c r="G8" s="211"/>
    </row>
    <row r="9" spans="2:7" ht="15">
      <c r="B9" s="212" t="s">
        <v>276</v>
      </c>
      <c r="C9" s="212" t="s">
        <v>277</v>
      </c>
      <c r="D9" s="211"/>
      <c r="E9" s="213" t="s">
        <v>278</v>
      </c>
      <c r="F9" s="213" t="s">
        <v>135</v>
      </c>
      <c r="G9" s="211"/>
    </row>
    <row r="10" spans="2:7" ht="15">
      <c r="B10" s="212" t="s">
        <v>279</v>
      </c>
      <c r="C10" s="212" t="s">
        <v>280</v>
      </c>
      <c r="D10" s="211"/>
      <c r="E10" s="212" t="s">
        <v>281</v>
      </c>
      <c r="F10" s="212" t="s">
        <v>282</v>
      </c>
      <c r="G10" s="211"/>
    </row>
    <row r="11" spans="2:7" ht="15">
      <c r="B11" s="212" t="s">
        <v>283</v>
      </c>
      <c r="C11" s="212" t="s">
        <v>284</v>
      </c>
      <c r="D11" s="211"/>
      <c r="E11" s="212" t="s">
        <v>285</v>
      </c>
      <c r="F11" s="212" t="s">
        <v>275</v>
      </c>
      <c r="G11" s="211"/>
    </row>
    <row r="12" spans="2:7" ht="15">
      <c r="B12" s="212" t="s">
        <v>286</v>
      </c>
      <c r="C12" s="212" t="s">
        <v>287</v>
      </c>
      <c r="D12" s="211"/>
      <c r="E12" s="212" t="s">
        <v>288</v>
      </c>
      <c r="F12" s="212" t="s">
        <v>289</v>
      </c>
      <c r="G12" s="211"/>
    </row>
    <row r="13" spans="2:7" ht="15">
      <c r="B13" s="213" t="s">
        <v>290</v>
      </c>
      <c r="C13" s="213" t="s">
        <v>131</v>
      </c>
      <c r="D13" s="211"/>
      <c r="E13" s="212" t="s">
        <v>291</v>
      </c>
      <c r="F13" s="212" t="s">
        <v>292</v>
      </c>
      <c r="G13" s="211"/>
    </row>
    <row r="14" spans="2:7" ht="15">
      <c r="B14" s="212" t="s">
        <v>293</v>
      </c>
      <c r="C14" s="212" t="s">
        <v>294</v>
      </c>
      <c r="D14" s="211"/>
      <c r="E14" s="213" t="s">
        <v>295</v>
      </c>
      <c r="F14" s="213" t="s">
        <v>296</v>
      </c>
      <c r="G14" s="211"/>
    </row>
    <row r="15" spans="2:7" ht="15">
      <c r="B15" s="213" t="s">
        <v>297</v>
      </c>
      <c r="C15" s="213" t="s">
        <v>298</v>
      </c>
      <c r="D15" s="211"/>
      <c r="E15" s="212" t="s">
        <v>299</v>
      </c>
      <c r="F15" s="212" t="s">
        <v>296</v>
      </c>
      <c r="G15" s="211"/>
    </row>
    <row r="16" spans="2:7" ht="15">
      <c r="B16" s="212" t="s">
        <v>300</v>
      </c>
      <c r="C16" s="212" t="s">
        <v>301</v>
      </c>
      <c r="D16" s="211"/>
      <c r="E16" s="213" t="s">
        <v>302</v>
      </c>
      <c r="F16" s="213" t="s">
        <v>303</v>
      </c>
      <c r="G16" s="211"/>
    </row>
    <row r="17" spans="2:7" ht="15">
      <c r="B17" s="212" t="s">
        <v>304</v>
      </c>
      <c r="C17" s="212" t="s">
        <v>305</v>
      </c>
      <c r="D17" s="211"/>
      <c r="E17" s="212" t="s">
        <v>306</v>
      </c>
      <c r="F17" s="212" t="s">
        <v>307</v>
      </c>
      <c r="G17" s="211"/>
    </row>
    <row r="18" spans="2:7" ht="15">
      <c r="B18" s="212" t="s">
        <v>308</v>
      </c>
      <c r="C18" s="212" t="s">
        <v>309</v>
      </c>
      <c r="D18" s="211"/>
      <c r="E18" s="212" t="s">
        <v>310</v>
      </c>
      <c r="F18" s="212" t="s">
        <v>311</v>
      </c>
      <c r="G18" s="211"/>
    </row>
    <row r="19" spans="2:7" ht="15">
      <c r="B19" s="212" t="s">
        <v>312</v>
      </c>
      <c r="C19" s="212" t="s">
        <v>313</v>
      </c>
      <c r="D19" s="211"/>
      <c r="E19" s="212" t="s">
        <v>314</v>
      </c>
      <c r="F19" s="212" t="s">
        <v>315</v>
      </c>
      <c r="G19" s="211"/>
    </row>
    <row r="20" spans="2:7" ht="15">
      <c r="B20" s="212" t="s">
        <v>316</v>
      </c>
      <c r="C20" s="212" t="s">
        <v>317</v>
      </c>
      <c r="D20" s="211"/>
      <c r="G20" s="211"/>
    </row>
    <row r="21" spans="2:7" ht="15">
      <c r="D21" s="211"/>
      <c r="G21" s="211"/>
    </row>
    <row r="22" spans="2:7" ht="15">
      <c r="D22" s="211"/>
      <c r="G22" s="211"/>
    </row>
    <row r="23" spans="2:7" ht="15">
      <c r="D23" s="211"/>
      <c r="G23" s="211"/>
    </row>
  </sheetData>
  <mergeCells count="1">
    <mergeCell ref="B2:F2"/>
  </mergeCells>
  <phoneticPr fontId="11" type="noConversion"/>
  <pageMargins left="0" right="0" top="0" bottom="0" header="0" footer="0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林奕德</cp:lastModifiedBy>
  <cp:lastPrinted>2025-07-28T04:42:39Z</cp:lastPrinted>
  <dcterms:created xsi:type="dcterms:W3CDTF">2025-07-03T16:36:59Z</dcterms:created>
  <dcterms:modified xsi:type="dcterms:W3CDTF">2026-02-24T01:34:23Z</dcterms:modified>
</cp:coreProperties>
</file>