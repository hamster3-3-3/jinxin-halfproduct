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32.xml" ContentType="application/vnd.openxmlformats-officedocument.spreadsheetml.worksheet+xml"/>
  <Override PartName="/xl/worksheets/sheet31.xml" ContentType="application/vnd.openxmlformats-officedocument.spreadsheetml.worksheet+xml"/>
  <Override PartName="/xl/worksheets/sheet30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14.xml" ContentType="application/vnd.openxmlformats-officedocument.spreadsheetml.worksheet+xml"/>
  <Override PartName="/xl/worksheets/sheet13.xml" ContentType="application/vnd.openxmlformats-officedocument.spreadsheetml.worksheet+xml"/>
  <Override PartName="/xl/worksheets/sheet19.xml" ContentType="application/vnd.openxmlformats-officedocument.spreadsheetml.worksheet+xml"/>
  <Override PartName="/docProps/app.xml" ContentType="application/vnd.openxmlformats-officedocument.extended-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2450" tabRatio="838" firstSheet="2" activeTab="2"/>
  </bookViews>
  <sheets>
    <sheet name="填寫舉例" sheetId="1" state="hidden" r:id="rId1"/>
    <sheet name="生產管理報表(月)" sheetId="13" state="hidden" r:id="rId2"/>
    <sheet name="生產管理報表(週) " sheetId="39" r:id="rId3"/>
    <sheet name="（１）收支狀況" sheetId="3" r:id="rId4"/>
    <sheet name="（２）ＫＰＩ達成進度" sheetId="5" r:id="rId5"/>
    <sheet name="（３）業績構成比" sheetId="7" r:id="rId6"/>
    <sheet name="（４）訂單數量構成比" sheetId="6" r:id="rId7"/>
    <sheet name="（５-1）品群別人時生產性（18℃-飯糰）" sheetId="8" r:id="rId8"/>
    <sheet name="（５-2）品群別人時生產性（18-壽司手卷)" sheetId="30" r:id="rId9"/>
    <sheet name="（５-3）品群別人時生產性（4℃-飯糰)" sheetId="32" r:id="rId10"/>
    <sheet name="（５-4）品群別人時生產性（4℃-壽司手卷)" sheetId="31" r:id="rId11"/>
    <sheet name="（５-5）品群別人時生產性(主食) " sheetId="33" r:id="rId12"/>
    <sheet name="（５-6）品群別人時生產性(便當)" sheetId="34" r:id="rId13"/>
    <sheet name="（５-7）品群別人時生產性(熱食義麵) " sheetId="35" r:id="rId14"/>
    <sheet name="（５-8）品群別人時生產性(季節調理麵) " sheetId="36" r:id="rId15"/>
    <sheet name="（５-9）品群別人時生產性(微波小吃)" sheetId="37" r:id="rId16"/>
    <sheet name="生產管理報表 6-1" sheetId="15" r:id="rId17"/>
    <sheet name="生產管理報表 6-2" sheetId="22" r:id="rId18"/>
    <sheet name="生產管理報表 6-3" sheetId="23" r:id="rId19"/>
    <sheet name="生產管理報表 6-4" sheetId="24" r:id="rId20"/>
    <sheet name="生產管理報表 6-5" sheetId="25" r:id="rId21"/>
    <sheet name="生產管理報表 7-1(月)" sheetId="40" state="hidden" r:id="rId22"/>
    <sheet name="生產管理報表 7-1 (週)" sheetId="41" r:id="rId23"/>
    <sheet name="生產管理報表 8-1(報廢)" sheetId="19" r:id="rId24"/>
    <sheet name="生產管理報表 8-2(報廢)" sheetId="20" r:id="rId25"/>
    <sheet name="生產管理報表 8-3(超用)" sheetId="44" r:id="rId26"/>
    <sheet name="生產管理報表 8-4(超用)" sheetId="45" r:id="rId27"/>
    <sheet name="生產管理報表 9" sheetId="21" r:id="rId28"/>
    <sheet name="報廢20大－原因別分析" sheetId="46" r:id="rId29"/>
    <sheet name="超用20大－原因別分析" sheetId="47" r:id="rId30"/>
    <sheet name="日別報廢率總表  " sheetId="48" r:id="rId31"/>
    <sheet name="鮮食品群番" sheetId="38" state="hidden" r:id="rId32"/>
  </sheets>
  <definedNames>
    <definedName name="_xlnm._FilterDatabase" localSheetId="7" hidden="1">'（５-1）品群別人時生產性（18℃-飯糰）'!#REF!</definedName>
    <definedName name="_xlnm._FilterDatabase" localSheetId="8" hidden="1">'（５-2）品群別人時生產性（18-壽司手卷)'!#REF!</definedName>
    <definedName name="_xlnm._FilterDatabase" localSheetId="9" hidden="1">'（５-3）品群別人時生產性（4℃-飯糰)'!#REF!</definedName>
    <definedName name="_xlnm._FilterDatabase" localSheetId="10" hidden="1">'（５-4）品群別人時生產性（4℃-壽司手卷)'!#REF!</definedName>
    <definedName name="_xlnm._FilterDatabase" localSheetId="11" hidden="1">'（５-5）品群別人時生產性(主食) '!#REF!</definedName>
    <definedName name="_xlnm._FilterDatabase" localSheetId="12" hidden="1">'（５-6）品群別人時生產性(便當)'!#REF!</definedName>
    <definedName name="_xlnm._FilterDatabase" localSheetId="13" hidden="1">'（５-7）品群別人時生產性(熱食義麵) '!#REF!</definedName>
    <definedName name="_xlnm._FilterDatabase" localSheetId="14" hidden="1">'（５-8）品群別人時生產性(季節調理麵) '!#REF!</definedName>
    <definedName name="_xlnm._FilterDatabase" localSheetId="15" hidden="1">'（５-9）品群別人時生產性(微波小吃)'!#REF!</definedName>
    <definedName name="_xlnm._FilterDatabase" localSheetId="25" hidden="1">'生產管理報表 8-3(超用)'!$R$24:$W$28</definedName>
    <definedName name="_xlnm._FilterDatabase" localSheetId="26" hidden="1">'生產管理報表 8-4(超用)'!$R$24:$W$29</definedName>
    <definedName name="_xlnm._FilterDatabase" localSheetId="28" hidden="1">'報廢20大－原因別分析'!#REF!</definedName>
    <definedName name="_xlnm._FilterDatabase" localSheetId="29" hidden="1">'超用20大－原因別分析'!#REF!</definedName>
    <definedName name="_xlnm.Print_Area" localSheetId="16">'生產管理報表 6-1'!$A$1:$L$35</definedName>
    <definedName name="_xlnm.Print_Area" localSheetId="17">'生產管理報表 6-2'!$A$1:$L$35</definedName>
    <definedName name="_xlnm.Print_Area" localSheetId="18">'生產管理報表 6-3'!$A$1:$L$35</definedName>
    <definedName name="_xlnm.Print_Area" localSheetId="19">'生產管理報表 6-4'!$A$1:$L$35</definedName>
    <definedName name="_xlnm.Print_Area" localSheetId="20">'生產管理報表 6-5'!$A$1:$L$35</definedName>
    <definedName name="_xlnm.Print_Area" localSheetId="22">'生產管理報表 7-1 (週)'!$A$1:$M$2</definedName>
    <definedName name="_xlnm.Print_Area" localSheetId="21">'生產管理報表 7-1(月)'!$A$1:$M$15</definedName>
    <definedName name="_xlnm.Print_Area" localSheetId="25">'生產管理報表 8-3(超用)'!$A$1:$Q$30</definedName>
    <definedName name="_xlnm.Print_Area" localSheetId="26">'生產管理報表 8-4(超用)'!$A$1:$Q$38</definedName>
    <definedName name="_xlnm.Print_Area" localSheetId="27">'生產管理報表 9'!#REF!</definedName>
    <definedName name="_xlnm.Print_Area" localSheetId="1">'生產管理報表(月)'!$A$1:$K$36</definedName>
    <definedName name="_xlnm.Print_Area" localSheetId="2">'生產管理報表(週) '!$A$1:$K$36</definedName>
    <definedName name="_xlnm.Print_Area" localSheetId="31">鮮食品群番!$B$2:$F$20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1" i="39" l="1"/>
  <c r="B8" i="25" l="1"/>
  <c r="A8" i="25"/>
  <c r="S21" i="37"/>
  <c r="S20" i="37"/>
  <c r="S19" i="37"/>
  <c r="S18" i="37"/>
  <c r="S17" i="37"/>
  <c r="S16" i="37"/>
  <c r="S15" i="37"/>
  <c r="S14" i="37"/>
  <c r="S13" i="37"/>
  <c r="S12" i="37"/>
  <c r="S11" i="37"/>
  <c r="S10" i="37"/>
  <c r="S9" i="37"/>
  <c r="S8" i="37"/>
  <c r="T7" i="37"/>
  <c r="S7" i="37"/>
  <c r="X21" i="37"/>
  <c r="X20" i="37"/>
  <c r="X19" i="37"/>
  <c r="X18" i="37"/>
  <c r="X17" i="37"/>
  <c r="X16" i="37"/>
  <c r="X15" i="37"/>
  <c r="X14" i="37"/>
  <c r="X13" i="37"/>
  <c r="X12" i="37"/>
  <c r="X11" i="37"/>
  <c r="X10" i="37"/>
  <c r="X9" i="37"/>
  <c r="X8" i="37"/>
  <c r="Y7" i="37"/>
  <c r="X7" i="37"/>
  <c r="AC21" i="37"/>
  <c r="AC20" i="37"/>
  <c r="AC19" i="37"/>
  <c r="AC18" i="37"/>
  <c r="AC17" i="37"/>
  <c r="AC16" i="37"/>
  <c r="AC15" i="37"/>
  <c r="AC14" i="37"/>
  <c r="AC13" i="37"/>
  <c r="AC12" i="37"/>
  <c r="AC11" i="37"/>
  <c r="AC10" i="37"/>
  <c r="AC9" i="37"/>
  <c r="AC8" i="37"/>
  <c r="AD7" i="37"/>
  <c r="AC7" i="37"/>
  <c r="AH21" i="37"/>
  <c r="AH20" i="37"/>
  <c r="AH19" i="37"/>
  <c r="AH18" i="37"/>
  <c r="AH17" i="37"/>
  <c r="AH16" i="37"/>
  <c r="AH15" i="37"/>
  <c r="AH14" i="37"/>
  <c r="AH13" i="37"/>
  <c r="AH12" i="37"/>
  <c r="AH11" i="37"/>
  <c r="AH10" i="37"/>
  <c r="AH9" i="37"/>
  <c r="AH8" i="37"/>
  <c r="AI7" i="37"/>
  <c r="AH7" i="37"/>
  <c r="AM21" i="37"/>
  <c r="AM20" i="37"/>
  <c r="AM19" i="37"/>
  <c r="AM18" i="37"/>
  <c r="AM17" i="37"/>
  <c r="AM16" i="37"/>
  <c r="AM15" i="37"/>
  <c r="AM14" i="37"/>
  <c r="AM13" i="37"/>
  <c r="AM12" i="37"/>
  <c r="AM11" i="37"/>
  <c r="AM10" i="37"/>
  <c r="AM9" i="37"/>
  <c r="AM8" i="37"/>
  <c r="AN7" i="37"/>
  <c r="AM7" i="37"/>
  <c r="AR21" i="37"/>
  <c r="AR20" i="37"/>
  <c r="AR19" i="37"/>
  <c r="AR18" i="37"/>
  <c r="AR17" i="37"/>
  <c r="AR16" i="37"/>
  <c r="AR15" i="37"/>
  <c r="AR14" i="37"/>
  <c r="AR13" i="37"/>
  <c r="AR12" i="37"/>
  <c r="AR11" i="37"/>
  <c r="AR10" i="37"/>
  <c r="AR9" i="37"/>
  <c r="AR8" i="37"/>
  <c r="AS7" i="37"/>
  <c r="AR7" i="37"/>
  <c r="AW21" i="37"/>
  <c r="AW20" i="37"/>
  <c r="AW19" i="37"/>
  <c r="AW18" i="37"/>
  <c r="AW17" i="37"/>
  <c r="AW16" i="37"/>
  <c r="AW15" i="37"/>
  <c r="AW14" i="37"/>
  <c r="AW13" i="37"/>
  <c r="AW12" i="37"/>
  <c r="AW11" i="37"/>
  <c r="AW10" i="37"/>
  <c r="AW9" i="37"/>
  <c r="AW8" i="37"/>
  <c r="AX7" i="37"/>
  <c r="AW7" i="37"/>
  <c r="S21" i="36"/>
  <c r="S20" i="36"/>
  <c r="S19" i="36"/>
  <c r="S18" i="36"/>
  <c r="S17" i="36"/>
  <c r="S16" i="36"/>
  <c r="S15" i="36"/>
  <c r="S14" i="36"/>
  <c r="S13" i="36"/>
  <c r="S12" i="36"/>
  <c r="S11" i="36"/>
  <c r="S10" i="36"/>
  <c r="S9" i="36"/>
  <c r="S8" i="36"/>
  <c r="T7" i="36"/>
  <c r="S7" i="36"/>
  <c r="X21" i="36"/>
  <c r="X20" i="36"/>
  <c r="X19" i="36"/>
  <c r="X18" i="36"/>
  <c r="X17" i="36"/>
  <c r="X16" i="36"/>
  <c r="X15" i="36"/>
  <c r="X14" i="36"/>
  <c r="X13" i="36"/>
  <c r="X12" i="36"/>
  <c r="X11" i="36"/>
  <c r="X10" i="36"/>
  <c r="X9" i="36"/>
  <c r="X8" i="36"/>
  <c r="Y7" i="36"/>
  <c r="X7" i="36"/>
  <c r="AC21" i="36"/>
  <c r="AC20" i="36"/>
  <c r="AC19" i="36"/>
  <c r="AC18" i="36"/>
  <c r="AC17" i="36"/>
  <c r="AC16" i="36"/>
  <c r="AC15" i="36"/>
  <c r="AC14" i="36"/>
  <c r="AC13" i="36"/>
  <c r="AC12" i="36"/>
  <c r="AC11" i="36"/>
  <c r="AC10" i="36"/>
  <c r="AC9" i="36"/>
  <c r="AC8" i="36"/>
  <c r="AD7" i="36"/>
  <c r="AC7" i="36"/>
  <c r="AH21" i="36"/>
  <c r="AH20" i="36"/>
  <c r="AH19" i="36"/>
  <c r="AH18" i="36"/>
  <c r="AH17" i="36"/>
  <c r="AH16" i="36"/>
  <c r="AH15" i="36"/>
  <c r="AH14" i="36"/>
  <c r="AH13" i="36"/>
  <c r="AH12" i="36"/>
  <c r="AH11" i="36"/>
  <c r="AH10" i="36"/>
  <c r="AH9" i="36"/>
  <c r="AH8" i="36"/>
  <c r="AI7" i="36"/>
  <c r="AH7" i="36"/>
  <c r="AM21" i="36"/>
  <c r="AM20" i="36"/>
  <c r="AM19" i="36"/>
  <c r="AM18" i="36"/>
  <c r="AM17" i="36"/>
  <c r="AM16" i="36"/>
  <c r="AM15" i="36"/>
  <c r="AM14" i="36"/>
  <c r="AM13" i="36"/>
  <c r="AM12" i="36"/>
  <c r="AM11" i="36"/>
  <c r="AM10" i="36"/>
  <c r="AM9" i="36"/>
  <c r="AM8" i="36"/>
  <c r="AN7" i="36"/>
  <c r="AM7" i="36"/>
  <c r="AR21" i="36"/>
  <c r="AR20" i="36"/>
  <c r="AR19" i="36"/>
  <c r="AR18" i="36"/>
  <c r="AR17" i="36"/>
  <c r="AR16" i="36"/>
  <c r="AR15" i="36"/>
  <c r="AR14" i="36"/>
  <c r="AR13" i="36"/>
  <c r="AR12" i="36"/>
  <c r="AR11" i="36"/>
  <c r="AR10" i="36"/>
  <c r="AR9" i="36"/>
  <c r="AR8" i="36"/>
  <c r="AS7" i="36"/>
  <c r="AR7" i="36"/>
  <c r="AW21" i="36"/>
  <c r="AW20" i="36"/>
  <c r="AW19" i="36"/>
  <c r="AW18" i="36"/>
  <c r="AW17" i="36"/>
  <c r="AW16" i="36"/>
  <c r="AW15" i="36"/>
  <c r="AW14" i="36"/>
  <c r="AW13" i="36"/>
  <c r="AW12" i="36"/>
  <c r="AW11" i="36"/>
  <c r="AW10" i="36"/>
  <c r="AW9" i="36"/>
  <c r="AW8" i="36"/>
  <c r="AX7" i="36"/>
  <c r="AW7" i="36"/>
  <c r="S21" i="35"/>
  <c r="S20" i="35"/>
  <c r="S19" i="35"/>
  <c r="S18" i="35"/>
  <c r="S17" i="35"/>
  <c r="S16" i="35"/>
  <c r="S15" i="35"/>
  <c r="S14" i="35"/>
  <c r="S13" i="35"/>
  <c r="S12" i="35"/>
  <c r="S11" i="35"/>
  <c r="S10" i="35"/>
  <c r="S9" i="35"/>
  <c r="S8" i="35"/>
  <c r="T7" i="35"/>
  <c r="S7" i="35"/>
  <c r="X21" i="35"/>
  <c r="X20" i="35"/>
  <c r="X19" i="35"/>
  <c r="X18" i="35"/>
  <c r="X17" i="35"/>
  <c r="X16" i="35"/>
  <c r="X15" i="35"/>
  <c r="X14" i="35"/>
  <c r="X13" i="35"/>
  <c r="X12" i="35"/>
  <c r="X11" i="35"/>
  <c r="X10" i="35"/>
  <c r="X9" i="35"/>
  <c r="X8" i="35"/>
  <c r="Y7" i="35"/>
  <c r="X7" i="35"/>
  <c r="AC21" i="35"/>
  <c r="AC20" i="35"/>
  <c r="AC19" i="35"/>
  <c r="AC18" i="35"/>
  <c r="AC17" i="35"/>
  <c r="AC16" i="35"/>
  <c r="AC15" i="35"/>
  <c r="AC14" i="35"/>
  <c r="AC13" i="35"/>
  <c r="AC12" i="35"/>
  <c r="AC11" i="35"/>
  <c r="AC10" i="35"/>
  <c r="AC9" i="35"/>
  <c r="AC8" i="35"/>
  <c r="AD7" i="35"/>
  <c r="AC7" i="35"/>
  <c r="AH21" i="35"/>
  <c r="AH20" i="35"/>
  <c r="AH19" i="35"/>
  <c r="AH18" i="35"/>
  <c r="AH17" i="35"/>
  <c r="AH16" i="35"/>
  <c r="AH15" i="35"/>
  <c r="AH14" i="35"/>
  <c r="AH13" i="35"/>
  <c r="AH12" i="35"/>
  <c r="AH11" i="35"/>
  <c r="AH10" i="35"/>
  <c r="AH9" i="35"/>
  <c r="AH8" i="35"/>
  <c r="AI7" i="35"/>
  <c r="AH7" i="35"/>
  <c r="AM21" i="35"/>
  <c r="AM20" i="35"/>
  <c r="AM19" i="35"/>
  <c r="AM18" i="35"/>
  <c r="AM17" i="35"/>
  <c r="AM16" i="35"/>
  <c r="AM15" i="35"/>
  <c r="AM14" i="35"/>
  <c r="AM13" i="35"/>
  <c r="AM12" i="35"/>
  <c r="AM11" i="35"/>
  <c r="AM10" i="35"/>
  <c r="AM9" i="35"/>
  <c r="AM8" i="35"/>
  <c r="AN7" i="35"/>
  <c r="AM7" i="35"/>
  <c r="AR21" i="35"/>
  <c r="AR20" i="35"/>
  <c r="AR19" i="35"/>
  <c r="AR18" i="35"/>
  <c r="AR17" i="35"/>
  <c r="AR16" i="35"/>
  <c r="AR15" i="35"/>
  <c r="AR14" i="35"/>
  <c r="AR13" i="35"/>
  <c r="AR12" i="35"/>
  <c r="AR11" i="35"/>
  <c r="AR10" i="35"/>
  <c r="AR9" i="35"/>
  <c r="AR8" i="35"/>
  <c r="AS7" i="35"/>
  <c r="AR7" i="35"/>
  <c r="AW21" i="35"/>
  <c r="AW20" i="35"/>
  <c r="AW19" i="35"/>
  <c r="AW18" i="35"/>
  <c r="AW17" i="35"/>
  <c r="AW16" i="35"/>
  <c r="AW15" i="35"/>
  <c r="AW14" i="35"/>
  <c r="AW13" i="35"/>
  <c r="AW12" i="35"/>
  <c r="AW11" i="35"/>
  <c r="AW10" i="35"/>
  <c r="AW9" i="35"/>
  <c r="AW8" i="35"/>
  <c r="AX7" i="35"/>
  <c r="AW7" i="35"/>
  <c r="X21" i="34"/>
  <c r="X20" i="34"/>
  <c r="X19" i="34"/>
  <c r="X18" i="34"/>
  <c r="X17" i="34"/>
  <c r="X16" i="34"/>
  <c r="X15" i="34"/>
  <c r="X14" i="34"/>
  <c r="X13" i="34"/>
  <c r="X12" i="34"/>
  <c r="X11" i="34"/>
  <c r="X10" i="34"/>
  <c r="X9" i="34"/>
  <c r="X8" i="34"/>
  <c r="Y7" i="34"/>
  <c r="X7" i="34"/>
  <c r="AC21" i="34"/>
  <c r="AC20" i="34"/>
  <c r="AC19" i="34"/>
  <c r="AC18" i="34"/>
  <c r="AC17" i="34"/>
  <c r="AC16" i="34"/>
  <c r="AC15" i="34"/>
  <c r="AC14" i="34"/>
  <c r="AC13" i="34"/>
  <c r="AC12" i="34"/>
  <c r="AC11" i="34"/>
  <c r="AC10" i="34"/>
  <c r="AC9" i="34"/>
  <c r="AC8" i="34"/>
  <c r="AD7" i="34"/>
  <c r="AC7" i="34"/>
  <c r="AH21" i="34"/>
  <c r="AH20" i="34"/>
  <c r="AH19" i="34"/>
  <c r="AH18" i="34"/>
  <c r="AH17" i="34"/>
  <c r="AH16" i="34"/>
  <c r="AH15" i="34"/>
  <c r="AH14" i="34"/>
  <c r="AH13" i="34"/>
  <c r="AH12" i="34"/>
  <c r="AH11" i="34"/>
  <c r="AH10" i="34"/>
  <c r="AH9" i="34"/>
  <c r="AH8" i="34"/>
  <c r="AI7" i="34"/>
  <c r="AH7" i="34"/>
  <c r="AM21" i="34"/>
  <c r="AM20" i="34"/>
  <c r="AM19" i="34"/>
  <c r="AM18" i="34"/>
  <c r="AM17" i="34"/>
  <c r="AM16" i="34"/>
  <c r="AM15" i="34"/>
  <c r="AM14" i="34"/>
  <c r="AM13" i="34"/>
  <c r="AM12" i="34"/>
  <c r="AM11" i="34"/>
  <c r="AM10" i="34"/>
  <c r="AM9" i="34"/>
  <c r="AM8" i="34"/>
  <c r="AN7" i="34"/>
  <c r="AM7" i="34"/>
  <c r="AR21" i="34"/>
  <c r="AR20" i="34"/>
  <c r="AR19" i="34"/>
  <c r="AR18" i="34"/>
  <c r="AR17" i="34"/>
  <c r="AR16" i="34"/>
  <c r="AR15" i="34"/>
  <c r="AR14" i="34"/>
  <c r="AR13" i="34"/>
  <c r="AR12" i="34"/>
  <c r="AR11" i="34"/>
  <c r="AR10" i="34"/>
  <c r="AR9" i="34"/>
  <c r="AR8" i="34"/>
  <c r="AS7" i="34"/>
  <c r="AR7" i="34"/>
  <c r="AW21" i="34"/>
  <c r="AW20" i="34"/>
  <c r="AW19" i="34"/>
  <c r="AW18" i="34"/>
  <c r="AW17" i="34"/>
  <c r="AW16" i="34"/>
  <c r="AW15" i="34"/>
  <c r="AW14" i="34"/>
  <c r="AW13" i="34"/>
  <c r="AW12" i="34"/>
  <c r="AW11" i="34"/>
  <c r="AW10" i="34"/>
  <c r="AW9" i="34"/>
  <c r="AW8" i="34"/>
  <c r="AX7" i="34"/>
  <c r="AW7" i="34"/>
  <c r="S36" i="33"/>
  <c r="S35" i="33"/>
  <c r="S34" i="33"/>
  <c r="S33" i="33"/>
  <c r="S32" i="33"/>
  <c r="S31" i="33"/>
  <c r="S30" i="33"/>
  <c r="S29" i="33"/>
  <c r="S28" i="33"/>
  <c r="S27" i="33"/>
  <c r="S26" i="33"/>
  <c r="S25" i="33"/>
  <c r="S24" i="33"/>
  <c r="S23" i="33"/>
  <c r="S22" i="33"/>
  <c r="S21" i="33"/>
  <c r="S20" i="33"/>
  <c r="S19" i="33"/>
  <c r="S18" i="33"/>
  <c r="S17" i="33"/>
  <c r="S16" i="33"/>
  <c r="S15" i="33"/>
  <c r="S14" i="33"/>
  <c r="S13" i="33"/>
  <c r="S12" i="33"/>
  <c r="S11" i="33"/>
  <c r="S10" i="33"/>
  <c r="S9" i="33"/>
  <c r="S8" i="33"/>
  <c r="T7" i="33"/>
  <c r="S7" i="33"/>
  <c r="X36" i="33"/>
  <c r="X35" i="33"/>
  <c r="X34" i="33"/>
  <c r="X33" i="33"/>
  <c r="X32" i="33"/>
  <c r="X31" i="33"/>
  <c r="X30" i="33"/>
  <c r="X29" i="33"/>
  <c r="X28" i="33"/>
  <c r="X27" i="33"/>
  <c r="X26" i="33"/>
  <c r="X25" i="33"/>
  <c r="X24" i="33"/>
  <c r="X23" i="33"/>
  <c r="X22" i="33"/>
  <c r="X21" i="33"/>
  <c r="X20" i="33"/>
  <c r="X19" i="33"/>
  <c r="X18" i="33"/>
  <c r="X17" i="33"/>
  <c r="X16" i="33"/>
  <c r="X15" i="33"/>
  <c r="X14" i="33"/>
  <c r="X13" i="33"/>
  <c r="X12" i="33"/>
  <c r="X11" i="33"/>
  <c r="X10" i="33"/>
  <c r="X9" i="33"/>
  <c r="X8" i="33"/>
  <c r="Y7" i="33"/>
  <c r="X7" i="33"/>
  <c r="AC36" i="33"/>
  <c r="AC35" i="33"/>
  <c r="AC34" i="33"/>
  <c r="AC33" i="33"/>
  <c r="AC32" i="33"/>
  <c r="AC31" i="33"/>
  <c r="AC30" i="33"/>
  <c r="AC29" i="33"/>
  <c r="AC28" i="33"/>
  <c r="AC27" i="33"/>
  <c r="AC26" i="33"/>
  <c r="AC25" i="33"/>
  <c r="AC24" i="33"/>
  <c r="AC23" i="33"/>
  <c r="AC22" i="33"/>
  <c r="AC21" i="33"/>
  <c r="AC20" i="33"/>
  <c r="AC19" i="33"/>
  <c r="AC18" i="33"/>
  <c r="AC17" i="33"/>
  <c r="AC16" i="33"/>
  <c r="AC15" i="33"/>
  <c r="AC14" i="33"/>
  <c r="AC13" i="33"/>
  <c r="AC12" i="33"/>
  <c r="AC11" i="33"/>
  <c r="AC10" i="33"/>
  <c r="AC9" i="33"/>
  <c r="AC8" i="33"/>
  <c r="AD7" i="33"/>
  <c r="AC7" i="33"/>
  <c r="AH36" i="33"/>
  <c r="AH35" i="33"/>
  <c r="AH34" i="33"/>
  <c r="AH33" i="33"/>
  <c r="AH32" i="33"/>
  <c r="AH31" i="33"/>
  <c r="AH30" i="33"/>
  <c r="AH29" i="33"/>
  <c r="AH28" i="33"/>
  <c r="AH27" i="33"/>
  <c r="AH26" i="33"/>
  <c r="AH25" i="33"/>
  <c r="AH24" i="33"/>
  <c r="AH23" i="33"/>
  <c r="AH22" i="33"/>
  <c r="AH21" i="33"/>
  <c r="AH20" i="33"/>
  <c r="AH19" i="33"/>
  <c r="AH18" i="33"/>
  <c r="AH17" i="33"/>
  <c r="AH16" i="33"/>
  <c r="AH15" i="33"/>
  <c r="AH14" i="33"/>
  <c r="AH13" i="33"/>
  <c r="AH12" i="33"/>
  <c r="AH11" i="33"/>
  <c r="AH10" i="33"/>
  <c r="AH9" i="33"/>
  <c r="AH8" i="33"/>
  <c r="AI7" i="33"/>
  <c r="AH7" i="33"/>
  <c r="AM36" i="33"/>
  <c r="AM35" i="33"/>
  <c r="AM34" i="33"/>
  <c r="AM33" i="33"/>
  <c r="AM32" i="33"/>
  <c r="AM31" i="33"/>
  <c r="AM30" i="33"/>
  <c r="AM29" i="33"/>
  <c r="AM28" i="33"/>
  <c r="AM27" i="33"/>
  <c r="AM26" i="33"/>
  <c r="AM25" i="33"/>
  <c r="AM24" i="33"/>
  <c r="AM23" i="33"/>
  <c r="AM22" i="33"/>
  <c r="AM21" i="33"/>
  <c r="AM20" i="33"/>
  <c r="AM19" i="33"/>
  <c r="AM18" i="33"/>
  <c r="AM17" i="33"/>
  <c r="AM16" i="33"/>
  <c r="AM15" i="33"/>
  <c r="AM14" i="33"/>
  <c r="AM13" i="33"/>
  <c r="AM12" i="33"/>
  <c r="AM11" i="33"/>
  <c r="AM10" i="33"/>
  <c r="AM9" i="33"/>
  <c r="AM8" i="33"/>
  <c r="AN7" i="33"/>
  <c r="AM7" i="33"/>
  <c r="AR36" i="33"/>
  <c r="AR35" i="33"/>
  <c r="AR34" i="33"/>
  <c r="AR33" i="33"/>
  <c r="AR32" i="33"/>
  <c r="AR31" i="33"/>
  <c r="AR30" i="33"/>
  <c r="AR29" i="33"/>
  <c r="AR28" i="33"/>
  <c r="AR27" i="33"/>
  <c r="AR26" i="33"/>
  <c r="AR25" i="33"/>
  <c r="AR24" i="33"/>
  <c r="AR23" i="33"/>
  <c r="AR22" i="33"/>
  <c r="AR21" i="33"/>
  <c r="AR20" i="33"/>
  <c r="AR19" i="33"/>
  <c r="AR18" i="33"/>
  <c r="AR17" i="33"/>
  <c r="AR16" i="33"/>
  <c r="AR15" i="33"/>
  <c r="AR14" i="33"/>
  <c r="AR13" i="33"/>
  <c r="AR12" i="33"/>
  <c r="AR11" i="33"/>
  <c r="AR10" i="33"/>
  <c r="AR9" i="33"/>
  <c r="AR8" i="33"/>
  <c r="AS7" i="33"/>
  <c r="AR7" i="33"/>
  <c r="AW36" i="33"/>
  <c r="AW35" i="33"/>
  <c r="AW34" i="33"/>
  <c r="AW33" i="33"/>
  <c r="AW32" i="33"/>
  <c r="AW31" i="33"/>
  <c r="AW30" i="33"/>
  <c r="AW29" i="33"/>
  <c r="AW28" i="33"/>
  <c r="AW27" i="33"/>
  <c r="AW26" i="33"/>
  <c r="AW25" i="33"/>
  <c r="AW24" i="33"/>
  <c r="AW23" i="33"/>
  <c r="AW22" i="33"/>
  <c r="AW21" i="33"/>
  <c r="AW20" i="33"/>
  <c r="AW19" i="33"/>
  <c r="AW18" i="33"/>
  <c r="AW17" i="33"/>
  <c r="AW16" i="33"/>
  <c r="AW15" i="33"/>
  <c r="AW14" i="33"/>
  <c r="AW13" i="33"/>
  <c r="AW12" i="33"/>
  <c r="AW11" i="33"/>
  <c r="AW10" i="33"/>
  <c r="AW9" i="33"/>
  <c r="AW8" i="33"/>
  <c r="AX7" i="33"/>
  <c r="AW7" i="33"/>
  <c r="S21" i="32"/>
  <c r="S20" i="32"/>
  <c r="S19" i="32"/>
  <c r="S18" i="32"/>
  <c r="S17" i="32"/>
  <c r="S16" i="32"/>
  <c r="S15" i="32"/>
  <c r="S14" i="32"/>
  <c r="S13" i="32"/>
  <c r="S12" i="32"/>
  <c r="S11" i="32"/>
  <c r="S10" i="32"/>
  <c r="S9" i="32"/>
  <c r="S8" i="32"/>
  <c r="T7" i="32"/>
  <c r="S7" i="32"/>
  <c r="X21" i="32"/>
  <c r="X20" i="32"/>
  <c r="X19" i="32"/>
  <c r="X18" i="32"/>
  <c r="X17" i="32"/>
  <c r="X16" i="32"/>
  <c r="X15" i="32"/>
  <c r="X14" i="32"/>
  <c r="X13" i="32"/>
  <c r="X12" i="32"/>
  <c r="X11" i="32"/>
  <c r="X10" i="32"/>
  <c r="X9" i="32"/>
  <c r="X8" i="32"/>
  <c r="Y7" i="32"/>
  <c r="X7" i="32"/>
  <c r="AC21" i="32"/>
  <c r="AC20" i="32"/>
  <c r="AC19" i="32"/>
  <c r="AC18" i="32"/>
  <c r="AC17" i="32"/>
  <c r="AC16" i="32"/>
  <c r="AC15" i="32"/>
  <c r="AC14" i="32"/>
  <c r="AC13" i="32"/>
  <c r="AC12" i="32"/>
  <c r="AC11" i="32"/>
  <c r="AC10" i="32"/>
  <c r="AC9" i="32"/>
  <c r="AC8" i="32"/>
  <c r="AD7" i="32"/>
  <c r="AC7" i="32"/>
  <c r="AH21" i="32"/>
  <c r="AH20" i="32"/>
  <c r="AH19" i="32"/>
  <c r="AH18" i="32"/>
  <c r="AH17" i="32"/>
  <c r="AH16" i="32"/>
  <c r="AH15" i="32"/>
  <c r="AH14" i="32"/>
  <c r="AH13" i="32"/>
  <c r="AH12" i="32"/>
  <c r="AH11" i="32"/>
  <c r="AH10" i="32"/>
  <c r="AH9" i="32"/>
  <c r="AH8" i="32"/>
  <c r="AI7" i="32"/>
  <c r="AH7" i="32"/>
  <c r="AM21" i="32"/>
  <c r="AM20" i="32"/>
  <c r="AM19" i="32"/>
  <c r="AM18" i="32"/>
  <c r="AM17" i="32"/>
  <c r="AM16" i="32"/>
  <c r="AM15" i="32"/>
  <c r="AM14" i="32"/>
  <c r="AM13" i="32"/>
  <c r="AM12" i="32"/>
  <c r="AM11" i="32"/>
  <c r="AM10" i="32"/>
  <c r="AM9" i="32"/>
  <c r="AM8" i="32"/>
  <c r="AN7" i="32"/>
  <c r="AM7" i="32"/>
  <c r="AR21" i="32"/>
  <c r="AR20" i="32"/>
  <c r="AR19" i="32"/>
  <c r="AR18" i="32"/>
  <c r="AR17" i="32"/>
  <c r="AR16" i="32"/>
  <c r="AR15" i="32"/>
  <c r="AR14" i="32"/>
  <c r="AR13" i="32"/>
  <c r="AR12" i="32"/>
  <c r="AR11" i="32"/>
  <c r="AR10" i="32"/>
  <c r="AR9" i="32"/>
  <c r="AR8" i="32"/>
  <c r="AS7" i="32"/>
  <c r="AR7" i="32"/>
  <c r="AW21" i="32"/>
  <c r="AW20" i="32"/>
  <c r="AW19" i="32"/>
  <c r="AW18" i="32"/>
  <c r="AW17" i="32"/>
  <c r="AW16" i="32"/>
  <c r="AW15" i="32"/>
  <c r="AW14" i="32"/>
  <c r="AW13" i="32"/>
  <c r="AW12" i="32"/>
  <c r="AW11" i="32"/>
  <c r="AW10" i="32"/>
  <c r="AW9" i="32"/>
  <c r="AW8" i="32"/>
  <c r="AX7" i="32"/>
  <c r="AW7" i="32"/>
  <c r="S21" i="30"/>
  <c r="S20" i="30"/>
  <c r="S19" i="30"/>
  <c r="S18" i="30"/>
  <c r="S17" i="30"/>
  <c r="S16" i="30"/>
  <c r="S15" i="30"/>
  <c r="S14" i="30"/>
  <c r="S13" i="30"/>
  <c r="S12" i="30"/>
  <c r="S11" i="30"/>
  <c r="S10" i="30"/>
  <c r="S9" i="30"/>
  <c r="S8" i="30"/>
  <c r="T7" i="30"/>
  <c r="S7" i="30"/>
  <c r="X21" i="30"/>
  <c r="X20" i="30"/>
  <c r="X19" i="30"/>
  <c r="X18" i="30"/>
  <c r="X17" i="30"/>
  <c r="X16" i="30"/>
  <c r="X15" i="30"/>
  <c r="X14" i="30"/>
  <c r="X13" i="30"/>
  <c r="X12" i="30"/>
  <c r="X11" i="30"/>
  <c r="X10" i="30"/>
  <c r="X9" i="30"/>
  <c r="X8" i="30"/>
  <c r="Y7" i="30"/>
  <c r="X7" i="30"/>
  <c r="AC21" i="30"/>
  <c r="AC20" i="30"/>
  <c r="AC19" i="30"/>
  <c r="AC18" i="30"/>
  <c r="AC17" i="30"/>
  <c r="AC16" i="30"/>
  <c r="AC15" i="30"/>
  <c r="AC14" i="30"/>
  <c r="AC13" i="30"/>
  <c r="AC12" i="30"/>
  <c r="AC11" i="30"/>
  <c r="AC10" i="30"/>
  <c r="AC9" i="30"/>
  <c r="AC8" i="30"/>
  <c r="AD7" i="30"/>
  <c r="AC7" i="30"/>
  <c r="AH21" i="30"/>
  <c r="AH20" i="30"/>
  <c r="AH19" i="30"/>
  <c r="AH18" i="30"/>
  <c r="AH17" i="30"/>
  <c r="AH16" i="30"/>
  <c r="AH15" i="30"/>
  <c r="AH14" i="30"/>
  <c r="AH13" i="30"/>
  <c r="AH12" i="30"/>
  <c r="AH11" i="30"/>
  <c r="AH10" i="30"/>
  <c r="AH9" i="30"/>
  <c r="AH8" i="30"/>
  <c r="AI7" i="30"/>
  <c r="AH7" i="30"/>
  <c r="AM21" i="30"/>
  <c r="AM20" i="30"/>
  <c r="AM19" i="30"/>
  <c r="AM18" i="30"/>
  <c r="AM17" i="30"/>
  <c r="AM16" i="30"/>
  <c r="AM15" i="30"/>
  <c r="AM14" i="30"/>
  <c r="AM13" i="30"/>
  <c r="AM12" i="30"/>
  <c r="AM11" i="30"/>
  <c r="AM10" i="30"/>
  <c r="AM9" i="30"/>
  <c r="AM8" i="30"/>
  <c r="AN7" i="30"/>
  <c r="AM7" i="30"/>
  <c r="AR21" i="30"/>
  <c r="AR20" i="30"/>
  <c r="AR19" i="30"/>
  <c r="AR18" i="30"/>
  <c r="AR17" i="30"/>
  <c r="AR16" i="30"/>
  <c r="AR15" i="30"/>
  <c r="AR14" i="30"/>
  <c r="AR13" i="30"/>
  <c r="AR12" i="30"/>
  <c r="AR11" i="30"/>
  <c r="AR10" i="30"/>
  <c r="AR9" i="30"/>
  <c r="AR8" i="30"/>
  <c r="AS7" i="30"/>
  <c r="AR7" i="30"/>
  <c r="AW21" i="30"/>
  <c r="AW20" i="30"/>
  <c r="AW19" i="30"/>
  <c r="AW18" i="30"/>
  <c r="AW17" i="30"/>
  <c r="AW16" i="30"/>
  <c r="AW15" i="30"/>
  <c r="AW14" i="30"/>
  <c r="AW13" i="30"/>
  <c r="AW12" i="30"/>
  <c r="AW11" i="30"/>
  <c r="AW10" i="30"/>
  <c r="AW9" i="30"/>
  <c r="AW8" i="30"/>
  <c r="AX7" i="30"/>
  <c r="AW7" i="30"/>
  <c r="S36" i="8"/>
  <c r="S35" i="8"/>
  <c r="S34" i="8"/>
  <c r="S33" i="8"/>
  <c r="S32" i="8"/>
  <c r="S31" i="8"/>
  <c r="S30" i="8"/>
  <c r="S29" i="8"/>
  <c r="S28" i="8"/>
  <c r="S27" i="8"/>
  <c r="S26" i="8"/>
  <c r="S25" i="8"/>
  <c r="S24" i="8"/>
  <c r="S23" i="8"/>
  <c r="S22" i="8"/>
  <c r="S21" i="8"/>
  <c r="S20" i="8"/>
  <c r="S19" i="8"/>
  <c r="S18" i="8"/>
  <c r="S17" i="8"/>
  <c r="S16" i="8"/>
  <c r="S15" i="8"/>
  <c r="S14" i="8"/>
  <c r="S13" i="8"/>
  <c r="S12" i="8"/>
  <c r="S11" i="8"/>
  <c r="S10" i="8"/>
  <c r="S9" i="8"/>
  <c r="S8" i="8"/>
  <c r="T7" i="8"/>
  <c r="S7" i="8"/>
  <c r="X36" i="8"/>
  <c r="X35" i="8"/>
  <c r="X34" i="8"/>
  <c r="X33" i="8"/>
  <c r="X32" i="8"/>
  <c r="X31" i="8"/>
  <c r="X30" i="8"/>
  <c r="X29" i="8"/>
  <c r="X28" i="8"/>
  <c r="X27" i="8"/>
  <c r="X26" i="8"/>
  <c r="X25" i="8"/>
  <c r="X24" i="8"/>
  <c r="X23" i="8"/>
  <c r="X22" i="8"/>
  <c r="X21" i="8"/>
  <c r="X20" i="8"/>
  <c r="X19" i="8"/>
  <c r="X18" i="8"/>
  <c r="X17" i="8"/>
  <c r="X16" i="8"/>
  <c r="X15" i="8"/>
  <c r="X14" i="8"/>
  <c r="X13" i="8"/>
  <c r="X12" i="8"/>
  <c r="X11" i="8"/>
  <c r="X10" i="8"/>
  <c r="X9" i="8"/>
  <c r="X8" i="8"/>
  <c r="Y7" i="8"/>
  <c r="X7" i="8"/>
  <c r="AC36" i="8"/>
  <c r="AC35" i="8"/>
  <c r="AC34" i="8"/>
  <c r="AC33" i="8"/>
  <c r="AC32" i="8"/>
  <c r="AC31" i="8"/>
  <c r="AC30" i="8"/>
  <c r="AC29" i="8"/>
  <c r="AC28" i="8"/>
  <c r="AC27" i="8"/>
  <c r="AC26" i="8"/>
  <c r="AC25" i="8"/>
  <c r="AC24" i="8"/>
  <c r="AC23" i="8"/>
  <c r="AC22" i="8"/>
  <c r="AC21" i="8"/>
  <c r="AC20" i="8"/>
  <c r="AC19" i="8"/>
  <c r="AC18" i="8"/>
  <c r="AC17" i="8"/>
  <c r="AC16" i="8"/>
  <c r="AC15" i="8"/>
  <c r="AC14" i="8"/>
  <c r="AC13" i="8"/>
  <c r="AC12" i="8"/>
  <c r="AC11" i="8"/>
  <c r="AC10" i="8"/>
  <c r="AC9" i="8"/>
  <c r="AC8" i="8"/>
  <c r="AD7" i="8"/>
  <c r="AC7" i="8"/>
  <c r="AH36" i="8"/>
  <c r="AH35" i="8"/>
  <c r="AH34" i="8"/>
  <c r="AH33" i="8"/>
  <c r="AH32" i="8"/>
  <c r="AH31" i="8"/>
  <c r="AH30" i="8"/>
  <c r="AH29" i="8"/>
  <c r="AH28" i="8"/>
  <c r="AH27" i="8"/>
  <c r="AH26" i="8"/>
  <c r="AH25" i="8"/>
  <c r="AH24" i="8"/>
  <c r="AH23" i="8"/>
  <c r="AH22" i="8"/>
  <c r="AH21" i="8"/>
  <c r="AH20" i="8"/>
  <c r="AH19" i="8"/>
  <c r="AH18" i="8"/>
  <c r="AH17" i="8"/>
  <c r="AH16" i="8"/>
  <c r="AH15" i="8"/>
  <c r="AH14" i="8"/>
  <c r="AH13" i="8"/>
  <c r="AH12" i="8"/>
  <c r="AH11" i="8"/>
  <c r="AH10" i="8"/>
  <c r="AH9" i="8"/>
  <c r="AH8" i="8"/>
  <c r="AI7" i="8"/>
  <c r="AH7" i="8"/>
  <c r="AM36" i="8"/>
  <c r="AM35" i="8"/>
  <c r="AM34" i="8"/>
  <c r="AM33" i="8"/>
  <c r="AM32" i="8"/>
  <c r="AM31" i="8"/>
  <c r="AM30" i="8"/>
  <c r="AM29" i="8"/>
  <c r="AM28" i="8"/>
  <c r="AM27" i="8"/>
  <c r="AM26" i="8"/>
  <c r="AM25" i="8"/>
  <c r="AM24" i="8"/>
  <c r="AM23" i="8"/>
  <c r="AM22" i="8"/>
  <c r="AM21" i="8"/>
  <c r="AM20" i="8"/>
  <c r="AM19" i="8"/>
  <c r="AM18" i="8"/>
  <c r="AM17" i="8"/>
  <c r="AM16" i="8"/>
  <c r="AM15" i="8"/>
  <c r="AM14" i="8"/>
  <c r="AM13" i="8"/>
  <c r="AM12" i="8"/>
  <c r="AM11" i="8"/>
  <c r="AM10" i="8"/>
  <c r="AM9" i="8"/>
  <c r="AM8" i="8"/>
  <c r="AN7" i="8"/>
  <c r="AM7" i="8"/>
  <c r="AR36" i="8"/>
  <c r="AR35" i="8"/>
  <c r="AR34" i="8"/>
  <c r="AR33" i="8"/>
  <c r="AR32" i="8"/>
  <c r="AR31" i="8"/>
  <c r="AR30" i="8"/>
  <c r="AR29" i="8"/>
  <c r="AR28" i="8"/>
  <c r="AR27" i="8"/>
  <c r="AR26" i="8"/>
  <c r="AR25" i="8"/>
  <c r="AR24" i="8"/>
  <c r="AR23" i="8"/>
  <c r="AR22" i="8"/>
  <c r="AR21" i="8"/>
  <c r="AR20" i="8"/>
  <c r="AR19" i="8"/>
  <c r="AR18" i="8"/>
  <c r="AR17" i="8"/>
  <c r="AR16" i="8"/>
  <c r="AR15" i="8"/>
  <c r="AR14" i="8"/>
  <c r="AR13" i="8"/>
  <c r="AR12" i="8"/>
  <c r="AR11" i="8"/>
  <c r="AR10" i="8"/>
  <c r="AR9" i="8"/>
  <c r="AR8" i="8"/>
  <c r="AS7" i="8"/>
  <c r="AR7" i="8"/>
  <c r="AW36" i="8"/>
  <c r="AW35" i="8"/>
  <c r="AW34" i="8"/>
  <c r="AW33" i="8"/>
  <c r="AW32" i="8"/>
  <c r="AW31" i="8"/>
  <c r="AW30" i="8"/>
  <c r="AW29" i="8"/>
  <c r="AW28" i="8"/>
  <c r="AW27" i="8"/>
  <c r="AW26" i="8"/>
  <c r="AW25" i="8"/>
  <c r="AW24" i="8"/>
  <c r="AW23" i="8"/>
  <c r="AW22" i="8"/>
  <c r="AW21" i="8"/>
  <c r="AW20" i="8"/>
  <c r="AW19" i="8"/>
  <c r="AW18" i="8"/>
  <c r="AW17" i="8"/>
  <c r="AW16" i="8"/>
  <c r="AW15" i="8"/>
  <c r="AW14" i="8"/>
  <c r="AW13" i="8"/>
  <c r="AW12" i="8"/>
  <c r="AW11" i="8"/>
  <c r="AW10" i="8"/>
  <c r="AW9" i="8"/>
  <c r="AW8" i="8"/>
  <c r="AX7" i="8"/>
  <c r="AW7" i="8"/>
  <c r="H23" i="39"/>
  <c r="H22" i="39"/>
  <c r="H21" i="39"/>
  <c r="H20" i="39"/>
  <c r="H19" i="39"/>
  <c r="H18" i="39"/>
  <c r="H17" i="39"/>
  <c r="H16" i="39"/>
  <c r="H15" i="39"/>
  <c r="B23" i="39"/>
  <c r="B22" i="39"/>
  <c r="B21" i="39"/>
  <c r="B20" i="39"/>
  <c r="B19" i="39"/>
  <c r="B18" i="39"/>
  <c r="B17" i="39"/>
  <c r="B16" i="39"/>
  <c r="B15" i="39"/>
  <c r="U2" i="8" l="1"/>
  <c r="Z2" i="8" s="1"/>
  <c r="AE2" i="8" s="1"/>
  <c r="AZ48" i="30" l="1"/>
  <c r="AZ49" i="30"/>
  <c r="AZ50" i="30"/>
  <c r="AZ51" i="30"/>
  <c r="AZ52" i="30"/>
  <c r="AZ53" i="30"/>
  <c r="AZ54" i="30"/>
  <c r="AZ55" i="30"/>
  <c r="AZ56" i="30"/>
  <c r="AZ57" i="30"/>
  <c r="AZ58" i="30"/>
  <c r="AZ59" i="30"/>
  <c r="AZ60" i="30"/>
  <c r="AZ61" i="30"/>
  <c r="K20" i="35" l="1"/>
  <c r="M20" i="35" s="1"/>
  <c r="J20" i="35"/>
  <c r="I20" i="35"/>
  <c r="K19" i="35"/>
  <c r="M19" i="35" s="1"/>
  <c r="J19" i="35"/>
  <c r="I19" i="35"/>
  <c r="K18" i="35"/>
  <c r="M18" i="35" s="1"/>
  <c r="J18" i="35"/>
  <c r="I18" i="35"/>
  <c r="K17" i="35"/>
  <c r="M17" i="35" s="1"/>
  <c r="J17" i="35"/>
  <c r="I17" i="35"/>
  <c r="K16" i="35"/>
  <c r="M16" i="35" s="1"/>
  <c r="J16" i="35"/>
  <c r="I16" i="35"/>
  <c r="K15" i="35"/>
  <c r="M15" i="35" s="1"/>
  <c r="J15" i="35"/>
  <c r="I15" i="35"/>
  <c r="K14" i="35"/>
  <c r="M14" i="35" s="1"/>
  <c r="J14" i="35"/>
  <c r="I14" i="35"/>
  <c r="K13" i="35"/>
  <c r="J13" i="35"/>
  <c r="I13" i="35"/>
  <c r="K12" i="35"/>
  <c r="J12" i="35"/>
  <c r="I12" i="35"/>
  <c r="K11" i="35"/>
  <c r="J11" i="35"/>
  <c r="I11" i="35"/>
  <c r="K10" i="35"/>
  <c r="J10" i="35"/>
  <c r="I10" i="35"/>
  <c r="K9" i="35"/>
  <c r="J9" i="35"/>
  <c r="I9" i="35"/>
  <c r="K8" i="35"/>
  <c r="J8" i="35"/>
  <c r="I8" i="35"/>
  <c r="K7" i="35"/>
  <c r="J7" i="35"/>
  <c r="I7" i="35"/>
  <c r="H7" i="35"/>
  <c r="K20" i="36"/>
  <c r="M20" i="36" s="1"/>
  <c r="J20" i="36"/>
  <c r="I20" i="36"/>
  <c r="K19" i="36"/>
  <c r="M19" i="36" s="1"/>
  <c r="J19" i="36"/>
  <c r="I19" i="36"/>
  <c r="K18" i="36"/>
  <c r="J18" i="36"/>
  <c r="I18" i="36"/>
  <c r="K17" i="36"/>
  <c r="J17" i="36"/>
  <c r="I17" i="36"/>
  <c r="K16" i="36"/>
  <c r="J16" i="36"/>
  <c r="I16" i="36"/>
  <c r="K15" i="36"/>
  <c r="J15" i="36"/>
  <c r="I15" i="36"/>
  <c r="K14" i="36"/>
  <c r="J14" i="36"/>
  <c r="I14" i="36"/>
  <c r="K13" i="36"/>
  <c r="J13" i="36"/>
  <c r="I13" i="36"/>
  <c r="K12" i="36"/>
  <c r="J12" i="36"/>
  <c r="I12" i="36"/>
  <c r="K11" i="36"/>
  <c r="J11" i="36"/>
  <c r="I11" i="36"/>
  <c r="K10" i="36"/>
  <c r="J10" i="36"/>
  <c r="I10" i="36"/>
  <c r="K9" i="36"/>
  <c r="J9" i="36"/>
  <c r="I9" i="36"/>
  <c r="K8" i="36"/>
  <c r="J8" i="36"/>
  <c r="I8" i="36"/>
  <c r="K7" i="36"/>
  <c r="J7" i="36"/>
  <c r="I7" i="36"/>
  <c r="H7" i="36"/>
  <c r="K20" i="37"/>
  <c r="M20" i="37" s="1"/>
  <c r="J20" i="37"/>
  <c r="I20" i="37"/>
  <c r="K19" i="37"/>
  <c r="M19" i="37" s="1"/>
  <c r="J19" i="37"/>
  <c r="I19" i="37"/>
  <c r="K18" i="37"/>
  <c r="M18" i="37" s="1"/>
  <c r="J18" i="37"/>
  <c r="I18" i="37"/>
  <c r="K17" i="37"/>
  <c r="M17" i="37" s="1"/>
  <c r="J17" i="37"/>
  <c r="I17" i="37"/>
  <c r="K16" i="37"/>
  <c r="J16" i="37"/>
  <c r="I16" i="37"/>
  <c r="K15" i="37"/>
  <c r="J15" i="37"/>
  <c r="I15" i="37"/>
  <c r="K14" i="37"/>
  <c r="J14" i="37"/>
  <c r="I14" i="37"/>
  <c r="K13" i="37"/>
  <c r="J13" i="37"/>
  <c r="I13" i="37"/>
  <c r="K12" i="37"/>
  <c r="J12" i="37"/>
  <c r="I12" i="37"/>
  <c r="K11" i="37"/>
  <c r="J11" i="37"/>
  <c r="I11" i="37"/>
  <c r="K10" i="37"/>
  <c r="J10" i="37"/>
  <c r="I10" i="37"/>
  <c r="K9" i="37"/>
  <c r="J9" i="37"/>
  <c r="I9" i="37"/>
  <c r="K8" i="37"/>
  <c r="J8" i="37"/>
  <c r="I8" i="37"/>
  <c r="K7" i="37"/>
  <c r="J7" i="37"/>
  <c r="I7" i="37"/>
  <c r="H7" i="37"/>
  <c r="K21" i="34"/>
  <c r="M21" i="34" s="1"/>
  <c r="J21" i="34"/>
  <c r="I21" i="34"/>
  <c r="K20" i="34"/>
  <c r="M20" i="34" s="1"/>
  <c r="J20" i="34"/>
  <c r="I20" i="34"/>
  <c r="K19" i="34"/>
  <c r="J19" i="34"/>
  <c r="I19" i="34"/>
  <c r="K18" i="34"/>
  <c r="J18" i="34"/>
  <c r="I18" i="34"/>
  <c r="K17" i="34"/>
  <c r="J17" i="34"/>
  <c r="I17" i="34"/>
  <c r="K16" i="34"/>
  <c r="J16" i="34"/>
  <c r="I16" i="34"/>
  <c r="K15" i="34"/>
  <c r="J15" i="34"/>
  <c r="I15" i="34"/>
  <c r="K14" i="34"/>
  <c r="J14" i="34"/>
  <c r="I14" i="34"/>
  <c r="K13" i="34"/>
  <c r="J13" i="34"/>
  <c r="I13" i="34"/>
  <c r="K12" i="34"/>
  <c r="J12" i="34"/>
  <c r="I12" i="34"/>
  <c r="K11" i="34"/>
  <c r="J11" i="34"/>
  <c r="I11" i="34"/>
  <c r="K10" i="34"/>
  <c r="J10" i="34"/>
  <c r="I10" i="34"/>
  <c r="K9" i="34"/>
  <c r="J9" i="34"/>
  <c r="I9" i="34"/>
  <c r="K8" i="34"/>
  <c r="J8" i="34"/>
  <c r="I8" i="34"/>
  <c r="K7" i="34"/>
  <c r="J7" i="34"/>
  <c r="I7" i="34"/>
  <c r="H7" i="34"/>
  <c r="K20" i="32"/>
  <c r="M20" i="32" s="1"/>
  <c r="J20" i="32"/>
  <c r="I20" i="32"/>
  <c r="K19" i="32"/>
  <c r="M19" i="32" s="1"/>
  <c r="J19" i="32"/>
  <c r="I19" i="32"/>
  <c r="K18" i="32"/>
  <c r="M18" i="32" s="1"/>
  <c r="J18" i="32"/>
  <c r="I18" i="32"/>
  <c r="K17" i="32"/>
  <c r="M17" i="32" s="1"/>
  <c r="J17" i="32"/>
  <c r="I17" i="32"/>
  <c r="K16" i="32"/>
  <c r="M16" i="32" s="1"/>
  <c r="J16" i="32"/>
  <c r="I16" i="32"/>
  <c r="K15" i="32"/>
  <c r="J15" i="32"/>
  <c r="I15" i="32"/>
  <c r="K14" i="32"/>
  <c r="J14" i="32"/>
  <c r="I14" i="32"/>
  <c r="K13" i="32"/>
  <c r="J13" i="32"/>
  <c r="I13" i="32"/>
  <c r="K12" i="32"/>
  <c r="J12" i="32"/>
  <c r="I12" i="32"/>
  <c r="K11" i="32"/>
  <c r="J11" i="32"/>
  <c r="I11" i="32"/>
  <c r="K10" i="32"/>
  <c r="J10" i="32"/>
  <c r="I10" i="32"/>
  <c r="K9" i="32"/>
  <c r="J9" i="32"/>
  <c r="I9" i="32"/>
  <c r="K8" i="32"/>
  <c r="J8" i="32"/>
  <c r="I8" i="32"/>
  <c r="K7" i="32"/>
  <c r="J7" i="32"/>
  <c r="I7" i="32"/>
  <c r="H7" i="32"/>
  <c r="K20" i="31"/>
  <c r="M20" i="31" s="1"/>
  <c r="J20" i="31"/>
  <c r="I20" i="31"/>
  <c r="K19" i="31"/>
  <c r="M19" i="31" s="1"/>
  <c r="J19" i="31"/>
  <c r="I19" i="31"/>
  <c r="K18" i="31"/>
  <c r="M18" i="31" s="1"/>
  <c r="J18" i="31"/>
  <c r="I18" i="31"/>
  <c r="K17" i="31"/>
  <c r="M17" i="31" s="1"/>
  <c r="J17" i="31"/>
  <c r="I17" i="31"/>
  <c r="K16" i="31"/>
  <c r="M16" i="31" s="1"/>
  <c r="J16" i="31"/>
  <c r="I16" i="31"/>
  <c r="K15" i="31"/>
  <c r="M15" i="31" s="1"/>
  <c r="J15" i="31"/>
  <c r="I15" i="31"/>
  <c r="K14" i="31"/>
  <c r="M14" i="31" s="1"/>
  <c r="J14" i="31"/>
  <c r="I14" i="31"/>
  <c r="K13" i="31"/>
  <c r="M13" i="31" s="1"/>
  <c r="J13" i="31"/>
  <c r="I13" i="31"/>
  <c r="K12" i="31"/>
  <c r="M12" i="31" s="1"/>
  <c r="J12" i="31"/>
  <c r="I12" i="31"/>
  <c r="K11" i="31"/>
  <c r="M11" i="31" s="1"/>
  <c r="J11" i="31"/>
  <c r="I11" i="31"/>
  <c r="K10" i="31"/>
  <c r="M10" i="31" s="1"/>
  <c r="J10" i="31"/>
  <c r="I10" i="31"/>
  <c r="K9" i="31"/>
  <c r="M9" i="31" s="1"/>
  <c r="J9" i="31"/>
  <c r="I9" i="31"/>
  <c r="K8" i="31"/>
  <c r="J8" i="31"/>
  <c r="I8" i="31"/>
  <c r="K7" i="31"/>
  <c r="J7" i="31"/>
  <c r="I7" i="31"/>
  <c r="H7" i="31"/>
  <c r="K21" i="30"/>
  <c r="M21" i="30" s="1"/>
  <c r="J21" i="30"/>
  <c r="I21" i="30"/>
  <c r="K20" i="30"/>
  <c r="M20" i="30" s="1"/>
  <c r="J20" i="30"/>
  <c r="I20" i="30"/>
  <c r="K19" i="30"/>
  <c r="M19" i="30" s="1"/>
  <c r="J19" i="30"/>
  <c r="I19" i="30"/>
  <c r="K18" i="30"/>
  <c r="M18" i="30" s="1"/>
  <c r="J18" i="30"/>
  <c r="I18" i="30"/>
  <c r="K17" i="30"/>
  <c r="M17" i="30" s="1"/>
  <c r="J17" i="30"/>
  <c r="I17" i="30"/>
  <c r="K16" i="30"/>
  <c r="M16" i="30" s="1"/>
  <c r="J16" i="30"/>
  <c r="I16" i="30"/>
  <c r="K15" i="30"/>
  <c r="M15" i="30" s="1"/>
  <c r="J15" i="30"/>
  <c r="I15" i="30"/>
  <c r="K14" i="30"/>
  <c r="M14" i="30" s="1"/>
  <c r="J14" i="30"/>
  <c r="I14" i="30"/>
  <c r="K13" i="30"/>
  <c r="M13" i="30" s="1"/>
  <c r="J13" i="30"/>
  <c r="I13" i="30"/>
  <c r="K12" i="30"/>
  <c r="M12" i="30" s="1"/>
  <c r="J12" i="30"/>
  <c r="I12" i="30"/>
  <c r="K11" i="30"/>
  <c r="M11" i="30" s="1"/>
  <c r="J11" i="30"/>
  <c r="I11" i="30"/>
  <c r="K10" i="30"/>
  <c r="J10" i="30"/>
  <c r="I10" i="30"/>
  <c r="K9" i="30"/>
  <c r="J9" i="30"/>
  <c r="I9" i="30"/>
  <c r="K8" i="30"/>
  <c r="J8" i="30"/>
  <c r="I8" i="30"/>
  <c r="K7" i="30"/>
  <c r="J7" i="30"/>
  <c r="I7" i="30"/>
  <c r="H7" i="30"/>
  <c r="K36" i="33"/>
  <c r="M36" i="33" s="1"/>
  <c r="J36" i="33"/>
  <c r="I36" i="33"/>
  <c r="K35" i="33"/>
  <c r="M35" i="33" s="1"/>
  <c r="J35" i="33"/>
  <c r="I35" i="33"/>
  <c r="K34" i="33"/>
  <c r="M34" i="33" s="1"/>
  <c r="J34" i="33"/>
  <c r="I34" i="33"/>
  <c r="K33" i="33"/>
  <c r="M33" i="33" s="1"/>
  <c r="J33" i="33"/>
  <c r="I33" i="33"/>
  <c r="K32" i="33"/>
  <c r="M32" i="33" s="1"/>
  <c r="J32" i="33"/>
  <c r="I32" i="33"/>
  <c r="K31" i="33"/>
  <c r="J31" i="33"/>
  <c r="I31" i="33"/>
  <c r="K30" i="33"/>
  <c r="J30" i="33"/>
  <c r="I30" i="33"/>
  <c r="K29" i="33"/>
  <c r="J29" i="33"/>
  <c r="I29" i="33"/>
  <c r="K28" i="33"/>
  <c r="J28" i="33"/>
  <c r="I28" i="33"/>
  <c r="K27" i="33"/>
  <c r="J27" i="33"/>
  <c r="I27" i="33"/>
  <c r="K26" i="33"/>
  <c r="J26" i="33"/>
  <c r="I26" i="33"/>
  <c r="K25" i="33"/>
  <c r="J25" i="33"/>
  <c r="I25" i="33"/>
  <c r="K24" i="33"/>
  <c r="J24" i="33"/>
  <c r="I24" i="33"/>
  <c r="K23" i="33"/>
  <c r="J23" i="33"/>
  <c r="I23" i="33"/>
  <c r="K22" i="33"/>
  <c r="J22" i="33"/>
  <c r="I22" i="33"/>
  <c r="K21" i="33"/>
  <c r="J21" i="33"/>
  <c r="I21" i="33"/>
  <c r="K20" i="33"/>
  <c r="J20" i="33"/>
  <c r="I20" i="33"/>
  <c r="K19" i="33"/>
  <c r="J19" i="33"/>
  <c r="I19" i="33"/>
  <c r="K18" i="33"/>
  <c r="J18" i="33"/>
  <c r="I18" i="33"/>
  <c r="K17" i="33"/>
  <c r="J17" i="33"/>
  <c r="I17" i="33"/>
  <c r="K16" i="33"/>
  <c r="J16" i="33"/>
  <c r="I16" i="33"/>
  <c r="K15" i="33"/>
  <c r="J15" i="33"/>
  <c r="I15" i="33"/>
  <c r="K14" i="33"/>
  <c r="J14" i="33"/>
  <c r="I14" i="33"/>
  <c r="K13" i="33"/>
  <c r="J13" i="33"/>
  <c r="I13" i="33"/>
  <c r="K12" i="33"/>
  <c r="J12" i="33"/>
  <c r="I12" i="33"/>
  <c r="K11" i="33"/>
  <c r="J11" i="33"/>
  <c r="I11" i="33"/>
  <c r="K10" i="33"/>
  <c r="J10" i="33"/>
  <c r="I10" i="33"/>
  <c r="K9" i="33"/>
  <c r="J9" i="33"/>
  <c r="I9" i="33"/>
  <c r="K8" i="33"/>
  <c r="J8" i="33"/>
  <c r="I8" i="33"/>
  <c r="K7" i="33"/>
  <c r="J7" i="33"/>
  <c r="I7" i="33"/>
  <c r="H7" i="33"/>
  <c r="K36" i="8"/>
  <c r="M36" i="8" s="1"/>
  <c r="J36" i="8"/>
  <c r="I36" i="8"/>
  <c r="K35" i="8"/>
  <c r="M35" i="8" s="1"/>
  <c r="J35" i="8"/>
  <c r="I35" i="8"/>
  <c r="K34" i="8"/>
  <c r="M34" i="8" s="1"/>
  <c r="J34" i="8"/>
  <c r="I34" i="8"/>
  <c r="K33" i="8"/>
  <c r="M33" i="8" s="1"/>
  <c r="J33" i="8"/>
  <c r="I33" i="8"/>
  <c r="K32" i="8"/>
  <c r="M32" i="8" s="1"/>
  <c r="J32" i="8"/>
  <c r="I32" i="8"/>
  <c r="K31" i="8"/>
  <c r="J31" i="8"/>
  <c r="I31" i="8"/>
  <c r="K30" i="8"/>
  <c r="J30" i="8"/>
  <c r="I30" i="8"/>
  <c r="K29" i="8"/>
  <c r="J29" i="8"/>
  <c r="I29" i="8"/>
  <c r="K28" i="8"/>
  <c r="J28" i="8"/>
  <c r="I28" i="8"/>
  <c r="K27" i="8"/>
  <c r="J27" i="8"/>
  <c r="I27" i="8"/>
  <c r="K26" i="8"/>
  <c r="J26" i="8"/>
  <c r="I26" i="8"/>
  <c r="K25" i="8"/>
  <c r="J25" i="8"/>
  <c r="I25" i="8"/>
  <c r="K24" i="8"/>
  <c r="J24" i="8"/>
  <c r="I24" i="8"/>
  <c r="K23" i="8"/>
  <c r="J23" i="8"/>
  <c r="I23" i="8"/>
  <c r="K22" i="8"/>
  <c r="J22" i="8"/>
  <c r="I22" i="8"/>
  <c r="K21" i="8"/>
  <c r="J21" i="8"/>
  <c r="I21" i="8"/>
  <c r="K20" i="8"/>
  <c r="J20" i="8"/>
  <c r="I20" i="8"/>
  <c r="K19" i="8"/>
  <c r="J19" i="8"/>
  <c r="I19" i="8"/>
  <c r="K18" i="8"/>
  <c r="J18" i="8"/>
  <c r="I18" i="8"/>
  <c r="K17" i="8"/>
  <c r="J17" i="8"/>
  <c r="I17" i="8"/>
  <c r="K16" i="8"/>
  <c r="J16" i="8"/>
  <c r="I16" i="8"/>
  <c r="K15" i="8"/>
  <c r="J15" i="8"/>
  <c r="I15" i="8"/>
  <c r="K14" i="8"/>
  <c r="J14" i="8"/>
  <c r="I14" i="8"/>
  <c r="K13" i="8"/>
  <c r="J13" i="8"/>
  <c r="I13" i="8"/>
  <c r="K12" i="8"/>
  <c r="J12" i="8"/>
  <c r="I12" i="8"/>
  <c r="K11" i="8"/>
  <c r="J11" i="8"/>
  <c r="I11" i="8"/>
  <c r="K10" i="8"/>
  <c r="J10" i="8"/>
  <c r="I10" i="8"/>
  <c r="K9" i="8"/>
  <c r="J9" i="8"/>
  <c r="I9" i="8"/>
  <c r="K8" i="8"/>
  <c r="J8" i="8"/>
  <c r="I8" i="8"/>
  <c r="K7" i="8"/>
  <c r="J7" i="8"/>
  <c r="I7" i="8"/>
  <c r="H7" i="8"/>
  <c r="U2" i="33"/>
  <c r="Z2" i="33" s="1"/>
  <c r="AE2" i="33" s="1"/>
  <c r="AJ2" i="33" s="1"/>
  <c r="AO2" i="33" s="1"/>
  <c r="AT2" i="33" s="1"/>
  <c r="AJ2" i="8"/>
  <c r="AO2" i="8" s="1"/>
  <c r="AT2" i="8" s="1"/>
  <c r="D8" i="6"/>
  <c r="D9" i="6" s="1"/>
  <c r="D10" i="6" s="1"/>
  <c r="D11" i="6" s="1"/>
  <c r="D12" i="6" s="1"/>
  <c r="D13" i="6" s="1"/>
  <c r="D14" i="6" s="1"/>
  <c r="D15" i="6" s="1"/>
  <c r="D16" i="6" s="1"/>
  <c r="D17" i="6" s="1"/>
  <c r="D18" i="6" s="1"/>
  <c r="D19" i="6" s="1"/>
  <c r="D20" i="6" s="1"/>
  <c r="D21" i="6" s="1"/>
  <c r="D22" i="6" s="1"/>
  <c r="D23" i="6" s="1"/>
  <c r="D24" i="6" s="1"/>
  <c r="D25" i="6" s="1"/>
  <c r="D26" i="6" s="1"/>
  <c r="D27" i="6" s="1"/>
  <c r="D28" i="6" s="1"/>
  <c r="D29" i="6" s="1"/>
  <c r="D30" i="6" s="1"/>
  <c r="D31" i="6" s="1"/>
  <c r="D32" i="6" s="1"/>
  <c r="D33" i="6" s="1"/>
  <c r="D34" i="6" s="1"/>
  <c r="D35" i="6" s="1"/>
  <c r="D36" i="6" s="1"/>
  <c r="D37" i="6" s="1"/>
  <c r="D38" i="6" s="1"/>
  <c r="D39" i="6" s="1"/>
  <c r="D40" i="6" s="1"/>
  <c r="D41" i="6" s="1"/>
  <c r="AC13" i="6"/>
  <c r="S13" i="6"/>
  <c r="M13" i="6"/>
  <c r="AC12" i="6"/>
  <c r="S12" i="6"/>
  <c r="M12" i="6"/>
  <c r="AC11" i="6"/>
  <c r="S11" i="6"/>
  <c r="M11" i="6"/>
  <c r="AC10" i="6"/>
  <c r="S10" i="6"/>
  <c r="M10" i="6"/>
  <c r="AC9" i="6"/>
  <c r="S9" i="6"/>
  <c r="M9" i="6"/>
  <c r="AC8" i="6"/>
  <c r="S8" i="6"/>
  <c r="M8" i="6"/>
  <c r="AC7" i="6"/>
  <c r="S7" i="6"/>
  <c r="M7" i="6"/>
  <c r="D8" i="7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AC13" i="7"/>
  <c r="S13" i="7"/>
  <c r="M13" i="7"/>
  <c r="AC12" i="7"/>
  <c r="S12" i="7"/>
  <c r="M12" i="7"/>
  <c r="AC11" i="7"/>
  <c r="S11" i="7"/>
  <c r="M11" i="7"/>
  <c r="AC10" i="7"/>
  <c r="S10" i="7"/>
  <c r="M10" i="7"/>
  <c r="AC9" i="7"/>
  <c r="S9" i="7"/>
  <c r="M9" i="7"/>
  <c r="AC8" i="7"/>
  <c r="S8" i="7"/>
  <c r="M8" i="7"/>
  <c r="AC7" i="7"/>
  <c r="S7" i="7"/>
  <c r="M7" i="7"/>
  <c r="D6" i="5"/>
  <c r="D7" i="5" s="1"/>
  <c r="D8" i="5" s="1"/>
  <c r="D9" i="5" s="1"/>
  <c r="D10" i="5" s="1"/>
  <c r="D11" i="5" s="1"/>
  <c r="D12" i="5" s="1"/>
  <c r="D13" i="5" s="1"/>
  <c r="D14" i="5" s="1"/>
  <c r="D15" i="5" s="1"/>
  <c r="D16" i="5" s="1"/>
  <c r="D17" i="5" s="1"/>
  <c r="D18" i="5" s="1"/>
  <c r="D19" i="5" s="1"/>
  <c r="D20" i="5" s="1"/>
  <c r="D21" i="5" s="1"/>
  <c r="D22" i="5" s="1"/>
  <c r="D23" i="5" s="1"/>
  <c r="D24" i="5" s="1"/>
  <c r="D25" i="5" s="1"/>
  <c r="D26" i="5" s="1"/>
  <c r="D27" i="5" s="1"/>
  <c r="D28" i="5" s="1"/>
  <c r="D29" i="5" s="1"/>
  <c r="D30" i="5" s="1"/>
  <c r="D31" i="5" s="1"/>
  <c r="D32" i="5" s="1"/>
  <c r="D33" i="5" s="1"/>
  <c r="D34" i="5" s="1"/>
  <c r="D35" i="5" s="1"/>
  <c r="D36" i="5" s="1"/>
  <c r="D37" i="5" s="1"/>
  <c r="D38" i="5" s="1"/>
  <c r="D39" i="5" s="1"/>
  <c r="D6" i="3"/>
  <c r="D7" i="3" s="1"/>
  <c r="D8" i="3" s="1"/>
  <c r="D9" i="3" s="1"/>
  <c r="D10" i="3" s="1"/>
  <c r="D11" i="3" s="1"/>
  <c r="M11" i="37" l="1"/>
  <c r="M9" i="36"/>
  <c r="M13" i="35"/>
  <c r="M12" i="35"/>
  <c r="M31" i="33"/>
  <c r="M9" i="33"/>
  <c r="M8" i="32"/>
  <c r="M11" i="8"/>
  <c r="M11" i="35"/>
  <c r="M15" i="8"/>
  <c r="M25" i="33"/>
  <c r="M29" i="33"/>
  <c r="M12" i="32"/>
  <c r="M10" i="34"/>
  <c r="M14" i="34"/>
  <c r="M15" i="37"/>
  <c r="M13" i="36"/>
  <c r="M17" i="36"/>
  <c r="M10" i="8"/>
  <c r="M14" i="8"/>
  <c r="M18" i="8"/>
  <c r="M22" i="8"/>
  <c r="M26" i="8"/>
  <c r="M30" i="8"/>
  <c r="M8" i="33"/>
  <c r="M12" i="33"/>
  <c r="M16" i="33"/>
  <c r="M20" i="33"/>
  <c r="M24" i="33"/>
  <c r="M28" i="33"/>
  <c r="M7" i="30"/>
  <c r="M10" i="30"/>
  <c r="M11" i="32"/>
  <c r="M15" i="32"/>
  <c r="M9" i="34"/>
  <c r="M13" i="34"/>
  <c r="M17" i="34"/>
  <c r="M21" i="37"/>
  <c r="M7" i="37"/>
  <c r="M10" i="37"/>
  <c r="M14" i="37"/>
  <c r="M8" i="36"/>
  <c r="M12" i="36"/>
  <c r="M16" i="36"/>
  <c r="M21" i="35"/>
  <c r="M7" i="35"/>
  <c r="M10" i="35"/>
  <c r="M19" i="8"/>
  <c r="M17" i="33"/>
  <c r="M25" i="8"/>
  <c r="M23" i="33"/>
  <c r="M21" i="32"/>
  <c r="M7" i="32"/>
  <c r="M10" i="32"/>
  <c r="M14" i="32"/>
  <c r="M8" i="34"/>
  <c r="M12" i="34"/>
  <c r="M16" i="34"/>
  <c r="M9" i="37"/>
  <c r="M13" i="37"/>
  <c r="M11" i="36"/>
  <c r="M15" i="36"/>
  <c r="M9" i="35"/>
  <c r="M23" i="8"/>
  <c r="M27" i="8"/>
  <c r="M31" i="8"/>
  <c r="M13" i="33"/>
  <c r="M21" i="33"/>
  <c r="L7" i="34"/>
  <c r="B33" i="39" s="1"/>
  <c r="M7" i="34"/>
  <c r="M18" i="34"/>
  <c r="M9" i="8"/>
  <c r="M13" i="8"/>
  <c r="M17" i="8"/>
  <c r="M21" i="8"/>
  <c r="M29" i="8"/>
  <c r="M11" i="33"/>
  <c r="M15" i="33"/>
  <c r="M19" i="33"/>
  <c r="M27" i="33"/>
  <c r="M9" i="30"/>
  <c r="M21" i="31"/>
  <c r="M7" i="31"/>
  <c r="M8" i="31"/>
  <c r="M7" i="8"/>
  <c r="M8" i="8"/>
  <c r="M12" i="8"/>
  <c r="M16" i="8"/>
  <c r="M20" i="8"/>
  <c r="M24" i="8"/>
  <c r="M28" i="8"/>
  <c r="M7" i="33"/>
  <c r="M10" i="33"/>
  <c r="M14" i="33"/>
  <c r="M18" i="33"/>
  <c r="M22" i="33"/>
  <c r="M26" i="33"/>
  <c r="M30" i="33"/>
  <c r="M8" i="30"/>
  <c r="M9" i="32"/>
  <c r="M13" i="32"/>
  <c r="M11" i="34"/>
  <c r="M15" i="34"/>
  <c r="M19" i="34"/>
  <c r="M8" i="37"/>
  <c r="M12" i="37"/>
  <c r="M16" i="37"/>
  <c r="M21" i="36"/>
  <c r="M7" i="36"/>
  <c r="M10" i="36"/>
  <c r="M14" i="36"/>
  <c r="M18" i="36"/>
  <c r="M8" i="35"/>
  <c r="L7" i="32"/>
  <c r="B30" i="39" s="1"/>
  <c r="L7" i="37"/>
  <c r="B36" i="39" s="1"/>
  <c r="L7" i="35"/>
  <c r="B34" i="39" s="1"/>
  <c r="L7" i="31"/>
  <c r="B31" i="39" s="1"/>
  <c r="L7" i="8"/>
  <c r="B28" i="39" s="1"/>
  <c r="L7" i="36"/>
  <c r="B35" i="39" s="1"/>
  <c r="L7" i="30"/>
  <c r="B29" i="39" s="1"/>
  <c r="L7" i="33"/>
  <c r="B32" i="39" s="1"/>
  <c r="AC38" i="7" l="1"/>
  <c r="S38" i="7"/>
  <c r="M38" i="7"/>
  <c r="AC37" i="7"/>
  <c r="S37" i="7"/>
  <c r="M37" i="7"/>
  <c r="AC36" i="7"/>
  <c r="S36" i="7"/>
  <c r="M36" i="7"/>
  <c r="AC35" i="7"/>
  <c r="S35" i="7"/>
  <c r="M35" i="7"/>
  <c r="AC38" i="6"/>
  <c r="S38" i="6"/>
  <c r="M38" i="6"/>
  <c r="AC37" i="6"/>
  <c r="S37" i="6"/>
  <c r="M37" i="6"/>
  <c r="AC36" i="6"/>
  <c r="S36" i="6"/>
  <c r="M36" i="6"/>
  <c r="AC35" i="6"/>
  <c r="S35" i="6"/>
  <c r="M35" i="6"/>
  <c r="H67" i="31" l="1"/>
  <c r="I67" i="31"/>
  <c r="J67" i="31"/>
  <c r="K67" i="31"/>
  <c r="I68" i="31"/>
  <c r="J68" i="31"/>
  <c r="K68" i="31"/>
  <c r="I69" i="31"/>
  <c r="J69" i="31"/>
  <c r="K69" i="31"/>
  <c r="M69" i="31" s="1"/>
  <c r="I70" i="31"/>
  <c r="J70" i="31"/>
  <c r="K70" i="31"/>
  <c r="M70" i="31" s="1"/>
  <c r="I71" i="31"/>
  <c r="J71" i="31"/>
  <c r="K71" i="31"/>
  <c r="M71" i="31" s="1"/>
  <c r="I72" i="31"/>
  <c r="J72" i="31"/>
  <c r="K72" i="31"/>
  <c r="M72" i="31" s="1"/>
  <c r="I73" i="31"/>
  <c r="J73" i="31"/>
  <c r="K73" i="31"/>
  <c r="M73" i="31" s="1"/>
  <c r="I74" i="31"/>
  <c r="J74" i="31"/>
  <c r="K74" i="31"/>
  <c r="M74" i="31" s="1"/>
  <c r="I75" i="31"/>
  <c r="J75" i="31"/>
  <c r="K75" i="31"/>
  <c r="M75" i="31" s="1"/>
  <c r="I76" i="31"/>
  <c r="J76" i="31"/>
  <c r="K76" i="31"/>
  <c r="M76" i="31" s="1"/>
  <c r="I77" i="31"/>
  <c r="J77" i="31"/>
  <c r="K77" i="31"/>
  <c r="M77" i="31" s="1"/>
  <c r="I78" i="31"/>
  <c r="J78" i="31"/>
  <c r="K78" i="31"/>
  <c r="M78" i="31" s="1"/>
  <c r="I79" i="31"/>
  <c r="J79" i="31"/>
  <c r="K79" i="31"/>
  <c r="M79" i="31" s="1"/>
  <c r="I80" i="31"/>
  <c r="J80" i="31"/>
  <c r="K80" i="31"/>
  <c r="M80" i="31" s="1"/>
  <c r="I81" i="31"/>
  <c r="J81" i="31"/>
  <c r="K81" i="31"/>
  <c r="M81" i="31" s="1"/>
  <c r="M67" i="31" l="1"/>
  <c r="M68" i="31"/>
  <c r="L67" i="31"/>
  <c r="G19" i="5" l="1"/>
  <c r="I19" i="5"/>
  <c r="M19" i="5"/>
  <c r="P19" i="5"/>
  <c r="S19" i="5"/>
  <c r="V19" i="5"/>
  <c r="I20" i="5"/>
  <c r="I21" i="5"/>
  <c r="I22" i="5"/>
  <c r="I23" i="5"/>
  <c r="I24" i="5"/>
  <c r="I25" i="5"/>
  <c r="J19" i="5" l="1"/>
  <c r="U2" i="35" l="1"/>
  <c r="Z2" i="35" s="1"/>
  <c r="AE2" i="35" s="1"/>
  <c r="AJ2" i="35" s="1"/>
  <c r="AO2" i="35" s="1"/>
  <c r="AT2" i="35" s="1"/>
  <c r="U2" i="36"/>
  <c r="Z2" i="36" s="1"/>
  <c r="AE2" i="36" s="1"/>
  <c r="AJ2" i="36" s="1"/>
  <c r="AO2" i="36" s="1"/>
  <c r="AT2" i="36" s="1"/>
  <c r="U2" i="37"/>
  <c r="Z2" i="37" s="1"/>
  <c r="AE2" i="37" s="1"/>
  <c r="AJ2" i="37" s="1"/>
  <c r="AO2" i="37" s="1"/>
  <c r="AT2" i="37" s="1"/>
  <c r="U2" i="34"/>
  <c r="Z2" i="34" s="1"/>
  <c r="AE2" i="34" s="1"/>
  <c r="AJ2" i="34" s="1"/>
  <c r="AO2" i="34" s="1"/>
  <c r="AT2" i="34" s="1"/>
  <c r="U2" i="32"/>
  <c r="Z2" i="32" s="1"/>
  <c r="AE2" i="32" s="1"/>
  <c r="AJ2" i="32" s="1"/>
  <c r="AO2" i="32" s="1"/>
  <c r="AT2" i="32" s="1"/>
  <c r="U2" i="31"/>
  <c r="Z2" i="31" s="1"/>
  <c r="AE2" i="31" s="1"/>
  <c r="AJ2" i="31" s="1"/>
  <c r="AO2" i="31" s="1"/>
  <c r="AT2" i="31" s="1"/>
  <c r="U2" i="30"/>
  <c r="Z2" i="30" s="1"/>
  <c r="AE2" i="30" s="1"/>
  <c r="AJ2" i="30" s="1"/>
  <c r="AO2" i="30" s="1"/>
  <c r="AT2" i="30" s="1"/>
  <c r="T10" i="3"/>
  <c r="N10" i="3"/>
  <c r="K10" i="3"/>
  <c r="H10" i="3"/>
  <c r="W10" i="5"/>
  <c r="T10" i="5"/>
  <c r="Q10" i="5"/>
  <c r="N10" i="5"/>
  <c r="H10" i="5"/>
  <c r="AC48" i="6"/>
  <c r="S48" i="6"/>
  <c r="M48" i="6"/>
  <c r="AC47" i="6"/>
  <c r="S47" i="6"/>
  <c r="M47" i="6"/>
  <c r="AC46" i="6"/>
  <c r="S46" i="6"/>
  <c r="M46" i="6"/>
  <c r="AC45" i="6"/>
  <c r="S45" i="6"/>
  <c r="M45" i="6"/>
  <c r="AC44" i="6"/>
  <c r="S44" i="6"/>
  <c r="M44" i="6"/>
  <c r="AC43" i="6"/>
  <c r="S43" i="6"/>
  <c r="M43" i="6"/>
  <c r="AC42" i="6"/>
  <c r="S42" i="6"/>
  <c r="M42" i="6"/>
  <c r="AC41" i="6"/>
  <c r="S41" i="6"/>
  <c r="M41" i="6"/>
  <c r="AC40" i="6"/>
  <c r="S40" i="6"/>
  <c r="M40" i="6"/>
  <c r="AC39" i="6"/>
  <c r="S39" i="6"/>
  <c r="M39" i="6"/>
  <c r="AC34" i="6"/>
  <c r="S34" i="6"/>
  <c r="M34" i="6"/>
  <c r="AC33" i="6"/>
  <c r="S33" i="6"/>
  <c r="M33" i="6"/>
  <c r="AC32" i="6"/>
  <c r="S32" i="6"/>
  <c r="M32" i="6"/>
  <c r="AC31" i="6"/>
  <c r="S31" i="6"/>
  <c r="M31" i="6"/>
  <c r="AC30" i="6"/>
  <c r="S30" i="6"/>
  <c r="M30" i="6"/>
  <c r="AC29" i="6"/>
  <c r="S29" i="6"/>
  <c r="M29" i="6"/>
  <c r="AC28" i="6"/>
  <c r="S28" i="6"/>
  <c r="M28" i="6"/>
  <c r="AC27" i="6"/>
  <c r="S27" i="6"/>
  <c r="M27" i="6"/>
  <c r="AC26" i="6"/>
  <c r="S26" i="6"/>
  <c r="M26" i="6"/>
  <c r="AC25" i="6"/>
  <c r="S25" i="6"/>
  <c r="M25" i="6"/>
  <c r="AC24" i="6"/>
  <c r="S24" i="6"/>
  <c r="M24" i="6"/>
  <c r="AC23" i="6"/>
  <c r="S23" i="6"/>
  <c r="M23" i="6"/>
  <c r="AC22" i="6"/>
  <c r="S22" i="6"/>
  <c r="M22" i="6"/>
  <c r="AC21" i="6"/>
  <c r="S21" i="6"/>
  <c r="M21" i="6"/>
  <c r="AC20" i="6"/>
  <c r="S20" i="6"/>
  <c r="M20" i="6"/>
  <c r="AC19" i="6"/>
  <c r="S19" i="6"/>
  <c r="M19" i="6"/>
  <c r="AC18" i="6"/>
  <c r="S18" i="6"/>
  <c r="M18" i="6"/>
  <c r="AC17" i="6"/>
  <c r="S17" i="6"/>
  <c r="M17" i="6"/>
  <c r="AC16" i="6"/>
  <c r="S16" i="6"/>
  <c r="M16" i="6"/>
  <c r="AC15" i="6"/>
  <c r="S15" i="6"/>
  <c r="M15" i="6"/>
  <c r="S40" i="3" l="1"/>
  <c r="M40" i="3"/>
  <c r="J40" i="3"/>
  <c r="G40" i="3"/>
  <c r="P40" i="3" l="1"/>
  <c r="V40" i="3"/>
  <c r="V40" i="5"/>
  <c r="S40" i="5"/>
  <c r="P40" i="5"/>
  <c r="M40" i="5"/>
  <c r="G40" i="5"/>
  <c r="AC48" i="7" l="1"/>
  <c r="S48" i="7"/>
  <c r="M48" i="7"/>
  <c r="AC47" i="7"/>
  <c r="S47" i="7"/>
  <c r="M47" i="7"/>
  <c r="AC46" i="7"/>
  <c r="S46" i="7"/>
  <c r="M46" i="7"/>
  <c r="AC45" i="7"/>
  <c r="S45" i="7"/>
  <c r="M45" i="7"/>
  <c r="F48" i="6"/>
  <c r="S12" i="5"/>
  <c r="S26" i="5"/>
  <c r="S33" i="5"/>
  <c r="S6" i="5"/>
  <c r="P6" i="5"/>
  <c r="I9" i="39" s="1"/>
  <c r="M6" i="5"/>
  <c r="I8" i="39" s="1"/>
  <c r="I46" i="5"/>
  <c r="I45" i="5"/>
  <c r="I44" i="5"/>
  <c r="I43" i="5"/>
  <c r="I42" i="5"/>
  <c r="I41" i="5"/>
  <c r="U46" i="3"/>
  <c r="O46" i="3"/>
  <c r="U45" i="3"/>
  <c r="O45" i="3"/>
  <c r="U44" i="3"/>
  <c r="O44" i="3"/>
  <c r="U43" i="3"/>
  <c r="O43" i="3"/>
  <c r="U42" i="3"/>
  <c r="O42" i="3"/>
  <c r="U41" i="3"/>
  <c r="O41" i="3"/>
  <c r="F46" i="7" l="1"/>
  <c r="AF46" i="7" s="1"/>
  <c r="AL48" i="6"/>
  <c r="AD48" i="6"/>
  <c r="X48" i="6"/>
  <c r="R48" i="6"/>
  <c r="L48" i="6"/>
  <c r="AJ48" i="6"/>
  <c r="V48" i="6"/>
  <c r="P48" i="6"/>
  <c r="J48" i="6"/>
  <c r="AH48" i="6"/>
  <c r="AB48" i="6"/>
  <c r="T48" i="6"/>
  <c r="N48" i="6"/>
  <c r="AF48" i="6"/>
  <c r="Z48" i="6"/>
  <c r="F46" i="6"/>
  <c r="F48" i="7"/>
  <c r="AJ48" i="7" s="1"/>
  <c r="N46" i="7"/>
  <c r="AB46" i="7"/>
  <c r="F45" i="7"/>
  <c r="T45" i="7" s="1"/>
  <c r="AJ46" i="7"/>
  <c r="F47" i="7"/>
  <c r="AD47" i="7" s="1"/>
  <c r="F45" i="6"/>
  <c r="F47" i="6"/>
  <c r="K155" i="8"/>
  <c r="K156" i="8"/>
  <c r="AC14" i="6"/>
  <c r="S14" i="6"/>
  <c r="M14" i="6"/>
  <c r="V46" i="7" l="1"/>
  <c r="AH46" i="7"/>
  <c r="AL46" i="7"/>
  <c r="X46" i="7"/>
  <c r="P46" i="7"/>
  <c r="AD46" i="7"/>
  <c r="L46" i="7"/>
  <c r="Z46" i="7"/>
  <c r="J46" i="7"/>
  <c r="T46" i="7"/>
  <c r="R46" i="7"/>
  <c r="AH47" i="6"/>
  <c r="AB47" i="6"/>
  <c r="T47" i="6"/>
  <c r="N47" i="6"/>
  <c r="AF47" i="6"/>
  <c r="Z47" i="6"/>
  <c r="AL47" i="6"/>
  <c r="AD47" i="6"/>
  <c r="X47" i="6"/>
  <c r="R47" i="6"/>
  <c r="L47" i="6"/>
  <c r="AJ47" i="6"/>
  <c r="V47" i="6"/>
  <c r="P47" i="6"/>
  <c r="J47" i="6"/>
  <c r="AL46" i="6"/>
  <c r="AD46" i="6"/>
  <c r="X46" i="6"/>
  <c r="R46" i="6"/>
  <c r="L46" i="6"/>
  <c r="AJ46" i="6"/>
  <c r="V46" i="6"/>
  <c r="P46" i="6"/>
  <c r="J46" i="6"/>
  <c r="AH46" i="6"/>
  <c r="AB46" i="6"/>
  <c r="T46" i="6"/>
  <c r="N46" i="6"/>
  <c r="AF46" i="6"/>
  <c r="Z46" i="6"/>
  <c r="AH45" i="6"/>
  <c r="AB45" i="6"/>
  <c r="T45" i="6"/>
  <c r="N45" i="6"/>
  <c r="AF45" i="6"/>
  <c r="Z45" i="6"/>
  <c r="AL45" i="6"/>
  <c r="AD45" i="6"/>
  <c r="X45" i="6"/>
  <c r="R45" i="6"/>
  <c r="L45" i="6"/>
  <c r="AJ45" i="6"/>
  <c r="V45" i="6"/>
  <c r="P45" i="6"/>
  <c r="J45" i="6"/>
  <c r="L48" i="7"/>
  <c r="T48" i="7"/>
  <c r="AL48" i="7"/>
  <c r="V48" i="7"/>
  <c r="N48" i="7"/>
  <c r="J48" i="7"/>
  <c r="AB48" i="7"/>
  <c r="Z48" i="7"/>
  <c r="X48" i="7"/>
  <c r="R48" i="7"/>
  <c r="P48" i="7"/>
  <c r="AH48" i="7"/>
  <c r="AF48" i="7"/>
  <c r="AD48" i="7"/>
  <c r="AD45" i="7"/>
  <c r="T47" i="7"/>
  <c r="AH47" i="7"/>
  <c r="AB47" i="7"/>
  <c r="AF47" i="7"/>
  <c r="Z47" i="7"/>
  <c r="AL47" i="7"/>
  <c r="X47" i="7"/>
  <c r="R47" i="7"/>
  <c r="L47" i="7"/>
  <c r="AJ47" i="7"/>
  <c r="V47" i="7"/>
  <c r="P47" i="7"/>
  <c r="J47" i="7"/>
  <c r="AL45" i="7"/>
  <c r="X45" i="7"/>
  <c r="R45" i="7"/>
  <c r="L45" i="7"/>
  <c r="J45" i="7"/>
  <c r="AH45" i="7"/>
  <c r="AB45" i="7"/>
  <c r="AF45" i="7"/>
  <c r="Z45" i="7"/>
  <c r="AJ45" i="7"/>
  <c r="V45" i="7"/>
  <c r="P45" i="7"/>
  <c r="N47" i="7"/>
  <c r="N45" i="7"/>
  <c r="AZ87" i="34"/>
  <c r="BA87" i="34"/>
  <c r="AZ88" i="34"/>
  <c r="AZ89" i="34"/>
  <c r="AZ90" i="34"/>
  <c r="AZ91" i="34"/>
  <c r="AZ92" i="34"/>
  <c r="AZ93" i="34"/>
  <c r="AZ94" i="34"/>
  <c r="AZ95" i="34"/>
  <c r="AZ96" i="34"/>
  <c r="AZ97" i="34"/>
  <c r="AZ98" i="34"/>
  <c r="AZ99" i="34"/>
  <c r="AZ100" i="34"/>
  <c r="AZ101" i="34"/>
  <c r="AZ87" i="32"/>
  <c r="BA87" i="32"/>
  <c r="AZ88" i="32"/>
  <c r="AZ89" i="32"/>
  <c r="AZ90" i="32"/>
  <c r="AZ91" i="32"/>
  <c r="AZ92" i="32"/>
  <c r="AZ93" i="32"/>
  <c r="AZ94" i="32"/>
  <c r="AZ95" i="32"/>
  <c r="AZ96" i="32"/>
  <c r="AZ97" i="32"/>
  <c r="AZ98" i="32"/>
  <c r="AZ99" i="32"/>
  <c r="AZ100" i="32"/>
  <c r="AZ101" i="32"/>
  <c r="G33" i="5"/>
  <c r="I33" i="5"/>
  <c r="M33" i="5"/>
  <c r="P33" i="5"/>
  <c r="V33" i="5"/>
  <c r="I34" i="5"/>
  <c r="I35" i="5"/>
  <c r="I36" i="5"/>
  <c r="I37" i="5"/>
  <c r="I38" i="5"/>
  <c r="I39" i="5"/>
  <c r="J33" i="5" l="1"/>
  <c r="AC40" i="7" l="1"/>
  <c r="AC39" i="7"/>
  <c r="AC34" i="7"/>
  <c r="AC33" i="7"/>
  <c r="AC32" i="7"/>
  <c r="AC31" i="7"/>
  <c r="AC30" i="7"/>
  <c r="AC29" i="7"/>
  <c r="AC28" i="7"/>
  <c r="AC27" i="7"/>
  <c r="AC26" i="7"/>
  <c r="AC25" i="7"/>
  <c r="AC24" i="7"/>
  <c r="AC23" i="7"/>
  <c r="AC22" i="7"/>
  <c r="AC21" i="7"/>
  <c r="AC20" i="7"/>
  <c r="AC19" i="7"/>
  <c r="AC18" i="7"/>
  <c r="AC17" i="7"/>
  <c r="AC16" i="7"/>
  <c r="AC15" i="7"/>
  <c r="AC14" i="7"/>
  <c r="K81" i="36" l="1"/>
  <c r="J81" i="36"/>
  <c r="I81" i="36"/>
  <c r="K61" i="34"/>
  <c r="J61" i="34"/>
  <c r="I61" i="34"/>
  <c r="K101" i="34"/>
  <c r="M101" i="34" s="1"/>
  <c r="J101" i="34"/>
  <c r="I101" i="34"/>
  <c r="K81" i="34"/>
  <c r="M81" i="34" s="1"/>
  <c r="J81" i="34"/>
  <c r="I81" i="34"/>
  <c r="K80" i="34"/>
  <c r="M80" i="34" s="1"/>
  <c r="J80" i="34"/>
  <c r="I80" i="34"/>
  <c r="AZ61" i="37" l="1"/>
  <c r="AZ60" i="37"/>
  <c r="AZ59" i="37"/>
  <c r="AZ58" i="37"/>
  <c r="AZ57" i="37"/>
  <c r="AZ56" i="37"/>
  <c r="AZ55" i="37"/>
  <c r="I35" i="32" l="1"/>
  <c r="J35" i="32"/>
  <c r="K35" i="32"/>
  <c r="I30" i="30"/>
  <c r="J30" i="30"/>
  <c r="K30" i="30"/>
  <c r="I31" i="30"/>
  <c r="J31" i="30"/>
  <c r="K31" i="30"/>
  <c r="I54" i="37"/>
  <c r="J54" i="37"/>
  <c r="K54" i="37"/>
  <c r="I55" i="37"/>
  <c r="J55" i="37"/>
  <c r="K55" i="37"/>
  <c r="AZ57" i="36"/>
  <c r="AZ51" i="36"/>
  <c r="AZ49" i="36" l="1"/>
  <c r="AZ53" i="36"/>
  <c r="AZ61" i="36"/>
  <c r="AZ50" i="36"/>
  <c r="AZ54" i="36"/>
  <c r="AZ58" i="36"/>
  <c r="AZ55" i="36"/>
  <c r="AZ59" i="36"/>
  <c r="AZ48" i="36"/>
  <c r="AZ52" i="36"/>
  <c r="AZ56" i="36"/>
  <c r="AZ60" i="36"/>
  <c r="M14" i="7" l="1"/>
  <c r="K40" i="35" l="1"/>
  <c r="M40" i="35" s="1"/>
  <c r="J40" i="35"/>
  <c r="I40" i="35"/>
  <c r="K39" i="35"/>
  <c r="M39" i="35" s="1"/>
  <c r="J39" i="35"/>
  <c r="I39" i="35"/>
  <c r="K38" i="35"/>
  <c r="M38" i="35" s="1"/>
  <c r="J38" i="35"/>
  <c r="I38" i="35"/>
  <c r="K37" i="35"/>
  <c r="M37" i="35" s="1"/>
  <c r="J37" i="35"/>
  <c r="I37" i="35"/>
  <c r="K36" i="35"/>
  <c r="M36" i="35" s="1"/>
  <c r="J36" i="35"/>
  <c r="I36" i="35"/>
  <c r="K35" i="35"/>
  <c r="M35" i="35" s="1"/>
  <c r="J35" i="35"/>
  <c r="I35" i="35"/>
  <c r="K34" i="35"/>
  <c r="M34" i="35" s="1"/>
  <c r="J34" i="35"/>
  <c r="I34" i="35"/>
  <c r="K33" i="35"/>
  <c r="J33" i="35"/>
  <c r="I33" i="35"/>
  <c r="K32" i="35"/>
  <c r="J32" i="35"/>
  <c r="I32" i="35"/>
  <c r="K31" i="35"/>
  <c r="J31" i="35"/>
  <c r="I31" i="35"/>
  <c r="K30" i="35"/>
  <c r="J30" i="35"/>
  <c r="I30" i="35"/>
  <c r="K29" i="35"/>
  <c r="J29" i="35"/>
  <c r="I29" i="35"/>
  <c r="K28" i="35"/>
  <c r="J28" i="35"/>
  <c r="I28" i="35"/>
  <c r="K27" i="35"/>
  <c r="J27" i="35"/>
  <c r="I27" i="35"/>
  <c r="H27" i="35"/>
  <c r="K40" i="36"/>
  <c r="M40" i="36" s="1"/>
  <c r="J40" i="36"/>
  <c r="I40" i="36"/>
  <c r="K39" i="36"/>
  <c r="M39" i="36" s="1"/>
  <c r="J39" i="36"/>
  <c r="I39" i="36"/>
  <c r="K38" i="36"/>
  <c r="J38" i="36"/>
  <c r="I38" i="36"/>
  <c r="K37" i="36"/>
  <c r="J37" i="36"/>
  <c r="I37" i="36"/>
  <c r="K36" i="36"/>
  <c r="J36" i="36"/>
  <c r="I36" i="36"/>
  <c r="K35" i="36"/>
  <c r="J35" i="36"/>
  <c r="I35" i="36"/>
  <c r="K34" i="36"/>
  <c r="J34" i="36"/>
  <c r="I34" i="36"/>
  <c r="K33" i="36"/>
  <c r="J33" i="36"/>
  <c r="I33" i="36"/>
  <c r="K32" i="36"/>
  <c r="J32" i="36"/>
  <c r="I32" i="36"/>
  <c r="K31" i="36"/>
  <c r="J31" i="36"/>
  <c r="I31" i="36"/>
  <c r="K30" i="36"/>
  <c r="J30" i="36"/>
  <c r="I30" i="36"/>
  <c r="K29" i="36"/>
  <c r="J29" i="36"/>
  <c r="I29" i="36"/>
  <c r="K28" i="36"/>
  <c r="J28" i="36"/>
  <c r="I28" i="36"/>
  <c r="K27" i="36"/>
  <c r="J27" i="36"/>
  <c r="I27" i="36"/>
  <c r="H27" i="36"/>
  <c r="K40" i="37"/>
  <c r="M40" i="37" s="1"/>
  <c r="J40" i="37"/>
  <c r="I40" i="37"/>
  <c r="K39" i="37"/>
  <c r="M39" i="37" s="1"/>
  <c r="J39" i="37"/>
  <c r="I39" i="37"/>
  <c r="K38" i="37"/>
  <c r="M38" i="37" s="1"/>
  <c r="J38" i="37"/>
  <c r="I38" i="37"/>
  <c r="K37" i="37"/>
  <c r="J37" i="37"/>
  <c r="I37" i="37"/>
  <c r="K36" i="37"/>
  <c r="J36" i="37"/>
  <c r="I36" i="37"/>
  <c r="K35" i="37"/>
  <c r="J35" i="37"/>
  <c r="I35" i="37"/>
  <c r="K34" i="37"/>
  <c r="J34" i="37"/>
  <c r="I34" i="37"/>
  <c r="K33" i="37"/>
  <c r="J33" i="37"/>
  <c r="I33" i="37"/>
  <c r="K32" i="37"/>
  <c r="J32" i="37"/>
  <c r="I32" i="37"/>
  <c r="K31" i="37"/>
  <c r="J31" i="37"/>
  <c r="I31" i="37"/>
  <c r="K30" i="37"/>
  <c r="J30" i="37"/>
  <c r="I30" i="37"/>
  <c r="K29" i="37"/>
  <c r="J29" i="37"/>
  <c r="I29" i="37"/>
  <c r="K28" i="37"/>
  <c r="J28" i="37"/>
  <c r="I28" i="37"/>
  <c r="K27" i="37"/>
  <c r="J27" i="37"/>
  <c r="I27" i="37"/>
  <c r="H27" i="37"/>
  <c r="K40" i="34"/>
  <c r="M40" i="34" s="1"/>
  <c r="J40" i="34"/>
  <c r="I40" i="34"/>
  <c r="K39" i="34"/>
  <c r="J39" i="34"/>
  <c r="I39" i="34"/>
  <c r="K38" i="34"/>
  <c r="J38" i="34"/>
  <c r="I38" i="34"/>
  <c r="K37" i="34"/>
  <c r="J37" i="34"/>
  <c r="I37" i="34"/>
  <c r="K36" i="34"/>
  <c r="J36" i="34"/>
  <c r="I36" i="34"/>
  <c r="K35" i="34"/>
  <c r="J35" i="34"/>
  <c r="I35" i="34"/>
  <c r="K34" i="34"/>
  <c r="J34" i="34"/>
  <c r="I34" i="34"/>
  <c r="K33" i="34"/>
  <c r="J33" i="34"/>
  <c r="I33" i="34"/>
  <c r="K32" i="34"/>
  <c r="J32" i="34"/>
  <c r="I32" i="34"/>
  <c r="K31" i="34"/>
  <c r="J31" i="34"/>
  <c r="I31" i="34"/>
  <c r="K30" i="34"/>
  <c r="J30" i="34"/>
  <c r="I30" i="34"/>
  <c r="K29" i="34"/>
  <c r="J29" i="34"/>
  <c r="I29" i="34"/>
  <c r="K28" i="34"/>
  <c r="J28" i="34"/>
  <c r="I28" i="34"/>
  <c r="K27" i="34"/>
  <c r="J27" i="34"/>
  <c r="I27" i="34"/>
  <c r="H27" i="34"/>
  <c r="K60" i="35"/>
  <c r="M60" i="35" s="1"/>
  <c r="J60" i="35"/>
  <c r="I60" i="35"/>
  <c r="K59" i="35"/>
  <c r="M59" i="35" s="1"/>
  <c r="J59" i="35"/>
  <c r="I59" i="35"/>
  <c r="K58" i="35"/>
  <c r="M58" i="35" s="1"/>
  <c r="J58" i="35"/>
  <c r="I58" i="35"/>
  <c r="K57" i="35"/>
  <c r="M57" i="35" s="1"/>
  <c r="J57" i="35"/>
  <c r="I57" i="35"/>
  <c r="K56" i="35"/>
  <c r="M56" i="35" s="1"/>
  <c r="J56" i="35"/>
  <c r="I56" i="35"/>
  <c r="K55" i="35"/>
  <c r="M55" i="35" s="1"/>
  <c r="J55" i="35"/>
  <c r="I55" i="35"/>
  <c r="K54" i="35"/>
  <c r="M54" i="35" s="1"/>
  <c r="J54" i="35"/>
  <c r="I54" i="35"/>
  <c r="K53" i="35"/>
  <c r="J53" i="35"/>
  <c r="I53" i="35"/>
  <c r="K52" i="35"/>
  <c r="J52" i="35"/>
  <c r="I52" i="35"/>
  <c r="K51" i="35"/>
  <c r="J51" i="35"/>
  <c r="I51" i="35"/>
  <c r="K50" i="35"/>
  <c r="J50" i="35"/>
  <c r="I50" i="35"/>
  <c r="K49" i="35"/>
  <c r="J49" i="35"/>
  <c r="I49" i="35"/>
  <c r="K48" i="35"/>
  <c r="J48" i="35"/>
  <c r="I48" i="35"/>
  <c r="K47" i="35"/>
  <c r="J47" i="35"/>
  <c r="I47" i="35"/>
  <c r="H47" i="35"/>
  <c r="K60" i="36"/>
  <c r="M60" i="36" s="1"/>
  <c r="J60" i="36"/>
  <c r="I60" i="36"/>
  <c r="K59" i="36"/>
  <c r="M59" i="36" s="1"/>
  <c r="J59" i="36"/>
  <c r="I59" i="36"/>
  <c r="K58" i="36"/>
  <c r="J58" i="36"/>
  <c r="I58" i="36"/>
  <c r="K57" i="36"/>
  <c r="J57" i="36"/>
  <c r="I57" i="36"/>
  <c r="K56" i="36"/>
  <c r="J56" i="36"/>
  <c r="I56" i="36"/>
  <c r="K55" i="36"/>
  <c r="J55" i="36"/>
  <c r="I55" i="36"/>
  <c r="K54" i="36"/>
  <c r="J54" i="36"/>
  <c r="I54" i="36"/>
  <c r="K53" i="36"/>
  <c r="J53" i="36"/>
  <c r="I53" i="36"/>
  <c r="K52" i="36"/>
  <c r="J52" i="36"/>
  <c r="I52" i="36"/>
  <c r="K51" i="36"/>
  <c r="J51" i="36"/>
  <c r="I51" i="36"/>
  <c r="K50" i="36"/>
  <c r="J50" i="36"/>
  <c r="I50" i="36"/>
  <c r="K49" i="36"/>
  <c r="J49" i="36"/>
  <c r="I49" i="36"/>
  <c r="K48" i="36"/>
  <c r="J48" i="36"/>
  <c r="I48" i="36"/>
  <c r="K47" i="36"/>
  <c r="J47" i="36"/>
  <c r="I47" i="36"/>
  <c r="H47" i="36"/>
  <c r="K60" i="37"/>
  <c r="M60" i="37" s="1"/>
  <c r="J60" i="37"/>
  <c r="I60" i="37"/>
  <c r="K59" i="37"/>
  <c r="M59" i="37" s="1"/>
  <c r="J59" i="37"/>
  <c r="I59" i="37"/>
  <c r="K58" i="37"/>
  <c r="M58" i="37" s="1"/>
  <c r="J58" i="37"/>
  <c r="I58" i="37"/>
  <c r="K57" i="37"/>
  <c r="J57" i="37"/>
  <c r="I57" i="37"/>
  <c r="K56" i="37"/>
  <c r="J56" i="37"/>
  <c r="I56" i="37"/>
  <c r="K53" i="37"/>
  <c r="J53" i="37"/>
  <c r="I53" i="37"/>
  <c r="K52" i="37"/>
  <c r="J52" i="37"/>
  <c r="I52" i="37"/>
  <c r="K51" i="37"/>
  <c r="J51" i="37"/>
  <c r="I51" i="37"/>
  <c r="K50" i="37"/>
  <c r="J50" i="37"/>
  <c r="I50" i="37"/>
  <c r="K49" i="37"/>
  <c r="J49" i="37"/>
  <c r="I49" i="37"/>
  <c r="K48" i="37"/>
  <c r="J48" i="37"/>
  <c r="I48" i="37"/>
  <c r="K47" i="37"/>
  <c r="J47" i="37"/>
  <c r="I47" i="37"/>
  <c r="H47" i="37"/>
  <c r="K60" i="34"/>
  <c r="M60" i="34" s="1"/>
  <c r="J60" i="34"/>
  <c r="I60" i="34"/>
  <c r="K59" i="34"/>
  <c r="J59" i="34"/>
  <c r="I59" i="34"/>
  <c r="K58" i="34"/>
  <c r="J58" i="34"/>
  <c r="I58" i="34"/>
  <c r="K57" i="34"/>
  <c r="J57" i="34"/>
  <c r="I57" i="34"/>
  <c r="K56" i="34"/>
  <c r="J56" i="34"/>
  <c r="I56" i="34"/>
  <c r="K55" i="34"/>
  <c r="J55" i="34"/>
  <c r="I55" i="34"/>
  <c r="K54" i="34"/>
  <c r="J54" i="34"/>
  <c r="I54" i="34"/>
  <c r="K53" i="34"/>
  <c r="J53" i="34"/>
  <c r="I53" i="34"/>
  <c r="K52" i="34"/>
  <c r="J52" i="34"/>
  <c r="I52" i="34"/>
  <c r="K51" i="34"/>
  <c r="J51" i="34"/>
  <c r="I51" i="34"/>
  <c r="K50" i="34"/>
  <c r="J50" i="34"/>
  <c r="I50" i="34"/>
  <c r="K49" i="34"/>
  <c r="J49" i="34"/>
  <c r="I49" i="34"/>
  <c r="K48" i="34"/>
  <c r="J48" i="34"/>
  <c r="I48" i="34"/>
  <c r="K47" i="34"/>
  <c r="J47" i="34"/>
  <c r="I47" i="34"/>
  <c r="H47" i="34"/>
  <c r="K80" i="35"/>
  <c r="M80" i="35" s="1"/>
  <c r="J80" i="35"/>
  <c r="I80" i="35"/>
  <c r="K79" i="35"/>
  <c r="M79" i="35" s="1"/>
  <c r="J79" i="35"/>
  <c r="I79" i="35"/>
  <c r="K78" i="35"/>
  <c r="M78" i="35" s="1"/>
  <c r="J78" i="35"/>
  <c r="I78" i="35"/>
  <c r="K77" i="35"/>
  <c r="M77" i="35" s="1"/>
  <c r="J77" i="35"/>
  <c r="I77" i="35"/>
  <c r="K76" i="35"/>
  <c r="M76" i="35" s="1"/>
  <c r="J76" i="35"/>
  <c r="I76" i="35"/>
  <c r="K75" i="35"/>
  <c r="M75" i="35" s="1"/>
  <c r="J75" i="35"/>
  <c r="I75" i="35"/>
  <c r="K74" i="35"/>
  <c r="M74" i="35" s="1"/>
  <c r="J74" i="35"/>
  <c r="I74" i="35"/>
  <c r="K73" i="35"/>
  <c r="J73" i="35"/>
  <c r="I73" i="35"/>
  <c r="K72" i="35"/>
  <c r="J72" i="35"/>
  <c r="I72" i="35"/>
  <c r="K71" i="35"/>
  <c r="J71" i="35"/>
  <c r="I71" i="35"/>
  <c r="K70" i="35"/>
  <c r="J70" i="35"/>
  <c r="I70" i="35"/>
  <c r="K69" i="35"/>
  <c r="J69" i="35"/>
  <c r="I69" i="35"/>
  <c r="K68" i="35"/>
  <c r="J68" i="35"/>
  <c r="I68" i="35"/>
  <c r="K67" i="35"/>
  <c r="J67" i="35"/>
  <c r="I67" i="35"/>
  <c r="H67" i="35"/>
  <c r="K80" i="36"/>
  <c r="M80" i="36" s="1"/>
  <c r="J80" i="36"/>
  <c r="I80" i="36"/>
  <c r="K79" i="36"/>
  <c r="M79" i="36" s="1"/>
  <c r="J79" i="36"/>
  <c r="I79" i="36"/>
  <c r="K78" i="36"/>
  <c r="J78" i="36"/>
  <c r="I78" i="36"/>
  <c r="K77" i="36"/>
  <c r="J77" i="36"/>
  <c r="I77" i="36"/>
  <c r="K76" i="36"/>
  <c r="J76" i="36"/>
  <c r="I76" i="36"/>
  <c r="K75" i="36"/>
  <c r="J75" i="36"/>
  <c r="I75" i="36"/>
  <c r="K74" i="36"/>
  <c r="J74" i="36"/>
  <c r="I74" i="36"/>
  <c r="K73" i="36"/>
  <c r="J73" i="36"/>
  <c r="I73" i="36"/>
  <c r="K72" i="36"/>
  <c r="J72" i="36"/>
  <c r="I72" i="36"/>
  <c r="K71" i="36"/>
  <c r="J71" i="36"/>
  <c r="I71" i="36"/>
  <c r="K70" i="36"/>
  <c r="J70" i="36"/>
  <c r="I70" i="36"/>
  <c r="K69" i="36"/>
  <c r="J69" i="36"/>
  <c r="I69" i="36"/>
  <c r="K68" i="36"/>
  <c r="J68" i="36"/>
  <c r="I68" i="36"/>
  <c r="K67" i="36"/>
  <c r="J67" i="36"/>
  <c r="I67" i="36"/>
  <c r="H67" i="36"/>
  <c r="K80" i="37"/>
  <c r="M80" i="37" s="1"/>
  <c r="J80" i="37"/>
  <c r="I80" i="37"/>
  <c r="K79" i="37"/>
  <c r="M79" i="37" s="1"/>
  <c r="J79" i="37"/>
  <c r="I79" i="37"/>
  <c r="K78" i="37"/>
  <c r="M78" i="37" s="1"/>
  <c r="J78" i="37"/>
  <c r="I78" i="37"/>
  <c r="K77" i="37"/>
  <c r="J77" i="37"/>
  <c r="I77" i="37"/>
  <c r="K76" i="37"/>
  <c r="J76" i="37"/>
  <c r="I76" i="37"/>
  <c r="K75" i="37"/>
  <c r="J75" i="37"/>
  <c r="I75" i="37"/>
  <c r="K74" i="37"/>
  <c r="J74" i="37"/>
  <c r="I74" i="37"/>
  <c r="K73" i="37"/>
  <c r="J73" i="37"/>
  <c r="I73" i="37"/>
  <c r="K72" i="37"/>
  <c r="J72" i="37"/>
  <c r="I72" i="37"/>
  <c r="K71" i="37"/>
  <c r="J71" i="37"/>
  <c r="I71" i="37"/>
  <c r="K70" i="37"/>
  <c r="J70" i="37"/>
  <c r="I70" i="37"/>
  <c r="K69" i="37"/>
  <c r="J69" i="37"/>
  <c r="I69" i="37"/>
  <c r="K68" i="37"/>
  <c r="J68" i="37"/>
  <c r="I68" i="37"/>
  <c r="K67" i="37"/>
  <c r="J67" i="37"/>
  <c r="I67" i="37"/>
  <c r="H67" i="37"/>
  <c r="K79" i="34"/>
  <c r="J79" i="34"/>
  <c r="I79" i="34"/>
  <c r="K78" i="34"/>
  <c r="J78" i="34"/>
  <c r="I78" i="34"/>
  <c r="K77" i="34"/>
  <c r="J77" i="34"/>
  <c r="I77" i="34"/>
  <c r="K76" i="34"/>
  <c r="J76" i="34"/>
  <c r="I76" i="34"/>
  <c r="K75" i="34"/>
  <c r="J75" i="34"/>
  <c r="I75" i="34"/>
  <c r="K74" i="34"/>
  <c r="J74" i="34"/>
  <c r="I74" i="34"/>
  <c r="K73" i="34"/>
  <c r="J73" i="34"/>
  <c r="I73" i="34"/>
  <c r="K72" i="34"/>
  <c r="J72" i="34"/>
  <c r="I72" i="34"/>
  <c r="K71" i="34"/>
  <c r="J71" i="34"/>
  <c r="I71" i="34"/>
  <c r="K70" i="34"/>
  <c r="J70" i="34"/>
  <c r="I70" i="34"/>
  <c r="K69" i="34"/>
  <c r="J69" i="34"/>
  <c r="I69" i="34"/>
  <c r="K68" i="34"/>
  <c r="J68" i="34"/>
  <c r="I68" i="34"/>
  <c r="K67" i="34"/>
  <c r="J67" i="34"/>
  <c r="I67" i="34"/>
  <c r="H67" i="34"/>
  <c r="K100" i="35"/>
  <c r="M100" i="35" s="1"/>
  <c r="J100" i="35"/>
  <c r="I100" i="35"/>
  <c r="K99" i="35"/>
  <c r="M99" i="35" s="1"/>
  <c r="J99" i="35"/>
  <c r="I99" i="35"/>
  <c r="K98" i="35"/>
  <c r="M98" i="35" s="1"/>
  <c r="J98" i="35"/>
  <c r="I98" i="35"/>
  <c r="K97" i="35"/>
  <c r="M97" i="35" s="1"/>
  <c r="J97" i="35"/>
  <c r="I97" i="35"/>
  <c r="K96" i="35"/>
  <c r="M96" i="35" s="1"/>
  <c r="J96" i="35"/>
  <c r="I96" i="35"/>
  <c r="K95" i="35"/>
  <c r="M95" i="35" s="1"/>
  <c r="J95" i="35"/>
  <c r="I95" i="35"/>
  <c r="K94" i="35"/>
  <c r="M94" i="35" s="1"/>
  <c r="J94" i="35"/>
  <c r="I94" i="35"/>
  <c r="K93" i="35"/>
  <c r="J93" i="35"/>
  <c r="I93" i="35"/>
  <c r="K92" i="35"/>
  <c r="J92" i="35"/>
  <c r="I92" i="35"/>
  <c r="K91" i="35"/>
  <c r="J91" i="35"/>
  <c r="I91" i="35"/>
  <c r="K90" i="35"/>
  <c r="J90" i="35"/>
  <c r="I90" i="35"/>
  <c r="K89" i="35"/>
  <c r="J89" i="35"/>
  <c r="I89" i="35"/>
  <c r="K88" i="35"/>
  <c r="J88" i="35"/>
  <c r="I88" i="35"/>
  <c r="K87" i="35"/>
  <c r="J87" i="35"/>
  <c r="I87" i="35"/>
  <c r="H87" i="35"/>
  <c r="K100" i="36"/>
  <c r="M100" i="36" s="1"/>
  <c r="J100" i="36"/>
  <c r="I100" i="36"/>
  <c r="K99" i="36"/>
  <c r="M99" i="36" s="1"/>
  <c r="J99" i="36"/>
  <c r="I99" i="36"/>
  <c r="K98" i="36"/>
  <c r="J98" i="36"/>
  <c r="I98" i="36"/>
  <c r="K97" i="36"/>
  <c r="J97" i="36"/>
  <c r="I97" i="36"/>
  <c r="K96" i="36"/>
  <c r="J96" i="36"/>
  <c r="I96" i="36"/>
  <c r="K95" i="36"/>
  <c r="J95" i="36"/>
  <c r="I95" i="36"/>
  <c r="K94" i="36"/>
  <c r="J94" i="36"/>
  <c r="I94" i="36"/>
  <c r="K93" i="36"/>
  <c r="J93" i="36"/>
  <c r="I93" i="36"/>
  <c r="K92" i="36"/>
  <c r="J92" i="36"/>
  <c r="I92" i="36"/>
  <c r="K91" i="36"/>
  <c r="J91" i="36"/>
  <c r="I91" i="36"/>
  <c r="K90" i="36"/>
  <c r="J90" i="36"/>
  <c r="I90" i="36"/>
  <c r="K89" i="36"/>
  <c r="J89" i="36"/>
  <c r="I89" i="36"/>
  <c r="K88" i="36"/>
  <c r="J88" i="36"/>
  <c r="I88" i="36"/>
  <c r="K87" i="36"/>
  <c r="J87" i="36"/>
  <c r="I87" i="36"/>
  <c r="H87" i="36"/>
  <c r="K100" i="37"/>
  <c r="M100" i="37" s="1"/>
  <c r="J100" i="37"/>
  <c r="I100" i="37"/>
  <c r="K99" i="37"/>
  <c r="M99" i="37" s="1"/>
  <c r="J99" i="37"/>
  <c r="I99" i="37"/>
  <c r="K98" i="37"/>
  <c r="M98" i="37" s="1"/>
  <c r="J98" i="37"/>
  <c r="I98" i="37"/>
  <c r="K97" i="37"/>
  <c r="J97" i="37"/>
  <c r="I97" i="37"/>
  <c r="K96" i="37"/>
  <c r="J96" i="37"/>
  <c r="I96" i="37"/>
  <c r="K95" i="37"/>
  <c r="J95" i="37"/>
  <c r="I95" i="37"/>
  <c r="K94" i="37"/>
  <c r="J94" i="37"/>
  <c r="I94" i="37"/>
  <c r="K93" i="37"/>
  <c r="J93" i="37"/>
  <c r="I93" i="37"/>
  <c r="K92" i="37"/>
  <c r="J92" i="37"/>
  <c r="I92" i="37"/>
  <c r="K91" i="37"/>
  <c r="J91" i="37"/>
  <c r="I91" i="37"/>
  <c r="K90" i="37"/>
  <c r="J90" i="37"/>
  <c r="I90" i="37"/>
  <c r="K89" i="37"/>
  <c r="J89" i="37"/>
  <c r="I89" i="37"/>
  <c r="K88" i="37"/>
  <c r="J88" i="37"/>
  <c r="I88" i="37"/>
  <c r="K87" i="37"/>
  <c r="J87" i="37"/>
  <c r="I87" i="37"/>
  <c r="H87" i="37"/>
  <c r="K100" i="34"/>
  <c r="M100" i="34" s="1"/>
  <c r="J100" i="34"/>
  <c r="I100" i="34"/>
  <c r="K99" i="34"/>
  <c r="J99" i="34"/>
  <c r="I99" i="34"/>
  <c r="K98" i="34"/>
  <c r="J98" i="34"/>
  <c r="I98" i="34"/>
  <c r="K97" i="34"/>
  <c r="J97" i="34"/>
  <c r="I97" i="34"/>
  <c r="K96" i="34"/>
  <c r="J96" i="34"/>
  <c r="I96" i="34"/>
  <c r="K95" i="34"/>
  <c r="J95" i="34"/>
  <c r="I95" i="34"/>
  <c r="K94" i="34"/>
  <c r="J94" i="34"/>
  <c r="I94" i="34"/>
  <c r="K93" i="34"/>
  <c r="J93" i="34"/>
  <c r="I93" i="34"/>
  <c r="K92" i="34"/>
  <c r="J92" i="34"/>
  <c r="I92" i="34"/>
  <c r="K91" i="34"/>
  <c r="J91" i="34"/>
  <c r="I91" i="34"/>
  <c r="K90" i="34"/>
  <c r="J90" i="34"/>
  <c r="I90" i="34"/>
  <c r="K89" i="34"/>
  <c r="J89" i="34"/>
  <c r="I89" i="34"/>
  <c r="K88" i="34"/>
  <c r="J88" i="34"/>
  <c r="I88" i="34"/>
  <c r="K87" i="34"/>
  <c r="J87" i="34"/>
  <c r="I87" i="34"/>
  <c r="H87" i="34"/>
  <c r="K40" i="32"/>
  <c r="M40" i="32" s="1"/>
  <c r="J40" i="32"/>
  <c r="I40" i="32"/>
  <c r="K39" i="32"/>
  <c r="M39" i="32" s="1"/>
  <c r="J39" i="32"/>
  <c r="I39" i="32"/>
  <c r="K38" i="32"/>
  <c r="M38" i="32" s="1"/>
  <c r="J38" i="32"/>
  <c r="I38" i="32"/>
  <c r="K37" i="32"/>
  <c r="M37" i="32" s="1"/>
  <c r="J37" i="32"/>
  <c r="I37" i="32"/>
  <c r="K36" i="32"/>
  <c r="M36" i="32" s="1"/>
  <c r="J36" i="32"/>
  <c r="I36" i="32"/>
  <c r="K34" i="32"/>
  <c r="J34" i="32"/>
  <c r="I34" i="32"/>
  <c r="K33" i="32"/>
  <c r="J33" i="32"/>
  <c r="I33" i="32"/>
  <c r="K32" i="32"/>
  <c r="J32" i="32"/>
  <c r="I32" i="32"/>
  <c r="K31" i="32"/>
  <c r="J31" i="32"/>
  <c r="I31" i="32"/>
  <c r="K30" i="32"/>
  <c r="J30" i="32"/>
  <c r="I30" i="32"/>
  <c r="K29" i="32"/>
  <c r="J29" i="32"/>
  <c r="I29" i="32"/>
  <c r="K28" i="32"/>
  <c r="J28" i="32"/>
  <c r="I28" i="32"/>
  <c r="K27" i="32"/>
  <c r="J27" i="32"/>
  <c r="I27" i="32"/>
  <c r="H27" i="32"/>
  <c r="K40" i="31"/>
  <c r="M40" i="31" s="1"/>
  <c r="J40" i="31"/>
  <c r="I40" i="31"/>
  <c r="K39" i="31"/>
  <c r="M39" i="31" s="1"/>
  <c r="J39" i="31"/>
  <c r="I39" i="31"/>
  <c r="K38" i="31"/>
  <c r="M38" i="31" s="1"/>
  <c r="J38" i="31"/>
  <c r="I38" i="31"/>
  <c r="K37" i="31"/>
  <c r="M37" i="31" s="1"/>
  <c r="J37" i="31"/>
  <c r="I37" i="31"/>
  <c r="K36" i="31"/>
  <c r="M36" i="31" s="1"/>
  <c r="J36" i="31"/>
  <c r="I36" i="31"/>
  <c r="K35" i="31"/>
  <c r="M35" i="31" s="1"/>
  <c r="J35" i="31"/>
  <c r="I35" i="31"/>
  <c r="K34" i="31"/>
  <c r="M34" i="31" s="1"/>
  <c r="J34" i="31"/>
  <c r="I34" i="31"/>
  <c r="K33" i="31"/>
  <c r="M33" i="31" s="1"/>
  <c r="J33" i="31"/>
  <c r="I33" i="31"/>
  <c r="K32" i="31"/>
  <c r="M32" i="31" s="1"/>
  <c r="J32" i="31"/>
  <c r="I32" i="31"/>
  <c r="K31" i="31"/>
  <c r="M31" i="31" s="1"/>
  <c r="J31" i="31"/>
  <c r="I31" i="31"/>
  <c r="K30" i="31"/>
  <c r="M30" i="31" s="1"/>
  <c r="J30" i="31"/>
  <c r="I30" i="31"/>
  <c r="K29" i="31"/>
  <c r="J29" i="31"/>
  <c r="I29" i="31"/>
  <c r="K28" i="31"/>
  <c r="J28" i="31"/>
  <c r="I28" i="31"/>
  <c r="K27" i="31"/>
  <c r="J27" i="31"/>
  <c r="I27" i="31"/>
  <c r="H27" i="31"/>
  <c r="K41" i="30"/>
  <c r="M41" i="30" s="1"/>
  <c r="J41" i="30"/>
  <c r="I41" i="30"/>
  <c r="K40" i="30"/>
  <c r="M40" i="30" s="1"/>
  <c r="J40" i="30"/>
  <c r="I40" i="30"/>
  <c r="K39" i="30"/>
  <c r="M39" i="30" s="1"/>
  <c r="J39" i="30"/>
  <c r="I39" i="30"/>
  <c r="K38" i="30"/>
  <c r="M38" i="30" s="1"/>
  <c r="J38" i="30"/>
  <c r="I38" i="30"/>
  <c r="K37" i="30"/>
  <c r="M37" i="30" s="1"/>
  <c r="J37" i="30"/>
  <c r="I37" i="30"/>
  <c r="K36" i="30"/>
  <c r="M36" i="30" s="1"/>
  <c r="J36" i="30"/>
  <c r="I36" i="30"/>
  <c r="K35" i="30"/>
  <c r="M35" i="30" s="1"/>
  <c r="J35" i="30"/>
  <c r="I35" i="30"/>
  <c r="K34" i="30"/>
  <c r="M34" i="30" s="1"/>
  <c r="J34" i="30"/>
  <c r="I34" i="30"/>
  <c r="K33" i="30"/>
  <c r="M33" i="30" s="1"/>
  <c r="J33" i="30"/>
  <c r="I33" i="30"/>
  <c r="K32" i="30"/>
  <c r="M32" i="30" s="1"/>
  <c r="J32" i="30"/>
  <c r="I32" i="30"/>
  <c r="K29" i="30"/>
  <c r="J29" i="30"/>
  <c r="I29" i="30"/>
  <c r="K28" i="30"/>
  <c r="J28" i="30"/>
  <c r="I28" i="30"/>
  <c r="K27" i="30"/>
  <c r="J27" i="30"/>
  <c r="I27" i="30"/>
  <c r="H27" i="30"/>
  <c r="K60" i="32"/>
  <c r="J60" i="32"/>
  <c r="I60" i="32"/>
  <c r="K59" i="32"/>
  <c r="J59" i="32"/>
  <c r="I59" i="32"/>
  <c r="K58" i="32"/>
  <c r="J58" i="32"/>
  <c r="I58" i="32"/>
  <c r="K57" i="32"/>
  <c r="J57" i="32"/>
  <c r="I57" i="32"/>
  <c r="K56" i="32"/>
  <c r="J56" i="32"/>
  <c r="I56" i="32"/>
  <c r="K55" i="32"/>
  <c r="J55" i="32"/>
  <c r="I55" i="32"/>
  <c r="K54" i="32"/>
  <c r="J54" i="32"/>
  <c r="I54" i="32"/>
  <c r="K53" i="32"/>
  <c r="J53" i="32"/>
  <c r="I53" i="32"/>
  <c r="K52" i="32"/>
  <c r="J52" i="32"/>
  <c r="I52" i="32"/>
  <c r="K51" i="32"/>
  <c r="J51" i="32"/>
  <c r="I51" i="32"/>
  <c r="K50" i="32"/>
  <c r="J50" i="32"/>
  <c r="I50" i="32"/>
  <c r="K49" i="32"/>
  <c r="J49" i="32"/>
  <c r="I49" i="32"/>
  <c r="K48" i="32"/>
  <c r="J48" i="32"/>
  <c r="I48" i="32"/>
  <c r="K47" i="32"/>
  <c r="J47" i="32"/>
  <c r="I47" i="32"/>
  <c r="H47" i="32"/>
  <c r="K60" i="31"/>
  <c r="M60" i="31" s="1"/>
  <c r="J60" i="31"/>
  <c r="I60" i="31"/>
  <c r="K59" i="31"/>
  <c r="M59" i="31" s="1"/>
  <c r="J59" i="31"/>
  <c r="I59" i="31"/>
  <c r="K58" i="31"/>
  <c r="M58" i="31" s="1"/>
  <c r="J58" i="31"/>
  <c r="I58" i="31"/>
  <c r="K57" i="31"/>
  <c r="M57" i="31" s="1"/>
  <c r="J57" i="31"/>
  <c r="I57" i="31"/>
  <c r="K56" i="31"/>
  <c r="M56" i="31" s="1"/>
  <c r="J56" i="31"/>
  <c r="I56" i="31"/>
  <c r="K55" i="31"/>
  <c r="M55" i="31" s="1"/>
  <c r="J55" i="31"/>
  <c r="I55" i="31"/>
  <c r="K54" i="31"/>
  <c r="M54" i="31" s="1"/>
  <c r="J54" i="31"/>
  <c r="I54" i="31"/>
  <c r="K53" i="31"/>
  <c r="M53" i="31" s="1"/>
  <c r="J53" i="31"/>
  <c r="I53" i="31"/>
  <c r="K52" i="31"/>
  <c r="M52" i="31" s="1"/>
  <c r="J52" i="31"/>
  <c r="I52" i="31"/>
  <c r="K51" i="31"/>
  <c r="M51" i="31" s="1"/>
  <c r="J51" i="31"/>
  <c r="I51" i="31"/>
  <c r="K50" i="31"/>
  <c r="M50" i="31" s="1"/>
  <c r="J50" i="31"/>
  <c r="I50" i="31"/>
  <c r="K49" i="31"/>
  <c r="J49" i="31"/>
  <c r="I49" i="31"/>
  <c r="K48" i="31"/>
  <c r="J48" i="31"/>
  <c r="I48" i="31"/>
  <c r="K47" i="31"/>
  <c r="J47" i="31"/>
  <c r="I47" i="31"/>
  <c r="H47" i="31"/>
  <c r="K61" i="30"/>
  <c r="M61" i="30" s="1"/>
  <c r="J61" i="30"/>
  <c r="I61" i="30"/>
  <c r="K60" i="30"/>
  <c r="M60" i="30" s="1"/>
  <c r="J60" i="30"/>
  <c r="I60" i="30"/>
  <c r="K59" i="30"/>
  <c r="M59" i="30" s="1"/>
  <c r="J59" i="30"/>
  <c r="I59" i="30"/>
  <c r="K58" i="30"/>
  <c r="M58" i="30" s="1"/>
  <c r="J58" i="30"/>
  <c r="I58" i="30"/>
  <c r="K57" i="30"/>
  <c r="M57" i="30" s="1"/>
  <c r="J57" i="30"/>
  <c r="I57" i="30"/>
  <c r="K56" i="30"/>
  <c r="M56" i="30" s="1"/>
  <c r="J56" i="30"/>
  <c r="I56" i="30"/>
  <c r="K55" i="30"/>
  <c r="M55" i="30" s="1"/>
  <c r="J55" i="30"/>
  <c r="I55" i="30"/>
  <c r="K54" i="30"/>
  <c r="J54" i="30"/>
  <c r="I54" i="30"/>
  <c r="K53" i="30"/>
  <c r="J53" i="30"/>
  <c r="I53" i="30"/>
  <c r="K52" i="30"/>
  <c r="J52" i="30"/>
  <c r="I52" i="30"/>
  <c r="K51" i="30"/>
  <c r="J51" i="30"/>
  <c r="I51" i="30"/>
  <c r="K50" i="30"/>
  <c r="J50" i="30"/>
  <c r="I50" i="30"/>
  <c r="K49" i="30"/>
  <c r="J49" i="30"/>
  <c r="I49" i="30"/>
  <c r="K48" i="30"/>
  <c r="J48" i="30"/>
  <c r="I48" i="30"/>
  <c r="K47" i="30"/>
  <c r="J47" i="30"/>
  <c r="I47" i="30"/>
  <c r="H47" i="30"/>
  <c r="K80" i="32"/>
  <c r="M80" i="32" s="1"/>
  <c r="J80" i="32"/>
  <c r="I80" i="32"/>
  <c r="K79" i="32"/>
  <c r="M79" i="32" s="1"/>
  <c r="J79" i="32"/>
  <c r="I79" i="32"/>
  <c r="K78" i="32"/>
  <c r="M78" i="32" s="1"/>
  <c r="J78" i="32"/>
  <c r="I78" i="32"/>
  <c r="K77" i="32"/>
  <c r="M77" i="32" s="1"/>
  <c r="J77" i="32"/>
  <c r="I77" i="32"/>
  <c r="K76" i="32"/>
  <c r="M76" i="32" s="1"/>
  <c r="J76" i="32"/>
  <c r="I76" i="32"/>
  <c r="K75" i="32"/>
  <c r="J75" i="32"/>
  <c r="I75" i="32"/>
  <c r="K74" i="32"/>
  <c r="J74" i="32"/>
  <c r="I74" i="32"/>
  <c r="K73" i="32"/>
  <c r="J73" i="32"/>
  <c r="I73" i="32"/>
  <c r="K72" i="32"/>
  <c r="J72" i="32"/>
  <c r="I72" i="32"/>
  <c r="K71" i="32"/>
  <c r="J71" i="32"/>
  <c r="I71" i="32"/>
  <c r="K70" i="32"/>
  <c r="J70" i="32"/>
  <c r="I70" i="32"/>
  <c r="K69" i="32"/>
  <c r="J69" i="32"/>
  <c r="I69" i="32"/>
  <c r="K68" i="32"/>
  <c r="J68" i="32"/>
  <c r="I68" i="32"/>
  <c r="K67" i="32"/>
  <c r="J67" i="32"/>
  <c r="I67" i="32"/>
  <c r="H67" i="32"/>
  <c r="K81" i="30"/>
  <c r="M81" i="30" s="1"/>
  <c r="J81" i="30"/>
  <c r="I81" i="30"/>
  <c r="K80" i="30"/>
  <c r="M80" i="30" s="1"/>
  <c r="J80" i="30"/>
  <c r="I80" i="30"/>
  <c r="K79" i="30"/>
  <c r="M79" i="30" s="1"/>
  <c r="J79" i="30"/>
  <c r="I79" i="30"/>
  <c r="K78" i="30"/>
  <c r="M78" i="30" s="1"/>
  <c r="J78" i="30"/>
  <c r="I78" i="30"/>
  <c r="K77" i="30"/>
  <c r="M77" i="30" s="1"/>
  <c r="J77" i="30"/>
  <c r="I77" i="30"/>
  <c r="K76" i="30"/>
  <c r="M76" i="30" s="1"/>
  <c r="J76" i="30"/>
  <c r="I76" i="30"/>
  <c r="K75" i="30"/>
  <c r="M75" i="30" s="1"/>
  <c r="J75" i="30"/>
  <c r="I75" i="30"/>
  <c r="K74" i="30"/>
  <c r="M74" i="30" s="1"/>
  <c r="J74" i="30"/>
  <c r="I74" i="30"/>
  <c r="K73" i="30"/>
  <c r="M73" i="30" s="1"/>
  <c r="J73" i="30"/>
  <c r="I73" i="30"/>
  <c r="K72" i="30"/>
  <c r="M72" i="30" s="1"/>
  <c r="J72" i="30"/>
  <c r="I72" i="30"/>
  <c r="K71" i="30"/>
  <c r="M71" i="30" s="1"/>
  <c r="J71" i="30"/>
  <c r="I71" i="30"/>
  <c r="K70" i="30"/>
  <c r="J70" i="30"/>
  <c r="I70" i="30"/>
  <c r="K69" i="30"/>
  <c r="J69" i="30"/>
  <c r="I69" i="30"/>
  <c r="K68" i="30"/>
  <c r="J68" i="30"/>
  <c r="I68" i="30"/>
  <c r="K67" i="30"/>
  <c r="J67" i="30"/>
  <c r="I67" i="30"/>
  <c r="H67" i="30"/>
  <c r="K100" i="32"/>
  <c r="M100" i="32" s="1"/>
  <c r="J100" i="32"/>
  <c r="I100" i="32"/>
  <c r="K99" i="32"/>
  <c r="M99" i="32" s="1"/>
  <c r="J99" i="32"/>
  <c r="I99" i="32"/>
  <c r="K98" i="32"/>
  <c r="M98" i="32" s="1"/>
  <c r="J98" i="32"/>
  <c r="I98" i="32"/>
  <c r="K97" i="32"/>
  <c r="M97" i="32" s="1"/>
  <c r="J97" i="32"/>
  <c r="I97" i="32"/>
  <c r="K96" i="32"/>
  <c r="M96" i="32" s="1"/>
  <c r="J96" i="32"/>
  <c r="I96" i="32"/>
  <c r="K95" i="32"/>
  <c r="J95" i="32"/>
  <c r="I95" i="32"/>
  <c r="K94" i="32"/>
  <c r="J94" i="32"/>
  <c r="I94" i="32"/>
  <c r="K93" i="32"/>
  <c r="J93" i="32"/>
  <c r="I93" i="32"/>
  <c r="K92" i="32"/>
  <c r="J92" i="32"/>
  <c r="I92" i="32"/>
  <c r="K91" i="32"/>
  <c r="J91" i="32"/>
  <c r="I91" i="32"/>
  <c r="K90" i="32"/>
  <c r="J90" i="32"/>
  <c r="I90" i="32"/>
  <c r="K89" i="32"/>
  <c r="J89" i="32"/>
  <c r="I89" i="32"/>
  <c r="K88" i="32"/>
  <c r="J88" i="32"/>
  <c r="I88" i="32"/>
  <c r="K87" i="32"/>
  <c r="J87" i="32"/>
  <c r="I87" i="32"/>
  <c r="H87" i="32"/>
  <c r="K100" i="31"/>
  <c r="J100" i="31"/>
  <c r="I100" i="31"/>
  <c r="K99" i="31"/>
  <c r="J99" i="31"/>
  <c r="I99" i="31"/>
  <c r="K98" i="31"/>
  <c r="J98" i="31"/>
  <c r="I98" i="31"/>
  <c r="K97" i="31"/>
  <c r="J97" i="31"/>
  <c r="I97" i="31"/>
  <c r="K96" i="31"/>
  <c r="J96" i="31"/>
  <c r="I96" i="31"/>
  <c r="K95" i="31"/>
  <c r="J95" i="31"/>
  <c r="I95" i="31"/>
  <c r="K94" i="31"/>
  <c r="J94" i="31"/>
  <c r="I94" i="31"/>
  <c r="K93" i="31"/>
  <c r="J93" i="31"/>
  <c r="I93" i="31"/>
  <c r="K92" i="31"/>
  <c r="J92" i="31"/>
  <c r="I92" i="31"/>
  <c r="K91" i="31"/>
  <c r="J91" i="31"/>
  <c r="I91" i="31"/>
  <c r="K90" i="31"/>
  <c r="J90" i="31"/>
  <c r="I90" i="31"/>
  <c r="K89" i="31"/>
  <c r="J89" i="31"/>
  <c r="I89" i="31"/>
  <c r="K88" i="31"/>
  <c r="J88" i="31"/>
  <c r="I88" i="31"/>
  <c r="K87" i="31"/>
  <c r="J87" i="31"/>
  <c r="I87" i="31"/>
  <c r="H87" i="31"/>
  <c r="K101" i="30"/>
  <c r="M101" i="30" s="1"/>
  <c r="J101" i="30"/>
  <c r="I101" i="30"/>
  <c r="K100" i="30"/>
  <c r="M100" i="30" s="1"/>
  <c r="J100" i="30"/>
  <c r="I100" i="30"/>
  <c r="K99" i="30"/>
  <c r="M99" i="30" s="1"/>
  <c r="J99" i="30"/>
  <c r="I99" i="30"/>
  <c r="K98" i="30"/>
  <c r="M98" i="30" s="1"/>
  <c r="J98" i="30"/>
  <c r="I98" i="30"/>
  <c r="K97" i="30"/>
  <c r="M97" i="30" s="1"/>
  <c r="J97" i="30"/>
  <c r="I97" i="30"/>
  <c r="K96" i="30"/>
  <c r="M96" i="30" s="1"/>
  <c r="J96" i="30"/>
  <c r="I96" i="30"/>
  <c r="K95" i="30"/>
  <c r="M95" i="30" s="1"/>
  <c r="J95" i="30"/>
  <c r="I95" i="30"/>
  <c r="K94" i="30"/>
  <c r="M94" i="30" s="1"/>
  <c r="J94" i="30"/>
  <c r="I94" i="30"/>
  <c r="K93" i="30"/>
  <c r="M93" i="30" s="1"/>
  <c r="J93" i="30"/>
  <c r="I93" i="30"/>
  <c r="K92" i="30"/>
  <c r="M92" i="30" s="1"/>
  <c r="J92" i="30"/>
  <c r="I92" i="30"/>
  <c r="K91" i="30"/>
  <c r="M91" i="30" s="1"/>
  <c r="J91" i="30"/>
  <c r="I91" i="30"/>
  <c r="K90" i="30"/>
  <c r="J90" i="30"/>
  <c r="I90" i="30"/>
  <c r="K89" i="30"/>
  <c r="J89" i="30"/>
  <c r="I89" i="30"/>
  <c r="K88" i="30"/>
  <c r="J88" i="30"/>
  <c r="I88" i="30"/>
  <c r="K87" i="30"/>
  <c r="J87" i="30"/>
  <c r="I87" i="30"/>
  <c r="H87" i="30"/>
  <c r="V12" i="5"/>
  <c r="V26" i="5"/>
  <c r="V6" i="5"/>
  <c r="I11" i="39" s="1"/>
  <c r="P26" i="5"/>
  <c r="P12" i="5"/>
  <c r="M12" i="5"/>
  <c r="M26" i="5"/>
  <c r="G12" i="5"/>
  <c r="G26" i="5"/>
  <c r="G6" i="5"/>
  <c r="I6" i="39" s="1"/>
  <c r="S33" i="3"/>
  <c r="S26" i="3"/>
  <c r="S19" i="3"/>
  <c r="S12" i="3"/>
  <c r="S6" i="3"/>
  <c r="B10" i="39" s="1"/>
  <c r="M33" i="3"/>
  <c r="M26" i="3"/>
  <c r="M19" i="3"/>
  <c r="M12" i="3"/>
  <c r="M6" i="3"/>
  <c r="B8" i="39" s="1"/>
  <c r="J12" i="3"/>
  <c r="J19" i="3"/>
  <c r="J26" i="3"/>
  <c r="J33" i="3"/>
  <c r="J6" i="3"/>
  <c r="B7" i="39" s="1"/>
  <c r="G19" i="3"/>
  <c r="G26" i="3"/>
  <c r="G33" i="3"/>
  <c r="G12" i="3"/>
  <c r="G6" i="3"/>
  <c r="B6" i="39" s="1"/>
  <c r="V19" i="3" l="1"/>
  <c r="V26" i="3"/>
  <c r="M87" i="30"/>
  <c r="M89" i="34"/>
  <c r="M88" i="37"/>
  <c r="M98" i="36"/>
  <c r="M99" i="34"/>
  <c r="M95" i="32"/>
  <c r="M90" i="30"/>
  <c r="M78" i="36"/>
  <c r="M75" i="32"/>
  <c r="M70" i="30"/>
  <c r="M58" i="36"/>
  <c r="M38" i="36"/>
  <c r="M37" i="36"/>
  <c r="M88" i="30"/>
  <c r="M87" i="34"/>
  <c r="M91" i="34"/>
  <c r="M95" i="34"/>
  <c r="M90" i="37"/>
  <c r="M94" i="37"/>
  <c r="M90" i="34"/>
  <c r="M94" i="34"/>
  <c r="M98" i="34"/>
  <c r="M89" i="37"/>
  <c r="M93" i="37"/>
  <c r="M97" i="37"/>
  <c r="M93" i="34"/>
  <c r="M97" i="34"/>
  <c r="M92" i="37"/>
  <c r="M96" i="37"/>
  <c r="M89" i="30"/>
  <c r="M88" i="34"/>
  <c r="M92" i="34"/>
  <c r="M96" i="34"/>
  <c r="M87" i="37"/>
  <c r="M101" i="37"/>
  <c r="M91" i="37"/>
  <c r="M95" i="37"/>
  <c r="M97" i="36"/>
  <c r="M88" i="36"/>
  <c r="M96" i="36"/>
  <c r="M77" i="37"/>
  <c r="M76" i="37"/>
  <c r="M74" i="36"/>
  <c r="M76" i="36"/>
  <c r="M77" i="36"/>
  <c r="M75" i="36"/>
  <c r="M73" i="35"/>
  <c r="M68" i="34"/>
  <c r="M57" i="32"/>
  <c r="M60" i="32"/>
  <c r="M59" i="32"/>
  <c r="M58" i="32"/>
  <c r="L47" i="32"/>
  <c r="M57" i="37"/>
  <c r="M50" i="37"/>
  <c r="M56" i="37"/>
  <c r="M56" i="36"/>
  <c r="M55" i="36"/>
  <c r="M54" i="36"/>
  <c r="M57" i="36"/>
  <c r="M53" i="35"/>
  <c r="M56" i="32"/>
  <c r="M55" i="32"/>
  <c r="M36" i="37"/>
  <c r="M37" i="37"/>
  <c r="M35" i="37"/>
  <c r="M34" i="37"/>
  <c r="M36" i="36"/>
  <c r="M35" i="36"/>
  <c r="M34" i="36"/>
  <c r="M33" i="35"/>
  <c r="M39" i="34"/>
  <c r="M68" i="30"/>
  <c r="M88" i="32"/>
  <c r="M92" i="32"/>
  <c r="M67" i="30"/>
  <c r="M49" i="32"/>
  <c r="M89" i="36"/>
  <c r="M93" i="36"/>
  <c r="M88" i="35"/>
  <c r="M92" i="35"/>
  <c r="M71" i="34"/>
  <c r="M75" i="34"/>
  <c r="M79" i="34"/>
  <c r="M67" i="37"/>
  <c r="M101" i="32"/>
  <c r="M87" i="32"/>
  <c r="M91" i="32"/>
  <c r="M92" i="36"/>
  <c r="M87" i="35"/>
  <c r="M101" i="35"/>
  <c r="M91" i="35"/>
  <c r="M70" i="34"/>
  <c r="M74" i="34"/>
  <c r="M78" i="34"/>
  <c r="M90" i="32"/>
  <c r="M94" i="32"/>
  <c r="M69" i="30"/>
  <c r="M48" i="31"/>
  <c r="M101" i="36"/>
  <c r="M87" i="36"/>
  <c r="M91" i="36"/>
  <c r="M95" i="36"/>
  <c r="M90" i="35"/>
  <c r="M69" i="34"/>
  <c r="M73" i="34"/>
  <c r="M77" i="34"/>
  <c r="M89" i="32"/>
  <c r="M93" i="32"/>
  <c r="M90" i="36"/>
  <c r="M94" i="36"/>
  <c r="M89" i="35"/>
  <c r="M93" i="35"/>
  <c r="M72" i="34"/>
  <c r="M76" i="34"/>
  <c r="M48" i="37"/>
  <c r="M48" i="35"/>
  <c r="M99" i="31"/>
  <c r="M91" i="31"/>
  <c r="M95" i="31"/>
  <c r="M100" i="31"/>
  <c r="M89" i="31"/>
  <c r="M94" i="31"/>
  <c r="M98" i="31"/>
  <c r="M88" i="31"/>
  <c r="M93" i="31"/>
  <c r="M97" i="31"/>
  <c r="M90" i="31"/>
  <c r="M87" i="31"/>
  <c r="M92" i="31"/>
  <c r="M96" i="31"/>
  <c r="P33" i="3"/>
  <c r="V33" i="3"/>
  <c r="L87" i="31"/>
  <c r="M69" i="32"/>
  <c r="M71" i="32"/>
  <c r="M49" i="31"/>
  <c r="M48" i="32"/>
  <c r="M52" i="32"/>
  <c r="M27" i="30"/>
  <c r="M67" i="34"/>
  <c r="M48" i="34"/>
  <c r="M52" i="34"/>
  <c r="M56" i="34"/>
  <c r="M54" i="37"/>
  <c r="M55" i="37"/>
  <c r="M47" i="37"/>
  <c r="M61" i="37"/>
  <c r="M51" i="37"/>
  <c r="M48" i="36"/>
  <c r="M52" i="36"/>
  <c r="M47" i="35"/>
  <c r="M61" i="35"/>
  <c r="M51" i="35"/>
  <c r="M47" i="32"/>
  <c r="M61" i="32"/>
  <c r="M51" i="32"/>
  <c r="M47" i="34"/>
  <c r="M61" i="34"/>
  <c r="M51" i="34"/>
  <c r="M55" i="34"/>
  <c r="M59" i="34"/>
  <c r="M61" i="36"/>
  <c r="M47" i="36"/>
  <c r="M51" i="36"/>
  <c r="M50" i="35"/>
  <c r="M28" i="34"/>
  <c r="M28" i="36"/>
  <c r="P12" i="3"/>
  <c r="M73" i="32"/>
  <c r="M61" i="31"/>
  <c r="M47" i="31"/>
  <c r="M50" i="32"/>
  <c r="M54" i="32"/>
  <c r="M29" i="32"/>
  <c r="M70" i="36"/>
  <c r="M71" i="35"/>
  <c r="M50" i="34"/>
  <c r="M54" i="34"/>
  <c r="M58" i="34"/>
  <c r="M49" i="37"/>
  <c r="M53" i="37"/>
  <c r="M50" i="36"/>
  <c r="M49" i="35"/>
  <c r="M53" i="32"/>
  <c r="M71" i="37"/>
  <c r="M75" i="37"/>
  <c r="M49" i="34"/>
  <c r="M53" i="34"/>
  <c r="M57" i="34"/>
  <c r="M52" i="37"/>
  <c r="M49" i="36"/>
  <c r="M53" i="36"/>
  <c r="M52" i="35"/>
  <c r="M70" i="37"/>
  <c r="M74" i="37"/>
  <c r="M72" i="37"/>
  <c r="M68" i="37"/>
  <c r="M73" i="37"/>
  <c r="M72" i="36"/>
  <c r="M71" i="36"/>
  <c r="M69" i="36"/>
  <c r="M68" i="36"/>
  <c r="M73" i="36"/>
  <c r="M70" i="35"/>
  <c r="M68" i="35"/>
  <c r="M69" i="35"/>
  <c r="M67" i="35"/>
  <c r="M72" i="35"/>
  <c r="M70" i="32"/>
  <c r="M68" i="32"/>
  <c r="M74" i="32"/>
  <c r="L67" i="32"/>
  <c r="M72" i="32"/>
  <c r="P26" i="3"/>
  <c r="M51" i="30"/>
  <c r="M53" i="30"/>
  <c r="M47" i="30"/>
  <c r="M50" i="30"/>
  <c r="M49" i="30"/>
  <c r="M48" i="30"/>
  <c r="M54" i="30"/>
  <c r="M52" i="30"/>
  <c r="P19" i="3"/>
  <c r="V12" i="3"/>
  <c r="M30" i="30"/>
  <c r="M33" i="32"/>
  <c r="L87" i="36"/>
  <c r="L67" i="34"/>
  <c r="L47" i="35"/>
  <c r="L87" i="32"/>
  <c r="L47" i="30"/>
  <c r="L87" i="34"/>
  <c r="L67" i="37"/>
  <c r="M81" i="36"/>
  <c r="M32" i="34"/>
  <c r="M36" i="34"/>
  <c r="M27" i="37"/>
  <c r="M41" i="37"/>
  <c r="M30" i="37"/>
  <c r="M32" i="36"/>
  <c r="M27" i="35"/>
  <c r="M41" i="35"/>
  <c r="M30" i="35"/>
  <c r="L67" i="30"/>
  <c r="M28" i="30"/>
  <c r="M29" i="31"/>
  <c r="M31" i="32"/>
  <c r="M35" i="32"/>
  <c r="M101" i="31"/>
  <c r="M67" i="32"/>
  <c r="M31" i="30"/>
  <c r="M28" i="31"/>
  <c r="M27" i="32"/>
  <c r="M41" i="32"/>
  <c r="M30" i="32"/>
  <c r="M34" i="32"/>
  <c r="M31" i="34"/>
  <c r="M35" i="34"/>
  <c r="M29" i="37"/>
  <c r="M33" i="37"/>
  <c r="M31" i="36"/>
  <c r="M29" i="35"/>
  <c r="L67" i="36"/>
  <c r="L47" i="34"/>
  <c r="M27" i="34"/>
  <c r="M41" i="34"/>
  <c r="M30" i="34"/>
  <c r="M34" i="34"/>
  <c r="M38" i="34"/>
  <c r="M28" i="37"/>
  <c r="M32" i="37"/>
  <c r="M27" i="36"/>
  <c r="M41" i="36"/>
  <c r="M30" i="36"/>
  <c r="M28" i="35"/>
  <c r="M32" i="35"/>
  <c r="M29" i="30"/>
  <c r="M27" i="31"/>
  <c r="M41" i="31"/>
  <c r="M28" i="32"/>
  <c r="M32" i="32"/>
  <c r="L87" i="37"/>
  <c r="M67" i="36"/>
  <c r="L47" i="37"/>
  <c r="M29" i="34"/>
  <c r="M33" i="34"/>
  <c r="M37" i="34"/>
  <c r="M31" i="37"/>
  <c r="M29" i="36"/>
  <c r="M33" i="36"/>
  <c r="M31" i="35"/>
  <c r="L27" i="37"/>
  <c r="L27" i="35"/>
  <c r="L27" i="32"/>
  <c r="L27" i="30"/>
  <c r="L27" i="34"/>
  <c r="L27" i="36"/>
  <c r="M81" i="37"/>
  <c r="L47" i="36"/>
  <c r="M81" i="35"/>
  <c r="M69" i="37"/>
  <c r="L67" i="35"/>
  <c r="L87" i="35"/>
  <c r="L27" i="31"/>
  <c r="L47" i="31"/>
  <c r="M81" i="32"/>
  <c r="L87" i="30"/>
  <c r="AZ121" i="30" l="1"/>
  <c r="AZ120" i="30"/>
  <c r="AZ119" i="30"/>
  <c r="AZ118" i="30"/>
  <c r="AZ117" i="30"/>
  <c r="AZ116" i="30"/>
  <c r="AZ115" i="30"/>
  <c r="AZ114" i="30"/>
  <c r="AZ113" i="30"/>
  <c r="AZ112" i="30"/>
  <c r="AZ111" i="30"/>
  <c r="AZ110" i="30"/>
  <c r="AZ109" i="30"/>
  <c r="AZ108" i="30"/>
  <c r="BA107" i="30"/>
  <c r="AZ107" i="30"/>
  <c r="AZ101" i="30"/>
  <c r="AZ100" i="30"/>
  <c r="AZ99" i="30"/>
  <c r="AZ98" i="30"/>
  <c r="AZ97" i="30"/>
  <c r="AZ96" i="30"/>
  <c r="AZ95" i="30"/>
  <c r="AZ94" i="30"/>
  <c r="AZ93" i="30"/>
  <c r="AZ92" i="30"/>
  <c r="AZ91" i="30"/>
  <c r="AZ90" i="30"/>
  <c r="AZ89" i="30"/>
  <c r="AZ88" i="30"/>
  <c r="BA87" i="30"/>
  <c r="AZ87" i="30"/>
  <c r="AZ81" i="30"/>
  <c r="AZ80" i="30"/>
  <c r="AZ79" i="30"/>
  <c r="AZ78" i="30"/>
  <c r="AZ77" i="30"/>
  <c r="AZ76" i="30"/>
  <c r="AZ75" i="30"/>
  <c r="AZ74" i="30"/>
  <c r="AZ73" i="30"/>
  <c r="AZ72" i="30"/>
  <c r="AZ71" i="30"/>
  <c r="AZ70" i="30"/>
  <c r="AZ69" i="30"/>
  <c r="AZ68" i="30"/>
  <c r="BA67" i="30"/>
  <c r="AZ67" i="30"/>
  <c r="BA47" i="30"/>
  <c r="AZ47" i="30"/>
  <c r="AZ41" i="30"/>
  <c r="AZ40" i="30"/>
  <c r="AZ39" i="30"/>
  <c r="AZ38" i="30"/>
  <c r="AZ37" i="30"/>
  <c r="AZ36" i="30"/>
  <c r="AZ35" i="30"/>
  <c r="AZ34" i="30"/>
  <c r="AZ33" i="30"/>
  <c r="AZ32" i="30"/>
  <c r="AZ31" i="30"/>
  <c r="AZ30" i="30"/>
  <c r="AZ29" i="30"/>
  <c r="AZ28" i="30"/>
  <c r="BA27" i="30"/>
  <c r="AZ27" i="30"/>
  <c r="AZ21" i="30"/>
  <c r="AZ20" i="30"/>
  <c r="AZ19" i="30"/>
  <c r="AZ18" i="30"/>
  <c r="AZ17" i="30"/>
  <c r="AZ16" i="30"/>
  <c r="AZ15" i="30"/>
  <c r="AZ14" i="30"/>
  <c r="AZ13" i="30"/>
  <c r="AZ12" i="30"/>
  <c r="AZ11" i="30"/>
  <c r="AZ10" i="30"/>
  <c r="AZ9" i="30"/>
  <c r="AZ8" i="30"/>
  <c r="BA7" i="30"/>
  <c r="AZ7" i="30"/>
  <c r="AZ211" i="8"/>
  <c r="AZ210" i="8"/>
  <c r="AZ209" i="8"/>
  <c r="AZ208" i="8"/>
  <c r="AZ207" i="8"/>
  <c r="AZ206" i="8"/>
  <c r="AZ205" i="8"/>
  <c r="AZ204" i="8"/>
  <c r="AZ203" i="8"/>
  <c r="AZ202" i="8"/>
  <c r="AZ201" i="8"/>
  <c r="AZ200" i="8"/>
  <c r="AZ199" i="8"/>
  <c r="AZ198" i="8"/>
  <c r="AZ197" i="8"/>
  <c r="AZ196" i="8"/>
  <c r="AZ195" i="8"/>
  <c r="AZ194" i="8"/>
  <c r="AZ193" i="8"/>
  <c r="AZ192" i="8"/>
  <c r="AZ191" i="8"/>
  <c r="AZ190" i="8"/>
  <c r="AZ189" i="8"/>
  <c r="AZ188" i="8"/>
  <c r="AZ187" i="8"/>
  <c r="AZ186" i="8"/>
  <c r="AZ185" i="8"/>
  <c r="AZ184" i="8"/>
  <c r="AZ183" i="8"/>
  <c r="BA182" i="8"/>
  <c r="AZ182" i="8"/>
  <c r="AZ176" i="8"/>
  <c r="AZ175" i="8"/>
  <c r="AZ174" i="8"/>
  <c r="AZ173" i="8"/>
  <c r="AZ172" i="8"/>
  <c r="AZ171" i="8"/>
  <c r="AZ170" i="8"/>
  <c r="AZ169" i="8"/>
  <c r="AZ168" i="8"/>
  <c r="AZ167" i="8"/>
  <c r="AZ166" i="8"/>
  <c r="AZ165" i="8"/>
  <c r="AZ164" i="8"/>
  <c r="AZ163" i="8"/>
  <c r="AZ162" i="8"/>
  <c r="AZ161" i="8"/>
  <c r="AZ160" i="8"/>
  <c r="AZ159" i="8"/>
  <c r="AZ158" i="8"/>
  <c r="AZ157" i="8"/>
  <c r="AZ156" i="8"/>
  <c r="AZ155" i="8"/>
  <c r="AZ154" i="8"/>
  <c r="AZ153" i="8"/>
  <c r="AZ152" i="8"/>
  <c r="AZ151" i="8"/>
  <c r="AZ150" i="8"/>
  <c r="AZ149" i="8"/>
  <c r="AZ148" i="8"/>
  <c r="BA147" i="8"/>
  <c r="AZ147" i="8"/>
  <c r="AZ141" i="8"/>
  <c r="AZ140" i="8"/>
  <c r="AZ139" i="8"/>
  <c r="AZ138" i="8"/>
  <c r="AZ137" i="8"/>
  <c r="AZ136" i="8"/>
  <c r="AZ135" i="8"/>
  <c r="AZ134" i="8"/>
  <c r="AZ133" i="8"/>
  <c r="AZ132" i="8"/>
  <c r="AZ131" i="8"/>
  <c r="AZ130" i="8"/>
  <c r="AZ129" i="8"/>
  <c r="AZ128" i="8"/>
  <c r="AZ127" i="8"/>
  <c r="AZ126" i="8"/>
  <c r="AZ125" i="8"/>
  <c r="AZ124" i="8"/>
  <c r="AZ123" i="8"/>
  <c r="AZ122" i="8"/>
  <c r="AZ121" i="8"/>
  <c r="AZ120" i="8"/>
  <c r="AZ119" i="8"/>
  <c r="AZ118" i="8"/>
  <c r="AZ117" i="8"/>
  <c r="AZ116" i="8"/>
  <c r="AZ115" i="8"/>
  <c r="AZ114" i="8"/>
  <c r="AZ113" i="8"/>
  <c r="BA112" i="8"/>
  <c r="AZ112" i="8"/>
  <c r="AZ106" i="8"/>
  <c r="AZ105" i="8"/>
  <c r="AZ104" i="8"/>
  <c r="AZ103" i="8"/>
  <c r="AZ102" i="8"/>
  <c r="AZ101" i="8"/>
  <c r="AZ100" i="8"/>
  <c r="AZ99" i="8"/>
  <c r="AZ98" i="8"/>
  <c r="AZ97" i="8"/>
  <c r="AZ96" i="8"/>
  <c r="AZ95" i="8"/>
  <c r="AZ94" i="8"/>
  <c r="AZ93" i="8"/>
  <c r="AZ92" i="8"/>
  <c r="AZ91" i="8"/>
  <c r="AZ90" i="8"/>
  <c r="AZ89" i="8"/>
  <c r="AZ88" i="8"/>
  <c r="AZ87" i="8"/>
  <c r="AZ86" i="8"/>
  <c r="AZ85" i="8"/>
  <c r="AZ84" i="8"/>
  <c r="AZ83" i="8"/>
  <c r="AZ82" i="8"/>
  <c r="AZ81" i="8"/>
  <c r="AZ80" i="8"/>
  <c r="AZ79" i="8"/>
  <c r="AZ78" i="8"/>
  <c r="BA77" i="8"/>
  <c r="AZ77" i="8"/>
  <c r="AZ71" i="8"/>
  <c r="AZ70" i="8"/>
  <c r="AZ69" i="8"/>
  <c r="AZ68" i="8"/>
  <c r="AZ67" i="8"/>
  <c r="AZ66" i="8"/>
  <c r="AZ65" i="8"/>
  <c r="AZ64" i="8"/>
  <c r="AZ63" i="8"/>
  <c r="AZ62" i="8"/>
  <c r="AZ61" i="8"/>
  <c r="AZ60" i="8"/>
  <c r="AZ59" i="8"/>
  <c r="AZ58" i="8"/>
  <c r="AZ57" i="8"/>
  <c r="AZ56" i="8"/>
  <c r="AZ55" i="8"/>
  <c r="AZ54" i="8"/>
  <c r="AZ53" i="8"/>
  <c r="AZ52" i="8"/>
  <c r="AZ51" i="8"/>
  <c r="AZ50" i="8"/>
  <c r="AZ49" i="8"/>
  <c r="AZ48" i="8"/>
  <c r="AZ47" i="8"/>
  <c r="AZ46" i="8"/>
  <c r="AZ45" i="8"/>
  <c r="AZ44" i="8"/>
  <c r="AZ43" i="8"/>
  <c r="BA42" i="8"/>
  <c r="AZ42" i="8"/>
  <c r="AZ36" i="8"/>
  <c r="AZ35" i="8"/>
  <c r="AZ34" i="8"/>
  <c r="AZ33" i="8"/>
  <c r="AZ32" i="8"/>
  <c r="AZ31" i="8"/>
  <c r="AZ30" i="8"/>
  <c r="AZ29" i="8"/>
  <c r="AZ28" i="8"/>
  <c r="AZ27" i="8"/>
  <c r="AZ26" i="8"/>
  <c r="AZ25" i="8"/>
  <c r="AZ24" i="8"/>
  <c r="AZ23" i="8"/>
  <c r="AZ22" i="8"/>
  <c r="AZ21" i="8"/>
  <c r="AZ20" i="8"/>
  <c r="AZ19" i="8"/>
  <c r="AZ18" i="8"/>
  <c r="AZ17" i="8"/>
  <c r="AZ16" i="8"/>
  <c r="AZ15" i="8"/>
  <c r="AZ14" i="8"/>
  <c r="AZ13" i="8"/>
  <c r="AZ12" i="8"/>
  <c r="AZ11" i="8"/>
  <c r="AZ10" i="8"/>
  <c r="AZ9" i="8"/>
  <c r="AZ8" i="8"/>
  <c r="BA7" i="8"/>
  <c r="AZ7" i="8"/>
  <c r="O40" i="3" l="1"/>
  <c r="U40" i="3"/>
  <c r="V6" i="3" l="1"/>
  <c r="B11" i="39" s="1"/>
  <c r="AZ121" i="37" l="1"/>
  <c r="AZ120" i="37"/>
  <c r="AZ119" i="37"/>
  <c r="AZ118" i="37"/>
  <c r="AZ117" i="37"/>
  <c r="AZ116" i="37"/>
  <c r="AZ115" i="37"/>
  <c r="AZ114" i="37"/>
  <c r="AZ113" i="37"/>
  <c r="AZ112" i="37"/>
  <c r="AZ111" i="37"/>
  <c r="AZ110" i="37"/>
  <c r="AZ109" i="37"/>
  <c r="AZ108" i="37"/>
  <c r="BA107" i="37"/>
  <c r="AZ107" i="37"/>
  <c r="AZ101" i="37"/>
  <c r="AZ100" i="37"/>
  <c r="AZ99" i="37"/>
  <c r="AZ98" i="37"/>
  <c r="AZ97" i="37"/>
  <c r="AZ96" i="37"/>
  <c r="AZ95" i="37"/>
  <c r="AZ94" i="37"/>
  <c r="AZ93" i="37"/>
  <c r="AZ92" i="37"/>
  <c r="AZ91" i="37"/>
  <c r="AZ90" i="37"/>
  <c r="AZ89" i="37"/>
  <c r="AZ88" i="37"/>
  <c r="BA87" i="37"/>
  <c r="AZ87" i="37"/>
  <c r="AZ81" i="37"/>
  <c r="AZ80" i="37"/>
  <c r="AZ79" i="37"/>
  <c r="AZ78" i="37"/>
  <c r="AZ77" i="37"/>
  <c r="AZ76" i="37"/>
  <c r="AZ75" i="37"/>
  <c r="AZ74" i="37"/>
  <c r="AZ73" i="37"/>
  <c r="AZ72" i="37"/>
  <c r="AZ71" i="37"/>
  <c r="AZ70" i="37"/>
  <c r="AZ69" i="37"/>
  <c r="AZ68" i="37"/>
  <c r="BA67" i="37"/>
  <c r="AZ67" i="37"/>
  <c r="AZ54" i="37"/>
  <c r="AZ53" i="37"/>
  <c r="AZ52" i="37"/>
  <c r="AZ51" i="37"/>
  <c r="AZ50" i="37"/>
  <c r="AZ49" i="37"/>
  <c r="AZ48" i="37"/>
  <c r="BA47" i="37"/>
  <c r="AZ47" i="37"/>
  <c r="AZ41" i="37"/>
  <c r="AZ40" i="37"/>
  <c r="AZ39" i="37"/>
  <c r="AZ38" i="37"/>
  <c r="AZ37" i="37"/>
  <c r="AZ36" i="37"/>
  <c r="AZ35" i="37"/>
  <c r="AZ34" i="37"/>
  <c r="AZ33" i="37"/>
  <c r="AZ32" i="37"/>
  <c r="AZ31" i="37"/>
  <c r="AZ30" i="37"/>
  <c r="AZ29" i="37"/>
  <c r="AZ28" i="37"/>
  <c r="BA27" i="37"/>
  <c r="AZ27" i="37"/>
  <c r="AZ21" i="37"/>
  <c r="AZ20" i="37"/>
  <c r="AZ19" i="37"/>
  <c r="AZ18" i="37"/>
  <c r="AZ17" i="37"/>
  <c r="AZ16" i="37"/>
  <c r="AZ15" i="37"/>
  <c r="AZ14" i="37"/>
  <c r="AZ13" i="37"/>
  <c r="AZ12" i="37"/>
  <c r="AZ11" i="37"/>
  <c r="AZ10" i="37"/>
  <c r="AZ9" i="37"/>
  <c r="AZ8" i="37"/>
  <c r="BA7" i="37"/>
  <c r="AZ7" i="37"/>
  <c r="AZ121" i="36"/>
  <c r="AZ120" i="36"/>
  <c r="AZ119" i="36"/>
  <c r="AZ118" i="36"/>
  <c r="AZ117" i="36"/>
  <c r="AZ116" i="36"/>
  <c r="AZ115" i="36"/>
  <c r="AZ114" i="36"/>
  <c r="AZ113" i="36"/>
  <c r="AZ112" i="36"/>
  <c r="AZ111" i="36"/>
  <c r="AZ110" i="36"/>
  <c r="AZ109" i="36"/>
  <c r="AZ108" i="36"/>
  <c r="BA107" i="36"/>
  <c r="AZ107" i="36"/>
  <c r="AZ101" i="36"/>
  <c r="AZ100" i="36"/>
  <c r="AZ99" i="36"/>
  <c r="AZ98" i="36"/>
  <c r="AZ97" i="36"/>
  <c r="AZ96" i="36"/>
  <c r="AZ95" i="36"/>
  <c r="AZ94" i="36"/>
  <c r="AZ93" i="36"/>
  <c r="AZ92" i="36"/>
  <c r="AZ91" i="36"/>
  <c r="AZ90" i="36"/>
  <c r="AZ89" i="36"/>
  <c r="AZ88" i="36"/>
  <c r="BA87" i="36"/>
  <c r="AZ87" i="36"/>
  <c r="AZ81" i="36"/>
  <c r="AZ80" i="36"/>
  <c r="AZ79" i="36"/>
  <c r="AZ78" i="36"/>
  <c r="AZ77" i="36"/>
  <c r="AZ76" i="36"/>
  <c r="AZ75" i="36"/>
  <c r="AZ74" i="36"/>
  <c r="AZ73" i="36"/>
  <c r="AZ72" i="36"/>
  <c r="AZ71" i="36"/>
  <c r="AZ70" i="36"/>
  <c r="AZ69" i="36"/>
  <c r="AZ68" i="36"/>
  <c r="BA67" i="36"/>
  <c r="AZ67" i="36"/>
  <c r="BA47" i="36"/>
  <c r="AZ47" i="36"/>
  <c r="AZ41" i="36"/>
  <c r="AZ40" i="36"/>
  <c r="AZ39" i="36"/>
  <c r="AZ38" i="36"/>
  <c r="AZ37" i="36"/>
  <c r="AZ36" i="36"/>
  <c r="AZ35" i="36"/>
  <c r="AZ34" i="36"/>
  <c r="AZ33" i="36"/>
  <c r="AZ32" i="36"/>
  <c r="AZ31" i="36"/>
  <c r="AZ30" i="36"/>
  <c r="AZ29" i="36"/>
  <c r="AZ28" i="36"/>
  <c r="BA27" i="36"/>
  <c r="AZ27" i="36"/>
  <c r="AZ21" i="36"/>
  <c r="AZ20" i="36"/>
  <c r="AZ19" i="36"/>
  <c r="AZ18" i="36"/>
  <c r="AZ17" i="36"/>
  <c r="AZ16" i="36"/>
  <c r="AZ15" i="36"/>
  <c r="AZ14" i="36"/>
  <c r="AZ13" i="36"/>
  <c r="AZ12" i="36"/>
  <c r="AZ11" i="36"/>
  <c r="AZ10" i="36"/>
  <c r="AZ9" i="36"/>
  <c r="AZ8" i="36"/>
  <c r="BA7" i="36"/>
  <c r="AZ7" i="36"/>
  <c r="AZ121" i="35"/>
  <c r="AZ120" i="35"/>
  <c r="AZ119" i="35"/>
  <c r="AZ118" i="35"/>
  <c r="AZ117" i="35"/>
  <c r="AZ116" i="35"/>
  <c r="AZ115" i="35"/>
  <c r="AZ114" i="35"/>
  <c r="AZ113" i="35"/>
  <c r="AZ112" i="35"/>
  <c r="AZ111" i="35"/>
  <c r="AZ110" i="35"/>
  <c r="AZ109" i="35"/>
  <c r="AZ108" i="35"/>
  <c r="BA107" i="35"/>
  <c r="AZ107" i="35"/>
  <c r="AZ101" i="35"/>
  <c r="AZ100" i="35"/>
  <c r="AZ99" i="35"/>
  <c r="AZ98" i="35"/>
  <c r="AZ97" i="35"/>
  <c r="AZ96" i="35"/>
  <c r="AZ95" i="35"/>
  <c r="AZ94" i="35"/>
  <c r="AZ93" i="35"/>
  <c r="AZ92" i="35"/>
  <c r="AZ91" i="35"/>
  <c r="AZ90" i="35"/>
  <c r="AZ89" i="35"/>
  <c r="AZ88" i="35"/>
  <c r="BA87" i="35"/>
  <c r="AZ87" i="35"/>
  <c r="AZ81" i="35"/>
  <c r="AZ80" i="35"/>
  <c r="AZ79" i="35"/>
  <c r="AZ78" i="35"/>
  <c r="AZ77" i="35"/>
  <c r="AZ76" i="35"/>
  <c r="AZ75" i="35"/>
  <c r="AZ74" i="35"/>
  <c r="AZ73" i="35"/>
  <c r="AZ72" i="35"/>
  <c r="AZ71" i="35"/>
  <c r="AZ70" i="35"/>
  <c r="AZ69" i="35"/>
  <c r="AZ68" i="35"/>
  <c r="BA67" i="35"/>
  <c r="AZ67" i="35"/>
  <c r="AZ61" i="35"/>
  <c r="AZ60" i="35"/>
  <c r="AZ59" i="35"/>
  <c r="AZ58" i="35"/>
  <c r="AZ57" i="35"/>
  <c r="AZ56" i="35"/>
  <c r="AZ55" i="35"/>
  <c r="AZ54" i="35"/>
  <c r="AZ53" i="35"/>
  <c r="AZ52" i="35"/>
  <c r="AZ51" i="35"/>
  <c r="AZ50" i="35"/>
  <c r="AZ49" i="35"/>
  <c r="AZ48" i="35"/>
  <c r="BA47" i="35"/>
  <c r="AZ47" i="35"/>
  <c r="AZ41" i="35"/>
  <c r="AZ40" i="35"/>
  <c r="AZ39" i="35"/>
  <c r="AZ38" i="35"/>
  <c r="AZ37" i="35"/>
  <c r="AZ36" i="35"/>
  <c r="AZ35" i="35"/>
  <c r="AZ34" i="35"/>
  <c r="AZ33" i="35"/>
  <c r="AZ32" i="35"/>
  <c r="AZ31" i="35"/>
  <c r="AZ30" i="35"/>
  <c r="AZ29" i="35"/>
  <c r="AZ28" i="35"/>
  <c r="BA27" i="35"/>
  <c r="AZ27" i="35"/>
  <c r="AZ21" i="35"/>
  <c r="AZ20" i="35"/>
  <c r="AZ19" i="35"/>
  <c r="AZ18" i="35"/>
  <c r="AZ17" i="35"/>
  <c r="AZ16" i="35"/>
  <c r="AZ15" i="35"/>
  <c r="AZ14" i="35"/>
  <c r="AZ13" i="35"/>
  <c r="AZ12" i="35"/>
  <c r="AZ11" i="35"/>
  <c r="AZ10" i="35"/>
  <c r="AZ9" i="35"/>
  <c r="AZ8" i="35"/>
  <c r="BA7" i="35"/>
  <c r="AZ7" i="35"/>
  <c r="AZ121" i="34"/>
  <c r="AZ120" i="34"/>
  <c r="AZ119" i="34"/>
  <c r="AZ118" i="34"/>
  <c r="AZ117" i="34"/>
  <c r="AZ116" i="34"/>
  <c r="AZ115" i="34"/>
  <c r="AZ114" i="34"/>
  <c r="AZ113" i="34"/>
  <c r="AZ112" i="34"/>
  <c r="AZ111" i="34"/>
  <c r="AZ110" i="34"/>
  <c r="AZ109" i="34"/>
  <c r="AZ108" i="34"/>
  <c r="BA107" i="34"/>
  <c r="AZ107" i="34"/>
  <c r="AZ81" i="34"/>
  <c r="AZ80" i="34"/>
  <c r="AZ79" i="34"/>
  <c r="AZ78" i="34"/>
  <c r="AZ77" i="34"/>
  <c r="AZ76" i="34"/>
  <c r="AZ75" i="34"/>
  <c r="AZ74" i="34"/>
  <c r="AZ73" i="34"/>
  <c r="AZ72" i="34"/>
  <c r="AZ71" i="34"/>
  <c r="AZ70" i="34"/>
  <c r="AZ69" i="34"/>
  <c r="AZ68" i="34"/>
  <c r="BA67" i="34"/>
  <c r="AZ67" i="34"/>
  <c r="AZ61" i="34"/>
  <c r="AZ60" i="34"/>
  <c r="AZ59" i="34"/>
  <c r="AZ58" i="34"/>
  <c r="AZ57" i="34"/>
  <c r="AZ56" i="34"/>
  <c r="AZ55" i="34"/>
  <c r="AZ54" i="34"/>
  <c r="AZ53" i="34"/>
  <c r="AZ52" i="34"/>
  <c r="AZ51" i="34"/>
  <c r="AZ50" i="34"/>
  <c r="AZ49" i="34"/>
  <c r="AZ48" i="34"/>
  <c r="BA47" i="34"/>
  <c r="AZ47" i="34"/>
  <c r="AZ41" i="34"/>
  <c r="AZ40" i="34"/>
  <c r="AZ39" i="34"/>
  <c r="AZ38" i="34"/>
  <c r="AZ37" i="34"/>
  <c r="AZ36" i="34"/>
  <c r="AZ35" i="34"/>
  <c r="AZ34" i="34"/>
  <c r="AZ33" i="34"/>
  <c r="AZ32" i="34"/>
  <c r="AZ31" i="34"/>
  <c r="AZ30" i="34"/>
  <c r="AZ29" i="34"/>
  <c r="AZ28" i="34"/>
  <c r="BA27" i="34"/>
  <c r="AZ27" i="34"/>
  <c r="AZ21" i="34"/>
  <c r="AZ20" i="34"/>
  <c r="AZ19" i="34"/>
  <c r="AZ18" i="34"/>
  <c r="AZ17" i="34"/>
  <c r="AZ16" i="34"/>
  <c r="AZ15" i="34"/>
  <c r="AZ14" i="34"/>
  <c r="AZ13" i="34"/>
  <c r="AZ12" i="34"/>
  <c r="AZ11" i="34"/>
  <c r="AZ10" i="34"/>
  <c r="AZ9" i="34"/>
  <c r="AZ8" i="34"/>
  <c r="BA7" i="34"/>
  <c r="AZ7" i="34"/>
  <c r="AZ211" i="33"/>
  <c r="AZ210" i="33"/>
  <c r="AZ209" i="33"/>
  <c r="AZ208" i="33"/>
  <c r="AZ207" i="33"/>
  <c r="AZ206" i="33"/>
  <c r="AZ205" i="33"/>
  <c r="AZ204" i="33"/>
  <c r="AZ203" i="33"/>
  <c r="AZ202" i="33"/>
  <c r="AZ201" i="33"/>
  <c r="AZ200" i="33"/>
  <c r="AZ199" i="33"/>
  <c r="AZ198" i="33"/>
  <c r="AZ197" i="33"/>
  <c r="AZ196" i="33"/>
  <c r="AZ195" i="33"/>
  <c r="AZ194" i="33"/>
  <c r="AZ193" i="33"/>
  <c r="AZ192" i="33"/>
  <c r="AZ191" i="33"/>
  <c r="AZ190" i="33"/>
  <c r="AZ189" i="33"/>
  <c r="AZ188" i="33"/>
  <c r="AZ187" i="33"/>
  <c r="AZ186" i="33"/>
  <c r="AZ185" i="33"/>
  <c r="AZ184" i="33"/>
  <c r="AZ183" i="33"/>
  <c r="BA182" i="33"/>
  <c r="AZ182" i="33"/>
  <c r="AZ176" i="33"/>
  <c r="AZ175" i="33"/>
  <c r="AZ174" i="33"/>
  <c r="AZ173" i="33"/>
  <c r="AZ172" i="33"/>
  <c r="AZ171" i="33"/>
  <c r="AZ170" i="33"/>
  <c r="AZ169" i="33"/>
  <c r="AZ168" i="33"/>
  <c r="AZ167" i="33"/>
  <c r="AZ166" i="33"/>
  <c r="AZ165" i="33"/>
  <c r="AZ164" i="33"/>
  <c r="AZ163" i="33"/>
  <c r="AZ162" i="33"/>
  <c r="AZ161" i="33"/>
  <c r="AZ160" i="33"/>
  <c r="AZ159" i="33"/>
  <c r="AZ158" i="33"/>
  <c r="AZ157" i="33"/>
  <c r="AZ156" i="33"/>
  <c r="AZ155" i="33"/>
  <c r="AZ154" i="33"/>
  <c r="AZ153" i="33"/>
  <c r="AZ152" i="33"/>
  <c r="AZ151" i="33"/>
  <c r="AZ150" i="33"/>
  <c r="AZ149" i="33"/>
  <c r="AZ148" i="33"/>
  <c r="BA147" i="33"/>
  <c r="AZ147" i="33"/>
  <c r="AZ141" i="33"/>
  <c r="AZ140" i="33"/>
  <c r="AZ139" i="33"/>
  <c r="AZ138" i="33"/>
  <c r="AZ137" i="33"/>
  <c r="AZ136" i="33"/>
  <c r="AZ135" i="33"/>
  <c r="AZ134" i="33"/>
  <c r="AZ133" i="33"/>
  <c r="AZ132" i="33"/>
  <c r="AZ131" i="33"/>
  <c r="AZ130" i="33"/>
  <c r="AZ129" i="33"/>
  <c r="AZ128" i="33"/>
  <c r="AZ127" i="33"/>
  <c r="AZ126" i="33"/>
  <c r="AZ125" i="33"/>
  <c r="AZ124" i="33"/>
  <c r="AZ123" i="33"/>
  <c r="AZ122" i="33"/>
  <c r="AZ121" i="33"/>
  <c r="AZ120" i="33"/>
  <c r="AZ119" i="33"/>
  <c r="AZ118" i="33"/>
  <c r="AZ117" i="33"/>
  <c r="AZ116" i="33"/>
  <c r="AZ115" i="33"/>
  <c r="AZ114" i="33"/>
  <c r="AZ113" i="33"/>
  <c r="BA112" i="33"/>
  <c r="AZ112" i="33"/>
  <c r="AZ106" i="33"/>
  <c r="AZ105" i="33"/>
  <c r="AZ104" i="33"/>
  <c r="AZ103" i="33"/>
  <c r="AZ102" i="33"/>
  <c r="AZ101" i="33"/>
  <c r="AZ100" i="33"/>
  <c r="AZ99" i="33"/>
  <c r="AZ98" i="33"/>
  <c r="AZ97" i="33"/>
  <c r="AZ96" i="33"/>
  <c r="AZ95" i="33"/>
  <c r="AZ94" i="33"/>
  <c r="AZ93" i="33"/>
  <c r="AZ92" i="33"/>
  <c r="AZ91" i="33"/>
  <c r="AZ90" i="33"/>
  <c r="AZ89" i="33"/>
  <c r="AZ88" i="33"/>
  <c r="AZ87" i="33"/>
  <c r="AZ86" i="33"/>
  <c r="AZ85" i="33"/>
  <c r="AZ84" i="33"/>
  <c r="AZ83" i="33"/>
  <c r="AZ82" i="33"/>
  <c r="AZ81" i="33"/>
  <c r="AZ80" i="33"/>
  <c r="AZ79" i="33"/>
  <c r="AZ78" i="33"/>
  <c r="BA77" i="33"/>
  <c r="AZ77" i="33"/>
  <c r="AZ71" i="33"/>
  <c r="AZ70" i="33"/>
  <c r="AZ69" i="33"/>
  <c r="AZ68" i="33"/>
  <c r="AZ67" i="33"/>
  <c r="AZ66" i="33"/>
  <c r="AZ65" i="33"/>
  <c r="AZ64" i="33"/>
  <c r="AZ63" i="33"/>
  <c r="AZ62" i="33"/>
  <c r="AZ61" i="33"/>
  <c r="AZ60" i="33"/>
  <c r="AZ59" i="33"/>
  <c r="AZ58" i="33"/>
  <c r="AZ57" i="33"/>
  <c r="AZ56" i="33"/>
  <c r="AZ55" i="33"/>
  <c r="AZ54" i="33"/>
  <c r="AZ53" i="33"/>
  <c r="AZ52" i="33"/>
  <c r="AZ51" i="33"/>
  <c r="AZ50" i="33"/>
  <c r="AZ49" i="33"/>
  <c r="AZ48" i="33"/>
  <c r="AZ47" i="33"/>
  <c r="AZ46" i="33"/>
  <c r="AZ45" i="33"/>
  <c r="AZ44" i="33"/>
  <c r="AZ43" i="33"/>
  <c r="BA42" i="33"/>
  <c r="AZ42" i="33"/>
  <c r="AZ36" i="33"/>
  <c r="AZ35" i="33"/>
  <c r="AZ34" i="33"/>
  <c r="AZ33" i="33"/>
  <c r="AZ32" i="33"/>
  <c r="AZ31" i="33"/>
  <c r="AZ30" i="33"/>
  <c r="AZ29" i="33"/>
  <c r="AZ28" i="33"/>
  <c r="AZ27" i="33"/>
  <c r="AZ26" i="33"/>
  <c r="AZ25" i="33"/>
  <c r="AZ24" i="33"/>
  <c r="AZ23" i="33"/>
  <c r="AZ22" i="33"/>
  <c r="AZ21" i="33"/>
  <c r="AZ20" i="33"/>
  <c r="AZ19" i="33"/>
  <c r="AZ18" i="33"/>
  <c r="AZ17" i="33"/>
  <c r="AZ16" i="33"/>
  <c r="AZ15" i="33"/>
  <c r="AZ14" i="33"/>
  <c r="AZ13" i="33"/>
  <c r="AZ12" i="33"/>
  <c r="AZ11" i="33"/>
  <c r="AZ10" i="33"/>
  <c r="AZ9" i="33"/>
  <c r="AZ8" i="33"/>
  <c r="BA7" i="33"/>
  <c r="AZ7" i="33"/>
  <c r="AZ121" i="31"/>
  <c r="AZ120" i="31"/>
  <c r="AZ119" i="31"/>
  <c r="AZ118" i="31"/>
  <c r="AZ117" i="31"/>
  <c r="AZ116" i="31"/>
  <c r="AZ115" i="31"/>
  <c r="AZ114" i="31"/>
  <c r="AZ113" i="31"/>
  <c r="AZ112" i="31"/>
  <c r="AZ111" i="31"/>
  <c r="AZ110" i="31"/>
  <c r="AZ109" i="31"/>
  <c r="AZ108" i="31"/>
  <c r="BA107" i="31"/>
  <c r="AZ107" i="31"/>
  <c r="AZ101" i="31"/>
  <c r="AZ100" i="31"/>
  <c r="AZ99" i="31"/>
  <c r="AZ98" i="31"/>
  <c r="AZ97" i="31"/>
  <c r="AZ96" i="31"/>
  <c r="AZ95" i="31"/>
  <c r="AZ94" i="31"/>
  <c r="AZ93" i="31"/>
  <c r="AZ92" i="31"/>
  <c r="AZ91" i="31"/>
  <c r="AZ90" i="31"/>
  <c r="AZ89" i="31"/>
  <c r="AZ88" i="31"/>
  <c r="BA87" i="31"/>
  <c r="AZ87" i="31"/>
  <c r="AZ81" i="31"/>
  <c r="AZ80" i="31"/>
  <c r="AZ79" i="31"/>
  <c r="AZ78" i="31"/>
  <c r="AZ77" i="31"/>
  <c r="AZ76" i="31"/>
  <c r="AZ75" i="31"/>
  <c r="AZ74" i="31"/>
  <c r="AZ73" i="31"/>
  <c r="AZ72" i="31"/>
  <c r="AZ71" i="31"/>
  <c r="AZ70" i="31"/>
  <c r="AZ69" i="31"/>
  <c r="AZ68" i="31"/>
  <c r="BA67" i="31"/>
  <c r="AZ67" i="31"/>
  <c r="AZ61" i="31"/>
  <c r="AZ60" i="31"/>
  <c r="AZ59" i="31"/>
  <c r="AZ58" i="31"/>
  <c r="AZ57" i="31"/>
  <c r="AZ56" i="31"/>
  <c r="AZ55" i="31"/>
  <c r="AZ54" i="31"/>
  <c r="AZ53" i="31"/>
  <c r="AZ52" i="31"/>
  <c r="AZ51" i="31"/>
  <c r="AZ50" i="31"/>
  <c r="AZ49" i="31"/>
  <c r="AZ48" i="31"/>
  <c r="BA47" i="31"/>
  <c r="AZ47" i="31"/>
  <c r="AZ41" i="31"/>
  <c r="AZ40" i="31"/>
  <c r="AZ39" i="31"/>
  <c r="AZ38" i="31"/>
  <c r="AZ37" i="31"/>
  <c r="AZ36" i="31"/>
  <c r="AZ35" i="31"/>
  <c r="AZ34" i="31"/>
  <c r="AZ33" i="31"/>
  <c r="AZ32" i="31"/>
  <c r="AZ31" i="31"/>
  <c r="AZ30" i="31"/>
  <c r="AZ29" i="31"/>
  <c r="AZ28" i="31"/>
  <c r="BA27" i="31"/>
  <c r="AZ27" i="31"/>
  <c r="AZ21" i="31"/>
  <c r="AZ20" i="31"/>
  <c r="AZ19" i="31"/>
  <c r="AZ18" i="31"/>
  <c r="AZ17" i="31"/>
  <c r="AZ16" i="31"/>
  <c r="AZ15" i="31"/>
  <c r="AZ14" i="31"/>
  <c r="AZ13" i="31"/>
  <c r="AZ12" i="31"/>
  <c r="AZ11" i="31"/>
  <c r="AZ10" i="31"/>
  <c r="AZ9" i="31"/>
  <c r="AZ8" i="31"/>
  <c r="BA7" i="31"/>
  <c r="AZ7" i="31"/>
  <c r="AZ121" i="32"/>
  <c r="AZ120" i="32"/>
  <c r="AZ119" i="32"/>
  <c r="AZ118" i="32"/>
  <c r="AZ117" i="32"/>
  <c r="AZ116" i="32"/>
  <c r="AZ115" i="32"/>
  <c r="AZ114" i="32"/>
  <c r="AZ113" i="32"/>
  <c r="AZ112" i="32"/>
  <c r="AZ111" i="32"/>
  <c r="AZ110" i="32"/>
  <c r="AZ109" i="32"/>
  <c r="AZ108" i="32"/>
  <c r="BA107" i="32"/>
  <c r="AZ107" i="32"/>
  <c r="AZ81" i="32"/>
  <c r="AZ80" i="32"/>
  <c r="AZ79" i="32"/>
  <c r="AZ78" i="32"/>
  <c r="AZ77" i="32"/>
  <c r="AZ76" i="32"/>
  <c r="AZ75" i="32"/>
  <c r="AZ74" i="32"/>
  <c r="AZ73" i="32"/>
  <c r="AZ72" i="32"/>
  <c r="AZ71" i="32"/>
  <c r="AZ70" i="32"/>
  <c r="AZ69" i="32"/>
  <c r="AZ68" i="32"/>
  <c r="BA67" i="32"/>
  <c r="AZ67" i="32"/>
  <c r="AZ61" i="32"/>
  <c r="AZ60" i="32"/>
  <c r="AZ59" i="32"/>
  <c r="AZ58" i="32"/>
  <c r="AZ57" i="32"/>
  <c r="AZ56" i="32"/>
  <c r="AZ55" i="32"/>
  <c r="AZ54" i="32"/>
  <c r="AZ53" i="32"/>
  <c r="AZ52" i="32"/>
  <c r="AZ51" i="32"/>
  <c r="AZ50" i="32"/>
  <c r="AZ49" i="32"/>
  <c r="AZ48" i="32"/>
  <c r="BA47" i="32"/>
  <c r="AZ47" i="32"/>
  <c r="AZ41" i="32"/>
  <c r="AZ40" i="32"/>
  <c r="AZ39" i="32"/>
  <c r="AZ38" i="32"/>
  <c r="AZ37" i="32"/>
  <c r="AZ36" i="32"/>
  <c r="AZ35" i="32"/>
  <c r="AZ34" i="32"/>
  <c r="AZ33" i="32"/>
  <c r="AZ32" i="32"/>
  <c r="AZ31" i="32"/>
  <c r="AZ30" i="32"/>
  <c r="AZ29" i="32"/>
  <c r="AZ28" i="32"/>
  <c r="BA27" i="32"/>
  <c r="AZ27" i="32"/>
  <c r="AZ21" i="32"/>
  <c r="AZ20" i="32"/>
  <c r="AZ19" i="32"/>
  <c r="AZ18" i="32"/>
  <c r="AZ17" i="32"/>
  <c r="AZ16" i="32"/>
  <c r="AZ15" i="32"/>
  <c r="AZ14" i="32"/>
  <c r="AZ13" i="32"/>
  <c r="AZ12" i="32"/>
  <c r="AZ11" i="32"/>
  <c r="AZ10" i="32"/>
  <c r="AZ9" i="32"/>
  <c r="AZ8" i="32"/>
  <c r="BA7" i="32"/>
  <c r="AZ7" i="32"/>
  <c r="K120" i="35" l="1"/>
  <c r="J120" i="35"/>
  <c r="I120" i="35"/>
  <c r="K119" i="35"/>
  <c r="J119" i="35"/>
  <c r="I119" i="35"/>
  <c r="K118" i="35"/>
  <c r="J118" i="35"/>
  <c r="I118" i="35"/>
  <c r="K117" i="35"/>
  <c r="J117" i="35"/>
  <c r="I117" i="35"/>
  <c r="K116" i="35"/>
  <c r="J116" i="35"/>
  <c r="I116" i="35"/>
  <c r="K115" i="35"/>
  <c r="J115" i="35"/>
  <c r="I115" i="35"/>
  <c r="K114" i="35"/>
  <c r="J114" i="35"/>
  <c r="I114" i="35"/>
  <c r="K113" i="35"/>
  <c r="J113" i="35"/>
  <c r="I113" i="35"/>
  <c r="K112" i="35"/>
  <c r="J112" i="35"/>
  <c r="I112" i="35"/>
  <c r="K111" i="35"/>
  <c r="J111" i="35"/>
  <c r="I111" i="35"/>
  <c r="K110" i="35"/>
  <c r="J110" i="35"/>
  <c r="I110" i="35"/>
  <c r="K109" i="35"/>
  <c r="J109" i="35"/>
  <c r="I109" i="35"/>
  <c r="K108" i="35"/>
  <c r="J108" i="35"/>
  <c r="I108" i="35"/>
  <c r="K107" i="35"/>
  <c r="J107" i="35"/>
  <c r="I107" i="35"/>
  <c r="K120" i="36"/>
  <c r="J120" i="36"/>
  <c r="I120" i="36"/>
  <c r="K119" i="36"/>
  <c r="J119" i="36"/>
  <c r="I119" i="36"/>
  <c r="K118" i="36"/>
  <c r="J118" i="36"/>
  <c r="I118" i="36"/>
  <c r="K117" i="36"/>
  <c r="J117" i="36"/>
  <c r="I117" i="36"/>
  <c r="K116" i="36"/>
  <c r="J116" i="36"/>
  <c r="I116" i="36"/>
  <c r="K115" i="36"/>
  <c r="J115" i="36"/>
  <c r="I115" i="36"/>
  <c r="K114" i="36"/>
  <c r="J114" i="36"/>
  <c r="I114" i="36"/>
  <c r="K113" i="36"/>
  <c r="J113" i="36"/>
  <c r="I113" i="36"/>
  <c r="K112" i="36"/>
  <c r="J112" i="36"/>
  <c r="I112" i="36"/>
  <c r="K111" i="36"/>
  <c r="J111" i="36"/>
  <c r="I111" i="36"/>
  <c r="K110" i="36"/>
  <c r="J110" i="36"/>
  <c r="I110" i="36"/>
  <c r="K109" i="36"/>
  <c r="J109" i="36"/>
  <c r="I109" i="36"/>
  <c r="K108" i="36"/>
  <c r="J108" i="36"/>
  <c r="I108" i="36"/>
  <c r="K107" i="36"/>
  <c r="J107" i="36"/>
  <c r="I107" i="36"/>
  <c r="K120" i="37"/>
  <c r="J120" i="37"/>
  <c r="I120" i="37"/>
  <c r="K119" i="37"/>
  <c r="J119" i="37"/>
  <c r="I119" i="37"/>
  <c r="K118" i="37"/>
  <c r="J118" i="37"/>
  <c r="I118" i="37"/>
  <c r="K117" i="37"/>
  <c r="J117" i="37"/>
  <c r="I117" i="37"/>
  <c r="K116" i="37"/>
  <c r="J116" i="37"/>
  <c r="I116" i="37"/>
  <c r="K115" i="37"/>
  <c r="J115" i="37"/>
  <c r="I115" i="37"/>
  <c r="K114" i="37"/>
  <c r="J114" i="37"/>
  <c r="I114" i="37"/>
  <c r="K113" i="37"/>
  <c r="J113" i="37"/>
  <c r="I113" i="37"/>
  <c r="K112" i="37"/>
  <c r="J112" i="37"/>
  <c r="I112" i="37"/>
  <c r="K111" i="37"/>
  <c r="J111" i="37"/>
  <c r="I111" i="37"/>
  <c r="K110" i="37"/>
  <c r="J110" i="37"/>
  <c r="I110" i="37"/>
  <c r="K109" i="37"/>
  <c r="J109" i="37"/>
  <c r="I109" i="37"/>
  <c r="K108" i="37"/>
  <c r="J108" i="37"/>
  <c r="I108" i="37"/>
  <c r="K107" i="37"/>
  <c r="J107" i="37"/>
  <c r="I107" i="37"/>
  <c r="K120" i="34"/>
  <c r="J120" i="34"/>
  <c r="I120" i="34"/>
  <c r="K119" i="34"/>
  <c r="J119" i="34"/>
  <c r="I119" i="34"/>
  <c r="K118" i="34"/>
  <c r="J118" i="34"/>
  <c r="I118" i="34"/>
  <c r="K117" i="34"/>
  <c r="J117" i="34"/>
  <c r="I117" i="34"/>
  <c r="K116" i="34"/>
  <c r="J116" i="34"/>
  <c r="I116" i="34"/>
  <c r="K115" i="34"/>
  <c r="J115" i="34"/>
  <c r="I115" i="34"/>
  <c r="K114" i="34"/>
  <c r="J114" i="34"/>
  <c r="I114" i="34"/>
  <c r="K113" i="34"/>
  <c r="J113" i="34"/>
  <c r="I113" i="34"/>
  <c r="K112" i="34"/>
  <c r="J112" i="34"/>
  <c r="I112" i="34"/>
  <c r="K111" i="34"/>
  <c r="J111" i="34"/>
  <c r="I111" i="34"/>
  <c r="K110" i="34"/>
  <c r="J110" i="34"/>
  <c r="I110" i="34"/>
  <c r="K109" i="34"/>
  <c r="J109" i="34"/>
  <c r="I109" i="34"/>
  <c r="K108" i="34"/>
  <c r="J108" i="34"/>
  <c r="I108" i="34"/>
  <c r="K107" i="34"/>
  <c r="J107" i="34"/>
  <c r="I107" i="34"/>
  <c r="K120" i="31"/>
  <c r="M120" i="31" s="1"/>
  <c r="J120" i="31"/>
  <c r="I120" i="31"/>
  <c r="K119" i="31"/>
  <c r="M119" i="31" s="1"/>
  <c r="J119" i="31"/>
  <c r="I119" i="31"/>
  <c r="K118" i="31"/>
  <c r="M118" i="31" s="1"/>
  <c r="J118" i="31"/>
  <c r="I118" i="31"/>
  <c r="K117" i="31"/>
  <c r="M117" i="31" s="1"/>
  <c r="J117" i="31"/>
  <c r="I117" i="31"/>
  <c r="K116" i="31"/>
  <c r="M116" i="31" s="1"/>
  <c r="J116" i="31"/>
  <c r="I116" i="31"/>
  <c r="K115" i="31"/>
  <c r="M115" i="31" s="1"/>
  <c r="J115" i="31"/>
  <c r="I115" i="31"/>
  <c r="K114" i="31"/>
  <c r="M114" i="31" s="1"/>
  <c r="J114" i="31"/>
  <c r="I114" i="31"/>
  <c r="K113" i="31"/>
  <c r="M113" i="31" s="1"/>
  <c r="J113" i="31"/>
  <c r="I113" i="31"/>
  <c r="K112" i="31"/>
  <c r="M112" i="31" s="1"/>
  <c r="J112" i="31"/>
  <c r="I112" i="31"/>
  <c r="K111" i="31"/>
  <c r="M111" i="31" s="1"/>
  <c r="J111" i="31"/>
  <c r="I111" i="31"/>
  <c r="K110" i="31"/>
  <c r="M110" i="31" s="1"/>
  <c r="J110" i="31"/>
  <c r="I110" i="31"/>
  <c r="K109" i="31"/>
  <c r="M109" i="31" s="1"/>
  <c r="J109" i="31"/>
  <c r="I109" i="31"/>
  <c r="K108" i="31"/>
  <c r="M108" i="31" s="1"/>
  <c r="J108" i="31"/>
  <c r="I108" i="31"/>
  <c r="K107" i="31"/>
  <c r="J107" i="31"/>
  <c r="I107" i="31"/>
  <c r="K120" i="32"/>
  <c r="M120" i="32" s="1"/>
  <c r="J120" i="32"/>
  <c r="I120" i="32"/>
  <c r="K119" i="32"/>
  <c r="M119" i="32" s="1"/>
  <c r="J119" i="32"/>
  <c r="I119" i="32"/>
  <c r="K118" i="32"/>
  <c r="M118" i="32" s="1"/>
  <c r="J118" i="32"/>
  <c r="I118" i="32"/>
  <c r="K117" i="32"/>
  <c r="M117" i="32" s="1"/>
  <c r="J117" i="32"/>
  <c r="I117" i="32"/>
  <c r="K116" i="32"/>
  <c r="M116" i="32" s="1"/>
  <c r="J116" i="32"/>
  <c r="I116" i="32"/>
  <c r="K115" i="32"/>
  <c r="M115" i="32" s="1"/>
  <c r="J115" i="32"/>
  <c r="I115" i="32"/>
  <c r="K114" i="32"/>
  <c r="M114" i="32" s="1"/>
  <c r="J114" i="32"/>
  <c r="I114" i="32"/>
  <c r="K113" i="32"/>
  <c r="M113" i="32" s="1"/>
  <c r="J113" i="32"/>
  <c r="I113" i="32"/>
  <c r="K112" i="32"/>
  <c r="M112" i="32" s="1"/>
  <c r="J112" i="32"/>
  <c r="I112" i="32"/>
  <c r="K111" i="32"/>
  <c r="M111" i="32" s="1"/>
  <c r="J111" i="32"/>
  <c r="I111" i="32"/>
  <c r="K110" i="32"/>
  <c r="M110" i="32" s="1"/>
  <c r="J110" i="32"/>
  <c r="I110" i="32"/>
  <c r="K109" i="32"/>
  <c r="M109" i="32" s="1"/>
  <c r="J109" i="32"/>
  <c r="I109" i="32"/>
  <c r="K108" i="32"/>
  <c r="M108" i="32" s="1"/>
  <c r="J108" i="32"/>
  <c r="I108" i="32"/>
  <c r="K107" i="32"/>
  <c r="J107" i="32"/>
  <c r="I107" i="32"/>
  <c r="K121" i="30"/>
  <c r="J121" i="30"/>
  <c r="I121" i="30"/>
  <c r="K120" i="30"/>
  <c r="J120" i="30"/>
  <c r="I120" i="30"/>
  <c r="K119" i="30"/>
  <c r="J119" i="30"/>
  <c r="I119" i="30"/>
  <c r="K118" i="30"/>
  <c r="J118" i="30"/>
  <c r="I118" i="30"/>
  <c r="K117" i="30"/>
  <c r="J117" i="30"/>
  <c r="I117" i="30"/>
  <c r="K116" i="30"/>
  <c r="J116" i="30"/>
  <c r="I116" i="30"/>
  <c r="K115" i="30"/>
  <c r="J115" i="30"/>
  <c r="I115" i="30"/>
  <c r="K114" i="30"/>
  <c r="J114" i="30"/>
  <c r="I114" i="30"/>
  <c r="K113" i="30"/>
  <c r="J113" i="30"/>
  <c r="I113" i="30"/>
  <c r="K112" i="30"/>
  <c r="J112" i="30"/>
  <c r="I112" i="30"/>
  <c r="K111" i="30"/>
  <c r="J111" i="30"/>
  <c r="I111" i="30"/>
  <c r="K110" i="30"/>
  <c r="J110" i="30"/>
  <c r="I110" i="30"/>
  <c r="K109" i="30"/>
  <c r="J109" i="30"/>
  <c r="I109" i="30"/>
  <c r="K108" i="30"/>
  <c r="J108" i="30"/>
  <c r="I108" i="30"/>
  <c r="K107" i="30"/>
  <c r="J107" i="30"/>
  <c r="I107" i="30"/>
  <c r="K211" i="33"/>
  <c r="J211" i="33"/>
  <c r="I211" i="33"/>
  <c r="K210" i="33"/>
  <c r="J210" i="33"/>
  <c r="I210" i="33"/>
  <c r="K209" i="33"/>
  <c r="J209" i="33"/>
  <c r="I209" i="33"/>
  <c r="K208" i="33"/>
  <c r="J208" i="33"/>
  <c r="I208" i="33"/>
  <c r="K207" i="33"/>
  <c r="J207" i="33"/>
  <c r="I207" i="33"/>
  <c r="K206" i="33"/>
  <c r="J206" i="33"/>
  <c r="I206" i="33"/>
  <c r="K205" i="33"/>
  <c r="J205" i="33"/>
  <c r="I205" i="33"/>
  <c r="K204" i="33"/>
  <c r="J204" i="33"/>
  <c r="I204" i="33"/>
  <c r="K203" i="33"/>
  <c r="J203" i="33"/>
  <c r="I203" i="33"/>
  <c r="K202" i="33"/>
  <c r="J202" i="33"/>
  <c r="I202" i="33"/>
  <c r="K201" i="33"/>
  <c r="J201" i="33"/>
  <c r="I201" i="33"/>
  <c r="K200" i="33"/>
  <c r="J200" i="33"/>
  <c r="I200" i="33"/>
  <c r="K199" i="33"/>
  <c r="J199" i="33"/>
  <c r="I199" i="33"/>
  <c r="K198" i="33"/>
  <c r="J198" i="33"/>
  <c r="I198" i="33"/>
  <c r="K197" i="33"/>
  <c r="J197" i="33"/>
  <c r="I197" i="33"/>
  <c r="K196" i="33"/>
  <c r="J196" i="33"/>
  <c r="I196" i="33"/>
  <c r="K195" i="33"/>
  <c r="J195" i="33"/>
  <c r="I195" i="33"/>
  <c r="K194" i="33"/>
  <c r="J194" i="33"/>
  <c r="I194" i="33"/>
  <c r="K193" i="33"/>
  <c r="J193" i="33"/>
  <c r="I193" i="33"/>
  <c r="K192" i="33"/>
  <c r="J192" i="33"/>
  <c r="I192" i="33"/>
  <c r="K191" i="33"/>
  <c r="J191" i="33"/>
  <c r="I191" i="33"/>
  <c r="K190" i="33"/>
  <c r="J190" i="33"/>
  <c r="I190" i="33"/>
  <c r="K189" i="33"/>
  <c r="J189" i="33"/>
  <c r="I189" i="33"/>
  <c r="K188" i="33"/>
  <c r="J188" i="33"/>
  <c r="I188" i="33"/>
  <c r="K187" i="33"/>
  <c r="J187" i="33"/>
  <c r="I187" i="33"/>
  <c r="K186" i="33"/>
  <c r="J186" i="33"/>
  <c r="I186" i="33"/>
  <c r="K185" i="33"/>
  <c r="J185" i="33"/>
  <c r="I185" i="33"/>
  <c r="K184" i="33"/>
  <c r="J184" i="33"/>
  <c r="I184" i="33"/>
  <c r="K183" i="33"/>
  <c r="J183" i="33"/>
  <c r="I183" i="33"/>
  <c r="K182" i="33"/>
  <c r="J182" i="33"/>
  <c r="I182" i="33"/>
  <c r="K176" i="33"/>
  <c r="J176" i="33"/>
  <c r="I176" i="33"/>
  <c r="K175" i="33"/>
  <c r="J175" i="33"/>
  <c r="I175" i="33"/>
  <c r="K174" i="33"/>
  <c r="J174" i="33"/>
  <c r="I174" i="33"/>
  <c r="K173" i="33"/>
  <c r="J173" i="33"/>
  <c r="I173" i="33"/>
  <c r="K172" i="33"/>
  <c r="J172" i="33"/>
  <c r="I172" i="33"/>
  <c r="K171" i="33"/>
  <c r="J171" i="33"/>
  <c r="I171" i="33"/>
  <c r="K170" i="33"/>
  <c r="J170" i="33"/>
  <c r="I170" i="33"/>
  <c r="K169" i="33"/>
  <c r="J169" i="33"/>
  <c r="I169" i="33"/>
  <c r="K168" i="33"/>
  <c r="J168" i="33"/>
  <c r="I168" i="33"/>
  <c r="K167" i="33"/>
  <c r="J167" i="33"/>
  <c r="I167" i="33"/>
  <c r="K166" i="33"/>
  <c r="J166" i="33"/>
  <c r="I166" i="33"/>
  <c r="K165" i="33"/>
  <c r="J165" i="33"/>
  <c r="I165" i="33"/>
  <c r="K164" i="33"/>
  <c r="J164" i="33"/>
  <c r="I164" i="33"/>
  <c r="K163" i="33"/>
  <c r="J163" i="33"/>
  <c r="I163" i="33"/>
  <c r="K162" i="33"/>
  <c r="J162" i="33"/>
  <c r="I162" i="33"/>
  <c r="K161" i="33"/>
  <c r="J161" i="33"/>
  <c r="I161" i="33"/>
  <c r="K160" i="33"/>
  <c r="J160" i="33"/>
  <c r="I160" i="33"/>
  <c r="K159" i="33"/>
  <c r="J159" i="33"/>
  <c r="I159" i="33"/>
  <c r="K158" i="33"/>
  <c r="J158" i="33"/>
  <c r="I158" i="33"/>
  <c r="K157" i="33"/>
  <c r="J157" i="33"/>
  <c r="I157" i="33"/>
  <c r="K156" i="33"/>
  <c r="J156" i="33"/>
  <c r="I156" i="33"/>
  <c r="K155" i="33"/>
  <c r="J155" i="33"/>
  <c r="I155" i="33"/>
  <c r="K154" i="33"/>
  <c r="J154" i="33"/>
  <c r="I154" i="33"/>
  <c r="K153" i="33"/>
  <c r="J153" i="33"/>
  <c r="I153" i="33"/>
  <c r="K152" i="33"/>
  <c r="J152" i="33"/>
  <c r="I152" i="33"/>
  <c r="K151" i="33"/>
  <c r="J151" i="33"/>
  <c r="I151" i="33"/>
  <c r="K150" i="33"/>
  <c r="J150" i="33"/>
  <c r="I150" i="33"/>
  <c r="K149" i="33"/>
  <c r="J149" i="33"/>
  <c r="I149" i="33"/>
  <c r="K148" i="33"/>
  <c r="J148" i="33"/>
  <c r="I148" i="33"/>
  <c r="K147" i="33"/>
  <c r="J147" i="33"/>
  <c r="I147" i="33"/>
  <c r="K141" i="33"/>
  <c r="J141" i="33"/>
  <c r="I141" i="33"/>
  <c r="K140" i="33"/>
  <c r="J140" i="33"/>
  <c r="I140" i="33"/>
  <c r="K139" i="33"/>
  <c r="J139" i="33"/>
  <c r="I139" i="33"/>
  <c r="K138" i="33"/>
  <c r="J138" i="33"/>
  <c r="I138" i="33"/>
  <c r="K137" i="33"/>
  <c r="J137" i="33"/>
  <c r="I137" i="33"/>
  <c r="K136" i="33"/>
  <c r="J136" i="33"/>
  <c r="I136" i="33"/>
  <c r="K135" i="33"/>
  <c r="J135" i="33"/>
  <c r="I135" i="33"/>
  <c r="K134" i="33"/>
  <c r="J134" i="33"/>
  <c r="I134" i="33"/>
  <c r="K133" i="33"/>
  <c r="J133" i="33"/>
  <c r="I133" i="33"/>
  <c r="K132" i="33"/>
  <c r="J132" i="33"/>
  <c r="I132" i="33"/>
  <c r="K131" i="33"/>
  <c r="J131" i="33"/>
  <c r="I131" i="33"/>
  <c r="K130" i="33"/>
  <c r="J130" i="33"/>
  <c r="I130" i="33"/>
  <c r="K129" i="33"/>
  <c r="J129" i="33"/>
  <c r="I129" i="33"/>
  <c r="K128" i="33"/>
  <c r="J128" i="33"/>
  <c r="I128" i="33"/>
  <c r="K127" i="33"/>
  <c r="J127" i="33"/>
  <c r="I127" i="33"/>
  <c r="K126" i="33"/>
  <c r="J126" i="33"/>
  <c r="I126" i="33"/>
  <c r="K125" i="33"/>
  <c r="J125" i="33"/>
  <c r="I125" i="33"/>
  <c r="K124" i="33"/>
  <c r="J124" i="33"/>
  <c r="I124" i="33"/>
  <c r="K123" i="33"/>
  <c r="J123" i="33"/>
  <c r="I123" i="33"/>
  <c r="K122" i="33"/>
  <c r="J122" i="33"/>
  <c r="I122" i="33"/>
  <c r="K121" i="33"/>
  <c r="J121" i="33"/>
  <c r="I121" i="33"/>
  <c r="K120" i="33"/>
  <c r="J120" i="33"/>
  <c r="I120" i="33"/>
  <c r="K119" i="33"/>
  <c r="J119" i="33"/>
  <c r="I119" i="33"/>
  <c r="K118" i="33"/>
  <c r="J118" i="33"/>
  <c r="I118" i="33"/>
  <c r="K117" i="33"/>
  <c r="J117" i="33"/>
  <c r="I117" i="33"/>
  <c r="K116" i="33"/>
  <c r="J116" i="33"/>
  <c r="I116" i="33"/>
  <c r="K115" i="33"/>
  <c r="J115" i="33"/>
  <c r="I115" i="33"/>
  <c r="K114" i="33"/>
  <c r="J114" i="33"/>
  <c r="I114" i="33"/>
  <c r="K113" i="33"/>
  <c r="J113" i="33"/>
  <c r="I113" i="33"/>
  <c r="K112" i="33"/>
  <c r="J112" i="33"/>
  <c r="I112" i="33"/>
  <c r="K106" i="33"/>
  <c r="J106" i="33"/>
  <c r="I106" i="33"/>
  <c r="K105" i="33"/>
  <c r="J105" i="33"/>
  <c r="I105" i="33"/>
  <c r="K104" i="33"/>
  <c r="J104" i="33"/>
  <c r="I104" i="33"/>
  <c r="K103" i="33"/>
  <c r="J103" i="33"/>
  <c r="I103" i="33"/>
  <c r="K102" i="33"/>
  <c r="J102" i="33"/>
  <c r="I102" i="33"/>
  <c r="K101" i="33"/>
  <c r="J101" i="33"/>
  <c r="I101" i="33"/>
  <c r="K100" i="33"/>
  <c r="J100" i="33"/>
  <c r="I100" i="33"/>
  <c r="K99" i="33"/>
  <c r="J99" i="33"/>
  <c r="I99" i="33"/>
  <c r="K98" i="33"/>
  <c r="J98" i="33"/>
  <c r="I98" i="33"/>
  <c r="K97" i="33"/>
  <c r="J97" i="33"/>
  <c r="I97" i="33"/>
  <c r="K96" i="33"/>
  <c r="J96" i="33"/>
  <c r="I96" i="33"/>
  <c r="K95" i="33"/>
  <c r="J95" i="33"/>
  <c r="I95" i="33"/>
  <c r="K94" i="33"/>
  <c r="J94" i="33"/>
  <c r="I94" i="33"/>
  <c r="K93" i="33"/>
  <c r="J93" i="33"/>
  <c r="I93" i="33"/>
  <c r="K92" i="33"/>
  <c r="J92" i="33"/>
  <c r="I92" i="33"/>
  <c r="K91" i="33"/>
  <c r="J91" i="33"/>
  <c r="I91" i="33"/>
  <c r="K90" i="33"/>
  <c r="J90" i="33"/>
  <c r="I90" i="33"/>
  <c r="K89" i="33"/>
  <c r="J89" i="33"/>
  <c r="I89" i="33"/>
  <c r="K88" i="33"/>
  <c r="J88" i="33"/>
  <c r="I88" i="33"/>
  <c r="K87" i="33"/>
  <c r="J87" i="33"/>
  <c r="I87" i="33"/>
  <c r="K86" i="33"/>
  <c r="J86" i="33"/>
  <c r="I86" i="33"/>
  <c r="K85" i="33"/>
  <c r="J85" i="33"/>
  <c r="I85" i="33"/>
  <c r="K84" i="33"/>
  <c r="J84" i="33"/>
  <c r="I84" i="33"/>
  <c r="K83" i="33"/>
  <c r="J83" i="33"/>
  <c r="I83" i="33"/>
  <c r="K82" i="33"/>
  <c r="J82" i="33"/>
  <c r="I82" i="33"/>
  <c r="K81" i="33"/>
  <c r="J81" i="33"/>
  <c r="I81" i="33"/>
  <c r="K80" i="33"/>
  <c r="J80" i="33"/>
  <c r="I80" i="33"/>
  <c r="K79" i="33"/>
  <c r="J79" i="33"/>
  <c r="I79" i="33"/>
  <c r="K78" i="33"/>
  <c r="J78" i="33"/>
  <c r="I78" i="33"/>
  <c r="K77" i="33"/>
  <c r="J77" i="33"/>
  <c r="I77" i="33"/>
  <c r="K71" i="33"/>
  <c r="J71" i="33"/>
  <c r="I71" i="33"/>
  <c r="K70" i="33"/>
  <c r="J70" i="33"/>
  <c r="I70" i="33"/>
  <c r="K69" i="33"/>
  <c r="J69" i="33"/>
  <c r="I69" i="33"/>
  <c r="K68" i="33"/>
  <c r="J68" i="33"/>
  <c r="I68" i="33"/>
  <c r="K67" i="33"/>
  <c r="J67" i="33"/>
  <c r="I67" i="33"/>
  <c r="K66" i="33"/>
  <c r="J66" i="33"/>
  <c r="I66" i="33"/>
  <c r="K65" i="33"/>
  <c r="J65" i="33"/>
  <c r="I65" i="33"/>
  <c r="K64" i="33"/>
  <c r="J64" i="33"/>
  <c r="I64" i="33"/>
  <c r="K63" i="33"/>
  <c r="J63" i="33"/>
  <c r="I63" i="33"/>
  <c r="K62" i="33"/>
  <c r="J62" i="33"/>
  <c r="I62" i="33"/>
  <c r="K61" i="33"/>
  <c r="J61" i="33"/>
  <c r="I61" i="33"/>
  <c r="K60" i="33"/>
  <c r="J60" i="33"/>
  <c r="I60" i="33"/>
  <c r="K59" i="33"/>
  <c r="J59" i="33"/>
  <c r="I59" i="33"/>
  <c r="K58" i="33"/>
  <c r="J58" i="33"/>
  <c r="I58" i="33"/>
  <c r="K57" i="33"/>
  <c r="J57" i="33"/>
  <c r="I57" i="33"/>
  <c r="K56" i="33"/>
  <c r="J56" i="33"/>
  <c r="I56" i="33"/>
  <c r="K55" i="33"/>
  <c r="J55" i="33"/>
  <c r="I55" i="33"/>
  <c r="K54" i="33"/>
  <c r="J54" i="33"/>
  <c r="I54" i="33"/>
  <c r="K53" i="33"/>
  <c r="J53" i="33"/>
  <c r="I53" i="33"/>
  <c r="K52" i="33"/>
  <c r="J52" i="33"/>
  <c r="I52" i="33"/>
  <c r="K51" i="33"/>
  <c r="J51" i="33"/>
  <c r="I51" i="33"/>
  <c r="K50" i="33"/>
  <c r="J50" i="33"/>
  <c r="I50" i="33"/>
  <c r="K49" i="33"/>
  <c r="J49" i="33"/>
  <c r="I49" i="33"/>
  <c r="K48" i="33"/>
  <c r="J48" i="33"/>
  <c r="I48" i="33"/>
  <c r="K47" i="33"/>
  <c r="J47" i="33"/>
  <c r="I47" i="33"/>
  <c r="K46" i="33"/>
  <c r="J46" i="33"/>
  <c r="I46" i="33"/>
  <c r="K45" i="33"/>
  <c r="J45" i="33"/>
  <c r="I45" i="33"/>
  <c r="K44" i="33"/>
  <c r="J44" i="33"/>
  <c r="I44" i="33"/>
  <c r="K43" i="33"/>
  <c r="J43" i="33"/>
  <c r="I43" i="33"/>
  <c r="K42" i="33"/>
  <c r="J42" i="33"/>
  <c r="I42" i="33"/>
  <c r="K211" i="8"/>
  <c r="J211" i="8"/>
  <c r="I211" i="8"/>
  <c r="K210" i="8"/>
  <c r="J210" i="8"/>
  <c r="I210" i="8"/>
  <c r="K209" i="8"/>
  <c r="J209" i="8"/>
  <c r="I209" i="8"/>
  <c r="K208" i="8"/>
  <c r="J208" i="8"/>
  <c r="I208" i="8"/>
  <c r="K207" i="8"/>
  <c r="J207" i="8"/>
  <c r="I207" i="8"/>
  <c r="K206" i="8"/>
  <c r="J206" i="8"/>
  <c r="I206" i="8"/>
  <c r="K205" i="8"/>
  <c r="J205" i="8"/>
  <c r="I205" i="8"/>
  <c r="K204" i="8"/>
  <c r="J204" i="8"/>
  <c r="I204" i="8"/>
  <c r="K203" i="8"/>
  <c r="J203" i="8"/>
  <c r="I203" i="8"/>
  <c r="K202" i="8"/>
  <c r="J202" i="8"/>
  <c r="I202" i="8"/>
  <c r="K201" i="8"/>
  <c r="J201" i="8"/>
  <c r="I201" i="8"/>
  <c r="K200" i="8"/>
  <c r="J200" i="8"/>
  <c r="I200" i="8"/>
  <c r="K199" i="8"/>
  <c r="J199" i="8"/>
  <c r="I199" i="8"/>
  <c r="K198" i="8"/>
  <c r="J198" i="8"/>
  <c r="I198" i="8"/>
  <c r="K197" i="8"/>
  <c r="J197" i="8"/>
  <c r="I197" i="8"/>
  <c r="K196" i="8"/>
  <c r="J196" i="8"/>
  <c r="I196" i="8"/>
  <c r="K195" i="8"/>
  <c r="J195" i="8"/>
  <c r="I195" i="8"/>
  <c r="K194" i="8"/>
  <c r="J194" i="8"/>
  <c r="I194" i="8"/>
  <c r="K193" i="8"/>
  <c r="J193" i="8"/>
  <c r="I193" i="8"/>
  <c r="K192" i="8"/>
  <c r="J192" i="8"/>
  <c r="I192" i="8"/>
  <c r="K191" i="8"/>
  <c r="J191" i="8"/>
  <c r="I191" i="8"/>
  <c r="K190" i="8"/>
  <c r="J190" i="8"/>
  <c r="I190" i="8"/>
  <c r="K189" i="8"/>
  <c r="J189" i="8"/>
  <c r="I189" i="8"/>
  <c r="K188" i="8"/>
  <c r="J188" i="8"/>
  <c r="I188" i="8"/>
  <c r="K187" i="8"/>
  <c r="J187" i="8"/>
  <c r="I187" i="8"/>
  <c r="K186" i="8"/>
  <c r="J186" i="8"/>
  <c r="I186" i="8"/>
  <c r="K185" i="8"/>
  <c r="J185" i="8"/>
  <c r="I185" i="8"/>
  <c r="K184" i="8"/>
  <c r="J184" i="8"/>
  <c r="I184" i="8"/>
  <c r="K183" i="8"/>
  <c r="J183" i="8"/>
  <c r="I183" i="8"/>
  <c r="K182" i="8"/>
  <c r="J182" i="8"/>
  <c r="I182" i="8"/>
  <c r="K176" i="8"/>
  <c r="J176" i="8"/>
  <c r="I176" i="8"/>
  <c r="K175" i="8"/>
  <c r="J175" i="8"/>
  <c r="I175" i="8"/>
  <c r="K174" i="8"/>
  <c r="J174" i="8"/>
  <c r="I174" i="8"/>
  <c r="K173" i="8"/>
  <c r="J173" i="8"/>
  <c r="I173" i="8"/>
  <c r="K172" i="8"/>
  <c r="J172" i="8"/>
  <c r="I172" i="8"/>
  <c r="K171" i="8"/>
  <c r="J171" i="8"/>
  <c r="I171" i="8"/>
  <c r="K170" i="8"/>
  <c r="J170" i="8"/>
  <c r="I170" i="8"/>
  <c r="K169" i="8"/>
  <c r="J169" i="8"/>
  <c r="I169" i="8"/>
  <c r="K168" i="8"/>
  <c r="J168" i="8"/>
  <c r="I168" i="8"/>
  <c r="K167" i="8"/>
  <c r="J167" i="8"/>
  <c r="I167" i="8"/>
  <c r="K166" i="8"/>
  <c r="J166" i="8"/>
  <c r="I166" i="8"/>
  <c r="K165" i="8"/>
  <c r="J165" i="8"/>
  <c r="I165" i="8"/>
  <c r="K164" i="8"/>
  <c r="J164" i="8"/>
  <c r="I164" i="8"/>
  <c r="K163" i="8"/>
  <c r="J163" i="8"/>
  <c r="I163" i="8"/>
  <c r="K162" i="8"/>
  <c r="J162" i="8"/>
  <c r="I162" i="8"/>
  <c r="K161" i="8"/>
  <c r="J161" i="8"/>
  <c r="I161" i="8"/>
  <c r="K160" i="8"/>
  <c r="J160" i="8"/>
  <c r="I160" i="8"/>
  <c r="K159" i="8"/>
  <c r="J159" i="8"/>
  <c r="I159" i="8"/>
  <c r="K158" i="8"/>
  <c r="J158" i="8"/>
  <c r="I158" i="8"/>
  <c r="K157" i="8"/>
  <c r="J157" i="8"/>
  <c r="I157" i="8"/>
  <c r="J156" i="8"/>
  <c r="I156" i="8"/>
  <c r="J155" i="8"/>
  <c r="I155" i="8"/>
  <c r="K154" i="8"/>
  <c r="J154" i="8"/>
  <c r="I154" i="8"/>
  <c r="K153" i="8"/>
  <c r="J153" i="8"/>
  <c r="I153" i="8"/>
  <c r="K152" i="8"/>
  <c r="J152" i="8"/>
  <c r="I152" i="8"/>
  <c r="K151" i="8"/>
  <c r="J151" i="8"/>
  <c r="I151" i="8"/>
  <c r="K150" i="8"/>
  <c r="J150" i="8"/>
  <c r="I150" i="8"/>
  <c r="K149" i="8"/>
  <c r="J149" i="8"/>
  <c r="I149" i="8"/>
  <c r="K148" i="8"/>
  <c r="J148" i="8"/>
  <c r="I148" i="8"/>
  <c r="K147" i="8"/>
  <c r="J147" i="8"/>
  <c r="I147" i="8"/>
  <c r="K141" i="8"/>
  <c r="J141" i="8"/>
  <c r="I141" i="8"/>
  <c r="K140" i="8"/>
  <c r="J140" i="8"/>
  <c r="I140" i="8"/>
  <c r="K139" i="8"/>
  <c r="J139" i="8"/>
  <c r="I139" i="8"/>
  <c r="K138" i="8"/>
  <c r="J138" i="8"/>
  <c r="I138" i="8"/>
  <c r="K137" i="8"/>
  <c r="J137" i="8"/>
  <c r="I137" i="8"/>
  <c r="K136" i="8"/>
  <c r="J136" i="8"/>
  <c r="I136" i="8"/>
  <c r="K135" i="8"/>
  <c r="J135" i="8"/>
  <c r="I135" i="8"/>
  <c r="K134" i="8"/>
  <c r="J134" i="8"/>
  <c r="I134" i="8"/>
  <c r="K133" i="8"/>
  <c r="J133" i="8"/>
  <c r="I133" i="8"/>
  <c r="K132" i="8"/>
  <c r="J132" i="8"/>
  <c r="I132" i="8"/>
  <c r="K131" i="8"/>
  <c r="J131" i="8"/>
  <c r="I131" i="8"/>
  <c r="K130" i="8"/>
  <c r="J130" i="8"/>
  <c r="I130" i="8"/>
  <c r="K129" i="8"/>
  <c r="J129" i="8"/>
  <c r="I129" i="8"/>
  <c r="K128" i="8"/>
  <c r="J128" i="8"/>
  <c r="I128" i="8"/>
  <c r="K127" i="8"/>
  <c r="J127" i="8"/>
  <c r="I127" i="8"/>
  <c r="K126" i="8"/>
  <c r="J126" i="8"/>
  <c r="I126" i="8"/>
  <c r="K125" i="8"/>
  <c r="J125" i="8"/>
  <c r="I125" i="8"/>
  <c r="K124" i="8"/>
  <c r="J124" i="8"/>
  <c r="I124" i="8"/>
  <c r="K123" i="8"/>
  <c r="J123" i="8"/>
  <c r="I123" i="8"/>
  <c r="K122" i="8"/>
  <c r="J122" i="8"/>
  <c r="I122" i="8"/>
  <c r="K121" i="8"/>
  <c r="J121" i="8"/>
  <c r="I121" i="8"/>
  <c r="K120" i="8"/>
  <c r="J120" i="8"/>
  <c r="I120" i="8"/>
  <c r="K119" i="8"/>
  <c r="J119" i="8"/>
  <c r="I119" i="8"/>
  <c r="K118" i="8"/>
  <c r="J118" i="8"/>
  <c r="I118" i="8"/>
  <c r="K117" i="8"/>
  <c r="J117" i="8"/>
  <c r="I117" i="8"/>
  <c r="K116" i="8"/>
  <c r="J116" i="8"/>
  <c r="I116" i="8"/>
  <c r="K115" i="8"/>
  <c r="J115" i="8"/>
  <c r="I115" i="8"/>
  <c r="K114" i="8"/>
  <c r="J114" i="8"/>
  <c r="I114" i="8"/>
  <c r="K113" i="8"/>
  <c r="J113" i="8"/>
  <c r="I113" i="8"/>
  <c r="K112" i="8"/>
  <c r="J112" i="8"/>
  <c r="I112" i="8"/>
  <c r="K106" i="8"/>
  <c r="J106" i="8"/>
  <c r="I106" i="8"/>
  <c r="K105" i="8"/>
  <c r="J105" i="8"/>
  <c r="I105" i="8"/>
  <c r="K104" i="8"/>
  <c r="J104" i="8"/>
  <c r="I104" i="8"/>
  <c r="K103" i="8"/>
  <c r="J103" i="8"/>
  <c r="I103" i="8"/>
  <c r="K102" i="8"/>
  <c r="J102" i="8"/>
  <c r="I102" i="8"/>
  <c r="K101" i="8"/>
  <c r="J101" i="8"/>
  <c r="I101" i="8"/>
  <c r="K100" i="8"/>
  <c r="J100" i="8"/>
  <c r="I100" i="8"/>
  <c r="K99" i="8"/>
  <c r="J99" i="8"/>
  <c r="I99" i="8"/>
  <c r="K98" i="8"/>
  <c r="J98" i="8"/>
  <c r="I98" i="8"/>
  <c r="K97" i="8"/>
  <c r="J97" i="8"/>
  <c r="I97" i="8"/>
  <c r="K96" i="8"/>
  <c r="J96" i="8"/>
  <c r="I96" i="8"/>
  <c r="K95" i="8"/>
  <c r="J95" i="8"/>
  <c r="I95" i="8"/>
  <c r="K94" i="8"/>
  <c r="J94" i="8"/>
  <c r="I94" i="8"/>
  <c r="K93" i="8"/>
  <c r="J93" i="8"/>
  <c r="I93" i="8"/>
  <c r="K92" i="8"/>
  <c r="J92" i="8"/>
  <c r="I92" i="8"/>
  <c r="K91" i="8"/>
  <c r="J91" i="8"/>
  <c r="I91" i="8"/>
  <c r="K90" i="8"/>
  <c r="J90" i="8"/>
  <c r="I90" i="8"/>
  <c r="K89" i="8"/>
  <c r="J89" i="8"/>
  <c r="I89" i="8"/>
  <c r="K88" i="8"/>
  <c r="J88" i="8"/>
  <c r="I88" i="8"/>
  <c r="K87" i="8"/>
  <c r="J87" i="8"/>
  <c r="I87" i="8"/>
  <c r="K86" i="8"/>
  <c r="J86" i="8"/>
  <c r="I86" i="8"/>
  <c r="K85" i="8"/>
  <c r="J85" i="8"/>
  <c r="I85" i="8"/>
  <c r="K84" i="8"/>
  <c r="J84" i="8"/>
  <c r="I84" i="8"/>
  <c r="K83" i="8"/>
  <c r="J83" i="8"/>
  <c r="I83" i="8"/>
  <c r="K82" i="8"/>
  <c r="J82" i="8"/>
  <c r="I82" i="8"/>
  <c r="K81" i="8"/>
  <c r="J81" i="8"/>
  <c r="I81" i="8"/>
  <c r="K80" i="8"/>
  <c r="J80" i="8"/>
  <c r="I80" i="8"/>
  <c r="K79" i="8"/>
  <c r="J79" i="8"/>
  <c r="I79" i="8"/>
  <c r="K78" i="8"/>
  <c r="J78" i="8"/>
  <c r="I78" i="8"/>
  <c r="K77" i="8"/>
  <c r="J77" i="8"/>
  <c r="I77" i="8"/>
  <c r="K71" i="8"/>
  <c r="J71" i="8"/>
  <c r="I71" i="8"/>
  <c r="K70" i="8"/>
  <c r="J70" i="8"/>
  <c r="I70" i="8"/>
  <c r="K69" i="8"/>
  <c r="J69" i="8"/>
  <c r="I69" i="8"/>
  <c r="K68" i="8"/>
  <c r="J68" i="8"/>
  <c r="I68" i="8"/>
  <c r="K67" i="8"/>
  <c r="J67" i="8"/>
  <c r="I67" i="8"/>
  <c r="K66" i="8"/>
  <c r="J66" i="8"/>
  <c r="I66" i="8"/>
  <c r="K65" i="8"/>
  <c r="J65" i="8"/>
  <c r="I65" i="8"/>
  <c r="K64" i="8"/>
  <c r="J64" i="8"/>
  <c r="I64" i="8"/>
  <c r="K63" i="8"/>
  <c r="J63" i="8"/>
  <c r="I63" i="8"/>
  <c r="K62" i="8"/>
  <c r="J62" i="8"/>
  <c r="I62" i="8"/>
  <c r="K61" i="8"/>
  <c r="J61" i="8"/>
  <c r="I61" i="8"/>
  <c r="K60" i="8"/>
  <c r="J60" i="8"/>
  <c r="I60" i="8"/>
  <c r="K59" i="8"/>
  <c r="J59" i="8"/>
  <c r="I59" i="8"/>
  <c r="K58" i="8"/>
  <c r="J58" i="8"/>
  <c r="I58" i="8"/>
  <c r="K57" i="8"/>
  <c r="J57" i="8"/>
  <c r="I57" i="8"/>
  <c r="K56" i="8"/>
  <c r="J56" i="8"/>
  <c r="I56" i="8"/>
  <c r="K55" i="8"/>
  <c r="J55" i="8"/>
  <c r="I55" i="8"/>
  <c r="K54" i="8"/>
  <c r="J54" i="8"/>
  <c r="I54" i="8"/>
  <c r="K53" i="8"/>
  <c r="J53" i="8"/>
  <c r="I53" i="8"/>
  <c r="K52" i="8"/>
  <c r="J52" i="8"/>
  <c r="I52" i="8"/>
  <c r="K51" i="8"/>
  <c r="J51" i="8"/>
  <c r="I51" i="8"/>
  <c r="K50" i="8"/>
  <c r="J50" i="8"/>
  <c r="I50" i="8"/>
  <c r="K49" i="8"/>
  <c r="J49" i="8"/>
  <c r="I49" i="8"/>
  <c r="K48" i="8"/>
  <c r="J48" i="8"/>
  <c r="I48" i="8"/>
  <c r="K47" i="8"/>
  <c r="J47" i="8"/>
  <c r="I47" i="8"/>
  <c r="K46" i="8"/>
  <c r="J46" i="8"/>
  <c r="I46" i="8"/>
  <c r="K45" i="8"/>
  <c r="J45" i="8"/>
  <c r="I45" i="8"/>
  <c r="K44" i="8"/>
  <c r="J44" i="8"/>
  <c r="I44" i="8"/>
  <c r="K43" i="8"/>
  <c r="J43" i="8"/>
  <c r="I43" i="8"/>
  <c r="K42" i="8"/>
  <c r="J42" i="8"/>
  <c r="I42" i="8"/>
  <c r="U35" i="3"/>
  <c r="O35" i="3"/>
  <c r="L107" i="37" l="1"/>
  <c r="M121" i="31"/>
  <c r="M107" i="31"/>
  <c r="M107" i="32"/>
  <c r="M121" i="32"/>
  <c r="L107" i="35"/>
  <c r="L107" i="32"/>
  <c r="L107" i="36"/>
  <c r="L42" i="8"/>
  <c r="P22" i="32" l="1"/>
  <c r="U22" i="32" s="1"/>
  <c r="Z22" i="32" s="1"/>
  <c r="AE22" i="32" s="1"/>
  <c r="AJ22" i="32" s="1"/>
  <c r="AO22" i="32" s="1"/>
  <c r="AT22" i="32" s="1"/>
  <c r="P22" i="31"/>
  <c r="U22" i="31" s="1"/>
  <c r="Z22" i="31" s="1"/>
  <c r="AE22" i="31" s="1"/>
  <c r="AJ22" i="31" s="1"/>
  <c r="AO22" i="31" s="1"/>
  <c r="AT22" i="31" s="1"/>
  <c r="P22" i="34"/>
  <c r="U22" i="34" s="1"/>
  <c r="Z22" i="34" s="1"/>
  <c r="AE22" i="34" s="1"/>
  <c r="AJ22" i="34" s="1"/>
  <c r="AO22" i="34" s="1"/>
  <c r="AT22" i="34" s="1"/>
  <c r="P22" i="35"/>
  <c r="U22" i="35" s="1"/>
  <c r="Z22" i="35" s="1"/>
  <c r="AE22" i="35" s="1"/>
  <c r="AJ22" i="35" s="1"/>
  <c r="AO22" i="35" s="1"/>
  <c r="AT22" i="35" s="1"/>
  <c r="P22" i="36"/>
  <c r="U22" i="36" s="1"/>
  <c r="Z22" i="36" s="1"/>
  <c r="AE22" i="36" s="1"/>
  <c r="AJ22" i="36" s="1"/>
  <c r="AO22" i="36" s="1"/>
  <c r="AT22" i="36" s="1"/>
  <c r="P22" i="37"/>
  <c r="U22" i="37" s="1"/>
  <c r="Z22" i="37" s="1"/>
  <c r="AE22" i="37" s="1"/>
  <c r="AJ22" i="37" s="1"/>
  <c r="AO22" i="37" s="1"/>
  <c r="AT22" i="37" s="1"/>
  <c r="P22" i="30"/>
  <c r="U22" i="30" s="1"/>
  <c r="Z22" i="30" s="1"/>
  <c r="AE22" i="30" s="1"/>
  <c r="AJ22" i="30" s="1"/>
  <c r="AO22" i="30" s="1"/>
  <c r="AT22" i="30" s="1"/>
  <c r="P37" i="8"/>
  <c r="U5" i="3" l="1"/>
  <c r="P6" i="3" l="1"/>
  <c r="B9" i="39" s="1"/>
  <c r="G255" i="8" l="1"/>
  <c r="G254" i="8"/>
  <c r="G253" i="8"/>
  <c r="G252" i="8"/>
  <c r="G251" i="8"/>
  <c r="G250" i="8"/>
  <c r="G262" i="8"/>
  <c r="G261" i="8"/>
  <c r="G260" i="8"/>
  <c r="G259" i="8"/>
  <c r="G258" i="8"/>
  <c r="G257" i="8"/>
  <c r="H107" i="37" l="1"/>
  <c r="H107" i="36"/>
  <c r="H107" i="35"/>
  <c r="H107" i="32"/>
  <c r="M113" i="30"/>
  <c r="M112" i="30"/>
  <c r="M111" i="30"/>
  <c r="M110" i="30"/>
  <c r="M109" i="30"/>
  <c r="M108" i="30"/>
  <c r="H107" i="30"/>
  <c r="L182" i="8"/>
  <c r="H182" i="8"/>
  <c r="M121" i="30" l="1"/>
  <c r="L107" i="30"/>
  <c r="M114" i="30"/>
  <c r="M118" i="30"/>
  <c r="M107" i="30"/>
  <c r="M115" i="30"/>
  <c r="M119" i="30"/>
  <c r="M116" i="30"/>
  <c r="M120" i="30"/>
  <c r="M117" i="30"/>
  <c r="M184" i="8"/>
  <c r="M186" i="8"/>
  <c r="M188" i="8"/>
  <c r="M190" i="8"/>
  <c r="M211" i="8"/>
  <c r="M183" i="8"/>
  <c r="M185" i="8"/>
  <c r="M187" i="8"/>
  <c r="M189" i="8"/>
  <c r="M191" i="8"/>
  <c r="M193" i="8"/>
  <c r="M195" i="8"/>
  <c r="M197" i="8"/>
  <c r="M199" i="8"/>
  <c r="M201" i="8"/>
  <c r="M192" i="8"/>
  <c r="M194" i="8"/>
  <c r="M196" i="8"/>
  <c r="M198" i="8"/>
  <c r="M200" i="8"/>
  <c r="M202" i="8"/>
  <c r="M182" i="8"/>
  <c r="M206" i="8"/>
  <c r="M210" i="8"/>
  <c r="M203" i="8"/>
  <c r="M207" i="8"/>
  <c r="M204" i="8"/>
  <c r="M208" i="8"/>
  <c r="M205" i="8"/>
  <c r="M209" i="8"/>
  <c r="O5" i="3" l="1"/>
  <c r="AK50" i="6" l="1"/>
  <c r="AI50" i="6"/>
  <c r="AG50" i="6"/>
  <c r="AE50" i="6"/>
  <c r="AA50" i="6"/>
  <c r="Y50" i="6"/>
  <c r="W50" i="6"/>
  <c r="U50" i="6"/>
  <c r="Q50" i="6"/>
  <c r="O50" i="6"/>
  <c r="K50" i="6"/>
  <c r="I50" i="6"/>
  <c r="F43" i="6" l="1"/>
  <c r="AK50" i="7"/>
  <c r="AI50" i="7"/>
  <c r="AG50" i="7"/>
  <c r="AE50" i="7"/>
  <c r="AA50" i="7"/>
  <c r="Y50" i="7"/>
  <c r="W50" i="7"/>
  <c r="U50" i="7"/>
  <c r="Q50" i="7"/>
  <c r="O50" i="7"/>
  <c r="K50" i="7"/>
  <c r="I50" i="7"/>
  <c r="I5" i="5"/>
  <c r="D12" i="3"/>
  <c r="D13" i="3" s="1"/>
  <c r="D14" i="3" s="1"/>
  <c r="D15" i="3" s="1"/>
  <c r="D16" i="3" s="1"/>
  <c r="D17" i="3" s="1"/>
  <c r="D18" i="3" s="1"/>
  <c r="D19" i="3" s="1"/>
  <c r="D20" i="3" s="1"/>
  <c r="D21" i="3" s="1"/>
  <c r="D22" i="3" s="1"/>
  <c r="D23" i="3" s="1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AF43" i="6" l="1"/>
  <c r="Z43" i="6"/>
  <c r="AJ43" i="6"/>
  <c r="V43" i="6"/>
  <c r="P43" i="6"/>
  <c r="J43" i="6"/>
  <c r="AD43" i="6"/>
  <c r="T43" i="6"/>
  <c r="L43" i="6"/>
  <c r="AL43" i="6"/>
  <c r="AB43" i="6"/>
  <c r="R43" i="6"/>
  <c r="AH43" i="6"/>
  <c r="X43" i="6"/>
  <c r="N43" i="6"/>
  <c r="F7" i="7"/>
  <c r="F7" i="6"/>
  <c r="AJ7" i="6" l="1"/>
  <c r="V7" i="6"/>
  <c r="P7" i="6"/>
  <c r="J7" i="6"/>
  <c r="AH7" i="6"/>
  <c r="AB7" i="6"/>
  <c r="T7" i="6"/>
  <c r="N7" i="6"/>
  <c r="AF7" i="6"/>
  <c r="Z7" i="6"/>
  <c r="AL7" i="6"/>
  <c r="AD7" i="6"/>
  <c r="X7" i="6"/>
  <c r="R7" i="6"/>
  <c r="L7" i="6"/>
  <c r="X7" i="7"/>
  <c r="R7" i="7"/>
  <c r="L7" i="7"/>
  <c r="AJ7" i="7"/>
  <c r="V7" i="7"/>
  <c r="P7" i="7"/>
  <c r="J7" i="7"/>
  <c r="AH7" i="7"/>
  <c r="AB7" i="7"/>
  <c r="AF7" i="7"/>
  <c r="Z7" i="7"/>
  <c r="T7" i="7"/>
  <c r="N7" i="7"/>
  <c r="AD7" i="7"/>
  <c r="AL7" i="7"/>
  <c r="B8" i="13" l="1"/>
  <c r="S14" i="7" l="1"/>
  <c r="B10" i="13"/>
  <c r="B7" i="13"/>
  <c r="B6" i="13"/>
  <c r="H128" i="37" l="1"/>
  <c r="E10" i="39" l="1"/>
  <c r="E8" i="39"/>
  <c r="E7" i="39"/>
  <c r="E6" i="39"/>
  <c r="K11" i="39"/>
  <c r="K9" i="39"/>
  <c r="K8" i="39"/>
  <c r="K6" i="39"/>
  <c r="Q10" i="3" l="1"/>
  <c r="W10" i="3"/>
  <c r="E9" i="39" l="1"/>
  <c r="B9" i="13"/>
  <c r="E11" i="39"/>
  <c r="B11" i="13"/>
  <c r="I40" i="5" l="1"/>
  <c r="J40" i="5" s="1"/>
  <c r="K130" i="36" l="1"/>
  <c r="J130" i="36"/>
  <c r="I130" i="36"/>
  <c r="H128" i="36"/>
  <c r="H128" i="35"/>
  <c r="J137" i="35"/>
  <c r="I137" i="35"/>
  <c r="J136" i="35"/>
  <c r="I136" i="35"/>
  <c r="J131" i="35"/>
  <c r="I131" i="35"/>
  <c r="H128" i="34"/>
  <c r="J135" i="34"/>
  <c r="I135" i="34"/>
  <c r="H107" i="34"/>
  <c r="H218" i="33"/>
  <c r="M205" i="33"/>
  <c r="M204" i="33"/>
  <c r="M203" i="33"/>
  <c r="M202" i="33"/>
  <c r="M201" i="33"/>
  <c r="M199" i="33"/>
  <c r="M198" i="33"/>
  <c r="M197" i="33"/>
  <c r="M195" i="33"/>
  <c r="M193" i="33"/>
  <c r="M191" i="33"/>
  <c r="M190" i="33"/>
  <c r="M189" i="33"/>
  <c r="M188" i="33"/>
  <c r="M187" i="33"/>
  <c r="M185" i="33"/>
  <c r="M183" i="33"/>
  <c r="M182" i="33"/>
  <c r="H182" i="33"/>
  <c r="H128" i="31"/>
  <c r="H107" i="31"/>
  <c r="H128" i="32"/>
  <c r="J138" i="32"/>
  <c r="I138" i="32"/>
  <c r="K132" i="30"/>
  <c r="J132" i="30"/>
  <c r="I132" i="30"/>
  <c r="K240" i="8"/>
  <c r="J240" i="8"/>
  <c r="I240" i="8"/>
  <c r="J239" i="8"/>
  <c r="I239" i="8"/>
  <c r="M109" i="34" l="1"/>
  <c r="M118" i="34"/>
  <c r="M121" i="34"/>
  <c r="M117" i="34"/>
  <c r="M120" i="34"/>
  <c r="M119" i="34"/>
  <c r="M107" i="34"/>
  <c r="M115" i="34"/>
  <c r="M116" i="34"/>
  <c r="M111" i="34"/>
  <c r="M108" i="34"/>
  <c r="M110" i="34"/>
  <c r="M112" i="34"/>
  <c r="M114" i="34"/>
  <c r="M113" i="34"/>
  <c r="K131" i="35"/>
  <c r="K137" i="35"/>
  <c r="K136" i="35"/>
  <c r="L107" i="34"/>
  <c r="K135" i="34"/>
  <c r="M194" i="33"/>
  <c r="M196" i="33"/>
  <c r="M186" i="33"/>
  <c r="L182" i="33"/>
  <c r="M184" i="33"/>
  <c r="M192" i="33"/>
  <c r="M200" i="33"/>
  <c r="K138" i="32"/>
  <c r="K239" i="8"/>
  <c r="H128" i="30"/>
  <c r="H218" i="8"/>
  <c r="L107" i="31"/>
  <c r="M130" i="36" l="1"/>
  <c r="I32" i="5"/>
  <c r="I31" i="5"/>
  <c r="I30" i="5"/>
  <c r="I29" i="5"/>
  <c r="I28" i="5"/>
  <c r="L20" i="21" l="1"/>
  <c r="L19" i="21"/>
  <c r="L18" i="21"/>
  <c r="L17" i="21"/>
  <c r="L16" i="21"/>
  <c r="L13" i="21"/>
  <c r="L12" i="21"/>
  <c r="L11" i="21"/>
  <c r="L10" i="21"/>
  <c r="L9" i="21"/>
  <c r="M15" i="40"/>
  <c r="K15" i="40"/>
  <c r="I15" i="40"/>
  <c r="G15" i="40"/>
  <c r="M14" i="40"/>
  <c r="K14" i="40"/>
  <c r="I14" i="40"/>
  <c r="G14" i="40"/>
  <c r="M10" i="40"/>
  <c r="K10" i="40"/>
  <c r="I10" i="40"/>
  <c r="G10" i="40"/>
  <c r="C10" i="40"/>
  <c r="M9" i="40"/>
  <c r="K9" i="40"/>
  <c r="I9" i="40"/>
  <c r="G9" i="40"/>
  <c r="C9" i="40"/>
  <c r="J133" i="37"/>
  <c r="I133" i="37"/>
  <c r="J132" i="37"/>
  <c r="I132" i="37"/>
  <c r="K131" i="37"/>
  <c r="J131" i="37"/>
  <c r="I131" i="37"/>
  <c r="K130" i="37"/>
  <c r="J130" i="37"/>
  <c r="I130" i="37"/>
  <c r="J129" i="37"/>
  <c r="I129" i="37"/>
  <c r="J128" i="37"/>
  <c r="I128" i="37"/>
  <c r="K132" i="36"/>
  <c r="J132" i="36"/>
  <c r="I132" i="36"/>
  <c r="K131" i="36"/>
  <c r="J131" i="36"/>
  <c r="I131" i="36"/>
  <c r="J129" i="36"/>
  <c r="I129" i="36"/>
  <c r="J128" i="36"/>
  <c r="I128" i="36"/>
  <c r="K135" i="35"/>
  <c r="J135" i="35"/>
  <c r="I135" i="35"/>
  <c r="J134" i="35"/>
  <c r="I134" i="35"/>
  <c r="J133" i="35"/>
  <c r="I133" i="35"/>
  <c r="K132" i="35"/>
  <c r="J132" i="35"/>
  <c r="I132" i="35"/>
  <c r="K130" i="35"/>
  <c r="J130" i="35"/>
  <c r="I130" i="35"/>
  <c r="J129" i="35"/>
  <c r="I129" i="35"/>
  <c r="J128" i="35"/>
  <c r="I128" i="35"/>
  <c r="J134" i="34"/>
  <c r="I134" i="34"/>
  <c r="K133" i="34"/>
  <c r="J133" i="34"/>
  <c r="I133" i="34"/>
  <c r="J132" i="34"/>
  <c r="I132" i="34"/>
  <c r="K131" i="34"/>
  <c r="J131" i="34"/>
  <c r="I131" i="34"/>
  <c r="J130" i="34"/>
  <c r="I130" i="34"/>
  <c r="K129" i="34"/>
  <c r="J129" i="34"/>
  <c r="I129" i="34"/>
  <c r="J128" i="34"/>
  <c r="I128" i="34"/>
  <c r="H147" i="33"/>
  <c r="H112" i="33"/>
  <c r="H77" i="33"/>
  <c r="K239" i="33"/>
  <c r="I239" i="33"/>
  <c r="K227" i="33"/>
  <c r="I227" i="33"/>
  <c r="H42" i="33"/>
  <c r="J240" i="33"/>
  <c r="I240" i="33"/>
  <c r="K236" i="33"/>
  <c r="J236" i="33"/>
  <c r="I236" i="33"/>
  <c r="K235" i="33"/>
  <c r="I235" i="33"/>
  <c r="J234" i="33"/>
  <c r="K232" i="33"/>
  <c r="I232" i="33"/>
  <c r="K231" i="33"/>
  <c r="I231" i="33"/>
  <c r="J230" i="33"/>
  <c r="J228" i="33"/>
  <c r="I228" i="33"/>
  <c r="K224" i="33"/>
  <c r="J224" i="33"/>
  <c r="I224" i="33"/>
  <c r="K223" i="33"/>
  <c r="I223" i="33"/>
  <c r="J222" i="33"/>
  <c r="K220" i="33"/>
  <c r="I220" i="33"/>
  <c r="K219" i="33"/>
  <c r="I219" i="33"/>
  <c r="K218" i="33"/>
  <c r="P37" i="33"/>
  <c r="P72" i="33" s="1"/>
  <c r="P107" i="33" s="1"/>
  <c r="P142" i="33" s="1"/>
  <c r="U142" i="33" s="1"/>
  <c r="Z142" i="33" s="1"/>
  <c r="AE142" i="33" s="1"/>
  <c r="AJ142" i="33" s="1"/>
  <c r="AO142" i="33" s="1"/>
  <c r="AT142" i="33" s="1"/>
  <c r="K137" i="32"/>
  <c r="I136" i="32"/>
  <c r="K135" i="32"/>
  <c r="I135" i="32"/>
  <c r="K134" i="32"/>
  <c r="J134" i="32"/>
  <c r="I134" i="32"/>
  <c r="I133" i="32"/>
  <c r="J132" i="32"/>
  <c r="K131" i="32"/>
  <c r="K130" i="32"/>
  <c r="J130" i="32"/>
  <c r="I130" i="32"/>
  <c r="K129" i="32"/>
  <c r="I129" i="32"/>
  <c r="K134" i="30"/>
  <c r="J134" i="30"/>
  <c r="I134" i="30"/>
  <c r="K133" i="30"/>
  <c r="J133" i="30"/>
  <c r="J131" i="30"/>
  <c r="K129" i="30"/>
  <c r="J129" i="30"/>
  <c r="I129" i="30"/>
  <c r="J128" i="30"/>
  <c r="I128" i="30"/>
  <c r="H147" i="8"/>
  <c r="H112" i="8"/>
  <c r="H77" i="8"/>
  <c r="K236" i="8"/>
  <c r="K235" i="8"/>
  <c r="J235" i="8"/>
  <c r="I235" i="8"/>
  <c r="J234" i="8"/>
  <c r="K233" i="8"/>
  <c r="K232" i="8"/>
  <c r="I232" i="8"/>
  <c r="K229" i="8"/>
  <c r="I229" i="8"/>
  <c r="K226" i="8"/>
  <c r="I226" i="8"/>
  <c r="K225" i="8"/>
  <c r="J225" i="8"/>
  <c r="I225" i="8"/>
  <c r="J224" i="8"/>
  <c r="I224" i="8"/>
  <c r="K223" i="8"/>
  <c r="I223" i="8"/>
  <c r="K220" i="8"/>
  <c r="I220" i="8"/>
  <c r="H42" i="8"/>
  <c r="K234" i="8"/>
  <c r="I234" i="8"/>
  <c r="K238" i="8"/>
  <c r="J238" i="8"/>
  <c r="I238" i="8"/>
  <c r="K237" i="8"/>
  <c r="J237" i="8"/>
  <c r="I237" i="8"/>
  <c r="J236" i="8"/>
  <c r="I236" i="8"/>
  <c r="J233" i="8"/>
  <c r="I233" i="8"/>
  <c r="J232" i="8"/>
  <c r="K231" i="8"/>
  <c r="J231" i="8"/>
  <c r="I231" i="8"/>
  <c r="K230" i="8"/>
  <c r="J230" i="8"/>
  <c r="I230" i="8"/>
  <c r="J229" i="8"/>
  <c r="K228" i="8"/>
  <c r="J228" i="8"/>
  <c r="I228" i="8"/>
  <c r="K227" i="8"/>
  <c r="J227" i="8"/>
  <c r="I227" i="8"/>
  <c r="J226" i="8"/>
  <c r="K221" i="8"/>
  <c r="J221" i="8"/>
  <c r="I221" i="8"/>
  <c r="K222" i="8"/>
  <c r="J222" i="8"/>
  <c r="I222" i="8"/>
  <c r="J223" i="8"/>
  <c r="J220" i="8"/>
  <c r="K219" i="8"/>
  <c r="J219" i="8"/>
  <c r="I219" i="8"/>
  <c r="K218" i="8"/>
  <c r="J218" i="8"/>
  <c r="I218" i="8"/>
  <c r="AK51" i="6"/>
  <c r="AI51" i="6"/>
  <c r="AG51" i="6"/>
  <c r="H20" i="13"/>
  <c r="W51" i="6"/>
  <c r="U51" i="6"/>
  <c r="AC49" i="6"/>
  <c r="S49" i="6"/>
  <c r="M49" i="6"/>
  <c r="F14" i="6"/>
  <c r="F13" i="6"/>
  <c r="F12" i="6"/>
  <c r="F11" i="6"/>
  <c r="F10" i="6"/>
  <c r="F9" i="6"/>
  <c r="F8" i="6"/>
  <c r="AK51" i="7"/>
  <c r="AI51" i="7"/>
  <c r="AG51" i="7"/>
  <c r="AE51" i="7"/>
  <c r="W51" i="7"/>
  <c r="U51" i="7"/>
  <c r="AC49" i="7"/>
  <c r="S49" i="7"/>
  <c r="M49" i="7"/>
  <c r="AC44" i="7"/>
  <c r="S44" i="7"/>
  <c r="M44" i="7"/>
  <c r="AC43" i="7"/>
  <c r="S43" i="7"/>
  <c r="M43" i="7"/>
  <c r="AC42" i="7"/>
  <c r="S42" i="7"/>
  <c r="M42" i="7"/>
  <c r="AC41" i="7"/>
  <c r="S41" i="7"/>
  <c r="M41" i="7"/>
  <c r="S40" i="7"/>
  <c r="M40" i="7"/>
  <c r="S39" i="7"/>
  <c r="M39" i="7"/>
  <c r="S34" i="7"/>
  <c r="M34" i="7"/>
  <c r="S33" i="7"/>
  <c r="M33" i="7"/>
  <c r="S32" i="7"/>
  <c r="M32" i="7"/>
  <c r="S31" i="7"/>
  <c r="M31" i="7"/>
  <c r="S30" i="7"/>
  <c r="M30" i="7"/>
  <c r="S29" i="7"/>
  <c r="M29" i="7"/>
  <c r="S28" i="7"/>
  <c r="M28" i="7"/>
  <c r="S27" i="7"/>
  <c r="M27" i="7"/>
  <c r="S26" i="7"/>
  <c r="M26" i="7"/>
  <c r="S25" i="7"/>
  <c r="M25" i="7"/>
  <c r="S24" i="7"/>
  <c r="M24" i="7"/>
  <c r="S23" i="7"/>
  <c r="M23" i="7"/>
  <c r="S22" i="7"/>
  <c r="M22" i="7"/>
  <c r="S21" i="7"/>
  <c r="M21" i="7"/>
  <c r="S20" i="7"/>
  <c r="M20" i="7"/>
  <c r="S19" i="7"/>
  <c r="M19" i="7"/>
  <c r="S18" i="7"/>
  <c r="M18" i="7"/>
  <c r="S17" i="7"/>
  <c r="M17" i="7"/>
  <c r="S16" i="7"/>
  <c r="M16" i="7"/>
  <c r="S15" i="7"/>
  <c r="M15" i="7"/>
  <c r="F13" i="7"/>
  <c r="F11" i="7"/>
  <c r="F9" i="7"/>
  <c r="I27" i="5"/>
  <c r="I26" i="5"/>
  <c r="I18" i="5"/>
  <c r="I17" i="5"/>
  <c r="I16" i="5"/>
  <c r="I15" i="5"/>
  <c r="I14" i="5"/>
  <c r="I13" i="5"/>
  <c r="I12" i="5"/>
  <c r="I11" i="5"/>
  <c r="I10" i="5"/>
  <c r="I9" i="5"/>
  <c r="I8" i="5"/>
  <c r="I7" i="5"/>
  <c r="I10" i="13"/>
  <c r="K10" i="13" s="1"/>
  <c r="I6" i="5"/>
  <c r="U39" i="3"/>
  <c r="O39" i="3"/>
  <c r="U38" i="3"/>
  <c r="O38" i="3"/>
  <c r="U37" i="3"/>
  <c r="O37" i="3"/>
  <c r="U36" i="3"/>
  <c r="O36" i="3"/>
  <c r="I20" i="39"/>
  <c r="K20" i="39" s="1"/>
  <c r="U34" i="3"/>
  <c r="O34" i="3"/>
  <c r="U33" i="3"/>
  <c r="O33" i="3"/>
  <c r="U32" i="3"/>
  <c r="O32" i="3"/>
  <c r="U31" i="3"/>
  <c r="O31" i="3"/>
  <c r="U30" i="3"/>
  <c r="O30" i="3"/>
  <c r="U29" i="3"/>
  <c r="O29" i="3"/>
  <c r="U28" i="3"/>
  <c r="O28" i="3"/>
  <c r="U27" i="3"/>
  <c r="O27" i="3"/>
  <c r="U26" i="3"/>
  <c r="O26" i="3"/>
  <c r="U25" i="3"/>
  <c r="O25" i="3"/>
  <c r="U24" i="3"/>
  <c r="O24" i="3"/>
  <c r="U23" i="3"/>
  <c r="O23" i="3"/>
  <c r="U22" i="3"/>
  <c r="O22" i="3"/>
  <c r="U21" i="3"/>
  <c r="O21" i="3"/>
  <c r="U20" i="3"/>
  <c r="O20" i="3"/>
  <c r="U19" i="3"/>
  <c r="O19" i="3"/>
  <c r="U18" i="3"/>
  <c r="O18" i="3"/>
  <c r="U17" i="3"/>
  <c r="O17" i="3"/>
  <c r="U16" i="3"/>
  <c r="O16" i="3"/>
  <c r="U15" i="3"/>
  <c r="O15" i="3"/>
  <c r="U14" i="3"/>
  <c r="O14" i="3"/>
  <c r="U13" i="3"/>
  <c r="O13" i="3"/>
  <c r="U12" i="3"/>
  <c r="O12" i="3"/>
  <c r="U11" i="3"/>
  <c r="O11" i="3"/>
  <c r="U10" i="3"/>
  <c r="O10" i="3"/>
  <c r="U9" i="3"/>
  <c r="O9" i="3"/>
  <c r="U8" i="3"/>
  <c r="O8" i="3"/>
  <c r="U7" i="3"/>
  <c r="O7" i="3"/>
  <c r="U6" i="3"/>
  <c r="O6" i="3"/>
  <c r="J24" i="39"/>
  <c r="D24" i="39"/>
  <c r="I22" i="39"/>
  <c r="K22" i="39" s="1"/>
  <c r="I18" i="39"/>
  <c r="K18" i="39" s="1"/>
  <c r="D8" i="39"/>
  <c r="J24" i="13"/>
  <c r="D24" i="13"/>
  <c r="H18" i="13"/>
  <c r="E10" i="13"/>
  <c r="I9" i="13"/>
  <c r="K9" i="13" s="1"/>
  <c r="I8" i="13"/>
  <c r="K8" i="13" s="1"/>
  <c r="I6" i="13"/>
  <c r="K6" i="13" s="1"/>
  <c r="X55" i="1"/>
  <c r="X54" i="1"/>
  <c r="X53" i="1"/>
  <c r="X52" i="1"/>
  <c r="X47" i="1"/>
  <c r="X46" i="1"/>
  <c r="X45" i="1"/>
  <c r="X44" i="1"/>
  <c r="X43" i="1"/>
  <c r="X41" i="1"/>
  <c r="X40" i="1"/>
  <c r="X39" i="1"/>
  <c r="X38" i="1"/>
  <c r="X37" i="1"/>
  <c r="X33" i="1"/>
  <c r="X32" i="1"/>
  <c r="X31" i="1"/>
  <c r="X30" i="1"/>
  <c r="X29" i="1"/>
  <c r="X27" i="1"/>
  <c r="X26" i="1"/>
  <c r="X25" i="1"/>
  <c r="X24" i="1"/>
  <c r="X23" i="1"/>
  <c r="S19" i="1"/>
  <c r="Q19" i="1"/>
  <c r="O19" i="1"/>
  <c r="S18" i="1"/>
  <c r="Q18" i="1"/>
  <c r="O18" i="1"/>
  <c r="J18" i="1"/>
  <c r="E18" i="1"/>
  <c r="D18" i="1"/>
  <c r="J17" i="1"/>
  <c r="E17" i="1"/>
  <c r="D17" i="1"/>
  <c r="J16" i="1"/>
  <c r="E16" i="1"/>
  <c r="D16" i="1"/>
  <c r="J15" i="1"/>
  <c r="E15" i="1"/>
  <c r="D15" i="1"/>
  <c r="V14" i="1"/>
  <c r="P14" i="1"/>
  <c r="U13" i="1"/>
  <c r="W13" i="1" s="1"/>
  <c r="O13" i="1"/>
  <c r="Q13" i="1" s="1"/>
  <c r="U12" i="1"/>
  <c r="W12" i="1" s="1"/>
  <c r="O12" i="1"/>
  <c r="Q12" i="1" s="1"/>
  <c r="U11" i="1"/>
  <c r="W11" i="1" s="1"/>
  <c r="O11" i="1"/>
  <c r="C11" i="1"/>
  <c r="B11" i="1"/>
  <c r="U10" i="1"/>
  <c r="W10" i="1" s="1"/>
  <c r="O10" i="1"/>
  <c r="Q10" i="1" s="1"/>
  <c r="E10" i="1"/>
  <c r="D10" i="1"/>
  <c r="U9" i="1"/>
  <c r="O9" i="1"/>
  <c r="Q9" i="1" s="1"/>
  <c r="C9" i="1"/>
  <c r="B9" i="1"/>
  <c r="U8" i="1"/>
  <c r="W8" i="1" s="1"/>
  <c r="O8" i="1"/>
  <c r="Q8" i="1" s="1"/>
  <c r="E8" i="1"/>
  <c r="D8" i="1"/>
  <c r="U7" i="1"/>
  <c r="W7" i="1" s="1"/>
  <c r="O7" i="1"/>
  <c r="Q7" i="1" s="1"/>
  <c r="E7" i="1"/>
  <c r="D7" i="1"/>
  <c r="U6" i="1"/>
  <c r="W6" i="1" s="1"/>
  <c r="O6" i="1"/>
  <c r="Q6" i="1" s="1"/>
  <c r="E6" i="1"/>
  <c r="D6" i="1"/>
  <c r="AJ9" i="6" l="1"/>
  <c r="V9" i="6"/>
  <c r="P9" i="6"/>
  <c r="J9" i="6"/>
  <c r="AH9" i="6"/>
  <c r="AB9" i="6"/>
  <c r="T9" i="6"/>
  <c r="N9" i="6"/>
  <c r="AF9" i="6"/>
  <c r="Z9" i="6"/>
  <c r="AL9" i="6"/>
  <c r="AD9" i="6"/>
  <c r="X9" i="6"/>
  <c r="R9" i="6"/>
  <c r="L9" i="6"/>
  <c r="AJ13" i="6"/>
  <c r="V13" i="6"/>
  <c r="P13" i="6"/>
  <c r="J13" i="6"/>
  <c r="AH13" i="6"/>
  <c r="AB13" i="6"/>
  <c r="T13" i="6"/>
  <c r="N13" i="6"/>
  <c r="AF13" i="6"/>
  <c r="Z13" i="6"/>
  <c r="AL13" i="6"/>
  <c r="AD13" i="6"/>
  <c r="X13" i="6"/>
  <c r="R13" i="6"/>
  <c r="L13" i="6"/>
  <c r="AF10" i="6"/>
  <c r="Z10" i="6"/>
  <c r="AL10" i="6"/>
  <c r="AD10" i="6"/>
  <c r="X10" i="6"/>
  <c r="R10" i="6"/>
  <c r="L10" i="6"/>
  <c r="AJ10" i="6"/>
  <c r="V10" i="6"/>
  <c r="P10" i="6"/>
  <c r="J10" i="6"/>
  <c r="AH10" i="6"/>
  <c r="AB10" i="6"/>
  <c r="T10" i="6"/>
  <c r="N10" i="6"/>
  <c r="AJ11" i="6"/>
  <c r="V11" i="6"/>
  <c r="P11" i="6"/>
  <c r="J11" i="6"/>
  <c r="AH11" i="6"/>
  <c r="AB11" i="6"/>
  <c r="T11" i="6"/>
  <c r="N11" i="6"/>
  <c r="AF11" i="6"/>
  <c r="Z11" i="6"/>
  <c r="AL11" i="6"/>
  <c r="AD11" i="6"/>
  <c r="X11" i="6"/>
  <c r="R11" i="6"/>
  <c r="L11" i="6"/>
  <c r="AF8" i="6"/>
  <c r="Z8" i="6"/>
  <c r="AL8" i="6"/>
  <c r="AD8" i="6"/>
  <c r="X8" i="6"/>
  <c r="R8" i="6"/>
  <c r="L8" i="6"/>
  <c r="AJ8" i="6"/>
  <c r="V8" i="6"/>
  <c r="P8" i="6"/>
  <c r="J8" i="6"/>
  <c r="AH8" i="6"/>
  <c r="AB8" i="6"/>
  <c r="T8" i="6"/>
  <c r="N8" i="6"/>
  <c r="AF12" i="6"/>
  <c r="Z12" i="6"/>
  <c r="AL12" i="6"/>
  <c r="AD12" i="6"/>
  <c r="X12" i="6"/>
  <c r="R12" i="6"/>
  <c r="L12" i="6"/>
  <c r="AJ12" i="6"/>
  <c r="V12" i="6"/>
  <c r="P12" i="6"/>
  <c r="J12" i="6"/>
  <c r="AH12" i="6"/>
  <c r="AB12" i="6"/>
  <c r="T12" i="6"/>
  <c r="N12" i="6"/>
  <c r="AH13" i="7"/>
  <c r="AB13" i="7"/>
  <c r="AF13" i="7"/>
  <c r="Z13" i="7"/>
  <c r="X13" i="7"/>
  <c r="R13" i="7"/>
  <c r="L13" i="7"/>
  <c r="AJ13" i="7"/>
  <c r="V13" i="7"/>
  <c r="P13" i="7"/>
  <c r="J13" i="7"/>
  <c r="N13" i="7"/>
  <c r="T13" i="7"/>
  <c r="AD13" i="7"/>
  <c r="X11" i="7"/>
  <c r="R11" i="7"/>
  <c r="L11" i="7"/>
  <c r="AJ11" i="7"/>
  <c r="V11" i="7"/>
  <c r="P11" i="7"/>
  <c r="J11" i="7"/>
  <c r="AH11" i="7"/>
  <c r="AB11" i="7"/>
  <c r="AF11" i="7"/>
  <c r="Z11" i="7"/>
  <c r="T11" i="7"/>
  <c r="N11" i="7"/>
  <c r="AD11" i="7"/>
  <c r="AH9" i="7"/>
  <c r="AB9" i="7"/>
  <c r="AF9" i="7"/>
  <c r="Z9" i="7"/>
  <c r="X9" i="7"/>
  <c r="R9" i="7"/>
  <c r="L9" i="7"/>
  <c r="AJ9" i="7"/>
  <c r="V9" i="7"/>
  <c r="P9" i="7"/>
  <c r="J9" i="7"/>
  <c r="N9" i="7"/>
  <c r="AD9" i="7"/>
  <c r="T9" i="7"/>
  <c r="K10" i="5"/>
  <c r="K7" i="39" s="1"/>
  <c r="AL13" i="7"/>
  <c r="AL9" i="7"/>
  <c r="AL11" i="7"/>
  <c r="U107" i="33"/>
  <c r="Z107" i="33" s="1"/>
  <c r="AE107" i="33" s="1"/>
  <c r="AJ107" i="33" s="1"/>
  <c r="AO107" i="33" s="1"/>
  <c r="AT107" i="33" s="1"/>
  <c r="G8" i="6"/>
  <c r="J12" i="5"/>
  <c r="J6" i="5"/>
  <c r="I7" i="39" s="1"/>
  <c r="J26" i="5"/>
  <c r="AJ14" i="6"/>
  <c r="V14" i="6"/>
  <c r="P14" i="6"/>
  <c r="J14" i="6"/>
  <c r="AF14" i="6"/>
  <c r="Z14" i="6"/>
  <c r="AH14" i="6"/>
  <c r="X14" i="6"/>
  <c r="N14" i="6"/>
  <c r="L14" i="6"/>
  <c r="AB14" i="6"/>
  <c r="R14" i="6"/>
  <c r="T14" i="6"/>
  <c r="AD14" i="6"/>
  <c r="E9" i="1"/>
  <c r="U72" i="33"/>
  <c r="Z72" i="33" s="1"/>
  <c r="AE72" i="33" s="1"/>
  <c r="AJ72" i="33" s="1"/>
  <c r="AO72" i="33" s="1"/>
  <c r="AT72" i="33" s="1"/>
  <c r="E11" i="1"/>
  <c r="X48" i="1"/>
  <c r="V48" i="1" s="1"/>
  <c r="X34" i="1"/>
  <c r="V34" i="1" s="1"/>
  <c r="X42" i="1"/>
  <c r="V42" i="1" s="1"/>
  <c r="M121" i="37"/>
  <c r="D9" i="39"/>
  <c r="AC50" i="6"/>
  <c r="AC51" i="6" s="1"/>
  <c r="M121" i="36"/>
  <c r="M121" i="35"/>
  <c r="M120" i="35"/>
  <c r="M119" i="35"/>
  <c r="M118" i="35"/>
  <c r="M117" i="35"/>
  <c r="M116" i="35"/>
  <c r="M110" i="35"/>
  <c r="M112" i="35"/>
  <c r="M114" i="35"/>
  <c r="M111" i="35"/>
  <c r="M108" i="35"/>
  <c r="M113" i="35"/>
  <c r="M109" i="35"/>
  <c r="M115" i="35"/>
  <c r="M107" i="35"/>
  <c r="M120" i="36"/>
  <c r="M119" i="36"/>
  <c r="M118" i="36"/>
  <c r="M117" i="36"/>
  <c r="M116" i="36"/>
  <c r="M115" i="36"/>
  <c r="M114" i="36"/>
  <c r="M113" i="36"/>
  <c r="M112" i="36"/>
  <c r="M108" i="36"/>
  <c r="M110" i="36"/>
  <c r="M109" i="36"/>
  <c r="M111" i="36"/>
  <c r="M107" i="36"/>
  <c r="M120" i="37"/>
  <c r="M119" i="37"/>
  <c r="M118" i="37"/>
  <c r="M117" i="37"/>
  <c r="M116" i="37"/>
  <c r="M115" i="37"/>
  <c r="M112" i="37"/>
  <c r="M114" i="37"/>
  <c r="M109" i="37"/>
  <c r="M107" i="37"/>
  <c r="M111" i="37"/>
  <c r="M108" i="37"/>
  <c r="M110" i="37"/>
  <c r="M113" i="37"/>
  <c r="F23" i="6"/>
  <c r="S50" i="6"/>
  <c r="S51" i="6" s="1"/>
  <c r="H16" i="13" s="1"/>
  <c r="M50" i="6"/>
  <c r="M51" i="6" s="1"/>
  <c r="F26" i="6"/>
  <c r="F20" i="6"/>
  <c r="AL14" i="6"/>
  <c r="F23" i="7"/>
  <c r="L23" i="7" s="1"/>
  <c r="M122" i="8"/>
  <c r="M134" i="8"/>
  <c r="M140" i="8"/>
  <c r="M121" i="8"/>
  <c r="M118" i="8"/>
  <c r="M130" i="8"/>
  <c r="M114" i="8"/>
  <c r="M127" i="8"/>
  <c r="M120" i="8"/>
  <c r="M133" i="8"/>
  <c r="M113" i="8"/>
  <c r="M126" i="8"/>
  <c r="M119" i="8"/>
  <c r="M132" i="8"/>
  <c r="M125" i="8"/>
  <c r="M131" i="8"/>
  <c r="M117" i="8"/>
  <c r="M124" i="8"/>
  <c r="M116" i="8"/>
  <c r="M123" i="8"/>
  <c r="M129" i="8"/>
  <c r="M112" i="8"/>
  <c r="M115" i="8"/>
  <c r="M128" i="8"/>
  <c r="M137" i="8"/>
  <c r="X28" i="1"/>
  <c r="V28" i="1" s="1"/>
  <c r="D11" i="1"/>
  <c r="O14" i="1"/>
  <c r="B23" i="13"/>
  <c r="C23" i="13" s="1"/>
  <c r="E23" i="13" s="1"/>
  <c r="F31" i="7"/>
  <c r="L31" i="7" s="1"/>
  <c r="F28" i="6"/>
  <c r="F31" i="6"/>
  <c r="U14" i="1"/>
  <c r="F35" i="6"/>
  <c r="M78" i="33"/>
  <c r="M92" i="33"/>
  <c r="M84" i="33"/>
  <c r="M100" i="33"/>
  <c r="M101" i="33"/>
  <c r="M79" i="33"/>
  <c r="M81" i="33"/>
  <c r="M83" i="33"/>
  <c r="M94" i="33"/>
  <c r="M96" i="33"/>
  <c r="M98" i="33"/>
  <c r="M77" i="33"/>
  <c r="M85" i="33"/>
  <c r="M87" i="33"/>
  <c r="M89" i="33"/>
  <c r="M91" i="33"/>
  <c r="M80" i="33"/>
  <c r="M82" i="33"/>
  <c r="M93" i="33"/>
  <c r="M95" i="33"/>
  <c r="M97" i="33"/>
  <c r="M99" i="33"/>
  <c r="M86" i="33"/>
  <c r="M88" i="33"/>
  <c r="M90" i="33"/>
  <c r="L77" i="8"/>
  <c r="M83" i="8"/>
  <c r="M85" i="8"/>
  <c r="M91" i="8"/>
  <c r="M95" i="8"/>
  <c r="M80" i="8"/>
  <c r="M79" i="8"/>
  <c r="M84" i="8"/>
  <c r="M89" i="8"/>
  <c r="M94" i="8"/>
  <c r="M97" i="8"/>
  <c r="M77" i="8"/>
  <c r="M81" i="8"/>
  <c r="M86" i="8"/>
  <c r="M88" i="8"/>
  <c r="M78" i="8"/>
  <c r="M90" i="8"/>
  <c r="M93" i="8"/>
  <c r="M96" i="8"/>
  <c r="M98" i="8"/>
  <c r="M82" i="8"/>
  <c r="M87" i="8"/>
  <c r="M92" i="8"/>
  <c r="U37" i="33"/>
  <c r="Z37" i="33" s="1"/>
  <c r="AE37" i="33" s="1"/>
  <c r="AJ37" i="33" s="1"/>
  <c r="AO37" i="33" s="1"/>
  <c r="AT37" i="33" s="1"/>
  <c r="K228" i="33"/>
  <c r="H17" i="13"/>
  <c r="K133" i="32"/>
  <c r="I128" i="31"/>
  <c r="W9" i="1"/>
  <c r="Q11" i="1"/>
  <c r="J220" i="33"/>
  <c r="J232" i="33"/>
  <c r="J227" i="33"/>
  <c r="J239" i="33"/>
  <c r="K128" i="30"/>
  <c r="M136" i="30" s="1"/>
  <c r="I221" i="33"/>
  <c r="I225" i="33"/>
  <c r="I233" i="33"/>
  <c r="I229" i="33"/>
  <c r="J131" i="32"/>
  <c r="J135" i="32"/>
  <c r="J221" i="33"/>
  <c r="J225" i="33"/>
  <c r="J229" i="33"/>
  <c r="J233" i="33"/>
  <c r="J130" i="30"/>
  <c r="K221" i="33"/>
  <c r="K225" i="33"/>
  <c r="K229" i="33"/>
  <c r="K233" i="33"/>
  <c r="K237" i="33"/>
  <c r="K240" i="33"/>
  <c r="F36" i="6"/>
  <c r="M136" i="8"/>
  <c r="M139" i="8"/>
  <c r="K130" i="30"/>
  <c r="I128" i="32"/>
  <c r="I132" i="32"/>
  <c r="I218" i="33"/>
  <c r="I222" i="33"/>
  <c r="I226" i="33"/>
  <c r="I230" i="33"/>
  <c r="I234" i="33"/>
  <c r="I238" i="33"/>
  <c r="J128" i="32"/>
  <c r="J218" i="33"/>
  <c r="J226" i="33"/>
  <c r="J238" i="33"/>
  <c r="F35" i="7"/>
  <c r="F25" i="7"/>
  <c r="L25" i="7" s="1"/>
  <c r="F29" i="7"/>
  <c r="L29" i="7" s="1"/>
  <c r="D9" i="1"/>
  <c r="F33" i="7"/>
  <c r="L33" i="7" s="1"/>
  <c r="K128" i="32"/>
  <c r="K132" i="32"/>
  <c r="K222" i="33"/>
  <c r="K226" i="33"/>
  <c r="K230" i="33"/>
  <c r="K234" i="33"/>
  <c r="K238" i="33"/>
  <c r="I241" i="33"/>
  <c r="I137" i="32"/>
  <c r="J241" i="33"/>
  <c r="F19" i="7"/>
  <c r="L19" i="7" s="1"/>
  <c r="I131" i="32"/>
  <c r="F49" i="7"/>
  <c r="AH49" i="7" s="1"/>
  <c r="F18" i="6"/>
  <c r="F24" i="6"/>
  <c r="F27" i="6"/>
  <c r="F41" i="6"/>
  <c r="M135" i="8"/>
  <c r="M138" i="8"/>
  <c r="M141" i="8"/>
  <c r="J129" i="32"/>
  <c r="J133" i="32"/>
  <c r="J137" i="32"/>
  <c r="J219" i="33"/>
  <c r="J223" i="33"/>
  <c r="J231" i="33"/>
  <c r="H21" i="13"/>
  <c r="K128" i="37"/>
  <c r="K133" i="37"/>
  <c r="K129" i="37"/>
  <c r="K132" i="37"/>
  <c r="K129" i="36"/>
  <c r="K128" i="36"/>
  <c r="K129" i="35"/>
  <c r="K133" i="35"/>
  <c r="K128" i="35"/>
  <c r="K134" i="35"/>
  <c r="M134" i="35" s="1"/>
  <c r="K132" i="34"/>
  <c r="K134" i="34"/>
  <c r="K128" i="34"/>
  <c r="K130" i="34"/>
  <c r="I237" i="33"/>
  <c r="J235" i="33"/>
  <c r="J237" i="33"/>
  <c r="M44" i="33"/>
  <c r="M43" i="33"/>
  <c r="M45" i="33"/>
  <c r="M47" i="33"/>
  <c r="M55" i="33"/>
  <c r="M52" i="33"/>
  <c r="M60" i="33"/>
  <c r="M71" i="33"/>
  <c r="M63" i="33"/>
  <c r="M46" i="33"/>
  <c r="M49" i="33"/>
  <c r="M54" i="33"/>
  <c r="M57" i="33"/>
  <c r="M62" i="33"/>
  <c r="M65" i="33"/>
  <c r="K241" i="33"/>
  <c r="M242" i="33" s="1"/>
  <c r="M51" i="33"/>
  <c r="M59" i="33"/>
  <c r="M48" i="33"/>
  <c r="M50" i="33"/>
  <c r="M53" i="33"/>
  <c r="M56" i="33"/>
  <c r="M58" i="33"/>
  <c r="M61" i="33"/>
  <c r="M64" i="33"/>
  <c r="K128" i="31"/>
  <c r="M135" i="31" s="1"/>
  <c r="J136" i="32"/>
  <c r="K136" i="32"/>
  <c r="M135" i="32" s="1"/>
  <c r="I130" i="30"/>
  <c r="K131" i="30"/>
  <c r="I131" i="30"/>
  <c r="I133" i="30"/>
  <c r="M44" i="8"/>
  <c r="M46" i="8"/>
  <c r="M48" i="8"/>
  <c r="K224" i="8"/>
  <c r="M228" i="8" s="1"/>
  <c r="M50" i="8"/>
  <c r="M52" i="8"/>
  <c r="M54" i="8"/>
  <c r="M56" i="8"/>
  <c r="M58" i="8"/>
  <c r="M60" i="8"/>
  <c r="M59" i="8"/>
  <c r="B22" i="13"/>
  <c r="C22" i="13" s="1"/>
  <c r="E22" i="13" s="1"/>
  <c r="B21" i="13"/>
  <c r="C21" i="13" s="1"/>
  <c r="E21" i="13" s="1"/>
  <c r="B18" i="13"/>
  <c r="C18" i="13" s="1"/>
  <c r="E18" i="13" s="1"/>
  <c r="F17" i="7"/>
  <c r="L17" i="7" s="1"/>
  <c r="F21" i="7"/>
  <c r="L21" i="7" s="1"/>
  <c r="F27" i="7"/>
  <c r="L27" i="7" s="1"/>
  <c r="F16" i="6"/>
  <c r="F19" i="6"/>
  <c r="B17" i="13"/>
  <c r="C17" i="13" s="1"/>
  <c r="E17" i="13" s="1"/>
  <c r="F15" i="7"/>
  <c r="L15" i="7" s="1"/>
  <c r="F10" i="7"/>
  <c r="F14" i="7"/>
  <c r="F8" i="7"/>
  <c r="F12" i="7"/>
  <c r="F16" i="7"/>
  <c r="L16" i="7" s="1"/>
  <c r="F20" i="7"/>
  <c r="L20" i="7" s="1"/>
  <c r="F24" i="7"/>
  <c r="L24" i="7" s="1"/>
  <c r="F28" i="7"/>
  <c r="L28" i="7" s="1"/>
  <c r="F32" i="7"/>
  <c r="L32" i="7" s="1"/>
  <c r="F36" i="7"/>
  <c r="F18" i="7"/>
  <c r="L18" i="7" s="1"/>
  <c r="F22" i="7"/>
  <c r="L22" i="7" s="1"/>
  <c r="F26" i="7"/>
  <c r="L26" i="7" s="1"/>
  <c r="F30" i="7"/>
  <c r="L30" i="7" s="1"/>
  <c r="F34" i="7"/>
  <c r="L34" i="7" s="1"/>
  <c r="AC50" i="7"/>
  <c r="B19" i="13" s="1"/>
  <c r="C19" i="13" s="1"/>
  <c r="E19" i="13" s="1"/>
  <c r="F44" i="7"/>
  <c r="N44" i="7" s="1"/>
  <c r="H23" i="13"/>
  <c r="F22" i="6"/>
  <c r="F32" i="6"/>
  <c r="F21" i="6"/>
  <c r="F25" i="6"/>
  <c r="F15" i="6"/>
  <c r="F30" i="6"/>
  <c r="F17" i="6"/>
  <c r="N49" i="6"/>
  <c r="AH49" i="6"/>
  <c r="F34" i="6"/>
  <c r="F44" i="6"/>
  <c r="J49" i="6"/>
  <c r="P49" i="6"/>
  <c r="V49" i="6"/>
  <c r="AJ49" i="6"/>
  <c r="F29" i="6"/>
  <c r="F33" i="6"/>
  <c r="L49" i="6"/>
  <c r="X49" i="6"/>
  <c r="AD49" i="6"/>
  <c r="AL49" i="6"/>
  <c r="Z49" i="6"/>
  <c r="P42" i="37"/>
  <c r="P42" i="36"/>
  <c r="P42" i="35"/>
  <c r="P42" i="34"/>
  <c r="P42" i="31"/>
  <c r="J128" i="31"/>
  <c r="P42" i="32"/>
  <c r="P42" i="30"/>
  <c r="M132" i="30"/>
  <c r="L42" i="33"/>
  <c r="M42" i="33"/>
  <c r="M66" i="33"/>
  <c r="M67" i="33"/>
  <c r="M68" i="33"/>
  <c r="M69" i="33"/>
  <c r="M70" i="33"/>
  <c r="L77" i="33"/>
  <c r="M102" i="33"/>
  <c r="M103" i="33"/>
  <c r="M104" i="33"/>
  <c r="M105" i="33"/>
  <c r="M106" i="33"/>
  <c r="M211" i="33"/>
  <c r="M210" i="33"/>
  <c r="M209" i="33"/>
  <c r="M208" i="33"/>
  <c r="M207" i="33"/>
  <c r="M206" i="33"/>
  <c r="L112" i="8"/>
  <c r="M99" i="8"/>
  <c r="M100" i="8"/>
  <c r="M101" i="8"/>
  <c r="M102" i="8"/>
  <c r="M103" i="8"/>
  <c r="M104" i="8"/>
  <c r="M105" i="8"/>
  <c r="M106" i="8"/>
  <c r="M42" i="8"/>
  <c r="M45" i="8"/>
  <c r="M49" i="8"/>
  <c r="M53" i="8"/>
  <c r="M57" i="8"/>
  <c r="M61" i="8"/>
  <c r="M62" i="8"/>
  <c r="M63" i="8"/>
  <c r="M64" i="8"/>
  <c r="M65" i="8"/>
  <c r="M66" i="8"/>
  <c r="M67" i="8"/>
  <c r="M68" i="8"/>
  <c r="M69" i="8"/>
  <c r="M70" i="8"/>
  <c r="M71" i="8"/>
  <c r="M43" i="8"/>
  <c r="M47" i="8"/>
  <c r="M51" i="8"/>
  <c r="M55" i="8"/>
  <c r="D10" i="39"/>
  <c r="I11" i="13"/>
  <c r="K11" i="13" s="1"/>
  <c r="F39" i="6"/>
  <c r="F38" i="6"/>
  <c r="F42" i="6"/>
  <c r="F40" i="6"/>
  <c r="F43" i="7"/>
  <c r="AH43" i="7" s="1"/>
  <c r="S50" i="7"/>
  <c r="S51" i="7" s="1"/>
  <c r="F39" i="7"/>
  <c r="F38" i="7"/>
  <c r="F42" i="7"/>
  <c r="N42" i="7" s="1"/>
  <c r="M50" i="7"/>
  <c r="B15" i="13" s="1"/>
  <c r="C15" i="13" s="1"/>
  <c r="F41" i="7"/>
  <c r="N41" i="7" s="1"/>
  <c r="F40" i="7"/>
  <c r="I17" i="39"/>
  <c r="K17" i="39" s="1"/>
  <c r="I21" i="39"/>
  <c r="K21" i="39" s="1"/>
  <c r="D7" i="39"/>
  <c r="I15" i="39"/>
  <c r="I19" i="39"/>
  <c r="K19" i="39" s="1"/>
  <c r="I23" i="39"/>
  <c r="K23" i="39" s="1"/>
  <c r="I16" i="39"/>
  <c r="K16" i="39" s="1"/>
  <c r="H22" i="13"/>
  <c r="AE51" i="6"/>
  <c r="F37" i="6"/>
  <c r="B20" i="13"/>
  <c r="C20" i="13" s="1"/>
  <c r="E20" i="13" s="1"/>
  <c r="F37" i="7"/>
  <c r="D6" i="13"/>
  <c r="E6" i="13"/>
  <c r="P72" i="8"/>
  <c r="U37" i="8"/>
  <c r="Z37" i="8" s="1"/>
  <c r="AE37" i="8" s="1"/>
  <c r="AJ37" i="8" s="1"/>
  <c r="AO37" i="8" s="1"/>
  <c r="AT37" i="8" s="1"/>
  <c r="M113" i="33"/>
  <c r="M117" i="33"/>
  <c r="M135" i="33"/>
  <c r="M114" i="33"/>
  <c r="M118" i="33"/>
  <c r="M122" i="33"/>
  <c r="M126" i="33"/>
  <c r="M130" i="33"/>
  <c r="M134" i="33"/>
  <c r="M121" i="33"/>
  <c r="M125" i="33"/>
  <c r="M129" i="33"/>
  <c r="M133" i="33"/>
  <c r="M112" i="33"/>
  <c r="L112" i="33"/>
  <c r="M116" i="33"/>
  <c r="M120" i="33"/>
  <c r="M124" i="33"/>
  <c r="M128" i="33"/>
  <c r="M132" i="33"/>
  <c r="M136" i="33"/>
  <c r="M137" i="33"/>
  <c r="M138" i="33"/>
  <c r="M139" i="33"/>
  <c r="M140" i="33"/>
  <c r="M141" i="33"/>
  <c r="M115" i="33"/>
  <c r="M119" i="33"/>
  <c r="M123" i="33"/>
  <c r="M127" i="33"/>
  <c r="M131" i="33"/>
  <c r="D10" i="13"/>
  <c r="M151" i="33"/>
  <c r="M155" i="33"/>
  <c r="M159" i="33"/>
  <c r="M163" i="33"/>
  <c r="M167" i="33"/>
  <c r="M168" i="33"/>
  <c r="M150" i="33"/>
  <c r="M154" i="33"/>
  <c r="M158" i="33"/>
  <c r="M162" i="33"/>
  <c r="M166" i="33"/>
  <c r="M170" i="33"/>
  <c r="L147" i="33"/>
  <c r="M147" i="33"/>
  <c r="M171" i="33"/>
  <c r="M172" i="33"/>
  <c r="M173" i="33"/>
  <c r="M174" i="33"/>
  <c r="M175" i="33"/>
  <c r="M176" i="33"/>
  <c r="M149" i="33"/>
  <c r="M153" i="33"/>
  <c r="M157" i="33"/>
  <c r="M161" i="33"/>
  <c r="M165" i="33"/>
  <c r="M169" i="33"/>
  <c r="M148" i="33"/>
  <c r="M152" i="33"/>
  <c r="M156" i="33"/>
  <c r="M160" i="33"/>
  <c r="M164" i="33"/>
  <c r="M159" i="8"/>
  <c r="M163" i="8"/>
  <c r="M165" i="8"/>
  <c r="M148" i="8"/>
  <c r="M152" i="8"/>
  <c r="M156" i="8"/>
  <c r="M160" i="8"/>
  <c r="M164" i="8"/>
  <c r="L147" i="8"/>
  <c r="M151" i="8"/>
  <c r="M155" i="8"/>
  <c r="M147" i="8"/>
  <c r="M150" i="8"/>
  <c r="M154" i="8"/>
  <c r="M158" i="8"/>
  <c r="M162" i="8"/>
  <c r="M166" i="8"/>
  <c r="M167" i="8"/>
  <c r="M168" i="8"/>
  <c r="M169" i="8"/>
  <c r="M170" i="8"/>
  <c r="M171" i="8"/>
  <c r="M172" i="8"/>
  <c r="M173" i="8"/>
  <c r="M174" i="8"/>
  <c r="M175" i="8"/>
  <c r="M176" i="8"/>
  <c r="M149" i="8"/>
  <c r="M153" i="8"/>
  <c r="M157" i="8"/>
  <c r="M161" i="8"/>
  <c r="AF10" i="7" l="1"/>
  <c r="Z10" i="7"/>
  <c r="AD10" i="7"/>
  <c r="X10" i="7"/>
  <c r="R10" i="7"/>
  <c r="L10" i="7"/>
  <c r="AJ10" i="7"/>
  <c r="V10" i="7"/>
  <c r="P10" i="7"/>
  <c r="J10" i="7"/>
  <c r="AH10" i="7"/>
  <c r="AB10" i="7"/>
  <c r="T10" i="7"/>
  <c r="N10" i="7"/>
  <c r="AJ12" i="7"/>
  <c r="V12" i="7"/>
  <c r="P12" i="7"/>
  <c r="J12" i="7"/>
  <c r="AH12" i="7"/>
  <c r="AB12" i="7"/>
  <c r="T12" i="7"/>
  <c r="N12" i="7"/>
  <c r="AF12" i="7"/>
  <c r="Z12" i="7"/>
  <c r="AD12" i="7"/>
  <c r="X12" i="7"/>
  <c r="R12" i="7"/>
  <c r="L12" i="7"/>
  <c r="AJ8" i="7"/>
  <c r="V8" i="7"/>
  <c r="P8" i="7"/>
  <c r="J8" i="7"/>
  <c r="AH8" i="7"/>
  <c r="AB8" i="7"/>
  <c r="T8" i="7"/>
  <c r="N8" i="7"/>
  <c r="AF8" i="7"/>
  <c r="Z8" i="7"/>
  <c r="AD8" i="7"/>
  <c r="X8" i="7"/>
  <c r="R8" i="7"/>
  <c r="L8" i="7"/>
  <c r="AF37" i="7"/>
  <c r="Z37" i="7"/>
  <c r="AL37" i="7"/>
  <c r="AD37" i="7"/>
  <c r="X37" i="7"/>
  <c r="R37" i="7"/>
  <c r="L37" i="7"/>
  <c r="AJ37" i="7"/>
  <c r="V37" i="7"/>
  <c r="P37" i="7"/>
  <c r="J37" i="7"/>
  <c r="AH37" i="7"/>
  <c r="AB37" i="7"/>
  <c r="T37" i="7"/>
  <c r="N37" i="7"/>
  <c r="AJ38" i="7"/>
  <c r="V38" i="7"/>
  <c r="P38" i="7"/>
  <c r="J38" i="7"/>
  <c r="AH38" i="7"/>
  <c r="AB38" i="7"/>
  <c r="T38" i="7"/>
  <c r="N38" i="7"/>
  <c r="AF38" i="7"/>
  <c r="Z38" i="7"/>
  <c r="AL38" i="7"/>
  <c r="AD38" i="7"/>
  <c r="X38" i="7"/>
  <c r="R38" i="7"/>
  <c r="L38" i="7"/>
  <c r="AF35" i="7"/>
  <c r="Z35" i="7"/>
  <c r="AL35" i="7"/>
  <c r="AD35" i="7"/>
  <c r="X35" i="7"/>
  <c r="L35" i="7"/>
  <c r="AJ35" i="7"/>
  <c r="V35" i="7"/>
  <c r="P35" i="7"/>
  <c r="J35" i="7"/>
  <c r="AH35" i="7"/>
  <c r="AB35" i="7"/>
  <c r="T35" i="7"/>
  <c r="N35" i="7"/>
  <c r="R35" i="7"/>
  <c r="AJ36" i="7"/>
  <c r="V36" i="7"/>
  <c r="P36" i="7"/>
  <c r="J36" i="7"/>
  <c r="AH36" i="7"/>
  <c r="AB36" i="7"/>
  <c r="T36" i="7"/>
  <c r="N36" i="7"/>
  <c r="AF36" i="7"/>
  <c r="Z36" i="7"/>
  <c r="AL36" i="7"/>
  <c r="AD36" i="7"/>
  <c r="X36" i="7"/>
  <c r="R36" i="7"/>
  <c r="L36" i="7"/>
  <c r="AL36" i="6"/>
  <c r="X36" i="6"/>
  <c r="R36" i="6"/>
  <c r="L36" i="6"/>
  <c r="P36" i="6"/>
  <c r="AJ36" i="6"/>
  <c r="V36" i="6"/>
  <c r="J36" i="6"/>
  <c r="AH36" i="6"/>
  <c r="AB36" i="6"/>
  <c r="AF36" i="6"/>
  <c r="Z36" i="6"/>
  <c r="AD36" i="6"/>
  <c r="T36" i="6"/>
  <c r="N36" i="6"/>
  <c r="AH37" i="6"/>
  <c r="AB37" i="6"/>
  <c r="Z37" i="6"/>
  <c r="AF37" i="6"/>
  <c r="AL37" i="6"/>
  <c r="X37" i="6"/>
  <c r="R37" i="6"/>
  <c r="L37" i="6"/>
  <c r="AJ37" i="6"/>
  <c r="V37" i="6"/>
  <c r="J37" i="6"/>
  <c r="P37" i="6"/>
  <c r="AD37" i="6"/>
  <c r="N37" i="6"/>
  <c r="T37" i="6"/>
  <c r="AL38" i="6"/>
  <c r="X38" i="6"/>
  <c r="R38" i="6"/>
  <c r="L38" i="6"/>
  <c r="AJ38" i="6"/>
  <c r="V38" i="6"/>
  <c r="P38" i="6"/>
  <c r="J38" i="6"/>
  <c r="AH38" i="6"/>
  <c r="AB38" i="6"/>
  <c r="AF38" i="6"/>
  <c r="Z38" i="6"/>
  <c r="N38" i="6"/>
  <c r="T38" i="6"/>
  <c r="AD38" i="6"/>
  <c r="AH35" i="6"/>
  <c r="AB35" i="6"/>
  <c r="Z35" i="6"/>
  <c r="AF35" i="6"/>
  <c r="AL35" i="6"/>
  <c r="X35" i="6"/>
  <c r="R35" i="6"/>
  <c r="L35" i="6"/>
  <c r="AJ35" i="6"/>
  <c r="V35" i="6"/>
  <c r="P35" i="6"/>
  <c r="J35" i="6"/>
  <c r="N35" i="6"/>
  <c r="AD35" i="6"/>
  <c r="T35" i="6"/>
  <c r="L14" i="7"/>
  <c r="H12" i="7"/>
  <c r="H12" i="6"/>
  <c r="AF50" i="6" s="1"/>
  <c r="AJ42" i="6"/>
  <c r="V42" i="6"/>
  <c r="P42" i="6"/>
  <c r="J42" i="6"/>
  <c r="AF42" i="6"/>
  <c r="Z42" i="6"/>
  <c r="AD42" i="6"/>
  <c r="T42" i="6"/>
  <c r="L42" i="6"/>
  <c r="AL42" i="6"/>
  <c r="AB42" i="6"/>
  <c r="R42" i="6"/>
  <c r="AH42" i="6"/>
  <c r="X42" i="6"/>
  <c r="N42" i="6"/>
  <c r="AF29" i="6"/>
  <c r="Z29" i="6"/>
  <c r="AJ29" i="6"/>
  <c r="V29" i="6"/>
  <c r="P29" i="6"/>
  <c r="J29" i="6"/>
  <c r="AD29" i="6"/>
  <c r="T29" i="6"/>
  <c r="L29" i="6"/>
  <c r="AL29" i="6"/>
  <c r="AB29" i="6"/>
  <c r="R29" i="6"/>
  <c r="AH29" i="6"/>
  <c r="X29" i="6"/>
  <c r="N29" i="6"/>
  <c r="AF25" i="6"/>
  <c r="Z25" i="6"/>
  <c r="AJ25" i="6"/>
  <c r="V25" i="6"/>
  <c r="P25" i="6"/>
  <c r="J25" i="6"/>
  <c r="AD25" i="6"/>
  <c r="T25" i="6"/>
  <c r="L25" i="6"/>
  <c r="AL25" i="6"/>
  <c r="AB25" i="6"/>
  <c r="R25" i="6"/>
  <c r="AH25" i="6"/>
  <c r="X25" i="6"/>
  <c r="N25" i="6"/>
  <c r="AH19" i="6"/>
  <c r="AB19" i="6"/>
  <c r="AF19" i="6"/>
  <c r="Z19" i="6"/>
  <c r="AL19" i="6"/>
  <c r="X19" i="6"/>
  <c r="R19" i="6"/>
  <c r="L19" i="6"/>
  <c r="AJ19" i="6"/>
  <c r="V19" i="6"/>
  <c r="J19" i="6"/>
  <c r="P19" i="6"/>
  <c r="AD19" i="6"/>
  <c r="N19" i="6"/>
  <c r="T19" i="6"/>
  <c r="AL44" i="6"/>
  <c r="AD44" i="6"/>
  <c r="X44" i="6"/>
  <c r="AJ44" i="6"/>
  <c r="V44" i="6"/>
  <c r="P44" i="6"/>
  <c r="J44" i="6"/>
  <c r="AH44" i="6"/>
  <c r="AB44" i="6"/>
  <c r="AF44" i="6"/>
  <c r="Z44" i="6"/>
  <c r="T44" i="6"/>
  <c r="L44" i="6"/>
  <c r="R44" i="6"/>
  <c r="N44" i="6"/>
  <c r="AH17" i="6"/>
  <c r="AB17" i="6"/>
  <c r="AF17" i="6"/>
  <c r="Z17" i="6"/>
  <c r="AL17" i="6"/>
  <c r="X17" i="6"/>
  <c r="R17" i="6"/>
  <c r="L17" i="6"/>
  <c r="P17" i="6"/>
  <c r="V17" i="6"/>
  <c r="J17" i="6"/>
  <c r="AJ17" i="6"/>
  <c r="N17" i="6"/>
  <c r="T17" i="6"/>
  <c r="AD17" i="6"/>
  <c r="AF21" i="6"/>
  <c r="Z21" i="6"/>
  <c r="AJ21" i="6"/>
  <c r="V21" i="6"/>
  <c r="P21" i="6"/>
  <c r="J21" i="6"/>
  <c r="AD21" i="6"/>
  <c r="T21" i="6"/>
  <c r="L21" i="6"/>
  <c r="AL21" i="6"/>
  <c r="AB21" i="6"/>
  <c r="R21" i="6"/>
  <c r="AH21" i="6"/>
  <c r="X21" i="6"/>
  <c r="N21" i="6"/>
  <c r="AL16" i="6"/>
  <c r="X16" i="6"/>
  <c r="R16" i="6"/>
  <c r="L16" i="6"/>
  <c r="AJ16" i="6"/>
  <c r="V16" i="6"/>
  <c r="P16" i="6"/>
  <c r="AH16" i="6"/>
  <c r="AB16" i="6"/>
  <c r="Z16" i="6"/>
  <c r="AF16" i="6"/>
  <c r="J16" i="6"/>
  <c r="N16" i="6"/>
  <c r="AD16" i="6"/>
  <c r="T16" i="6"/>
  <c r="AL18" i="6"/>
  <c r="X18" i="6"/>
  <c r="R18" i="6"/>
  <c r="L18" i="6"/>
  <c r="AJ18" i="6"/>
  <c r="V18" i="6"/>
  <c r="P18" i="6"/>
  <c r="J18" i="6"/>
  <c r="AH18" i="6"/>
  <c r="AB18" i="6"/>
  <c r="Z18" i="6"/>
  <c r="AF18" i="6"/>
  <c r="N18" i="6"/>
  <c r="T18" i="6"/>
  <c r="AD18" i="6"/>
  <c r="AJ20" i="6"/>
  <c r="AF20" i="6"/>
  <c r="X20" i="6"/>
  <c r="R20" i="6"/>
  <c r="L20" i="6"/>
  <c r="V20" i="6"/>
  <c r="P20" i="6"/>
  <c r="J20" i="6"/>
  <c r="AL20" i="6"/>
  <c r="AB20" i="6"/>
  <c r="AH20" i="6"/>
  <c r="Z20" i="6"/>
  <c r="T20" i="6"/>
  <c r="AD20" i="6"/>
  <c r="N20" i="6"/>
  <c r="AF23" i="6"/>
  <c r="Z23" i="6"/>
  <c r="AJ23" i="6"/>
  <c r="V23" i="6"/>
  <c r="P23" i="6"/>
  <c r="J23" i="6"/>
  <c r="AD23" i="6"/>
  <c r="T23" i="6"/>
  <c r="L23" i="6"/>
  <c r="AL23" i="6"/>
  <c r="AB23" i="6"/>
  <c r="R23" i="6"/>
  <c r="AH23" i="6"/>
  <c r="X23" i="6"/>
  <c r="N23" i="6"/>
  <c r="AJ34" i="6"/>
  <c r="V34" i="6"/>
  <c r="P34" i="6"/>
  <c r="J34" i="6"/>
  <c r="AF34" i="6"/>
  <c r="Z34" i="6"/>
  <c r="AD34" i="6"/>
  <c r="T34" i="6"/>
  <c r="L34" i="6"/>
  <c r="AL34" i="6"/>
  <c r="AB34" i="6"/>
  <c r="R34" i="6"/>
  <c r="AH34" i="6"/>
  <c r="X34" i="6"/>
  <c r="N34" i="6"/>
  <c r="AF41" i="6"/>
  <c r="Z41" i="6"/>
  <c r="AJ41" i="6"/>
  <c r="V41" i="6"/>
  <c r="P41" i="6"/>
  <c r="J41" i="6"/>
  <c r="AD41" i="6"/>
  <c r="T41" i="6"/>
  <c r="L41" i="6"/>
  <c r="AL41" i="6"/>
  <c r="AB41" i="6"/>
  <c r="R41" i="6"/>
  <c r="AH41" i="6"/>
  <c r="X41" i="6"/>
  <c r="N41" i="6"/>
  <c r="AJ26" i="6"/>
  <c r="V26" i="6"/>
  <c r="P26" i="6"/>
  <c r="J26" i="6"/>
  <c r="AF26" i="6"/>
  <c r="Z26" i="6"/>
  <c r="AD26" i="6"/>
  <c r="T26" i="6"/>
  <c r="L26" i="6"/>
  <c r="AL26" i="6"/>
  <c r="AB26" i="6"/>
  <c r="R26" i="6"/>
  <c r="AH26" i="6"/>
  <c r="X26" i="6"/>
  <c r="N26" i="6"/>
  <c r="AF39" i="6"/>
  <c r="Z39" i="6"/>
  <c r="AJ39" i="6"/>
  <c r="V39" i="6"/>
  <c r="P39" i="6"/>
  <c r="J39" i="6"/>
  <c r="AD39" i="6"/>
  <c r="T39" i="6"/>
  <c r="L39" i="6"/>
  <c r="AL39" i="6"/>
  <c r="AB39" i="6"/>
  <c r="R39" i="6"/>
  <c r="AH39" i="6"/>
  <c r="X39" i="6"/>
  <c r="N39" i="6"/>
  <c r="AJ30" i="6"/>
  <c r="V30" i="6"/>
  <c r="P30" i="6"/>
  <c r="J30" i="6"/>
  <c r="AF30" i="6"/>
  <c r="Z30" i="6"/>
  <c r="AD30" i="6"/>
  <c r="T30" i="6"/>
  <c r="L30" i="6"/>
  <c r="AL30" i="6"/>
  <c r="AB30" i="6"/>
  <c r="R30" i="6"/>
  <c r="AH30" i="6"/>
  <c r="X30" i="6"/>
  <c r="N30" i="6"/>
  <c r="AJ32" i="6"/>
  <c r="V32" i="6"/>
  <c r="P32" i="6"/>
  <c r="J32" i="6"/>
  <c r="AF32" i="6"/>
  <c r="Z32" i="6"/>
  <c r="AD32" i="6"/>
  <c r="T32" i="6"/>
  <c r="L32" i="6"/>
  <c r="AL32" i="6"/>
  <c r="AB32" i="6"/>
  <c r="R32" i="6"/>
  <c r="AH32" i="6"/>
  <c r="X32" i="6"/>
  <c r="N32" i="6"/>
  <c r="AJ40" i="6"/>
  <c r="V40" i="6"/>
  <c r="P40" i="6"/>
  <c r="J40" i="6"/>
  <c r="AF40" i="6"/>
  <c r="Z40" i="6"/>
  <c r="AD40" i="6"/>
  <c r="T40" i="6"/>
  <c r="L40" i="6"/>
  <c r="AL40" i="6"/>
  <c r="AB40" i="6"/>
  <c r="R40" i="6"/>
  <c r="AH40" i="6"/>
  <c r="X40" i="6"/>
  <c r="N40" i="6"/>
  <c r="AF33" i="6"/>
  <c r="Z33" i="6"/>
  <c r="AJ33" i="6"/>
  <c r="V33" i="6"/>
  <c r="P33" i="6"/>
  <c r="J33" i="6"/>
  <c r="AD33" i="6"/>
  <c r="T33" i="6"/>
  <c r="L33" i="6"/>
  <c r="AL33" i="6"/>
  <c r="AB33" i="6"/>
  <c r="R33" i="6"/>
  <c r="AH33" i="6"/>
  <c r="X33" i="6"/>
  <c r="N33" i="6"/>
  <c r="AH15" i="6"/>
  <c r="AB15" i="6"/>
  <c r="AL15" i="6"/>
  <c r="X15" i="6"/>
  <c r="R15" i="6"/>
  <c r="L15" i="6"/>
  <c r="AJ15" i="6"/>
  <c r="V15" i="6"/>
  <c r="J15" i="6"/>
  <c r="P15" i="6"/>
  <c r="AF15" i="6"/>
  <c r="Z15" i="6"/>
  <c r="T15" i="6"/>
  <c r="AD15" i="6"/>
  <c r="N15" i="6"/>
  <c r="AJ22" i="6"/>
  <c r="V22" i="6"/>
  <c r="P22" i="6"/>
  <c r="J22" i="6"/>
  <c r="AF22" i="6"/>
  <c r="Z22" i="6"/>
  <c r="N22" i="6"/>
  <c r="AD22" i="6"/>
  <c r="T22" i="6"/>
  <c r="L22" i="6"/>
  <c r="AL22" i="6"/>
  <c r="AB22" i="6"/>
  <c r="R22" i="6"/>
  <c r="AH22" i="6"/>
  <c r="X22" i="6"/>
  <c r="AF27" i="6"/>
  <c r="Z27" i="6"/>
  <c r="AJ27" i="6"/>
  <c r="V27" i="6"/>
  <c r="P27" i="6"/>
  <c r="J27" i="6"/>
  <c r="AD27" i="6"/>
  <c r="T27" i="6"/>
  <c r="L27" i="6"/>
  <c r="AL27" i="6"/>
  <c r="AB27" i="6"/>
  <c r="R27" i="6"/>
  <c r="AH27" i="6"/>
  <c r="X27" i="6"/>
  <c r="N27" i="6"/>
  <c r="AF31" i="6"/>
  <c r="Z31" i="6"/>
  <c r="AJ31" i="6"/>
  <c r="V31" i="6"/>
  <c r="P31" i="6"/>
  <c r="J31" i="6"/>
  <c r="AD31" i="6"/>
  <c r="T31" i="6"/>
  <c r="L31" i="6"/>
  <c r="AL31" i="6"/>
  <c r="AB31" i="6"/>
  <c r="R31" i="6"/>
  <c r="AH31" i="6"/>
  <c r="X31" i="6"/>
  <c r="N31" i="6"/>
  <c r="AJ24" i="6"/>
  <c r="V24" i="6"/>
  <c r="P24" i="6"/>
  <c r="J24" i="6"/>
  <c r="AF24" i="6"/>
  <c r="Z24" i="6"/>
  <c r="AD24" i="6"/>
  <c r="T24" i="6"/>
  <c r="L24" i="6"/>
  <c r="AL24" i="6"/>
  <c r="AB24" i="6"/>
  <c r="R24" i="6"/>
  <c r="AH24" i="6"/>
  <c r="X24" i="6"/>
  <c r="N24" i="6"/>
  <c r="AJ28" i="6"/>
  <c r="V28" i="6"/>
  <c r="P28" i="6"/>
  <c r="J28" i="6"/>
  <c r="AF28" i="6"/>
  <c r="Z28" i="6"/>
  <c r="AD28" i="6"/>
  <c r="T28" i="6"/>
  <c r="L28" i="6"/>
  <c r="AL28" i="6"/>
  <c r="AB28" i="6"/>
  <c r="R28" i="6"/>
  <c r="AH28" i="6"/>
  <c r="X28" i="6"/>
  <c r="N28" i="6"/>
  <c r="AL10" i="7"/>
  <c r="AL12" i="7"/>
  <c r="AL8" i="7"/>
  <c r="G21" i="6"/>
  <c r="G28" i="6"/>
  <c r="G35" i="6"/>
  <c r="G14" i="6"/>
  <c r="V34" i="7"/>
  <c r="P34" i="7"/>
  <c r="V18" i="7"/>
  <c r="P18" i="7"/>
  <c r="V24" i="7"/>
  <c r="P24" i="7"/>
  <c r="V21" i="7"/>
  <c r="P21" i="7"/>
  <c r="V33" i="7"/>
  <c r="P33" i="7"/>
  <c r="V30" i="7"/>
  <c r="P30" i="7"/>
  <c r="V20" i="7"/>
  <c r="P20" i="7"/>
  <c r="V14" i="7"/>
  <c r="P14" i="7"/>
  <c r="V17" i="7"/>
  <c r="P17" i="7"/>
  <c r="V19" i="7"/>
  <c r="P19" i="7"/>
  <c r="V23" i="7"/>
  <c r="P23" i="7"/>
  <c r="V26" i="7"/>
  <c r="P26" i="7"/>
  <c r="V32" i="7"/>
  <c r="P32" i="7"/>
  <c r="V16" i="7"/>
  <c r="P16" i="7"/>
  <c r="V29" i="7"/>
  <c r="P29" i="7"/>
  <c r="V22" i="7"/>
  <c r="P22" i="7"/>
  <c r="V28" i="7"/>
  <c r="P28" i="7"/>
  <c r="V15" i="7"/>
  <c r="P15" i="7"/>
  <c r="V27" i="7"/>
  <c r="P27" i="7"/>
  <c r="V25" i="7"/>
  <c r="P25" i="7"/>
  <c r="V31" i="7"/>
  <c r="P31" i="7"/>
  <c r="N40" i="7"/>
  <c r="AH40" i="7"/>
  <c r="AF40" i="7"/>
  <c r="Z40" i="7"/>
  <c r="AB40" i="7"/>
  <c r="AJ40" i="7"/>
  <c r="AD40" i="7"/>
  <c r="AB39" i="7"/>
  <c r="AJ39" i="7"/>
  <c r="AH39" i="7"/>
  <c r="AF39" i="7"/>
  <c r="Z39" i="7"/>
  <c r="AD39" i="7"/>
  <c r="N34" i="7"/>
  <c r="AJ34" i="7"/>
  <c r="AF34" i="7"/>
  <c r="AH34" i="7"/>
  <c r="AB34" i="7"/>
  <c r="Z34" i="7"/>
  <c r="AD34" i="7"/>
  <c r="T18" i="7"/>
  <c r="AJ18" i="7"/>
  <c r="AF18" i="7"/>
  <c r="AH18" i="7"/>
  <c r="AB18" i="7"/>
  <c r="Z18" i="7"/>
  <c r="AD18" i="7"/>
  <c r="N24" i="7"/>
  <c r="AF24" i="7"/>
  <c r="Z24" i="7"/>
  <c r="AB24" i="7"/>
  <c r="AJ24" i="7"/>
  <c r="AH24" i="7"/>
  <c r="AD24" i="7"/>
  <c r="AH21" i="7"/>
  <c r="AB21" i="7"/>
  <c r="AF21" i="7"/>
  <c r="Z21" i="7"/>
  <c r="AJ21" i="7"/>
  <c r="AD21" i="7"/>
  <c r="N33" i="7"/>
  <c r="AH33" i="7"/>
  <c r="AB33" i="7"/>
  <c r="AJ33" i="7"/>
  <c r="AF33" i="7"/>
  <c r="Z33" i="7"/>
  <c r="AD33" i="7"/>
  <c r="AJ30" i="7"/>
  <c r="Z30" i="7"/>
  <c r="AD30" i="7"/>
  <c r="AH30" i="7"/>
  <c r="AB30" i="7"/>
  <c r="AF30" i="7"/>
  <c r="AF20" i="7"/>
  <c r="Z20" i="7"/>
  <c r="AJ20" i="7"/>
  <c r="AH20" i="7"/>
  <c r="AB20" i="7"/>
  <c r="AD20" i="7"/>
  <c r="AJ14" i="7"/>
  <c r="Z14" i="7"/>
  <c r="AH14" i="7"/>
  <c r="AB14" i="7"/>
  <c r="AF14" i="7"/>
  <c r="AD14" i="7"/>
  <c r="AH17" i="7"/>
  <c r="AB17" i="7"/>
  <c r="AF17" i="7"/>
  <c r="Z17" i="7"/>
  <c r="AJ17" i="7"/>
  <c r="AD17" i="7"/>
  <c r="AH19" i="7"/>
  <c r="AJ19" i="7"/>
  <c r="AB19" i="7"/>
  <c r="Z19" i="7"/>
  <c r="AF19" i="7"/>
  <c r="AD19" i="7"/>
  <c r="AB23" i="7"/>
  <c r="AJ23" i="7"/>
  <c r="AH23" i="7"/>
  <c r="AF23" i="7"/>
  <c r="Z23" i="7"/>
  <c r="AD23" i="7"/>
  <c r="AD26" i="7"/>
  <c r="AJ26" i="7"/>
  <c r="AF26" i="7"/>
  <c r="AH26" i="7"/>
  <c r="AB26" i="7"/>
  <c r="Z26" i="7"/>
  <c r="AF32" i="7"/>
  <c r="Z32" i="7"/>
  <c r="AH32" i="7"/>
  <c r="AJ32" i="7"/>
  <c r="AB32" i="7"/>
  <c r="AD32" i="7"/>
  <c r="AF16" i="7"/>
  <c r="Z16" i="7"/>
  <c r="AJ16" i="7"/>
  <c r="AB16" i="7"/>
  <c r="AH16" i="7"/>
  <c r="AD16" i="7"/>
  <c r="AH29" i="7"/>
  <c r="AB29" i="7"/>
  <c r="AF29" i="7"/>
  <c r="Z29" i="7"/>
  <c r="AJ29" i="7"/>
  <c r="AD29" i="7"/>
  <c r="T22" i="7"/>
  <c r="AJ22" i="7"/>
  <c r="Z22" i="7"/>
  <c r="AD22" i="7"/>
  <c r="AH22" i="7"/>
  <c r="AB22" i="7"/>
  <c r="AF22" i="7"/>
  <c r="AF28" i="7"/>
  <c r="Z28" i="7"/>
  <c r="AJ28" i="7"/>
  <c r="AH28" i="7"/>
  <c r="AB28" i="7"/>
  <c r="AD28" i="7"/>
  <c r="AB15" i="7"/>
  <c r="AJ15" i="7"/>
  <c r="AH15" i="7"/>
  <c r="AF15" i="7"/>
  <c r="Z15" i="7"/>
  <c r="AD15" i="7"/>
  <c r="AH27" i="7"/>
  <c r="AJ27" i="7"/>
  <c r="AB27" i="7"/>
  <c r="AF27" i="7"/>
  <c r="Z27" i="7"/>
  <c r="AD27" i="7"/>
  <c r="AJ25" i="7"/>
  <c r="AH25" i="7"/>
  <c r="AB25" i="7"/>
  <c r="AF25" i="7"/>
  <c r="Z25" i="7"/>
  <c r="AD25" i="7"/>
  <c r="AB31" i="7"/>
  <c r="AF31" i="7"/>
  <c r="AJ31" i="7"/>
  <c r="AH31" i="7"/>
  <c r="Z31" i="7"/>
  <c r="AD31" i="7"/>
  <c r="N28" i="7"/>
  <c r="G28" i="7"/>
  <c r="G35" i="7"/>
  <c r="G8" i="7"/>
  <c r="T21" i="7"/>
  <c r="G21" i="7"/>
  <c r="J14" i="7"/>
  <c r="N14" i="7"/>
  <c r="G14" i="7"/>
  <c r="N39" i="7"/>
  <c r="N32" i="7"/>
  <c r="N20" i="7"/>
  <c r="AF49" i="6"/>
  <c r="AB49" i="6"/>
  <c r="R49" i="6"/>
  <c r="C1" i="30"/>
  <c r="D11" i="39"/>
  <c r="T49" i="6"/>
  <c r="J23" i="7"/>
  <c r="N23" i="7"/>
  <c r="AL23" i="7"/>
  <c r="R23" i="7"/>
  <c r="X23" i="7"/>
  <c r="AL19" i="7"/>
  <c r="T19" i="7"/>
  <c r="J19" i="7"/>
  <c r="T23" i="7"/>
  <c r="N19" i="7"/>
  <c r="R19" i="7"/>
  <c r="N31" i="7"/>
  <c r="X19" i="7"/>
  <c r="AL14" i="7"/>
  <c r="X14" i="7"/>
  <c r="R14" i="7"/>
  <c r="T14" i="7"/>
  <c r="J31" i="7"/>
  <c r="X31" i="7"/>
  <c r="AL31" i="7"/>
  <c r="X29" i="7"/>
  <c r="R31" i="7"/>
  <c r="N29" i="7"/>
  <c r="T29" i="7"/>
  <c r="R33" i="7"/>
  <c r="T31" i="7"/>
  <c r="AL29" i="7"/>
  <c r="R29" i="7"/>
  <c r="T33" i="7"/>
  <c r="J29" i="7"/>
  <c r="J33" i="7"/>
  <c r="X33" i="7"/>
  <c r="AD43" i="7"/>
  <c r="R49" i="7"/>
  <c r="L49" i="7"/>
  <c r="Z49" i="7"/>
  <c r="V49" i="7"/>
  <c r="T32" i="7"/>
  <c r="AB49" i="7"/>
  <c r="C1" i="37"/>
  <c r="B36" i="13" s="1"/>
  <c r="L128" i="30"/>
  <c r="X27" i="7"/>
  <c r="T25" i="7"/>
  <c r="X25" i="7"/>
  <c r="N25" i="7"/>
  <c r="J27" i="7"/>
  <c r="R25" i="7"/>
  <c r="AL25" i="7"/>
  <c r="J25" i="7"/>
  <c r="AD44" i="7"/>
  <c r="AJ49" i="7"/>
  <c r="T27" i="7"/>
  <c r="N43" i="7"/>
  <c r="M140" i="30"/>
  <c r="M133" i="30"/>
  <c r="AL33" i="7"/>
  <c r="AB43" i="7"/>
  <c r="M134" i="30"/>
  <c r="T39" i="7"/>
  <c r="M138" i="30"/>
  <c r="M131" i="30"/>
  <c r="X49" i="7"/>
  <c r="M141" i="30"/>
  <c r="M142" i="30"/>
  <c r="M129" i="30"/>
  <c r="AL49" i="7"/>
  <c r="N49" i="7"/>
  <c r="X39" i="7"/>
  <c r="M128" i="30"/>
  <c r="M135" i="30"/>
  <c r="AF49" i="7"/>
  <c r="M139" i="30"/>
  <c r="M137" i="30"/>
  <c r="M130" i="30"/>
  <c r="J49" i="7"/>
  <c r="AD49" i="7"/>
  <c r="C1" i="34"/>
  <c r="P49" i="7"/>
  <c r="T49" i="7"/>
  <c r="K15" i="39"/>
  <c r="I24" i="39"/>
  <c r="M130" i="37"/>
  <c r="M133" i="37"/>
  <c r="M129" i="37"/>
  <c r="M142" i="37"/>
  <c r="M134" i="37"/>
  <c r="M136" i="37"/>
  <c r="M140" i="37"/>
  <c r="M135" i="37"/>
  <c r="M137" i="37"/>
  <c r="M138" i="37"/>
  <c r="M139" i="37"/>
  <c r="L128" i="37"/>
  <c r="M128" i="37"/>
  <c r="M141" i="37"/>
  <c r="M132" i="37"/>
  <c r="M131" i="37"/>
  <c r="M131" i="36"/>
  <c r="M132" i="36"/>
  <c r="M129" i="36"/>
  <c r="M141" i="36"/>
  <c r="M138" i="36"/>
  <c r="M134" i="36"/>
  <c r="M137" i="36"/>
  <c r="M136" i="36"/>
  <c r="M133" i="36"/>
  <c r="M140" i="36"/>
  <c r="M139" i="36"/>
  <c r="M128" i="36"/>
  <c r="L128" i="36"/>
  <c r="M142" i="36"/>
  <c r="M135" i="36"/>
  <c r="M132" i="35"/>
  <c r="M133" i="35"/>
  <c r="M136" i="35"/>
  <c r="M140" i="35"/>
  <c r="M128" i="35"/>
  <c r="M142" i="35"/>
  <c r="M138" i="35"/>
  <c r="M141" i="35"/>
  <c r="M131" i="35"/>
  <c r="M137" i="35"/>
  <c r="M139" i="35"/>
  <c r="L128" i="35"/>
  <c r="M130" i="35"/>
  <c r="M129" i="35"/>
  <c r="M135" i="35"/>
  <c r="M134" i="34"/>
  <c r="M130" i="34"/>
  <c r="M133" i="34"/>
  <c r="M132" i="34"/>
  <c r="M141" i="34"/>
  <c r="M128" i="34"/>
  <c r="M135" i="34"/>
  <c r="M139" i="34"/>
  <c r="M142" i="34"/>
  <c r="M138" i="34"/>
  <c r="M140" i="34"/>
  <c r="M137" i="34"/>
  <c r="M136" i="34"/>
  <c r="L128" i="34"/>
  <c r="M131" i="34"/>
  <c r="M129" i="34"/>
  <c r="M236" i="33"/>
  <c r="M219" i="33"/>
  <c r="M227" i="33"/>
  <c r="M240" i="33"/>
  <c r="M234" i="33"/>
  <c r="M225" i="33"/>
  <c r="M229" i="33"/>
  <c r="M220" i="33"/>
  <c r="L218" i="33"/>
  <c r="M247" i="33"/>
  <c r="M228" i="33"/>
  <c r="M231" i="33"/>
  <c r="M246" i="33"/>
  <c r="M241" i="33"/>
  <c r="M238" i="33"/>
  <c r="M232" i="33"/>
  <c r="M223" i="33"/>
  <c r="M235" i="33"/>
  <c r="M226" i="33"/>
  <c r="M244" i="33"/>
  <c r="M243" i="33"/>
  <c r="M245" i="33"/>
  <c r="M222" i="33"/>
  <c r="M237" i="33"/>
  <c r="M230" i="33"/>
  <c r="M221" i="33"/>
  <c r="M233" i="33"/>
  <c r="M224" i="33"/>
  <c r="M218" i="33"/>
  <c r="M239" i="33"/>
  <c r="M138" i="31"/>
  <c r="M139" i="31"/>
  <c r="M136" i="31"/>
  <c r="M137" i="31"/>
  <c r="M140" i="31"/>
  <c r="M141" i="31"/>
  <c r="L128" i="31"/>
  <c r="M142" i="31"/>
  <c r="M128" i="31"/>
  <c r="M129" i="31"/>
  <c r="M130" i="31"/>
  <c r="M131" i="31"/>
  <c r="M132" i="31"/>
  <c r="M133" i="31"/>
  <c r="M134" i="31"/>
  <c r="M137" i="32"/>
  <c r="M128" i="32"/>
  <c r="M133" i="32"/>
  <c r="M140" i="32"/>
  <c r="M134" i="32"/>
  <c r="M142" i="32"/>
  <c r="M131" i="32"/>
  <c r="M132" i="32"/>
  <c r="L128" i="32"/>
  <c r="M139" i="32"/>
  <c r="M136" i="32"/>
  <c r="M129" i="32"/>
  <c r="M130" i="32"/>
  <c r="M138" i="32"/>
  <c r="M141" i="32"/>
  <c r="M233" i="8"/>
  <c r="M235" i="8"/>
  <c r="M224" i="8"/>
  <c r="M221" i="8"/>
  <c r="L218" i="8"/>
  <c r="M226" i="8"/>
  <c r="M247" i="8"/>
  <c r="M234" i="8"/>
  <c r="M231" i="8"/>
  <c r="M223" i="8"/>
  <c r="M246" i="8"/>
  <c r="M225" i="8"/>
  <c r="M243" i="8"/>
  <c r="M232" i="8"/>
  <c r="M222" i="8"/>
  <c r="M238" i="8"/>
  <c r="M229" i="8"/>
  <c r="M219" i="8"/>
  <c r="M240" i="8"/>
  <c r="M239" i="8"/>
  <c r="M244" i="8"/>
  <c r="M245" i="8"/>
  <c r="M230" i="8"/>
  <c r="M220" i="8"/>
  <c r="M236" i="8"/>
  <c r="M227" i="8"/>
  <c r="M241" i="8"/>
  <c r="M218" i="8"/>
  <c r="M242" i="8"/>
  <c r="M237" i="8"/>
  <c r="X17" i="7"/>
  <c r="AL17" i="7"/>
  <c r="X21" i="7"/>
  <c r="J21" i="7"/>
  <c r="AC51" i="7"/>
  <c r="N15" i="7"/>
  <c r="J15" i="7"/>
  <c r="R21" i="7"/>
  <c r="AL15" i="7"/>
  <c r="X15" i="7"/>
  <c r="N21" i="7"/>
  <c r="AL21" i="7"/>
  <c r="T15" i="7"/>
  <c r="R15" i="7"/>
  <c r="B16" i="13"/>
  <c r="C16" i="13" s="1"/>
  <c r="E16" i="13" s="1"/>
  <c r="R17" i="7"/>
  <c r="N17" i="7"/>
  <c r="T17" i="7"/>
  <c r="J17" i="7"/>
  <c r="AL27" i="7"/>
  <c r="R27" i="7"/>
  <c r="T24" i="7"/>
  <c r="N27" i="7"/>
  <c r="H15" i="13"/>
  <c r="I7" i="13"/>
  <c r="K7" i="13" s="1"/>
  <c r="T28" i="7"/>
  <c r="N16" i="7"/>
  <c r="T20" i="7"/>
  <c r="M51" i="7"/>
  <c r="AH44" i="7"/>
  <c r="AB44" i="7"/>
  <c r="AL44" i="7"/>
  <c r="X44" i="7"/>
  <c r="R44" i="7"/>
  <c r="L44" i="7"/>
  <c r="P44" i="7"/>
  <c r="Z44" i="7"/>
  <c r="AJ44" i="7"/>
  <c r="V44" i="7"/>
  <c r="J44" i="7"/>
  <c r="AF44" i="7"/>
  <c r="T44" i="7"/>
  <c r="AL24" i="7"/>
  <c r="X24" i="7"/>
  <c r="R24" i="7"/>
  <c r="J24" i="7"/>
  <c r="N18" i="7"/>
  <c r="AL34" i="7"/>
  <c r="X34" i="7"/>
  <c r="R34" i="7"/>
  <c r="J34" i="7"/>
  <c r="AL30" i="7"/>
  <c r="X30" i="7"/>
  <c r="R30" i="7"/>
  <c r="J30" i="7"/>
  <c r="AL26" i="7"/>
  <c r="X26" i="7"/>
  <c r="R26" i="7"/>
  <c r="J26" i="7"/>
  <c r="AL22" i="7"/>
  <c r="X22" i="7"/>
  <c r="R22" i="7"/>
  <c r="J22" i="7"/>
  <c r="T34" i="7"/>
  <c r="N30" i="7"/>
  <c r="N26" i="7"/>
  <c r="N22" i="7"/>
  <c r="AL28" i="7"/>
  <c r="X28" i="7"/>
  <c r="R28" i="7"/>
  <c r="J28" i="7"/>
  <c r="T26" i="7"/>
  <c r="AL20" i="7"/>
  <c r="X20" i="7"/>
  <c r="R20" i="7"/>
  <c r="J20" i="7"/>
  <c r="AL16" i="7"/>
  <c r="X16" i="7"/>
  <c r="R16" i="7"/>
  <c r="J16" i="7"/>
  <c r="T16" i="7"/>
  <c r="AL18" i="7"/>
  <c r="X18" i="7"/>
  <c r="R18" i="7"/>
  <c r="J18" i="7"/>
  <c r="AL32" i="7"/>
  <c r="X32" i="7"/>
  <c r="R32" i="7"/>
  <c r="J32" i="7"/>
  <c r="T30" i="7"/>
  <c r="H19" i="13"/>
  <c r="C1" i="32"/>
  <c r="C1" i="36"/>
  <c r="D34" i="39"/>
  <c r="C1" i="35"/>
  <c r="E34" i="39" s="1"/>
  <c r="C1" i="31"/>
  <c r="P62" i="37"/>
  <c r="U42" i="37"/>
  <c r="Z42" i="37" s="1"/>
  <c r="AE42" i="37" s="1"/>
  <c r="AJ42" i="37" s="1"/>
  <c r="AO42" i="37" s="1"/>
  <c r="AT42" i="37" s="1"/>
  <c r="P62" i="36"/>
  <c r="U42" i="36"/>
  <c r="Z42" i="36" s="1"/>
  <c r="AE42" i="36" s="1"/>
  <c r="AJ42" i="36" s="1"/>
  <c r="AO42" i="36" s="1"/>
  <c r="AT42" i="36" s="1"/>
  <c r="P62" i="35"/>
  <c r="U42" i="35"/>
  <c r="Z42" i="35" s="1"/>
  <c r="AE42" i="35" s="1"/>
  <c r="AJ42" i="35" s="1"/>
  <c r="AO42" i="35" s="1"/>
  <c r="AT42" i="35" s="1"/>
  <c r="P62" i="34"/>
  <c r="U42" i="34"/>
  <c r="Z42" i="34" s="1"/>
  <c r="AE42" i="34" s="1"/>
  <c r="AJ42" i="34" s="1"/>
  <c r="AO42" i="34" s="1"/>
  <c r="AT42" i="34" s="1"/>
  <c r="P62" i="31"/>
  <c r="U42" i="31"/>
  <c r="Z42" i="31" s="1"/>
  <c r="AE42" i="31" s="1"/>
  <c r="AJ42" i="31" s="1"/>
  <c r="AO42" i="31" s="1"/>
  <c r="AT42" i="31" s="1"/>
  <c r="U42" i="32"/>
  <c r="Z42" i="32" s="1"/>
  <c r="AE42" i="32" s="1"/>
  <c r="AJ42" i="32" s="1"/>
  <c r="AO42" i="32" s="1"/>
  <c r="AT42" i="32" s="1"/>
  <c r="P62" i="32"/>
  <c r="P62" i="30"/>
  <c r="P82" i="30" s="1"/>
  <c r="U82" i="30" s="1"/>
  <c r="Z82" i="30" s="1"/>
  <c r="U42" i="30"/>
  <c r="Z42" i="30" s="1"/>
  <c r="AE42" i="30" s="1"/>
  <c r="AJ42" i="30" s="1"/>
  <c r="AO42" i="30" s="1"/>
  <c r="AT42" i="30" s="1"/>
  <c r="C1" i="33"/>
  <c r="C1" i="8"/>
  <c r="Z43" i="7"/>
  <c r="R43" i="7"/>
  <c r="AJ43" i="7"/>
  <c r="X43" i="7"/>
  <c r="T43" i="7"/>
  <c r="AF43" i="7"/>
  <c r="AL43" i="7"/>
  <c r="V43" i="7"/>
  <c r="R39" i="7"/>
  <c r="P43" i="7"/>
  <c r="L43" i="7"/>
  <c r="J43" i="7"/>
  <c r="P39" i="7"/>
  <c r="AL39" i="7"/>
  <c r="L39" i="7"/>
  <c r="V39" i="7"/>
  <c r="J39" i="7"/>
  <c r="AF42" i="7"/>
  <c r="Z42" i="7"/>
  <c r="AL42" i="7"/>
  <c r="AD42" i="7"/>
  <c r="X42" i="7"/>
  <c r="R42" i="7"/>
  <c r="L42" i="7"/>
  <c r="AJ42" i="7"/>
  <c r="V42" i="7"/>
  <c r="P42" i="7"/>
  <c r="J42" i="7"/>
  <c r="AH42" i="7"/>
  <c r="AB42" i="7"/>
  <c r="T42" i="7"/>
  <c r="V40" i="7"/>
  <c r="P40" i="7"/>
  <c r="J40" i="7"/>
  <c r="T40" i="7"/>
  <c r="AL40" i="7"/>
  <c r="X40" i="7"/>
  <c r="R40" i="7"/>
  <c r="L40" i="7"/>
  <c r="AL41" i="7"/>
  <c r="AD41" i="7"/>
  <c r="X41" i="7"/>
  <c r="R41" i="7"/>
  <c r="L41" i="7"/>
  <c r="AJ41" i="7"/>
  <c r="V41" i="7"/>
  <c r="P41" i="7"/>
  <c r="J41" i="7"/>
  <c r="AH41" i="7"/>
  <c r="AB41" i="7"/>
  <c r="T41" i="7"/>
  <c r="AF41" i="7"/>
  <c r="Z41" i="7"/>
  <c r="C22" i="39"/>
  <c r="E22" i="39" s="1"/>
  <c r="C20" i="39"/>
  <c r="E20" i="39" s="1"/>
  <c r="C18" i="39"/>
  <c r="E18" i="39" s="1"/>
  <c r="C16" i="39"/>
  <c r="E16" i="39" s="1"/>
  <c r="D6" i="39"/>
  <c r="C23" i="39"/>
  <c r="E23" i="39" s="1"/>
  <c r="C21" i="39"/>
  <c r="E21" i="39" s="1"/>
  <c r="C19" i="39"/>
  <c r="E19" i="39" s="1"/>
  <c r="C17" i="39"/>
  <c r="E17" i="39" s="1"/>
  <c r="C15" i="39"/>
  <c r="E9" i="13"/>
  <c r="E15" i="13"/>
  <c r="D8" i="13"/>
  <c r="E8" i="13"/>
  <c r="P107" i="8"/>
  <c r="P142" i="8" s="1"/>
  <c r="U142" i="8" s="1"/>
  <c r="Z142" i="8" s="1"/>
  <c r="AE142" i="8" s="1"/>
  <c r="AJ142" i="8" s="1"/>
  <c r="AO142" i="8" s="1"/>
  <c r="U72" i="8"/>
  <c r="Z72" i="8" s="1"/>
  <c r="AE72" i="8" s="1"/>
  <c r="AJ72" i="8" s="1"/>
  <c r="AO72" i="8" s="1"/>
  <c r="AT72" i="8" s="1"/>
  <c r="D11" i="13"/>
  <c r="E11" i="13"/>
  <c r="D36" i="39"/>
  <c r="D35" i="39"/>
  <c r="D33" i="39"/>
  <c r="D32" i="39"/>
  <c r="D30" i="39"/>
  <c r="D29" i="39"/>
  <c r="D28" i="39"/>
  <c r="AH50" i="7" l="1"/>
  <c r="AD50" i="6"/>
  <c r="T50" i="6"/>
  <c r="N50" i="6"/>
  <c r="AH50" i="6"/>
  <c r="P50" i="6"/>
  <c r="V50" i="6"/>
  <c r="L50" i="6"/>
  <c r="Z50" i="6"/>
  <c r="AB50" i="6"/>
  <c r="AJ50" i="6"/>
  <c r="R50" i="6"/>
  <c r="AL50" i="6"/>
  <c r="X50" i="6"/>
  <c r="J50" i="6"/>
  <c r="R50" i="7"/>
  <c r="AJ50" i="7"/>
  <c r="L50" i="7"/>
  <c r="P50" i="7"/>
  <c r="V50" i="7"/>
  <c r="X50" i="7"/>
  <c r="AF50" i="7"/>
  <c r="AB50" i="7"/>
  <c r="J50" i="7"/>
  <c r="Z50" i="7"/>
  <c r="AL50" i="7"/>
  <c r="C24" i="13"/>
  <c r="E36" i="39"/>
  <c r="I15" i="13"/>
  <c r="K15" i="13" s="1"/>
  <c r="D9" i="13"/>
  <c r="B34" i="13"/>
  <c r="D34" i="13" s="1"/>
  <c r="U62" i="37"/>
  <c r="Z62" i="37" s="1"/>
  <c r="AE62" i="37" s="1"/>
  <c r="AJ62" i="37" s="1"/>
  <c r="AO62" i="37" s="1"/>
  <c r="AT62" i="37" s="1"/>
  <c r="P82" i="37"/>
  <c r="P82" i="36"/>
  <c r="U62" i="36"/>
  <c r="Z62" i="36" s="1"/>
  <c r="AE62" i="36" s="1"/>
  <c r="AJ62" i="36" s="1"/>
  <c r="AO62" i="36" s="1"/>
  <c r="AT62" i="36" s="1"/>
  <c r="P82" i="35"/>
  <c r="U62" i="35"/>
  <c r="Z62" i="35" s="1"/>
  <c r="AE62" i="35" s="1"/>
  <c r="AJ62" i="35" s="1"/>
  <c r="AO62" i="35" s="1"/>
  <c r="AT62" i="35" s="1"/>
  <c r="U62" i="34"/>
  <c r="Z62" i="34" s="1"/>
  <c r="AE62" i="34" s="1"/>
  <c r="AJ62" i="34" s="1"/>
  <c r="AO62" i="34" s="1"/>
  <c r="AT62" i="34" s="1"/>
  <c r="P82" i="34"/>
  <c r="P82" i="31"/>
  <c r="U62" i="31"/>
  <c r="Z62" i="31" s="1"/>
  <c r="AE62" i="31" s="1"/>
  <c r="AJ62" i="31" s="1"/>
  <c r="AO62" i="31" s="1"/>
  <c r="AT62" i="31" s="1"/>
  <c r="P82" i="32"/>
  <c r="U62" i="32"/>
  <c r="Z62" i="32" s="1"/>
  <c r="AE62" i="32" s="1"/>
  <c r="AJ62" i="32" s="1"/>
  <c r="AO62" i="32" s="1"/>
  <c r="AT62" i="32" s="1"/>
  <c r="U62" i="30"/>
  <c r="Z62" i="30" s="1"/>
  <c r="AE62" i="30" s="1"/>
  <c r="AJ62" i="30" s="1"/>
  <c r="AO62" i="30" s="1"/>
  <c r="AT62" i="30" s="1"/>
  <c r="E15" i="39"/>
  <c r="C24" i="39"/>
  <c r="I19" i="13"/>
  <c r="K19" i="13" s="1"/>
  <c r="I23" i="13"/>
  <c r="K23" i="13" s="1"/>
  <c r="I22" i="13"/>
  <c r="K22" i="13" s="1"/>
  <c r="I21" i="13"/>
  <c r="K21" i="13" s="1"/>
  <c r="I20" i="13"/>
  <c r="K20" i="13" s="1"/>
  <c r="I17" i="13"/>
  <c r="K17" i="13" s="1"/>
  <c r="E7" i="13"/>
  <c r="I18" i="13"/>
  <c r="K18" i="13" s="1"/>
  <c r="I16" i="13"/>
  <c r="K16" i="13" s="1"/>
  <c r="D7" i="13"/>
  <c r="N50" i="7"/>
  <c r="AD50" i="7"/>
  <c r="T50" i="7"/>
  <c r="U107" i="8"/>
  <c r="Z107" i="8" s="1"/>
  <c r="AE107" i="8" s="1"/>
  <c r="AJ107" i="8" s="1"/>
  <c r="AO107" i="8" s="1"/>
  <c r="AT107" i="8" s="1"/>
  <c r="N36" i="13"/>
  <c r="R36" i="13" s="1"/>
  <c r="E36" i="13" s="1"/>
  <c r="D36" i="13"/>
  <c r="E35" i="39"/>
  <c r="B35" i="13"/>
  <c r="E33" i="39"/>
  <c r="B33" i="13"/>
  <c r="B32" i="13"/>
  <c r="E32" i="39"/>
  <c r="E31" i="39"/>
  <c r="B31" i="13"/>
  <c r="B30" i="13"/>
  <c r="E30" i="39"/>
  <c r="B29" i="13"/>
  <c r="E29" i="39"/>
  <c r="E28" i="39"/>
  <c r="B28" i="13"/>
  <c r="N34" i="13" l="1"/>
  <c r="R34" i="13" s="1"/>
  <c r="E34" i="13" s="1"/>
  <c r="P102" i="37"/>
  <c r="U102" i="37" s="1"/>
  <c r="Z102" i="37" s="1"/>
  <c r="AE102" i="37" s="1"/>
  <c r="AJ102" i="37" s="1"/>
  <c r="AO102" i="37" s="1"/>
  <c r="AT102" i="37" s="1"/>
  <c r="U82" i="37"/>
  <c r="Z82" i="37" s="1"/>
  <c r="AE82" i="37" s="1"/>
  <c r="AJ82" i="37" s="1"/>
  <c r="AO82" i="37" s="1"/>
  <c r="AT82" i="37" s="1"/>
  <c r="P102" i="36"/>
  <c r="U102" i="36" s="1"/>
  <c r="Z102" i="36" s="1"/>
  <c r="AE102" i="36" s="1"/>
  <c r="AJ102" i="36" s="1"/>
  <c r="AO102" i="36" s="1"/>
  <c r="AT102" i="36" s="1"/>
  <c r="U82" i="36"/>
  <c r="Z82" i="36" s="1"/>
  <c r="AE82" i="36" s="1"/>
  <c r="AJ82" i="36" s="1"/>
  <c r="AO82" i="36" s="1"/>
  <c r="AT82" i="36" s="1"/>
  <c r="P102" i="35"/>
  <c r="U102" i="35" s="1"/>
  <c r="Z102" i="35" s="1"/>
  <c r="AE102" i="35" s="1"/>
  <c r="AJ102" i="35" s="1"/>
  <c r="AO102" i="35" s="1"/>
  <c r="AT102" i="35" s="1"/>
  <c r="U82" i="35"/>
  <c r="Z82" i="35" s="1"/>
  <c r="AE82" i="35" s="1"/>
  <c r="AJ82" i="35" s="1"/>
  <c r="AO82" i="35" s="1"/>
  <c r="AT82" i="35" s="1"/>
  <c r="P102" i="34"/>
  <c r="U102" i="34" s="1"/>
  <c r="Z102" i="34" s="1"/>
  <c r="AE102" i="34" s="1"/>
  <c r="AJ102" i="34" s="1"/>
  <c r="AO102" i="34" s="1"/>
  <c r="AT102" i="34" s="1"/>
  <c r="U82" i="34"/>
  <c r="Z82" i="34" s="1"/>
  <c r="AE82" i="34" s="1"/>
  <c r="AJ82" i="34" s="1"/>
  <c r="AO82" i="34" s="1"/>
  <c r="AT82" i="34" s="1"/>
  <c r="P102" i="31"/>
  <c r="U102" i="31" s="1"/>
  <c r="Z102" i="31" s="1"/>
  <c r="AE102" i="31" s="1"/>
  <c r="AJ102" i="31" s="1"/>
  <c r="AO102" i="31" s="1"/>
  <c r="AT102" i="31" s="1"/>
  <c r="U82" i="31"/>
  <c r="Z82" i="31" s="1"/>
  <c r="AE82" i="31" s="1"/>
  <c r="AJ82" i="31" s="1"/>
  <c r="AO82" i="31" s="1"/>
  <c r="AT82" i="31" s="1"/>
  <c r="P102" i="32"/>
  <c r="U102" i="32" s="1"/>
  <c r="Z102" i="32" s="1"/>
  <c r="AE102" i="32" s="1"/>
  <c r="AJ102" i="32" s="1"/>
  <c r="AO102" i="32" s="1"/>
  <c r="AT102" i="32" s="1"/>
  <c r="U82" i="32"/>
  <c r="Z82" i="32" s="1"/>
  <c r="AE82" i="32" s="1"/>
  <c r="AJ82" i="32" s="1"/>
  <c r="AO82" i="32" s="1"/>
  <c r="AT82" i="32" s="1"/>
  <c r="P102" i="30"/>
  <c r="U102" i="30" s="1"/>
  <c r="Z102" i="30" s="1"/>
  <c r="AE102" i="30" s="1"/>
  <c r="AJ102" i="30" s="1"/>
  <c r="AO102" i="30" s="1"/>
  <c r="AT102" i="30" s="1"/>
  <c r="AE82" i="30"/>
  <c r="AJ82" i="30" s="1"/>
  <c r="AO82" i="30" s="1"/>
  <c r="AT82" i="30" s="1"/>
  <c r="AT142" i="8"/>
  <c r="P177" i="8"/>
  <c r="U177" i="8" s="1"/>
  <c r="Z177" i="8" s="1"/>
  <c r="AE177" i="8" s="1"/>
  <c r="AJ177" i="8" s="1"/>
  <c r="AO177" i="8" s="1"/>
  <c r="AT177" i="8" s="1"/>
  <c r="I24" i="13"/>
  <c r="D35" i="13"/>
  <c r="N35" i="13"/>
  <c r="R35" i="13" s="1"/>
  <c r="E35" i="13" s="1"/>
  <c r="N33" i="13"/>
  <c r="R33" i="13" s="1"/>
  <c r="E33" i="13" s="1"/>
  <c r="D33" i="13"/>
  <c r="N32" i="13"/>
  <c r="R32" i="13" s="1"/>
  <c r="E32" i="13" s="1"/>
  <c r="D32" i="13"/>
  <c r="N31" i="13"/>
  <c r="R31" i="13" s="1"/>
  <c r="E31" i="13" s="1"/>
  <c r="D31" i="13"/>
  <c r="N30" i="13"/>
  <c r="R30" i="13" s="1"/>
  <c r="E30" i="13" s="1"/>
  <c r="D30" i="13"/>
  <c r="D29" i="13"/>
  <c r="N29" i="13"/>
  <c r="R29" i="13" s="1"/>
  <c r="E29" i="13" s="1"/>
  <c r="N28" i="13"/>
  <c r="R28" i="13" s="1"/>
  <c r="E28" i="13" s="1"/>
  <c r="D28" i="13"/>
</calcChain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10"/>
            <color rgb="FF000000"/>
            <rFont val="Arial"/>
            <family val="2"/>
            <scheme val="minor"/>
          </rPr>
          <t>@m-inoue547@family.co.jp 
工場名の記載欄があるとよいです。
収支はTFM側と相談が良いです。（企業秘密なのでどこまで開示されるか？があるので）
	-中川昇</t>
        </r>
      </text>
    </comment>
  </commentList>
</comments>
</file>

<file path=xl/sharedStrings.xml><?xml version="1.0" encoding="utf-8"?>
<sst xmlns="http://schemas.openxmlformats.org/spreadsheetml/2006/main" count="7465" uniqueCount="782">
  <si>
    <t>・・・・・・・・</t>
  </si>
  <si>
    <t>前月</t>
  </si>
  <si>
    <t>差異</t>
  </si>
  <si>
    <t>累計</t>
  </si>
  <si>
    <t>達成率</t>
  </si>
  <si>
    <t>材料費</t>
  </si>
  <si>
    <t>材料費率</t>
  </si>
  <si>
    <t>導入率</t>
  </si>
  <si>
    <t>-</t>
  </si>
  <si>
    <t>-%</t>
  </si>
  <si>
    <t>合計</t>
  </si>
  <si>
    <t>金額</t>
  </si>
  <si>
    <t>商品名</t>
  </si>
  <si>
    <t>前月比</t>
  </si>
  <si>
    <t>手巻明太子</t>
  </si>
  <si>
    <t>6/30新商品</t>
  </si>
  <si>
    <t>海老炒飯</t>
  </si>
  <si>
    <t>（９）歩留</t>
  </si>
  <si>
    <t>No.</t>
  </si>
  <si>
    <t>規格</t>
  </si>
  <si>
    <t>工廠</t>
    <phoneticPr fontId="10"/>
  </si>
  <si>
    <t>（１）收支狀況</t>
    <phoneticPr fontId="10"/>
  </si>
  <si>
    <t>當月</t>
    <phoneticPr fontId="10"/>
  </si>
  <si>
    <t>※單位：千元</t>
    <phoneticPr fontId="10"/>
  </si>
  <si>
    <t>業績金額</t>
    <phoneticPr fontId="10"/>
  </si>
  <si>
    <t>訂單數量</t>
    <phoneticPr fontId="10"/>
  </si>
  <si>
    <t>半成品報廢</t>
    <phoneticPr fontId="10"/>
  </si>
  <si>
    <t>半成品超用</t>
    <phoneticPr fontId="10"/>
  </si>
  <si>
    <t>固定產線</t>
    <phoneticPr fontId="10"/>
  </si>
  <si>
    <t>教育訓練</t>
    <phoneticPr fontId="10"/>
  </si>
  <si>
    <r>
      <rPr>
        <sz val="10"/>
        <color theme="1"/>
        <rFont val="Arial"/>
        <family val="3"/>
        <charset val="136"/>
        <scheme val="minor"/>
      </rPr>
      <t>人時生產性</t>
    </r>
    <r>
      <rPr>
        <sz val="10"/>
        <color theme="1"/>
        <rFont val="Arial"/>
        <family val="2"/>
        <scheme val="minor"/>
      </rPr>
      <t xml:space="preserve">1 </t>
    </r>
    <phoneticPr fontId="10"/>
  </si>
  <si>
    <r>
      <rPr>
        <sz val="10"/>
        <color theme="1"/>
        <rFont val="Arial"/>
        <family val="3"/>
        <charset val="136"/>
        <scheme val="minor"/>
      </rPr>
      <t>人時生產性</t>
    </r>
    <r>
      <rPr>
        <sz val="10"/>
        <color theme="1"/>
        <rFont val="Arial"/>
        <family val="2"/>
        <scheme val="minor"/>
      </rPr>
      <t>2</t>
    </r>
    <phoneticPr fontId="10"/>
  </si>
  <si>
    <t>（３）業績構成比</t>
    <phoneticPr fontId="10"/>
  </si>
  <si>
    <t>（４）訂單數量構成比</t>
    <phoneticPr fontId="10"/>
  </si>
  <si>
    <t>飯糰</t>
    <phoneticPr fontId="10"/>
  </si>
  <si>
    <t>大口飯糰</t>
    <phoneticPr fontId="10"/>
  </si>
  <si>
    <t>便當</t>
    <phoneticPr fontId="10"/>
  </si>
  <si>
    <t>調理麵包</t>
    <phoneticPr fontId="10"/>
  </si>
  <si>
    <t>袋裝調理麵包</t>
    <phoneticPr fontId="10"/>
  </si>
  <si>
    <t>義大利麵</t>
    <phoneticPr fontId="10"/>
  </si>
  <si>
    <t>調理包</t>
    <phoneticPr fontId="10"/>
  </si>
  <si>
    <t>比例</t>
    <phoneticPr fontId="10"/>
  </si>
  <si>
    <t>作業原因</t>
    <phoneticPr fontId="10"/>
  </si>
  <si>
    <t>規格原因</t>
    <phoneticPr fontId="10"/>
  </si>
  <si>
    <t>調理麵</t>
    <phoneticPr fontId="10"/>
  </si>
  <si>
    <t>（６）人時生產性前幾名品項</t>
    <phoneticPr fontId="10"/>
  </si>
  <si>
    <t>人數</t>
    <phoneticPr fontId="10"/>
  </si>
  <si>
    <t>排名</t>
    <phoneticPr fontId="10"/>
  </si>
  <si>
    <t>產能</t>
    <phoneticPr fontId="10"/>
  </si>
  <si>
    <t>人時生產性</t>
    <phoneticPr fontId="10"/>
  </si>
  <si>
    <t>主要原因&amp;對策</t>
  </si>
  <si>
    <t>主要原因&amp;對策</t>
    <phoneticPr fontId="10"/>
  </si>
  <si>
    <t>（８）報廢原因別前幾名品項</t>
    <phoneticPr fontId="10"/>
  </si>
  <si>
    <t>半成品名</t>
    <phoneticPr fontId="10"/>
  </si>
  <si>
    <t>單價</t>
    <phoneticPr fontId="10"/>
  </si>
  <si>
    <t>報廢率</t>
    <phoneticPr fontId="10"/>
  </si>
  <si>
    <t>數量</t>
    <phoneticPr fontId="10"/>
  </si>
  <si>
    <t>實績</t>
    <phoneticPr fontId="10"/>
  </si>
  <si>
    <t>前幾名合計比例</t>
    <phoneticPr fontId="10"/>
  </si>
  <si>
    <t>前幾名合計金額</t>
    <phoneticPr fontId="10"/>
  </si>
  <si>
    <t>※補充</t>
    <phoneticPr fontId="10"/>
  </si>
  <si>
    <r>
      <rPr>
        <sz val="11"/>
        <color theme="1"/>
        <rFont val="Arial"/>
        <family val="3"/>
        <charset val="136"/>
        <scheme val="minor"/>
      </rPr>
      <t>個／</t>
    </r>
    <r>
      <rPr>
        <sz val="11"/>
        <color theme="1"/>
        <rFont val="Arial"/>
        <family val="2"/>
        <scheme val="minor"/>
      </rPr>
      <t>MH</t>
    </r>
    <phoneticPr fontId="10"/>
  </si>
  <si>
    <t>實施率</t>
    <phoneticPr fontId="10"/>
  </si>
  <si>
    <t>（５）品群別人時生產性</t>
    <phoneticPr fontId="10"/>
  </si>
  <si>
    <t>勞務成本</t>
    <phoneticPr fontId="10"/>
  </si>
  <si>
    <t>勞務費率</t>
    <phoneticPr fontId="10"/>
  </si>
  <si>
    <t>比例</t>
    <phoneticPr fontId="10"/>
  </si>
  <si>
    <t>前月</t>
    <phoneticPr fontId="10"/>
  </si>
  <si>
    <t>差異</t>
    <phoneticPr fontId="10"/>
  </si>
  <si>
    <t>KPI</t>
    <phoneticPr fontId="10"/>
  </si>
  <si>
    <t>當月</t>
    <phoneticPr fontId="10"/>
  </si>
  <si>
    <t>（２）ＫＰＩ達成進度</t>
    <phoneticPr fontId="10"/>
  </si>
  <si>
    <t>（７）原因別分析</t>
    <phoneticPr fontId="10"/>
  </si>
  <si>
    <t>月別</t>
    <phoneticPr fontId="10"/>
  </si>
  <si>
    <t>工廠名</t>
    <phoneticPr fontId="10"/>
  </si>
  <si>
    <t>手巻卵黄雞絞肉</t>
    <phoneticPr fontId="10"/>
  </si>
  <si>
    <t>減少暫時停止生產,人時UP</t>
    <phoneticPr fontId="10"/>
  </si>
  <si>
    <t>因組裝2食材,人員增加,產速減少</t>
    <phoneticPr fontId="10"/>
  </si>
  <si>
    <t>透由調整速度提升。</t>
    <phoneticPr fontId="10"/>
  </si>
  <si>
    <t>直巻明太子美奶茲</t>
    <phoneticPr fontId="10"/>
  </si>
  <si>
    <t>大口飯糰燒肉美奶滋</t>
    <phoneticPr fontId="10"/>
  </si>
  <si>
    <t>因摺疊增員。實施教育訓練。</t>
    <phoneticPr fontId="10"/>
  </si>
  <si>
    <t>明太子海苔便當</t>
    <phoneticPr fontId="10"/>
  </si>
  <si>
    <t>指導鋪開炒柴魚片</t>
    <phoneticPr fontId="10"/>
  </si>
  <si>
    <t>肉狀態不良，已連動開發</t>
    <phoneticPr fontId="10"/>
  </si>
  <si>
    <t>油炸白身魚</t>
    <phoneticPr fontId="10"/>
  </si>
  <si>
    <t>油調過多報廢。變更條件。</t>
    <phoneticPr fontId="10"/>
  </si>
  <si>
    <t>川燙蝦子拌醬</t>
    <phoneticPr fontId="10"/>
  </si>
  <si>
    <t>蝦子入數不足</t>
    <phoneticPr fontId="10"/>
  </si>
  <si>
    <t>特製醬汁炙燒牛五花便當</t>
    <phoneticPr fontId="10"/>
  </si>
  <si>
    <t>牛五花醬汁</t>
    <phoneticPr fontId="10"/>
  </si>
  <si>
    <t>難度有差異。調理指導。</t>
    <phoneticPr fontId="10"/>
  </si>
  <si>
    <t>因原料變更。</t>
    <phoneticPr fontId="10"/>
  </si>
  <si>
    <t>牛五花燒成</t>
    <phoneticPr fontId="10"/>
  </si>
  <si>
    <t>大口飯糰三種起司午餐肉</t>
    <phoneticPr fontId="10"/>
  </si>
  <si>
    <t>３種起司燒成</t>
    <phoneticPr fontId="10"/>
  </si>
  <si>
    <t>與燒成範本不同。</t>
    <phoneticPr fontId="10"/>
  </si>
  <si>
    <t>燒成過多，調整調理條件。</t>
    <phoneticPr fontId="10"/>
  </si>
  <si>
    <t>超用率</t>
    <phoneticPr fontId="10"/>
  </si>
  <si>
    <r>
      <rPr>
        <sz val="10"/>
        <color theme="1"/>
        <rFont val="Arial"/>
        <family val="3"/>
        <charset val="136"/>
        <scheme val="minor"/>
      </rPr>
      <t>▼</t>
    </r>
    <r>
      <rPr>
        <sz val="10"/>
        <color theme="1"/>
        <rFont val="Arial"/>
        <family val="2"/>
        <scheme val="minor"/>
      </rPr>
      <t>4</t>
    </r>
    <phoneticPr fontId="10"/>
  </si>
  <si>
    <r>
      <rPr>
        <sz val="10"/>
        <color theme="1"/>
        <rFont val="Arial"/>
        <family val="3"/>
        <charset val="136"/>
        <scheme val="minor"/>
      </rPr>
      <t>▼</t>
    </r>
    <r>
      <rPr>
        <sz val="10"/>
        <color theme="1"/>
        <rFont val="Arial"/>
        <family val="2"/>
        <scheme val="minor"/>
      </rPr>
      <t>3</t>
    </r>
    <phoneticPr fontId="10"/>
  </si>
  <si>
    <r>
      <rPr>
        <sz val="10"/>
        <color theme="1"/>
        <rFont val="Arial"/>
        <family val="3"/>
        <charset val="136"/>
        <scheme val="minor"/>
      </rPr>
      <t>▼</t>
    </r>
    <r>
      <rPr>
        <sz val="10"/>
        <color theme="1"/>
        <rFont val="Arial"/>
        <family val="2"/>
        <scheme val="minor"/>
      </rPr>
      <t>1</t>
    </r>
    <phoneticPr fontId="10"/>
  </si>
  <si>
    <r>
      <rPr>
        <sz val="10"/>
        <color theme="1"/>
        <rFont val="Arial"/>
        <family val="3"/>
        <charset val="136"/>
        <scheme val="minor"/>
      </rPr>
      <t>▼</t>
    </r>
    <r>
      <rPr>
        <sz val="10"/>
        <color theme="1"/>
        <rFont val="Arial"/>
        <family val="2"/>
        <scheme val="minor"/>
      </rPr>
      <t>2</t>
    </r>
    <phoneticPr fontId="10"/>
  </si>
  <si>
    <r>
      <rPr>
        <sz val="10"/>
        <color theme="1"/>
        <rFont val="Arial"/>
        <family val="3"/>
        <charset val="136"/>
        <scheme val="minor"/>
      </rPr>
      <t>▼</t>
    </r>
    <r>
      <rPr>
        <sz val="10"/>
        <color theme="1"/>
        <rFont val="Arial"/>
        <family val="2"/>
        <scheme val="minor"/>
      </rPr>
      <t>5</t>
    </r>
    <phoneticPr fontId="10"/>
  </si>
  <si>
    <t>超用率</t>
    <phoneticPr fontId="10"/>
  </si>
  <si>
    <t>日期</t>
    <phoneticPr fontId="13" type="noConversion"/>
  </si>
  <si>
    <t xml:space="preserve">半成品超用(%) </t>
  </si>
  <si>
    <t xml:space="preserve">人時生產性(個/人) </t>
  </si>
  <si>
    <t xml:space="preserve">人時生產性達成率(%) </t>
  </si>
  <si>
    <t>固定產線-導入率(固定產線數/總產線數)</t>
  </si>
  <si>
    <t>教育訓練-實施率(進度/計畫)</t>
  </si>
  <si>
    <t>品類業績</t>
    <phoneticPr fontId="13" type="noConversion"/>
  </si>
  <si>
    <t>業績(元)</t>
    <phoneticPr fontId="13" type="noConversion"/>
  </si>
  <si>
    <t>比例(%)</t>
    <phoneticPr fontId="13" type="noConversion"/>
  </si>
  <si>
    <t>三</t>
    <phoneticPr fontId="13" type="noConversion"/>
  </si>
  <si>
    <t>日</t>
    <phoneticPr fontId="13" type="noConversion"/>
  </si>
  <si>
    <r>
      <t>月</t>
    </r>
    <r>
      <rPr>
        <sz val="11"/>
        <color rgb="FF000000"/>
        <rFont val="Arial"/>
        <family val="3"/>
        <charset val="136"/>
      </rPr>
      <t>份</t>
    </r>
    <phoneticPr fontId="13" type="noConversion"/>
  </si>
  <si>
    <t>週累積</t>
    <phoneticPr fontId="13" type="noConversion"/>
  </si>
  <si>
    <t>月累積</t>
    <phoneticPr fontId="13" type="noConversion"/>
  </si>
  <si>
    <t>訂單數量(個)</t>
    <phoneticPr fontId="13" type="noConversion"/>
  </si>
  <si>
    <t>材料費(元)</t>
    <phoneticPr fontId="13" type="noConversion"/>
  </si>
  <si>
    <r>
      <t>（１）收支</t>
    </r>
    <r>
      <rPr>
        <b/>
        <sz val="22"/>
        <color rgb="FF000000"/>
        <rFont val="細明體"/>
        <family val="3"/>
        <charset val="136"/>
      </rPr>
      <t>狀</t>
    </r>
    <r>
      <rPr>
        <b/>
        <sz val="22"/>
        <color rgb="FF000000"/>
        <rFont val="Meiryo UI"/>
        <family val="2"/>
      </rPr>
      <t>況</t>
    </r>
    <phoneticPr fontId="13" type="noConversion"/>
  </si>
  <si>
    <t>材料費率（材料費／營業額）</t>
    <phoneticPr fontId="13" type="noConversion"/>
  </si>
  <si>
    <t>勞務成本（全廠人事成本）</t>
    <phoneticPr fontId="13" type="noConversion"/>
  </si>
  <si>
    <t>勞務費率（勞務成本／營業額）</t>
    <phoneticPr fontId="13" type="noConversion"/>
  </si>
  <si>
    <t>（２）ＫＰＩ達成進度</t>
    <phoneticPr fontId="10"/>
  </si>
  <si>
    <t>（２）ＫＰＩ達成進度</t>
    <phoneticPr fontId="13" type="noConversion"/>
  </si>
  <si>
    <t>週平均</t>
    <phoneticPr fontId="13" type="noConversion"/>
  </si>
  <si>
    <t>月平均</t>
    <phoneticPr fontId="13" type="noConversion"/>
  </si>
  <si>
    <t>一配</t>
    <phoneticPr fontId="13" type="noConversion"/>
  </si>
  <si>
    <t>二配</t>
    <phoneticPr fontId="13" type="noConversion"/>
  </si>
  <si>
    <t>便當</t>
  </si>
  <si>
    <t>便當</t>
    <phoneticPr fontId="13" type="noConversion"/>
  </si>
  <si>
    <t>主食</t>
  </si>
  <si>
    <t>主食</t>
    <phoneticPr fontId="13" type="noConversion"/>
  </si>
  <si>
    <t>熱食義麵</t>
  </si>
  <si>
    <t>季節調理麵</t>
  </si>
  <si>
    <t>微波小吃</t>
  </si>
  <si>
    <t>微波小吃</t>
    <phoneticPr fontId="13" type="noConversion"/>
  </si>
  <si>
    <r>
      <t>月</t>
    </r>
    <r>
      <rPr>
        <sz val="12"/>
        <color rgb="FF000000"/>
        <rFont val="Arial"/>
        <family val="3"/>
        <charset val="136"/>
      </rPr>
      <t>份</t>
    </r>
    <phoneticPr fontId="13" type="noConversion"/>
  </si>
  <si>
    <r>
      <t>18℃</t>
    </r>
    <r>
      <rPr>
        <b/>
        <sz val="11.9"/>
        <color rgb="FF000000"/>
        <rFont val="Meiryo UI"/>
        <family val="2"/>
      </rPr>
      <t>-</t>
    </r>
    <r>
      <rPr>
        <b/>
        <sz val="14"/>
        <color rgb="FF000000"/>
        <rFont val="Meiryo UI"/>
        <family val="2"/>
      </rPr>
      <t>飯</t>
    </r>
    <r>
      <rPr>
        <b/>
        <sz val="14"/>
        <color rgb="FF000000"/>
        <rFont val="細明體"/>
        <family val="3"/>
        <charset val="136"/>
      </rPr>
      <t>糰</t>
    </r>
    <phoneticPr fontId="13" type="noConversion"/>
  </si>
  <si>
    <r>
      <t>18℃</t>
    </r>
    <r>
      <rPr>
        <b/>
        <sz val="11.9"/>
        <color rgb="FF000000"/>
        <rFont val="Meiryo UI"/>
        <family val="2"/>
      </rPr>
      <t>-壽司手卷</t>
    </r>
    <phoneticPr fontId="13" type="noConversion"/>
  </si>
  <si>
    <r>
      <t>4℃</t>
    </r>
    <r>
      <rPr>
        <b/>
        <sz val="11.9"/>
        <color rgb="FF000000"/>
        <rFont val="Meiryo UI"/>
        <family val="2"/>
      </rPr>
      <t>-</t>
    </r>
    <r>
      <rPr>
        <b/>
        <sz val="14"/>
        <color rgb="FF000000"/>
        <rFont val="Meiryo UI"/>
        <family val="2"/>
      </rPr>
      <t>飯</t>
    </r>
    <r>
      <rPr>
        <b/>
        <sz val="14"/>
        <color rgb="FF000000"/>
        <rFont val="細明體"/>
        <family val="3"/>
        <charset val="136"/>
      </rPr>
      <t>糰</t>
    </r>
    <phoneticPr fontId="13" type="noConversion"/>
  </si>
  <si>
    <r>
      <t>4℃</t>
    </r>
    <r>
      <rPr>
        <b/>
        <sz val="11.9"/>
        <color rgb="FF000000"/>
        <rFont val="Meiryo UI"/>
        <family val="2"/>
      </rPr>
      <t>-</t>
    </r>
    <r>
      <rPr>
        <b/>
        <sz val="14"/>
        <color rgb="FF000000"/>
        <rFont val="Meiryo UI"/>
        <family val="2"/>
      </rPr>
      <t>壽司手卷</t>
    </r>
    <phoneticPr fontId="13" type="noConversion"/>
  </si>
  <si>
    <r>
      <t>熱食義</t>
    </r>
    <r>
      <rPr>
        <b/>
        <sz val="14"/>
        <color rgb="FF000000"/>
        <rFont val="細明體"/>
        <family val="3"/>
        <charset val="136"/>
      </rPr>
      <t>麵</t>
    </r>
    <phoneticPr fontId="13" type="noConversion"/>
  </si>
  <si>
    <r>
      <t>季節調理</t>
    </r>
    <r>
      <rPr>
        <b/>
        <sz val="14"/>
        <color rgb="FF000000"/>
        <rFont val="細明體"/>
        <family val="3"/>
        <charset val="136"/>
      </rPr>
      <t>麵</t>
    </r>
    <phoneticPr fontId="13" type="noConversion"/>
  </si>
  <si>
    <t>合計</t>
    <phoneticPr fontId="13" type="noConversion"/>
  </si>
  <si>
    <t>（４）訂單數量構成比</t>
    <phoneticPr fontId="10"/>
  </si>
  <si>
    <t>訂單量</t>
    <phoneticPr fontId="13" type="noConversion"/>
  </si>
  <si>
    <t>訂單數</t>
    <phoneticPr fontId="13" type="noConversion"/>
  </si>
  <si>
    <t>18℃-飯糰</t>
  </si>
  <si>
    <t>18℃-壽司手卷</t>
  </si>
  <si>
    <t>4℃-飯糰</t>
  </si>
  <si>
    <t>4℃-壽司手卷</t>
  </si>
  <si>
    <t>品群</t>
    <phoneticPr fontId="13" type="noConversion"/>
  </si>
  <si>
    <t>日期</t>
    <phoneticPr fontId="13" type="noConversion"/>
  </si>
  <si>
    <t>資料繳交</t>
    <phoneticPr fontId="13" type="noConversion"/>
  </si>
  <si>
    <t>五</t>
    <phoneticPr fontId="13" type="noConversion"/>
  </si>
  <si>
    <t>二</t>
    <phoneticPr fontId="13" type="noConversion"/>
  </si>
  <si>
    <t>四</t>
    <phoneticPr fontId="13" type="noConversion"/>
  </si>
  <si>
    <t>六</t>
    <phoneticPr fontId="13" type="noConversion"/>
  </si>
  <si>
    <t>一</t>
    <phoneticPr fontId="13" type="noConversion"/>
  </si>
  <si>
    <t>產線配置圖－每週更新</t>
    <phoneticPr fontId="13" type="noConversion"/>
  </si>
  <si>
    <t>製程不穩</t>
    <phoneticPr fontId="10"/>
  </si>
  <si>
    <t>研發設定</t>
    <phoneticPr fontId="10"/>
  </si>
  <si>
    <t>類別</t>
  </si>
  <si>
    <t>備註-商品名稱</t>
  </si>
  <si>
    <t>品群</t>
    <phoneticPr fontId="10"/>
  </si>
  <si>
    <t>品群</t>
    <phoneticPr fontId="10"/>
  </si>
  <si>
    <t>原物料規格</t>
    <phoneticPr fontId="10"/>
  </si>
  <si>
    <t>其他原因</t>
    <phoneticPr fontId="10"/>
  </si>
  <si>
    <t>類型</t>
    <phoneticPr fontId="13" type="noConversion"/>
  </si>
  <si>
    <t>作業原因</t>
    <phoneticPr fontId="10"/>
  </si>
  <si>
    <t>類型</t>
    <phoneticPr fontId="13" type="noConversion"/>
  </si>
  <si>
    <t>原料原因</t>
    <phoneticPr fontId="10"/>
  </si>
  <si>
    <t>個／MH</t>
    <phoneticPr fontId="10"/>
  </si>
  <si>
    <r>
      <t>（１）收支</t>
    </r>
    <r>
      <rPr>
        <b/>
        <sz val="12"/>
        <color theme="1"/>
        <rFont val="Arial"/>
        <family val="3"/>
        <charset val="136"/>
      </rPr>
      <t>狀</t>
    </r>
    <r>
      <rPr>
        <b/>
        <sz val="12"/>
        <color theme="1"/>
        <rFont val="Meiryo UI"/>
        <family val="2"/>
      </rPr>
      <t>況</t>
    </r>
    <phoneticPr fontId="10"/>
  </si>
  <si>
    <r>
      <t>（５）品群別人時生</t>
    </r>
    <r>
      <rPr>
        <b/>
        <sz val="12"/>
        <color theme="1"/>
        <rFont val="Arial"/>
        <family val="3"/>
        <charset val="136"/>
      </rPr>
      <t>產</t>
    </r>
    <r>
      <rPr>
        <b/>
        <sz val="12"/>
        <color theme="1"/>
        <rFont val="Meiryo UI"/>
        <family val="2"/>
      </rPr>
      <t>性</t>
    </r>
    <phoneticPr fontId="10"/>
  </si>
  <si>
    <t>項目</t>
    <phoneticPr fontId="13" type="noConversion"/>
  </si>
  <si>
    <r>
      <t>人時性(</t>
    </r>
    <r>
      <rPr>
        <sz val="10"/>
        <color theme="1"/>
        <rFont val="細明體"/>
        <family val="3"/>
        <charset val="136"/>
      </rPr>
      <t>個</t>
    </r>
    <r>
      <rPr>
        <sz val="10"/>
        <color theme="1"/>
        <rFont val="Meiryo UI"/>
        <family val="2"/>
      </rPr>
      <t>/</t>
    </r>
    <r>
      <rPr>
        <sz val="10"/>
        <color theme="1"/>
        <rFont val="細明體"/>
        <family val="3"/>
        <charset val="136"/>
      </rPr>
      <t>月均)</t>
    </r>
    <r>
      <rPr>
        <sz val="10"/>
        <color theme="1"/>
        <rFont val="Meiryo UI"/>
        <family val="2"/>
      </rPr>
      <t xml:space="preserve"> </t>
    </r>
    <phoneticPr fontId="10"/>
  </si>
  <si>
    <r>
      <t>人時</t>
    </r>
    <r>
      <rPr>
        <sz val="10"/>
        <color theme="1"/>
        <rFont val="細明體"/>
        <family val="3"/>
        <charset val="136"/>
      </rPr>
      <t>達成率</t>
    </r>
    <r>
      <rPr>
        <sz val="10"/>
        <color theme="1"/>
        <rFont val="Meiryo UI"/>
        <family val="2"/>
      </rPr>
      <t>(%/</t>
    </r>
    <r>
      <rPr>
        <sz val="10"/>
        <color theme="1"/>
        <rFont val="細明體"/>
        <family val="3"/>
        <charset val="136"/>
      </rPr>
      <t>月均)</t>
    </r>
    <r>
      <rPr>
        <sz val="10"/>
        <color theme="1"/>
        <rFont val="Meiryo UI"/>
        <family val="2"/>
      </rPr>
      <t xml:space="preserve"> </t>
    </r>
    <phoneticPr fontId="10"/>
  </si>
  <si>
    <t>半成品-報廢(%)</t>
    <phoneticPr fontId="10"/>
  </si>
  <si>
    <t>半成品-超用(%)</t>
    <phoneticPr fontId="10"/>
  </si>
  <si>
    <r>
      <t>固定</t>
    </r>
    <r>
      <rPr>
        <sz val="10"/>
        <color theme="1"/>
        <rFont val="細明體"/>
        <family val="3"/>
        <charset val="136"/>
      </rPr>
      <t>產</t>
    </r>
    <r>
      <rPr>
        <sz val="10"/>
        <color theme="1"/>
        <rFont val="Meiryo UI"/>
        <family val="2"/>
      </rPr>
      <t>線-</t>
    </r>
    <r>
      <rPr>
        <sz val="10"/>
        <color theme="1"/>
        <rFont val="細明體"/>
        <family val="3"/>
        <charset val="136"/>
      </rPr>
      <t>導入率(%)</t>
    </r>
    <phoneticPr fontId="10"/>
  </si>
  <si>
    <r>
      <t>教育訓練-</t>
    </r>
    <r>
      <rPr>
        <sz val="10"/>
        <color theme="1"/>
        <rFont val="細明體"/>
        <family val="3"/>
        <charset val="136"/>
      </rPr>
      <t>實施率(%)</t>
    </r>
    <phoneticPr fontId="10"/>
  </si>
  <si>
    <r>
      <t>生</t>
    </r>
    <r>
      <rPr>
        <b/>
        <sz val="20"/>
        <color rgb="FF000000"/>
        <rFont val="細明體"/>
        <family val="3"/>
        <charset val="136"/>
      </rPr>
      <t>產</t>
    </r>
    <r>
      <rPr>
        <b/>
        <sz val="20"/>
        <color rgb="FF000000"/>
        <rFont val="Meiryo UI"/>
        <family val="2"/>
      </rPr>
      <t>管理報表</t>
    </r>
    <phoneticPr fontId="13" type="noConversion"/>
  </si>
  <si>
    <r>
      <t>（６）人時生</t>
    </r>
    <r>
      <rPr>
        <b/>
        <sz val="12"/>
        <color rgb="FF000000"/>
        <rFont val="Arial"/>
        <family val="3"/>
        <charset val="136"/>
      </rPr>
      <t>產</t>
    </r>
    <r>
      <rPr>
        <b/>
        <sz val="12"/>
        <color rgb="FF000000"/>
        <rFont val="Meiryo UI"/>
        <family val="2"/>
      </rPr>
      <t>性前幾名品項</t>
    </r>
    <phoneticPr fontId="13" type="noConversion"/>
  </si>
  <si>
    <r>
      <t>18℃-飯</t>
    </r>
    <r>
      <rPr>
        <sz val="11"/>
        <color theme="1"/>
        <rFont val="Arial"/>
        <family val="2"/>
      </rPr>
      <t>糰</t>
    </r>
  </si>
  <si>
    <r>
      <t>4℃-飯</t>
    </r>
    <r>
      <rPr>
        <sz val="11"/>
        <color theme="1"/>
        <rFont val="Arial"/>
        <family val="3"/>
        <charset val="136"/>
      </rPr>
      <t>糰</t>
    </r>
  </si>
  <si>
    <r>
      <t>熱食義</t>
    </r>
    <r>
      <rPr>
        <sz val="11"/>
        <color theme="1"/>
        <rFont val="Arial"/>
        <family val="2"/>
      </rPr>
      <t>麵</t>
    </r>
  </si>
  <si>
    <r>
      <t>季節調理</t>
    </r>
    <r>
      <rPr>
        <sz val="10"/>
        <color rgb="FF000000"/>
        <rFont val="Arial"/>
        <family val="2"/>
      </rPr>
      <t>麵</t>
    </r>
  </si>
  <si>
    <t>（８）報廢原因別前幾名品項</t>
    <phoneticPr fontId="13" type="noConversion"/>
  </si>
  <si>
    <r>
      <t>調理多</t>
    </r>
    <r>
      <rPr>
        <sz val="11"/>
        <color theme="1"/>
        <rFont val="Arial"/>
        <family val="3"/>
        <charset val="136"/>
      </rPr>
      <t>產</t>
    </r>
    <phoneticPr fontId="10"/>
  </si>
  <si>
    <t>原物料規格</t>
  </si>
  <si>
    <t>研發設定</t>
  </si>
  <si>
    <r>
      <rPr>
        <sz val="11"/>
        <color theme="1"/>
        <rFont val="細明體"/>
        <family val="3"/>
        <charset val="136"/>
      </rPr>
      <t>步</t>
    </r>
    <r>
      <rPr>
        <sz val="11"/>
        <color theme="1"/>
        <rFont val="Meiryo UI"/>
        <family val="2"/>
      </rPr>
      <t>留因素</t>
    </r>
    <phoneticPr fontId="10"/>
  </si>
  <si>
    <r>
      <t>（9）</t>
    </r>
    <r>
      <rPr>
        <b/>
        <sz val="12"/>
        <color rgb="FF000000"/>
        <rFont val="細明體"/>
        <family val="3"/>
        <charset val="136"/>
      </rPr>
      <t>步</t>
    </r>
    <r>
      <rPr>
        <b/>
        <sz val="12"/>
        <color rgb="FF000000"/>
        <rFont val="Meiryo UI"/>
        <family val="2"/>
      </rPr>
      <t>留因素</t>
    </r>
    <phoneticPr fontId="13" type="noConversion"/>
  </si>
  <si>
    <r>
      <t>調理多</t>
    </r>
    <r>
      <rPr>
        <sz val="11"/>
        <color theme="1"/>
        <rFont val="Arial"/>
        <family val="3"/>
        <charset val="136"/>
      </rPr>
      <t>產</t>
    </r>
    <phoneticPr fontId="10"/>
  </si>
  <si>
    <r>
      <rPr>
        <sz val="11"/>
        <color theme="1"/>
        <rFont val="細明體"/>
        <family val="3"/>
        <charset val="136"/>
      </rPr>
      <t>步</t>
    </r>
    <r>
      <rPr>
        <sz val="11"/>
        <color theme="1"/>
        <rFont val="Meiryo UI"/>
        <family val="2"/>
      </rPr>
      <t>留因素</t>
    </r>
    <phoneticPr fontId="10"/>
  </si>
  <si>
    <r>
      <t>4℃-飯</t>
    </r>
    <r>
      <rPr>
        <sz val="10"/>
        <color theme="1"/>
        <rFont val="細明體"/>
        <family val="3"/>
        <charset val="136"/>
      </rPr>
      <t>糰</t>
    </r>
    <r>
      <rPr>
        <sz val="10"/>
        <color theme="1"/>
        <rFont val="Meiryo UI"/>
        <family val="2"/>
      </rPr>
      <t>(065)</t>
    </r>
    <phoneticPr fontId="13" type="noConversion"/>
  </si>
  <si>
    <t>4℃-壽司手卷(077)</t>
  </si>
  <si>
    <t>4℃-壽司手卷(077)</t>
    <phoneticPr fontId="13" type="noConversion"/>
  </si>
  <si>
    <t>18℃-壽司手卷(071,072,075,076)</t>
  </si>
  <si>
    <t>18℃-壽司手卷(071,072,075,076)</t>
    <phoneticPr fontId="13" type="noConversion"/>
  </si>
  <si>
    <t>主食(091,092,093,094,095)</t>
  </si>
  <si>
    <t>主食(091,092,093,094,095)</t>
    <phoneticPr fontId="13" type="noConversion"/>
  </si>
  <si>
    <t>便當(083)</t>
  </si>
  <si>
    <t>便當(083)</t>
    <phoneticPr fontId="13" type="noConversion"/>
  </si>
  <si>
    <r>
      <t>18℃-飯A15:A23</t>
    </r>
    <r>
      <rPr>
        <sz val="10"/>
        <color theme="1"/>
        <rFont val="細明體"/>
        <family val="3"/>
        <charset val="136"/>
      </rPr>
      <t>糰</t>
    </r>
    <r>
      <rPr>
        <sz val="10"/>
        <color theme="1"/>
        <rFont val="Meiryo UI"/>
        <family val="2"/>
      </rPr>
      <t>(061,063)</t>
    </r>
    <phoneticPr fontId="13" type="noConversion"/>
  </si>
  <si>
    <r>
      <t>熱食義</t>
    </r>
    <r>
      <rPr>
        <sz val="10"/>
        <color theme="1"/>
        <rFont val="細明體"/>
        <family val="3"/>
        <charset val="136"/>
      </rPr>
      <t>麵</t>
    </r>
    <r>
      <rPr>
        <sz val="10"/>
        <color theme="1"/>
        <rFont val="Meiryo UI"/>
        <family val="2"/>
      </rPr>
      <t>(122,123,124,126)</t>
    </r>
    <phoneticPr fontId="13" type="noConversion"/>
  </si>
  <si>
    <r>
      <t>季節調理</t>
    </r>
    <r>
      <rPr>
        <sz val="10"/>
        <color theme="1"/>
        <rFont val="細明體"/>
        <family val="3"/>
        <charset val="136"/>
      </rPr>
      <t>麵</t>
    </r>
    <r>
      <rPr>
        <sz val="10"/>
        <color theme="1"/>
        <rFont val="Meiryo UI"/>
        <family val="2"/>
      </rPr>
      <t>(111,112)</t>
    </r>
    <phoneticPr fontId="13" type="noConversion"/>
  </si>
  <si>
    <t>微波小吃(153,154,155)</t>
  </si>
  <si>
    <t>微波小吃(153,154,155)</t>
    <phoneticPr fontId="13" type="noConversion"/>
  </si>
  <si>
    <t>18℃-飯A15:A23糰(061,063)</t>
  </si>
  <si>
    <t>4℃-飯糰(065)</t>
  </si>
  <si>
    <t>熱食義麵(122,123,124,126)</t>
  </si>
  <si>
    <t>季節調理麵(111,112)</t>
  </si>
  <si>
    <r>
      <t>生</t>
    </r>
    <r>
      <rPr>
        <b/>
        <sz val="20"/>
        <color rgb="FF000000"/>
        <rFont val="細明體"/>
        <family val="3"/>
        <charset val="136"/>
      </rPr>
      <t>產</t>
    </r>
    <r>
      <rPr>
        <b/>
        <sz val="20"/>
        <color rgb="FF000000"/>
        <rFont val="Meiryo UI"/>
        <family val="2"/>
      </rPr>
      <t>管理報表</t>
    </r>
    <phoneticPr fontId="13" type="noConversion"/>
  </si>
  <si>
    <r>
      <t>（７）</t>
    </r>
    <r>
      <rPr>
        <b/>
        <sz val="12"/>
        <color rgb="FF000000"/>
        <rFont val="Meiryo UI"/>
        <family val="2"/>
      </rPr>
      <t>原因別分析</t>
    </r>
    <phoneticPr fontId="13" type="noConversion"/>
  </si>
  <si>
    <t>業績金額</t>
    <phoneticPr fontId="13" type="noConversion"/>
  </si>
  <si>
    <t>項目</t>
    <phoneticPr fontId="13" type="noConversion"/>
  </si>
  <si>
    <r>
      <t>調理多</t>
    </r>
    <r>
      <rPr>
        <b/>
        <sz val="14"/>
        <color theme="1"/>
        <rFont val="Arial"/>
        <family val="3"/>
        <charset val="136"/>
      </rPr>
      <t>產</t>
    </r>
    <phoneticPr fontId="10"/>
  </si>
  <si>
    <t>製程不穩</t>
    <phoneticPr fontId="10"/>
  </si>
  <si>
    <t>抓樣不穩</t>
    <phoneticPr fontId="10"/>
  </si>
  <si>
    <t>比例</t>
    <phoneticPr fontId="10"/>
  </si>
  <si>
    <t>報廢</t>
    <phoneticPr fontId="10"/>
  </si>
  <si>
    <t>超用</t>
    <phoneticPr fontId="10"/>
  </si>
  <si>
    <t>原物料規格</t>
    <phoneticPr fontId="10"/>
  </si>
  <si>
    <t>研發設定</t>
    <phoneticPr fontId="10"/>
  </si>
  <si>
    <t>其他原因</t>
    <phoneticPr fontId="10"/>
  </si>
  <si>
    <r>
      <rPr>
        <b/>
        <sz val="14"/>
        <color rgb="FF000000"/>
        <rFont val="Arial"/>
        <family val="3"/>
        <charset val="136"/>
      </rPr>
      <t>步</t>
    </r>
    <r>
      <rPr>
        <b/>
        <sz val="14"/>
        <color rgb="FF000000"/>
        <rFont val="Meiryo UI"/>
        <family val="2"/>
      </rPr>
      <t>留不足</t>
    </r>
    <phoneticPr fontId="13" type="noConversion"/>
  </si>
  <si>
    <t>展開量高於１０5％</t>
    <phoneticPr fontId="10"/>
  </si>
  <si>
    <t>18℃-壽司手卷(071,072,075,076)</t>
    <phoneticPr fontId="13" type="noConversion"/>
  </si>
  <si>
    <t>鮮食品群番</t>
    <phoneticPr fontId="13" type="noConversion"/>
  </si>
  <si>
    <t>06</t>
  </si>
  <si>
    <t>飯糰</t>
  </si>
  <si>
    <t>10</t>
  </si>
  <si>
    <t>三明治</t>
  </si>
  <si>
    <t>061</t>
  </si>
  <si>
    <t>飯糰一配</t>
  </si>
  <si>
    <t>106</t>
  </si>
  <si>
    <t>三明治４度Ｃ</t>
  </si>
  <si>
    <t>063</t>
  </si>
  <si>
    <t>飯糰二配</t>
  </si>
  <si>
    <t>107</t>
  </si>
  <si>
    <t>調理麵包４度Ｃ</t>
  </si>
  <si>
    <t>065</t>
  </si>
  <si>
    <t>飯糰４度Ｃ</t>
  </si>
  <si>
    <t>11</t>
  </si>
  <si>
    <t>07</t>
  </si>
  <si>
    <t>壽司、手卷</t>
  </si>
  <si>
    <t>111</t>
  </si>
  <si>
    <t>涼麵</t>
  </si>
  <si>
    <t>071</t>
  </si>
  <si>
    <t>壽司一配</t>
  </si>
  <si>
    <t>112</t>
  </si>
  <si>
    <t>熱湯麵</t>
  </si>
  <si>
    <t>072</t>
  </si>
  <si>
    <t>手卷一配</t>
  </si>
  <si>
    <t>12</t>
  </si>
  <si>
    <t>075</t>
  </si>
  <si>
    <t>壽司二配</t>
  </si>
  <si>
    <t>122</t>
  </si>
  <si>
    <t>熱食麵</t>
  </si>
  <si>
    <t>076</t>
  </si>
  <si>
    <t>手卷２配</t>
  </si>
  <si>
    <t>123</t>
  </si>
  <si>
    <t>077</t>
  </si>
  <si>
    <t>４℃壽司手卷</t>
  </si>
  <si>
    <t>124</t>
  </si>
  <si>
    <t>義大利麵</t>
  </si>
  <si>
    <t>08</t>
  </si>
  <si>
    <t>126</t>
  </si>
  <si>
    <t>冷凍調理麵</t>
  </si>
  <si>
    <t>083</t>
  </si>
  <si>
    <t>便當４℃</t>
  </si>
  <si>
    <t>14</t>
  </si>
  <si>
    <t>沙拉</t>
  </si>
  <si>
    <t>09</t>
  </si>
  <si>
    <t>微波主食</t>
  </si>
  <si>
    <t>141</t>
  </si>
  <si>
    <t>091</t>
  </si>
  <si>
    <t>中式主食二配</t>
  </si>
  <si>
    <t>15</t>
  </si>
  <si>
    <t>小菜、微波</t>
  </si>
  <si>
    <t>092</t>
  </si>
  <si>
    <t>西式主食二配</t>
  </si>
  <si>
    <t>153</t>
  </si>
  <si>
    <t>湯品</t>
  </si>
  <si>
    <t>093</t>
  </si>
  <si>
    <t>日式主食</t>
  </si>
  <si>
    <t>154</t>
  </si>
  <si>
    <t>滷味</t>
  </si>
  <si>
    <t>094</t>
  </si>
  <si>
    <t>粥品</t>
  </si>
  <si>
    <t>155</t>
  </si>
  <si>
    <t>特色小吃</t>
  </si>
  <si>
    <t>095</t>
  </si>
  <si>
    <t>其他飯類</t>
  </si>
  <si>
    <t>品類訂單量</t>
    <phoneticPr fontId="13" type="noConversion"/>
  </si>
  <si>
    <t>（3）業績構成比</t>
    <phoneticPr fontId="13" type="noConversion"/>
  </si>
  <si>
    <t>（4）訂單數量構成比</t>
    <phoneticPr fontId="13" type="noConversion"/>
  </si>
  <si>
    <t>展開量高於１０5％</t>
    <phoneticPr fontId="10"/>
  </si>
  <si>
    <t>展開量高於１０5％</t>
    <phoneticPr fontId="10"/>
  </si>
  <si>
    <t>展開量高於１０5％</t>
    <phoneticPr fontId="10"/>
  </si>
  <si>
    <t xml:space="preserve">半成品報廢(%) </t>
    <phoneticPr fontId="13" type="noConversion"/>
  </si>
  <si>
    <t>月別</t>
    <phoneticPr fontId="10"/>
  </si>
  <si>
    <t>週別</t>
    <phoneticPr fontId="13" type="noConversion"/>
  </si>
  <si>
    <t>當週</t>
  </si>
  <si>
    <t>當週</t>
    <phoneticPr fontId="10"/>
  </si>
  <si>
    <t>前週</t>
  </si>
  <si>
    <t>前週</t>
    <phoneticPr fontId="13" type="noConversion"/>
  </si>
  <si>
    <t>前週</t>
    <phoneticPr fontId="10"/>
  </si>
  <si>
    <t>月平均人時性</t>
  </si>
  <si>
    <t>月平均人時性</t>
    <phoneticPr fontId="13" type="noConversion"/>
  </si>
  <si>
    <t>KPI</t>
    <phoneticPr fontId="13" type="noConversion"/>
  </si>
  <si>
    <t>18℃-飯糰(061,063)</t>
  </si>
  <si>
    <t>二</t>
    <phoneticPr fontId="13" type="noConversion"/>
  </si>
  <si>
    <t>三</t>
    <phoneticPr fontId="13" type="noConversion"/>
  </si>
  <si>
    <t>四</t>
    <phoneticPr fontId="13" type="noConversion"/>
  </si>
  <si>
    <t>五</t>
    <phoneticPr fontId="13" type="noConversion"/>
  </si>
  <si>
    <t>六</t>
    <phoneticPr fontId="13" type="noConversion"/>
  </si>
  <si>
    <t>日</t>
    <phoneticPr fontId="13" type="noConversion"/>
  </si>
  <si>
    <t>一</t>
    <phoneticPr fontId="13" type="noConversion"/>
  </si>
  <si>
    <r>
      <t>4℃</t>
    </r>
    <r>
      <rPr>
        <b/>
        <sz val="11.9"/>
        <color rgb="FF000000"/>
        <rFont val="Meiryo UI"/>
        <family val="2"/>
      </rPr>
      <t>-</t>
    </r>
    <r>
      <rPr>
        <b/>
        <sz val="14"/>
        <color rgb="FF000000"/>
        <rFont val="Meiryo UI"/>
        <family val="2"/>
      </rPr>
      <t>飯</t>
    </r>
    <r>
      <rPr>
        <b/>
        <sz val="14"/>
        <color rgb="FF000000"/>
        <rFont val="細明體"/>
        <family val="3"/>
        <charset val="136"/>
      </rPr>
      <t>糰</t>
    </r>
    <phoneticPr fontId="13" type="noConversion"/>
  </si>
  <si>
    <t>生產課</t>
  </si>
  <si>
    <t>其他</t>
  </si>
  <si>
    <t>調配課</t>
  </si>
  <si>
    <t>共用類</t>
  </si>
  <si>
    <t>切-炙燒炭火燒肉片</t>
  </si>
  <si>
    <t>二配港式香滑嫩蛋牛肉燴飯</t>
  </si>
  <si>
    <t>營業額(元)</t>
    <phoneticPr fontId="13" type="noConversion"/>
  </si>
  <si>
    <t>營業額</t>
    <phoneticPr fontId="13" type="noConversion"/>
  </si>
  <si>
    <t>經典肉鬆飯糰</t>
  </si>
  <si>
    <t>蔬食鮪魚飯糰</t>
  </si>
  <si>
    <t>壹號醬炙烤牛飯糰</t>
  </si>
  <si>
    <t>鹽蔥燒肉飯糰</t>
  </si>
  <si>
    <t>雞肉飯飯糰</t>
  </si>
  <si>
    <t>優質池上飯</t>
  </si>
  <si>
    <t>二配哞哞培根奶香海陸焗飯</t>
  </si>
  <si>
    <t>二配川味麻婆燒豆腐燴飯</t>
  </si>
  <si>
    <t>新招牌腿排便當</t>
  </si>
  <si>
    <t>健身G肉餐盒</t>
  </si>
  <si>
    <t>烤蛋白餐盒</t>
  </si>
  <si>
    <t>椒麻香蔥雞涼拌麵</t>
  </si>
  <si>
    <t>台式麻醬涼麵</t>
  </si>
  <si>
    <t>大滿足香辣涼麵</t>
  </si>
  <si>
    <t>大滿足麻醬涼麵</t>
  </si>
  <si>
    <t>糖燻豬耳絲</t>
  </si>
  <si>
    <t>韓式蒜味炸雞</t>
  </si>
  <si>
    <t>古早味炒炊粉</t>
  </si>
  <si>
    <t>麻油雞飯糰</t>
  </si>
  <si>
    <t>淡麗清酒蒸蛤蜊烤飯糰</t>
  </si>
  <si>
    <t>大口蒜味香腸燒肉雙拼飯糰</t>
  </si>
  <si>
    <t>大口義式香草雞腿排飯糰</t>
  </si>
  <si>
    <t>晉欣廠</t>
    <phoneticPr fontId="13" type="noConversion"/>
  </si>
  <si>
    <r>
      <t>生</t>
    </r>
    <r>
      <rPr>
        <b/>
        <sz val="20"/>
        <color rgb="FF000000"/>
        <rFont val="微軟正黑體"/>
        <family val="2"/>
        <charset val="136"/>
      </rPr>
      <t>產</t>
    </r>
    <r>
      <rPr>
        <b/>
        <sz val="20"/>
        <color rgb="FF000000"/>
        <rFont val="Meiryo UI"/>
        <family val="2"/>
        <charset val="128"/>
      </rPr>
      <t>管理報表</t>
    </r>
    <phoneticPr fontId="13" type="noConversion"/>
  </si>
  <si>
    <t>累計</t>
    <phoneticPr fontId="13" type="noConversion"/>
  </si>
  <si>
    <t>製程不穩</t>
  </si>
  <si>
    <t>平均人時性</t>
    <phoneticPr fontId="13" type="noConversion"/>
  </si>
  <si>
    <t>排名</t>
    <phoneticPr fontId="13" type="noConversion"/>
  </si>
  <si>
    <t>實際</t>
    <phoneticPr fontId="13" type="noConversion"/>
  </si>
  <si>
    <t>品群</t>
    <phoneticPr fontId="13" type="noConversion"/>
  </si>
  <si>
    <t>計畫</t>
    <phoneticPr fontId="13" type="noConversion"/>
  </si>
  <si>
    <t>實績</t>
    <phoneticPr fontId="13" type="noConversion"/>
  </si>
  <si>
    <t>日報</t>
    <phoneticPr fontId="13" type="noConversion"/>
  </si>
  <si>
    <t>產線配置圖</t>
    <phoneticPr fontId="13" type="noConversion"/>
  </si>
  <si>
    <t>生產實績</t>
    <phoneticPr fontId="13" type="noConversion"/>
  </si>
  <si>
    <t>人數</t>
    <phoneticPr fontId="13" type="noConversion"/>
  </si>
  <si>
    <t>產能／時</t>
    <phoneticPr fontId="13" type="noConversion"/>
  </si>
  <si>
    <t>人時性</t>
    <phoneticPr fontId="13" type="noConversion"/>
  </si>
  <si>
    <r>
      <t>4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飯糰</t>
    </r>
    <phoneticPr fontId="13" type="noConversion"/>
  </si>
  <si>
    <t>商品名稱</t>
    <phoneticPr fontId="13" type="noConversion"/>
  </si>
  <si>
    <r>
      <rPr>
        <sz val="10"/>
        <color rgb="FF000000"/>
        <rFont val="Arial"/>
        <family val="3"/>
        <charset val="136"/>
        <scheme val="minor"/>
      </rPr>
      <t>4℃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壽司手卷</t>
    </r>
    <phoneticPr fontId="13" type="noConversion"/>
  </si>
  <si>
    <t>熱食義麵</t>
    <phoneticPr fontId="13" type="noConversion"/>
  </si>
  <si>
    <r>
      <t>人時生</t>
    </r>
    <r>
      <rPr>
        <sz val="10"/>
        <color theme="1"/>
        <rFont val="Arial"/>
        <family val="3"/>
        <charset val="136"/>
      </rPr>
      <t>產</t>
    </r>
    <r>
      <rPr>
        <sz val="10"/>
        <color theme="1"/>
        <rFont val="Meiryo UI"/>
        <family val="2"/>
      </rPr>
      <t>性</t>
    </r>
    <phoneticPr fontId="10"/>
  </si>
  <si>
    <t>前週比</t>
    <phoneticPr fontId="13" type="noConversion"/>
  </si>
  <si>
    <t>主要原因&amp;對策</t>
    <phoneticPr fontId="10"/>
  </si>
  <si>
    <t>排名</t>
    <phoneticPr fontId="10"/>
  </si>
  <si>
    <r>
      <t>18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壽司手卷</t>
    </r>
    <phoneticPr fontId="13" type="noConversion"/>
  </si>
  <si>
    <t>便當</t>
    <phoneticPr fontId="13" type="noConversion"/>
  </si>
  <si>
    <t>燻之味-糖燻雞胗</t>
  </si>
  <si>
    <t>品群</t>
    <phoneticPr fontId="13" type="noConversion"/>
  </si>
  <si>
    <t>商品名稱</t>
    <phoneticPr fontId="13" type="noConversion"/>
  </si>
  <si>
    <t>計畫</t>
    <phoneticPr fontId="13" type="noConversion"/>
  </si>
  <si>
    <t>平均人時性</t>
    <phoneticPr fontId="13" type="noConversion"/>
  </si>
  <si>
    <t>實績</t>
    <phoneticPr fontId="13" type="noConversion"/>
  </si>
  <si>
    <t>排名</t>
    <phoneticPr fontId="13" type="noConversion"/>
  </si>
  <si>
    <t>日報</t>
    <phoneticPr fontId="13" type="noConversion"/>
  </si>
  <si>
    <t>實際</t>
    <phoneticPr fontId="13" type="noConversion"/>
  </si>
  <si>
    <t>產線配置圖</t>
    <phoneticPr fontId="13" type="noConversion"/>
  </si>
  <si>
    <t>生產實績</t>
    <phoneticPr fontId="13" type="noConversion"/>
  </si>
  <si>
    <t>人數</t>
    <phoneticPr fontId="13" type="noConversion"/>
  </si>
  <si>
    <t>產能／時</t>
    <phoneticPr fontId="13" type="noConversion"/>
  </si>
  <si>
    <t>人時性</t>
    <phoneticPr fontId="13" type="noConversion"/>
  </si>
  <si>
    <r>
      <t>18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壽司手卷</t>
    </r>
    <phoneticPr fontId="13" type="noConversion"/>
  </si>
  <si>
    <r>
      <t>4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飯糰</t>
    </r>
    <phoneticPr fontId="13" type="noConversion"/>
  </si>
  <si>
    <r>
      <rPr>
        <sz val="10"/>
        <color rgb="FF000000"/>
        <rFont val="Arial"/>
        <family val="3"/>
        <charset val="136"/>
        <scheme val="minor"/>
      </rPr>
      <t>4℃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壽司手卷</t>
    </r>
    <phoneticPr fontId="13" type="noConversion"/>
  </si>
  <si>
    <t>便當</t>
    <phoneticPr fontId="13" type="noConversion"/>
  </si>
  <si>
    <t>熱食義麵</t>
    <phoneticPr fontId="13" type="noConversion"/>
  </si>
  <si>
    <t>品群</t>
    <phoneticPr fontId="13" type="noConversion"/>
  </si>
  <si>
    <t>商品名稱</t>
    <phoneticPr fontId="13" type="noConversion"/>
  </si>
  <si>
    <t>計畫</t>
    <phoneticPr fontId="13" type="noConversion"/>
  </si>
  <si>
    <t>平均人時性</t>
    <phoneticPr fontId="13" type="noConversion"/>
  </si>
  <si>
    <t>實績</t>
    <phoneticPr fontId="13" type="noConversion"/>
  </si>
  <si>
    <t>排名</t>
    <phoneticPr fontId="13" type="noConversion"/>
  </si>
  <si>
    <t>日報</t>
    <phoneticPr fontId="13" type="noConversion"/>
  </si>
  <si>
    <t>實際</t>
    <phoneticPr fontId="13" type="noConversion"/>
  </si>
  <si>
    <t>產線配置圖</t>
    <phoneticPr fontId="13" type="noConversion"/>
  </si>
  <si>
    <t>生產實績</t>
    <phoneticPr fontId="13" type="noConversion"/>
  </si>
  <si>
    <t>人數</t>
    <phoneticPr fontId="13" type="noConversion"/>
  </si>
  <si>
    <t>產能／時</t>
    <phoneticPr fontId="13" type="noConversion"/>
  </si>
  <si>
    <t>人時性</t>
    <phoneticPr fontId="13" type="noConversion"/>
  </si>
  <si>
    <t>主食</t>
    <phoneticPr fontId="13" type="noConversion"/>
  </si>
  <si>
    <t>微波小吃</t>
    <phoneticPr fontId="13" type="noConversion"/>
  </si>
  <si>
    <t>季節調理麵</t>
    <phoneticPr fontId="13" type="noConversion"/>
  </si>
  <si>
    <r>
      <t>8</t>
    </r>
    <r>
      <rPr>
        <sz val="10"/>
        <color rgb="FF000000"/>
        <rFont val="細明體"/>
        <family val="3"/>
        <charset val="136"/>
      </rPr>
      <t>月</t>
    </r>
    <phoneticPr fontId="13" type="noConversion"/>
  </si>
  <si>
    <r>
      <t>9</t>
    </r>
    <r>
      <rPr>
        <sz val="10"/>
        <color rgb="FF000000"/>
        <rFont val="細明體"/>
        <family val="3"/>
        <charset val="136"/>
      </rPr>
      <t>月</t>
    </r>
    <phoneticPr fontId="13" type="noConversion"/>
  </si>
  <si>
    <r>
      <t>10月</t>
    </r>
    <r>
      <rPr>
        <sz val="10"/>
        <color rgb="FF000000"/>
        <rFont val="細明體"/>
        <family val="3"/>
        <charset val="136"/>
      </rPr>
      <t/>
    </r>
  </si>
  <si>
    <r>
      <t>11月</t>
    </r>
    <r>
      <rPr>
        <sz val="10"/>
        <color rgb="FF000000"/>
        <rFont val="細明體"/>
        <family val="3"/>
        <charset val="136"/>
      </rPr>
      <t/>
    </r>
  </si>
  <si>
    <r>
      <t>12月</t>
    </r>
    <r>
      <rPr>
        <sz val="10"/>
        <color rgb="FF000000"/>
        <rFont val="細明體"/>
        <family val="3"/>
        <charset val="136"/>
      </rPr>
      <t/>
    </r>
  </si>
  <si>
    <t>糖燻野郎起司炙燒牛烤飯糰</t>
  </si>
  <si>
    <t>品群</t>
    <phoneticPr fontId="13" type="noConversion"/>
  </si>
  <si>
    <t>商品名稱</t>
    <phoneticPr fontId="13" type="noConversion"/>
  </si>
  <si>
    <t>計畫</t>
    <phoneticPr fontId="13" type="noConversion"/>
  </si>
  <si>
    <t>日報</t>
    <phoneticPr fontId="13" type="noConversion"/>
  </si>
  <si>
    <t>實際</t>
    <phoneticPr fontId="13" type="noConversion"/>
  </si>
  <si>
    <t>平均人時性</t>
    <phoneticPr fontId="13" type="noConversion"/>
  </si>
  <si>
    <t>生產實績</t>
    <phoneticPr fontId="13" type="noConversion"/>
  </si>
  <si>
    <t>人時性</t>
    <phoneticPr fontId="13" type="noConversion"/>
  </si>
  <si>
    <t>產能／時</t>
    <phoneticPr fontId="13" type="noConversion"/>
  </si>
  <si>
    <t>排名</t>
    <phoneticPr fontId="13" type="noConversion"/>
  </si>
  <si>
    <t>人數</t>
    <phoneticPr fontId="13" type="noConversion"/>
  </si>
  <si>
    <t>季節調理麵</t>
    <phoneticPr fontId="13" type="noConversion"/>
  </si>
  <si>
    <t>品群</t>
    <phoneticPr fontId="13" type="noConversion"/>
  </si>
  <si>
    <t>微波小吃</t>
    <phoneticPr fontId="13" type="noConversion"/>
  </si>
  <si>
    <t>增加線上抽秤頻率</t>
  </si>
  <si>
    <r>
      <t>（５）品群別人時生</t>
    </r>
    <r>
      <rPr>
        <b/>
        <sz val="12"/>
        <color theme="1"/>
        <rFont val="細明體"/>
        <family val="3"/>
        <charset val="136"/>
      </rPr>
      <t>產</t>
    </r>
    <r>
      <rPr>
        <b/>
        <sz val="12"/>
        <color theme="1"/>
        <rFont val="Meiryo UI"/>
        <family val="2"/>
      </rPr>
      <t>性</t>
    </r>
    <phoneticPr fontId="10"/>
  </si>
  <si>
    <t>一</t>
  </si>
  <si>
    <t>二</t>
  </si>
  <si>
    <t>三</t>
  </si>
  <si>
    <t>四</t>
  </si>
  <si>
    <t>五</t>
  </si>
  <si>
    <t>六</t>
  </si>
  <si>
    <t>日</t>
  </si>
  <si>
    <r>
      <t>月</t>
    </r>
    <r>
      <rPr>
        <sz val="11"/>
        <color rgb="FFFF0000"/>
        <rFont val="細明體"/>
        <family val="3"/>
        <charset val="136"/>
      </rPr>
      <t>平均</t>
    </r>
    <phoneticPr fontId="13" type="noConversion"/>
  </si>
  <si>
    <t>品群</t>
    <phoneticPr fontId="13" type="noConversion"/>
  </si>
  <si>
    <t>商品名稱</t>
    <phoneticPr fontId="13" type="noConversion"/>
  </si>
  <si>
    <t>計畫</t>
    <phoneticPr fontId="13" type="noConversion"/>
  </si>
  <si>
    <t>平均人時性</t>
    <phoneticPr fontId="13" type="noConversion"/>
  </si>
  <si>
    <t>實績</t>
    <phoneticPr fontId="13" type="noConversion"/>
  </si>
  <si>
    <t>排名</t>
    <phoneticPr fontId="13" type="noConversion"/>
  </si>
  <si>
    <t>日報</t>
    <phoneticPr fontId="13" type="noConversion"/>
  </si>
  <si>
    <t>實際</t>
    <phoneticPr fontId="13" type="noConversion"/>
  </si>
  <si>
    <t>產線配置圖</t>
    <phoneticPr fontId="13" type="noConversion"/>
  </si>
  <si>
    <t>生產實績</t>
    <phoneticPr fontId="13" type="noConversion"/>
  </si>
  <si>
    <t>人數</t>
    <phoneticPr fontId="13" type="noConversion"/>
  </si>
  <si>
    <t>產能／時</t>
    <phoneticPr fontId="13" type="noConversion"/>
  </si>
  <si>
    <t>人時性</t>
    <phoneticPr fontId="13" type="noConversion"/>
  </si>
  <si>
    <r>
      <rPr>
        <sz val="10"/>
        <color rgb="FF000000"/>
        <rFont val="Arial"/>
        <family val="3"/>
        <charset val="136"/>
        <scheme val="minor"/>
      </rPr>
      <t>4℃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壽司手卷</t>
    </r>
    <phoneticPr fontId="13" type="noConversion"/>
  </si>
  <si>
    <t>便當</t>
    <phoneticPr fontId="13" type="noConversion"/>
  </si>
  <si>
    <t>季節調理麵</t>
    <phoneticPr fontId="13" type="noConversion"/>
  </si>
  <si>
    <t>微波小吃</t>
    <phoneticPr fontId="13" type="noConversion"/>
  </si>
  <si>
    <t>品群</t>
    <phoneticPr fontId="13" type="noConversion"/>
  </si>
  <si>
    <r>
      <t>18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壽司手卷</t>
    </r>
    <phoneticPr fontId="13" type="noConversion"/>
  </si>
  <si>
    <t>產線配置圖－月表</t>
    <phoneticPr fontId="13" type="noConversion"/>
  </si>
  <si>
    <t>品群</t>
    <phoneticPr fontId="13" type="noConversion"/>
  </si>
  <si>
    <t>商品名稱</t>
    <phoneticPr fontId="13" type="noConversion"/>
  </si>
  <si>
    <t>計畫</t>
    <phoneticPr fontId="13" type="noConversion"/>
  </si>
  <si>
    <t>平均人時性</t>
    <phoneticPr fontId="13" type="noConversion"/>
  </si>
  <si>
    <t>實績</t>
    <phoneticPr fontId="13" type="noConversion"/>
  </si>
  <si>
    <t>排名</t>
    <phoneticPr fontId="13" type="noConversion"/>
  </si>
  <si>
    <t>產線配置圖</t>
    <phoneticPr fontId="13" type="noConversion"/>
  </si>
  <si>
    <t>人數</t>
    <phoneticPr fontId="13" type="noConversion"/>
  </si>
  <si>
    <t>產能／時</t>
    <phoneticPr fontId="13" type="noConversion"/>
  </si>
  <si>
    <t>人時性</t>
    <phoneticPr fontId="13" type="noConversion"/>
  </si>
  <si>
    <r>
      <t>18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飯糰</t>
    </r>
    <phoneticPr fontId="13" type="noConversion"/>
  </si>
  <si>
    <r>
      <t>18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壽司手卷</t>
    </r>
    <phoneticPr fontId="13" type="noConversion"/>
  </si>
  <si>
    <t>產線配置圖－月表</t>
    <phoneticPr fontId="13" type="noConversion"/>
  </si>
  <si>
    <r>
      <rPr>
        <sz val="10"/>
        <color rgb="FF000000"/>
        <rFont val="Arial"/>
        <family val="3"/>
        <charset val="136"/>
        <scheme val="minor"/>
      </rPr>
      <t>4℃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壽司手卷</t>
    </r>
    <phoneticPr fontId="13" type="noConversion"/>
  </si>
  <si>
    <t>主食</t>
    <phoneticPr fontId="13" type="noConversion"/>
  </si>
  <si>
    <t>便當</t>
    <phoneticPr fontId="13" type="noConversion"/>
  </si>
  <si>
    <t>季節調理麵</t>
    <phoneticPr fontId="13" type="noConversion"/>
  </si>
  <si>
    <t>微波小吃</t>
    <phoneticPr fontId="13" type="noConversion"/>
  </si>
  <si>
    <t>海陸雙拼肉肉餐盒</t>
  </si>
  <si>
    <t>取樣不穩</t>
  </si>
  <si>
    <t>類型</t>
    <phoneticPr fontId="13" type="noConversion"/>
  </si>
  <si>
    <r>
      <t>生</t>
    </r>
    <r>
      <rPr>
        <b/>
        <sz val="20"/>
        <color rgb="FF000000"/>
        <rFont val="細明體"/>
        <family val="3"/>
        <charset val="136"/>
      </rPr>
      <t>產</t>
    </r>
    <r>
      <rPr>
        <b/>
        <sz val="20"/>
        <color rgb="FF000000"/>
        <rFont val="Meiryo UI"/>
        <family val="2"/>
      </rPr>
      <t>管理報表</t>
    </r>
    <phoneticPr fontId="13" type="noConversion"/>
  </si>
  <si>
    <t>（８）超用原因別前幾名品項</t>
    <phoneticPr fontId="13" type="noConversion"/>
  </si>
  <si>
    <t>展開量高於１０5％</t>
    <phoneticPr fontId="10"/>
  </si>
  <si>
    <r>
      <t>調理多</t>
    </r>
    <r>
      <rPr>
        <sz val="11"/>
        <color theme="1"/>
        <rFont val="Arial"/>
        <family val="3"/>
        <charset val="136"/>
      </rPr>
      <t>產</t>
    </r>
    <phoneticPr fontId="10"/>
  </si>
  <si>
    <t>製程不穩</t>
    <phoneticPr fontId="10"/>
  </si>
  <si>
    <t>取樣不穩</t>
    <phoneticPr fontId="10"/>
  </si>
  <si>
    <t>原物料規格</t>
    <phoneticPr fontId="10"/>
  </si>
  <si>
    <t>研發設定</t>
    <phoneticPr fontId="10"/>
  </si>
  <si>
    <t>其他原因</t>
    <phoneticPr fontId="10"/>
  </si>
  <si>
    <r>
      <rPr>
        <sz val="11"/>
        <color theme="1"/>
        <rFont val="細明體"/>
        <family val="3"/>
        <charset val="136"/>
      </rPr>
      <t>步</t>
    </r>
    <r>
      <rPr>
        <sz val="11"/>
        <color theme="1"/>
        <rFont val="Meiryo UI"/>
        <family val="2"/>
      </rPr>
      <t>留因素</t>
    </r>
    <phoneticPr fontId="10"/>
  </si>
  <si>
    <t>原物料大小、厚薄差異</t>
  </si>
  <si>
    <t>其他原因</t>
  </si>
  <si>
    <r>
      <rPr>
        <sz val="10"/>
        <color theme="1"/>
        <rFont val="Arial"/>
        <family val="3"/>
        <charset val="136"/>
      </rPr>
      <t>產</t>
    </r>
    <r>
      <rPr>
        <sz val="10"/>
        <color theme="1"/>
        <rFont val="Meiryo UI"/>
        <family val="2"/>
      </rPr>
      <t>能</t>
    </r>
    <phoneticPr fontId="10"/>
  </si>
  <si>
    <t>兩粒飯糰(鮪魚.焦糖鮭魚)</t>
  </si>
  <si>
    <t>二配泰式綠咖哩雞</t>
  </si>
  <si>
    <t>香腸腿排雙拼便當</t>
  </si>
  <si>
    <t>日式蕎麥沾麵</t>
  </si>
  <si>
    <t>確認備料量是否正確，調整出料率</t>
  </si>
  <si>
    <t>回饋研發，後續開發列入考量，設定放料量範圍。</t>
  </si>
  <si>
    <t>增加線上抽秤頻率，維持人員放料手感</t>
  </si>
  <si>
    <t>品群</t>
    <phoneticPr fontId="13" type="noConversion"/>
  </si>
  <si>
    <t>商品名稱</t>
    <phoneticPr fontId="13" type="noConversion"/>
  </si>
  <si>
    <t>計畫</t>
    <phoneticPr fontId="13" type="noConversion"/>
  </si>
  <si>
    <t>平均人時性</t>
    <phoneticPr fontId="13" type="noConversion"/>
  </si>
  <si>
    <t>實績</t>
    <phoneticPr fontId="13" type="noConversion"/>
  </si>
  <si>
    <t>排名</t>
    <phoneticPr fontId="13" type="noConversion"/>
  </si>
  <si>
    <t>日報</t>
    <phoneticPr fontId="13" type="noConversion"/>
  </si>
  <si>
    <t>實際</t>
    <phoneticPr fontId="13" type="noConversion"/>
  </si>
  <si>
    <t>產線配置圖</t>
    <phoneticPr fontId="13" type="noConversion"/>
  </si>
  <si>
    <t>生產實績</t>
    <phoneticPr fontId="13" type="noConversion"/>
  </si>
  <si>
    <t>人數</t>
    <phoneticPr fontId="13" type="noConversion"/>
  </si>
  <si>
    <t>產能／時</t>
    <phoneticPr fontId="13" type="noConversion"/>
  </si>
  <si>
    <t>人時性</t>
    <phoneticPr fontId="13" type="noConversion"/>
  </si>
  <si>
    <r>
      <t>18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壽司手卷</t>
    </r>
    <phoneticPr fontId="13" type="noConversion"/>
  </si>
  <si>
    <r>
      <t>4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飯糰</t>
    </r>
    <phoneticPr fontId="13" type="noConversion"/>
  </si>
  <si>
    <t>品群</t>
  </si>
  <si>
    <t>商品名稱</t>
  </si>
  <si>
    <t>計畫</t>
  </si>
  <si>
    <t>平均人時性</t>
  </si>
  <si>
    <t>實績</t>
  </si>
  <si>
    <t>排名</t>
  </si>
  <si>
    <t>日報</t>
  </si>
  <si>
    <t>產線配置圖</t>
  </si>
  <si>
    <t>人數</t>
  </si>
  <si>
    <t>產能／時</t>
  </si>
  <si>
    <t>人時性</t>
  </si>
  <si>
    <t>品群</t>
    <phoneticPr fontId="10"/>
  </si>
  <si>
    <t>排名</t>
    <phoneticPr fontId="10"/>
  </si>
  <si>
    <t>品群</t>
    <phoneticPr fontId="13" type="noConversion"/>
  </si>
  <si>
    <r>
      <t>18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壽司手卷</t>
    </r>
    <phoneticPr fontId="13" type="noConversion"/>
  </si>
  <si>
    <t>品群</t>
    <phoneticPr fontId="13" type="noConversion"/>
  </si>
  <si>
    <t>平均人時性</t>
    <phoneticPr fontId="13" type="noConversion"/>
  </si>
  <si>
    <r>
      <t>18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壽司手卷</t>
    </r>
    <phoneticPr fontId="13" type="noConversion"/>
  </si>
  <si>
    <t>壹號醬雞豚雙拼</t>
  </si>
  <si>
    <t>烤飯糰1</t>
    <phoneticPr fontId="13" type="noConversion"/>
  </si>
  <si>
    <t>烤飯糰2</t>
    <phoneticPr fontId="13" type="noConversion"/>
  </si>
  <si>
    <t>人數</t>
    <phoneticPr fontId="10"/>
  </si>
  <si>
    <r>
      <rPr>
        <sz val="10"/>
        <color theme="1"/>
        <rFont val="Arial"/>
        <family val="3"/>
        <charset val="136"/>
      </rPr>
      <t>產</t>
    </r>
    <r>
      <rPr>
        <sz val="10"/>
        <color theme="1"/>
        <rFont val="Meiryo UI"/>
        <family val="2"/>
      </rPr>
      <t>能</t>
    </r>
    <phoneticPr fontId="10"/>
  </si>
  <si>
    <r>
      <t>人時生</t>
    </r>
    <r>
      <rPr>
        <sz val="10"/>
        <color theme="1"/>
        <rFont val="Arial"/>
        <family val="3"/>
        <charset val="136"/>
      </rPr>
      <t>產</t>
    </r>
    <r>
      <rPr>
        <sz val="10"/>
        <color theme="1"/>
        <rFont val="Meiryo UI"/>
        <family val="2"/>
      </rPr>
      <t>性</t>
    </r>
    <phoneticPr fontId="10"/>
  </si>
  <si>
    <t>前週比</t>
    <phoneticPr fontId="13" type="noConversion"/>
  </si>
  <si>
    <t>主要原因&amp;對策</t>
    <phoneticPr fontId="10"/>
  </si>
  <si>
    <r>
      <rPr>
        <sz val="10"/>
        <color theme="1"/>
        <rFont val="Arial"/>
        <family val="3"/>
        <charset val="136"/>
      </rPr>
      <t>產</t>
    </r>
    <r>
      <rPr>
        <sz val="10"/>
        <color theme="1"/>
        <rFont val="Meiryo UI"/>
        <family val="2"/>
      </rPr>
      <t>能</t>
    </r>
    <phoneticPr fontId="10"/>
  </si>
  <si>
    <r>
      <t>人時生</t>
    </r>
    <r>
      <rPr>
        <sz val="10"/>
        <color theme="1"/>
        <rFont val="Arial"/>
        <family val="3"/>
        <charset val="136"/>
      </rPr>
      <t>產</t>
    </r>
    <r>
      <rPr>
        <sz val="10"/>
        <color theme="1"/>
        <rFont val="Meiryo UI"/>
        <family val="2"/>
      </rPr>
      <t>性</t>
    </r>
    <phoneticPr fontId="10"/>
  </si>
  <si>
    <t>前週比</t>
    <phoneticPr fontId="13" type="noConversion"/>
  </si>
  <si>
    <t>排名</t>
    <phoneticPr fontId="13" type="noConversion"/>
  </si>
  <si>
    <t>好吃雞肉便當</t>
  </si>
  <si>
    <t>媽媽煮藝-鹹酥雞</t>
  </si>
  <si>
    <t>長野稻荷壽司</t>
  </si>
  <si>
    <t>大口歐風焙煎咖哩漢堡排飯糰</t>
  </si>
  <si>
    <t>二配香辣醬蒜味香腸蛋炒飯</t>
  </si>
  <si>
    <t>賣相要求</t>
  </si>
  <si>
    <t>媽媽煮藝-香滷牛肚絲</t>
  </si>
  <si>
    <t>壹號醬壽喜燒牛丼</t>
  </si>
  <si>
    <t>炒壽喜燒牛五花</t>
  </si>
  <si>
    <t>原物料的大小長短、油花分布不同導致相同賣相的需求下用量不一樣。</t>
  </si>
  <si>
    <t>冰杓放料，冰杓滿度差異、半成品均勻度影響放料量</t>
  </si>
  <si>
    <t>半成品使用前先攪拌均勻。生產前及生產中確認設定及實際放料狀況</t>
  </si>
  <si>
    <t/>
  </si>
  <si>
    <t>Q彈燕麥飯</t>
  </si>
  <si>
    <t>炸醬炒泡麵</t>
  </si>
  <si>
    <t>鐵道滷排便當</t>
  </si>
  <si>
    <t>單價高</t>
  </si>
  <si>
    <t>鮭鮪海饌雙手卷</t>
  </si>
  <si>
    <t>經典人氣雙手卷</t>
  </si>
  <si>
    <t>和風涓絲冷麵</t>
  </si>
  <si>
    <t>二配兩粒飯糰(鮪魚.焦糖鮭魚)</t>
  </si>
  <si>
    <r>
      <t>（７）</t>
    </r>
    <r>
      <rPr>
        <b/>
        <sz val="12"/>
        <color rgb="FF000000"/>
        <rFont val="Meiryo UI"/>
        <family val="2"/>
      </rPr>
      <t>原因別分析</t>
    </r>
    <phoneticPr fontId="13" type="noConversion"/>
  </si>
  <si>
    <t>%</t>
  </si>
  <si>
    <t>元</t>
  </si>
  <si>
    <t>展開量高於需求量</t>
  </si>
  <si>
    <t>百分比</t>
  </si>
  <si>
    <t>晉欣廠半成品管理日別總表</t>
    <phoneticPr fontId="13" type="noConversion"/>
  </si>
  <si>
    <t>黑胡椒洋蔥豬飯糰</t>
  </si>
  <si>
    <t>二配香烤魚排青醬燉飯</t>
  </si>
  <si>
    <t>懷舊滷雙拼便當</t>
  </si>
  <si>
    <t>黑胡椒毛豆</t>
  </si>
  <si>
    <t>毛豆三兄弟</t>
  </si>
  <si>
    <t>椒鹽檸檬鯖魚飯糰</t>
  </si>
  <si>
    <t>生產前先行撥散半成品，便於人員放樣</t>
  </si>
  <si>
    <t>蒸-醬香雞肉絲CL(全)</t>
  </si>
  <si>
    <t>慢燉滷肉油蔥粄條</t>
  </si>
  <si>
    <t>嘉義崇文白醋涼麵</t>
  </si>
  <si>
    <t>菜梗、葉差異及分布不均，影響人員放料手感</t>
  </si>
  <si>
    <t>燻之味-糖燻雞腿</t>
  </si>
  <si>
    <t>香辣醬雞肉炒飯飯糰</t>
  </si>
  <si>
    <t>韓式黑嚕嚕炸醬麵</t>
  </si>
  <si>
    <t>半成品有結塊的狀況，影響人員放料手感</t>
  </si>
  <si>
    <t>炙烤醬香燒豚飯</t>
  </si>
  <si>
    <t>確認備料量</t>
  </si>
  <si>
    <t>二配西班牙風味海鮮燉飯</t>
  </si>
  <si>
    <t>原物料的大小、長短、厚薄分布差異導致取樣易有不穩定的狀況</t>
  </si>
  <si>
    <t>二配大飯糰泡菜鮪魚</t>
  </si>
  <si>
    <t>二配西班牙烤雞腿丁(115年)</t>
  </si>
  <si>
    <t>類型</t>
  </si>
  <si>
    <t>半成品名</t>
  </si>
  <si>
    <t>單價</t>
  </si>
  <si>
    <t>報廢率</t>
  </si>
  <si>
    <t>數量</t>
  </si>
  <si>
    <t>前幾名合計比例</t>
  </si>
  <si>
    <t>前幾名合計金額</t>
  </si>
  <si>
    <t>增加放料抽秤頻率</t>
  </si>
  <si>
    <t>超用率</t>
  </si>
  <si>
    <t>調理多產</t>
  </si>
  <si>
    <t>賣相設定</t>
  </si>
  <si>
    <t>回饋研發，後續開發列入考量。</t>
  </si>
  <si>
    <t>報廢前二十名紀錄表</t>
  </si>
  <si>
    <t>月別</t>
  </si>
  <si>
    <t>排序</t>
  </si>
  <si>
    <t>半成品名稱</t>
  </si>
  <si>
    <t>報廢金額
(元)</t>
  </si>
  <si>
    <t>半成品單價
(元/kg)</t>
  </si>
  <si>
    <t>訂單需求
(kg/個)</t>
  </si>
  <si>
    <t>生管展開</t>
  </si>
  <si>
    <t>生產實際產出</t>
  </si>
  <si>
    <t>生產補單</t>
  </si>
  <si>
    <t>總產出</t>
  </si>
  <si>
    <t>報廢</t>
  </si>
  <si>
    <t>超用A(多展)</t>
  </si>
  <si>
    <t>超用B(多展-報廢)</t>
  </si>
  <si>
    <t>分析原因</t>
  </si>
  <si>
    <t>原因說明</t>
  </si>
  <si>
    <t>後續對策</t>
  </si>
  <si>
    <t>次數</t>
  </si>
  <si>
    <t>分析原因（件）</t>
  </si>
  <si>
    <t>kg/個</t>
  </si>
  <si>
    <t>原因分析</t>
  </si>
  <si>
    <t>總件數</t>
  </si>
  <si>
    <t>準備課</t>
  </si>
  <si>
    <r>
      <rPr>
        <b/>
        <sz val="16"/>
        <color rgb="FF000000"/>
        <rFont val="Microsoft JhengHei"/>
        <family val="2"/>
      </rPr>
      <t>報廢</t>
    </r>
    <r>
      <rPr>
        <b/>
        <sz val="16"/>
        <color rgb="FF000000"/>
        <rFont val="Meiryo UI"/>
        <family val="2"/>
      </rPr>
      <t>前二十名紀</t>
    </r>
    <r>
      <rPr>
        <b/>
        <sz val="16"/>
        <color rgb="FF000000"/>
        <rFont val="細明體"/>
        <family val="3"/>
        <charset val="136"/>
      </rPr>
      <t>錄</t>
    </r>
    <r>
      <rPr>
        <b/>
        <sz val="16"/>
        <color rgb="FF000000"/>
        <rFont val="Meiryo UI"/>
        <family val="2"/>
      </rPr>
      <t>表</t>
    </r>
    <phoneticPr fontId="13" type="noConversion"/>
  </si>
  <si>
    <t>超用前二十名紀錄表</t>
  </si>
  <si>
    <t>超用金額
(元)</t>
  </si>
  <si>
    <r>
      <rPr>
        <b/>
        <sz val="16"/>
        <color rgb="FF000000"/>
        <rFont val="Microsoft JhengHei"/>
        <family val="2"/>
      </rPr>
      <t>超用</t>
    </r>
    <r>
      <rPr>
        <b/>
        <sz val="16"/>
        <color rgb="FF000000"/>
        <rFont val="Meiryo UI"/>
        <family val="2"/>
      </rPr>
      <t>前二十名紀</t>
    </r>
    <r>
      <rPr>
        <b/>
        <sz val="16"/>
        <color rgb="FF000000"/>
        <rFont val="細明體"/>
        <family val="3"/>
        <charset val="136"/>
      </rPr>
      <t>錄</t>
    </r>
    <r>
      <rPr>
        <b/>
        <sz val="16"/>
        <color rgb="FF000000"/>
        <rFont val="Meiryo UI"/>
        <family val="2"/>
      </rPr>
      <t>表</t>
    </r>
    <phoneticPr fontId="13" type="noConversion"/>
  </si>
  <si>
    <t>廢棄週合計</t>
    <phoneticPr fontId="13" type="noConversion"/>
  </si>
  <si>
    <t>超用週合計</t>
    <phoneticPr fontId="13" type="noConversion"/>
  </si>
  <si>
    <t>日期</t>
    <phoneticPr fontId="81" type="noConversion"/>
  </si>
  <si>
    <t>報廢額</t>
    <phoneticPr fontId="81" type="noConversion"/>
  </si>
  <si>
    <r>
      <t xml:space="preserve">報廢率
KPI </t>
    </r>
    <r>
      <rPr>
        <b/>
        <sz val="16"/>
        <color rgb="FFFF0000"/>
        <rFont val="微軟正黑體"/>
        <family val="2"/>
        <charset val="136"/>
      </rPr>
      <t>0.25%</t>
    </r>
    <phoneticPr fontId="13" type="noConversion"/>
  </si>
  <si>
    <t>超用額A</t>
    <phoneticPr fontId="81" type="noConversion"/>
  </si>
  <si>
    <t>超用率A</t>
    <phoneticPr fontId="13" type="noConversion"/>
  </si>
  <si>
    <t>超用額B</t>
    <phoneticPr fontId="81" type="noConversion"/>
  </si>
  <si>
    <t>超用率B</t>
    <phoneticPr fontId="13" type="noConversion"/>
  </si>
  <si>
    <t>營業額合計</t>
    <phoneticPr fontId="81" type="noConversion"/>
  </si>
  <si>
    <t>大口法式蕈菇起司雞排飯糰</t>
  </si>
  <si>
    <t>比例</t>
  </si>
  <si>
    <t>前20名原因分析</t>
  </si>
  <si>
    <t>項目</t>
  </si>
  <si>
    <t>超用</t>
  </si>
  <si>
    <t>二配玉米濃湯焗烤飯</t>
  </si>
  <si>
    <t>二配美味蟹煲</t>
  </si>
  <si>
    <t>二配蒸紅雪蟹肉</t>
  </si>
  <si>
    <t>業績金額</t>
  </si>
  <si>
    <t>川燙青花菜</t>
  </si>
  <si>
    <t>二配烤鹹蛋黃碎</t>
  </si>
  <si>
    <t>炒鼎泰豐香辣醬</t>
  </si>
  <si>
    <t>蒜炒紅K高麗菜(111年)</t>
  </si>
  <si>
    <t>二配蒸燻腸片</t>
  </si>
  <si>
    <t>青木瓜雞絲泰泰雙手卷</t>
  </si>
  <si>
    <t>打拋風味豬肉拌麵</t>
  </si>
  <si>
    <t>▼1</t>
    <phoneticPr fontId="10"/>
  </si>
  <si>
    <t>▼2</t>
    <phoneticPr fontId="10"/>
  </si>
  <si>
    <t>▼3</t>
    <phoneticPr fontId="10"/>
  </si>
  <si>
    <t>▼4</t>
    <phoneticPr fontId="10"/>
  </si>
  <si>
    <t>▼5</t>
    <phoneticPr fontId="10"/>
  </si>
  <si>
    <t>－</t>
    <phoneticPr fontId="13" type="noConversion"/>
  </si>
  <si>
    <t>▲</t>
    <phoneticPr fontId="13" type="noConversion"/>
  </si>
  <si>
    <t>▼</t>
    <phoneticPr fontId="13" type="noConversion"/>
  </si>
  <si>
    <t>對比上週差異小。</t>
    <phoneticPr fontId="13" type="noConversion"/>
  </si>
  <si>
    <t>對比上週差異小</t>
    <phoneticPr fontId="13" type="noConversion"/>
  </si>
  <si>
    <t>半成品結凍強度影響擠醬機出料量</t>
  </si>
  <si>
    <t>生產前及生產中確認設定及實際出料狀況</t>
  </si>
  <si>
    <t>二配油亮蒜味香腸片</t>
  </si>
  <si>
    <t>確認飯袋覆蓋狀況是否良好</t>
  </si>
  <si>
    <t>二配排骨蛋炒飯</t>
  </si>
  <si>
    <t>韓式泡菜冷麵</t>
  </si>
  <si>
    <t>紹興醉雞風味飯糰(區)</t>
  </si>
  <si>
    <t>炒泡麵炒蛋</t>
  </si>
  <si>
    <t>二配蟹粉燴汁(115年)</t>
  </si>
  <si>
    <t>切-究極燒肉片</t>
  </si>
  <si>
    <t>二配川燙醃嫩化淨零碳排牛肉片</t>
  </si>
  <si>
    <t>飯糰排名前段品項，皆是使用GKK生產的單餡飯糰，產能及人時生產性差異小。對比上週差異小。</t>
    <phoneticPr fontId="13" type="noConversion"/>
  </si>
  <si>
    <t>香烤鱈魚輕蔬餐盒</t>
  </si>
  <si>
    <t>小黃瓜絲</t>
  </si>
  <si>
    <t>粉絲煲湯凍</t>
  </si>
  <si>
    <t>香辣醬粉絲煲</t>
  </si>
  <si>
    <t>二配蒸-全熟雞肉絲CL(升)</t>
  </si>
  <si>
    <t>二配雞肉飯飯糰</t>
  </si>
  <si>
    <t>蒸益活雞胸丁</t>
  </si>
  <si>
    <t>益活雞胸補力餐盒</t>
  </si>
  <si>
    <t>二配歐姆蛋(111年版)</t>
  </si>
  <si>
    <t>加熱時間的長短影響最終出料量</t>
  </si>
  <si>
    <t>穩定加熱時間，確認製成率，調整出料量</t>
  </si>
  <si>
    <t>日式牛培根(115年)</t>
  </si>
  <si>
    <t>柚見極炙烤牛</t>
  </si>
  <si>
    <t>大口益活烤雞蛋白青醬飯糰</t>
  </si>
  <si>
    <t>愛恨椒芝麵</t>
  </si>
  <si>
    <t>二配泰式椰香綠咖哩醬</t>
  </si>
  <si>
    <t>113年奶油蕈菇起司醬</t>
  </si>
  <si>
    <t>嫩烤魚排佐花椰菜義大利麵</t>
  </si>
  <si>
    <t>切烤雞胸肉</t>
  </si>
  <si>
    <t>二配炒解凍11N培根片</t>
  </si>
  <si>
    <t>二配蒸蛤蜊-肉</t>
  </si>
  <si>
    <t>二配叉燒蛋炒飯</t>
  </si>
  <si>
    <t>二配油亮台式叉燒丁</t>
  </si>
  <si>
    <t>煮日式洋蔥醬</t>
  </si>
  <si>
    <t>醬燒炙烤牛飯糰</t>
  </si>
  <si>
    <t>烤飯糰品項僅有單一半成品入機台包裝，產能及人時生產性相近，對比上週差異小。</t>
    <phoneticPr fontId="13" type="noConversion"/>
  </si>
  <si>
    <t>兩支品項僅有單一半成品，皆使用八爪機生產，產能及人時生產性相近。對比上週差異小。</t>
    <phoneticPr fontId="13" type="noConversion"/>
  </si>
  <si>
    <t>W1</t>
    <phoneticPr fontId="13" type="noConversion"/>
  </si>
  <si>
    <t>9/1-9/7</t>
  </si>
  <si>
    <t>蔥醬</t>
  </si>
  <si>
    <t>二配鼎泰豐-麻婆豆腐燴汁(113年)</t>
  </si>
  <si>
    <t>沙茶牛肉炒麵</t>
  </si>
  <si>
    <t>炒沙茶醬</t>
  </si>
  <si>
    <t>煮愛恨椒麻湯凍</t>
  </si>
  <si>
    <t>炒混蔬</t>
  </si>
  <si>
    <t>拌燒肉片</t>
  </si>
  <si>
    <t>二配炒綠咖哩腿肉片</t>
  </si>
  <si>
    <t>二配清洗青蔥絲</t>
  </si>
  <si>
    <t>蒜蒜醬</t>
  </si>
  <si>
    <t>煮黑嚕嚕炸醬</t>
  </si>
  <si>
    <t>二配卵黃牛挽肉飯糰</t>
  </si>
  <si>
    <t>二配混合蛋黃醬</t>
  </si>
  <si>
    <t>蒸-全熟雞肉絲CL(升)</t>
  </si>
  <si>
    <t>炒沙茶牛肉</t>
  </si>
  <si>
    <t>和風滷肉</t>
  </si>
  <si>
    <t>人工放料加上飯糰生產速度較快，易有放料差異</t>
  </si>
  <si>
    <t>尋找、測試輔助器具穩定放料</t>
  </si>
  <si>
    <t>卵黃牛挽肉飯糰</t>
  </si>
  <si>
    <t>112年拌鹽烤豬肉片</t>
  </si>
  <si>
    <t>煮慢燉滷肉</t>
  </si>
  <si>
    <t>炒泡麵豬肉片</t>
  </si>
  <si>
    <t>農產品原物料的大小、長短、厚薄分布差異導致取樣易有不穩定的狀況</t>
  </si>
  <si>
    <t>二配112年拌鹽烤豬肉片</t>
  </si>
  <si>
    <t>二配鹽蔥燒肉飯糰</t>
  </si>
  <si>
    <t>9月總報廢合計</t>
  </si>
  <si>
    <t>9月總報廢率</t>
  </si>
  <si>
    <t>9月總超用A合計金額
(多展)</t>
  </si>
  <si>
    <t>9月總超用率A
(多展)</t>
  </si>
  <si>
    <t>9月總超用B合計金額
(多展-報廢)</t>
  </si>
  <si>
    <t>9月總超用率B
(多展-報廢)</t>
  </si>
  <si>
    <t>北海道秋鮭親子飯糰</t>
  </si>
  <si>
    <t>鮪魚飯糰</t>
  </si>
  <si>
    <t>贅沢鮭魚肚飯糰</t>
  </si>
  <si>
    <t>熟成紅鮭飯糰</t>
  </si>
  <si>
    <t>明太子龍蝦風味沙拉飯糰</t>
  </si>
  <si>
    <t>碳烤燒肉飯飯糰(區)</t>
  </si>
  <si>
    <t>鮭魚奶油醬油飯糰</t>
  </si>
  <si>
    <t>明太子生鮭飯糰(區)</t>
  </si>
  <si>
    <t>筋子銀鮭飯糰</t>
  </si>
  <si>
    <t>二配芝麻香鬆飯糰</t>
  </si>
  <si>
    <t>二配三杯醬爆菇菇飯糰</t>
  </si>
  <si>
    <t>二配大飯糰韓式蒜烤豬五花</t>
  </si>
  <si>
    <t>生鱈魚子鮭魚飯糰</t>
  </si>
  <si>
    <t>鐵板滑蛋炸豬排丼</t>
  </si>
  <si>
    <t>日式炙烤親子丼</t>
  </si>
  <si>
    <t>二配里肌豬排可可咖哩歐姆蛋飯</t>
  </si>
  <si>
    <t>二配黃金雞排蘑菇白醬歐姆蛋飯</t>
  </si>
  <si>
    <t>二配金咖哩濃厚辛口咖哩飯</t>
  </si>
  <si>
    <t>二配金咖哩果香甘口咖哩飯</t>
  </si>
  <si>
    <t>韓式泡菜豬肉豆腐丼飯</t>
  </si>
  <si>
    <t>二配厚香料優格咖哩雞排飯</t>
  </si>
  <si>
    <t>二配打拋風味豬肉飯</t>
  </si>
  <si>
    <t>嫩烤香料雞胸排蔬滿盒</t>
  </si>
  <si>
    <t>椒麻滷三寶(區)</t>
  </si>
  <si>
    <t>當週更換組別生產，人員熟悉度對比原先組別低，產能及人時生產性對比上週稍微下降。</t>
    <phoneticPr fontId="13" type="noConversion"/>
  </si>
  <si>
    <t>人員熟悉度提升，使用人數對比前週少一人，人時生產性對比前週提升。</t>
    <phoneticPr fontId="13" type="noConversion"/>
  </si>
  <si>
    <t>8/31新品，該品項半成品僅有三項，使用人數少，人時生產性較高</t>
    <phoneticPr fontId="13" type="noConversion"/>
  </si>
  <si>
    <t>兩支品項皆需要排列主菜，使用人數較多，產能較低，人時生產性低且接近。</t>
    <phoneticPr fontId="13" type="noConversion"/>
  </si>
  <si>
    <t>香烤鱈魚輕蔬餐盒</t>
    <phoneticPr fontId="13" type="noConversion"/>
  </si>
  <si>
    <t>對比上週訂單量下降</t>
    <phoneticPr fontId="13" type="noConversion"/>
  </si>
  <si>
    <r>
      <rPr>
        <sz val="10"/>
        <color rgb="FF000000"/>
        <rFont val="微軟正黑體"/>
        <family val="2"/>
        <charset val="136"/>
      </rPr>
      <t>健身</t>
    </r>
    <r>
      <rPr>
        <sz val="10"/>
        <color rgb="FF000000"/>
        <rFont val="Arial"/>
        <family val="2"/>
        <scheme val="minor"/>
      </rPr>
      <t>G</t>
    </r>
    <r>
      <rPr>
        <sz val="10"/>
        <color rgb="FF000000"/>
        <rFont val="微軟正黑體"/>
        <family val="2"/>
        <charset val="136"/>
      </rPr>
      <t>肉餐盒</t>
    </r>
    <phoneticPr fontId="13" type="noConversion"/>
  </si>
  <si>
    <t>海陸雙拼肉肉餐盒</t>
    <phoneticPr fontId="13" type="noConversion"/>
  </si>
  <si>
    <t>9/1上市新品，該品項半成品數量對比其他品項多，使用人數較多，人時生產性對比其他品項低。</t>
    <phoneticPr fontId="13" type="noConversion"/>
  </si>
  <si>
    <t>9/1上市新品，半成品皆須過秤，產能及人時生產性低。</t>
    <phoneticPr fontId="13" type="noConversion"/>
  </si>
  <si>
    <t>本週無此類別品項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</si>
</sst>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6">
    <numFmt numFmtId="42" formatCode="_-&quot;$&quot;* #,##0_-;\-&quot;$&quot;* #,##0_-;_-&quot;$&quot;* &quot;-&quot;_-;_-@_-"/>
    <numFmt numFmtId="44" formatCode="_-&quot;$&quot;* #,##0.00_-;\-&quot;$&quot;* #,##0.00_-;_-&quot;$&quot;* &quot;-&quot;??_-;_-@_-"/>
    <numFmt numFmtId="43" formatCode="_-* #,##0.00_-;\-* #,##0.00_-;_-* &quot;-&quot;??_-;_-@_-"/>
    <numFmt numFmtId="176" formatCode="&quot;NT$&quot;#,##0.0"/>
    <numFmt numFmtId="177" formatCode="0&quot;個&quot;"/>
    <numFmt numFmtId="178" formatCode="&quot;NT$&quot;#,##0.0_);[Red]\(&quot;NT$&quot;#,##0.0\)"/>
    <numFmt numFmtId="179" formatCode="m&quot;月&quot;d&quot;日&quot;"/>
    <numFmt numFmtId="180" formatCode="0.0&quot;個&quot;"/>
    <numFmt numFmtId="181" formatCode="0.0_);[Red]\(0.0\)"/>
    <numFmt numFmtId="182" formatCode="&quot;NT$&quot;#,##0.00_);[Red]\(&quot;NT$&quot;#,##0.00\)"/>
    <numFmt numFmtId="183" formatCode="0.0"/>
    <numFmt numFmtId="184" formatCode="0,000"/>
    <numFmt numFmtId="185" formatCode="0.0%"/>
    <numFmt numFmtId="186" formatCode="&quot;NT$&quot;#,##0_);[Red]\(&quot;NT$&quot;#,##0\)"/>
    <numFmt numFmtId="187" formatCode="&quot;NT$&quot;#,##0"/>
    <numFmt numFmtId="188" formatCode="_-* #,##0_-;\-* #,##0_-;_-* &quot;-&quot;??_-;_-@_-"/>
    <numFmt numFmtId="189" formatCode="0.000%"/>
    <numFmt numFmtId="190" formatCode="_-* #,##0.0_-;\-* #,##0.0_-;_-* &quot;-&quot;??_-;_-@_-"/>
    <numFmt numFmtId="191" formatCode="#,##0.0"/>
    <numFmt numFmtId="192" formatCode="#,##0.0_ "/>
    <numFmt numFmtId="193" formatCode="m/d\ aaaa"/>
    <numFmt numFmtId="194" formatCode="0,000&quot;元&quot;"/>
    <numFmt numFmtId="195" formatCode="000&quot;元&quot;"/>
    <numFmt numFmtId="196" formatCode="0.00_)"/>
    <numFmt numFmtId="197" formatCode="#,##0_ "/>
    <numFmt numFmtId="198" formatCode="#,##0.00_ "/>
  </numFmts>
  <fonts count="125">
    <font>
      <sz val="10"/>
      <color rgb="FF000000"/>
      <name val="Arial"/>
      <scheme val="minor"/>
    </font>
    <font>
      <sz val="12"/>
      <color theme="1"/>
      <name val="Arial"/>
      <family val="2"/>
      <charset val="136"/>
      <scheme val="minor"/>
    </font>
    <font>
      <sz val="12"/>
      <color theme="1"/>
      <name val="Arial"/>
      <family val="2"/>
      <charset val="136"/>
      <scheme val="minor"/>
    </font>
    <font>
      <sz val="12"/>
      <color theme="1"/>
      <name val="Arial"/>
      <family val="2"/>
      <charset val="136"/>
      <scheme val="minor"/>
    </font>
    <font>
      <sz val="12"/>
      <color theme="1"/>
      <name val="Arial"/>
      <family val="2"/>
      <charset val="136"/>
      <scheme val="minor"/>
    </font>
    <font>
      <sz val="12"/>
      <color theme="1"/>
      <name val="Arial"/>
      <family val="2"/>
      <charset val="136"/>
      <scheme val="minor"/>
    </font>
    <font>
      <sz val="12"/>
      <color theme="1"/>
      <name val="Arial"/>
      <family val="2"/>
      <charset val="136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name val="Arial"/>
      <family val="2"/>
    </font>
    <font>
      <sz val="6"/>
      <name val="Arial"/>
      <family val="3"/>
      <charset val="128"/>
      <scheme val="minor"/>
    </font>
    <font>
      <sz val="11"/>
      <color theme="1"/>
      <name val="Arial"/>
      <family val="3"/>
      <charset val="136"/>
      <scheme val="minor"/>
    </font>
    <font>
      <sz val="10"/>
      <color theme="1"/>
      <name val="Arial"/>
      <family val="3"/>
      <charset val="136"/>
      <scheme val="minor"/>
    </font>
    <font>
      <sz val="9"/>
      <name val="Arial"/>
      <family val="3"/>
      <charset val="136"/>
      <scheme val="minor"/>
    </font>
    <font>
      <sz val="10"/>
      <color rgb="FF000000"/>
      <name val="Meiryo UI"/>
      <family val="2"/>
      <charset val="128"/>
    </font>
    <font>
      <sz val="11"/>
      <color rgb="FF000000"/>
      <name val="Meiryo UI"/>
      <family val="2"/>
      <charset val="128"/>
    </font>
    <font>
      <sz val="11"/>
      <color rgb="FF000000"/>
      <name val="Arial"/>
      <family val="3"/>
      <charset val="136"/>
    </font>
    <font>
      <sz val="11"/>
      <color rgb="FF000000"/>
      <name val="細明體"/>
      <family val="3"/>
      <charset val="136"/>
    </font>
    <font>
      <sz val="18"/>
      <color rgb="FF000000"/>
      <name val="Meiryo UI"/>
      <family val="2"/>
      <charset val="128"/>
    </font>
    <font>
      <b/>
      <sz val="22"/>
      <color rgb="FF000000"/>
      <name val="Meiryo UI"/>
      <family val="2"/>
      <charset val="128"/>
    </font>
    <font>
      <b/>
      <sz val="22"/>
      <color rgb="FF000000"/>
      <name val="細明體"/>
      <family val="3"/>
      <charset val="136"/>
    </font>
    <font>
      <sz val="12"/>
      <color rgb="FF000000"/>
      <name val="Arial"/>
      <family val="3"/>
      <charset val="136"/>
    </font>
    <font>
      <sz val="11"/>
      <color theme="1"/>
      <name val="細明體"/>
      <family val="3"/>
      <charset val="136"/>
    </font>
    <font>
      <b/>
      <sz val="14"/>
      <color rgb="FF000000"/>
      <name val="細明體"/>
      <family val="3"/>
      <charset val="136"/>
    </font>
    <font>
      <sz val="10"/>
      <color rgb="FF000000"/>
      <name val="Arial"/>
      <family val="2"/>
      <scheme val="minor"/>
    </font>
    <font>
      <b/>
      <sz val="22"/>
      <color rgb="FF000000"/>
      <name val="Meiryo UI"/>
      <family val="2"/>
    </font>
    <font>
      <sz val="10"/>
      <color rgb="FF000000"/>
      <name val="Meiryo UI"/>
      <family val="2"/>
    </font>
    <font>
      <sz val="11"/>
      <color rgb="FF000000"/>
      <name val="Meiryo UI"/>
      <family val="2"/>
    </font>
    <font>
      <sz val="11"/>
      <color theme="1"/>
      <name val="Meiryo UI"/>
      <family val="2"/>
    </font>
    <font>
      <sz val="12"/>
      <color rgb="FF000000"/>
      <name val="Meiryo UI"/>
      <family val="2"/>
    </font>
    <font>
      <b/>
      <sz val="14"/>
      <color rgb="FF000000"/>
      <name val="Meiryo UI"/>
      <family val="2"/>
    </font>
    <font>
      <b/>
      <sz val="11.9"/>
      <color rgb="FF000000"/>
      <name val="Meiryo UI"/>
      <family val="2"/>
    </font>
    <font>
      <b/>
      <sz val="16"/>
      <color rgb="FF000000"/>
      <name val="Meiryo UI"/>
      <family val="2"/>
    </font>
    <font>
      <sz val="10"/>
      <color rgb="FF000000"/>
      <name val="Arial"/>
      <family val="3"/>
      <charset val="136"/>
      <scheme val="minor"/>
    </font>
    <font>
      <b/>
      <sz val="12"/>
      <color rgb="FF000000"/>
      <name val="Arial"/>
      <family val="3"/>
      <charset val="136"/>
      <scheme val="minor"/>
    </font>
    <font>
      <b/>
      <sz val="12"/>
      <color rgb="FF000000"/>
      <name val="Arial"/>
      <family val="2"/>
      <scheme val="minor"/>
    </font>
    <font>
      <sz val="12"/>
      <color theme="1"/>
      <name val="Meiryo UI"/>
      <family val="2"/>
    </font>
    <font>
      <sz val="12"/>
      <color theme="1"/>
      <name val="微軟正黑體"/>
      <family val="2"/>
      <charset val="136"/>
    </font>
    <font>
      <sz val="12"/>
      <name val="Meiryo UI"/>
      <family val="2"/>
    </font>
    <font>
      <b/>
      <sz val="16"/>
      <color rgb="FF000000"/>
      <name val="Meiryo UI"/>
      <family val="2"/>
      <charset val="128"/>
    </font>
    <font>
      <b/>
      <sz val="14"/>
      <color rgb="FF000000"/>
      <name val="Arial"/>
      <family val="3"/>
      <charset val="136"/>
    </font>
    <font>
      <b/>
      <sz val="20"/>
      <color rgb="FF000000"/>
      <name val="Meiryo UI"/>
      <family val="2"/>
      <charset val="128"/>
    </font>
    <font>
      <b/>
      <sz val="20"/>
      <color rgb="FF000000"/>
      <name val="細明體"/>
      <family val="3"/>
      <charset val="136"/>
    </font>
    <font>
      <b/>
      <sz val="20"/>
      <color rgb="FF000000"/>
      <name val="Meiryo UI"/>
      <family val="2"/>
    </font>
    <font>
      <sz val="10"/>
      <color theme="1"/>
      <name val="Meiryo UI"/>
      <family val="2"/>
    </font>
    <font>
      <sz val="11"/>
      <color rgb="FFFF0000"/>
      <name val="Meiryo UI"/>
      <family val="2"/>
    </font>
    <font>
      <sz val="11"/>
      <color theme="1"/>
      <name val="Arial"/>
      <family val="3"/>
      <charset val="136"/>
    </font>
    <font>
      <sz val="10"/>
      <color theme="1"/>
      <name val="Arial"/>
      <family val="3"/>
      <charset val="136"/>
    </font>
    <font>
      <b/>
      <sz val="12"/>
      <color theme="1"/>
      <name val="Meiryo UI"/>
      <family val="2"/>
    </font>
    <font>
      <b/>
      <sz val="12"/>
      <color theme="1"/>
      <name val="Arial"/>
      <family val="3"/>
      <charset val="136"/>
    </font>
    <font>
      <b/>
      <sz val="12"/>
      <color theme="1"/>
      <name val="Meiryo UI"/>
      <family val="2"/>
      <charset val="128"/>
    </font>
    <font>
      <sz val="14"/>
      <color theme="1"/>
      <name val="Meiryo UI"/>
      <family val="2"/>
    </font>
    <font>
      <sz val="10"/>
      <color theme="1"/>
      <name val="細明體"/>
      <family val="3"/>
      <charset val="136"/>
    </font>
    <font>
      <b/>
      <sz val="12"/>
      <color rgb="FF000000"/>
      <name val="Meiryo UI"/>
      <family val="2"/>
      <charset val="128"/>
    </font>
    <font>
      <b/>
      <sz val="12"/>
      <color rgb="FF000000"/>
      <name val="Meiryo UI"/>
      <family val="2"/>
    </font>
    <font>
      <sz val="10"/>
      <name val="Meiryo UI"/>
      <family val="2"/>
    </font>
    <font>
      <b/>
      <sz val="12"/>
      <color rgb="FF000000"/>
      <name val="Arial"/>
      <family val="3"/>
      <charset val="136"/>
    </font>
    <font>
      <sz val="11"/>
      <color theme="1"/>
      <name val="Arial"/>
      <family val="2"/>
    </font>
    <font>
      <sz val="10"/>
      <color rgb="FF000000"/>
      <name val="Arial"/>
      <family val="2"/>
    </font>
    <font>
      <b/>
      <sz val="12"/>
      <color rgb="FF000000"/>
      <name val="細明體"/>
      <family val="3"/>
      <charset val="136"/>
    </font>
    <font>
      <b/>
      <sz val="14"/>
      <color theme="1"/>
      <name val="Meiryo UI"/>
      <family val="2"/>
    </font>
    <font>
      <b/>
      <sz val="14"/>
      <color theme="1"/>
      <name val="Arial"/>
      <family val="3"/>
      <charset val="136"/>
    </font>
    <font>
      <sz val="11"/>
      <color theme="1"/>
      <name val="Meiryo UI"/>
      <family val="2"/>
      <charset val="128"/>
    </font>
    <font>
      <sz val="10"/>
      <color rgb="FFFF0000"/>
      <name val="Meiryo UI"/>
      <family val="2"/>
    </font>
    <font>
      <b/>
      <sz val="16"/>
      <color rgb="FF000000"/>
      <name val="細明體"/>
      <family val="3"/>
      <charset val="136"/>
    </font>
    <font>
      <sz val="12"/>
      <color rgb="FFFF0000"/>
      <name val="Meiryo UI"/>
      <family val="2"/>
    </font>
    <font>
      <b/>
      <sz val="20"/>
      <color rgb="FF000000"/>
      <name val="微軟正黑體"/>
      <family val="2"/>
      <charset val="136"/>
    </font>
    <font>
      <sz val="11"/>
      <color theme="1"/>
      <name val="微軟正黑體"/>
      <family val="2"/>
      <charset val="136"/>
    </font>
    <font>
      <sz val="14"/>
      <color theme="1"/>
      <name val="細明體"/>
      <family val="3"/>
      <charset val="136"/>
    </font>
    <font>
      <sz val="10"/>
      <color rgb="FFFF0000"/>
      <name val="Arial"/>
      <family val="3"/>
      <charset val="136"/>
      <scheme val="minor"/>
    </font>
    <font>
      <sz val="6"/>
      <color rgb="FF000000"/>
      <name val="Meiryo UI"/>
      <family val="2"/>
    </font>
    <font>
      <sz val="9"/>
      <color rgb="FF000000"/>
      <name val="Meiryo UI"/>
      <family val="2"/>
    </font>
    <font>
      <sz val="10"/>
      <color rgb="FF000000"/>
      <name val="Arial"/>
      <family val="2"/>
      <scheme val="minor"/>
    </font>
    <font>
      <sz val="11"/>
      <color rgb="FF0070C0"/>
      <name val="新細明體"/>
      <family val="1"/>
      <charset val="136"/>
    </font>
    <font>
      <sz val="11"/>
      <color rgb="FF92D050"/>
      <name val="細明體"/>
      <family val="3"/>
      <charset val="136"/>
    </font>
    <font>
      <sz val="11"/>
      <color rgb="FFFF0000"/>
      <name val="新細明體"/>
      <family val="1"/>
      <charset val="136"/>
    </font>
    <font>
      <sz val="7"/>
      <color rgb="FF000000"/>
      <name val="Meiryo UI"/>
      <family val="2"/>
    </font>
    <font>
      <sz val="10"/>
      <color rgb="FF000000"/>
      <name val="細明體"/>
      <family val="3"/>
      <charset val="136"/>
    </font>
    <font>
      <b/>
      <sz val="12"/>
      <color theme="1"/>
      <name val="細明體"/>
      <family val="3"/>
      <charset val="136"/>
    </font>
    <font>
      <sz val="11"/>
      <color rgb="FFFF0000"/>
      <name val="細明體"/>
      <family val="3"/>
      <charset val="136"/>
    </font>
    <font>
      <sz val="12"/>
      <color theme="1"/>
      <name val="Meiryo UI"/>
      <family val="2"/>
      <charset val="128"/>
    </font>
    <font>
      <sz val="9"/>
      <name val="Arial"/>
      <family val="2"/>
      <charset val="136"/>
      <scheme val="minor"/>
    </font>
    <font>
      <sz val="14"/>
      <name val="微軟正黑體"/>
      <family val="2"/>
      <charset val="136"/>
    </font>
    <font>
      <sz val="12"/>
      <name val="新細明體"/>
      <family val="1"/>
      <charset val="136"/>
    </font>
    <font>
      <sz val="12"/>
      <name val="Times New Roman"/>
      <family val="1"/>
    </font>
    <font>
      <b/>
      <i/>
      <sz val="16"/>
      <name val="Helv"/>
      <family val="2"/>
    </font>
    <font>
      <sz val="12"/>
      <color theme="1"/>
      <name val="Arial"/>
      <family val="1"/>
      <charset val="136"/>
      <scheme val="minor"/>
    </font>
    <font>
      <u/>
      <sz val="12"/>
      <color indexed="12"/>
      <name val="新細明體"/>
      <family val="1"/>
      <charset val="136"/>
    </font>
    <font>
      <sz val="10"/>
      <color indexed="8"/>
      <name val="ARIAL"/>
      <family val="2"/>
    </font>
    <font>
      <sz val="12"/>
      <color theme="1"/>
      <name val="Arial"/>
      <family val="2"/>
      <scheme val="minor"/>
    </font>
    <font>
      <sz val="12"/>
      <color indexed="8"/>
      <name val="新細明體"/>
      <family val="1"/>
      <charset val="136"/>
    </font>
    <font>
      <sz val="12"/>
      <color indexed="17"/>
      <name val="新細明體"/>
      <family val="1"/>
      <charset val="136"/>
    </font>
    <font>
      <sz val="16"/>
      <color indexed="17"/>
      <name val="新細明體"/>
      <family val="1"/>
      <charset val="136"/>
    </font>
    <font>
      <sz val="11"/>
      <name val="ＭＳ Ｐゴシック"/>
      <family val="2"/>
      <charset val="128"/>
    </font>
    <font>
      <sz val="12"/>
      <color indexed="20"/>
      <name val="新細明體"/>
      <family val="1"/>
      <charset val="136"/>
    </font>
    <font>
      <sz val="20"/>
      <color indexed="20"/>
      <name val="新細明體"/>
      <family val="1"/>
      <charset val="136"/>
    </font>
    <font>
      <sz val="10"/>
      <color rgb="FFFF0000"/>
      <name val="Meiryo UI"/>
      <family val="2"/>
      <charset val="128"/>
    </font>
    <font>
      <sz val="14"/>
      <color rgb="FF0070C0"/>
      <name val="新細明體"/>
      <family val="1"/>
      <charset val="136"/>
    </font>
    <font>
      <b/>
      <sz val="20"/>
      <color theme="0"/>
      <name val="微軟正黑體"/>
      <family val="2"/>
      <charset val="136"/>
    </font>
    <font>
      <b/>
      <sz val="18"/>
      <color theme="1"/>
      <name val="微軟正黑體"/>
      <family val="2"/>
      <charset val="136"/>
    </font>
    <font>
      <b/>
      <sz val="16"/>
      <color theme="1"/>
      <name val="微軟正黑體"/>
      <family val="2"/>
      <charset val="136"/>
    </font>
    <font>
      <b/>
      <sz val="16"/>
      <color rgb="FF000000"/>
      <name val="微軟正黑體"/>
      <family val="2"/>
      <charset val="136"/>
    </font>
    <font>
      <sz val="11"/>
      <color theme="1"/>
      <name val="Microsoft JhengHei"/>
      <family val="3"/>
    </font>
    <font>
      <sz val="12"/>
      <color theme="1"/>
      <name val="細明體"/>
      <family val="2"/>
      <charset val="136"/>
    </font>
    <font>
      <sz val="9"/>
      <color rgb="FFFF0000"/>
      <name val="Meiryo UI"/>
      <family val="2"/>
    </font>
    <font>
      <sz val="6"/>
      <name val="Meiryo UI"/>
      <family val="2"/>
    </font>
    <font>
      <sz val="10"/>
      <color rgb="FF000000"/>
      <name val="微軟正黑體"/>
      <family val="2"/>
      <charset val="136"/>
    </font>
    <font>
      <sz val="10"/>
      <color rgb="FF000000"/>
      <name val="Arial"/>
      <family val="2"/>
      <charset val="136"/>
      <scheme val="minor"/>
    </font>
    <font>
      <b/>
      <sz val="16"/>
      <color rgb="FF000000"/>
      <name val="Microsoft JhengHei"/>
      <family val="2"/>
    </font>
    <font>
      <sz val="14"/>
      <color theme="1"/>
      <name val="微軟正黑體"/>
      <family val="2"/>
      <charset val="136"/>
    </font>
    <font>
      <b/>
      <sz val="18"/>
      <color rgb="FFFF0000"/>
      <name val="微軟正黑體"/>
      <family val="2"/>
      <charset val="136"/>
    </font>
    <font>
      <b/>
      <sz val="16"/>
      <color rgb="FFFF0000"/>
      <name val="微軟正黑體"/>
      <family val="2"/>
      <charset val="136"/>
    </font>
    <font>
      <sz val="18"/>
      <color theme="1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sz val="6"/>
      <color theme="1"/>
      <name val="細明體"/>
      <family val="2"/>
      <charset val="136"/>
    </font>
    <font>
      <sz val="11"/>
      <color theme="1"/>
      <name val="Microsoft JhengHei"/>
      <family val="2"/>
    </font>
    <font>
      <sz val="12"/>
      <color rgb="FF000000"/>
      <name val="微軟正黑體"/>
      <family val="2"/>
      <charset val="136"/>
    </font>
    <font>
      <sz val="10"/>
      <color theme="1"/>
      <name val="細明體"/>
      <family val="2"/>
      <charset val="136"/>
    </font>
    <font>
      <sz val="11"/>
      <color theme="1"/>
      <name val="細明體"/>
      <family val="2"/>
      <charset val="136"/>
    </font>
    <font>
      <sz val="11"/>
      <name val="Meiryo UI"/>
      <family val="2"/>
    </font>
    <font>
      <sz val="10"/>
      <color rgb="FF000000"/>
      <name val="細明體"/>
      <family val="2"/>
      <charset val="136"/>
    </font>
    <font>
      <sz val="10"/>
      <color theme="1"/>
      <name val="Microsoft JhengHei"/>
      <family val="2"/>
    </font>
    <font>
      <sz val="6"/>
      <color theme="1"/>
      <name val="細明體"/>
      <family val="3"/>
      <charset val="136"/>
    </font>
    <font>
      <sz val="12"/>
      <color rgb="FF000000"/>
      <name val="細明體"/>
      <family val="2"/>
      <charset val="136"/>
    </font>
    <font>
      <sz val="8"/>
      <color theme="1"/>
      <name val="細明體"/>
      <family val="3"/>
      <charset val="136"/>
    </font>
  </fonts>
  <fills count="20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indexed="42"/>
      </patternFill>
    </fill>
    <fill>
      <patternFill patternType="solid">
        <fgColor indexed="4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B0F0"/>
        <bgColor indexed="64"/>
      </patternFill>
    </fill>
  </fills>
  <borders count="7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uble">
        <color rgb="FF000000"/>
      </left>
      <right style="thin">
        <color rgb="FF000000"/>
      </right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rgb="FF000000"/>
      </right>
      <top/>
      <bottom/>
      <diagonal/>
    </border>
    <border>
      <left style="double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double">
        <color rgb="FF000000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thin">
        <color indexed="64"/>
      </bottom>
      <diagonal/>
    </border>
  </borders>
  <cellStyleXfs count="584">
    <xf numFmtId="0" fontId="0" fillId="0" borderId="0"/>
    <xf numFmtId="0" fontId="6" fillId="0" borderId="0">
      <alignment vertical="center"/>
    </xf>
    <xf numFmtId="43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7" fillId="0" borderId="0"/>
    <xf numFmtId="0" fontId="6" fillId="0" borderId="0">
      <alignment vertical="center"/>
    </xf>
    <xf numFmtId="0" fontId="6" fillId="0" borderId="0">
      <alignment vertical="center"/>
    </xf>
    <xf numFmtId="9" fontId="9" fillId="0" borderId="0" applyFont="0" applyFill="0" applyBorder="0" applyAlignment="0" applyProtection="0">
      <alignment vertical="center"/>
    </xf>
    <xf numFmtId="0" fontId="9" fillId="0" borderId="0"/>
    <xf numFmtId="9" fontId="9" fillId="0" borderId="0" applyFont="0" applyFill="0" applyBorder="0" applyAlignment="0" applyProtection="0"/>
    <xf numFmtId="0" fontId="24" fillId="0" borderId="0"/>
    <xf numFmtId="0" fontId="5" fillId="0" borderId="0">
      <alignment vertical="center"/>
    </xf>
    <xf numFmtId="9" fontId="24" fillId="0" borderId="0" applyFont="0" applyFill="0" applyBorder="0" applyAlignment="0" applyProtection="0">
      <alignment vertical="center"/>
    </xf>
    <xf numFmtId="43" fontId="72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43" fontId="24" fillId="0" borderId="0" applyFont="0" applyFill="0" applyBorder="0" applyAlignment="0" applyProtection="0">
      <alignment vertical="center"/>
    </xf>
    <xf numFmtId="9" fontId="9" fillId="0" borderId="0" applyFont="0" applyFill="0" applyBorder="0" applyAlignment="0" applyProtection="0">
      <alignment vertical="center"/>
    </xf>
    <xf numFmtId="0" fontId="3" fillId="0" borderId="0">
      <alignment vertical="center"/>
    </xf>
    <xf numFmtId="9" fontId="3" fillId="0" borderId="0" applyFont="0" applyFill="0" applyBorder="0" applyAlignment="0" applyProtection="0">
      <alignment vertical="center"/>
    </xf>
    <xf numFmtId="0" fontId="83" fillId="0" borderId="0"/>
    <xf numFmtId="9" fontId="83" fillId="0" borderId="0" applyFont="0" applyFill="0" applyBorder="0" applyAlignment="0" applyProtection="0"/>
    <xf numFmtId="0" fontId="84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9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196" fontId="85" fillId="0" borderId="0"/>
    <xf numFmtId="0" fontId="9" fillId="0" borderId="0"/>
    <xf numFmtId="0" fontId="83" fillId="0" borderId="0">
      <alignment vertical="center"/>
    </xf>
    <xf numFmtId="0" fontId="86" fillId="0" borderId="0"/>
    <xf numFmtId="42" fontId="84" fillId="0" borderId="0" applyFont="0" applyFill="0" applyBorder="0" applyAlignment="0" applyProtection="0"/>
    <xf numFmtId="0" fontId="87" fillId="0" borderId="0" applyNumberFormat="0" applyFill="0" applyBorder="0" applyAlignment="0" applyProtection="0">
      <alignment vertical="top"/>
      <protection locked="0"/>
    </xf>
    <xf numFmtId="0" fontId="88" fillId="0" borderId="0">
      <alignment vertical="top"/>
    </xf>
    <xf numFmtId="0" fontId="9" fillId="0" borderId="0"/>
    <xf numFmtId="0" fontId="86" fillId="0" borderId="0">
      <alignment vertical="center"/>
    </xf>
    <xf numFmtId="0" fontId="83" fillId="0" borderId="0"/>
    <xf numFmtId="0" fontId="83" fillId="0" borderId="0"/>
    <xf numFmtId="0" fontId="83" fillId="0" borderId="0"/>
    <xf numFmtId="0" fontId="86" fillId="0" borderId="0">
      <alignment vertical="center"/>
    </xf>
    <xf numFmtId="0" fontId="83" fillId="0" borderId="0"/>
    <xf numFmtId="0" fontId="83" fillId="0" borderId="0"/>
    <xf numFmtId="0" fontId="86" fillId="0" borderId="0">
      <alignment vertical="center"/>
    </xf>
    <xf numFmtId="0" fontId="86" fillId="0" borderId="0">
      <alignment vertical="center"/>
    </xf>
    <xf numFmtId="0" fontId="83" fillId="0" borderId="0"/>
    <xf numFmtId="0" fontId="86" fillId="0" borderId="0">
      <alignment vertical="center"/>
    </xf>
    <xf numFmtId="0" fontId="83" fillId="0" borderId="0"/>
    <xf numFmtId="0" fontId="86" fillId="0" borderId="0">
      <alignment vertical="center"/>
    </xf>
    <xf numFmtId="0" fontId="83" fillId="0" borderId="0"/>
    <xf numFmtId="0" fontId="83" fillId="0" borderId="0"/>
    <xf numFmtId="0" fontId="83" fillId="0" borderId="0"/>
    <xf numFmtId="0" fontId="89" fillId="0" borderId="0"/>
    <xf numFmtId="0" fontId="90" fillId="0" borderId="0">
      <alignment vertical="center"/>
    </xf>
    <xf numFmtId="0" fontId="90" fillId="0" borderId="0">
      <alignment vertical="center"/>
    </xf>
    <xf numFmtId="0" fontId="90" fillId="0" borderId="0">
      <alignment vertical="center"/>
    </xf>
    <xf numFmtId="0" fontId="3" fillId="0" borderId="0">
      <alignment vertical="center"/>
    </xf>
    <xf numFmtId="0" fontId="83" fillId="0" borderId="0"/>
    <xf numFmtId="0" fontId="83" fillId="0" borderId="0"/>
    <xf numFmtId="0" fontId="89" fillId="0" borderId="0"/>
    <xf numFmtId="0" fontId="3" fillId="0" borderId="0">
      <alignment vertical="center"/>
    </xf>
    <xf numFmtId="0" fontId="90" fillId="0" borderId="0">
      <alignment vertical="center"/>
    </xf>
    <xf numFmtId="0" fontId="90" fillId="0" borderId="0">
      <alignment vertical="center"/>
    </xf>
    <xf numFmtId="0" fontId="86" fillId="0" borderId="0"/>
    <xf numFmtId="0" fontId="83" fillId="0" borderId="0"/>
    <xf numFmtId="0" fontId="3" fillId="0" borderId="0">
      <alignment vertical="center"/>
    </xf>
    <xf numFmtId="0" fontId="86" fillId="0" borderId="0">
      <alignment vertical="center"/>
    </xf>
    <xf numFmtId="0" fontId="90" fillId="0" borderId="0">
      <alignment vertical="center"/>
    </xf>
    <xf numFmtId="0" fontId="90" fillId="0" borderId="0">
      <alignment vertical="center"/>
    </xf>
    <xf numFmtId="0" fontId="86" fillId="0" borderId="0">
      <alignment vertical="center"/>
    </xf>
    <xf numFmtId="0" fontId="83" fillId="0" borderId="0"/>
    <xf numFmtId="0" fontId="86" fillId="0" borderId="0">
      <alignment vertical="center"/>
    </xf>
    <xf numFmtId="0" fontId="86" fillId="0" borderId="0">
      <alignment vertical="center"/>
    </xf>
    <xf numFmtId="0" fontId="83" fillId="0" borderId="0"/>
    <xf numFmtId="0" fontId="86" fillId="0" borderId="0">
      <alignment vertical="center"/>
    </xf>
    <xf numFmtId="0" fontId="86" fillId="0" borderId="0">
      <alignment vertical="center"/>
    </xf>
    <xf numFmtId="0" fontId="3" fillId="0" borderId="0">
      <alignment vertical="center"/>
    </xf>
    <xf numFmtId="0" fontId="83" fillId="0" borderId="0"/>
    <xf numFmtId="0" fontId="86" fillId="0" borderId="0">
      <alignment vertical="center"/>
    </xf>
    <xf numFmtId="0" fontId="83" fillId="0" borderId="0"/>
    <xf numFmtId="43" fontId="83" fillId="0" borderId="0" applyFont="0" applyFill="0" applyBorder="0" applyAlignment="0" applyProtection="0"/>
    <xf numFmtId="43" fontId="83" fillId="0" borderId="0" applyFont="0" applyFill="0" applyBorder="0" applyAlignment="0" applyProtection="0"/>
    <xf numFmtId="43" fontId="83" fillId="0" borderId="0" applyFont="0" applyFill="0" applyBorder="0" applyAlignment="0" applyProtection="0"/>
    <xf numFmtId="43" fontId="83" fillId="0" borderId="0" applyFont="0" applyFill="0" applyBorder="0" applyAlignment="0" applyProtection="0"/>
    <xf numFmtId="43" fontId="83" fillId="0" borderId="0" applyFont="0" applyFill="0" applyBorder="0" applyAlignment="0" applyProtection="0"/>
    <xf numFmtId="43" fontId="83" fillId="0" borderId="0" applyFont="0" applyFill="0" applyBorder="0" applyAlignment="0" applyProtection="0"/>
    <xf numFmtId="43" fontId="83" fillId="0" borderId="0" applyFont="0" applyFill="0" applyBorder="0" applyAlignment="0" applyProtection="0"/>
    <xf numFmtId="43" fontId="83" fillId="0" borderId="0" applyFont="0" applyFill="0" applyBorder="0" applyAlignment="0" applyProtection="0"/>
    <xf numFmtId="43" fontId="83" fillId="0" borderId="0" applyFont="0" applyFill="0" applyBorder="0" applyAlignment="0" applyProtection="0"/>
    <xf numFmtId="43" fontId="83" fillId="0" borderId="0" applyFont="0" applyFill="0" applyBorder="0" applyAlignment="0" applyProtection="0"/>
    <xf numFmtId="43" fontId="86" fillId="0" borderId="0" applyFont="0" applyFill="0" applyBorder="0" applyAlignment="0" applyProtection="0">
      <alignment vertical="center"/>
    </xf>
    <xf numFmtId="43" fontId="83" fillId="0" borderId="0" applyFont="0" applyFill="0" applyBorder="0" applyAlignment="0" applyProtection="0"/>
    <xf numFmtId="43" fontId="83" fillId="0" borderId="0" applyFont="0" applyFill="0" applyBorder="0" applyAlignment="0" applyProtection="0"/>
    <xf numFmtId="43" fontId="83" fillId="0" borderId="0" applyFont="0" applyFill="0" applyBorder="0" applyAlignment="0" applyProtection="0"/>
    <xf numFmtId="0" fontId="91" fillId="15" borderId="0" applyNumberFormat="0" applyBorder="0" applyAlignment="0" applyProtection="0">
      <alignment vertical="center"/>
    </xf>
    <xf numFmtId="0" fontId="91" fillId="15" borderId="0" applyNumberFormat="0" applyBorder="0" applyAlignment="0" applyProtection="0">
      <alignment vertical="center"/>
    </xf>
    <xf numFmtId="0" fontId="92" fillId="15" borderId="0" applyNumberFormat="0" applyBorder="0" applyAlignment="0" applyProtection="0">
      <alignment vertical="center"/>
    </xf>
    <xf numFmtId="0" fontId="91" fillId="15" borderId="0" applyNumberFormat="0" applyBorder="0" applyAlignment="0" applyProtection="0">
      <alignment vertical="center"/>
    </xf>
    <xf numFmtId="0" fontId="91" fillId="15" borderId="0" applyNumberFormat="0" applyBorder="0" applyAlignment="0" applyProtection="0">
      <alignment vertical="center"/>
    </xf>
    <xf numFmtId="0" fontId="91" fillId="15" borderId="0" applyNumberFormat="0" applyBorder="0" applyAlignment="0" applyProtection="0">
      <alignment vertical="center"/>
    </xf>
    <xf numFmtId="0" fontId="91" fillId="15" borderId="0" applyNumberFormat="0" applyBorder="0" applyAlignment="0" applyProtection="0">
      <alignment vertical="center"/>
    </xf>
    <xf numFmtId="0" fontId="91" fillId="15" borderId="0" applyNumberFormat="0" applyBorder="0" applyAlignment="0" applyProtection="0">
      <alignment vertical="center"/>
    </xf>
    <xf numFmtId="0" fontId="91" fillId="15" borderId="0" applyNumberFormat="0" applyBorder="0" applyAlignment="0" applyProtection="0">
      <alignment vertical="center"/>
    </xf>
    <xf numFmtId="0" fontId="91" fillId="15" borderId="0" applyNumberFormat="0" applyBorder="0" applyAlignment="0" applyProtection="0">
      <alignment vertical="center"/>
    </xf>
    <xf numFmtId="0" fontId="91" fillId="15" borderId="0" applyNumberFormat="0" applyBorder="0" applyAlignment="0" applyProtection="0">
      <alignment vertical="center"/>
    </xf>
    <xf numFmtId="0" fontId="92" fillId="15" borderId="0" applyNumberFormat="0" applyBorder="0" applyAlignment="0" applyProtection="0">
      <alignment vertical="center"/>
    </xf>
    <xf numFmtId="9" fontId="90" fillId="0" borderId="0" applyFont="0" applyFill="0" applyBorder="0" applyAlignment="0" applyProtection="0">
      <alignment vertical="center"/>
    </xf>
    <xf numFmtId="9" fontId="90" fillId="0" borderId="0" applyFont="0" applyFill="0" applyBorder="0" applyAlignment="0" applyProtection="0">
      <alignment vertical="center"/>
    </xf>
    <xf numFmtId="9" fontId="90" fillId="0" borderId="0" applyFont="0" applyFill="0" applyBorder="0" applyAlignment="0" applyProtection="0">
      <alignment vertical="center"/>
    </xf>
    <xf numFmtId="9" fontId="83" fillId="0" borderId="0" applyFont="0" applyFill="0" applyBorder="0" applyAlignment="0" applyProtection="0"/>
    <xf numFmtId="9" fontId="83" fillId="0" borderId="0" applyFont="0" applyFill="0" applyBorder="0" applyAlignment="0" applyProtection="0"/>
    <xf numFmtId="9" fontId="90" fillId="0" borderId="0" applyFont="0" applyFill="0" applyBorder="0" applyAlignment="0" applyProtection="0">
      <alignment vertical="center"/>
    </xf>
    <xf numFmtId="9" fontId="86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9" fontId="90" fillId="0" borderId="0" applyFont="0" applyFill="0" applyBorder="0" applyAlignment="0" applyProtection="0">
      <alignment vertical="center"/>
    </xf>
    <xf numFmtId="9" fontId="90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9" fontId="90" fillId="0" borderId="0" applyFont="0" applyFill="0" applyBorder="0" applyAlignment="0" applyProtection="0">
      <alignment vertical="center"/>
    </xf>
    <xf numFmtId="9" fontId="83" fillId="0" borderId="0" applyFont="0" applyFill="0" applyBorder="0" applyAlignment="0" applyProtection="0"/>
    <xf numFmtId="9" fontId="90" fillId="0" borderId="0" applyFont="0" applyFill="0" applyBorder="0" applyAlignment="0" applyProtection="0">
      <alignment vertical="center"/>
    </xf>
    <xf numFmtId="9" fontId="90" fillId="0" borderId="0" applyFont="0" applyFill="0" applyBorder="0" applyAlignment="0" applyProtection="0">
      <alignment vertical="center"/>
    </xf>
    <xf numFmtId="9" fontId="83" fillId="0" borderId="0" applyFont="0" applyFill="0" applyBorder="0" applyAlignment="0" applyProtection="0"/>
    <xf numFmtId="9" fontId="83" fillId="0" borderId="0" applyFont="0" applyFill="0" applyBorder="0" applyAlignment="0" applyProtection="0"/>
    <xf numFmtId="44" fontId="89" fillId="0" borderId="0" applyFont="0" applyFill="0" applyBorder="0" applyAlignment="0" applyProtection="0">
      <alignment vertical="center"/>
    </xf>
    <xf numFmtId="0" fontId="93" fillId="0" borderId="0">
      <alignment vertical="center"/>
    </xf>
    <xf numFmtId="0" fontId="94" fillId="16" borderId="0" applyNumberFormat="0" applyBorder="0" applyAlignment="0" applyProtection="0">
      <alignment vertical="center"/>
    </xf>
    <xf numFmtId="0" fontId="94" fillId="16" borderId="0" applyNumberFormat="0" applyBorder="0" applyAlignment="0" applyProtection="0">
      <alignment vertical="center"/>
    </xf>
    <xf numFmtId="0" fontId="95" fillId="16" borderId="0" applyNumberFormat="0" applyBorder="0" applyAlignment="0" applyProtection="0">
      <alignment vertical="center"/>
    </xf>
    <xf numFmtId="0" fontId="94" fillId="16" borderId="0" applyNumberFormat="0" applyBorder="0" applyAlignment="0" applyProtection="0">
      <alignment vertical="center"/>
    </xf>
    <xf numFmtId="0" fontId="94" fillId="16" borderId="0" applyNumberFormat="0" applyBorder="0" applyAlignment="0" applyProtection="0">
      <alignment vertical="center"/>
    </xf>
    <xf numFmtId="0" fontId="94" fillId="16" borderId="0" applyNumberFormat="0" applyBorder="0" applyAlignment="0" applyProtection="0">
      <alignment vertical="center"/>
    </xf>
    <xf numFmtId="0" fontId="94" fillId="16" borderId="0" applyNumberFormat="0" applyBorder="0" applyAlignment="0" applyProtection="0">
      <alignment vertical="center"/>
    </xf>
    <xf numFmtId="0" fontId="94" fillId="16" borderId="0" applyNumberFormat="0" applyBorder="0" applyAlignment="0" applyProtection="0">
      <alignment vertical="center"/>
    </xf>
    <xf numFmtId="0" fontId="94" fillId="16" borderId="0" applyNumberFormat="0" applyBorder="0" applyAlignment="0" applyProtection="0">
      <alignment vertical="center"/>
    </xf>
    <xf numFmtId="0" fontId="94" fillId="16" borderId="0" applyNumberFormat="0" applyBorder="0" applyAlignment="0" applyProtection="0">
      <alignment vertical="center"/>
    </xf>
    <xf numFmtId="0" fontId="94" fillId="16" borderId="0" applyNumberFormat="0" applyBorder="0" applyAlignment="0" applyProtection="0">
      <alignment vertical="center"/>
    </xf>
    <xf numFmtId="0" fontId="95" fillId="16" borderId="0" applyNumberFormat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953">
    <xf numFmtId="0" fontId="0" fillId="0" borderId="0" xfId="0" applyFont="1" applyAlignment="1"/>
    <xf numFmtId="0" fontId="7" fillId="0" borderId="0" xfId="0" applyFont="1" applyAlignment="1">
      <alignment shrinkToFit="1"/>
    </xf>
    <xf numFmtId="0" fontId="0" fillId="0" borderId="0" xfId="0" applyFont="1" applyAlignment="1">
      <alignment shrinkToFit="1"/>
    </xf>
    <xf numFmtId="0" fontId="7" fillId="0" borderId="1" xfId="0" applyFont="1" applyBorder="1" applyAlignment="1">
      <alignment horizontal="right" shrinkToFit="1"/>
    </xf>
    <xf numFmtId="0" fontId="7" fillId="0" borderId="1" xfId="0" applyFont="1" applyBorder="1" applyAlignment="1">
      <alignment shrinkToFit="1"/>
    </xf>
    <xf numFmtId="0" fontId="7" fillId="0" borderId="2" xfId="0" applyFont="1" applyBorder="1" applyAlignment="1">
      <alignment shrinkToFit="1"/>
    </xf>
    <xf numFmtId="0" fontId="8" fillId="0" borderId="3" xfId="0" applyFont="1" applyBorder="1" applyAlignment="1">
      <alignment shrinkToFit="1"/>
    </xf>
    <xf numFmtId="0" fontId="8" fillId="2" borderId="1" xfId="0" applyFont="1" applyFill="1" applyBorder="1" applyAlignment="1">
      <alignment shrinkToFit="1"/>
    </xf>
    <xf numFmtId="0" fontId="7" fillId="2" borderId="1" xfId="0" applyFont="1" applyFill="1" applyBorder="1" applyAlignment="1">
      <alignment shrinkToFit="1"/>
    </xf>
    <xf numFmtId="3" fontId="7" fillId="0" borderId="1" xfId="0" applyNumberFormat="1" applyFont="1" applyBorder="1" applyAlignment="1">
      <alignment shrinkToFit="1"/>
    </xf>
    <xf numFmtId="3" fontId="7" fillId="3" borderId="1" xfId="0" applyNumberFormat="1" applyFont="1" applyFill="1" applyBorder="1" applyAlignment="1">
      <alignment shrinkToFit="1"/>
    </xf>
    <xf numFmtId="4" fontId="7" fillId="0" borderId="1" xfId="0" applyNumberFormat="1" applyFont="1" applyBorder="1" applyAlignment="1">
      <alignment horizontal="right" shrinkToFit="1"/>
    </xf>
    <xf numFmtId="10" fontId="7" fillId="2" borderId="1" xfId="0" applyNumberFormat="1" applyFont="1" applyFill="1" applyBorder="1" applyAlignment="1">
      <alignment horizontal="right" shrinkToFit="1"/>
    </xf>
    <xf numFmtId="10" fontId="7" fillId="3" borderId="1" xfId="0" applyNumberFormat="1" applyFont="1" applyFill="1" applyBorder="1" applyAlignment="1">
      <alignment shrinkToFit="1"/>
    </xf>
    <xf numFmtId="10" fontId="7" fillId="0" borderId="1" xfId="0" applyNumberFormat="1" applyFont="1" applyBorder="1" applyAlignment="1">
      <alignment shrinkToFit="1"/>
    </xf>
    <xf numFmtId="10" fontId="8" fillId="0" borderId="0" xfId="0" applyNumberFormat="1" applyFont="1" applyAlignment="1">
      <alignment shrinkToFit="1"/>
    </xf>
    <xf numFmtId="0" fontId="7" fillId="3" borderId="1" xfId="0" applyFont="1" applyFill="1" applyBorder="1" applyAlignment="1">
      <alignment shrinkToFit="1"/>
    </xf>
    <xf numFmtId="4" fontId="7" fillId="0" borderId="1" xfId="0" applyNumberFormat="1" applyFont="1" applyBorder="1" applyAlignment="1">
      <alignment shrinkToFit="1"/>
    </xf>
    <xf numFmtId="0" fontId="8" fillId="2" borderId="5" xfId="0" applyFont="1" applyFill="1" applyBorder="1" applyAlignment="1">
      <alignment shrinkToFit="1"/>
    </xf>
    <xf numFmtId="0" fontId="8" fillId="2" borderId="3" xfId="0" applyFont="1" applyFill="1" applyBorder="1" applyAlignment="1">
      <alignment shrinkToFit="1"/>
    </xf>
    <xf numFmtId="0" fontId="8" fillId="2" borderId="6" xfId="0" applyFont="1" applyFill="1" applyBorder="1" applyAlignment="1">
      <alignment shrinkToFit="1"/>
    </xf>
    <xf numFmtId="0" fontId="7" fillId="2" borderId="3" xfId="0" applyFont="1" applyFill="1" applyBorder="1" applyAlignment="1">
      <alignment shrinkToFit="1"/>
    </xf>
    <xf numFmtId="0" fontId="7" fillId="2" borderId="6" xfId="0" applyFont="1" applyFill="1" applyBorder="1" applyAlignment="1">
      <alignment shrinkToFit="1"/>
    </xf>
    <xf numFmtId="0" fontId="8" fillId="2" borderId="7" xfId="0" applyFont="1" applyFill="1" applyBorder="1" applyAlignment="1">
      <alignment shrinkToFit="1"/>
    </xf>
    <xf numFmtId="0" fontId="7" fillId="0" borderId="3" xfId="0" applyFont="1" applyBorder="1" applyAlignment="1">
      <alignment shrinkToFit="1"/>
    </xf>
    <xf numFmtId="0" fontId="7" fillId="2" borderId="7" xfId="0" applyFont="1" applyFill="1" applyBorder="1" applyAlignment="1">
      <alignment shrinkToFit="1"/>
    </xf>
    <xf numFmtId="0" fontId="8" fillId="0" borderId="8" xfId="0" applyFont="1" applyBorder="1" applyAlignment="1">
      <alignment shrinkToFit="1"/>
    </xf>
    <xf numFmtId="0" fontId="7" fillId="0" borderId="5" xfId="0" applyFont="1" applyBorder="1" applyAlignment="1">
      <alignment shrinkToFit="1"/>
    </xf>
    <xf numFmtId="0" fontId="7" fillId="0" borderId="14" xfId="0" applyFont="1" applyBorder="1" applyAlignment="1">
      <alignment shrinkToFit="1"/>
    </xf>
    <xf numFmtId="0" fontId="7" fillId="0" borderId="8" xfId="0" applyFont="1" applyBorder="1" applyAlignment="1">
      <alignment shrinkToFit="1"/>
    </xf>
    <xf numFmtId="10" fontId="7" fillId="0" borderId="5" xfId="0" applyNumberFormat="1" applyFont="1" applyBorder="1" applyAlignment="1">
      <alignment shrinkToFit="1"/>
    </xf>
    <xf numFmtId="0" fontId="7" fillId="3" borderId="5" xfId="0" applyFont="1" applyFill="1" applyBorder="1" applyAlignment="1">
      <alignment shrinkToFit="1"/>
    </xf>
    <xf numFmtId="0" fontId="7" fillId="2" borderId="15" xfId="0" applyFont="1" applyFill="1" applyBorder="1" applyAlignment="1">
      <alignment shrinkToFit="1"/>
    </xf>
    <xf numFmtId="10" fontId="7" fillId="3" borderId="17" xfId="0" applyNumberFormat="1" applyFont="1" applyFill="1" applyBorder="1" applyAlignment="1">
      <alignment shrinkToFit="1"/>
    </xf>
    <xf numFmtId="0" fontId="7" fillId="3" borderId="18" xfId="0" applyFont="1" applyFill="1" applyBorder="1" applyAlignment="1">
      <alignment shrinkToFit="1"/>
    </xf>
    <xf numFmtId="0" fontId="7" fillId="0" borderId="6" xfId="0" applyFont="1" applyBorder="1" applyAlignment="1">
      <alignment shrinkToFit="1"/>
    </xf>
    <xf numFmtId="10" fontId="7" fillId="0" borderId="6" xfId="0" applyNumberFormat="1" applyFont="1" applyBorder="1" applyAlignment="1">
      <alignment shrinkToFit="1"/>
    </xf>
    <xf numFmtId="0" fontId="7" fillId="3" borderId="6" xfId="0" applyFont="1" applyFill="1" applyBorder="1" applyAlignment="1">
      <alignment shrinkToFit="1"/>
    </xf>
    <xf numFmtId="10" fontId="7" fillId="0" borderId="0" xfId="0" applyNumberFormat="1" applyFont="1" applyAlignment="1">
      <alignment shrinkToFit="1"/>
    </xf>
    <xf numFmtId="10" fontId="7" fillId="2" borderId="1" xfId="0" applyNumberFormat="1" applyFont="1" applyFill="1" applyBorder="1" applyAlignment="1">
      <alignment shrinkToFit="1"/>
    </xf>
    <xf numFmtId="0" fontId="7" fillId="3" borderId="7" xfId="0" applyFont="1" applyFill="1" applyBorder="1" applyAlignment="1">
      <alignment shrinkToFit="1"/>
    </xf>
    <xf numFmtId="10" fontId="7" fillId="3" borderId="5" xfId="0" applyNumberFormat="1" applyFont="1" applyFill="1" applyBorder="1" applyAlignment="1">
      <alignment shrinkToFit="1"/>
    </xf>
    <xf numFmtId="0" fontId="7" fillId="0" borderId="11" xfId="0" applyFont="1" applyBorder="1" applyAlignment="1">
      <alignment shrinkToFit="1"/>
    </xf>
    <xf numFmtId="10" fontId="7" fillId="0" borderId="14" xfId="0" applyNumberFormat="1" applyFont="1" applyBorder="1" applyAlignment="1">
      <alignment shrinkToFit="1"/>
    </xf>
    <xf numFmtId="10" fontId="7" fillId="3" borderId="14" xfId="0" applyNumberFormat="1" applyFont="1" applyFill="1" applyBorder="1" applyAlignment="1">
      <alignment shrinkToFit="1"/>
    </xf>
    <xf numFmtId="0" fontId="7" fillId="2" borderId="2" xfId="0" applyFont="1" applyFill="1" applyBorder="1" applyAlignment="1">
      <alignment shrinkToFit="1"/>
    </xf>
    <xf numFmtId="0" fontId="7" fillId="2" borderId="4" xfId="0" applyFont="1" applyFill="1" applyBorder="1" applyAlignment="1">
      <alignment shrinkToFit="1"/>
    </xf>
    <xf numFmtId="0" fontId="0" fillId="0" borderId="0" xfId="0" applyFont="1" applyAlignment="1">
      <alignment shrinkToFit="1"/>
    </xf>
    <xf numFmtId="0" fontId="11" fillId="0" borderId="1" xfId="0" applyFont="1" applyBorder="1" applyAlignment="1">
      <alignment shrinkToFit="1"/>
    </xf>
    <xf numFmtId="0" fontId="11" fillId="2" borderId="1" xfId="0" applyFont="1" applyFill="1" applyBorder="1" applyAlignment="1">
      <alignment horizontal="left" shrinkToFit="1"/>
    </xf>
    <xf numFmtId="0" fontId="12" fillId="2" borderId="1" xfId="0" applyFont="1" applyFill="1" applyBorder="1" applyAlignment="1">
      <alignment shrinkToFit="1"/>
    </xf>
    <xf numFmtId="0" fontId="11" fillId="2" borderId="6" xfId="0" applyFont="1" applyFill="1" applyBorder="1" applyAlignment="1">
      <alignment shrinkToFit="1"/>
    </xf>
    <xf numFmtId="0" fontId="11" fillId="2" borderId="2" xfId="0" applyFont="1" applyFill="1" applyBorder="1" applyAlignment="1">
      <alignment shrinkToFit="1"/>
    </xf>
    <xf numFmtId="0" fontId="12" fillId="2" borderId="5" xfId="0" applyFont="1" applyFill="1" applyBorder="1" applyAlignment="1">
      <alignment shrinkToFit="1"/>
    </xf>
    <xf numFmtId="0" fontId="12" fillId="2" borderId="4" xfId="0" applyFont="1" applyFill="1" applyBorder="1" applyAlignment="1">
      <alignment shrinkToFit="1"/>
    </xf>
    <xf numFmtId="0" fontId="7" fillId="2" borderId="22" xfId="0" applyFont="1" applyFill="1" applyBorder="1" applyAlignment="1">
      <alignment shrinkToFit="1"/>
    </xf>
    <xf numFmtId="0" fontId="7" fillId="2" borderId="23" xfId="0" applyFont="1" applyFill="1" applyBorder="1" applyAlignment="1">
      <alignment shrinkToFit="1"/>
    </xf>
    <xf numFmtId="0" fontId="11" fillId="2" borderId="22" xfId="0" applyFont="1" applyFill="1" applyBorder="1" applyAlignment="1">
      <alignment shrinkToFit="1"/>
    </xf>
    <xf numFmtId="0" fontId="11" fillId="2" borderId="1" xfId="0" applyFont="1" applyFill="1" applyBorder="1" applyAlignment="1">
      <alignment shrinkToFit="1"/>
    </xf>
    <xf numFmtId="0" fontId="11" fillId="2" borderId="4" xfId="0" applyFont="1" applyFill="1" applyBorder="1" applyAlignment="1">
      <alignment shrinkToFit="1"/>
    </xf>
    <xf numFmtId="0" fontId="11" fillId="2" borderId="16" xfId="0" applyFont="1" applyFill="1" applyBorder="1" applyAlignment="1">
      <alignment shrinkToFit="1"/>
    </xf>
    <xf numFmtId="0" fontId="11" fillId="4" borderId="0" xfId="0" applyFont="1" applyFill="1" applyAlignment="1"/>
    <xf numFmtId="0" fontId="12" fillId="4" borderId="0" xfId="0" applyFont="1" applyFill="1" applyAlignment="1">
      <alignment shrinkToFit="1"/>
    </xf>
    <xf numFmtId="0" fontId="11" fillId="4" borderId="0" xfId="0" applyFont="1" applyFill="1" applyAlignment="1">
      <alignment shrinkToFit="1"/>
    </xf>
    <xf numFmtId="0" fontId="8" fillId="4" borderId="0" xfId="0" applyFont="1" applyFill="1" applyAlignment="1">
      <alignment shrinkToFit="1"/>
    </xf>
    <xf numFmtId="0" fontId="7" fillId="4" borderId="0" xfId="0" applyFont="1" applyFill="1" applyAlignment="1"/>
    <xf numFmtId="10" fontId="7" fillId="4" borderId="0" xfId="0" applyNumberFormat="1" applyFont="1" applyFill="1" applyAlignment="1">
      <alignment shrinkToFit="1"/>
    </xf>
    <xf numFmtId="0" fontId="7" fillId="4" borderId="0" xfId="0" applyFont="1" applyFill="1" applyAlignment="1">
      <alignment shrinkToFit="1"/>
    </xf>
    <xf numFmtId="0" fontId="0" fillId="4" borderId="0" xfId="0" applyFont="1" applyFill="1" applyAlignment="1">
      <alignment shrinkToFit="1"/>
    </xf>
    <xf numFmtId="0" fontId="7" fillId="2" borderId="24" xfId="0" applyFont="1" applyFill="1" applyBorder="1" applyAlignment="1">
      <alignment shrinkToFit="1"/>
    </xf>
    <xf numFmtId="0" fontId="12" fillId="0" borderId="11" xfId="0" applyFont="1" applyBorder="1" applyAlignment="1">
      <alignment horizontal="right" shrinkToFit="1"/>
    </xf>
    <xf numFmtId="0" fontId="12" fillId="0" borderId="3" xfId="0" applyFont="1" applyBorder="1" applyAlignment="1">
      <alignment horizontal="right" shrinkToFit="1"/>
    </xf>
    <xf numFmtId="0" fontId="14" fillId="0" borderId="0" xfId="0" applyFont="1" applyAlignment="1">
      <alignment horizontal="center"/>
    </xf>
    <xf numFmtId="10" fontId="14" fillId="0" borderId="0" xfId="0" applyNumberFormat="1" applyFont="1" applyAlignment="1"/>
    <xf numFmtId="0" fontId="14" fillId="0" borderId="0" xfId="0" applyFont="1" applyAlignment="1"/>
    <xf numFmtId="0" fontId="18" fillId="0" borderId="0" xfId="0" applyFont="1" applyAlignment="1">
      <alignment horizontal="left" vertical="center"/>
    </xf>
    <xf numFmtId="0" fontId="0" fillId="0" borderId="0" xfId="0" applyFont="1" applyAlignment="1">
      <alignment shrinkToFit="1"/>
    </xf>
    <xf numFmtId="0" fontId="26" fillId="0" borderId="0" xfId="0" applyFont="1" applyAlignment="1"/>
    <xf numFmtId="176" fontId="27" fillId="5" borderId="0" xfId="0" applyNumberFormat="1" applyFont="1" applyFill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0" xfId="0" applyFont="1" applyAlignment="1">
      <alignment horizontal="center"/>
    </xf>
    <xf numFmtId="0" fontId="26" fillId="0" borderId="0" xfId="0" applyFont="1" applyAlignment="1">
      <alignment vertical="center"/>
    </xf>
    <xf numFmtId="0" fontId="14" fillId="0" borderId="0" xfId="0" applyFont="1" applyFill="1" applyAlignment="1">
      <alignment vertical="center"/>
    </xf>
    <xf numFmtId="0" fontId="26" fillId="0" borderId="0" xfId="0" applyFont="1" applyFill="1" applyAlignment="1"/>
    <xf numFmtId="0" fontId="26" fillId="0" borderId="0" xfId="0" applyFont="1" applyFill="1" applyAlignment="1">
      <alignment horizontal="center"/>
    </xf>
    <xf numFmtId="176" fontId="27" fillId="0" borderId="0" xfId="0" applyNumberFormat="1" applyFont="1" applyFill="1" applyAlignment="1">
      <alignment horizontal="center" vertical="center"/>
    </xf>
    <xf numFmtId="176" fontId="26" fillId="0" borderId="0" xfId="0" applyNumberFormat="1" applyFont="1" applyFill="1" applyAlignment="1"/>
    <xf numFmtId="177" fontId="26" fillId="0" borderId="0" xfId="0" applyNumberFormat="1" applyFont="1" applyFill="1" applyAlignment="1"/>
    <xf numFmtId="178" fontId="26" fillId="0" borderId="0" xfId="0" applyNumberFormat="1" applyFont="1" applyFill="1" applyAlignment="1"/>
    <xf numFmtId="10" fontId="26" fillId="0" borderId="0" xfId="0" applyNumberFormat="1" applyFont="1" applyFill="1" applyAlignment="1"/>
    <xf numFmtId="176" fontId="27" fillId="6" borderId="0" xfId="0" applyNumberFormat="1" applyFont="1" applyFill="1" applyAlignment="1">
      <alignment horizontal="center" vertical="center"/>
    </xf>
    <xf numFmtId="176" fontId="27" fillId="7" borderId="0" xfId="0" applyNumberFormat="1" applyFont="1" applyFill="1" applyAlignment="1">
      <alignment horizontal="center" vertical="center"/>
    </xf>
    <xf numFmtId="180" fontId="26" fillId="0" borderId="0" xfId="0" applyNumberFormat="1" applyFont="1" applyFill="1" applyAlignment="1"/>
    <xf numFmtId="180" fontId="14" fillId="0" borderId="0" xfId="0" applyNumberFormat="1" applyFont="1" applyAlignment="1"/>
    <xf numFmtId="176" fontId="17" fillId="0" borderId="0" xfId="0" applyNumberFormat="1" applyFont="1" applyFill="1" applyAlignment="1">
      <alignment horizontal="center" vertical="center"/>
    </xf>
    <xf numFmtId="180" fontId="17" fillId="0" borderId="0" xfId="0" applyNumberFormat="1" applyFont="1" applyFill="1" applyAlignment="1">
      <alignment horizontal="center" vertical="center"/>
    </xf>
    <xf numFmtId="182" fontId="26" fillId="0" borderId="0" xfId="0" applyNumberFormat="1" applyFont="1" applyFill="1" applyAlignment="1"/>
    <xf numFmtId="0" fontId="26" fillId="0" borderId="0" xfId="0" applyFont="1" applyFill="1" applyAlignment="1">
      <alignment vertical="center"/>
    </xf>
    <xf numFmtId="182" fontId="27" fillId="0" borderId="22" xfId="0" applyNumberFormat="1" applyFont="1" applyFill="1" applyBorder="1" applyAlignment="1">
      <alignment horizontal="center" vertical="center"/>
    </xf>
    <xf numFmtId="10" fontId="27" fillId="0" borderId="22" xfId="0" applyNumberFormat="1" applyFont="1" applyFill="1" applyBorder="1" applyAlignment="1">
      <alignment horizontal="center" vertical="center"/>
    </xf>
    <xf numFmtId="10" fontId="26" fillId="0" borderId="22" xfId="0" applyNumberFormat="1" applyFont="1" applyFill="1" applyBorder="1" applyAlignment="1"/>
    <xf numFmtId="182" fontId="26" fillId="0" borderId="0" xfId="0" applyNumberFormat="1" applyFont="1" applyFill="1" applyAlignment="1">
      <alignment horizontal="center"/>
    </xf>
    <xf numFmtId="0" fontId="29" fillId="0" borderId="0" xfId="0" applyFont="1" applyFill="1" applyAlignment="1"/>
    <xf numFmtId="177" fontId="26" fillId="0" borderId="0" xfId="0" applyNumberFormat="1" applyFont="1" applyFill="1" applyAlignment="1">
      <alignment horizontal="center"/>
    </xf>
    <xf numFmtId="177" fontId="17" fillId="0" borderId="22" xfId="0" applyNumberFormat="1" applyFont="1" applyFill="1" applyBorder="1" applyAlignment="1">
      <alignment horizontal="center" vertical="center"/>
    </xf>
    <xf numFmtId="177" fontId="26" fillId="0" borderId="22" xfId="0" applyNumberFormat="1" applyFont="1" applyFill="1" applyBorder="1" applyAlignment="1"/>
    <xf numFmtId="0" fontId="0" fillId="0" borderId="0" xfId="0" applyFont="1" applyAlignment="1">
      <alignment horizontal="center" vertical="center"/>
    </xf>
    <xf numFmtId="0" fontId="0" fillId="0" borderId="0" xfId="0" applyFont="1" applyAlignment="1">
      <alignment vertical="center"/>
    </xf>
    <xf numFmtId="0" fontId="0" fillId="0" borderId="0" xfId="0" applyFont="1" applyAlignment="1">
      <alignment vertical="center" shrinkToFit="1"/>
    </xf>
    <xf numFmtId="0" fontId="0" fillId="0" borderId="0" xfId="0" applyFont="1" applyAlignment="1">
      <alignment horizontal="center" vertical="center" shrinkToFit="1"/>
    </xf>
    <xf numFmtId="0" fontId="0" fillId="0" borderId="0" xfId="0" applyFont="1" applyAlignment="1">
      <alignment wrapText="1" shrinkToFit="1"/>
    </xf>
    <xf numFmtId="0" fontId="7" fillId="0" borderId="3" xfId="0" applyFont="1" applyBorder="1" applyAlignment="1">
      <alignment vertical="center" shrinkToFit="1"/>
    </xf>
    <xf numFmtId="0" fontId="7" fillId="0" borderId="8" xfId="0" applyFont="1" applyBorder="1" applyAlignment="1">
      <alignment vertical="center" shrinkToFit="1"/>
    </xf>
    <xf numFmtId="0" fontId="11" fillId="2" borderId="1" xfId="0" applyFont="1" applyFill="1" applyBorder="1" applyAlignment="1">
      <alignment horizontal="center" vertical="center" shrinkToFit="1"/>
    </xf>
    <xf numFmtId="0" fontId="11" fillId="2" borderId="4" xfId="0" applyFont="1" applyFill="1" applyBorder="1" applyAlignment="1">
      <alignment horizontal="center" vertical="center" shrinkToFit="1"/>
    </xf>
    <xf numFmtId="0" fontId="11" fillId="2" borderId="2" xfId="0" applyFont="1" applyFill="1" applyBorder="1" applyAlignment="1">
      <alignment horizontal="center" vertical="center" shrinkToFit="1"/>
    </xf>
    <xf numFmtId="0" fontId="11" fillId="2" borderId="3" xfId="0" applyFont="1" applyFill="1" applyBorder="1" applyAlignment="1">
      <alignment horizontal="center" vertical="center" shrinkToFit="1"/>
    </xf>
    <xf numFmtId="0" fontId="7" fillId="2" borderId="1" xfId="0" applyFont="1" applyFill="1" applyBorder="1" applyAlignment="1">
      <alignment horizontal="center" vertical="center" shrinkToFit="1"/>
    </xf>
    <xf numFmtId="0" fontId="11" fillId="2" borderId="16" xfId="0" applyFont="1" applyFill="1" applyBorder="1" applyAlignment="1">
      <alignment horizontal="center" shrinkToFit="1"/>
    </xf>
    <xf numFmtId="0" fontId="26" fillId="0" borderId="0" xfId="0" applyFont="1" applyAlignment="1">
      <alignment shrinkToFit="1"/>
    </xf>
    <xf numFmtId="0" fontId="26" fillId="4" borderId="0" xfId="0" applyFont="1" applyFill="1" applyAlignment="1">
      <alignment shrinkToFit="1"/>
    </xf>
    <xf numFmtId="0" fontId="26" fillId="0" borderId="0" xfId="0" applyFont="1" applyFill="1" applyAlignment="1">
      <alignment shrinkToFit="1"/>
    </xf>
    <xf numFmtId="0" fontId="28" fillId="0" borderId="0" xfId="0" applyFont="1" applyFill="1" applyAlignment="1">
      <alignment shrinkToFit="1"/>
    </xf>
    <xf numFmtId="0" fontId="44" fillId="0" borderId="0" xfId="0" applyFont="1" applyFill="1" applyBorder="1" applyAlignment="1">
      <alignment shrinkToFit="1"/>
    </xf>
    <xf numFmtId="0" fontId="26" fillId="0" borderId="22" xfId="0" applyFont="1" applyFill="1" applyBorder="1" applyAlignment="1">
      <alignment shrinkToFit="1"/>
    </xf>
    <xf numFmtId="0" fontId="26" fillId="0" borderId="0" xfId="0" applyFont="1" applyFill="1" applyAlignment="1">
      <alignment horizontal="center" shrinkToFit="1"/>
    </xf>
    <xf numFmtId="0" fontId="28" fillId="0" borderId="0" xfId="0" applyFont="1" applyFill="1" applyAlignment="1">
      <alignment horizontal="center" shrinkToFit="1"/>
    </xf>
    <xf numFmtId="0" fontId="26" fillId="0" borderId="0" xfId="0" applyFont="1" applyFill="1" applyAlignment="1">
      <alignment horizontal="center" vertical="center" shrinkToFit="1"/>
    </xf>
    <xf numFmtId="0" fontId="44" fillId="0" borderId="22" xfId="0" applyFont="1" applyFill="1" applyBorder="1" applyAlignment="1">
      <alignment shrinkToFit="1"/>
    </xf>
    <xf numFmtId="4" fontId="28" fillId="0" borderId="22" xfId="0" applyNumberFormat="1" applyFont="1" applyFill="1" applyBorder="1" applyAlignment="1">
      <alignment shrinkToFit="1"/>
    </xf>
    <xf numFmtId="0" fontId="26" fillId="4" borderId="0" xfId="0" applyFont="1" applyFill="1" applyBorder="1" applyAlignment="1">
      <alignment shrinkToFit="1"/>
    </xf>
    <xf numFmtId="0" fontId="28" fillId="4" borderId="0" xfId="0" applyFont="1" applyFill="1" applyBorder="1" applyAlignment="1">
      <alignment shrinkToFit="1"/>
    </xf>
    <xf numFmtId="0" fontId="48" fillId="0" borderId="0" xfId="0" applyFont="1" applyFill="1" applyBorder="1" applyAlignment="1"/>
    <xf numFmtId="0" fontId="26" fillId="0" borderId="0" xfId="0" applyFont="1" applyFill="1" applyBorder="1" applyAlignment="1">
      <alignment shrinkToFit="1"/>
    </xf>
    <xf numFmtId="0" fontId="50" fillId="0" borderId="0" xfId="0" applyFont="1" applyFill="1" applyBorder="1" applyAlignment="1"/>
    <xf numFmtId="0" fontId="26" fillId="0" borderId="0" xfId="0" applyFont="1" applyFill="1" applyBorder="1" applyAlignment="1">
      <alignment horizontal="center" shrinkToFit="1"/>
    </xf>
    <xf numFmtId="0" fontId="26" fillId="0" borderId="0" xfId="0" applyFont="1" applyFill="1" applyBorder="1" applyAlignment="1">
      <alignment horizontal="center" vertical="center" shrinkToFit="1"/>
    </xf>
    <xf numFmtId="10" fontId="44" fillId="0" borderId="0" xfId="0" applyNumberFormat="1" applyFont="1" applyFill="1" applyBorder="1" applyAlignment="1">
      <alignment shrinkToFit="1"/>
    </xf>
    <xf numFmtId="0" fontId="45" fillId="0" borderId="0" xfId="0" applyFont="1" applyFill="1" applyBorder="1" applyAlignment="1"/>
    <xf numFmtId="0" fontId="51" fillId="0" borderId="22" xfId="0" applyFont="1" applyFill="1" applyBorder="1" applyAlignment="1">
      <alignment horizontal="center" vertical="center" shrinkToFit="1"/>
    </xf>
    <xf numFmtId="0" fontId="51" fillId="8" borderId="22" xfId="0" applyFont="1" applyFill="1" applyBorder="1" applyAlignment="1">
      <alignment horizontal="center" vertical="center" shrinkToFit="1"/>
    </xf>
    <xf numFmtId="0" fontId="44" fillId="0" borderId="22" xfId="0" applyFont="1" applyFill="1" applyBorder="1" applyAlignment="1">
      <alignment horizontal="center" shrinkToFit="1"/>
    </xf>
    <xf numFmtId="3" fontId="28" fillId="0" borderId="22" xfId="0" applyNumberFormat="1" applyFont="1" applyFill="1" applyBorder="1" applyAlignment="1">
      <alignment shrinkToFit="1"/>
    </xf>
    <xf numFmtId="10" fontId="28" fillId="0" borderId="22" xfId="0" applyNumberFormat="1" applyFont="1" applyFill="1" applyBorder="1" applyAlignment="1">
      <alignment shrinkToFit="1"/>
    </xf>
    <xf numFmtId="4" fontId="28" fillId="0" borderId="22" xfId="0" applyNumberFormat="1" applyFont="1" applyFill="1" applyBorder="1" applyAlignment="1">
      <alignment horizontal="right" shrinkToFit="1"/>
    </xf>
    <xf numFmtId="0" fontId="44" fillId="0" borderId="22" xfId="0" applyFont="1" applyFill="1" applyBorder="1" applyAlignment="1">
      <alignment horizontal="center" vertical="center" shrinkToFit="1"/>
    </xf>
    <xf numFmtId="0" fontId="52" fillId="0" borderId="22" xfId="0" applyFont="1" applyFill="1" applyBorder="1" applyAlignment="1">
      <alignment horizontal="center" shrinkToFit="1"/>
    </xf>
    <xf numFmtId="0" fontId="7" fillId="0" borderId="0" xfId="0" applyFont="1" applyBorder="1" applyAlignment="1">
      <alignment horizontal="center" vertical="center" shrinkToFit="1"/>
    </xf>
    <xf numFmtId="0" fontId="7" fillId="0" borderId="0" xfId="0" applyFont="1" applyBorder="1" applyAlignment="1">
      <alignment horizontal="right" shrinkToFit="1"/>
    </xf>
    <xf numFmtId="0" fontId="11" fillId="0" borderId="0" xfId="0" applyFont="1" applyBorder="1" applyAlignment="1">
      <alignment shrinkToFit="1"/>
    </xf>
    <xf numFmtId="0" fontId="7" fillId="0" borderId="0" xfId="0" applyFont="1" applyBorder="1" applyAlignment="1">
      <alignment shrinkToFit="1"/>
    </xf>
    <xf numFmtId="0" fontId="26" fillId="0" borderId="0" xfId="0" applyFont="1" applyBorder="1" applyAlignment="1">
      <alignment shrinkToFit="1"/>
    </xf>
    <xf numFmtId="0" fontId="26" fillId="4" borderId="0" xfId="0" applyFont="1" applyFill="1" applyBorder="1" applyAlignment="1">
      <alignment horizontal="center" vertical="center" shrinkToFit="1"/>
    </xf>
    <xf numFmtId="0" fontId="26" fillId="0" borderId="0" xfId="0" applyFont="1" applyAlignment="1">
      <alignment horizontal="center" vertical="center" shrinkToFit="1"/>
    </xf>
    <xf numFmtId="0" fontId="26" fillId="4" borderId="0" xfId="0" applyFont="1" applyFill="1" applyBorder="1" applyAlignment="1">
      <alignment horizontal="center" shrinkToFit="1"/>
    </xf>
    <xf numFmtId="0" fontId="28" fillId="0" borderId="22" xfId="0" applyFont="1" applyBorder="1" applyAlignment="1">
      <alignment horizontal="center" vertical="center" shrinkToFit="1"/>
    </xf>
    <xf numFmtId="0" fontId="28" fillId="0" borderId="22" xfId="0" applyFont="1" applyBorder="1" applyAlignment="1">
      <alignment horizontal="center" shrinkToFit="1"/>
    </xf>
    <xf numFmtId="0" fontId="44" fillId="0" borderId="22" xfId="0" applyFont="1" applyBorder="1" applyAlignment="1">
      <alignment horizontal="center" shrinkToFit="1"/>
    </xf>
    <xf numFmtId="0" fontId="26" fillId="4" borderId="22" xfId="0" applyFont="1" applyFill="1" applyBorder="1" applyAlignment="1">
      <alignment horizontal="center" shrinkToFit="1"/>
    </xf>
    <xf numFmtId="0" fontId="28" fillId="4" borderId="22" xfId="0" applyFont="1" applyFill="1" applyBorder="1" applyAlignment="1">
      <alignment horizontal="center" shrinkToFit="1"/>
    </xf>
    <xf numFmtId="0" fontId="26" fillId="0" borderId="0" xfId="0" applyFont="1" applyAlignment="1">
      <alignment vertical="center" shrinkToFit="1"/>
    </xf>
    <xf numFmtId="0" fontId="26" fillId="0" borderId="0" xfId="0" applyFont="1" applyAlignment="1">
      <alignment horizontal="center" shrinkToFit="1"/>
    </xf>
    <xf numFmtId="0" fontId="28" fillId="2" borderId="22" xfId="0" applyFont="1" applyFill="1" applyBorder="1" applyAlignment="1">
      <alignment horizontal="center" vertical="center" shrinkToFit="1"/>
    </xf>
    <xf numFmtId="0" fontId="28" fillId="0" borderId="22" xfId="0" applyFont="1" applyBorder="1" applyAlignment="1">
      <alignment shrinkToFit="1"/>
    </xf>
    <xf numFmtId="0" fontId="44" fillId="0" borderId="22" xfId="0" applyFont="1" applyBorder="1" applyAlignment="1">
      <alignment horizontal="right" shrinkToFit="1"/>
    </xf>
    <xf numFmtId="0" fontId="28" fillId="5" borderId="22" xfId="0" applyFont="1" applyFill="1" applyBorder="1" applyAlignment="1">
      <alignment horizontal="center" vertical="center" shrinkToFit="1"/>
    </xf>
    <xf numFmtId="0" fontId="28" fillId="5" borderId="22" xfId="0" applyFont="1" applyFill="1" applyBorder="1" applyAlignment="1">
      <alignment horizontal="center" shrinkToFit="1"/>
    </xf>
    <xf numFmtId="0" fontId="44" fillId="5" borderId="22" xfId="0" applyFont="1" applyFill="1" applyBorder="1" applyAlignment="1">
      <alignment horizontal="center" shrinkToFit="1"/>
    </xf>
    <xf numFmtId="0" fontId="26" fillId="5" borderId="22" xfId="0" applyFont="1" applyFill="1" applyBorder="1" applyAlignment="1">
      <alignment horizontal="center" shrinkToFit="1"/>
    </xf>
    <xf numFmtId="0" fontId="28" fillId="2" borderId="1" xfId="0" applyFont="1" applyFill="1" applyBorder="1" applyAlignment="1">
      <alignment horizontal="center" vertical="center" shrinkToFit="1"/>
    </xf>
    <xf numFmtId="0" fontId="28" fillId="0" borderId="3" xfId="0" applyFont="1" applyBorder="1" applyAlignment="1">
      <alignment vertical="center" shrinkToFit="1"/>
    </xf>
    <xf numFmtId="0" fontId="28" fillId="0" borderId="1" xfId="0" applyFont="1" applyBorder="1" applyAlignment="1">
      <alignment shrinkToFit="1"/>
    </xf>
    <xf numFmtId="0" fontId="28" fillId="0" borderId="8" xfId="0" applyFont="1" applyBorder="1" applyAlignment="1">
      <alignment vertical="center" shrinkToFit="1"/>
    </xf>
    <xf numFmtId="0" fontId="28" fillId="0" borderId="5" xfId="0" applyFont="1" applyBorder="1" applyAlignment="1">
      <alignment shrinkToFit="1"/>
    </xf>
    <xf numFmtId="0" fontId="26" fillId="0" borderId="0" xfId="0" applyFont="1" applyAlignment="1">
      <alignment wrapText="1" shrinkToFit="1"/>
    </xf>
    <xf numFmtId="0" fontId="26" fillId="0" borderId="0" xfId="0" applyFont="1" applyAlignment="1">
      <alignment horizontal="center" vertical="center" wrapText="1" shrinkToFit="1"/>
    </xf>
    <xf numFmtId="10" fontId="28" fillId="2" borderId="22" xfId="0" applyNumberFormat="1" applyFont="1" applyFill="1" applyBorder="1" applyAlignment="1">
      <alignment horizontal="center" vertical="center" shrinkToFit="1"/>
    </xf>
    <xf numFmtId="10" fontId="28" fillId="0" borderId="22" xfId="0" applyNumberFormat="1" applyFont="1" applyBorder="1" applyAlignment="1">
      <alignment shrinkToFit="1"/>
    </xf>
    <xf numFmtId="10" fontId="28" fillId="3" borderId="22" xfId="0" applyNumberFormat="1" applyFont="1" applyFill="1" applyBorder="1" applyAlignment="1">
      <alignment shrinkToFit="1"/>
    </xf>
    <xf numFmtId="0" fontId="28" fillId="2" borderId="23" xfId="0" applyFont="1" applyFill="1" applyBorder="1" applyAlignment="1">
      <alignment horizontal="center" vertical="center" shrinkToFit="1"/>
    </xf>
    <xf numFmtId="10" fontId="28" fillId="2" borderId="23" xfId="0" applyNumberFormat="1" applyFont="1" applyFill="1" applyBorder="1" applyAlignment="1">
      <alignment horizontal="center" vertical="center" shrinkToFit="1"/>
    </xf>
    <xf numFmtId="1" fontId="0" fillId="0" borderId="22" xfId="0" applyNumberFormat="1" applyFont="1" applyBorder="1" applyAlignment="1">
      <alignment horizontal="center" vertical="center"/>
    </xf>
    <xf numFmtId="0" fontId="26" fillId="0" borderId="0" xfId="11" applyFont="1" applyAlignment="1">
      <alignment shrinkToFit="1"/>
    </xf>
    <xf numFmtId="0" fontId="26" fillId="4" borderId="0" xfId="11" applyFont="1" applyFill="1" applyAlignment="1">
      <alignment shrinkToFit="1"/>
    </xf>
    <xf numFmtId="0" fontId="26" fillId="0" borderId="0" xfId="11" applyFont="1" applyBorder="1" applyAlignment="1">
      <alignment shrinkToFit="1"/>
    </xf>
    <xf numFmtId="0" fontId="26" fillId="4" borderId="0" xfId="11" applyFont="1" applyFill="1" applyBorder="1" applyAlignment="1">
      <alignment shrinkToFit="1"/>
    </xf>
    <xf numFmtId="0" fontId="45" fillId="0" borderId="0" xfId="11" applyFont="1" applyAlignment="1">
      <alignment shrinkToFit="1"/>
    </xf>
    <xf numFmtId="184" fontId="63" fillId="0" borderId="0" xfId="11" applyNumberFormat="1" applyFont="1" applyAlignment="1">
      <alignment shrinkToFit="1"/>
    </xf>
    <xf numFmtId="0" fontId="44" fillId="0" borderId="6" xfId="11" applyFont="1" applyFill="1" applyBorder="1" applyAlignment="1">
      <alignment horizontal="center" shrinkToFit="1"/>
    </xf>
    <xf numFmtId="3" fontId="36" fillId="0" borderId="6" xfId="11" applyNumberFormat="1" applyFont="1" applyFill="1" applyBorder="1" applyAlignment="1">
      <alignment shrinkToFit="1"/>
    </xf>
    <xf numFmtId="10" fontId="36" fillId="0" borderId="6" xfId="11" applyNumberFormat="1" applyFont="1" applyFill="1" applyBorder="1" applyAlignment="1">
      <alignment shrinkToFit="1"/>
    </xf>
    <xf numFmtId="3" fontId="28" fillId="0" borderId="22" xfId="11" applyNumberFormat="1" applyFont="1" applyFill="1" applyBorder="1" applyAlignment="1">
      <alignment shrinkToFit="1"/>
    </xf>
    <xf numFmtId="10" fontId="28" fillId="0" borderId="22" xfId="11" applyNumberFormat="1" applyFont="1" applyFill="1" applyBorder="1" applyAlignment="1">
      <alignment shrinkToFit="1"/>
    </xf>
    <xf numFmtId="0" fontId="26" fillId="0" borderId="0" xfId="11" applyFont="1" applyFill="1" applyAlignment="1">
      <alignment shrinkToFit="1"/>
    </xf>
    <xf numFmtId="0" fontId="44" fillId="0" borderId="1" xfId="11" applyFont="1" applyFill="1" applyBorder="1" applyAlignment="1">
      <alignment horizontal="center" shrinkToFit="1"/>
    </xf>
    <xf numFmtId="3" fontId="36" fillId="0" borderId="1" xfId="11" applyNumberFormat="1" applyFont="1" applyFill="1" applyBorder="1" applyAlignment="1">
      <alignment shrinkToFit="1"/>
    </xf>
    <xf numFmtId="0" fontId="35" fillId="0" borderId="34" xfId="0" applyFont="1" applyBorder="1" applyAlignment="1">
      <alignment horizontal="left" vertical="center"/>
    </xf>
    <xf numFmtId="0" fontId="35" fillId="0" borderId="36" xfId="0" applyFont="1" applyBorder="1" applyAlignment="1">
      <alignment horizontal="left" vertical="center"/>
    </xf>
    <xf numFmtId="1" fontId="0" fillId="0" borderId="22" xfId="0" applyNumberFormat="1" applyFont="1" applyFill="1" applyBorder="1" applyAlignment="1">
      <alignment horizontal="center" vertical="center"/>
    </xf>
    <xf numFmtId="183" fontId="0" fillId="0" borderId="22" xfId="0" applyNumberFormat="1" applyFont="1" applyFill="1" applyBorder="1" applyAlignment="1">
      <alignment horizontal="center" vertical="center"/>
    </xf>
    <xf numFmtId="1" fontId="0" fillId="0" borderId="31" xfId="0" applyNumberFormat="1" applyFont="1" applyFill="1" applyBorder="1" applyAlignment="1">
      <alignment horizontal="center" vertical="center"/>
    </xf>
    <xf numFmtId="0" fontId="0" fillId="0" borderId="22" xfId="0" applyFont="1" applyFill="1" applyBorder="1" applyAlignment="1">
      <alignment horizontal="center" vertical="center"/>
    </xf>
    <xf numFmtId="0" fontId="35" fillId="0" borderId="0" xfId="0" applyFont="1" applyFill="1" applyBorder="1" applyAlignment="1">
      <alignment horizontal="left" vertical="center"/>
    </xf>
    <xf numFmtId="0" fontId="35" fillId="0" borderId="34" xfId="0" applyFont="1" applyFill="1" applyBorder="1" applyAlignment="1">
      <alignment horizontal="left" vertical="center"/>
    </xf>
    <xf numFmtId="0" fontId="35" fillId="0" borderId="26" xfId="0" applyFont="1" applyFill="1" applyBorder="1" applyAlignment="1">
      <alignment horizontal="left" vertical="center"/>
    </xf>
    <xf numFmtId="0" fontId="35" fillId="0" borderId="36" xfId="0" applyFont="1" applyFill="1" applyBorder="1" applyAlignment="1">
      <alignment horizontal="left" vertical="center"/>
    </xf>
    <xf numFmtId="0" fontId="35" fillId="0" borderId="32" xfId="0" applyFont="1" applyFill="1" applyBorder="1" applyAlignment="1">
      <alignment horizontal="left" vertical="center"/>
    </xf>
    <xf numFmtId="0" fontId="35" fillId="0" borderId="37" xfId="0" applyFont="1" applyFill="1" applyBorder="1" applyAlignment="1">
      <alignment horizontal="left" vertical="center"/>
    </xf>
    <xf numFmtId="0" fontId="7" fillId="0" borderId="0" xfId="5"/>
    <xf numFmtId="0" fontId="67" fillId="8" borderId="30" xfId="5" applyFont="1" applyFill="1" applyBorder="1"/>
    <xf numFmtId="0" fontId="67" fillId="0" borderId="0" xfId="5" applyFont="1"/>
    <xf numFmtId="0" fontId="67" fillId="0" borderId="22" xfId="5" applyFont="1" applyBorder="1"/>
    <xf numFmtId="0" fontId="67" fillId="8" borderId="22" xfId="5" applyFont="1" applyFill="1" applyBorder="1"/>
    <xf numFmtId="185" fontId="26" fillId="0" borderId="0" xfId="0" applyNumberFormat="1" applyFont="1" applyFill="1" applyAlignment="1"/>
    <xf numFmtId="0" fontId="51" fillId="8" borderId="22" xfId="0" applyFont="1" applyFill="1" applyBorder="1" applyAlignment="1">
      <alignment horizontal="center" vertical="center" shrinkToFit="1"/>
    </xf>
    <xf numFmtId="0" fontId="28" fillId="0" borderId="22" xfId="11" applyFont="1" applyFill="1" applyBorder="1" applyAlignment="1">
      <alignment horizontal="center" vertical="center" shrinkToFit="1"/>
    </xf>
    <xf numFmtId="0" fontId="68" fillId="0" borderId="22" xfId="0" applyFont="1" applyFill="1" applyBorder="1" applyAlignment="1">
      <alignment horizontal="center" vertical="center" shrinkToFit="1"/>
    </xf>
    <xf numFmtId="0" fontId="52" fillId="0" borderId="22" xfId="0" applyFont="1" applyFill="1" applyBorder="1" applyAlignment="1">
      <alignment horizontal="center" vertical="center" shrinkToFit="1"/>
    </xf>
    <xf numFmtId="0" fontId="52" fillId="0" borderId="22" xfId="0" applyFont="1" applyFill="1" applyBorder="1" applyAlignment="1">
      <alignment shrinkToFit="1"/>
    </xf>
    <xf numFmtId="183" fontId="0" fillId="0" borderId="0" xfId="0" applyNumberFormat="1" applyFont="1" applyAlignment="1">
      <alignment horizontal="center" vertical="center"/>
    </xf>
    <xf numFmtId="0" fontId="69" fillId="0" borderId="0" xfId="0" applyFont="1" applyAlignment="1">
      <alignment vertical="center"/>
    </xf>
    <xf numFmtId="0" fontId="62" fillId="2" borderId="22" xfId="0" applyFont="1" applyFill="1" applyBorder="1" applyAlignment="1">
      <alignment horizontal="center" vertical="center" shrinkToFit="1"/>
    </xf>
    <xf numFmtId="0" fontId="29" fillId="5" borderId="23" xfId="11" applyFont="1" applyFill="1" applyBorder="1" applyAlignment="1">
      <alignment horizontal="center" vertical="center"/>
    </xf>
    <xf numFmtId="3" fontId="28" fillId="5" borderId="22" xfId="0" applyNumberFormat="1" applyFont="1" applyFill="1" applyBorder="1" applyAlignment="1">
      <alignment shrinkToFit="1"/>
    </xf>
    <xf numFmtId="10" fontId="28" fillId="5" borderId="22" xfId="0" applyNumberFormat="1" applyFont="1" applyFill="1" applyBorder="1" applyAlignment="1">
      <alignment shrinkToFit="1"/>
    </xf>
    <xf numFmtId="0" fontId="0" fillId="5" borderId="22" xfId="0" applyFont="1" applyFill="1" applyBorder="1" applyAlignment="1">
      <alignment horizontal="center" vertical="center"/>
    </xf>
    <xf numFmtId="186" fontId="70" fillId="0" borderId="22" xfId="0" applyNumberFormat="1" applyFont="1" applyFill="1" applyBorder="1" applyAlignment="1"/>
    <xf numFmtId="186" fontId="26" fillId="0" borderId="0" xfId="0" applyNumberFormat="1" applyFont="1" applyFill="1" applyAlignment="1"/>
    <xf numFmtId="180" fontId="26" fillId="9" borderId="0" xfId="0" applyNumberFormat="1" applyFont="1" applyFill="1" applyAlignment="1"/>
    <xf numFmtId="187" fontId="26" fillId="9" borderId="0" xfId="0" applyNumberFormat="1" applyFont="1" applyFill="1" applyAlignment="1"/>
    <xf numFmtId="177" fontId="26" fillId="9" borderId="0" xfId="0" applyNumberFormat="1" applyFont="1" applyFill="1" applyAlignment="1"/>
    <xf numFmtId="186" fontId="26" fillId="9" borderId="0" xfId="0" applyNumberFormat="1" applyFont="1" applyFill="1" applyAlignment="1"/>
    <xf numFmtId="185" fontId="26" fillId="9" borderId="0" xfId="0" applyNumberFormat="1" applyFont="1" applyFill="1" applyAlignment="1"/>
    <xf numFmtId="186" fontId="70" fillId="9" borderId="22" xfId="0" applyNumberFormat="1" applyFont="1" applyFill="1" applyBorder="1" applyAlignment="1"/>
    <xf numFmtId="177" fontId="26" fillId="9" borderId="22" xfId="0" applyNumberFormat="1" applyFont="1" applyFill="1" applyBorder="1" applyAlignment="1"/>
    <xf numFmtId="188" fontId="28" fillId="0" borderId="22" xfId="14" applyNumberFormat="1" applyFont="1" applyFill="1" applyBorder="1" applyAlignment="1">
      <alignment shrinkToFit="1"/>
    </xf>
    <xf numFmtId="189" fontId="28" fillId="5" borderId="22" xfId="0" applyNumberFormat="1" applyFont="1" applyFill="1" applyBorder="1" applyAlignment="1">
      <alignment shrinkToFit="1"/>
    </xf>
    <xf numFmtId="3" fontId="28" fillId="5" borderId="22" xfId="0" applyNumberFormat="1" applyFont="1" applyFill="1" applyBorder="1" applyAlignment="1">
      <alignment horizontal="right" shrinkToFit="1"/>
    </xf>
    <xf numFmtId="188" fontId="28" fillId="5" borderId="22" xfId="14" applyNumberFormat="1" applyFont="1" applyFill="1" applyBorder="1" applyAlignment="1">
      <alignment shrinkToFit="1"/>
    </xf>
    <xf numFmtId="0" fontId="73" fillId="0" borderId="22" xfId="0" applyFont="1" applyBorder="1" applyAlignment="1">
      <alignment horizontal="center" vertical="center" shrinkToFit="1"/>
    </xf>
    <xf numFmtId="0" fontId="74" fillId="0" borderId="22" xfId="0" applyFont="1" applyBorder="1" applyAlignment="1">
      <alignment horizontal="center" vertical="center" shrinkToFit="1"/>
    </xf>
    <xf numFmtId="0" fontId="75" fillId="0" borderId="22" xfId="0" applyFont="1" applyBorder="1" applyAlignment="1">
      <alignment horizontal="center" vertical="center" shrinkToFit="1"/>
    </xf>
    <xf numFmtId="190" fontId="28" fillId="5" borderId="22" xfId="14" applyNumberFormat="1" applyFont="1" applyFill="1" applyBorder="1" applyAlignment="1">
      <alignment shrinkToFit="1"/>
    </xf>
    <xf numFmtId="191" fontId="28" fillId="0" borderId="22" xfId="0" applyNumberFormat="1" applyFont="1" applyFill="1" applyBorder="1" applyAlignment="1">
      <alignment shrinkToFit="1"/>
    </xf>
    <xf numFmtId="10" fontId="28" fillId="3" borderId="22" xfId="0" applyNumberFormat="1" applyFont="1" applyFill="1" applyBorder="1" applyAlignment="1">
      <alignment horizontal="center" shrinkToFit="1"/>
    </xf>
    <xf numFmtId="0" fontId="11" fillId="2" borderId="22" xfId="0" applyFont="1" applyFill="1" applyBorder="1" applyAlignment="1">
      <alignment horizontal="center" shrinkToFit="1"/>
    </xf>
    <xf numFmtId="189" fontId="26" fillId="9" borderId="0" xfId="0" applyNumberFormat="1" applyFont="1" applyFill="1" applyAlignment="1"/>
    <xf numFmtId="189" fontId="28" fillId="0" borderId="22" xfId="0" applyNumberFormat="1" applyFont="1" applyFill="1" applyBorder="1" applyAlignment="1">
      <alignment shrinkToFit="1"/>
    </xf>
    <xf numFmtId="185" fontId="28" fillId="5" borderId="22" xfId="0" applyNumberFormat="1" applyFont="1" applyFill="1" applyBorder="1" applyAlignment="1">
      <alignment shrinkToFit="1"/>
    </xf>
    <xf numFmtId="185" fontId="28" fillId="0" borderId="22" xfId="0" applyNumberFormat="1" applyFont="1" applyFill="1" applyBorder="1" applyAlignment="1">
      <alignment shrinkToFit="1"/>
    </xf>
    <xf numFmtId="183" fontId="26" fillId="0" borderId="0" xfId="0" applyNumberFormat="1" applyFont="1" applyAlignment="1">
      <alignment shrinkToFit="1"/>
    </xf>
    <xf numFmtId="9" fontId="28" fillId="5" borderId="22" xfId="0" applyNumberFormat="1" applyFont="1" applyFill="1" applyBorder="1" applyAlignment="1">
      <alignment shrinkToFit="1"/>
    </xf>
    <xf numFmtId="9" fontId="28" fillId="0" borderId="22" xfId="0" applyNumberFormat="1" applyFont="1" applyFill="1" applyBorder="1" applyAlignment="1">
      <alignment shrinkToFit="1"/>
    </xf>
    <xf numFmtId="3" fontId="45" fillId="5" borderId="22" xfId="0" applyNumberFormat="1" applyFont="1" applyFill="1" applyBorder="1" applyAlignment="1">
      <alignment shrinkToFit="1"/>
    </xf>
    <xf numFmtId="10" fontId="45" fillId="5" borderId="22" xfId="0" applyNumberFormat="1" applyFont="1" applyFill="1" applyBorder="1" applyAlignment="1">
      <alignment shrinkToFit="1"/>
    </xf>
    <xf numFmtId="189" fontId="45" fillId="5" borderId="22" xfId="0" applyNumberFormat="1" applyFont="1" applyFill="1" applyBorder="1" applyAlignment="1">
      <alignment shrinkToFit="1"/>
    </xf>
    <xf numFmtId="185" fontId="45" fillId="5" borderId="22" xfId="0" applyNumberFormat="1" applyFont="1" applyFill="1" applyBorder="1" applyAlignment="1">
      <alignment shrinkToFit="1"/>
    </xf>
    <xf numFmtId="190" fontId="45" fillId="5" borderId="22" xfId="14" applyNumberFormat="1" applyFont="1" applyFill="1" applyBorder="1" applyAlignment="1">
      <alignment shrinkToFit="1"/>
    </xf>
    <xf numFmtId="191" fontId="45" fillId="5" borderId="22" xfId="0" applyNumberFormat="1" applyFont="1" applyFill="1" applyBorder="1" applyAlignment="1">
      <alignment horizontal="right" shrinkToFit="1"/>
    </xf>
    <xf numFmtId="190" fontId="28" fillId="0" borderId="22" xfId="14" applyNumberFormat="1" applyFont="1" applyFill="1" applyBorder="1" applyAlignment="1">
      <alignment horizontal="right" shrinkToFit="1"/>
    </xf>
    <xf numFmtId="0" fontId="0" fillId="0" borderId="0" xfId="0" applyFont="1" applyAlignment="1">
      <alignment shrinkToFit="1"/>
    </xf>
    <xf numFmtId="0" fontId="44" fillId="0" borderId="44" xfId="11" applyFont="1" applyFill="1" applyBorder="1" applyAlignment="1">
      <alignment horizontal="center" shrinkToFit="1"/>
    </xf>
    <xf numFmtId="3" fontId="36" fillId="7" borderId="6" xfId="11" applyNumberFormat="1" applyFont="1" applyFill="1" applyBorder="1" applyAlignment="1">
      <alignment shrinkToFit="1"/>
    </xf>
    <xf numFmtId="10" fontId="26" fillId="10" borderId="22" xfId="0" applyNumberFormat="1" applyFont="1" applyFill="1" applyBorder="1" applyAlignment="1"/>
    <xf numFmtId="177" fontId="71" fillId="10" borderId="0" xfId="0" applyNumberFormat="1" applyFont="1" applyFill="1" applyAlignment="1"/>
    <xf numFmtId="177" fontId="71" fillId="0" borderId="0" xfId="0" applyNumberFormat="1" applyFont="1" applyFill="1" applyAlignment="1"/>
    <xf numFmtId="10" fontId="76" fillId="10" borderId="22" xfId="0" applyNumberFormat="1" applyFont="1" applyFill="1" applyBorder="1" applyAlignment="1"/>
    <xf numFmtId="177" fontId="76" fillId="0" borderId="0" xfId="0" applyNumberFormat="1" applyFont="1" applyFill="1" applyAlignment="1"/>
    <xf numFmtId="10" fontId="76" fillId="0" borderId="0" xfId="0" applyNumberFormat="1" applyFont="1" applyFill="1" applyAlignment="1"/>
    <xf numFmtId="3" fontId="76" fillId="0" borderId="0" xfId="0" applyNumberFormat="1" applyFont="1" applyFill="1" applyAlignment="1"/>
    <xf numFmtId="186" fontId="70" fillId="10" borderId="22" xfId="0" applyNumberFormat="1" applyFont="1" applyFill="1" applyBorder="1" applyAlignment="1"/>
    <xf numFmtId="3" fontId="28" fillId="11" borderId="22" xfId="0" applyNumberFormat="1" applyFont="1" applyFill="1" applyBorder="1" applyAlignment="1">
      <alignment shrinkToFit="1"/>
    </xf>
    <xf numFmtId="10" fontId="28" fillId="11" borderId="22" xfId="0" applyNumberFormat="1" applyFont="1" applyFill="1" applyBorder="1" applyAlignment="1">
      <alignment shrinkToFit="1"/>
    </xf>
    <xf numFmtId="183" fontId="28" fillId="0" borderId="22" xfId="0" applyNumberFormat="1" applyFont="1" applyFill="1" applyBorder="1" applyAlignment="1">
      <alignment shrinkToFit="1"/>
    </xf>
    <xf numFmtId="3" fontId="28" fillId="0" borderId="22" xfId="0" applyNumberFormat="1" applyFont="1" applyFill="1" applyBorder="1" applyAlignment="1">
      <alignment horizontal="right" shrinkToFit="1"/>
    </xf>
    <xf numFmtId="0" fontId="0" fillId="0" borderId="22" xfId="0" applyFont="1" applyBorder="1" applyAlignment="1">
      <alignment horizontal="center" vertical="center"/>
    </xf>
    <xf numFmtId="0" fontId="33" fillId="0" borderId="22" xfId="0" applyFont="1" applyBorder="1" applyAlignment="1">
      <alignment horizontal="center" vertical="center"/>
    </xf>
    <xf numFmtId="0" fontId="33" fillId="0" borderId="22" xfId="0" applyFont="1" applyFill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0" fontId="33" fillId="0" borderId="22" xfId="0" applyFont="1" applyBorder="1" applyAlignment="1">
      <alignment horizontal="center" vertical="center"/>
    </xf>
    <xf numFmtId="0" fontId="33" fillId="0" borderId="22" xfId="0" applyFont="1" applyFill="1" applyBorder="1" applyAlignment="1">
      <alignment horizontal="center" vertical="center"/>
    </xf>
    <xf numFmtId="0" fontId="33" fillId="0" borderId="22" xfId="0" applyFont="1" applyFill="1" applyBorder="1" applyAlignment="1">
      <alignment horizontal="center" vertical="center"/>
    </xf>
    <xf numFmtId="0" fontId="33" fillId="0" borderId="22" xfId="0" applyFont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0" fontId="35" fillId="0" borderId="0" xfId="0" applyFont="1" applyBorder="1" applyAlignment="1">
      <alignment horizontal="left" vertical="center"/>
    </xf>
    <xf numFmtId="0" fontId="35" fillId="0" borderId="26" xfId="0" applyFont="1" applyBorder="1" applyAlignment="1">
      <alignment horizontal="left" vertical="center"/>
    </xf>
    <xf numFmtId="4" fontId="28" fillId="11" borderId="22" xfId="0" applyNumberFormat="1" applyFont="1" applyFill="1" applyBorder="1" applyAlignment="1">
      <alignment horizontal="right" shrinkToFit="1"/>
    </xf>
    <xf numFmtId="189" fontId="28" fillId="11" borderId="22" xfId="0" applyNumberFormat="1" applyFont="1" applyFill="1" applyBorder="1" applyAlignment="1">
      <alignment shrinkToFit="1"/>
    </xf>
    <xf numFmtId="185" fontId="28" fillId="11" borderId="22" xfId="0" applyNumberFormat="1" applyFont="1" applyFill="1" applyBorder="1" applyAlignment="1">
      <alignment shrinkToFit="1"/>
    </xf>
    <xf numFmtId="183" fontId="7" fillId="0" borderId="0" xfId="0" applyNumberFormat="1" applyFont="1" applyBorder="1" applyAlignment="1">
      <alignment horizontal="right" vertical="center" shrinkToFit="1"/>
    </xf>
    <xf numFmtId="0" fontId="33" fillId="0" borderId="22" xfId="0" applyFont="1" applyFill="1" applyBorder="1" applyAlignment="1">
      <alignment horizontal="center" vertical="center"/>
    </xf>
    <xf numFmtId="0" fontId="33" fillId="0" borderId="22" xfId="0" applyFont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0" fontId="33" fillId="0" borderId="22" xfId="0" applyFont="1" applyFill="1" applyBorder="1" applyAlignment="1">
      <alignment horizontal="center" vertical="center"/>
    </xf>
    <xf numFmtId="0" fontId="33" fillId="0" borderId="22" xfId="0" applyFont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191" fontId="26" fillId="0" borderId="0" xfId="0" applyNumberFormat="1" applyFont="1" applyFill="1" applyAlignment="1">
      <alignment shrinkToFit="1"/>
    </xf>
    <xf numFmtId="187" fontId="26" fillId="0" borderId="0" xfId="0" applyNumberFormat="1" applyFont="1" applyFill="1" applyAlignment="1"/>
    <xf numFmtId="189" fontId="26" fillId="0" borderId="0" xfId="0" applyNumberFormat="1" applyFont="1" applyFill="1" applyAlignment="1"/>
    <xf numFmtId="179" fontId="63" fillId="0" borderId="0" xfId="0" applyNumberFormat="1" applyFont="1" applyFill="1" applyAlignment="1">
      <alignment horizontal="center"/>
    </xf>
    <xf numFmtId="176" fontId="45" fillId="0" borderId="0" xfId="0" applyNumberFormat="1" applyFont="1" applyFill="1" applyAlignment="1">
      <alignment horizontal="center" vertical="center"/>
    </xf>
    <xf numFmtId="177" fontId="26" fillId="0" borderId="0" xfId="0" applyNumberFormat="1" applyFont="1" applyFill="1" applyAlignment="1">
      <alignment horizontal="right"/>
    </xf>
    <xf numFmtId="183" fontId="28" fillId="11" borderId="22" xfId="0" applyNumberFormat="1" applyFont="1" applyFill="1" applyBorder="1" applyAlignment="1">
      <alignment shrinkToFit="1"/>
    </xf>
    <xf numFmtId="0" fontId="0" fillId="0" borderId="22" xfId="0" applyFont="1" applyBorder="1" applyAlignment="1">
      <alignment horizontal="center" vertical="center"/>
    </xf>
    <xf numFmtId="0" fontId="33" fillId="0" borderId="22" xfId="0" applyFont="1" applyBorder="1" applyAlignment="1">
      <alignment horizontal="center" vertical="center"/>
    </xf>
    <xf numFmtId="0" fontId="33" fillId="0" borderId="22" xfId="0" applyFont="1" applyFill="1" applyBorder="1" applyAlignment="1">
      <alignment horizontal="center" vertical="center"/>
    </xf>
    <xf numFmtId="183" fontId="0" fillId="0" borderId="22" xfId="0" applyNumberFormat="1" applyFont="1" applyBorder="1" applyAlignment="1">
      <alignment horizontal="center" vertical="center"/>
    </xf>
    <xf numFmtId="0" fontId="35" fillId="12" borderId="37" xfId="0" applyFont="1" applyFill="1" applyBorder="1" applyAlignment="1">
      <alignment horizontal="left" vertical="center"/>
    </xf>
    <xf numFmtId="0" fontId="35" fillId="12" borderId="32" xfId="0" applyFont="1" applyFill="1" applyBorder="1" applyAlignment="1">
      <alignment horizontal="left" vertical="center"/>
    </xf>
    <xf numFmtId="0" fontId="35" fillId="12" borderId="26" xfId="0" applyFont="1" applyFill="1" applyBorder="1" applyAlignment="1">
      <alignment horizontal="left" vertical="center"/>
    </xf>
    <xf numFmtId="0" fontId="35" fillId="12" borderId="36" xfId="0" applyFont="1" applyFill="1" applyBorder="1" applyAlignment="1">
      <alignment horizontal="left" vertical="center"/>
    </xf>
    <xf numFmtId="1" fontId="33" fillId="0" borderId="22" xfId="0" applyNumberFormat="1" applyFont="1" applyFill="1" applyBorder="1" applyAlignment="1">
      <alignment horizontal="center" vertical="center"/>
    </xf>
    <xf numFmtId="0" fontId="33" fillId="5" borderId="22" xfId="0" applyFont="1" applyFill="1" applyBorder="1" applyAlignment="1">
      <alignment horizontal="center" vertical="center"/>
    </xf>
    <xf numFmtId="1" fontId="0" fillId="0" borderId="31" xfId="0" applyNumberFormat="1" applyFont="1" applyFill="1" applyBorder="1" applyAlignment="1">
      <alignment horizontal="center" vertical="center"/>
    </xf>
    <xf numFmtId="177" fontId="26" fillId="0" borderId="0" xfId="0" applyNumberFormat="1" applyFont="1" applyFill="1" applyBorder="1" applyAlignment="1"/>
    <xf numFmtId="10" fontId="26" fillId="0" borderId="0" xfId="0" applyNumberFormat="1" applyFont="1" applyFill="1" applyAlignment="1">
      <alignment vertical="center"/>
    </xf>
    <xf numFmtId="187" fontId="26" fillId="0" borderId="0" xfId="0" applyNumberFormat="1" applyFont="1" applyFill="1" applyAlignment="1">
      <alignment vertical="center"/>
    </xf>
    <xf numFmtId="177" fontId="26" fillId="0" borderId="0" xfId="0" applyNumberFormat="1" applyFont="1" applyFill="1" applyAlignment="1">
      <alignment vertical="center"/>
    </xf>
    <xf numFmtId="0" fontId="28" fillId="2" borderId="22" xfId="0" applyFont="1" applyFill="1" applyBorder="1" applyAlignment="1">
      <alignment horizontal="center" shrinkToFit="1"/>
    </xf>
    <xf numFmtId="0" fontId="62" fillId="2" borderId="1" xfId="0" applyFont="1" applyFill="1" applyBorder="1" applyAlignment="1">
      <alignment horizontal="center" vertical="center" shrinkToFit="1"/>
    </xf>
    <xf numFmtId="0" fontId="26" fillId="0" borderId="0" xfId="11" applyFont="1" applyAlignment="1">
      <alignment horizontal="center" vertical="center" shrinkToFit="1"/>
    </xf>
    <xf numFmtId="0" fontId="26" fillId="0" borderId="0" xfId="11" applyFont="1" applyAlignment="1">
      <alignment wrapText="1" shrinkToFit="1"/>
    </xf>
    <xf numFmtId="0" fontId="26" fillId="0" borderId="0" xfId="11" applyFont="1" applyAlignment="1">
      <alignment vertical="center" shrinkToFit="1"/>
    </xf>
    <xf numFmtId="0" fontId="24" fillId="0" borderId="0" xfId="11" applyFont="1" applyAlignment="1">
      <alignment horizontal="center" vertical="center" shrinkToFit="1"/>
    </xf>
    <xf numFmtId="0" fontId="24" fillId="0" borderId="0" xfId="11" applyFont="1" applyAlignment="1">
      <alignment shrinkToFit="1"/>
    </xf>
    <xf numFmtId="0" fontId="24" fillId="0" borderId="0" xfId="11" applyFont="1" applyAlignment="1">
      <alignment wrapText="1" shrinkToFit="1"/>
    </xf>
    <xf numFmtId="0" fontId="24" fillId="0" borderId="0" xfId="11" applyFont="1" applyAlignment="1">
      <alignment vertical="center" shrinkToFit="1"/>
    </xf>
    <xf numFmtId="0" fontId="29" fillId="0" borderId="0" xfId="11" applyFont="1"/>
    <xf numFmtId="0" fontId="29" fillId="0" borderId="0" xfId="11" applyFont="1" applyAlignment="1">
      <alignment vertical="center"/>
    </xf>
    <xf numFmtId="0" fontId="29" fillId="0" borderId="22" xfId="11" applyFont="1" applyBorder="1" applyAlignment="1">
      <alignment horizontal="center" vertical="center"/>
    </xf>
    <xf numFmtId="192" fontId="36" fillId="8" borderId="22" xfId="11" applyNumberFormat="1" applyFont="1" applyFill="1" applyBorder="1" applyAlignment="1">
      <alignment horizontal="center" vertical="center"/>
    </xf>
    <xf numFmtId="0" fontId="36" fillId="0" borderId="22" xfId="11" applyFont="1" applyBorder="1" applyAlignment="1">
      <alignment horizontal="center" vertical="center"/>
    </xf>
    <xf numFmtId="0" fontId="29" fillId="0" borderId="41" xfId="11" applyFont="1" applyBorder="1" applyAlignment="1">
      <alignment horizontal="center" vertical="center"/>
    </xf>
    <xf numFmtId="0" fontId="29" fillId="0" borderId="0" xfId="11" applyFont="1" applyAlignment="1">
      <alignment horizontal="left" vertical="center"/>
    </xf>
    <xf numFmtId="0" fontId="55" fillId="0" borderId="0" xfId="0" applyFont="1" applyFill="1" applyAlignment="1">
      <alignment vertical="center"/>
    </xf>
    <xf numFmtId="0" fontId="55" fillId="0" borderId="0" xfId="0" applyFont="1" applyFill="1" applyAlignment="1"/>
    <xf numFmtId="177" fontId="55" fillId="0" borderId="0" xfId="0" applyNumberFormat="1" applyFont="1" applyFill="1" applyAlignment="1"/>
    <xf numFmtId="177" fontId="55" fillId="0" borderId="0" xfId="0" applyNumberFormat="1" applyFont="1" applyFill="1" applyAlignment="1">
      <alignment horizontal="right"/>
    </xf>
    <xf numFmtId="10" fontId="55" fillId="0" borderId="22" xfId="0" applyNumberFormat="1" applyFont="1" applyFill="1" applyBorder="1" applyAlignment="1"/>
    <xf numFmtId="0" fontId="55" fillId="0" borderId="0" xfId="0" applyFont="1" applyAlignment="1"/>
    <xf numFmtId="0" fontId="26" fillId="0" borderId="37" xfId="0" applyFont="1" applyFill="1" applyBorder="1" applyAlignment="1">
      <alignment vertical="center"/>
    </xf>
    <xf numFmtId="177" fontId="26" fillId="0" borderId="34" xfId="0" applyNumberFormat="1" applyFont="1" applyFill="1" applyBorder="1" applyAlignment="1">
      <alignment vertical="center"/>
    </xf>
    <xf numFmtId="0" fontId="0" fillId="0" borderId="27" xfId="0" applyBorder="1" applyAlignment="1">
      <alignment vertical="center"/>
    </xf>
    <xf numFmtId="0" fontId="0" fillId="0" borderId="28" xfId="0" applyBorder="1" applyAlignment="1">
      <alignment vertical="center"/>
    </xf>
    <xf numFmtId="0" fontId="0" fillId="0" borderId="25" xfId="0" applyBorder="1" applyAlignment="1">
      <alignment vertical="center"/>
    </xf>
    <xf numFmtId="0" fontId="33" fillId="0" borderId="22" xfId="0" applyFont="1" applyBorder="1" applyAlignment="1">
      <alignment horizontal="center" vertical="center"/>
    </xf>
    <xf numFmtId="0" fontId="44" fillId="2" borderId="22" xfId="0" applyFont="1" applyFill="1" applyBorder="1" applyAlignment="1">
      <alignment horizontal="center" vertical="center" shrinkToFit="1"/>
    </xf>
    <xf numFmtId="0" fontId="33" fillId="4" borderId="22" xfId="0" applyFont="1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2" xfId="0" applyNumberFormat="1" applyBorder="1" applyAlignment="1">
      <alignment horizontal="center" vertical="center"/>
    </xf>
    <xf numFmtId="0" fontId="0" fillId="4" borderId="22" xfId="0" applyFill="1" applyBorder="1" applyAlignment="1">
      <alignment horizontal="center" vertical="center"/>
    </xf>
    <xf numFmtId="0" fontId="0" fillId="5" borderId="22" xfId="0" applyFill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183" fontId="0" fillId="0" borderId="22" xfId="0" applyNumberFormat="1" applyFont="1" applyBorder="1" applyAlignment="1">
      <alignment horizontal="center" vertical="center"/>
    </xf>
    <xf numFmtId="179" fontId="55" fillId="0" borderId="0" xfId="0" applyNumberFormat="1" applyFont="1" applyFill="1" applyAlignment="1">
      <alignment horizontal="center"/>
    </xf>
    <xf numFmtId="0" fontId="0" fillId="0" borderId="27" xfId="0" applyBorder="1" applyAlignment="1">
      <alignment horizontal="left" vertical="center"/>
    </xf>
    <xf numFmtId="1" fontId="28" fillId="0" borderId="22" xfId="0" applyNumberFormat="1" applyFont="1" applyBorder="1" applyAlignment="1">
      <alignment shrinkToFit="1"/>
    </xf>
    <xf numFmtId="0" fontId="33" fillId="0" borderId="27" xfId="0" applyFont="1" applyBorder="1" applyAlignment="1">
      <alignment vertical="center"/>
    </xf>
    <xf numFmtId="0" fontId="33" fillId="0" borderId="22" xfId="0" applyFont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0" fontId="44" fillId="2" borderId="22" xfId="0" applyFont="1" applyFill="1" applyBorder="1" applyAlignment="1">
      <alignment horizontal="center" vertical="center" shrinkToFit="1"/>
    </xf>
    <xf numFmtId="0" fontId="33" fillId="0" borderId="27" xfId="0" applyFont="1" applyBorder="1" applyAlignment="1">
      <alignment horizontal="left" vertical="center"/>
    </xf>
    <xf numFmtId="1" fontId="0" fillId="0" borderId="22" xfId="0" applyNumberFormat="1" applyFont="1" applyFill="1" applyBorder="1" applyAlignment="1">
      <alignment horizontal="center" vertical="center"/>
    </xf>
    <xf numFmtId="183" fontId="0" fillId="0" borderId="22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2" xfId="0" applyNumberFormat="1" applyBorder="1" applyAlignment="1">
      <alignment horizontal="center" vertical="center"/>
    </xf>
    <xf numFmtId="0" fontId="33" fillId="0" borderId="22" xfId="0" applyFont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2" xfId="0" applyNumberFormat="1" applyBorder="1" applyAlignment="1">
      <alignment horizontal="center" vertical="center"/>
    </xf>
    <xf numFmtId="0" fontId="24" fillId="0" borderId="27" xfId="0" applyFont="1" applyBorder="1" applyAlignment="1">
      <alignment vertical="center"/>
    </xf>
    <xf numFmtId="0" fontId="0" fillId="0" borderId="22" xfId="0" applyFont="1" applyBorder="1" applyAlignment="1">
      <alignment horizontal="center" vertical="center"/>
    </xf>
    <xf numFmtId="0" fontId="33" fillId="0" borderId="22" xfId="0" applyFont="1" applyBorder="1" applyAlignment="1">
      <alignment horizontal="center" vertical="center"/>
    </xf>
    <xf numFmtId="0" fontId="33" fillId="4" borderId="22" xfId="0" applyFont="1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97" fillId="0" borderId="22" xfId="0" applyFont="1" applyBorder="1" applyAlignment="1">
      <alignment horizontal="center" vertical="center" shrinkToFit="1"/>
    </xf>
    <xf numFmtId="0" fontId="33" fillId="0" borderId="22" xfId="0" applyFont="1" applyFill="1" applyBorder="1" applyAlignment="1">
      <alignment horizontal="center" vertical="center"/>
    </xf>
    <xf numFmtId="0" fontId="33" fillId="0" borderId="22" xfId="0" applyFont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2" xfId="0" applyNumberFormat="1" applyFont="1" applyFill="1" applyBorder="1" applyAlignment="1">
      <alignment horizontal="center" vertical="center"/>
    </xf>
    <xf numFmtId="183" fontId="0" fillId="0" borderId="22" xfId="0" applyNumberFormat="1" applyBorder="1" applyAlignment="1">
      <alignment horizontal="center" vertical="center"/>
    </xf>
    <xf numFmtId="1" fontId="0" fillId="0" borderId="31" xfId="0" applyNumberFormat="1" applyFont="1" applyFill="1" applyBorder="1" applyAlignment="1">
      <alignment horizontal="center" vertical="center"/>
    </xf>
    <xf numFmtId="1" fontId="0" fillId="0" borderId="22" xfId="0" applyNumberFormat="1" applyBorder="1" applyAlignment="1">
      <alignment horizontal="center" vertical="center"/>
    </xf>
    <xf numFmtId="1" fontId="0" fillId="0" borderId="22" xfId="0" applyNumberFormat="1" applyFont="1" applyFill="1" applyBorder="1" applyAlignment="1">
      <alignment horizontal="center" vertical="center"/>
    </xf>
    <xf numFmtId="1" fontId="0" fillId="0" borderId="31" xfId="0" applyNumberFormat="1" applyFont="1" applyFill="1" applyBorder="1" applyAlignment="1">
      <alignment horizontal="center" vertical="center"/>
    </xf>
    <xf numFmtId="1" fontId="0" fillId="0" borderId="22" xfId="0" applyNumberFormat="1" applyBorder="1" applyAlignment="1">
      <alignment horizontal="center" vertical="center"/>
    </xf>
    <xf numFmtId="0" fontId="29" fillId="0" borderId="0" xfId="11" applyFont="1" applyAlignment="1">
      <alignment horizontal="center" vertical="center"/>
    </xf>
    <xf numFmtId="0" fontId="45" fillId="0" borderId="51" xfId="11" applyFont="1" applyBorder="1" applyAlignment="1">
      <alignment shrinkToFit="1"/>
    </xf>
    <xf numFmtId="184" fontId="63" fillId="13" borderId="52" xfId="11" applyNumberFormat="1" applyFont="1" applyFill="1" applyBorder="1" applyAlignment="1">
      <alignment shrinkToFit="1"/>
    </xf>
    <xf numFmtId="10" fontId="36" fillId="0" borderId="60" xfId="11" applyNumberFormat="1" applyFont="1" applyFill="1" applyBorder="1" applyAlignment="1">
      <alignment shrinkToFit="1"/>
    </xf>
    <xf numFmtId="3" fontId="28" fillId="7" borderId="42" xfId="11" applyNumberFormat="1" applyFont="1" applyFill="1" applyBorder="1" applyAlignment="1">
      <alignment shrinkToFit="1"/>
    </xf>
    <xf numFmtId="0" fontId="44" fillId="0" borderId="62" xfId="11" applyFont="1" applyFill="1" applyBorder="1" applyAlignment="1">
      <alignment horizontal="center" shrinkToFit="1"/>
    </xf>
    <xf numFmtId="3" fontId="36" fillId="7" borderId="45" xfId="11" applyNumberFormat="1" applyFont="1" applyFill="1" applyBorder="1" applyAlignment="1">
      <alignment shrinkToFit="1"/>
    </xf>
    <xf numFmtId="10" fontId="36" fillId="0" borderId="63" xfId="11" applyNumberFormat="1" applyFont="1" applyFill="1" applyBorder="1" applyAlignment="1">
      <alignment shrinkToFit="1"/>
    </xf>
    <xf numFmtId="3" fontId="28" fillId="7" borderId="65" xfId="11" applyNumberFormat="1" applyFont="1" applyFill="1" applyBorder="1" applyAlignment="1">
      <alignment shrinkToFit="1"/>
    </xf>
    <xf numFmtId="1" fontId="7" fillId="3" borderId="1" xfId="0" applyNumberFormat="1" applyFont="1" applyFill="1" applyBorder="1" applyAlignment="1">
      <alignment shrinkToFit="1"/>
    </xf>
    <xf numFmtId="1" fontId="28" fillId="3" borderId="18" xfId="0" applyNumberFormat="1" applyFont="1" applyFill="1" applyBorder="1" applyAlignment="1">
      <alignment shrinkToFit="1"/>
    </xf>
    <xf numFmtId="0" fontId="29" fillId="8" borderId="22" xfId="11" applyFont="1" applyFill="1" applyBorder="1" applyAlignment="1">
      <alignment horizontal="left" vertical="center"/>
    </xf>
    <xf numFmtId="197" fontId="36" fillId="4" borderId="22" xfId="11" applyNumberFormat="1" applyFont="1" applyFill="1" applyBorder="1" applyAlignment="1">
      <alignment horizontal="center" vertical="center"/>
    </xf>
    <xf numFmtId="198" fontId="36" fillId="8" borderId="22" xfId="11" applyNumberFormat="1" applyFont="1" applyFill="1" applyBorder="1" applyAlignment="1">
      <alignment horizontal="center" vertical="center"/>
    </xf>
    <xf numFmtId="198" fontId="36" fillId="8" borderId="22" xfId="13" applyNumberFormat="1" applyFont="1" applyFill="1" applyBorder="1" applyAlignment="1">
      <alignment horizontal="center" vertical="center"/>
    </xf>
    <xf numFmtId="185" fontId="36" fillId="0" borderId="22" xfId="13" applyNumberFormat="1" applyFont="1" applyFill="1" applyBorder="1" applyAlignment="1">
      <alignment horizontal="center" vertical="center"/>
    </xf>
    <xf numFmtId="0" fontId="36" fillId="0" borderId="22" xfId="11" applyFont="1" applyBorder="1" applyAlignment="1">
      <alignment horizontal="left" vertical="center"/>
    </xf>
    <xf numFmtId="0" fontId="0" fillId="0" borderId="0" xfId="0"/>
    <xf numFmtId="1" fontId="29" fillId="0" borderId="67" xfId="11" applyNumberFormat="1" applyFont="1" applyBorder="1" applyAlignment="1">
      <alignment horizontal="center" vertical="center"/>
    </xf>
    <xf numFmtId="0" fontId="0" fillId="0" borderId="0" xfId="5" applyFont="1"/>
    <xf numFmtId="1" fontId="29" fillId="0" borderId="22" xfId="11" applyNumberFormat="1" applyFont="1" applyBorder="1" applyAlignment="1">
      <alignment horizontal="center" vertical="center"/>
    </xf>
    <xf numFmtId="1" fontId="65" fillId="0" borderId="68" xfId="11" applyNumberFormat="1" applyFont="1" applyBorder="1" applyAlignment="1">
      <alignment horizontal="center" vertical="center"/>
    </xf>
    <xf numFmtId="9" fontId="29" fillId="0" borderId="68" xfId="13" applyFont="1" applyBorder="1" applyAlignment="1">
      <alignment horizontal="center" vertical="center"/>
    </xf>
    <xf numFmtId="197" fontId="36" fillId="0" borderId="22" xfId="11" applyNumberFormat="1" applyFont="1" applyBorder="1" applyAlignment="1">
      <alignment horizontal="center" vertical="center"/>
    </xf>
    <xf numFmtId="197" fontId="36" fillId="0" borderId="22" xfId="13" applyNumberFormat="1" applyFont="1" applyFill="1" applyBorder="1" applyAlignment="1">
      <alignment horizontal="center" vertical="center"/>
    </xf>
    <xf numFmtId="0" fontId="26" fillId="0" borderId="69" xfId="11" applyFont="1" applyBorder="1" applyAlignment="1">
      <alignment shrinkToFit="1"/>
    </xf>
    <xf numFmtId="0" fontId="26" fillId="0" borderId="69" xfId="11" applyFont="1" applyFill="1" applyBorder="1" applyAlignment="1">
      <alignment shrinkToFit="1"/>
    </xf>
    <xf numFmtId="0" fontId="26" fillId="0" borderId="0" xfId="11" applyFont="1" applyFill="1" applyBorder="1" applyAlignment="1">
      <alignment shrinkToFit="1"/>
    </xf>
    <xf numFmtId="0" fontId="0" fillId="0" borderId="22" xfId="0" applyFont="1" applyBorder="1" applyAlignment="1">
      <alignment horizontal="center" vertical="center"/>
    </xf>
    <xf numFmtId="1" fontId="0" fillId="0" borderId="31" xfId="0" applyNumberFormat="1" applyFont="1" applyFill="1" applyBorder="1" applyAlignment="1">
      <alignment horizontal="center" vertical="center"/>
    </xf>
    <xf numFmtId="1" fontId="0" fillId="0" borderId="22" xfId="0" applyNumberFormat="1" applyBorder="1" applyAlignment="1">
      <alignment horizontal="center" vertical="center"/>
    </xf>
    <xf numFmtId="1" fontId="0" fillId="0" borderId="22" xfId="0" applyNumberFormat="1" applyFont="1" applyFill="1" applyBorder="1" applyAlignment="1">
      <alignment horizontal="center" vertical="center"/>
    </xf>
    <xf numFmtId="1" fontId="0" fillId="0" borderId="31" xfId="0" applyNumberFormat="1" applyFont="1" applyFill="1" applyBorder="1" applyAlignment="1">
      <alignment horizontal="center" vertical="center"/>
    </xf>
    <xf numFmtId="1" fontId="0" fillId="0" borderId="22" xfId="0" applyNumberFormat="1" applyBorder="1" applyAlignment="1">
      <alignment horizontal="center" vertical="center"/>
    </xf>
    <xf numFmtId="1" fontId="0" fillId="0" borderId="22" xfId="0" applyNumberFormat="1" applyBorder="1" applyAlignment="1">
      <alignment horizontal="center" vertical="center"/>
    </xf>
    <xf numFmtId="1" fontId="27" fillId="0" borderId="22" xfId="0" applyNumberFormat="1" applyFont="1" applyBorder="1" applyAlignment="1">
      <alignment shrinkToFit="1"/>
    </xf>
    <xf numFmtId="0" fontId="103" fillId="0" borderId="22" xfId="11" applyFont="1" applyBorder="1" applyAlignment="1">
      <alignment horizontal="center" vertical="center"/>
    </xf>
    <xf numFmtId="0" fontId="63" fillId="0" borderId="0" xfId="0" applyFont="1" applyFill="1" applyAlignment="1">
      <alignment vertical="center"/>
    </xf>
    <xf numFmtId="187" fontId="63" fillId="9" borderId="0" xfId="0" applyNumberFormat="1" applyFont="1" applyFill="1" applyAlignment="1"/>
    <xf numFmtId="187" fontId="63" fillId="0" borderId="0" xfId="0" applyNumberFormat="1" applyFont="1" applyFill="1" applyAlignment="1"/>
    <xf numFmtId="187" fontId="63" fillId="0" borderId="0" xfId="0" applyNumberFormat="1" applyFont="1" applyFill="1" applyAlignment="1">
      <alignment vertical="center"/>
    </xf>
    <xf numFmtId="177" fontId="63" fillId="9" borderId="0" xfId="0" applyNumberFormat="1" applyFont="1" applyFill="1" applyAlignment="1"/>
    <xf numFmtId="10" fontId="63" fillId="0" borderId="0" xfId="0" applyNumberFormat="1" applyFont="1" applyFill="1" applyAlignment="1">
      <alignment vertical="center"/>
    </xf>
    <xf numFmtId="0" fontId="63" fillId="0" borderId="0" xfId="0" applyFont="1" applyFill="1" applyAlignment="1"/>
    <xf numFmtId="176" fontId="63" fillId="0" borderId="0" xfId="0" applyNumberFormat="1" applyFont="1" applyFill="1" applyAlignment="1"/>
    <xf numFmtId="187" fontId="55" fillId="9" borderId="0" xfId="0" applyNumberFormat="1" applyFont="1" applyFill="1" applyAlignment="1"/>
    <xf numFmtId="187" fontId="55" fillId="0" borderId="0" xfId="0" applyNumberFormat="1" applyFont="1" applyFill="1" applyAlignment="1"/>
    <xf numFmtId="187" fontId="55" fillId="0" borderId="0" xfId="0" applyNumberFormat="1" applyFont="1" applyFill="1" applyAlignment="1">
      <alignment vertical="center"/>
    </xf>
    <xf numFmtId="177" fontId="55" fillId="9" borderId="0" xfId="0" applyNumberFormat="1" applyFont="1" applyFill="1" applyAlignment="1"/>
    <xf numFmtId="177" fontId="55" fillId="0" borderId="0" xfId="0" applyNumberFormat="1" applyFont="1" applyFill="1" applyAlignment="1">
      <alignment vertical="center"/>
    </xf>
    <xf numFmtId="10" fontId="55" fillId="0" borderId="0" xfId="0" applyNumberFormat="1" applyFont="1" applyFill="1" applyAlignment="1"/>
    <xf numFmtId="10" fontId="55" fillId="0" borderId="0" xfId="0" applyNumberFormat="1" applyFont="1" applyFill="1" applyAlignment="1">
      <alignment vertical="center"/>
    </xf>
    <xf numFmtId="176" fontId="55" fillId="0" borderId="0" xfId="0" applyNumberFormat="1" applyFont="1" applyFill="1" applyAlignment="1"/>
    <xf numFmtId="180" fontId="55" fillId="9" borderId="0" xfId="0" applyNumberFormat="1" applyFont="1" applyFill="1" applyAlignment="1"/>
    <xf numFmtId="180" fontId="55" fillId="0" borderId="0" xfId="0" applyNumberFormat="1" applyFont="1" applyFill="1" applyAlignment="1"/>
    <xf numFmtId="185" fontId="55" fillId="0" borderId="0" xfId="0" applyNumberFormat="1" applyFont="1" applyFill="1" applyAlignment="1"/>
    <xf numFmtId="189" fontId="55" fillId="9" borderId="0" xfId="0" applyNumberFormat="1" applyFont="1" applyFill="1" applyAlignment="1"/>
    <xf numFmtId="189" fontId="55" fillId="0" borderId="0" xfId="0" applyNumberFormat="1" applyFont="1" applyFill="1" applyAlignment="1"/>
    <xf numFmtId="185" fontId="55" fillId="9" borderId="0" xfId="0" applyNumberFormat="1" applyFont="1" applyFill="1" applyAlignment="1"/>
    <xf numFmtId="180" fontId="55" fillId="0" borderId="0" xfId="0" applyNumberFormat="1" applyFont="1" applyAlignment="1"/>
    <xf numFmtId="10" fontId="55" fillId="0" borderId="0" xfId="0" applyNumberFormat="1" applyFont="1" applyAlignment="1"/>
    <xf numFmtId="0" fontId="96" fillId="0" borderId="0" xfId="0" applyFont="1" applyFill="1" applyAlignment="1">
      <alignment vertical="center"/>
    </xf>
    <xf numFmtId="185" fontId="63" fillId="0" borderId="0" xfId="0" applyNumberFormat="1" applyFont="1" applyFill="1" applyAlignment="1"/>
    <xf numFmtId="189" fontId="63" fillId="0" borderId="0" xfId="0" applyNumberFormat="1" applyFont="1" applyFill="1" applyAlignment="1"/>
    <xf numFmtId="0" fontId="63" fillId="0" borderId="0" xfId="0" applyFont="1" applyAlignment="1"/>
    <xf numFmtId="186" fontId="63" fillId="0" borderId="0" xfId="0" applyNumberFormat="1" applyFont="1" applyFill="1" applyAlignment="1"/>
    <xf numFmtId="186" fontId="104" fillId="0" borderId="34" xfId="0" applyNumberFormat="1" applyFont="1" applyFill="1" applyBorder="1" applyAlignment="1">
      <alignment vertical="center"/>
    </xf>
    <xf numFmtId="182" fontId="63" fillId="0" borderId="0" xfId="0" applyNumberFormat="1" applyFont="1" applyFill="1" applyAlignment="1"/>
    <xf numFmtId="186" fontId="105" fillId="9" borderId="22" xfId="0" applyNumberFormat="1" applyFont="1" applyFill="1" applyBorder="1" applyAlignment="1"/>
    <xf numFmtId="186" fontId="105" fillId="0" borderId="22" xfId="0" applyNumberFormat="1" applyFont="1" applyFill="1" applyBorder="1" applyAlignment="1"/>
    <xf numFmtId="177" fontId="55" fillId="0" borderId="34" xfId="0" applyNumberFormat="1" applyFont="1" applyFill="1" applyBorder="1" applyAlignment="1">
      <alignment vertical="center"/>
    </xf>
    <xf numFmtId="183" fontId="26" fillId="0" borderId="0" xfId="0" applyNumberFormat="1" applyFont="1" applyAlignment="1">
      <alignment horizontal="center" vertical="center" shrinkToFit="1"/>
    </xf>
    <xf numFmtId="1" fontId="26" fillId="0" borderId="0" xfId="0" applyNumberFormat="1" applyFont="1" applyAlignment="1">
      <alignment horizontal="center" vertical="center" shrinkToFit="1"/>
    </xf>
    <xf numFmtId="1" fontId="26" fillId="0" borderId="0" xfId="0" applyNumberFormat="1" applyFont="1" applyAlignment="1">
      <alignment shrinkToFit="1"/>
    </xf>
    <xf numFmtId="0" fontId="33" fillId="0" borderId="22" xfId="0" applyFont="1" applyBorder="1" applyAlignment="1">
      <alignment horizontal="center" vertical="center"/>
    </xf>
    <xf numFmtId="0" fontId="107" fillId="0" borderId="27" xfId="0" applyFont="1" applyBorder="1" applyAlignment="1">
      <alignment horizontal="left" vertical="center"/>
    </xf>
    <xf numFmtId="0" fontId="106" fillId="0" borderId="27" xfId="0" applyFont="1" applyBorder="1" applyAlignment="1">
      <alignment vertical="center"/>
    </xf>
    <xf numFmtId="0" fontId="106" fillId="0" borderId="27" xfId="0" applyFont="1" applyBorder="1" applyAlignment="1">
      <alignment horizontal="left" vertical="center"/>
    </xf>
    <xf numFmtId="1" fontId="0" fillId="0" borderId="31" xfId="0" applyNumberFormat="1" applyFont="1" applyFill="1" applyBorder="1" applyAlignment="1">
      <alignment horizontal="center" vertical="center"/>
    </xf>
    <xf numFmtId="1" fontId="0" fillId="0" borderId="22" xfId="0" applyNumberFormat="1" applyBorder="1" applyAlignment="1">
      <alignment horizontal="center" vertical="center"/>
    </xf>
    <xf numFmtId="1" fontId="0" fillId="0" borderId="22" xfId="0" applyNumberFormat="1" applyBorder="1" applyAlignment="1">
      <alignment horizontal="center" vertical="center"/>
    </xf>
    <xf numFmtId="0" fontId="36" fillId="5" borderId="23" xfId="5" applyFont="1" applyFill="1" applyBorder="1" applyAlignment="1">
      <alignment horizontal="center" vertical="center"/>
    </xf>
    <xf numFmtId="198" fontId="36" fillId="0" borderId="22" xfId="11" applyNumberFormat="1" applyFont="1" applyBorder="1" applyAlignment="1">
      <alignment horizontal="center" vertical="center"/>
    </xf>
    <xf numFmtId="198" fontId="65" fillId="0" borderId="22" xfId="11" applyNumberFormat="1" applyFont="1" applyBorder="1" applyAlignment="1">
      <alignment horizontal="center" vertical="center"/>
    </xf>
    <xf numFmtId="185" fontId="65" fillId="0" borderId="22" xfId="13" applyNumberFormat="1" applyFont="1" applyFill="1" applyBorder="1" applyAlignment="1">
      <alignment horizontal="center" vertical="center"/>
    </xf>
    <xf numFmtId="197" fontId="65" fillId="0" borderId="22" xfId="13" applyNumberFormat="1" applyFont="1" applyFill="1" applyBorder="1" applyAlignment="1">
      <alignment horizontal="center" vertical="center"/>
    </xf>
    <xf numFmtId="0" fontId="80" fillId="0" borderId="22" xfId="11" applyFont="1" applyBorder="1" applyAlignment="1">
      <alignment horizontal="center" vertical="center"/>
    </xf>
    <xf numFmtId="0" fontId="32" fillId="0" borderId="0" xfId="11" applyFont="1"/>
    <xf numFmtId="9" fontId="29" fillId="0" borderId="68" xfId="13" applyFont="1" applyBorder="1" applyAlignment="1">
      <alignment horizontal="center"/>
    </xf>
    <xf numFmtId="0" fontId="109" fillId="0" borderId="0" xfId="581" applyFont="1">
      <alignment vertical="center"/>
    </xf>
    <xf numFmtId="0" fontId="37" fillId="0" borderId="0" xfId="581" applyFont="1">
      <alignment vertical="center"/>
    </xf>
    <xf numFmtId="0" fontId="99" fillId="0" borderId="27" xfId="581" applyFont="1" applyBorder="1" applyAlignment="1">
      <alignment horizontal="center" vertical="center" wrapText="1"/>
    </xf>
    <xf numFmtId="0" fontId="99" fillId="0" borderId="25" xfId="581" applyFont="1" applyBorder="1" applyAlignment="1">
      <alignment horizontal="center" vertical="center" wrapText="1"/>
    </xf>
    <xf numFmtId="0" fontId="110" fillId="0" borderId="23" xfId="581" applyFont="1" applyBorder="1" applyAlignment="1">
      <alignment horizontal="center" vertical="center" wrapText="1"/>
    </xf>
    <xf numFmtId="0" fontId="110" fillId="0" borderId="25" xfId="581" applyFont="1" applyBorder="1" applyAlignment="1">
      <alignment horizontal="center" vertical="center" wrapText="1"/>
    </xf>
    <xf numFmtId="0" fontId="99" fillId="0" borderId="0" xfId="581" applyFont="1">
      <alignment vertical="center"/>
    </xf>
    <xf numFmtId="194" fontId="99" fillId="0" borderId="23" xfId="581" applyNumberFormat="1" applyFont="1" applyBorder="1" applyAlignment="1">
      <alignment horizontal="center" vertical="center"/>
    </xf>
    <xf numFmtId="10" fontId="99" fillId="0" borderId="23" xfId="581" applyNumberFormat="1" applyFont="1" applyBorder="1" applyAlignment="1">
      <alignment horizontal="center" vertical="center"/>
    </xf>
    <xf numFmtId="194" fontId="110" fillId="0" borderId="23" xfId="581" applyNumberFormat="1" applyFont="1" applyBorder="1" applyAlignment="1">
      <alignment horizontal="center" vertical="center"/>
    </xf>
    <xf numFmtId="10" fontId="110" fillId="0" borderId="23" xfId="581" applyNumberFormat="1" applyFont="1" applyBorder="1" applyAlignment="1">
      <alignment horizontal="center" vertical="center"/>
    </xf>
    <xf numFmtId="0" fontId="99" fillId="0" borderId="0" xfId="581" applyFont="1" applyAlignment="1">
      <alignment horizontal="center" vertical="center"/>
    </xf>
    <xf numFmtId="10" fontId="99" fillId="0" borderId="0" xfId="3" applyNumberFormat="1" applyFont="1" applyFill="1" applyBorder="1" applyAlignment="1">
      <alignment horizontal="center" vertical="center"/>
    </xf>
    <xf numFmtId="0" fontId="100" fillId="0" borderId="23" xfId="581" applyFont="1" applyBorder="1" applyAlignment="1">
      <alignment horizontal="center" vertical="center" wrapText="1"/>
    </xf>
    <xf numFmtId="0" fontId="111" fillId="0" borderId="23" xfId="581" applyFont="1" applyBorder="1" applyAlignment="1">
      <alignment horizontal="center" vertical="center" wrapText="1"/>
    </xf>
    <xf numFmtId="194" fontId="99" fillId="0" borderId="0" xfId="581" applyNumberFormat="1" applyFont="1">
      <alignment vertical="center"/>
    </xf>
    <xf numFmtId="194" fontId="112" fillId="0" borderId="0" xfId="581" applyNumberFormat="1" applyFont="1">
      <alignment vertical="center"/>
    </xf>
    <xf numFmtId="195" fontId="109" fillId="0" borderId="0" xfId="581" applyNumberFormat="1" applyFont="1">
      <alignment vertical="center"/>
    </xf>
    <xf numFmtId="195" fontId="37" fillId="0" borderId="0" xfId="581" applyNumberFormat="1" applyFont="1">
      <alignment vertical="center"/>
    </xf>
    <xf numFmtId="193" fontId="82" fillId="5" borderId="22" xfId="5" applyNumberFormat="1" applyFont="1" applyFill="1" applyBorder="1" applyAlignment="1">
      <alignment horizontal="center" vertical="center"/>
    </xf>
    <xf numFmtId="194" fontId="109" fillId="8" borderId="22" xfId="581" applyNumberFormat="1" applyFont="1" applyFill="1" applyBorder="1" applyAlignment="1">
      <alignment horizontal="center" vertical="center"/>
    </xf>
    <xf numFmtId="194" fontId="109" fillId="8" borderId="22" xfId="582" applyNumberFormat="1" applyFont="1" applyFill="1" applyBorder="1" applyAlignment="1">
      <alignment horizontal="center" vertical="center"/>
    </xf>
    <xf numFmtId="189" fontId="109" fillId="0" borderId="22" xfId="581" applyNumberFormat="1" applyFont="1" applyBorder="1" applyAlignment="1">
      <alignment horizontal="center" vertical="center"/>
    </xf>
    <xf numFmtId="10" fontId="109" fillId="0" borderId="22" xfId="3" applyNumberFormat="1" applyFont="1" applyBorder="1" applyAlignment="1">
      <alignment horizontal="center" vertical="center"/>
    </xf>
    <xf numFmtId="194" fontId="113" fillId="8" borderId="22" xfId="582" applyNumberFormat="1" applyFont="1" applyFill="1" applyBorder="1" applyAlignment="1">
      <alignment horizontal="center" vertical="center"/>
    </xf>
    <xf numFmtId="10" fontId="113" fillId="0" borderId="22" xfId="3" applyNumberFormat="1" applyFont="1" applyBorder="1" applyAlignment="1">
      <alignment horizontal="center" vertical="center"/>
    </xf>
    <xf numFmtId="193" fontId="82" fillId="14" borderId="22" xfId="5" applyNumberFormat="1" applyFont="1" applyFill="1" applyBorder="1" applyAlignment="1">
      <alignment horizontal="center" vertical="center"/>
    </xf>
    <xf numFmtId="193" fontId="82" fillId="0" borderId="22" xfId="5" applyNumberFormat="1" applyFont="1" applyBorder="1" applyAlignment="1">
      <alignment horizontal="center" vertical="center"/>
    </xf>
    <xf numFmtId="194" fontId="109" fillId="8" borderId="22" xfId="583" applyNumberFormat="1" applyFont="1" applyFill="1" applyBorder="1" applyAlignment="1">
      <alignment horizontal="center" vertical="center"/>
    </xf>
    <xf numFmtId="0" fontId="33" fillId="0" borderId="22" xfId="0" applyFont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2" xfId="0" applyNumberFormat="1" applyFont="1" applyBorder="1" applyAlignment="1">
      <alignment horizontal="center" vertical="center"/>
    </xf>
    <xf numFmtId="1" fontId="0" fillId="0" borderId="22" xfId="0" applyNumberFormat="1" applyBorder="1" applyAlignment="1">
      <alignment horizontal="center" vertical="center"/>
    </xf>
    <xf numFmtId="0" fontId="33" fillId="0" borderId="22" xfId="0" applyFont="1" applyBorder="1" applyAlignment="1">
      <alignment horizontal="center" vertical="center"/>
    </xf>
    <xf numFmtId="183" fontId="0" fillId="0" borderId="22" xfId="0" applyNumberFormat="1" applyFont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1" fontId="0" fillId="0" borderId="22" xfId="0" applyNumberFormat="1" applyFont="1" applyFill="1" applyBorder="1" applyAlignment="1">
      <alignment horizontal="center" vertical="center"/>
    </xf>
    <xf numFmtId="0" fontId="33" fillId="0" borderId="22" xfId="0" applyFont="1" applyFill="1" applyBorder="1" applyAlignment="1">
      <alignment horizontal="center" vertical="center"/>
    </xf>
    <xf numFmtId="1" fontId="0" fillId="0" borderId="22" xfId="0" applyNumberFormat="1" applyFont="1" applyBorder="1" applyAlignment="1">
      <alignment horizontal="center" vertical="center"/>
    </xf>
    <xf numFmtId="0" fontId="33" fillId="0" borderId="22" xfId="0" applyFont="1" applyBorder="1" applyAlignment="1">
      <alignment horizontal="center" vertical="center"/>
    </xf>
    <xf numFmtId="0" fontId="33" fillId="0" borderId="22" xfId="0" applyFont="1" applyFill="1" applyBorder="1" applyAlignment="1">
      <alignment horizontal="center" vertical="center"/>
    </xf>
    <xf numFmtId="0" fontId="33" fillId="0" borderId="22" xfId="0" applyFont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1" fontId="0" fillId="0" borderId="22" xfId="0" applyNumberFormat="1" applyFont="1" applyFill="1" applyBorder="1" applyAlignment="1">
      <alignment horizontal="center" vertical="center"/>
    </xf>
    <xf numFmtId="1" fontId="0" fillId="0" borderId="31" xfId="0" applyNumberFormat="1" applyFont="1" applyFill="1" applyBorder="1" applyAlignment="1">
      <alignment horizontal="center" vertical="center"/>
    </xf>
    <xf numFmtId="43" fontId="7" fillId="0" borderId="0" xfId="0" applyNumberFormat="1" applyFont="1" applyBorder="1" applyAlignment="1">
      <alignment horizontal="center" vertical="center" shrinkToFit="1"/>
    </xf>
    <xf numFmtId="0" fontId="33" fillId="0" borderId="22" xfId="0" applyFont="1" applyFill="1" applyBorder="1" applyAlignment="1">
      <alignment horizontal="center" vertical="center"/>
    </xf>
    <xf numFmtId="0" fontId="33" fillId="0" borderId="22" xfId="0" applyFont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1" fontId="0" fillId="0" borderId="22" xfId="0" applyNumberFormat="1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2" xfId="0" applyNumberFormat="1" applyFont="1" applyFill="1" applyBorder="1" applyAlignment="1">
      <alignment horizontal="center" vertical="center"/>
    </xf>
    <xf numFmtId="1" fontId="0" fillId="0" borderId="31" xfId="0" applyNumberFormat="1" applyFont="1" applyFill="1" applyBorder="1" applyAlignment="1">
      <alignment horizontal="center" vertical="center"/>
    </xf>
    <xf numFmtId="183" fontId="0" fillId="0" borderId="22" xfId="0" applyNumberFormat="1" applyBorder="1" applyAlignment="1">
      <alignment horizontal="center" vertical="center"/>
    </xf>
    <xf numFmtId="176" fontId="26" fillId="19" borderId="0" xfId="0" applyNumberFormat="1" applyFont="1" applyFill="1" applyAlignment="1"/>
    <xf numFmtId="177" fontId="26" fillId="19" borderId="0" xfId="0" applyNumberFormat="1" applyFont="1" applyFill="1" applyAlignment="1"/>
    <xf numFmtId="0" fontId="28" fillId="0" borderId="42" xfId="11" applyFont="1" applyBorder="1" applyAlignment="1">
      <alignment horizontal="center" vertical="center" shrinkToFit="1"/>
    </xf>
    <xf numFmtId="0" fontId="28" fillId="0" borderId="43" xfId="11" applyFont="1" applyBorder="1" applyAlignment="1">
      <alignment horizontal="center" vertical="center" shrinkToFit="1"/>
    </xf>
    <xf numFmtId="0" fontId="28" fillId="0" borderId="25" xfId="11" applyFont="1" applyBorder="1" applyAlignment="1">
      <alignment horizontal="center" vertical="center" shrinkToFit="1"/>
    </xf>
    <xf numFmtId="0" fontId="28" fillId="0" borderId="22" xfId="11" applyFont="1" applyBorder="1" applyAlignment="1">
      <alignment horizontal="center" vertical="center" shrinkToFit="1"/>
    </xf>
    <xf numFmtId="0" fontId="28" fillId="0" borderId="27" xfId="11" applyFont="1" applyBorder="1" applyAlignment="1">
      <alignment horizontal="center" vertical="center" shrinkToFit="1"/>
    </xf>
    <xf numFmtId="0" fontId="44" fillId="0" borderId="61" xfId="11" applyFont="1" applyBorder="1" applyAlignment="1">
      <alignment horizontal="center" shrinkToFit="1"/>
    </xf>
    <xf numFmtId="10" fontId="28" fillId="0" borderId="43" xfId="11" applyNumberFormat="1" applyFont="1" applyBorder="1" applyAlignment="1">
      <alignment shrinkToFit="1"/>
    </xf>
    <xf numFmtId="10" fontId="28" fillId="0" borderId="22" xfId="11" applyNumberFormat="1" applyFont="1" applyBorder="1" applyAlignment="1">
      <alignment shrinkToFit="1"/>
    </xf>
    <xf numFmtId="10" fontId="28" fillId="0" borderId="27" xfId="11" applyNumberFormat="1" applyFont="1" applyBorder="1" applyAlignment="1">
      <alignment shrinkToFit="1"/>
    </xf>
    <xf numFmtId="0" fontId="44" fillId="0" borderId="64" xfId="11" applyFont="1" applyBorder="1" applyAlignment="1">
      <alignment horizontal="center" shrinkToFit="1"/>
    </xf>
    <xf numFmtId="10" fontId="28" fillId="0" borderId="47" xfId="11" applyNumberFormat="1" applyFont="1" applyBorder="1" applyAlignment="1">
      <alignment shrinkToFit="1"/>
    </xf>
    <xf numFmtId="10" fontId="28" fillId="0" borderId="46" xfId="11" applyNumberFormat="1" applyFont="1" applyBorder="1" applyAlignment="1">
      <alignment shrinkToFit="1"/>
    </xf>
    <xf numFmtId="10" fontId="28" fillId="0" borderId="66" xfId="11" applyNumberFormat="1" applyFont="1" applyBorder="1" applyAlignment="1">
      <alignment shrinkToFit="1"/>
    </xf>
    <xf numFmtId="0" fontId="0" fillId="0" borderId="22" xfId="0" applyFont="1" applyBorder="1" applyAlignment="1">
      <alignment horizontal="center" vertical="center"/>
    </xf>
    <xf numFmtId="1" fontId="0" fillId="0" borderId="22" xfId="0" applyNumberFormat="1" applyFont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1" fontId="0" fillId="0" borderId="22" xfId="0" applyNumberFormat="1" applyFont="1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31" xfId="0" applyNumberFormat="1" applyFont="1" applyFill="1" applyBorder="1" applyAlignment="1">
      <alignment horizontal="center" vertical="center"/>
    </xf>
    <xf numFmtId="1" fontId="0" fillId="0" borderId="22" xfId="0" applyNumberFormat="1" applyFont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1" fontId="0" fillId="0" borderId="22" xfId="0" applyNumberFormat="1" applyFont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1" fontId="0" fillId="0" borderId="22" xfId="0" applyNumberFormat="1" applyFont="1" applyBorder="1" applyAlignment="1">
      <alignment horizontal="center" vertical="center"/>
    </xf>
    <xf numFmtId="0" fontId="44" fillId="0" borderId="22" xfId="0" applyFont="1" applyBorder="1" applyAlignment="1">
      <alignment shrinkToFit="1"/>
    </xf>
    <xf numFmtId="0" fontId="44" fillId="2" borderId="22" xfId="0" applyFont="1" applyFill="1" applyBorder="1" applyAlignment="1">
      <alignment horizontal="center" shrinkToFit="1"/>
    </xf>
    <xf numFmtId="0" fontId="28" fillId="0" borderId="22" xfId="0" applyFont="1" applyBorder="1" applyAlignment="1">
      <alignment shrinkToFit="1"/>
    </xf>
    <xf numFmtId="0" fontId="120" fillId="0" borderId="53" xfId="11" applyFont="1" applyBorder="1" applyAlignment="1">
      <alignment shrinkToFit="1"/>
    </xf>
    <xf numFmtId="0" fontId="33" fillId="0" borderId="22" xfId="0" applyFont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183" fontId="0" fillId="0" borderId="22" xfId="0" applyNumberFormat="1" applyFont="1" applyBorder="1" applyAlignment="1">
      <alignment horizontal="center" vertical="center"/>
    </xf>
    <xf numFmtId="1" fontId="0" fillId="0" borderId="22" xfId="0" applyNumberFormat="1" applyFont="1" applyBorder="1" applyAlignment="1">
      <alignment horizontal="center" vertical="center"/>
    </xf>
    <xf numFmtId="0" fontId="77" fillId="0" borderId="0" xfId="0" applyFont="1" applyFill="1" applyBorder="1" applyAlignment="1">
      <alignment shrinkToFit="1"/>
    </xf>
    <xf numFmtId="0" fontId="0" fillId="0" borderId="0" xfId="0" applyFont="1" applyAlignment="1">
      <alignment shrinkToFit="1"/>
    </xf>
    <xf numFmtId="0" fontId="28" fillId="0" borderId="22" xfId="11" applyFont="1" applyFill="1" applyBorder="1" applyAlignment="1">
      <alignment horizontal="center" vertical="center" shrinkToFit="1"/>
    </xf>
    <xf numFmtId="0" fontId="28" fillId="0" borderId="43" xfId="11" applyFont="1" applyFill="1" applyBorder="1" applyAlignment="1">
      <alignment horizontal="center" vertical="center" shrinkToFit="1"/>
    </xf>
    <xf numFmtId="0" fontId="28" fillId="2" borderId="4" xfId="0" applyFont="1" applyFill="1" applyBorder="1" applyAlignment="1">
      <alignment horizontal="center" vertical="center" shrinkToFit="1"/>
    </xf>
    <xf numFmtId="0" fontId="28" fillId="2" borderId="2" xfId="0" applyFont="1" applyFill="1" applyBorder="1" applyAlignment="1">
      <alignment horizontal="center" vertical="center" shrinkToFit="1"/>
    </xf>
    <xf numFmtId="0" fontId="28" fillId="2" borderId="3" xfId="0" applyFont="1" applyFill="1" applyBorder="1" applyAlignment="1">
      <alignment horizontal="center" vertical="center" shrinkToFit="1"/>
    </xf>
    <xf numFmtId="0" fontId="36" fillId="5" borderId="22" xfId="580" applyFont="1" applyFill="1" applyBorder="1" applyAlignment="1">
      <alignment horizontal="center" vertical="center" wrapText="1"/>
    </xf>
    <xf numFmtId="0" fontId="80" fillId="5" borderId="22" xfId="580" applyFont="1" applyFill="1" applyBorder="1" applyAlignment="1">
      <alignment horizontal="center" vertical="center" wrapText="1"/>
    </xf>
    <xf numFmtId="0" fontId="33" fillId="0" borderId="22" xfId="0" applyFont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2" xfId="0" applyNumberFormat="1" applyFont="1" applyBorder="1" applyAlignment="1">
      <alignment horizontal="center" vertical="center"/>
    </xf>
    <xf numFmtId="0" fontId="44" fillId="0" borderId="22" xfId="0" applyFont="1" applyBorder="1" applyAlignment="1">
      <alignment shrinkToFit="1"/>
    </xf>
    <xf numFmtId="0" fontId="44" fillId="2" borderId="22" xfId="0" applyFont="1" applyFill="1" applyBorder="1" applyAlignment="1">
      <alignment horizontal="center" shrinkToFit="1"/>
    </xf>
    <xf numFmtId="0" fontId="28" fillId="0" borderId="22" xfId="0" applyFont="1" applyBorder="1" applyAlignment="1">
      <alignment shrinkToFit="1"/>
    </xf>
    <xf numFmtId="0" fontId="107" fillId="0" borderId="27" xfId="0" applyFont="1" applyBorder="1" applyAlignment="1">
      <alignment vertical="center"/>
    </xf>
    <xf numFmtId="0" fontId="8" fillId="0" borderId="4" xfId="0" applyFont="1" applyBorder="1" applyAlignment="1">
      <alignment shrinkToFit="1"/>
    </xf>
    <xf numFmtId="0" fontId="9" fillId="0" borderId="2" xfId="0" applyFont="1" applyBorder="1" applyAlignment="1">
      <alignment shrinkToFit="1"/>
    </xf>
    <xf numFmtId="0" fontId="9" fillId="0" borderId="3" xfId="0" applyFont="1" applyBorder="1" applyAlignment="1">
      <alignment shrinkToFit="1"/>
    </xf>
    <xf numFmtId="0" fontId="8" fillId="2" borderId="4" xfId="0" applyFont="1" applyFill="1" applyBorder="1" applyAlignment="1">
      <alignment shrinkToFit="1"/>
    </xf>
    <xf numFmtId="0" fontId="11" fillId="0" borderId="4" xfId="0" applyFont="1" applyBorder="1" applyAlignment="1">
      <alignment shrinkToFit="1"/>
    </xf>
    <xf numFmtId="0" fontId="7" fillId="0" borderId="4" xfId="0" applyFont="1" applyBorder="1" applyAlignment="1">
      <alignment shrinkToFit="1"/>
    </xf>
    <xf numFmtId="0" fontId="7" fillId="0" borderId="9" xfId="0" applyFont="1" applyBorder="1" applyAlignment="1">
      <alignment shrinkToFit="1"/>
    </xf>
    <xf numFmtId="0" fontId="9" fillId="0" borderId="8" xfId="0" applyFont="1" applyBorder="1" applyAlignment="1">
      <alignment shrinkToFit="1"/>
    </xf>
    <xf numFmtId="0" fontId="11" fillId="0" borderId="12" xfId="0" applyFont="1" applyBorder="1" applyAlignment="1">
      <alignment shrinkToFit="1"/>
    </xf>
    <xf numFmtId="0" fontId="9" fillId="0" borderId="11" xfId="0" applyFont="1" applyBorder="1" applyAlignment="1">
      <alignment shrinkToFit="1"/>
    </xf>
    <xf numFmtId="0" fontId="9" fillId="0" borderId="10" xfId="0" applyFont="1" applyBorder="1" applyAlignment="1">
      <alignment shrinkToFit="1"/>
    </xf>
    <xf numFmtId="0" fontId="7" fillId="2" borderId="4" xfId="0" applyFont="1" applyFill="1" applyBorder="1" applyAlignment="1">
      <alignment shrinkToFit="1"/>
    </xf>
    <xf numFmtId="0" fontId="7" fillId="2" borderId="2" xfId="0" applyFont="1" applyFill="1" applyBorder="1" applyAlignment="1">
      <alignment shrinkToFit="1"/>
    </xf>
    <xf numFmtId="0" fontId="7" fillId="2" borderId="3" xfId="0" applyFont="1" applyFill="1" applyBorder="1" applyAlignment="1">
      <alignment shrinkToFit="1"/>
    </xf>
    <xf numFmtId="0" fontId="8" fillId="0" borderId="9" xfId="0" applyFont="1" applyBorder="1" applyAlignment="1">
      <alignment shrinkToFit="1"/>
    </xf>
    <xf numFmtId="0" fontId="9" fillId="0" borderId="13" xfId="0" applyFont="1" applyBorder="1" applyAlignment="1">
      <alignment shrinkToFit="1"/>
    </xf>
    <xf numFmtId="0" fontId="12" fillId="2" borderId="4" xfId="0" applyFont="1" applyFill="1" applyBorder="1" applyAlignment="1">
      <alignment shrinkToFit="1"/>
    </xf>
    <xf numFmtId="0" fontId="11" fillId="2" borderId="4" xfId="0" applyFont="1" applyFill="1" applyBorder="1" applyAlignment="1">
      <alignment shrinkToFit="1"/>
    </xf>
    <xf numFmtId="0" fontId="11" fillId="2" borderId="2" xfId="0" applyFont="1" applyFill="1" applyBorder="1" applyAlignment="1">
      <alignment shrinkToFit="1"/>
    </xf>
    <xf numFmtId="0" fontId="11" fillId="2" borderId="3" xfId="0" applyFont="1" applyFill="1" applyBorder="1" applyAlignment="1">
      <alignment shrinkToFit="1"/>
    </xf>
    <xf numFmtId="0" fontId="11" fillId="0" borderId="19" xfId="0" applyFont="1" applyBorder="1" applyAlignment="1">
      <alignment shrinkToFit="1"/>
    </xf>
    <xf numFmtId="0" fontId="9" fillId="0" borderId="20" xfId="0" applyFont="1" applyBorder="1" applyAlignment="1">
      <alignment shrinkToFit="1"/>
    </xf>
    <xf numFmtId="0" fontId="9" fillId="0" borderId="21" xfId="0" applyFont="1" applyBorder="1" applyAlignment="1">
      <alignment shrinkToFit="1"/>
    </xf>
    <xf numFmtId="0" fontId="7" fillId="0" borderId="0" xfId="0" applyFont="1" applyAlignment="1">
      <alignment shrinkToFit="1"/>
    </xf>
    <xf numFmtId="0" fontId="0" fillId="0" borderId="0" xfId="0" applyFont="1" applyAlignment="1">
      <alignment shrinkToFit="1"/>
    </xf>
    <xf numFmtId="0" fontId="7" fillId="0" borderId="19" xfId="0" applyFont="1" applyBorder="1" applyAlignment="1">
      <alignment shrinkToFit="1"/>
    </xf>
    <xf numFmtId="0" fontId="12" fillId="2" borderId="3" xfId="0" applyFont="1" applyFill="1" applyBorder="1" applyAlignment="1">
      <alignment shrinkToFit="1"/>
    </xf>
    <xf numFmtId="0" fontId="41" fillId="0" borderId="0" xfId="0" applyFont="1" applyBorder="1" applyAlignment="1">
      <alignment horizontal="center" vertical="center" shrinkToFit="1"/>
    </xf>
    <xf numFmtId="0" fontId="51" fillId="8" borderId="22" xfId="0" applyFont="1" applyFill="1" applyBorder="1" applyAlignment="1">
      <alignment horizontal="center" vertical="center" shrinkToFit="1"/>
    </xf>
    <xf numFmtId="10" fontId="27" fillId="0" borderId="0" xfId="0" applyNumberFormat="1" applyFont="1" applyFill="1" applyAlignment="1">
      <alignment horizontal="center" vertical="center"/>
    </xf>
    <xf numFmtId="0" fontId="19" fillId="0" borderId="0" xfId="0" applyFont="1" applyFill="1" applyAlignment="1">
      <alignment horizontal="center" vertical="center"/>
    </xf>
    <xf numFmtId="177" fontId="27" fillId="7" borderId="0" xfId="0" applyNumberFormat="1" applyFont="1" applyFill="1" applyAlignment="1">
      <alignment horizontal="center" vertical="center"/>
    </xf>
    <xf numFmtId="178" fontId="27" fillId="6" borderId="0" xfId="0" applyNumberFormat="1" applyFont="1" applyFill="1" applyAlignment="1">
      <alignment horizontal="center" vertical="center"/>
    </xf>
    <xf numFmtId="176" fontId="27" fillId="5" borderId="0" xfId="0" applyNumberFormat="1" applyFont="1" applyFill="1" applyAlignment="1">
      <alignment horizontal="center" vertical="center"/>
    </xf>
    <xf numFmtId="0" fontId="27" fillId="0" borderId="0" xfId="0" applyFont="1" applyFill="1" applyAlignment="1">
      <alignment horizontal="center" vertical="center"/>
    </xf>
    <xf numFmtId="0" fontId="28" fillId="0" borderId="0" xfId="0" applyFont="1" applyFill="1" applyBorder="1" applyAlignment="1">
      <alignment horizontal="center" vertical="center" shrinkToFit="1"/>
    </xf>
    <xf numFmtId="178" fontId="27" fillId="0" borderId="0" xfId="0" applyNumberFormat="1" applyFont="1" applyFill="1" applyAlignment="1">
      <alignment horizontal="center" vertical="center"/>
    </xf>
    <xf numFmtId="0" fontId="25" fillId="0" borderId="0" xfId="0" applyFont="1" applyFill="1" applyAlignment="1">
      <alignment horizontal="center" vertical="center"/>
    </xf>
    <xf numFmtId="181" fontId="15" fillId="0" borderId="0" xfId="0" applyNumberFormat="1" applyFont="1" applyFill="1" applyAlignment="1">
      <alignment horizontal="center" vertical="center"/>
    </xf>
    <xf numFmtId="10" fontId="15" fillId="5" borderId="0" xfId="0" applyNumberFormat="1" applyFont="1" applyFill="1" applyAlignment="1">
      <alignment horizontal="center" vertical="center"/>
    </xf>
    <xf numFmtId="10" fontId="15" fillId="0" borderId="0" xfId="0" applyNumberFormat="1" applyFont="1" applyFill="1" applyAlignment="1">
      <alignment horizontal="center" vertical="center"/>
    </xf>
    <xf numFmtId="0" fontId="30" fillId="0" borderId="22" xfId="0" applyFont="1" applyFill="1" applyBorder="1" applyAlignment="1">
      <alignment horizontal="center" vertical="center"/>
    </xf>
    <xf numFmtId="0" fontId="19" fillId="0" borderId="0" xfId="0" applyFont="1" applyFill="1" applyBorder="1" applyAlignment="1">
      <alignment horizontal="center" vertical="center"/>
    </xf>
    <xf numFmtId="0" fontId="29" fillId="0" borderId="22" xfId="0" applyFont="1" applyFill="1" applyBorder="1" applyAlignment="1">
      <alignment horizontal="center" vertical="center"/>
    </xf>
    <xf numFmtId="0" fontId="28" fillId="0" borderId="22" xfId="0" applyFont="1" applyFill="1" applyBorder="1" applyAlignment="1">
      <alignment horizontal="center" vertical="center" shrinkToFit="1"/>
    </xf>
    <xf numFmtId="182" fontId="28" fillId="0" borderId="22" xfId="0" applyNumberFormat="1" applyFont="1" applyFill="1" applyBorder="1" applyAlignment="1">
      <alignment horizontal="center" vertical="center" shrinkToFit="1"/>
    </xf>
    <xf numFmtId="0" fontId="18" fillId="0" borderId="22" xfId="0" applyFont="1" applyFill="1" applyBorder="1" applyAlignment="1">
      <alignment horizontal="center" vertical="center"/>
    </xf>
    <xf numFmtId="0" fontId="23" fillId="0" borderId="22" xfId="0" applyFont="1" applyFill="1" applyBorder="1" applyAlignment="1">
      <alignment horizontal="center" vertical="center"/>
    </xf>
    <xf numFmtId="182" fontId="27" fillId="0" borderId="22" xfId="0" applyNumberFormat="1" applyFont="1" applyFill="1" applyBorder="1" applyAlignment="1">
      <alignment horizontal="center" vertical="center"/>
    </xf>
    <xf numFmtId="177" fontId="27" fillId="0" borderId="22" xfId="0" applyNumberFormat="1" applyFont="1" applyFill="1" applyBorder="1" applyAlignment="1">
      <alignment horizontal="center" vertical="center"/>
    </xf>
    <xf numFmtId="177" fontId="18" fillId="0" borderId="22" xfId="0" applyNumberFormat="1" applyFont="1" applyFill="1" applyBorder="1" applyAlignment="1">
      <alignment horizontal="center" vertical="center"/>
    </xf>
    <xf numFmtId="177" fontId="30" fillId="0" borderId="22" xfId="0" applyNumberFormat="1" applyFont="1" applyFill="1" applyBorder="1" applyAlignment="1">
      <alignment horizontal="center" vertical="center"/>
    </xf>
    <xf numFmtId="177" fontId="22" fillId="0" borderId="22" xfId="0" applyNumberFormat="1" applyFont="1" applyFill="1" applyBorder="1" applyAlignment="1">
      <alignment horizontal="center" vertical="center" shrinkToFit="1"/>
    </xf>
    <xf numFmtId="177" fontId="28" fillId="0" borderId="22" xfId="0" applyNumberFormat="1" applyFont="1" applyFill="1" applyBorder="1" applyAlignment="1">
      <alignment horizontal="center" vertical="center" shrinkToFit="1"/>
    </xf>
    <xf numFmtId="177" fontId="23" fillId="0" borderId="22" xfId="0" applyNumberFormat="1" applyFont="1" applyFill="1" applyBorder="1" applyAlignment="1">
      <alignment horizontal="center" vertical="center"/>
    </xf>
    <xf numFmtId="183" fontId="0" fillId="0" borderId="23" xfId="0" applyNumberFormat="1" applyFont="1" applyBorder="1" applyAlignment="1">
      <alignment horizontal="center" vertical="center"/>
    </xf>
    <xf numFmtId="183" fontId="0" fillId="0" borderId="29" xfId="0" applyNumberFormat="1" applyFont="1" applyBorder="1" applyAlignment="1">
      <alignment horizontal="center" vertical="center"/>
    </xf>
    <xf numFmtId="183" fontId="0" fillId="0" borderId="30" xfId="0" applyNumberFormat="1" applyFont="1" applyBorder="1" applyAlignment="1">
      <alignment horizontal="center" vertical="center"/>
    </xf>
    <xf numFmtId="0" fontId="33" fillId="4" borderId="22" xfId="0" applyFont="1" applyFill="1" applyBorder="1" applyAlignment="1">
      <alignment horizontal="center" vertical="center"/>
    </xf>
    <xf numFmtId="183" fontId="0" fillId="4" borderId="22" xfId="0" applyNumberFormat="1" applyFill="1" applyBorder="1" applyAlignment="1">
      <alignment horizontal="center" vertical="center"/>
    </xf>
    <xf numFmtId="0" fontId="33" fillId="0" borderId="22" xfId="0" applyFont="1" applyBorder="1" applyAlignment="1">
      <alignment horizontal="center" vertical="center"/>
    </xf>
    <xf numFmtId="183" fontId="0" fillId="0" borderId="22" xfId="0" applyNumberFormat="1" applyFont="1" applyBorder="1" applyAlignment="1">
      <alignment horizontal="center" vertical="center"/>
    </xf>
    <xf numFmtId="0" fontId="33" fillId="0" borderId="23" xfId="0" applyFont="1" applyBorder="1" applyAlignment="1">
      <alignment horizontal="center" vertical="center"/>
    </xf>
    <xf numFmtId="0" fontId="33" fillId="0" borderId="29" xfId="0" applyFont="1" applyBorder="1" applyAlignment="1">
      <alignment horizontal="center" vertical="center"/>
    </xf>
    <xf numFmtId="0" fontId="33" fillId="0" borderId="30" xfId="0" applyFont="1" applyBorder="1" applyAlignment="1">
      <alignment horizontal="center" vertical="center"/>
    </xf>
    <xf numFmtId="0" fontId="24" fillId="0" borderId="22" xfId="0" applyFont="1" applyBorder="1" applyAlignment="1">
      <alignment horizontal="center" vertical="center" wrapText="1"/>
    </xf>
    <xf numFmtId="0" fontId="0" fillId="0" borderId="22" xfId="0" applyFont="1" applyBorder="1" applyAlignment="1">
      <alignment horizontal="center" vertical="center"/>
    </xf>
    <xf numFmtId="1" fontId="0" fillId="0" borderId="22" xfId="0" applyNumberFormat="1" applyFont="1" applyFill="1" applyBorder="1" applyAlignment="1">
      <alignment horizontal="center" vertical="center"/>
    </xf>
    <xf numFmtId="0" fontId="34" fillId="12" borderId="0" xfId="0" applyFont="1" applyFill="1" applyAlignment="1">
      <alignment horizontal="left" vertical="center"/>
    </xf>
    <xf numFmtId="0" fontId="35" fillId="12" borderId="0" xfId="0" applyFont="1" applyFill="1" applyAlignment="1">
      <alignment horizontal="left" vertical="center"/>
    </xf>
    <xf numFmtId="0" fontId="35" fillId="12" borderId="0" xfId="0" applyFont="1" applyFill="1" applyBorder="1" applyAlignment="1">
      <alignment horizontal="left" vertical="center"/>
    </xf>
    <xf numFmtId="0" fontId="35" fillId="12" borderId="26" xfId="0" applyFont="1" applyFill="1" applyBorder="1" applyAlignment="1">
      <alignment horizontal="left" vertical="center"/>
    </xf>
    <xf numFmtId="1" fontId="33" fillId="0" borderId="22" xfId="0" applyNumberFormat="1" applyFont="1" applyFill="1" applyBorder="1" applyAlignment="1">
      <alignment horizontal="center" vertical="center"/>
    </xf>
    <xf numFmtId="183" fontId="0" fillId="0" borderId="31" xfId="0" applyNumberFormat="1" applyBorder="1" applyAlignment="1">
      <alignment horizontal="center" vertical="center"/>
    </xf>
    <xf numFmtId="183" fontId="0" fillId="0" borderId="33" xfId="0" applyNumberFormat="1" applyBorder="1" applyAlignment="1">
      <alignment horizontal="center" vertical="center"/>
    </xf>
    <xf numFmtId="183" fontId="0" fillId="0" borderId="31" xfId="0" applyNumberFormat="1" applyFont="1" applyFill="1" applyBorder="1" applyAlignment="1">
      <alignment horizontal="center" vertical="center"/>
    </xf>
    <xf numFmtId="183" fontId="0" fillId="0" borderId="33" xfId="0" applyNumberFormat="1" applyFont="1" applyFill="1" applyBorder="1" applyAlignment="1">
      <alignment horizontal="center" vertical="center"/>
    </xf>
    <xf numFmtId="183" fontId="0" fillId="0" borderId="35" xfId="0" applyNumberFormat="1" applyFont="1" applyFill="1" applyBorder="1" applyAlignment="1">
      <alignment horizontal="center" vertical="center"/>
    </xf>
    <xf numFmtId="0" fontId="33" fillId="0" borderId="27" xfId="0" applyFont="1" applyBorder="1" applyAlignment="1">
      <alignment horizontal="center" vertical="center"/>
    </xf>
    <xf numFmtId="0" fontId="33" fillId="0" borderId="28" xfId="0" applyFont="1" applyBorder="1" applyAlignment="1">
      <alignment horizontal="center" vertical="center"/>
    </xf>
    <xf numFmtId="0" fontId="33" fillId="0" borderId="25" xfId="0" applyFont="1" applyBorder="1" applyAlignment="1">
      <alignment horizontal="center" vertical="center"/>
    </xf>
    <xf numFmtId="0" fontId="33" fillId="4" borderId="27" xfId="0" applyFont="1" applyFill="1" applyBorder="1" applyAlignment="1">
      <alignment horizontal="center" vertical="center"/>
    </xf>
    <xf numFmtId="0" fontId="33" fillId="4" borderId="28" xfId="0" applyFont="1" applyFill="1" applyBorder="1" applyAlignment="1">
      <alignment horizontal="center" vertical="center"/>
    </xf>
    <xf numFmtId="0" fontId="33" fillId="4" borderId="25" xfId="0" applyFont="1" applyFill="1" applyBorder="1" applyAlignment="1">
      <alignment horizontal="center" vertical="center"/>
    </xf>
    <xf numFmtId="179" fontId="33" fillId="0" borderId="27" xfId="0" applyNumberFormat="1" applyFont="1" applyBorder="1" applyAlignment="1">
      <alignment horizontal="center" vertical="center"/>
    </xf>
    <xf numFmtId="179" fontId="33" fillId="0" borderId="28" xfId="0" applyNumberFormat="1" applyFont="1" applyBorder="1" applyAlignment="1">
      <alignment horizontal="center" vertical="center"/>
    </xf>
    <xf numFmtId="179" fontId="33" fillId="0" borderId="25" xfId="0" applyNumberFormat="1" applyFont="1" applyBorder="1" applyAlignment="1">
      <alignment horizontal="center" vertical="center"/>
    </xf>
    <xf numFmtId="179" fontId="33" fillId="0" borderId="22" xfId="0" applyNumberFormat="1" applyFont="1" applyBorder="1" applyAlignment="1">
      <alignment horizontal="center" vertical="center"/>
    </xf>
    <xf numFmtId="0" fontId="34" fillId="0" borderId="0" xfId="0" applyFont="1" applyAlignment="1">
      <alignment horizontal="left" vertical="center"/>
    </xf>
    <xf numFmtId="0" fontId="35" fillId="0" borderId="0" xfId="0" applyFont="1" applyAlignment="1">
      <alignment horizontal="left" vertical="center"/>
    </xf>
    <xf numFmtId="0" fontId="35" fillId="0" borderId="0" xfId="0" applyFont="1" applyBorder="1" applyAlignment="1">
      <alignment horizontal="left" vertical="center"/>
    </xf>
    <xf numFmtId="0" fontId="35" fillId="0" borderId="26" xfId="0" applyFont="1" applyBorder="1" applyAlignment="1">
      <alignment horizontal="left" vertical="center"/>
    </xf>
    <xf numFmtId="0" fontId="33" fillId="0" borderId="31" xfId="0" applyFont="1" applyBorder="1" applyAlignment="1">
      <alignment horizontal="center" vertical="center"/>
    </xf>
    <xf numFmtId="0" fontId="33" fillId="0" borderId="33" xfId="0" applyFont="1" applyBorder="1" applyAlignment="1">
      <alignment horizontal="center" vertical="center"/>
    </xf>
    <xf numFmtId="0" fontId="33" fillId="0" borderId="35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33" fillId="0" borderId="23" xfId="0" applyFont="1" applyFill="1" applyBorder="1" applyAlignment="1">
      <alignment horizontal="center" vertical="center"/>
    </xf>
    <xf numFmtId="0" fontId="33" fillId="0" borderId="29" xfId="0" applyFont="1" applyFill="1" applyBorder="1" applyAlignment="1">
      <alignment horizontal="center" vertical="center"/>
    </xf>
    <xf numFmtId="0" fontId="33" fillId="0" borderId="30" xfId="0" applyFont="1" applyFill="1" applyBorder="1" applyAlignment="1">
      <alignment horizontal="center" vertical="center"/>
    </xf>
    <xf numFmtId="0" fontId="34" fillId="0" borderId="37" xfId="0" applyFont="1" applyBorder="1" applyAlignment="1">
      <alignment horizontal="left" vertical="center"/>
    </xf>
    <xf numFmtId="0" fontId="35" fillId="0" borderId="37" xfId="0" applyFont="1" applyBorder="1" applyAlignment="1">
      <alignment horizontal="left" vertical="center"/>
    </xf>
    <xf numFmtId="0" fontId="0" fillId="0" borderId="23" xfId="0" applyFont="1" applyBorder="1" applyAlignment="1">
      <alignment horizontal="center" vertical="center"/>
    </xf>
    <xf numFmtId="0" fontId="0" fillId="0" borderId="29" xfId="0" applyFont="1" applyBorder="1" applyAlignment="1">
      <alignment horizontal="center" vertical="center"/>
    </xf>
    <xf numFmtId="0" fontId="0" fillId="0" borderId="30" xfId="0" applyFont="1" applyBorder="1" applyAlignment="1">
      <alignment horizontal="center" vertical="center"/>
    </xf>
    <xf numFmtId="0" fontId="33" fillId="0" borderId="32" xfId="0" applyFont="1" applyBorder="1" applyAlignment="1">
      <alignment horizontal="center" vertical="center"/>
    </xf>
    <xf numFmtId="0" fontId="33" fillId="0" borderId="34" xfId="0" applyFont="1" applyBorder="1" applyAlignment="1">
      <alignment horizontal="center" vertical="center"/>
    </xf>
    <xf numFmtId="0" fontId="33" fillId="0" borderId="36" xfId="0" applyFont="1" applyBorder="1" applyAlignment="1">
      <alignment horizontal="center" vertical="center"/>
    </xf>
    <xf numFmtId="0" fontId="33" fillId="0" borderId="22" xfId="0" applyFont="1" applyFill="1" applyBorder="1" applyAlignment="1">
      <alignment horizontal="center" vertical="center"/>
    </xf>
    <xf numFmtId="0" fontId="33" fillId="0" borderId="31" xfId="0" applyFont="1" applyFill="1" applyBorder="1" applyAlignment="1">
      <alignment horizontal="center" vertical="center"/>
    </xf>
    <xf numFmtId="0" fontId="33" fillId="0" borderId="33" xfId="0" applyFont="1" applyFill="1" applyBorder="1" applyAlignment="1">
      <alignment horizontal="center" vertical="center"/>
    </xf>
    <xf numFmtId="0" fontId="33" fillId="0" borderId="35" xfId="0" applyFont="1" applyFill="1" applyBorder="1" applyAlignment="1">
      <alignment horizontal="center" vertical="center"/>
    </xf>
    <xf numFmtId="0" fontId="33" fillId="0" borderId="27" xfId="0" applyFont="1" applyFill="1" applyBorder="1" applyAlignment="1">
      <alignment horizontal="center" vertical="center"/>
    </xf>
    <xf numFmtId="0" fontId="33" fillId="0" borderId="28" xfId="0" applyFont="1" applyFill="1" applyBorder="1" applyAlignment="1">
      <alignment horizontal="center" vertical="center"/>
    </xf>
    <xf numFmtId="0" fontId="33" fillId="0" borderId="25" xfId="0" applyFont="1" applyFill="1" applyBorder="1" applyAlignment="1">
      <alignment horizontal="center" vertical="center"/>
    </xf>
    <xf numFmtId="183" fontId="0" fillId="0" borderId="23" xfId="0" applyNumberFormat="1" applyFont="1" applyFill="1" applyBorder="1" applyAlignment="1">
      <alignment horizontal="center" vertical="center"/>
    </xf>
    <xf numFmtId="183" fontId="0" fillId="0" borderId="29" xfId="0" applyNumberFormat="1" applyFont="1" applyFill="1" applyBorder="1" applyAlignment="1">
      <alignment horizontal="center" vertical="center"/>
    </xf>
    <xf numFmtId="183" fontId="0" fillId="0" borderId="30" xfId="0" applyNumberFormat="1" applyFont="1" applyFill="1" applyBorder="1" applyAlignment="1">
      <alignment horizontal="center" vertical="center"/>
    </xf>
    <xf numFmtId="183" fontId="0" fillId="0" borderId="22" xfId="0" applyNumberFormat="1" applyBorder="1" applyAlignment="1">
      <alignment horizontal="center" vertical="center"/>
    </xf>
    <xf numFmtId="0" fontId="24" fillId="0" borderId="22" xfId="0" applyFont="1" applyBorder="1" applyAlignment="1">
      <alignment horizontal="center" vertical="center"/>
    </xf>
    <xf numFmtId="183" fontId="0" fillId="0" borderId="31" xfId="0" applyNumberFormat="1" applyFont="1" applyBorder="1" applyAlignment="1">
      <alignment horizontal="center" vertical="center"/>
    </xf>
    <xf numFmtId="183" fontId="0" fillId="0" borderId="33" xfId="0" applyNumberFormat="1" applyFont="1" applyBorder="1" applyAlignment="1">
      <alignment horizontal="center" vertical="center"/>
    </xf>
    <xf numFmtId="183" fontId="0" fillId="0" borderId="35" xfId="0" applyNumberFormat="1" applyFont="1" applyBorder="1" applyAlignment="1">
      <alignment horizontal="center" vertical="center"/>
    </xf>
    <xf numFmtId="1" fontId="0" fillId="0" borderId="31" xfId="0" applyNumberFormat="1" applyFont="1" applyFill="1" applyBorder="1" applyAlignment="1">
      <alignment horizontal="center" vertical="center"/>
    </xf>
    <xf numFmtId="1" fontId="0" fillId="0" borderId="33" xfId="0" applyNumberFormat="1" applyFont="1" applyFill="1" applyBorder="1" applyAlignment="1">
      <alignment horizontal="center" vertical="center"/>
    </xf>
    <xf numFmtId="1" fontId="0" fillId="0" borderId="35" xfId="0" applyNumberFormat="1" applyFont="1" applyFill="1" applyBorder="1" applyAlignment="1">
      <alignment horizontal="center" vertical="center"/>
    </xf>
    <xf numFmtId="1" fontId="33" fillId="0" borderId="31" xfId="0" applyNumberFormat="1" applyFont="1" applyFill="1" applyBorder="1" applyAlignment="1">
      <alignment horizontal="center" vertical="center"/>
    </xf>
    <xf numFmtId="1" fontId="33" fillId="0" borderId="33" xfId="0" applyNumberFormat="1" applyFont="1" applyFill="1" applyBorder="1" applyAlignment="1">
      <alignment horizontal="center" vertical="center"/>
    </xf>
    <xf numFmtId="1" fontId="33" fillId="0" borderId="35" xfId="0" applyNumberFormat="1" applyFont="1" applyFill="1" applyBorder="1" applyAlignment="1">
      <alignment horizontal="center" vertical="center"/>
    </xf>
    <xf numFmtId="1" fontId="33" fillId="0" borderId="23" xfId="0" applyNumberFormat="1" applyFont="1" applyFill="1" applyBorder="1" applyAlignment="1">
      <alignment horizontal="center" vertical="center"/>
    </xf>
    <xf numFmtId="1" fontId="33" fillId="0" borderId="29" xfId="0" applyNumberFormat="1" applyFont="1" applyFill="1" applyBorder="1" applyAlignment="1">
      <alignment horizontal="center" vertical="center"/>
    </xf>
    <xf numFmtId="1" fontId="33" fillId="0" borderId="30" xfId="0" applyNumberFormat="1" applyFont="1" applyFill="1" applyBorder="1" applyAlignment="1">
      <alignment horizontal="center" vertical="center"/>
    </xf>
    <xf numFmtId="183" fontId="0" fillId="0" borderId="35" xfId="0" applyNumberFormat="1" applyBorder="1" applyAlignment="1">
      <alignment horizontal="center" vertical="center"/>
    </xf>
    <xf numFmtId="0" fontId="34" fillId="0" borderId="26" xfId="0" applyFont="1" applyBorder="1" applyAlignment="1">
      <alignment horizontal="left" vertical="center"/>
    </xf>
    <xf numFmtId="1" fontId="0" fillId="0" borderId="22" xfId="0" applyNumberFormat="1" applyFont="1" applyBorder="1" applyAlignment="1">
      <alignment horizontal="center" vertical="center"/>
    </xf>
    <xf numFmtId="1" fontId="33" fillId="0" borderId="28" xfId="0" applyNumberFormat="1" applyFont="1" applyBorder="1" applyAlignment="1">
      <alignment horizontal="center" vertical="center"/>
    </xf>
    <xf numFmtId="183" fontId="33" fillId="0" borderId="25" xfId="0" applyNumberFormat="1" applyFont="1" applyBorder="1" applyAlignment="1">
      <alignment horizontal="center" vertical="center"/>
    </xf>
    <xf numFmtId="1" fontId="0" fillId="0" borderId="23" xfId="0" applyNumberFormat="1" applyBorder="1" applyAlignment="1">
      <alignment horizontal="center" vertical="center"/>
    </xf>
    <xf numFmtId="1" fontId="0" fillId="0" borderId="29" xfId="0" applyNumberFormat="1" applyBorder="1" applyAlignment="1">
      <alignment horizontal="center" vertical="center"/>
    </xf>
    <xf numFmtId="1" fontId="0" fillId="0" borderId="30" xfId="0" applyNumberFormat="1" applyBorder="1" applyAlignment="1">
      <alignment horizontal="center" vertical="center"/>
    </xf>
    <xf numFmtId="2" fontId="0" fillId="0" borderId="22" xfId="0" applyNumberForma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 shrinkToFit="1"/>
    </xf>
    <xf numFmtId="0" fontId="44" fillId="2" borderId="22" xfId="0" applyFont="1" applyFill="1" applyBorder="1" applyAlignment="1">
      <alignment horizontal="center" vertical="center" shrinkToFit="1"/>
    </xf>
    <xf numFmtId="0" fontId="55" fillId="0" borderId="22" xfId="0" applyFont="1" applyBorder="1" applyAlignment="1">
      <alignment horizontal="center" vertical="center" shrinkToFit="1"/>
    </xf>
    <xf numFmtId="0" fontId="53" fillId="0" borderId="0" xfId="0" applyFont="1" applyBorder="1" applyAlignment="1">
      <alignment horizontal="left" vertical="center" shrinkToFit="1"/>
    </xf>
    <xf numFmtId="0" fontId="54" fillId="0" borderId="0" xfId="0" applyFont="1" applyBorder="1" applyAlignment="1">
      <alignment horizontal="left" vertical="center" shrinkToFit="1"/>
    </xf>
    <xf numFmtId="0" fontId="22" fillId="0" borderId="22" xfId="0" applyFont="1" applyBorder="1" applyAlignment="1">
      <alignment horizontal="center" vertical="center" shrinkToFit="1"/>
    </xf>
    <xf numFmtId="0" fontId="77" fillId="0" borderId="22" xfId="0" applyFont="1" applyBorder="1" applyAlignment="1">
      <alignment horizontal="center" shrinkToFit="1"/>
    </xf>
    <xf numFmtId="0" fontId="52" fillId="0" borderId="31" xfId="0" applyFont="1" applyBorder="1" applyAlignment="1">
      <alignment horizontal="center" vertical="center" wrapText="1" shrinkToFit="1"/>
    </xf>
    <xf numFmtId="0" fontId="52" fillId="0" borderId="32" xfId="0" applyFont="1" applyBorder="1" applyAlignment="1">
      <alignment horizontal="center" vertical="center" wrapText="1" shrinkToFit="1"/>
    </xf>
    <xf numFmtId="0" fontId="52" fillId="0" borderId="33" xfId="0" applyFont="1" applyBorder="1" applyAlignment="1">
      <alignment horizontal="center" vertical="center" wrapText="1" shrinkToFit="1"/>
    </xf>
    <xf numFmtId="0" fontId="52" fillId="0" borderId="34" xfId="0" applyFont="1" applyBorder="1" applyAlignment="1">
      <alignment horizontal="center" vertical="center" wrapText="1" shrinkToFit="1"/>
    </xf>
    <xf numFmtId="0" fontId="52" fillId="0" borderId="35" xfId="0" applyFont="1" applyBorder="1" applyAlignment="1">
      <alignment horizontal="center" vertical="center" wrapText="1" shrinkToFit="1"/>
    </xf>
    <xf numFmtId="0" fontId="52" fillId="0" borderId="36" xfId="0" applyFont="1" applyBorder="1" applyAlignment="1">
      <alignment horizontal="center" vertical="center" wrapText="1" shrinkToFit="1"/>
    </xf>
    <xf numFmtId="0" fontId="44" fillId="0" borderId="22" xfId="0" applyFont="1" applyBorder="1" applyAlignment="1">
      <alignment shrinkToFit="1"/>
    </xf>
    <xf numFmtId="0" fontId="55" fillId="0" borderId="22" xfId="0" applyFont="1" applyBorder="1" applyAlignment="1">
      <alignment shrinkToFit="1"/>
    </xf>
    <xf numFmtId="0" fontId="44" fillId="2" borderId="22" xfId="0" applyFont="1" applyFill="1" applyBorder="1" applyAlignment="1">
      <alignment horizontal="center" shrinkToFit="1"/>
    </xf>
    <xf numFmtId="0" fontId="55" fillId="0" borderId="22" xfId="0" applyFont="1" applyBorder="1" applyAlignment="1">
      <alignment horizontal="center" shrinkToFit="1"/>
    </xf>
    <xf numFmtId="0" fontId="52" fillId="0" borderId="22" xfId="0" applyFont="1" applyBorder="1" applyAlignment="1">
      <alignment shrinkToFit="1"/>
    </xf>
    <xf numFmtId="0" fontId="114" fillId="0" borderId="22" xfId="0" applyFont="1" applyBorder="1" applyAlignment="1">
      <alignment horizontal="center" vertical="center" wrapText="1" shrinkToFit="1"/>
    </xf>
    <xf numFmtId="0" fontId="105" fillId="0" borderId="22" xfId="0" applyFont="1" applyBorder="1" applyAlignment="1">
      <alignment horizontal="center" vertical="center" wrapText="1" shrinkToFit="1"/>
    </xf>
    <xf numFmtId="0" fontId="28" fillId="0" borderId="22" xfId="0" applyFont="1" applyBorder="1" applyAlignment="1">
      <alignment horizontal="center" shrinkToFit="1"/>
    </xf>
    <xf numFmtId="0" fontId="115" fillId="0" borderId="22" xfId="0" applyFont="1" applyBorder="1" applyAlignment="1">
      <alignment horizontal="center" shrinkToFit="1"/>
    </xf>
    <xf numFmtId="0" fontId="114" fillId="0" borderId="31" xfId="0" applyFont="1" applyBorder="1" applyAlignment="1">
      <alignment horizontal="center" vertical="center" wrapText="1" shrinkToFit="1"/>
    </xf>
    <xf numFmtId="0" fontId="114" fillId="0" borderId="32" xfId="0" applyFont="1" applyBorder="1" applyAlignment="1">
      <alignment horizontal="center" vertical="center" wrapText="1" shrinkToFit="1"/>
    </xf>
    <xf numFmtId="0" fontId="114" fillId="0" borderId="35" xfId="0" applyFont="1" applyBorder="1" applyAlignment="1">
      <alignment horizontal="center" vertical="center" wrapText="1" shrinkToFit="1"/>
    </xf>
    <xf numFmtId="0" fontId="114" fillId="0" borderId="36" xfId="0" applyFont="1" applyBorder="1" applyAlignment="1">
      <alignment horizontal="center" vertical="center" wrapText="1" shrinkToFit="1"/>
    </xf>
    <xf numFmtId="0" fontId="22" fillId="0" borderId="22" xfId="0" applyFont="1" applyBorder="1" applyAlignment="1">
      <alignment shrinkToFit="1"/>
    </xf>
    <xf numFmtId="0" fontId="67" fillId="0" borderId="22" xfId="0" applyFont="1" applyBorder="1" applyAlignment="1">
      <alignment shrinkToFit="1"/>
    </xf>
    <xf numFmtId="0" fontId="117" fillId="0" borderId="22" xfId="0" applyFont="1" applyBorder="1" applyAlignment="1">
      <alignment horizontal="center" vertical="center" shrinkToFit="1"/>
    </xf>
    <xf numFmtId="179" fontId="118" fillId="0" borderId="22" xfId="0" applyNumberFormat="1" applyFont="1" applyBorder="1" applyAlignment="1">
      <alignment horizontal="center" vertical="center" shrinkToFit="1"/>
    </xf>
    <xf numFmtId="0" fontId="119" fillId="0" borderId="22" xfId="0" applyFont="1" applyBorder="1" applyAlignment="1">
      <alignment horizontal="center" vertical="center" shrinkToFit="1"/>
    </xf>
    <xf numFmtId="0" fontId="122" fillId="0" borderId="31" xfId="0" applyFont="1" applyBorder="1" applyAlignment="1">
      <alignment horizontal="center" vertical="center" wrapText="1" shrinkToFit="1"/>
    </xf>
    <xf numFmtId="0" fontId="122" fillId="0" borderId="32" xfId="0" applyFont="1" applyBorder="1" applyAlignment="1">
      <alignment horizontal="center" vertical="center" wrapText="1" shrinkToFit="1"/>
    </xf>
    <xf numFmtId="0" fontId="122" fillId="0" borderId="35" xfId="0" applyFont="1" applyBorder="1" applyAlignment="1">
      <alignment horizontal="center" vertical="center" wrapText="1" shrinkToFit="1"/>
    </xf>
    <xf numFmtId="0" fontId="122" fillId="0" borderId="36" xfId="0" applyFont="1" applyBorder="1" applyAlignment="1">
      <alignment horizontal="center" vertical="center" wrapText="1" shrinkToFit="1"/>
    </xf>
    <xf numFmtId="0" fontId="52" fillId="0" borderId="22" xfId="0" applyFont="1" applyBorder="1" applyAlignment="1">
      <alignment horizontal="center" vertical="center" shrinkToFit="1"/>
    </xf>
    <xf numFmtId="0" fontId="124" fillId="0" borderId="31" xfId="0" applyFont="1" applyBorder="1" applyAlignment="1">
      <alignment horizontal="center" vertical="center" wrapText="1" shrinkToFit="1"/>
    </xf>
    <xf numFmtId="0" fontId="124" fillId="0" borderId="32" xfId="0" applyFont="1" applyBorder="1" applyAlignment="1">
      <alignment horizontal="center" vertical="center" wrapText="1" shrinkToFit="1"/>
    </xf>
    <xf numFmtId="0" fontId="124" fillId="0" borderId="35" xfId="0" applyFont="1" applyBorder="1" applyAlignment="1">
      <alignment horizontal="center" vertical="center" wrapText="1" shrinkToFit="1"/>
    </xf>
    <xf numFmtId="0" fontId="124" fillId="0" borderId="36" xfId="0" applyFont="1" applyBorder="1" applyAlignment="1">
      <alignment horizontal="center" vertical="center" wrapText="1" shrinkToFit="1"/>
    </xf>
    <xf numFmtId="0" fontId="121" fillId="0" borderId="22" xfId="0" applyFont="1" applyBorder="1" applyAlignment="1">
      <alignment horizontal="center" vertical="center" shrinkToFit="1"/>
    </xf>
    <xf numFmtId="0" fontId="44" fillId="0" borderId="31" xfId="0" applyFont="1" applyBorder="1" applyAlignment="1">
      <alignment horizontal="center" vertical="center" shrinkToFit="1"/>
    </xf>
    <xf numFmtId="0" fontId="44" fillId="0" borderId="32" xfId="0" applyFont="1" applyBorder="1" applyAlignment="1">
      <alignment horizontal="center" vertical="center" shrinkToFit="1"/>
    </xf>
    <xf numFmtId="0" fontId="44" fillId="0" borderId="33" xfId="0" applyFont="1" applyBorder="1" applyAlignment="1">
      <alignment horizontal="center" vertical="center" shrinkToFit="1"/>
    </xf>
    <xf numFmtId="0" fontId="44" fillId="0" borderId="34" xfId="0" applyFont="1" applyBorder="1" applyAlignment="1">
      <alignment horizontal="center" vertical="center" shrinkToFit="1"/>
    </xf>
    <xf numFmtId="0" fontId="44" fillId="0" borderId="35" xfId="0" applyFont="1" applyBorder="1" applyAlignment="1">
      <alignment horizontal="center" vertical="center" shrinkToFit="1"/>
    </xf>
    <xf numFmtId="0" fontId="44" fillId="0" borderId="36" xfId="0" applyFont="1" applyBorder="1" applyAlignment="1">
      <alignment horizontal="center" vertical="center" shrinkToFit="1"/>
    </xf>
    <xf numFmtId="0" fontId="44" fillId="0" borderId="22" xfId="0" applyFont="1" applyBorder="1" applyAlignment="1">
      <alignment horizontal="center" vertical="center" shrinkToFit="1"/>
    </xf>
    <xf numFmtId="0" fontId="28" fillId="0" borderId="27" xfId="0" applyFont="1" applyBorder="1" applyAlignment="1">
      <alignment horizontal="center" vertical="center" shrinkToFit="1"/>
    </xf>
    <xf numFmtId="0" fontId="28" fillId="0" borderId="25" xfId="0" applyFont="1" applyBorder="1" applyAlignment="1">
      <alignment horizontal="center" vertical="center" shrinkToFit="1"/>
    </xf>
    <xf numFmtId="0" fontId="118" fillId="0" borderId="27" xfId="0" applyFont="1" applyBorder="1" applyAlignment="1">
      <alignment horizontal="center" vertical="center" shrinkToFit="1"/>
    </xf>
    <xf numFmtId="0" fontId="22" fillId="0" borderId="27" xfId="0" applyFont="1" applyBorder="1" applyAlignment="1">
      <alignment vertical="center" shrinkToFit="1"/>
    </xf>
    <xf numFmtId="0" fontId="28" fillId="0" borderId="25" xfId="0" applyFont="1" applyBorder="1" applyAlignment="1">
      <alignment vertical="center" shrinkToFit="1"/>
    </xf>
    <xf numFmtId="0" fontId="26" fillId="0" borderId="23" xfId="0" applyFont="1" applyBorder="1" applyAlignment="1">
      <alignment horizontal="center" vertical="center" shrinkToFit="1"/>
    </xf>
    <xf numFmtId="0" fontId="26" fillId="0" borderId="29" xfId="0" applyFont="1" applyBorder="1" applyAlignment="1">
      <alignment horizontal="center" vertical="center" shrinkToFit="1"/>
    </xf>
    <xf numFmtId="0" fontId="26" fillId="0" borderId="30" xfId="0" applyFont="1" applyBorder="1" applyAlignment="1">
      <alignment horizontal="center" vertical="center" shrinkToFit="1"/>
    </xf>
    <xf numFmtId="0" fontId="44" fillId="2" borderId="23" xfId="0" applyFont="1" applyFill="1" applyBorder="1" applyAlignment="1">
      <alignment horizontal="center" vertical="center" shrinkToFit="1"/>
    </xf>
    <xf numFmtId="0" fontId="44" fillId="2" borderId="29" xfId="0" applyFont="1" applyFill="1" applyBorder="1" applyAlignment="1">
      <alignment horizontal="center" vertical="center" shrinkToFit="1"/>
    </xf>
    <xf numFmtId="0" fontId="44" fillId="2" borderId="30" xfId="0" applyFont="1" applyFill="1" applyBorder="1" applyAlignment="1">
      <alignment horizontal="center" vertical="center" shrinkToFit="1"/>
    </xf>
    <xf numFmtId="0" fontId="44" fillId="0" borderId="27" xfId="0" applyFont="1" applyBorder="1" applyAlignment="1">
      <alignment horizontal="center" vertical="center" shrinkToFit="1"/>
    </xf>
    <xf numFmtId="0" fontId="44" fillId="0" borderId="25" xfId="0" applyFont="1" applyBorder="1" applyAlignment="1">
      <alignment horizontal="center" vertical="center" shrinkToFit="1"/>
    </xf>
    <xf numFmtId="0" fontId="44" fillId="2" borderId="27" xfId="0" applyFont="1" applyFill="1" applyBorder="1" applyAlignment="1">
      <alignment horizontal="center" shrinkToFit="1"/>
    </xf>
    <xf numFmtId="0" fontId="44" fillId="2" borderId="25" xfId="0" applyFont="1" applyFill="1" applyBorder="1" applyAlignment="1">
      <alignment horizontal="center" shrinkToFit="1"/>
    </xf>
    <xf numFmtId="0" fontId="44" fillId="2" borderId="28" xfId="0" applyFont="1" applyFill="1" applyBorder="1" applyAlignment="1">
      <alignment horizontal="center" shrinkToFit="1"/>
    </xf>
    <xf numFmtId="0" fontId="44" fillId="2" borderId="27" xfId="0" applyFont="1" applyFill="1" applyBorder="1" applyAlignment="1">
      <alignment horizontal="center" vertical="center" shrinkToFit="1"/>
    </xf>
    <xf numFmtId="0" fontId="44" fillId="2" borderId="25" xfId="0" applyFont="1" applyFill="1" applyBorder="1" applyAlignment="1">
      <alignment horizontal="center" vertical="center" shrinkToFit="1"/>
    </xf>
    <xf numFmtId="0" fontId="44" fillId="2" borderId="28" xfId="0" applyFont="1" applyFill="1" applyBorder="1" applyAlignment="1">
      <alignment horizontal="center" vertical="center" shrinkToFit="1"/>
    </xf>
    <xf numFmtId="0" fontId="22" fillId="0" borderId="31" xfId="0" applyFont="1" applyBorder="1" applyAlignment="1">
      <alignment horizontal="center" vertical="center" shrinkToFit="1"/>
    </xf>
    <xf numFmtId="0" fontId="22" fillId="0" borderId="32" xfId="0" applyFont="1" applyBorder="1" applyAlignment="1">
      <alignment horizontal="center" vertical="center" shrinkToFit="1"/>
    </xf>
    <xf numFmtId="0" fontId="22" fillId="0" borderId="35" xfId="0" applyFont="1" applyBorder="1" applyAlignment="1">
      <alignment horizontal="center" vertical="center" shrinkToFit="1"/>
    </xf>
    <xf numFmtId="0" fontId="22" fillId="0" borderId="36" xfId="0" applyFont="1" applyBorder="1" applyAlignment="1">
      <alignment horizontal="center" vertical="center" shrinkToFit="1"/>
    </xf>
    <xf numFmtId="0" fontId="28" fillId="0" borderId="27" xfId="0" applyFont="1" applyBorder="1" applyAlignment="1">
      <alignment shrinkToFit="1"/>
    </xf>
    <xf numFmtId="0" fontId="28" fillId="0" borderId="25" xfId="0" applyFont="1" applyBorder="1" applyAlignment="1">
      <alignment shrinkToFit="1"/>
    </xf>
    <xf numFmtId="0" fontId="44" fillId="0" borderId="27" xfId="0" applyFont="1" applyBorder="1" applyAlignment="1">
      <alignment shrinkToFit="1"/>
    </xf>
    <xf numFmtId="0" fontId="44" fillId="0" borderId="25" xfId="0" applyFont="1" applyBorder="1" applyAlignment="1">
      <alignment shrinkToFit="1"/>
    </xf>
    <xf numFmtId="0" fontId="118" fillId="0" borderId="27" xfId="0" applyFont="1" applyBorder="1" applyAlignment="1">
      <alignment shrinkToFit="1"/>
    </xf>
    <xf numFmtId="0" fontId="41" fillId="0" borderId="0" xfId="11" applyFont="1" applyBorder="1" applyAlignment="1">
      <alignment horizontal="center" vertical="center" shrinkToFit="1"/>
    </xf>
    <xf numFmtId="0" fontId="53" fillId="0" borderId="0" xfId="11" applyFont="1" applyBorder="1" applyAlignment="1">
      <alignment horizontal="left" vertical="center" shrinkToFit="1"/>
    </xf>
    <xf numFmtId="0" fontId="45" fillId="0" borderId="22" xfId="11" applyFont="1" applyFill="1" applyBorder="1" applyAlignment="1">
      <alignment horizontal="center" vertical="center"/>
    </xf>
    <xf numFmtId="0" fontId="28" fillId="0" borderId="22" xfId="11" applyFont="1" applyFill="1" applyBorder="1" applyAlignment="1">
      <alignment horizontal="center" vertical="center" shrinkToFit="1"/>
    </xf>
    <xf numFmtId="0" fontId="28" fillId="0" borderId="37" xfId="11" applyFont="1" applyFill="1" applyBorder="1" applyAlignment="1">
      <alignment horizontal="center" vertical="center" shrinkToFit="1"/>
    </xf>
    <xf numFmtId="0" fontId="28" fillId="0" borderId="0" xfId="11" applyFont="1" applyFill="1" applyBorder="1" applyAlignment="1">
      <alignment horizontal="center" vertical="center" shrinkToFit="1"/>
    </xf>
    <xf numFmtId="0" fontId="26" fillId="0" borderId="22" xfId="11" applyFont="1" applyFill="1" applyBorder="1" applyAlignment="1">
      <alignment horizontal="center" vertical="center" shrinkToFit="1"/>
    </xf>
    <xf numFmtId="0" fontId="26" fillId="0" borderId="22" xfId="11" applyFont="1" applyBorder="1" applyAlignment="1">
      <alignment horizontal="center" shrinkToFit="1"/>
    </xf>
    <xf numFmtId="0" fontId="60" fillId="0" borderId="22" xfId="11" applyFont="1" applyFill="1" applyBorder="1" applyAlignment="1">
      <alignment horizontal="center" vertical="center" shrinkToFit="1"/>
    </xf>
    <xf numFmtId="0" fontId="30" fillId="0" borderId="22" xfId="11" applyFont="1" applyBorder="1" applyAlignment="1">
      <alignment horizontal="center" vertical="center" shrinkToFit="1"/>
    </xf>
    <xf numFmtId="0" fontId="60" fillId="0" borderId="22" xfId="11" applyFont="1" applyBorder="1" applyAlignment="1">
      <alignment horizontal="center" vertical="center" shrinkToFit="1"/>
    </xf>
    <xf numFmtId="0" fontId="60" fillId="0" borderId="27" xfId="11" applyFont="1" applyBorder="1" applyAlignment="1">
      <alignment horizontal="center" vertical="center" shrinkToFit="1"/>
    </xf>
    <xf numFmtId="0" fontId="60" fillId="0" borderId="42" xfId="11" applyFont="1" applyBorder="1" applyAlignment="1">
      <alignment horizontal="center" vertical="center" shrinkToFit="1"/>
    </xf>
    <xf numFmtId="0" fontId="60" fillId="0" borderId="43" xfId="11" applyFont="1" applyBorder="1" applyAlignment="1">
      <alignment horizontal="center" vertical="center" shrinkToFit="1"/>
    </xf>
    <xf numFmtId="0" fontId="60" fillId="0" borderId="59" xfId="11" applyFont="1" applyBorder="1" applyAlignment="1">
      <alignment horizontal="center" vertical="center" shrinkToFit="1"/>
    </xf>
    <xf numFmtId="0" fontId="60" fillId="0" borderId="50" xfId="11" applyFont="1" applyBorder="1" applyAlignment="1">
      <alignment horizontal="center" vertical="center" shrinkToFit="1"/>
    </xf>
    <xf numFmtId="0" fontId="60" fillId="0" borderId="28" xfId="11" applyFont="1" applyBorder="1" applyAlignment="1">
      <alignment horizontal="center" vertical="center" shrinkToFit="1"/>
    </xf>
    <xf numFmtId="0" fontId="60" fillId="0" borderId="25" xfId="11" applyFont="1" applyBorder="1" applyAlignment="1">
      <alignment horizontal="center" vertical="center" shrinkToFit="1"/>
    </xf>
    <xf numFmtId="0" fontId="14" fillId="17" borderId="54" xfId="11" applyFont="1" applyFill="1" applyBorder="1" applyAlignment="1">
      <alignment horizontal="center" vertical="center" shrinkToFit="1"/>
    </xf>
    <xf numFmtId="0" fontId="14" fillId="17" borderId="55" xfId="11" applyFont="1" applyFill="1" applyBorder="1" applyAlignment="1">
      <alignment horizontal="center" vertical="center" shrinkToFit="1"/>
    </xf>
    <xf numFmtId="0" fontId="14" fillId="17" borderId="56" xfId="11" applyFont="1" applyFill="1" applyBorder="1" applyAlignment="1">
      <alignment horizontal="center" vertical="center" shrinkToFit="1"/>
    </xf>
    <xf numFmtId="0" fontId="45" fillId="0" borderId="42" xfId="11" applyFont="1" applyFill="1" applyBorder="1" applyAlignment="1">
      <alignment horizontal="center" vertical="center"/>
    </xf>
    <xf numFmtId="0" fontId="28" fillId="0" borderId="43" xfId="11" applyFont="1" applyFill="1" applyBorder="1" applyAlignment="1">
      <alignment horizontal="center" vertical="center" shrinkToFit="1"/>
    </xf>
    <xf numFmtId="0" fontId="45" fillId="0" borderId="70" xfId="11" applyFont="1" applyBorder="1" applyAlignment="1">
      <alignment horizontal="center" vertical="center"/>
    </xf>
    <xf numFmtId="0" fontId="45" fillId="0" borderId="59" xfId="11" applyFont="1" applyBorder="1" applyAlignment="1">
      <alignment horizontal="center" vertical="center"/>
    </xf>
    <xf numFmtId="0" fontId="26" fillId="0" borderId="57" xfId="11" applyFont="1" applyBorder="1" applyAlignment="1">
      <alignment horizontal="center" vertical="center" shrinkToFit="1"/>
    </xf>
    <xf numFmtId="0" fontId="26" fillId="0" borderId="71" xfId="11" applyFont="1" applyBorder="1" applyAlignment="1">
      <alignment horizontal="center" vertical="center" shrinkToFit="1"/>
    </xf>
    <xf numFmtId="0" fontId="26" fillId="0" borderId="36" xfId="11" applyFont="1" applyBorder="1" applyAlignment="1">
      <alignment horizontal="center" vertical="center" shrinkToFit="1"/>
    </xf>
    <xf numFmtId="0" fontId="26" fillId="0" borderId="30" xfId="11" applyFont="1" applyBorder="1" applyAlignment="1">
      <alignment horizontal="center" vertical="center" shrinkToFit="1"/>
    </xf>
    <xf numFmtId="0" fontId="26" fillId="0" borderId="35" xfId="11" applyFont="1" applyBorder="1" applyAlignment="1">
      <alignment horizontal="center" vertical="center" shrinkToFit="1"/>
    </xf>
    <xf numFmtId="0" fontId="26" fillId="0" borderId="70" xfId="11" applyFont="1" applyBorder="1" applyAlignment="1">
      <alignment horizontal="center" vertical="center" shrinkToFit="1"/>
    </xf>
    <xf numFmtId="0" fontId="26" fillId="0" borderId="58" xfId="11" applyFont="1" applyBorder="1" applyAlignment="1">
      <alignment horizontal="center" vertical="center" shrinkToFit="1"/>
    </xf>
    <xf numFmtId="0" fontId="26" fillId="0" borderId="26" xfId="11" applyFont="1" applyBorder="1" applyAlignment="1">
      <alignment horizontal="center" vertical="center" shrinkToFit="1"/>
    </xf>
    <xf numFmtId="0" fontId="102" fillId="0" borderId="4" xfId="0" applyFont="1" applyBorder="1" applyAlignment="1">
      <alignment horizontal="center" shrinkToFit="1"/>
    </xf>
    <xf numFmtId="0" fontId="102" fillId="0" borderId="3" xfId="0" applyFont="1" applyBorder="1" applyAlignment="1">
      <alignment horizontal="center" shrinkToFit="1"/>
    </xf>
    <xf numFmtId="0" fontId="11" fillId="0" borderId="4" xfId="0" applyFont="1" applyBorder="1" applyAlignment="1">
      <alignment horizontal="center" shrinkToFit="1"/>
    </xf>
    <xf numFmtId="0" fontId="11" fillId="0" borderId="3" xfId="0" applyFont="1" applyBorder="1" applyAlignment="1">
      <alignment horizontal="center" shrinkToFit="1"/>
    </xf>
    <xf numFmtId="0" fontId="11" fillId="0" borderId="48" xfId="0" applyFont="1" applyBorder="1" applyAlignment="1">
      <alignment horizontal="center" shrinkToFit="1"/>
    </xf>
    <xf numFmtId="0" fontId="11" fillId="0" borderId="49" xfId="0" applyFont="1" applyBorder="1" applyAlignment="1">
      <alignment horizontal="center" shrinkToFit="1"/>
    </xf>
    <xf numFmtId="0" fontId="26" fillId="0" borderId="22" xfId="0" applyFont="1" applyFill="1" applyBorder="1" applyAlignment="1">
      <alignment horizontal="center" vertical="center" shrinkToFit="1"/>
    </xf>
    <xf numFmtId="0" fontId="62" fillId="0" borderId="22" xfId="0" applyFont="1" applyFill="1" applyBorder="1" applyAlignment="1">
      <alignment horizontal="center" vertical="center" shrinkToFit="1"/>
    </xf>
    <xf numFmtId="0" fontId="26" fillId="8" borderId="22" xfId="0" applyFont="1" applyFill="1" applyBorder="1" applyAlignment="1">
      <alignment horizontal="center" vertical="center" shrinkToFit="1"/>
    </xf>
    <xf numFmtId="0" fontId="28" fillId="8" borderId="22" xfId="0" applyFont="1" applyFill="1" applyBorder="1" applyAlignment="1">
      <alignment horizontal="center" vertical="center" shrinkToFit="1"/>
    </xf>
    <xf numFmtId="0" fontId="28" fillId="2" borderId="73" xfId="0" applyFont="1" applyFill="1" applyBorder="1" applyAlignment="1">
      <alignment horizontal="center" shrinkToFit="1"/>
    </xf>
    <xf numFmtId="0" fontId="28" fillId="2" borderId="26" xfId="0" applyFont="1" applyFill="1" applyBorder="1" applyAlignment="1">
      <alignment horizontal="center" shrinkToFit="1"/>
    </xf>
    <xf numFmtId="0" fontId="28" fillId="2" borderId="36" xfId="0" applyFont="1" applyFill="1" applyBorder="1" applyAlignment="1">
      <alignment horizontal="center" shrinkToFit="1"/>
    </xf>
    <xf numFmtId="0" fontId="7" fillId="0" borderId="48" xfId="0" applyFont="1" applyBorder="1" applyAlignment="1">
      <alignment shrinkToFit="1"/>
    </xf>
    <xf numFmtId="0" fontId="7" fillId="0" borderId="72" xfId="0" applyFont="1" applyBorder="1" applyAlignment="1">
      <alignment shrinkToFit="1"/>
    </xf>
    <xf numFmtId="0" fontId="7" fillId="0" borderId="49" xfId="0" applyFont="1" applyBorder="1" applyAlignment="1">
      <alignment shrinkToFit="1"/>
    </xf>
    <xf numFmtId="0" fontId="7" fillId="0" borderId="2" xfId="0" applyFont="1" applyBorder="1" applyAlignment="1">
      <alignment shrinkToFit="1"/>
    </xf>
    <xf numFmtId="0" fontId="7" fillId="0" borderId="3" xfId="0" applyFont="1" applyBorder="1" applyAlignment="1">
      <alignment shrinkToFit="1"/>
    </xf>
    <xf numFmtId="0" fontId="44" fillId="2" borderId="4" xfId="0" applyFont="1" applyFill="1" applyBorder="1" applyAlignment="1">
      <alignment horizontal="center" vertical="center" shrinkToFit="1"/>
    </xf>
    <xf numFmtId="0" fontId="44" fillId="2" borderId="3" xfId="0" applyFont="1" applyFill="1" applyBorder="1" applyAlignment="1">
      <alignment horizontal="center" vertical="center" shrinkToFit="1"/>
    </xf>
    <xf numFmtId="0" fontId="26" fillId="0" borderId="27" xfId="0" applyFont="1" applyBorder="1" applyAlignment="1">
      <alignment horizontal="center" vertical="center" shrinkToFit="1"/>
    </xf>
    <xf numFmtId="0" fontId="26" fillId="0" borderId="25" xfId="0" applyFont="1" applyBorder="1" applyAlignment="1">
      <alignment horizontal="center" vertical="center" shrinkToFit="1"/>
    </xf>
    <xf numFmtId="0" fontId="26" fillId="0" borderId="23" xfId="0" applyFont="1" applyBorder="1" applyAlignment="1">
      <alignment horizontal="center" vertical="center" wrapText="1" shrinkToFit="1"/>
    </xf>
    <xf numFmtId="0" fontId="26" fillId="0" borderId="29" xfId="0" applyFont="1" applyBorder="1" applyAlignment="1">
      <alignment horizontal="center" vertical="center" wrapText="1" shrinkToFit="1"/>
    </xf>
    <xf numFmtId="0" fontId="26" fillId="0" borderId="30" xfId="0" applyFont="1" applyBorder="1" applyAlignment="1">
      <alignment horizontal="center" vertical="center" wrapText="1" shrinkToFit="1"/>
    </xf>
    <xf numFmtId="0" fontId="28" fillId="2" borderId="4" xfId="0" applyFont="1" applyFill="1" applyBorder="1" applyAlignment="1">
      <alignment horizontal="center" vertical="center" shrinkToFit="1"/>
    </xf>
    <xf numFmtId="0" fontId="28" fillId="2" borderId="2" xfId="0" applyFont="1" applyFill="1" applyBorder="1" applyAlignment="1">
      <alignment horizontal="center" vertical="center" shrinkToFit="1"/>
    </xf>
    <xf numFmtId="0" fontId="28" fillId="2" borderId="3" xfId="0" applyFont="1" applyFill="1" applyBorder="1" applyAlignment="1">
      <alignment horizontal="center" vertical="center" shrinkToFit="1"/>
    </xf>
    <xf numFmtId="0" fontId="28" fillId="2" borderId="27" xfId="0" applyFont="1" applyFill="1" applyBorder="1" applyAlignment="1">
      <alignment horizontal="center" vertical="center" shrinkToFit="1"/>
    </xf>
    <xf numFmtId="0" fontId="28" fillId="2" borderId="28" xfId="0" applyFont="1" applyFill="1" applyBorder="1" applyAlignment="1">
      <alignment horizontal="center" vertical="center" shrinkToFit="1"/>
    </xf>
    <xf numFmtId="0" fontId="28" fillId="2" borderId="25" xfId="0" applyFont="1" applyFill="1" applyBorder="1" applyAlignment="1">
      <alignment horizontal="center" vertical="center" shrinkToFit="1"/>
    </xf>
    <xf numFmtId="0" fontId="28" fillId="2" borderId="35" xfId="0" applyFont="1" applyFill="1" applyBorder="1" applyAlignment="1">
      <alignment horizontal="center" vertical="center" shrinkToFit="1"/>
    </xf>
    <xf numFmtId="0" fontId="28" fillId="2" borderId="26" xfId="0" applyFont="1" applyFill="1" applyBorder="1" applyAlignment="1">
      <alignment horizontal="center" vertical="center" shrinkToFit="1"/>
    </xf>
    <xf numFmtId="0" fontId="28" fillId="2" borderId="36" xfId="0" applyFont="1" applyFill="1" applyBorder="1" applyAlignment="1">
      <alignment horizontal="center" vertical="center" shrinkToFit="1"/>
    </xf>
    <xf numFmtId="0" fontId="28" fillId="2" borderId="74" xfId="0" applyFont="1" applyFill="1" applyBorder="1" applyAlignment="1">
      <alignment horizontal="center" shrinkToFit="1"/>
    </xf>
    <xf numFmtId="0" fontId="28" fillId="2" borderId="28" xfId="0" applyFont="1" applyFill="1" applyBorder="1" applyAlignment="1">
      <alignment horizontal="center" shrinkToFit="1"/>
    </xf>
    <xf numFmtId="0" fontId="28" fillId="2" borderId="25" xfId="0" applyFont="1" applyFill="1" applyBorder="1" applyAlignment="1">
      <alignment horizontal="center" shrinkToFit="1"/>
    </xf>
    <xf numFmtId="0" fontId="28" fillId="2" borderId="27" xfId="0" applyFont="1" applyFill="1" applyBorder="1" applyAlignment="1">
      <alignment horizontal="center" shrinkToFit="1"/>
    </xf>
    <xf numFmtId="0" fontId="7" fillId="0" borderId="3" xfId="0" applyFont="1" applyBorder="1" applyAlignment="1">
      <alignment horizontal="center" shrinkToFit="1"/>
    </xf>
    <xf numFmtId="0" fontId="33" fillId="0" borderId="22" xfId="0" applyFont="1" applyBorder="1" applyAlignment="1">
      <alignment horizontal="center" vertical="center" shrinkToFit="1"/>
    </xf>
    <xf numFmtId="0" fontId="0" fillId="0" borderId="22" xfId="0" applyFont="1" applyBorder="1" applyAlignment="1">
      <alignment horizontal="center" vertical="center" shrinkToFit="1"/>
    </xf>
    <xf numFmtId="0" fontId="7" fillId="2" borderId="4" xfId="0" applyFont="1" applyFill="1" applyBorder="1" applyAlignment="1">
      <alignment horizontal="center" vertical="center" shrinkToFit="1"/>
    </xf>
    <xf numFmtId="0" fontId="7" fillId="2" borderId="2" xfId="0" applyFont="1" applyFill="1" applyBorder="1" applyAlignment="1">
      <alignment horizontal="center" vertical="center" shrinkToFit="1"/>
    </xf>
    <xf numFmtId="0" fontId="7" fillId="2" borderId="3" xfId="0" applyFont="1" applyFill="1" applyBorder="1" applyAlignment="1">
      <alignment horizontal="center" vertical="center" shrinkToFit="1"/>
    </xf>
    <xf numFmtId="0" fontId="12" fillId="2" borderId="4" xfId="0" applyFont="1" applyFill="1" applyBorder="1" applyAlignment="1">
      <alignment horizontal="center" vertical="center" shrinkToFit="1"/>
    </xf>
    <xf numFmtId="0" fontId="12" fillId="2" borderId="3" xfId="0" applyFont="1" applyFill="1" applyBorder="1" applyAlignment="1">
      <alignment horizontal="center" vertical="center" shrinkToFit="1"/>
    </xf>
    <xf numFmtId="0" fontId="0" fillId="0" borderId="22" xfId="0" applyFont="1" applyBorder="1" applyAlignment="1">
      <alignment horizontal="center" vertical="center" wrapText="1" shrinkToFit="1"/>
    </xf>
    <xf numFmtId="0" fontId="7" fillId="2" borderId="22" xfId="0" applyFont="1" applyFill="1" applyBorder="1" applyAlignment="1">
      <alignment horizontal="center" shrinkToFit="1"/>
    </xf>
    <xf numFmtId="0" fontId="7" fillId="2" borderId="22" xfId="0" applyFont="1" applyFill="1" applyBorder="1" applyAlignment="1">
      <alignment horizontal="center" vertical="center" shrinkToFit="1"/>
    </xf>
    <xf numFmtId="0" fontId="33" fillId="0" borderId="22" xfId="0" applyFont="1" applyBorder="1" applyAlignment="1">
      <alignment horizontal="center" vertical="center" wrapText="1" shrinkToFit="1"/>
    </xf>
    <xf numFmtId="0" fontId="7" fillId="2" borderId="39" xfId="0" applyFont="1" applyFill="1" applyBorder="1" applyAlignment="1">
      <alignment horizontal="center" shrinkToFit="1"/>
    </xf>
    <xf numFmtId="0" fontId="7" fillId="2" borderId="2" xfId="0" applyFont="1" applyFill="1" applyBorder="1" applyAlignment="1">
      <alignment horizontal="center" shrinkToFit="1"/>
    </xf>
    <xf numFmtId="0" fontId="7" fillId="2" borderId="3" xfId="0" applyFont="1" applyFill="1" applyBorder="1" applyAlignment="1">
      <alignment horizontal="center" shrinkToFit="1"/>
    </xf>
    <xf numFmtId="0" fontId="7" fillId="2" borderId="0" xfId="0" applyFont="1" applyFill="1" applyBorder="1" applyAlignment="1">
      <alignment horizontal="center" vertical="center" shrinkToFit="1"/>
    </xf>
    <xf numFmtId="0" fontId="7" fillId="2" borderId="40" xfId="0" applyFont="1" applyFill="1" applyBorder="1" applyAlignment="1">
      <alignment horizontal="center" vertical="center" shrinkToFit="1"/>
    </xf>
    <xf numFmtId="0" fontId="26" fillId="8" borderId="22" xfId="11" applyFont="1" applyFill="1" applyBorder="1" applyAlignment="1">
      <alignment horizontal="center" vertical="center" shrinkToFit="1"/>
    </xf>
    <xf numFmtId="0" fontId="28" fillId="8" borderId="22" xfId="11" applyFont="1" applyFill="1" applyBorder="1" applyAlignment="1">
      <alignment horizontal="center" vertical="center" shrinkToFit="1"/>
    </xf>
    <xf numFmtId="0" fontId="62" fillId="0" borderId="22" xfId="11" applyFont="1" applyFill="1" applyBorder="1" applyAlignment="1">
      <alignment horizontal="center" vertical="center" shrinkToFit="1"/>
    </xf>
    <xf numFmtId="0" fontId="62" fillId="8" borderId="22" xfId="11" applyFont="1" applyFill="1" applyBorder="1" applyAlignment="1">
      <alignment horizontal="center" vertical="center" shrinkToFit="1"/>
    </xf>
    <xf numFmtId="0" fontId="28" fillId="2" borderId="22" xfId="0" applyFont="1" applyFill="1" applyBorder="1" applyAlignment="1">
      <alignment horizontal="center" vertical="center" shrinkToFit="1"/>
    </xf>
    <xf numFmtId="0" fontId="53" fillId="0" borderId="26" xfId="0" applyFont="1" applyBorder="1" applyAlignment="1">
      <alignment horizontal="left" vertical="center" shrinkToFit="1"/>
    </xf>
    <xf numFmtId="0" fontId="28" fillId="2" borderId="23" xfId="0" applyFont="1" applyFill="1" applyBorder="1" applyAlignment="1">
      <alignment horizontal="center" vertical="center" shrinkToFit="1"/>
    </xf>
    <xf numFmtId="0" fontId="28" fillId="0" borderId="22" xfId="0" applyFont="1" applyBorder="1" applyAlignment="1">
      <alignment shrinkToFit="1"/>
    </xf>
    <xf numFmtId="0" fontId="28" fillId="2" borderId="33" xfId="0" applyFont="1" applyFill="1" applyBorder="1" applyAlignment="1">
      <alignment horizontal="center" vertical="center" shrinkToFit="1"/>
    </xf>
    <xf numFmtId="0" fontId="28" fillId="2" borderId="0" xfId="0" applyFont="1" applyFill="1" applyBorder="1" applyAlignment="1">
      <alignment horizontal="center" vertical="center" shrinkToFit="1"/>
    </xf>
    <xf numFmtId="0" fontId="28" fillId="0" borderId="0" xfId="0" applyFont="1" applyFill="1" applyBorder="1" applyAlignment="1">
      <alignment horizontal="center" shrinkToFit="1"/>
    </xf>
    <xf numFmtId="0" fontId="28" fillId="0" borderId="38" xfId="0" applyFont="1" applyFill="1" applyBorder="1" applyAlignment="1">
      <alignment horizontal="center" shrinkToFit="1"/>
    </xf>
    <xf numFmtId="0" fontId="28" fillId="2" borderId="29" xfId="0" applyFont="1" applyFill="1" applyBorder="1" applyAlignment="1">
      <alignment horizontal="center" vertical="center" shrinkToFit="1"/>
    </xf>
    <xf numFmtId="0" fontId="80" fillId="5" borderId="22" xfId="580" applyFont="1" applyFill="1" applyBorder="1" applyAlignment="1">
      <alignment horizontal="center" vertical="center"/>
    </xf>
    <xf numFmtId="0" fontId="36" fillId="5" borderId="22" xfId="580" applyFont="1" applyFill="1" applyBorder="1" applyAlignment="1">
      <alignment horizontal="center" vertical="center"/>
    </xf>
    <xf numFmtId="0" fontId="39" fillId="0" borderId="26" xfId="11" applyFont="1" applyBorder="1" applyAlignment="1">
      <alignment horizontal="center" vertical="center"/>
    </xf>
    <xf numFmtId="0" fontId="32" fillId="0" borderId="26" xfId="11" applyFont="1" applyBorder="1" applyAlignment="1">
      <alignment horizontal="center" vertical="center"/>
    </xf>
    <xf numFmtId="0" fontId="65" fillId="5" borderId="31" xfId="580" applyFont="1" applyFill="1" applyBorder="1" applyAlignment="1">
      <alignment horizontal="center" vertical="center" wrapText="1"/>
    </xf>
    <xf numFmtId="0" fontId="65" fillId="5" borderId="37" xfId="580" applyFont="1" applyFill="1" applyBorder="1" applyAlignment="1">
      <alignment horizontal="center" vertical="center" wrapText="1"/>
    </xf>
    <xf numFmtId="0" fontId="65" fillId="5" borderId="32" xfId="580" applyFont="1" applyFill="1" applyBorder="1" applyAlignment="1">
      <alignment horizontal="center" vertical="center" wrapText="1"/>
    </xf>
    <xf numFmtId="0" fontId="36" fillId="5" borderId="23" xfId="5" applyFont="1" applyFill="1" applyBorder="1" applyAlignment="1">
      <alignment horizontal="center" vertical="center"/>
    </xf>
    <xf numFmtId="0" fontId="36" fillId="5" borderId="30" xfId="5" applyFont="1" applyFill="1" applyBorder="1" applyAlignment="1">
      <alignment horizontal="center" vertical="center"/>
    </xf>
    <xf numFmtId="0" fontId="36" fillId="5" borderId="23" xfId="580" applyFont="1" applyFill="1" applyBorder="1" applyAlignment="1">
      <alignment horizontal="center" vertical="center" wrapText="1"/>
    </xf>
    <xf numFmtId="0" fontId="36" fillId="5" borderId="30" xfId="580" applyFont="1" applyFill="1" applyBorder="1" applyAlignment="1">
      <alignment horizontal="center" vertical="center" wrapText="1"/>
    </xf>
    <xf numFmtId="0" fontId="51" fillId="5" borderId="31" xfId="5" applyFont="1" applyFill="1" applyBorder="1" applyAlignment="1">
      <alignment horizontal="center" vertical="center"/>
    </xf>
    <xf numFmtId="0" fontId="51" fillId="5" borderId="37" xfId="5" applyFont="1" applyFill="1" applyBorder="1" applyAlignment="1">
      <alignment horizontal="center" vertical="center"/>
    </xf>
    <xf numFmtId="0" fontId="51" fillId="5" borderId="32" xfId="5" applyFont="1" applyFill="1" applyBorder="1" applyAlignment="1">
      <alignment horizontal="center" vertical="center"/>
    </xf>
    <xf numFmtId="0" fontId="51" fillId="5" borderId="33" xfId="5" applyFont="1" applyFill="1" applyBorder="1" applyAlignment="1">
      <alignment horizontal="center" vertical="center"/>
    </xf>
    <xf numFmtId="0" fontId="51" fillId="5" borderId="0" xfId="5" applyFont="1" applyFill="1" applyAlignment="1">
      <alignment horizontal="center" vertical="center"/>
    </xf>
    <xf numFmtId="0" fontId="51" fillId="5" borderId="34" xfId="5" applyFont="1" applyFill="1" applyBorder="1" applyAlignment="1">
      <alignment horizontal="center" vertical="center"/>
    </xf>
    <xf numFmtId="0" fontId="51" fillId="5" borderId="35" xfId="5" applyFont="1" applyFill="1" applyBorder="1" applyAlignment="1">
      <alignment horizontal="center" vertical="center"/>
    </xf>
    <xf numFmtId="0" fontId="51" fillId="5" borderId="26" xfId="5" applyFont="1" applyFill="1" applyBorder="1" applyAlignment="1">
      <alignment horizontal="center" vertical="center"/>
    </xf>
    <xf numFmtId="0" fontId="51" fillId="5" borderId="36" xfId="5" applyFont="1" applyFill="1" applyBorder="1" applyAlignment="1">
      <alignment horizontal="center" vertical="center"/>
    </xf>
    <xf numFmtId="0" fontId="116" fillId="0" borderId="31" xfId="11" applyFont="1" applyBorder="1" applyAlignment="1">
      <alignment horizontal="center" vertical="center"/>
    </xf>
    <xf numFmtId="0" fontId="29" fillId="0" borderId="32" xfId="11" applyFont="1" applyBorder="1" applyAlignment="1">
      <alignment horizontal="center" vertical="center"/>
    </xf>
    <xf numFmtId="0" fontId="29" fillId="0" borderId="33" xfId="11" applyFont="1" applyBorder="1" applyAlignment="1">
      <alignment horizontal="center" vertical="center"/>
    </xf>
    <xf numFmtId="0" fontId="29" fillId="0" borderId="34" xfId="11" applyFont="1" applyBorder="1" applyAlignment="1">
      <alignment horizontal="center" vertical="center"/>
    </xf>
    <xf numFmtId="0" fontId="29" fillId="0" borderId="35" xfId="11" applyFont="1" applyBorder="1" applyAlignment="1">
      <alignment horizontal="center" vertical="center"/>
    </xf>
    <xf numFmtId="0" fontId="29" fillId="0" borderId="36" xfId="11" applyFont="1" applyBorder="1" applyAlignment="1">
      <alignment horizontal="center" vertical="center"/>
    </xf>
    <xf numFmtId="0" fontId="38" fillId="5" borderId="27" xfId="580" applyFont="1" applyFill="1" applyBorder="1" applyAlignment="1">
      <alignment horizontal="center" vertical="center"/>
    </xf>
    <xf numFmtId="0" fontId="38" fillId="5" borderId="25" xfId="580" applyFont="1" applyFill="1" applyBorder="1" applyAlignment="1">
      <alignment horizontal="center" vertical="center"/>
    </xf>
    <xf numFmtId="0" fontId="38" fillId="5" borderId="27" xfId="580" applyFont="1" applyFill="1" applyBorder="1" applyAlignment="1">
      <alignment horizontal="center" vertical="center" wrapText="1"/>
    </xf>
    <xf numFmtId="0" fontId="38" fillId="5" borderId="28" xfId="580" applyFont="1" applyFill="1" applyBorder="1" applyAlignment="1">
      <alignment horizontal="center" vertical="center" wrapText="1"/>
    </xf>
    <xf numFmtId="0" fontId="38" fillId="5" borderId="25" xfId="580" applyFont="1" applyFill="1" applyBorder="1" applyAlignment="1">
      <alignment horizontal="center" vertical="center" wrapText="1"/>
    </xf>
    <xf numFmtId="0" fontId="36" fillId="5" borderId="22" xfId="580" applyFont="1" applyFill="1" applyBorder="1" applyAlignment="1">
      <alignment horizontal="center" vertical="center" wrapText="1"/>
    </xf>
    <xf numFmtId="0" fontId="80" fillId="5" borderId="23" xfId="580" applyFont="1" applyFill="1" applyBorder="1" applyAlignment="1">
      <alignment horizontal="center" vertical="center" wrapText="1"/>
    </xf>
    <xf numFmtId="0" fontId="29" fillId="5" borderId="33" xfId="11" applyFont="1" applyFill="1" applyBorder="1" applyAlignment="1">
      <alignment horizontal="center" vertical="center"/>
    </xf>
    <xf numFmtId="0" fontId="29" fillId="5" borderId="34" xfId="11" applyFont="1" applyFill="1" applyBorder="1" applyAlignment="1">
      <alignment horizontal="center" vertical="center"/>
    </xf>
    <xf numFmtId="0" fontId="29" fillId="5" borderId="35" xfId="11" applyFont="1" applyFill="1" applyBorder="1" applyAlignment="1">
      <alignment horizontal="center" vertical="center"/>
    </xf>
    <xf numFmtId="0" fontId="29" fillId="5" borderId="36" xfId="11" applyFont="1" applyFill="1" applyBorder="1" applyAlignment="1">
      <alignment horizontal="center" vertical="center"/>
    </xf>
    <xf numFmtId="0" fontId="123" fillId="0" borderId="31" xfId="11" applyFont="1" applyBorder="1" applyAlignment="1">
      <alignment horizontal="center" vertical="center"/>
    </xf>
    <xf numFmtId="0" fontId="80" fillId="5" borderId="22" xfId="580" applyFont="1" applyFill="1" applyBorder="1" applyAlignment="1">
      <alignment horizontal="center" vertical="center" wrapText="1"/>
    </xf>
    <xf numFmtId="0" fontId="38" fillId="5" borderId="28" xfId="580" applyFont="1" applyFill="1" applyBorder="1" applyAlignment="1">
      <alignment horizontal="center" vertical="center"/>
    </xf>
    <xf numFmtId="195" fontId="109" fillId="5" borderId="22" xfId="581" applyNumberFormat="1" applyFont="1" applyFill="1" applyBorder="1" applyAlignment="1">
      <alignment horizontal="center" vertical="center"/>
    </xf>
    <xf numFmtId="195" fontId="109" fillId="14" borderId="22" xfId="581" applyNumberFormat="1" applyFont="1" applyFill="1" applyBorder="1" applyAlignment="1">
      <alignment horizontal="center" vertical="center"/>
    </xf>
    <xf numFmtId="0" fontId="98" fillId="18" borderId="22" xfId="581" applyFont="1" applyFill="1" applyBorder="1" applyAlignment="1">
      <alignment horizontal="center" vertical="center"/>
    </xf>
    <xf numFmtId="0" fontId="99" fillId="0" borderId="23" xfId="581" applyFont="1" applyBorder="1" applyAlignment="1">
      <alignment horizontal="center" vertical="center"/>
    </xf>
    <xf numFmtId="0" fontId="99" fillId="0" borderId="30" xfId="581" applyFont="1" applyBorder="1" applyAlignment="1">
      <alignment horizontal="center" vertical="center"/>
    </xf>
    <xf numFmtId="194" fontId="99" fillId="0" borderId="23" xfId="581" applyNumberFormat="1" applyFont="1" applyBorder="1" applyAlignment="1">
      <alignment horizontal="center" vertical="center"/>
    </xf>
    <xf numFmtId="194" fontId="99" fillId="0" borderId="30" xfId="581" applyNumberFormat="1" applyFont="1" applyBorder="1" applyAlignment="1">
      <alignment horizontal="center" vertical="center"/>
    </xf>
    <xf numFmtId="189" fontId="99" fillId="0" borderId="23" xfId="581" applyNumberFormat="1" applyFont="1" applyBorder="1" applyAlignment="1">
      <alignment horizontal="center" vertical="center"/>
    </xf>
    <xf numFmtId="189" fontId="99" fillId="0" borderId="30" xfId="581" applyNumberFormat="1" applyFont="1" applyBorder="1" applyAlignment="1">
      <alignment horizontal="center" vertical="center"/>
    </xf>
    <xf numFmtId="0" fontId="101" fillId="0" borderId="23" xfId="11" applyFont="1" applyBorder="1" applyAlignment="1">
      <alignment horizontal="center" vertical="center"/>
    </xf>
    <xf numFmtId="0" fontId="101" fillId="0" borderId="29" xfId="11" applyFont="1" applyBorder="1" applyAlignment="1">
      <alignment horizontal="center" vertical="center"/>
    </xf>
    <xf numFmtId="0" fontId="101" fillId="0" borderId="30" xfId="11" applyFont="1" applyBorder="1" applyAlignment="1">
      <alignment horizontal="center" vertical="center"/>
    </xf>
    <xf numFmtId="0" fontId="37" fillId="5" borderId="22" xfId="5" applyFont="1" applyFill="1" applyBorder="1" applyAlignment="1">
      <alignment horizontal="center"/>
    </xf>
  </cellXfs>
  <cellStyles count="584">
    <cellStyle name="??_x000c_鞜_x0007__x000d_槉U_x0001_??_x0007__x0001__x0001_" xfId="25"/>
    <cellStyle name="_98-春節暫停營業明細-ToDC" xfId="26"/>
    <cellStyle name="_98-春節暫停營業明細-ToDC_1-晉欣鮮食廠-2012年春節作業體制" xfId="27"/>
    <cellStyle name="_excel報告書" xfId="28"/>
    <cellStyle name="_excel報告書_1-晉欣鮮食廠-2012年春節作業體制" xfId="29"/>
    <cellStyle name="_excel報告書_96年月餅預購競賽獎勵案" xfId="30"/>
    <cellStyle name="_excel報告書_96年月餅預購競賽獎勵案_1-晉欣鮮食廠-2012年春節作業體制" xfId="31"/>
    <cellStyle name="_excel報告書_96年月餅預購競賽獎勵案_97年春節保全回收報告書" xfId="32"/>
    <cellStyle name="_excel報告書_96年月餅預購競賽獎勵案_97年春節保全回收報告書_1-晉欣鮮食廠-2012年春節作業體制" xfId="33"/>
    <cellStyle name="_excel報告書_96年月餅預購競賽獎勵案_97年春節保全回收報告書_Book1" xfId="34"/>
    <cellStyle name="_excel報告書_96年月餅預購競賽獎勵案_97年春節保全回收報告書_Book1_1-晉欣鮮食廠-2012年春節作業體制" xfId="35"/>
    <cellStyle name="_excel報告書_96年月餅預購競賽獎勵案_97年春節保全回收報告書_春節作業手冊-981217" xfId="36"/>
    <cellStyle name="_excel報告書_96年月餅預購競賽獎勵案_97年春節保全回收報告書_春節作業手冊-981217_1-晉欣鮮食廠-2012年春節作業體制" xfId="37"/>
    <cellStyle name="_excel報告書_96年月餅預購競賽獎勵案_97年營業競賽提案報告書" xfId="38"/>
    <cellStyle name="_excel報告書_96年月餅預購競賽獎勵案_97年營業競賽提案報告書_1-晉欣鮮食廠-2012年春節作業體制" xfId="39"/>
    <cellStyle name="_excel報告書_96年月餅預購競賽獎勵案_97年營業競賽提案報告書_97年春節保全回收報告書" xfId="40"/>
    <cellStyle name="_excel報告書_96年月餅預購競賽獎勵案_97年營業競賽提案報告書_97年春節保全回收報告書_1-晉欣鮮食廠-2012年春節作業體制" xfId="41"/>
    <cellStyle name="_excel報告書_96年月餅預購競賽獎勵案_97年營業競賽提案報告書_97年春節保全回收報告書_Book1" xfId="42"/>
    <cellStyle name="_excel報告書_96年月餅預購競賽獎勵案_97年營業競賽提案報告書_97年春節保全回收報告書_Book1_1-晉欣鮮食廠-2012年春節作業體制" xfId="43"/>
    <cellStyle name="_excel報告書_96年月餅預購競賽獎勵案_97年營業競賽提案報告書_97年春節保全回收報告書_春節作業手冊-981217" xfId="44"/>
    <cellStyle name="_excel報告書_96年月餅預購競賽獎勵案_97年營業競賽提案報告書_97年春節保全回收報告書_春節作業手冊-981217_1-晉欣鮮食廠-2012年春節作業體制" xfId="45"/>
    <cellStyle name="_excel報告書_96年月餅預購競賽獎勵案_97年營業競賽提案報告書_97年營業競賽提案報告書" xfId="46"/>
    <cellStyle name="_excel報告書_96年月餅預購競賽獎勵案_97年營業競賽提案報告書_97年營業競賽提案報告書_1-晉欣鮮食廠-2012年春節作業體制" xfId="47"/>
    <cellStyle name="_excel報告書_96年月餅預購競賽獎勵案_97年營業競賽提案報告書_97年營業競賽提案報告書_97年春節保全回收報告書" xfId="48"/>
    <cellStyle name="_excel報告書_96年月餅預購競賽獎勵案_97年營業競賽提案報告書_97年營業競賽提案報告書_97年春節保全回收報告書_1-晉欣鮮食廠-2012年春節作業體制" xfId="49"/>
    <cellStyle name="_excel報告書_96年月餅預購競賽獎勵案_97年營業競賽提案報告書_97年營業競賽提案報告書_97年春節保全回收報告書_Book1" xfId="50"/>
    <cellStyle name="_excel報告書_96年月餅預購競賽獎勵案_97年營業競賽提案報告書_97年營業競賽提案報告書_97年春節保全回收報告書_Book1_1-晉欣鮮食廠-2012年春節作業體制" xfId="51"/>
    <cellStyle name="_excel報告書_96年月餅預購競賽獎勵案_97年營業競賽提案報告書_97年營業競賽提案報告書_97年春節保全回收報告書_春節作業手冊-981217" xfId="52"/>
    <cellStyle name="_excel報告書_96年月餅預購競賽獎勵案_97年營業競賽提案報告書_97年營業競賽提案報告書_97年春節保全回收報告書_春節作業手冊-981217_1-晉欣鮮食廠-2012年春節作業體制" xfId="53"/>
    <cellStyle name="_excel報告書_96年月餅預購競賽獎勵案_97年營業競賽提案報告書_97年營業競賽提案報告書_97年營業競賽提案報告書" xfId="54"/>
    <cellStyle name="_excel報告書_96年月餅預購競賽獎勵案_97年營業競賽提案報告書_97年營業競賽提案報告書_97年營業競賽提案報告書_1-晉欣鮮食廠-2012年春節作業體制" xfId="55"/>
    <cellStyle name="_excel報告書_96年月餅預購競賽獎勵案_97年營業競賽提案報告書_97年營業競賽提案報告書_97年營業競賽提案報告書_97年春節保全回收報告書" xfId="56"/>
    <cellStyle name="_excel報告書_96年月餅預購競賽獎勵案_97年營業競賽提案報告書_97年營業競賽提案報告書_97年營業競賽提案報告書_97年春節保全回收報告書_1-晉欣鮮食廠-2012年春節作業體制" xfId="57"/>
    <cellStyle name="_excel報告書_96年月餅預購競賽獎勵案_97年營業競賽提案報告書_97年營業競賽提案報告書_97年營業競賽提案報告書_97年春節保全回收報告書_Book1" xfId="58"/>
    <cellStyle name="_excel報告書_96年月餅預購競賽獎勵案_97年營業競賽提案報告書_97年營業競賽提案報告書_97年營業競賽提案報告書_97年春節保全回收報告書_Book1_1-晉欣鮮食廠-2012年春節作業體制" xfId="59"/>
    <cellStyle name="_excel報告書_96年月餅預購競賽獎勵案_97年營業競賽提案報告書_97年營業競賽提案報告書_97年營業競賽提案報告書_97年春節保全回收報告書_春節作業手冊-981217" xfId="60"/>
    <cellStyle name="_excel報告書_96年月餅預購競賽獎勵案_97年營業競賽提案報告書_97年營業競賽提案報告書_97年營業競賽提案報告書_97年春節保全回收報告書_春節作業手冊-981217_1-晉欣鮮食廠-2012年春節作業體制" xfId="61"/>
    <cellStyle name="_excel報告書_96年月餅預購競賽獎勵案_97年營業競賽提案報告書_97年營業競賽提案報告書_97年營業競賽提案報告書_Book1" xfId="62"/>
    <cellStyle name="_excel報告書_96年月餅預購競賽獎勵案_97年營業競賽提案報告書_97年營業競賽提案報告書_97年營業競賽提案報告書_Book1_1-晉欣鮮食廠-2012年春節作業體制" xfId="63"/>
    <cellStyle name="_excel報告書_96年月餅預購競賽獎勵案_97年營業競賽提案報告書_97年營業競賽提案報告書_97年營業競賽提案報告書_春節作業手冊-981217" xfId="64"/>
    <cellStyle name="_excel報告書_96年月餅預購競賽獎勵案_97年營業競賽提案報告書_97年營業競賽提案報告書_97年營業競賽提案報告書_春節作業手冊-981217_1-晉欣鮮食廠-2012年春節作業體制" xfId="65"/>
    <cellStyle name="_excel報告書_96年月餅預購競賽獎勵案_97年營業競賽提案報告書_97年營業競賽提案報告書_Book1" xfId="66"/>
    <cellStyle name="_excel報告書_96年月餅預購競賽獎勵案_97年營業競賽提案報告書_97年營業競賽提案報告書_Book1_1-晉欣鮮食廠-2012年春節作業體制" xfId="67"/>
    <cellStyle name="_excel報告書_96年月餅預購競賽獎勵案_97年營業競賽提案報告書_97年營業競賽提案報告書_春節作業手冊-981217" xfId="68"/>
    <cellStyle name="_excel報告書_96年月餅預購競賽獎勵案_97年營業競賽提案報告書_97年營業競賽提案報告書_春節作業手冊-981217_1-晉欣鮮食廠-2012年春節作業體制" xfId="69"/>
    <cellStyle name="_excel報告書_96年月餅預購競賽獎勵案_97年營業競賽提案報告書_Book1" xfId="70"/>
    <cellStyle name="_excel報告書_96年月餅預購競賽獎勵案_97年營業競賽提案報告書_Book1_1-晉欣鮮食廠-2012年春節作業體制" xfId="71"/>
    <cellStyle name="_excel報告書_96年月餅預購競賽獎勵案_97年營業競賽提案報告書_春節作業手冊-981217" xfId="72"/>
    <cellStyle name="_excel報告書_96年月餅預購競賽獎勵案_97年營業競賽提案報告書_春節作業手冊-981217_1-晉欣鮮食廠-2012年春節作業體制" xfId="73"/>
    <cellStyle name="_excel報告書_96年月餅預購競賽獎勵案_Book1" xfId="74"/>
    <cellStyle name="_excel報告書_96年月餅預購競賽獎勵案_Book1_1-晉欣鮮食廠-2012年春節作業體制" xfId="75"/>
    <cellStyle name="_excel報告書_96年月餅預購競賽獎勵案_春節作業手冊-981217" xfId="76"/>
    <cellStyle name="_excel報告書_96年月餅預購競賽獎勵案_春節作業手冊-981217_1-晉欣鮮食廠-2012年春節作業體制" xfId="77"/>
    <cellStyle name="_excel報告書_97年春節保全回收報告書" xfId="78"/>
    <cellStyle name="_excel報告書_97年春節保全回收報告書_1-晉欣鮮食廠-2012年春節作業體制" xfId="79"/>
    <cellStyle name="_excel報告書_97年春節保全回收報告書_Book1" xfId="80"/>
    <cellStyle name="_excel報告書_97年春節保全回收報告書_Book1_1-晉欣鮮食廠-2012年春節作業體制" xfId="81"/>
    <cellStyle name="_excel報告書_97年春節保全回收報告書_春節作業手冊-981217" xfId="82"/>
    <cellStyle name="_excel報告書_97年春節保全回收報告書_春節作業手冊-981217_1-晉欣鮮食廠-2012年春節作業體制" xfId="83"/>
    <cellStyle name="_excel報告書_97年營業競賽提案報告書" xfId="84"/>
    <cellStyle name="_excel報告書_97年營業競賽提案報告書_1-晉欣鮮食廠-2012年春節作業體制" xfId="85"/>
    <cellStyle name="_excel報告書_97年營業競賽提案報告書_97年春節保全回收報告書" xfId="86"/>
    <cellStyle name="_excel報告書_97年營業競賽提案報告書_97年春節保全回收報告書_1-晉欣鮮食廠-2012年春節作業體制" xfId="87"/>
    <cellStyle name="_excel報告書_97年營業競賽提案報告書_97年春節保全回收報告書_Book1" xfId="88"/>
    <cellStyle name="_excel報告書_97年營業競賽提案報告書_97年春節保全回收報告書_Book1_1-晉欣鮮食廠-2012年春節作業體制" xfId="89"/>
    <cellStyle name="_excel報告書_97年營業競賽提案報告書_97年春節保全回收報告書_春節作業手冊-981217" xfId="90"/>
    <cellStyle name="_excel報告書_97年營業競賽提案報告書_97年春節保全回收報告書_春節作業手冊-981217_1-晉欣鮮食廠-2012年春節作業體制" xfId="91"/>
    <cellStyle name="_excel報告書_97年營業競賽提案報告書_97年營業競賽提案報告書" xfId="92"/>
    <cellStyle name="_excel報告書_97年營業競賽提案報告書_97年營業競賽提案報告書_1-晉欣鮮食廠-2012年春節作業體制" xfId="93"/>
    <cellStyle name="_excel報告書_97年營業競賽提案報告書_97年營業競賽提案報告書_97年春節保全回收報告書" xfId="94"/>
    <cellStyle name="_excel報告書_97年營業競賽提案報告書_97年營業競賽提案報告書_97年春節保全回收報告書_1-晉欣鮮食廠-2012年春節作業體制" xfId="95"/>
    <cellStyle name="_excel報告書_97年營業競賽提案報告書_97年營業競賽提案報告書_97年春節保全回收報告書_Book1" xfId="96"/>
    <cellStyle name="_excel報告書_97年營業競賽提案報告書_97年營業競賽提案報告書_97年春節保全回收報告書_Book1_1-晉欣鮮食廠-2012年春節作業體制" xfId="97"/>
    <cellStyle name="_excel報告書_97年營業競賽提案報告書_97年營業競賽提案報告書_97年春節保全回收報告書_春節作業手冊-981217" xfId="98"/>
    <cellStyle name="_excel報告書_97年營業競賽提案報告書_97年營業競賽提案報告書_97年春節保全回收報告書_春節作業手冊-981217_1-晉欣鮮食廠-2012年春節作業體制" xfId="99"/>
    <cellStyle name="_excel報告書_97年營業競賽提案報告書_97年營業競賽提案報告書_97年營業競賽提案報告書" xfId="100"/>
    <cellStyle name="_excel報告書_97年營業競賽提案報告書_97年營業競賽提案報告書_97年營業競賽提案報告書_1-晉欣鮮食廠-2012年春節作業體制" xfId="101"/>
    <cellStyle name="_excel報告書_97年營業競賽提案報告書_97年營業競賽提案報告書_97年營業競賽提案報告書_97年春節保全回收報告書" xfId="102"/>
    <cellStyle name="_excel報告書_97年營業競賽提案報告書_97年營業競賽提案報告書_97年營業競賽提案報告書_97年春節保全回收報告書_1-晉欣鮮食廠-2012年春節作業體制" xfId="103"/>
    <cellStyle name="_excel報告書_97年營業競賽提案報告書_97年營業競賽提案報告書_97年營業競賽提案報告書_97年春節保全回收報告書_Book1" xfId="104"/>
    <cellStyle name="_excel報告書_97年營業競賽提案報告書_97年營業競賽提案報告書_97年營業競賽提案報告書_97年春節保全回收報告書_Book1_1-晉欣鮮食廠-2012年春節作業體制" xfId="105"/>
    <cellStyle name="_excel報告書_97年營業競賽提案報告書_97年營業競賽提案報告書_97年營業競賽提案報告書_97年春節保全回收報告書_春節作業手冊-981217" xfId="106"/>
    <cellStyle name="_excel報告書_97年營業競賽提案報告書_97年營業競賽提案報告書_97年營業競賽提案報告書_97年春節保全回收報告書_春節作業手冊-981217_1-晉欣鮮食廠-2012年春節作業體制" xfId="107"/>
    <cellStyle name="_excel報告書_97年營業競賽提案報告書_97年營業競賽提案報告書_97年營業競賽提案報告書_Book1" xfId="108"/>
    <cellStyle name="_excel報告書_97年營業競賽提案報告書_97年營業競賽提案報告書_97年營業競賽提案報告書_Book1_1-晉欣鮮食廠-2012年春節作業體制" xfId="109"/>
    <cellStyle name="_excel報告書_97年營業競賽提案報告書_97年營業競賽提案報告書_97年營業競賽提案報告書_春節作業手冊-981217" xfId="110"/>
    <cellStyle name="_excel報告書_97年營業競賽提案報告書_97年營業競賽提案報告書_97年營業競賽提案報告書_春節作業手冊-981217_1-晉欣鮮食廠-2012年春節作業體制" xfId="111"/>
    <cellStyle name="_excel報告書_97年營業競賽提案報告書_97年營業競賽提案報告書_Book1" xfId="112"/>
    <cellStyle name="_excel報告書_97年營業競賽提案報告書_97年營業競賽提案報告書_Book1_1-晉欣鮮食廠-2012年春節作業體制" xfId="113"/>
    <cellStyle name="_excel報告書_97年營業競賽提案報告書_97年營業競賽提案報告書_春節作業手冊-981217" xfId="114"/>
    <cellStyle name="_excel報告書_97年營業競賽提案報告書_97年營業競賽提案報告書_春節作業手冊-981217_1-晉欣鮮食廠-2012年春節作業體制" xfId="115"/>
    <cellStyle name="_excel報告書_97年營業競賽提案報告書_Book1" xfId="116"/>
    <cellStyle name="_excel報告書_97年營業競賽提案報告書_Book1_1-晉欣鮮食廠-2012年春節作業體制" xfId="117"/>
    <cellStyle name="_excel報告書_97年營業競賽提案報告書_春節作業手冊-981217" xfId="118"/>
    <cellStyle name="_excel報告書_97年營業競賽提案報告書_春節作業手冊-981217_1-晉欣鮮食廠-2012年春節作業體制" xfId="119"/>
    <cellStyle name="_excel報告書_Book1" xfId="120"/>
    <cellStyle name="_excel報告書_Book1_1-晉欣鮮食廠-2012年春節作業體制" xfId="121"/>
    <cellStyle name="_excel報告書_春節作業手冊-981217" xfId="122"/>
    <cellStyle name="_excel報告書_春節作業手冊-981217_1-晉欣鮮食廠-2012年春節作業體制" xfId="123"/>
    <cellStyle name="_日翊98年春節作業-To毓琦" xfId="124"/>
    <cellStyle name="_封閉型商圈日商" xfId="125"/>
    <cellStyle name="_封閉型商圈日商_1-晉欣鮮食廠-2012年春節作業體制" xfId="126"/>
    <cellStyle name="_封閉型商圈日商_97年春節保全回收報告書" xfId="127"/>
    <cellStyle name="_封閉型商圈日商_97年春節保全回收報告書_1-晉欣鮮食廠-2012年春節作業體制" xfId="128"/>
    <cellStyle name="_封閉型商圈日商_97年春節保全回收報告書_Book1" xfId="129"/>
    <cellStyle name="_封閉型商圈日商_97年春節保全回收報告書_Book1_1-晉欣鮮食廠-2012年春節作業體制" xfId="130"/>
    <cellStyle name="_封閉型商圈日商_97年春節保全回收報告書_春節作業手冊-981217" xfId="131"/>
    <cellStyle name="_封閉型商圈日商_97年春節保全回收報告書_春節作業手冊-981217_1-晉欣鮮食廠-2012年春節作業體制" xfId="132"/>
    <cellStyle name="_封閉型商圈日商_97年營業競賽提案報告書" xfId="133"/>
    <cellStyle name="_封閉型商圈日商_97年營業競賽提案報告書_1-晉欣鮮食廠-2012年春節作業體制" xfId="134"/>
    <cellStyle name="_封閉型商圈日商_97年營業競賽提案報告書_97年春節保全回收報告書" xfId="135"/>
    <cellStyle name="_封閉型商圈日商_97年營業競賽提案報告書_97年春節保全回收報告書_1-晉欣鮮食廠-2012年春節作業體制" xfId="136"/>
    <cellStyle name="_封閉型商圈日商_97年營業競賽提案報告書_97年春節保全回收報告書_Book1" xfId="137"/>
    <cellStyle name="_封閉型商圈日商_97年營業競賽提案報告書_97年春節保全回收報告書_Book1_1-晉欣鮮食廠-2012年春節作業體制" xfId="138"/>
    <cellStyle name="_封閉型商圈日商_97年營業競賽提案報告書_97年春節保全回收報告書_春節作業手冊-981217" xfId="139"/>
    <cellStyle name="_封閉型商圈日商_97年營業競賽提案報告書_97年春節保全回收報告書_春節作業手冊-981217_1-晉欣鮮食廠-2012年春節作業體制" xfId="140"/>
    <cellStyle name="_封閉型商圈日商_97年營業競賽提案報告書_97年營業競賽提案報告書" xfId="141"/>
    <cellStyle name="_封閉型商圈日商_97年營業競賽提案報告書_97年營業競賽提案報告書_1-晉欣鮮食廠-2012年春節作業體制" xfId="142"/>
    <cellStyle name="_封閉型商圈日商_97年營業競賽提案報告書_97年營業競賽提案報告書_97年春節保全回收報告書" xfId="143"/>
    <cellStyle name="_封閉型商圈日商_97年營業競賽提案報告書_97年營業競賽提案報告書_97年春節保全回收報告書_1-晉欣鮮食廠-2012年春節作業體制" xfId="144"/>
    <cellStyle name="_封閉型商圈日商_97年營業競賽提案報告書_97年營業競賽提案報告書_97年春節保全回收報告書_Book1" xfId="145"/>
    <cellStyle name="_封閉型商圈日商_97年營業競賽提案報告書_97年營業競賽提案報告書_97年春節保全回收報告書_Book1_1-晉欣鮮食廠-2012年春節作業體制" xfId="146"/>
    <cellStyle name="_封閉型商圈日商_97年營業競賽提案報告書_97年營業競賽提案報告書_97年春節保全回收報告書_春節作業手冊-981217" xfId="147"/>
    <cellStyle name="_封閉型商圈日商_97年營業競賽提案報告書_97年營業競賽提案報告書_97年春節保全回收報告書_春節作業手冊-981217_1-晉欣鮮食廠-2012年春節作業體制" xfId="148"/>
    <cellStyle name="_封閉型商圈日商_97年營業競賽提案報告書_97年營業競賽提案報告書_97年營業競賽提案報告書" xfId="149"/>
    <cellStyle name="_封閉型商圈日商_97年營業競賽提案報告書_97年營業競賽提案報告書_97年營業競賽提案報告書_1-晉欣鮮食廠-2012年春節作業體制" xfId="150"/>
    <cellStyle name="_封閉型商圈日商_97年營業競賽提案報告書_97年營業競賽提案報告書_97年營業競賽提案報告書_97年春節保全回收報告書" xfId="151"/>
    <cellStyle name="_封閉型商圈日商_97年營業競賽提案報告書_97年營業競賽提案報告書_97年營業競賽提案報告書_97年春節保全回收報告書_1-晉欣鮮食廠-2012年春節作業體制" xfId="152"/>
    <cellStyle name="_封閉型商圈日商_97年營業競賽提案報告書_97年營業競賽提案報告書_97年營業競賽提案報告書_97年春節保全回收報告書_Book1" xfId="153"/>
    <cellStyle name="_封閉型商圈日商_97年營業競賽提案報告書_97年營業競賽提案報告書_97年營業競賽提案報告書_97年春節保全回收報告書_Book1_1-晉欣鮮食廠-2012年春節作業體制" xfId="154"/>
    <cellStyle name="_封閉型商圈日商_97年營業競賽提案報告書_97年營業競賽提案報告書_97年營業競賽提案報告書_97年春節保全回收報告書_春節作業手冊-981217" xfId="155"/>
    <cellStyle name="_封閉型商圈日商_97年營業競賽提案報告書_97年營業競賽提案報告書_97年營業競賽提案報告書_97年春節保全回收報告書_春節作業手冊-981217_1-晉欣鮮食廠-2012年春節作業體制" xfId="156"/>
    <cellStyle name="_封閉型商圈日商_97年營業競賽提案報告書_97年營業競賽提案報告書_97年營業競賽提案報告書_Book1" xfId="157"/>
    <cellStyle name="_封閉型商圈日商_97年營業競賽提案報告書_97年營業競賽提案報告書_97年營業競賽提案報告書_Book1_1-晉欣鮮食廠-2012年春節作業體制" xfId="158"/>
    <cellStyle name="_封閉型商圈日商_97年營業競賽提案報告書_97年營業競賽提案報告書_97年營業競賽提案報告書_春節作業手冊-981217" xfId="159"/>
    <cellStyle name="_封閉型商圈日商_97年營業競賽提案報告書_97年營業競賽提案報告書_97年營業競賽提案報告書_春節作業手冊-981217_1-晉欣鮮食廠-2012年春節作業體制" xfId="160"/>
    <cellStyle name="_封閉型商圈日商_97年營業競賽提案報告書_97年營業競賽提案報告書_Book1" xfId="161"/>
    <cellStyle name="_封閉型商圈日商_97年營業競賽提案報告書_97年營業競賽提案報告書_Book1_1-晉欣鮮食廠-2012年春節作業體制" xfId="162"/>
    <cellStyle name="_封閉型商圈日商_97年營業競賽提案報告書_97年營業競賽提案報告書_春節作業手冊-981217" xfId="163"/>
    <cellStyle name="_封閉型商圈日商_97年營業競賽提案報告書_97年營業競賽提案報告書_春節作業手冊-981217_1-晉欣鮮食廠-2012年春節作業體制" xfId="164"/>
    <cellStyle name="_封閉型商圈日商_97年營業競賽提案報告書_Book1" xfId="165"/>
    <cellStyle name="_封閉型商圈日商_97年營業競賽提案報告書_Book1_1-晉欣鮮食廠-2012年春節作業體制" xfId="166"/>
    <cellStyle name="_封閉型商圈日商_97年營業競賽提案報告書_春節作業手冊-981217" xfId="167"/>
    <cellStyle name="_封閉型商圈日商_97年營業競賽提案報告書_春節作業手冊-981217_1-晉欣鮮食廠-2012年春節作業體制" xfId="168"/>
    <cellStyle name="_封閉型商圈日商_Book1" xfId="169"/>
    <cellStyle name="_封閉型商圈日商_Book1_1-晉欣鮮食廠-2012年春節作業體制" xfId="170"/>
    <cellStyle name="_封閉型商圈日商_春節作業手冊-981217" xfId="171"/>
    <cellStyle name="_封閉型商圈日商_春節作業手冊-981217_1-晉欣鮮食廠-2012年春節作業體制" xfId="172"/>
    <cellStyle name="_封閉型商圈日商-1" xfId="173"/>
    <cellStyle name="_封閉型商圈日商-1_1-晉欣鮮食廠-2012年春節作業體制" xfId="174"/>
    <cellStyle name="_封閉型商圈日商-1_97年春節保全回收報告書" xfId="175"/>
    <cellStyle name="_封閉型商圈日商-1_97年春節保全回收報告書_1-晉欣鮮食廠-2012年春節作業體制" xfId="176"/>
    <cellStyle name="_封閉型商圈日商-1_97年春節保全回收報告書_Book1" xfId="177"/>
    <cellStyle name="_封閉型商圈日商-1_97年春節保全回收報告書_Book1_1-晉欣鮮食廠-2012年春節作業體制" xfId="178"/>
    <cellStyle name="_封閉型商圈日商-1_97年春節保全回收報告書_春節作業手冊-981217" xfId="179"/>
    <cellStyle name="_封閉型商圈日商-1_97年春節保全回收報告書_春節作業手冊-981217_1-晉欣鮮食廠-2012年春節作業體制" xfId="180"/>
    <cellStyle name="_封閉型商圈日商-1_97年營業競賽提案報告書" xfId="181"/>
    <cellStyle name="_封閉型商圈日商-1_97年營業競賽提案報告書_1-晉欣鮮食廠-2012年春節作業體制" xfId="182"/>
    <cellStyle name="_封閉型商圈日商-1_97年營業競賽提案報告書_97年春節保全回收報告書" xfId="183"/>
    <cellStyle name="_封閉型商圈日商-1_97年營業競賽提案報告書_97年春節保全回收報告書_1-晉欣鮮食廠-2012年春節作業體制" xfId="184"/>
    <cellStyle name="_封閉型商圈日商-1_97年營業競賽提案報告書_97年春節保全回收報告書_Book1" xfId="185"/>
    <cellStyle name="_封閉型商圈日商-1_97年營業競賽提案報告書_97年春節保全回收報告書_Book1_1-晉欣鮮食廠-2012年春節作業體制" xfId="186"/>
    <cellStyle name="_封閉型商圈日商-1_97年營業競賽提案報告書_97年春節保全回收報告書_春節作業手冊-981217" xfId="187"/>
    <cellStyle name="_封閉型商圈日商-1_97年營業競賽提案報告書_97年春節保全回收報告書_春節作業手冊-981217_1-晉欣鮮食廠-2012年春節作業體制" xfId="188"/>
    <cellStyle name="_封閉型商圈日商-1_97年營業競賽提案報告書_97年營業競賽提案報告書" xfId="189"/>
    <cellStyle name="_封閉型商圈日商-1_97年營業競賽提案報告書_97年營業競賽提案報告書_1-晉欣鮮食廠-2012年春節作業體制" xfId="190"/>
    <cellStyle name="_封閉型商圈日商-1_97年營業競賽提案報告書_97年營業競賽提案報告書_97年春節保全回收報告書" xfId="191"/>
    <cellStyle name="_封閉型商圈日商-1_97年營業競賽提案報告書_97年營業競賽提案報告書_97年春節保全回收報告書_1-晉欣鮮食廠-2012年春節作業體制" xfId="192"/>
    <cellStyle name="_封閉型商圈日商-1_97年營業競賽提案報告書_97年營業競賽提案報告書_97年春節保全回收報告書_Book1" xfId="193"/>
    <cellStyle name="_封閉型商圈日商-1_97年營業競賽提案報告書_97年營業競賽提案報告書_97年春節保全回收報告書_Book1_1-晉欣鮮食廠-2012年春節作業體制" xfId="194"/>
    <cellStyle name="_封閉型商圈日商-1_97年營業競賽提案報告書_97年營業競賽提案報告書_97年春節保全回收報告書_春節作業手冊-981217" xfId="195"/>
    <cellStyle name="_封閉型商圈日商-1_97年營業競賽提案報告書_97年營業競賽提案報告書_97年春節保全回收報告書_春節作業手冊-981217_1-晉欣鮮食廠-2012年春節作業體制" xfId="196"/>
    <cellStyle name="_封閉型商圈日商-1_97年營業競賽提案報告書_97年營業競賽提案報告書_97年營業競賽提案報告書" xfId="197"/>
    <cellStyle name="_封閉型商圈日商-1_97年營業競賽提案報告書_97年營業競賽提案報告書_97年營業競賽提案報告書_1-晉欣鮮食廠-2012年春節作業體制" xfId="198"/>
    <cellStyle name="_封閉型商圈日商-1_97年營業競賽提案報告書_97年營業競賽提案報告書_97年營業競賽提案報告書_97年春節保全回收報告書" xfId="199"/>
    <cellStyle name="_封閉型商圈日商-1_97年營業競賽提案報告書_97年營業競賽提案報告書_97年營業競賽提案報告書_97年春節保全回收報告書_1-晉欣鮮食廠-2012年春節作業體制" xfId="200"/>
    <cellStyle name="_封閉型商圈日商-1_97年營業競賽提案報告書_97年營業競賽提案報告書_97年營業競賽提案報告書_97年春節保全回收報告書_Book1" xfId="201"/>
    <cellStyle name="_封閉型商圈日商-1_97年營業競賽提案報告書_97年營業競賽提案報告書_97年營業競賽提案報告書_97年春節保全回收報告書_Book1_1-晉欣鮮食廠-2012年春節作業體制" xfId="202"/>
    <cellStyle name="_封閉型商圈日商-1_97年營業競賽提案報告書_97年營業競賽提案報告書_97年營業競賽提案報告書_97年春節保全回收報告書_春節作業手冊-981217" xfId="203"/>
    <cellStyle name="_封閉型商圈日商-1_97年營業競賽提案報告書_97年營業競賽提案報告書_97年營業競賽提案報告書_97年春節保全回收報告書_春節作業手冊-981217_1-晉欣鮮食廠-2012年春節作業體制" xfId="204"/>
    <cellStyle name="_封閉型商圈日商-1_97年營業競賽提案報告書_97年營業競賽提案報告書_97年營業競賽提案報告書_Book1" xfId="205"/>
    <cellStyle name="_封閉型商圈日商-1_97年營業競賽提案報告書_97年營業競賽提案報告書_97年營業競賽提案報告書_Book1_1-晉欣鮮食廠-2012年春節作業體制" xfId="206"/>
    <cellStyle name="_封閉型商圈日商-1_97年營業競賽提案報告書_97年營業競賽提案報告書_97年營業競賽提案報告書_春節作業手冊-981217" xfId="207"/>
    <cellStyle name="_封閉型商圈日商-1_97年營業競賽提案報告書_97年營業競賽提案報告書_97年營業競賽提案報告書_春節作業手冊-981217_1-晉欣鮮食廠-2012年春節作業體制" xfId="208"/>
    <cellStyle name="_封閉型商圈日商-1_97年營業競賽提案報告書_97年營業競賽提案報告書_Book1" xfId="209"/>
    <cellStyle name="_封閉型商圈日商-1_97年營業競賽提案報告書_97年營業競賽提案報告書_Book1_1-晉欣鮮食廠-2012年春節作業體制" xfId="210"/>
    <cellStyle name="_封閉型商圈日商-1_97年營業競賽提案報告書_97年營業競賽提案報告書_春節作業手冊-981217" xfId="211"/>
    <cellStyle name="_封閉型商圈日商-1_97年營業競賽提案報告書_97年營業競賽提案報告書_春節作業手冊-981217_1-晉欣鮮食廠-2012年春節作業體制" xfId="212"/>
    <cellStyle name="_封閉型商圈日商-1_97年營業競賽提案報告書_Book1" xfId="213"/>
    <cellStyle name="_封閉型商圈日商-1_97年營業競賽提案報告書_Book1_1-晉欣鮮食廠-2012年春節作業體制" xfId="214"/>
    <cellStyle name="_封閉型商圈日商-1_97年營業競賽提案報告書_春節作業手冊-981217" xfId="215"/>
    <cellStyle name="_封閉型商圈日商-1_97年營業競賽提案報告書_春節作業手冊-981217_1-晉欣鮮食廠-2012年春節作業體制" xfId="216"/>
    <cellStyle name="_封閉型商圈日商-1_Book1" xfId="217"/>
    <cellStyle name="_封閉型商圈日商-1_Book1_1-晉欣鮮食廠-2012年春節作業體制" xfId="218"/>
    <cellStyle name="_封閉型商圈日商-1_春節作業手冊-981217" xfId="219"/>
    <cellStyle name="_封閉型商圈日商-1_春節作業手冊-981217_1-晉欣鮮食廠-2012年春節作業體制" xfId="220"/>
    <cellStyle name="_封閉型商圈店舖明細" xfId="221"/>
    <cellStyle name="_封閉型商圈店舖明細_1-晉欣鮮食廠-2012年春節作業體制" xfId="222"/>
    <cellStyle name="_封閉型商圈店舖明細_97年春節保全回收報告書" xfId="223"/>
    <cellStyle name="_封閉型商圈店舖明細_97年春節保全回收報告書_1-晉欣鮮食廠-2012年春節作業體制" xfId="224"/>
    <cellStyle name="_封閉型商圈店舖明細_97年春節保全回收報告書_Book1" xfId="225"/>
    <cellStyle name="_封閉型商圈店舖明細_97年春節保全回收報告書_Book1_1-晉欣鮮食廠-2012年春節作業體制" xfId="226"/>
    <cellStyle name="_封閉型商圈店舖明細_97年春節保全回收報告書_春節作業手冊-981217" xfId="227"/>
    <cellStyle name="_封閉型商圈店舖明細_97年春節保全回收報告書_春節作業手冊-981217_1-晉欣鮮食廠-2012年春節作業體制" xfId="228"/>
    <cellStyle name="_封閉型商圈店舖明細_97年營業競賽提案報告書" xfId="229"/>
    <cellStyle name="_封閉型商圈店舖明細_97年營業競賽提案報告書_1-晉欣鮮食廠-2012年春節作業體制" xfId="230"/>
    <cellStyle name="_封閉型商圈店舖明細_97年營業競賽提案報告書_97年春節保全回收報告書" xfId="231"/>
    <cellStyle name="_封閉型商圈店舖明細_97年營業競賽提案報告書_97年春節保全回收報告書_1-晉欣鮮食廠-2012年春節作業體制" xfId="232"/>
    <cellStyle name="_封閉型商圈店舖明細_97年營業競賽提案報告書_97年春節保全回收報告書_Book1" xfId="233"/>
    <cellStyle name="_封閉型商圈店舖明細_97年營業競賽提案報告書_97年春節保全回收報告書_Book1_1-晉欣鮮食廠-2012年春節作業體制" xfId="234"/>
    <cellStyle name="_封閉型商圈店舖明細_97年營業競賽提案報告書_97年春節保全回收報告書_春節作業手冊-981217" xfId="235"/>
    <cellStyle name="_封閉型商圈店舖明細_97年營業競賽提案報告書_97年春節保全回收報告書_春節作業手冊-981217_1-晉欣鮮食廠-2012年春節作業體制" xfId="236"/>
    <cellStyle name="_封閉型商圈店舖明細_97年營業競賽提案報告書_97年營業競賽提案報告書" xfId="237"/>
    <cellStyle name="_封閉型商圈店舖明細_97年營業競賽提案報告書_97年營業競賽提案報告書_1-晉欣鮮食廠-2012年春節作業體制" xfId="238"/>
    <cellStyle name="_封閉型商圈店舖明細_97年營業競賽提案報告書_97年營業競賽提案報告書_97年春節保全回收報告書" xfId="239"/>
    <cellStyle name="_封閉型商圈店舖明細_97年營業競賽提案報告書_97年營業競賽提案報告書_97年春節保全回收報告書_1-晉欣鮮食廠-2012年春節作業體制" xfId="240"/>
    <cellStyle name="_封閉型商圈店舖明細_97年營業競賽提案報告書_97年營業競賽提案報告書_97年春節保全回收報告書_Book1" xfId="241"/>
    <cellStyle name="_封閉型商圈店舖明細_97年營業競賽提案報告書_97年營業競賽提案報告書_97年春節保全回收報告書_Book1_1-晉欣鮮食廠-2012年春節作業體制" xfId="242"/>
    <cellStyle name="_封閉型商圈店舖明細_97年營業競賽提案報告書_97年營業競賽提案報告書_97年春節保全回收報告書_春節作業手冊-981217" xfId="243"/>
    <cellStyle name="_封閉型商圈店舖明細_97年營業競賽提案報告書_97年營業競賽提案報告書_97年春節保全回收報告書_春節作業手冊-981217_1-晉欣鮮食廠-2012年春節作業體制" xfId="244"/>
    <cellStyle name="_封閉型商圈店舖明細_97年營業競賽提案報告書_97年營業競賽提案報告書_97年營業競賽提案報告書" xfId="245"/>
    <cellStyle name="_封閉型商圈店舖明細_97年營業競賽提案報告書_97年營業競賽提案報告書_97年營業競賽提案報告書_1-晉欣鮮食廠-2012年春節作業體制" xfId="246"/>
    <cellStyle name="_封閉型商圈店舖明細_97年營業競賽提案報告書_97年營業競賽提案報告書_97年營業競賽提案報告書_97年春節保全回收報告書" xfId="247"/>
    <cellStyle name="_封閉型商圈店舖明細_97年營業競賽提案報告書_97年營業競賽提案報告書_97年營業競賽提案報告書_97年春節保全回收報告書_1-晉欣鮮食廠-2012年春節作業體制" xfId="248"/>
    <cellStyle name="_封閉型商圈店舖明細_97年營業競賽提案報告書_97年營業競賽提案報告書_97年營業競賽提案報告書_97年春節保全回收報告書_Book1" xfId="249"/>
    <cellStyle name="_封閉型商圈店舖明細_97年營業競賽提案報告書_97年營業競賽提案報告書_97年營業競賽提案報告書_97年春節保全回收報告書_Book1_1-晉欣鮮食廠-2012年春節作業體制" xfId="250"/>
    <cellStyle name="_封閉型商圈店舖明細_97年營業競賽提案報告書_97年營業競賽提案報告書_97年營業競賽提案報告書_97年春節保全回收報告書_春節作業手冊-981217" xfId="251"/>
    <cellStyle name="_封閉型商圈店舖明細_97年營業競賽提案報告書_97年營業競賽提案報告書_97年營業競賽提案報告書_97年春節保全回收報告書_春節作業手冊-981217_1-晉欣鮮食廠-2012年春節作業體制" xfId="252"/>
    <cellStyle name="_封閉型商圈店舖明細_97年營業競賽提案報告書_97年營業競賽提案報告書_97年營業競賽提案報告書_Book1" xfId="253"/>
    <cellStyle name="_封閉型商圈店舖明細_97年營業競賽提案報告書_97年營業競賽提案報告書_97年營業競賽提案報告書_Book1_1-晉欣鮮食廠-2012年春節作業體制" xfId="254"/>
    <cellStyle name="_封閉型商圈店舖明細_97年營業競賽提案報告書_97年營業競賽提案報告書_97年營業競賽提案報告書_春節作業手冊-981217" xfId="255"/>
    <cellStyle name="_封閉型商圈店舖明細_97年營業競賽提案報告書_97年營業競賽提案報告書_97年營業競賽提案報告書_春節作業手冊-981217_1-晉欣鮮食廠-2012年春節作業體制" xfId="256"/>
    <cellStyle name="_封閉型商圈店舖明細_97年營業競賽提案報告書_97年營業競賽提案報告書_Book1" xfId="257"/>
    <cellStyle name="_封閉型商圈店舖明細_97年營業競賽提案報告書_97年營業競賽提案報告書_Book1_1-晉欣鮮食廠-2012年春節作業體制" xfId="258"/>
    <cellStyle name="_封閉型商圈店舖明細_97年營業競賽提案報告書_97年營業競賽提案報告書_春節作業手冊-981217" xfId="259"/>
    <cellStyle name="_封閉型商圈店舖明細_97年營業競賽提案報告書_97年營業競賽提案報告書_春節作業手冊-981217_1-晉欣鮮食廠-2012年春節作業體制" xfId="260"/>
    <cellStyle name="_封閉型商圈店舖明細_97年營業競賽提案報告書_Book1" xfId="261"/>
    <cellStyle name="_封閉型商圈店舖明細_97年營業競賽提案報告書_Book1_1-晉欣鮮食廠-2012年春節作業體制" xfId="262"/>
    <cellStyle name="_封閉型商圈店舖明細_97年營業競賽提案報告書_春節作業手冊-981217" xfId="263"/>
    <cellStyle name="_封閉型商圈店舖明細_97年營業競賽提案報告書_春節作業手冊-981217_1-晉欣鮮食廠-2012年春節作業體制" xfId="264"/>
    <cellStyle name="_封閉型商圈店舖明細_Book1" xfId="265"/>
    <cellStyle name="_封閉型商圈店舖明細_Book1_1-晉欣鮮食廠-2012年春節作業體制" xfId="266"/>
    <cellStyle name="_封閉型商圈店舖明細_春節作業手冊-981217" xfId="267"/>
    <cellStyle name="_封閉型商圈店舖明細_春節作業手冊-981217_1-晉欣鮮食廠-2012年春節作業體制" xfId="268"/>
    <cellStyle name="_封閉型商圈建議台整品項" xfId="269"/>
    <cellStyle name="_封閉型商圈建議台整品項_1-晉欣鮮食廠-2012年春節作業體制" xfId="270"/>
    <cellStyle name="_封閉型商圈建議台整品項_97年春節保全回收報告書" xfId="271"/>
    <cellStyle name="_封閉型商圈建議台整品項_97年春節保全回收報告書_1-晉欣鮮食廠-2012年春節作業體制" xfId="272"/>
    <cellStyle name="_封閉型商圈建議台整品項_97年春節保全回收報告書_Book1" xfId="273"/>
    <cellStyle name="_封閉型商圈建議台整品項_97年春節保全回收報告書_Book1_1-晉欣鮮食廠-2012年春節作業體制" xfId="274"/>
    <cellStyle name="_封閉型商圈建議台整品項_97年春節保全回收報告書_春節作業手冊-981217" xfId="275"/>
    <cellStyle name="_封閉型商圈建議台整品項_97年春節保全回收報告書_春節作業手冊-981217_1-晉欣鮮食廠-2012年春節作業體制" xfId="276"/>
    <cellStyle name="_封閉型商圈建議台整品項_97年營業競賽提案報告書" xfId="277"/>
    <cellStyle name="_封閉型商圈建議台整品項_97年營業競賽提案報告書_1-晉欣鮮食廠-2012年春節作業體制" xfId="278"/>
    <cellStyle name="_封閉型商圈建議台整品項_97年營業競賽提案報告書_97年春節保全回收報告書" xfId="279"/>
    <cellStyle name="_封閉型商圈建議台整品項_97年營業競賽提案報告書_97年春節保全回收報告書_1-晉欣鮮食廠-2012年春節作業體制" xfId="280"/>
    <cellStyle name="_封閉型商圈建議台整品項_97年營業競賽提案報告書_97年春節保全回收報告書_Book1" xfId="281"/>
    <cellStyle name="_封閉型商圈建議台整品項_97年營業競賽提案報告書_97年春節保全回收報告書_Book1_1-晉欣鮮食廠-2012年春節作業體制" xfId="282"/>
    <cellStyle name="_封閉型商圈建議台整品項_97年營業競賽提案報告書_97年春節保全回收報告書_春節作業手冊-981217" xfId="283"/>
    <cellStyle name="_封閉型商圈建議台整品項_97年營業競賽提案報告書_97年春節保全回收報告書_春節作業手冊-981217_1-晉欣鮮食廠-2012年春節作業體制" xfId="284"/>
    <cellStyle name="_封閉型商圈建議台整品項_97年營業競賽提案報告書_97年營業競賽提案報告書" xfId="285"/>
    <cellStyle name="_封閉型商圈建議台整品項_97年營業競賽提案報告書_97年營業競賽提案報告書_1-晉欣鮮食廠-2012年春節作業體制" xfId="286"/>
    <cellStyle name="_封閉型商圈建議台整品項_97年營業競賽提案報告書_97年營業競賽提案報告書_97年春節保全回收報告書" xfId="287"/>
    <cellStyle name="_封閉型商圈建議台整品項_97年營業競賽提案報告書_97年營業競賽提案報告書_97年春節保全回收報告書_1-晉欣鮮食廠-2012年春節作業體制" xfId="288"/>
    <cellStyle name="_封閉型商圈建議台整品項_97年營業競賽提案報告書_97年營業競賽提案報告書_97年春節保全回收報告書_Book1" xfId="289"/>
    <cellStyle name="_封閉型商圈建議台整品項_97年營業競賽提案報告書_97年營業競賽提案報告書_97年春節保全回收報告書_Book1_1-晉欣鮮食廠-2012年春節作業體制" xfId="290"/>
    <cellStyle name="_封閉型商圈建議台整品項_97年營業競賽提案報告書_97年營業競賽提案報告書_97年春節保全回收報告書_春節作業手冊-981217" xfId="291"/>
    <cellStyle name="_封閉型商圈建議台整品項_97年營業競賽提案報告書_97年營業競賽提案報告書_97年春節保全回收報告書_春節作業手冊-981217_1-晉欣鮮食廠-2012年春節作業體制" xfId="292"/>
    <cellStyle name="_封閉型商圈建議台整品項_97年營業競賽提案報告書_97年營業競賽提案報告書_97年營業競賽提案報告書" xfId="293"/>
    <cellStyle name="_封閉型商圈建議台整品項_97年營業競賽提案報告書_97年營業競賽提案報告書_97年營業競賽提案報告書_1-晉欣鮮食廠-2012年春節作業體制" xfId="294"/>
    <cellStyle name="_封閉型商圈建議台整品項_97年營業競賽提案報告書_97年營業競賽提案報告書_97年營業競賽提案報告書_97年春節保全回收報告書" xfId="295"/>
    <cellStyle name="_封閉型商圈建議台整品項_97年營業競賽提案報告書_97年營業競賽提案報告書_97年營業競賽提案報告書_97年春節保全回收報告書_1-晉欣鮮食廠-2012年春節作業體制" xfId="296"/>
    <cellStyle name="_封閉型商圈建議台整品項_97年營業競賽提案報告書_97年營業競賽提案報告書_97年營業競賽提案報告書_97年春節保全回收報告書_Book1" xfId="297"/>
    <cellStyle name="_封閉型商圈建議台整品項_97年營業競賽提案報告書_97年營業競賽提案報告書_97年營業競賽提案報告書_97年春節保全回收報告書_Book1_1-晉欣鮮食廠-2012年春節作業體制" xfId="298"/>
    <cellStyle name="_封閉型商圈建議台整品項_97年營業競賽提案報告書_97年營業競賽提案報告書_97年營業競賽提案報告書_97年春節保全回收報告書_春節作業手冊-981217" xfId="299"/>
    <cellStyle name="_封閉型商圈建議台整品項_97年營業競賽提案報告書_97年營業競賽提案報告書_97年營業競賽提案報告書_97年春節保全回收報告書_春節作業手冊-981217_1-晉欣鮮食廠-2012年春節作業體制" xfId="300"/>
    <cellStyle name="_封閉型商圈建議台整品項_97年營業競賽提案報告書_97年營業競賽提案報告書_97年營業競賽提案報告書_Book1" xfId="301"/>
    <cellStyle name="_封閉型商圈建議台整品項_97年營業競賽提案報告書_97年營業競賽提案報告書_97年營業競賽提案報告書_Book1_1-晉欣鮮食廠-2012年春節作業體制" xfId="302"/>
    <cellStyle name="_封閉型商圈建議台整品項_97年營業競賽提案報告書_97年營業競賽提案報告書_97年營業競賽提案報告書_春節作業手冊-981217" xfId="303"/>
    <cellStyle name="_封閉型商圈建議台整品項_97年營業競賽提案報告書_97年營業競賽提案報告書_97年營業競賽提案報告書_春節作業手冊-981217_1-晉欣鮮食廠-2012年春節作業體制" xfId="304"/>
    <cellStyle name="_封閉型商圈建議台整品項_97年營業競賽提案報告書_97年營業競賽提案報告書_Book1" xfId="305"/>
    <cellStyle name="_封閉型商圈建議台整品項_97年營業競賽提案報告書_97年營業競賽提案報告書_Book1_1-晉欣鮮食廠-2012年春節作業體制" xfId="306"/>
    <cellStyle name="_封閉型商圈建議台整品項_97年營業競賽提案報告書_97年營業競賽提案報告書_春節作業手冊-981217" xfId="307"/>
    <cellStyle name="_封閉型商圈建議台整品項_97年營業競賽提案報告書_97年營業競賽提案報告書_春節作業手冊-981217_1-晉欣鮮食廠-2012年春節作業體制" xfId="308"/>
    <cellStyle name="_封閉型商圈建議台整品項_97年營業競賽提案報告書_Book1" xfId="309"/>
    <cellStyle name="_封閉型商圈建議台整品項_97年營業競賽提案報告書_Book1_1-晉欣鮮食廠-2012年春節作業體制" xfId="310"/>
    <cellStyle name="_封閉型商圈建議台整品項_97年營業競賽提案報告書_春節作業手冊-981217" xfId="311"/>
    <cellStyle name="_封閉型商圈建議台整品項_97年營業競賽提案報告書_春節作業手冊-981217_1-晉欣鮮食廠-2012年春節作業體制" xfId="312"/>
    <cellStyle name="_封閉型商圈建議台整品項_Book1" xfId="313"/>
    <cellStyle name="_封閉型商圈建議台整品項_Book1_1-晉欣鮮食廠-2012年春節作業體制" xfId="314"/>
    <cellStyle name="_封閉型商圈建議台整品項_春節作業手冊-981217" xfId="315"/>
    <cellStyle name="_封閉型商圈建議台整品項_春節作業手冊-981217_1-晉欣鮮食廠-2012年春節作業體制" xfId="316"/>
    <cellStyle name="_樂清9507租賃用品申請" xfId="317"/>
    <cellStyle name="_樂清9507租賃用品申請_1-晉欣鮮食廠-2012年春節作業體制" xfId="318"/>
    <cellStyle name="_樂清9507租賃用品申請_96年月餅預購競賽獎勵案" xfId="319"/>
    <cellStyle name="_樂清9507租賃用品申請_96年月餅預購競賽獎勵案_1-晉欣鮮食廠-2012年春節作業體制" xfId="320"/>
    <cellStyle name="_樂清9507租賃用品申請_96年月餅預購競賽獎勵案_96年月餅預購競賽獎勵案" xfId="321"/>
    <cellStyle name="_樂清9507租賃用品申請_96年月餅預購競賽獎勵案_96年月餅預購競賽獎勵案_1-晉欣鮮食廠-2012年春節作業體制" xfId="322"/>
    <cellStyle name="_樂清9507租賃用品申請_96年月餅預購競賽獎勵案_96年月餅預購競賽獎勵案_97年春節保全回收報告書" xfId="323"/>
    <cellStyle name="_樂清9507租賃用品申請_96年月餅預購競賽獎勵案_96年月餅預購競賽獎勵案_97年春節保全回收報告書_1-晉欣鮮食廠-2012年春節作業體制" xfId="324"/>
    <cellStyle name="_樂清9507租賃用品申請_96年月餅預購競賽獎勵案_96年月餅預購競賽獎勵案_97年春節保全回收報告書_Book1" xfId="325"/>
    <cellStyle name="_樂清9507租賃用品申請_96年月餅預購競賽獎勵案_96年月餅預購競賽獎勵案_97年春節保全回收報告書_Book1_1-晉欣鮮食廠-2012年春節作業體制" xfId="326"/>
    <cellStyle name="_樂清9507租賃用品申請_96年月餅預購競賽獎勵案_96年月餅預購競賽獎勵案_97年春節保全回收報告書_春節作業手冊-981217" xfId="327"/>
    <cellStyle name="_樂清9507租賃用品申請_96年月餅預購競賽獎勵案_96年月餅預購競賽獎勵案_97年春節保全回收報告書_春節作業手冊-981217_1-晉欣鮮食廠-2012年春節作業體制" xfId="328"/>
    <cellStyle name="_樂清9507租賃用品申請_96年月餅預購競賽獎勵案_96年月餅預購競賽獎勵案_97年營業競賽提案報告書" xfId="329"/>
    <cellStyle name="_樂清9507租賃用品申請_96年月餅預購競賽獎勵案_96年月餅預購競賽獎勵案_97年營業競賽提案報告書_1-晉欣鮮食廠-2012年春節作業體制" xfId="330"/>
    <cellStyle name="_樂清9507租賃用品申請_96年月餅預購競賽獎勵案_96年月餅預購競賽獎勵案_97年營業競賽提案報告書_97年春節保全回收報告書" xfId="331"/>
    <cellStyle name="_樂清9507租賃用品申請_96年月餅預購競賽獎勵案_96年月餅預購競賽獎勵案_97年營業競賽提案報告書_97年春節保全回收報告書_1-晉欣鮮食廠-2012年春節作業體制" xfId="332"/>
    <cellStyle name="_樂清9507租賃用品申請_96年月餅預購競賽獎勵案_96年月餅預購競賽獎勵案_97年營業競賽提案報告書_97年春節保全回收報告書_Book1" xfId="333"/>
    <cellStyle name="_樂清9507租賃用品申請_96年月餅預購競賽獎勵案_96年月餅預購競賽獎勵案_97年營業競賽提案報告書_97年春節保全回收報告書_Book1_1-晉欣鮮食廠-2012年春節作業體制" xfId="334"/>
    <cellStyle name="_樂清9507租賃用品申請_96年月餅預購競賽獎勵案_96年月餅預購競賽獎勵案_97年營業競賽提案報告書_97年春節保全回收報告書_春節作業手冊-981217" xfId="335"/>
    <cellStyle name="_樂清9507租賃用品申請_96年月餅預購競賽獎勵案_96年月餅預購競賽獎勵案_97年營業競賽提案報告書_97年春節保全回收報告書_春節作業手冊-981217_1-晉欣鮮食廠-2012年春節作業體制" xfId="336"/>
    <cellStyle name="_樂清9507租賃用品申請_96年月餅預購競賽獎勵案_96年月餅預購競賽獎勵案_97年營業競賽提案報告書_97年營業競賽提案報告書" xfId="337"/>
    <cellStyle name="_樂清9507租賃用品申請_96年月餅預購競賽獎勵案_96年月餅預購競賽獎勵案_97年營業競賽提案報告書_97年營業競賽提案報告書_1-晉欣鮮食廠-2012年春節作業體制" xfId="338"/>
    <cellStyle name="_樂清9507租賃用品申請_96年月餅預購競賽獎勵案_96年月餅預購競賽獎勵案_97年營業競賽提案報告書_97年營業競賽提案報告書_97年春節保全回收報告書" xfId="339"/>
    <cellStyle name="_樂清9507租賃用品申請_96年月餅預購競賽獎勵案_96年月餅預購競賽獎勵案_97年營業競賽提案報告書_97年營業競賽提案報告書_97年春節保全回收報告書_1-晉欣鮮食廠-2012年春節作業體制" xfId="340"/>
    <cellStyle name="_樂清9507租賃用品申請_96年月餅預購競賽獎勵案_96年月餅預購競賽獎勵案_97年營業競賽提案報告書_97年營業競賽提案報告書_97年春節保全回收報告書_Book1" xfId="341"/>
    <cellStyle name="_樂清9507租賃用品申請_96年月餅預購競賽獎勵案_96年月餅預購競賽獎勵案_97年營業競賽提案報告書_97年營業競賽提案報告書_97年春節保全回收報告書_Book1_1-晉欣鮮食廠-2012年春節作業體制" xfId="342"/>
    <cellStyle name="_樂清9507租賃用品申請_96年月餅預購競賽獎勵案_96年月餅預購競賽獎勵案_97年營業競賽提案報告書_97年營業競賽提案報告書_97年春節保全回收報告書_春節作業手冊-981217" xfId="343"/>
    <cellStyle name="_樂清9507租賃用品申請_96年月餅預購競賽獎勵案_96年月餅預購競賽獎勵案_97年營業競賽提案報告書_97年營業競賽提案報告書_97年春節保全回收報告書_春節作業手冊-981217_1-晉欣鮮食廠-2012年春節作業體制" xfId="344"/>
    <cellStyle name="_樂清9507租賃用品申請_96年月餅預購競賽獎勵案_96年月餅預購競賽獎勵案_97年營業競賽提案報告書_97年營業競賽提案報告書_97年營業競賽提案報告書" xfId="345"/>
    <cellStyle name="_樂清9507租賃用品申請_96年月餅預購競賽獎勵案_96年月餅預購競賽獎勵案_97年營業競賽提案報告書_97年營業競賽提案報告書_97年營業競賽提案報告書_1-晉欣鮮食廠-2012年春節作業體制" xfId="346"/>
    <cellStyle name="_樂清9507租賃用品申請_96年月餅預購競賽獎勵案_96年月餅預購競賽獎勵案_97年營業競賽提案報告書_97年營業競賽提案報告書_97年營業競賽提案報告書_97年春節保全回收報告書" xfId="347"/>
    <cellStyle name="_樂清9507租賃用品申請_96年月餅預購競賽獎勵案_96年月餅預購競賽獎勵案_97年營業競賽提案報告書_97年營業競賽提案報告書_97年營業競賽提案報告書_97年春節保全回收報告書_1-晉欣鮮食廠-2012年春節作業體制" xfId="348"/>
    <cellStyle name="_樂清9507租賃用品申請_96年月餅預購競賽獎勵案_96年月餅預購競賽獎勵案_97年營業競賽提案報告書_97年營業競賽提案報告書_97年營業競賽提案報告書_97年春節保全回收報告書_Book1" xfId="349"/>
    <cellStyle name="_樂清9507租賃用品申請_96年月餅預購競賽獎勵案_96年月餅預購競賽獎勵案_97年營業競賽提案報告書_97年營業競賽提案報告書_97年營業競賽提案報告書_97年春節保全回收報告書_Book1_1-晉欣鮮食廠-2012年春節作業體制" xfId="350"/>
    <cellStyle name="_樂清9507租賃用品申請_96年月餅預購競賽獎勵案_96年月餅預購競賽獎勵案_97年營業競賽提案報告書_97年營業競賽提案報告書_97年營業競賽提案報告書_97年春節保全回收報告書_春節作業手冊-981217" xfId="351"/>
    <cellStyle name="_樂清9507租賃用品申請_96年月餅預購競賽獎勵案_96年月餅預購競賽獎勵案_97年營業競賽提案報告書_97年營業競賽提案報告書_97年營業競賽提案報告書_97年春節保全回收報告書_春節作業手冊-981217_1-晉欣鮮食廠-2012年春節作業體制" xfId="352"/>
    <cellStyle name="_樂清9507租賃用品申請_96年月餅預購競賽獎勵案_96年月餅預購競賽獎勵案_97年營業競賽提案報告書_97年營業競賽提案報告書_97年營業競賽提案報告書_Book1" xfId="353"/>
    <cellStyle name="_樂清9507租賃用品申請_96年月餅預購競賽獎勵案_96年月餅預購競賽獎勵案_97年營業競賽提案報告書_97年營業競賽提案報告書_97年營業競賽提案報告書_Book1_1-晉欣鮮食廠-2012年春節作業體制" xfId="354"/>
    <cellStyle name="_樂清9507租賃用品申請_96年月餅預購競賽獎勵案_96年月餅預購競賽獎勵案_97年營業競賽提案報告書_97年營業競賽提案報告書_97年營業競賽提案報告書_春節作業手冊-981217" xfId="355"/>
    <cellStyle name="_樂清9507租賃用品申請_96年月餅預購競賽獎勵案_96年月餅預購競賽獎勵案_97年營業競賽提案報告書_97年營業競賽提案報告書_97年營業競賽提案報告書_春節作業手冊-981217_1-晉欣鮮食廠-2012年春節作業體制" xfId="356"/>
    <cellStyle name="_樂清9507租賃用品申請_96年月餅預購競賽獎勵案_96年月餅預購競賽獎勵案_97年營業競賽提案報告書_97年營業競賽提案報告書_Book1" xfId="357"/>
    <cellStyle name="_樂清9507租賃用品申請_96年月餅預購競賽獎勵案_96年月餅預購競賽獎勵案_97年營業競賽提案報告書_97年營業競賽提案報告書_Book1_1-晉欣鮮食廠-2012年春節作業體制" xfId="358"/>
    <cellStyle name="_樂清9507租賃用品申請_96年月餅預購競賽獎勵案_96年月餅預購競賽獎勵案_97年營業競賽提案報告書_97年營業競賽提案報告書_春節作業手冊-981217" xfId="359"/>
    <cellStyle name="_樂清9507租賃用品申請_96年月餅預購競賽獎勵案_96年月餅預購競賽獎勵案_97年營業競賽提案報告書_97年營業競賽提案報告書_春節作業手冊-981217_1-晉欣鮮食廠-2012年春節作業體制" xfId="360"/>
    <cellStyle name="_樂清9507租賃用品申請_96年月餅預購競賽獎勵案_96年月餅預購競賽獎勵案_97年營業競賽提案報告書_Book1" xfId="361"/>
    <cellStyle name="_樂清9507租賃用品申請_96年月餅預購競賽獎勵案_96年月餅預購競賽獎勵案_97年營業競賽提案報告書_Book1_1-晉欣鮮食廠-2012年春節作業體制" xfId="362"/>
    <cellStyle name="_樂清9507租賃用品申請_96年月餅預購競賽獎勵案_96年月餅預購競賽獎勵案_97年營業競賽提案報告書_春節作業手冊-981217" xfId="363"/>
    <cellStyle name="_樂清9507租賃用品申請_96年月餅預購競賽獎勵案_96年月餅預購競賽獎勵案_97年營業競賽提案報告書_春節作業手冊-981217_1-晉欣鮮食廠-2012年春節作業體制" xfId="364"/>
    <cellStyle name="_樂清9507租賃用品申請_96年月餅預購競賽獎勵案_96年月餅預購競賽獎勵案_Book1" xfId="365"/>
    <cellStyle name="_樂清9507租賃用品申請_96年月餅預購競賽獎勵案_96年月餅預購競賽獎勵案_Book1_1-晉欣鮮食廠-2012年春節作業體制" xfId="366"/>
    <cellStyle name="_樂清9507租賃用品申請_96年月餅預購競賽獎勵案_96年月餅預購競賽獎勵案_春節作業手冊-981217" xfId="367"/>
    <cellStyle name="_樂清9507租賃用品申請_96年月餅預購競賽獎勵案_96年月餅預購競賽獎勵案_春節作業手冊-981217_1-晉欣鮮食廠-2012年春節作業體制" xfId="368"/>
    <cellStyle name="_樂清9507租賃用品申請_96年月餅預購競賽獎勵案_97年春節保全回收報告書" xfId="369"/>
    <cellStyle name="_樂清9507租賃用品申請_96年月餅預購競賽獎勵案_97年春節保全回收報告書_1-晉欣鮮食廠-2012年春節作業體制" xfId="370"/>
    <cellStyle name="_樂清9507租賃用品申請_96年月餅預購競賽獎勵案_97年春節保全回收報告書_Book1" xfId="371"/>
    <cellStyle name="_樂清9507租賃用品申請_96年月餅預購競賽獎勵案_97年春節保全回收報告書_Book1_1-晉欣鮮食廠-2012年春節作業體制" xfId="372"/>
    <cellStyle name="_樂清9507租賃用品申請_96年月餅預購競賽獎勵案_97年春節保全回收報告書_春節作業手冊-981217" xfId="373"/>
    <cellStyle name="_樂清9507租賃用品申請_96年月餅預購競賽獎勵案_97年春節保全回收報告書_春節作業手冊-981217_1-晉欣鮮食廠-2012年春節作業體制" xfId="374"/>
    <cellStyle name="_樂清9507租賃用品申請_96年月餅預購競賽獎勵案_97年營業競賽提案報告書" xfId="375"/>
    <cellStyle name="_樂清9507租賃用品申請_96年月餅預購競賽獎勵案_97年營業競賽提案報告書_1-晉欣鮮食廠-2012年春節作業體制" xfId="376"/>
    <cellStyle name="_樂清9507租賃用品申請_96年月餅預購競賽獎勵案_97年營業競賽提案報告書_97年春節保全回收報告書" xfId="377"/>
    <cellStyle name="_樂清9507租賃用品申請_96年月餅預購競賽獎勵案_97年營業競賽提案報告書_97年春節保全回收報告書_1-晉欣鮮食廠-2012年春節作業體制" xfId="378"/>
    <cellStyle name="_樂清9507租賃用品申請_96年月餅預購競賽獎勵案_97年營業競賽提案報告書_97年春節保全回收報告書_Book1" xfId="379"/>
    <cellStyle name="_樂清9507租賃用品申請_96年月餅預購競賽獎勵案_97年營業競賽提案報告書_97年春節保全回收報告書_Book1_1-晉欣鮮食廠-2012年春節作業體制" xfId="380"/>
    <cellStyle name="_樂清9507租賃用品申請_96年月餅預購競賽獎勵案_97年營業競賽提案報告書_97年春節保全回收報告書_春節作業手冊-981217" xfId="381"/>
    <cellStyle name="_樂清9507租賃用品申請_96年月餅預購競賽獎勵案_97年營業競賽提案報告書_97年春節保全回收報告書_春節作業手冊-981217_1-晉欣鮮食廠-2012年春節作業體制" xfId="382"/>
    <cellStyle name="_樂清9507租賃用品申請_96年月餅預購競賽獎勵案_97年營業競賽提案報告書_97年營業競賽提案報告書" xfId="383"/>
    <cellStyle name="_樂清9507租賃用品申請_96年月餅預購競賽獎勵案_97年營業競賽提案報告書_97年營業競賽提案報告書_1-晉欣鮮食廠-2012年春節作業體制" xfId="384"/>
    <cellStyle name="_樂清9507租賃用品申請_96年月餅預購競賽獎勵案_97年營業競賽提案報告書_97年營業競賽提案報告書_97年春節保全回收報告書" xfId="385"/>
    <cellStyle name="_樂清9507租賃用品申請_96年月餅預購競賽獎勵案_97年營業競賽提案報告書_97年營業競賽提案報告書_97年春節保全回收報告書_1-晉欣鮮食廠-2012年春節作業體制" xfId="386"/>
    <cellStyle name="_樂清9507租賃用品申請_96年月餅預購競賽獎勵案_97年營業競賽提案報告書_97年營業競賽提案報告書_97年春節保全回收報告書_Book1" xfId="387"/>
    <cellStyle name="_樂清9507租賃用品申請_96年月餅預購競賽獎勵案_97年營業競賽提案報告書_97年營業競賽提案報告書_97年春節保全回收報告書_Book1_1-晉欣鮮食廠-2012年春節作業體制" xfId="388"/>
    <cellStyle name="_樂清9507租賃用品申請_96年月餅預購競賽獎勵案_97年營業競賽提案報告書_97年營業競賽提案報告書_97年春節保全回收報告書_春節作業手冊-981217" xfId="389"/>
    <cellStyle name="_樂清9507租賃用品申請_96年月餅預購競賽獎勵案_97年營業競賽提案報告書_97年營業競賽提案報告書_97年春節保全回收報告書_春節作業手冊-981217_1-晉欣鮮食廠-2012年春節作業體制" xfId="390"/>
    <cellStyle name="_樂清9507租賃用品申請_96年月餅預購競賽獎勵案_97年營業競賽提案報告書_97年營業競賽提案報告書_97年營業競賽提案報告書" xfId="391"/>
    <cellStyle name="_樂清9507租賃用品申請_96年月餅預購競賽獎勵案_97年營業競賽提案報告書_97年營業競賽提案報告書_97年營業競賽提案報告書_1-晉欣鮮食廠-2012年春節作業體制" xfId="392"/>
    <cellStyle name="_樂清9507租賃用品申請_96年月餅預購競賽獎勵案_97年營業競賽提案報告書_97年營業競賽提案報告書_97年營業競賽提案報告書_97年春節保全回收報告書" xfId="393"/>
    <cellStyle name="_樂清9507租賃用品申請_96年月餅預購競賽獎勵案_97年營業競賽提案報告書_97年營業競賽提案報告書_97年營業競賽提案報告書_97年春節保全回收報告書_1-晉欣鮮食廠-2012年春節作業體制" xfId="394"/>
    <cellStyle name="_樂清9507租賃用品申請_96年月餅預購競賽獎勵案_97年營業競賽提案報告書_97年營業競賽提案報告書_97年營業競賽提案報告書_97年春節保全回收報告書_Book1" xfId="395"/>
    <cellStyle name="_樂清9507租賃用品申請_96年月餅預購競賽獎勵案_97年營業競賽提案報告書_97年營業競賽提案報告書_97年營業競賽提案報告書_97年春節保全回收報告書_Book1_1-晉欣鮮食廠-2012年春節作業體制" xfId="396"/>
    <cellStyle name="_樂清9507租賃用品申請_96年月餅預購競賽獎勵案_97年營業競賽提案報告書_97年營業競賽提案報告書_97年營業競賽提案報告書_97年春節保全回收報告書_春節作業手冊-981217" xfId="397"/>
    <cellStyle name="_樂清9507租賃用品申請_96年月餅預購競賽獎勵案_97年營業競賽提案報告書_97年營業競賽提案報告書_97年營業競賽提案報告書_97年春節保全回收報告書_春節作業手冊-981217_1-晉欣鮮食廠-2012年春節作業體制" xfId="398"/>
    <cellStyle name="_樂清9507租賃用品申請_96年月餅預購競賽獎勵案_97年營業競賽提案報告書_97年營業競賽提案報告書_97年營業競賽提案報告書_Book1" xfId="399"/>
    <cellStyle name="_樂清9507租賃用品申請_96年月餅預購競賽獎勵案_97年營業競賽提案報告書_97年營業競賽提案報告書_97年營業競賽提案報告書_Book1_1-晉欣鮮食廠-2012年春節作業體制" xfId="400"/>
    <cellStyle name="_樂清9507租賃用品申請_96年月餅預購競賽獎勵案_97年營業競賽提案報告書_97年營業競賽提案報告書_97年營業競賽提案報告書_春節作業手冊-981217" xfId="401"/>
    <cellStyle name="_樂清9507租賃用品申請_96年月餅預購競賽獎勵案_97年營業競賽提案報告書_97年營業競賽提案報告書_97年營業競賽提案報告書_春節作業手冊-981217_1-晉欣鮮食廠-2012年春節作業體制" xfId="402"/>
    <cellStyle name="_樂清9507租賃用品申請_96年月餅預購競賽獎勵案_97年營業競賽提案報告書_97年營業競賽提案報告書_Book1" xfId="403"/>
    <cellStyle name="_樂清9507租賃用品申請_96年月餅預購競賽獎勵案_97年營業競賽提案報告書_97年營業競賽提案報告書_Book1_1-晉欣鮮食廠-2012年春節作業體制" xfId="404"/>
    <cellStyle name="_樂清9507租賃用品申請_96年月餅預購競賽獎勵案_97年營業競賽提案報告書_97年營業競賽提案報告書_春節作業手冊-981217" xfId="405"/>
    <cellStyle name="_樂清9507租賃用品申請_96年月餅預購競賽獎勵案_97年營業競賽提案報告書_97年營業競賽提案報告書_春節作業手冊-981217_1-晉欣鮮食廠-2012年春節作業體制" xfId="406"/>
    <cellStyle name="_樂清9507租賃用品申請_96年月餅預購競賽獎勵案_97年營業競賽提案報告書_Book1" xfId="407"/>
    <cellStyle name="_樂清9507租賃用品申請_96年月餅預購競賽獎勵案_97年營業競賽提案報告書_Book1_1-晉欣鮮食廠-2012年春節作業體制" xfId="408"/>
    <cellStyle name="_樂清9507租賃用品申請_96年月餅預購競賽獎勵案_97年營業競賽提案報告書_春節作業手冊-981217" xfId="409"/>
    <cellStyle name="_樂清9507租賃用品申請_96年月餅預購競賽獎勵案_97年營業競賽提案報告書_春節作業手冊-981217_1-晉欣鮮食廠-2012年春節作業體制" xfId="410"/>
    <cellStyle name="_樂清9507租賃用品申請_96年月餅預購競賽獎勵案_Book1" xfId="411"/>
    <cellStyle name="_樂清9507租賃用品申請_96年月餅預購競賽獎勵案_Book1_1-晉欣鮮食廠-2012年春節作業體制" xfId="412"/>
    <cellStyle name="_樂清9507租賃用品申請_96年月餅預購競賽獎勵案_春節作業手冊-981217" xfId="413"/>
    <cellStyle name="_樂清9507租賃用品申請_96年月餅預購競賽獎勵案_春節作業手冊-981217_1-晉欣鮮食廠-2012年春節作業體制" xfId="414"/>
    <cellStyle name="_樂清9507租賃用品申請_97年春節保全回收報告書" xfId="415"/>
    <cellStyle name="_樂清9507租賃用品申請_97年春節保全回收報告書_1-晉欣鮮食廠-2012年春節作業體制" xfId="416"/>
    <cellStyle name="_樂清9507租賃用品申請_97年春節保全回收報告書_Book1" xfId="417"/>
    <cellStyle name="_樂清9507租賃用品申請_97年春節保全回收報告書_Book1_1-晉欣鮮食廠-2012年春節作業體制" xfId="418"/>
    <cellStyle name="_樂清9507租賃用品申請_97年春節保全回收報告書_春節作業手冊-981217" xfId="419"/>
    <cellStyle name="_樂清9507租賃用品申請_97年春節保全回收報告書_春節作業手冊-981217_1-晉欣鮮食廠-2012年春節作業體制" xfId="420"/>
    <cellStyle name="_樂清9507租賃用品申請_97年營業競賽提案報告書" xfId="421"/>
    <cellStyle name="_樂清9507租賃用品申請_97年營業競賽提案報告書_1-晉欣鮮食廠-2012年春節作業體制" xfId="422"/>
    <cellStyle name="_樂清9507租賃用品申請_97年營業競賽提案報告書_97年春節保全回收報告書" xfId="423"/>
    <cellStyle name="_樂清9507租賃用品申請_97年營業競賽提案報告書_97年春節保全回收報告書_1-晉欣鮮食廠-2012年春節作業體制" xfId="424"/>
    <cellStyle name="_樂清9507租賃用品申請_97年營業競賽提案報告書_97年春節保全回收報告書_Book1" xfId="425"/>
    <cellStyle name="_樂清9507租賃用品申請_97年營業競賽提案報告書_97年春節保全回收報告書_Book1_1-晉欣鮮食廠-2012年春節作業體制" xfId="426"/>
    <cellStyle name="_樂清9507租賃用品申請_97年營業競賽提案報告書_97年春節保全回收報告書_春節作業手冊-981217" xfId="427"/>
    <cellStyle name="_樂清9507租賃用品申請_97年營業競賽提案報告書_97年春節保全回收報告書_春節作業手冊-981217_1-晉欣鮮食廠-2012年春節作業體制" xfId="428"/>
    <cellStyle name="_樂清9507租賃用品申請_97年營業競賽提案報告書_97年營業競賽提案報告書" xfId="429"/>
    <cellStyle name="_樂清9507租賃用品申請_97年營業競賽提案報告書_97年營業競賽提案報告書_1-晉欣鮮食廠-2012年春節作業體制" xfId="430"/>
    <cellStyle name="_樂清9507租賃用品申請_97年營業競賽提案報告書_97年營業競賽提案報告書_97年春節保全回收報告書" xfId="431"/>
    <cellStyle name="_樂清9507租賃用品申請_97年營業競賽提案報告書_97年營業競賽提案報告書_97年春節保全回收報告書_1-晉欣鮮食廠-2012年春節作業體制" xfId="432"/>
    <cellStyle name="_樂清9507租賃用品申請_97年營業競賽提案報告書_97年營業競賽提案報告書_97年春節保全回收報告書_Book1" xfId="433"/>
    <cellStyle name="_樂清9507租賃用品申請_97年營業競賽提案報告書_97年營業競賽提案報告書_97年春節保全回收報告書_Book1_1-晉欣鮮食廠-2012年春節作業體制" xfId="434"/>
    <cellStyle name="_樂清9507租賃用品申請_97年營業競賽提案報告書_97年營業競賽提案報告書_97年春節保全回收報告書_春節作業手冊-981217" xfId="435"/>
    <cellStyle name="_樂清9507租賃用品申請_97年營業競賽提案報告書_97年營業競賽提案報告書_97年春節保全回收報告書_春節作業手冊-981217_1-晉欣鮮食廠-2012年春節作業體制" xfId="436"/>
    <cellStyle name="_樂清9507租賃用品申請_97年營業競賽提案報告書_97年營業競賽提案報告書_97年營業競賽提案報告書" xfId="437"/>
    <cellStyle name="_樂清9507租賃用品申請_97年營業競賽提案報告書_97年營業競賽提案報告書_97年營業競賽提案報告書_1-晉欣鮮食廠-2012年春節作業體制" xfId="438"/>
    <cellStyle name="_樂清9507租賃用品申請_97年營業競賽提案報告書_97年營業競賽提案報告書_97年營業競賽提案報告書_97年春節保全回收報告書" xfId="439"/>
    <cellStyle name="_樂清9507租賃用品申請_97年營業競賽提案報告書_97年營業競賽提案報告書_97年營業競賽提案報告書_97年春節保全回收報告書_1-晉欣鮮食廠-2012年春節作業體制" xfId="440"/>
    <cellStyle name="_樂清9507租賃用品申請_97年營業競賽提案報告書_97年營業競賽提案報告書_97年營業競賽提案報告書_97年春節保全回收報告書_Book1" xfId="441"/>
    <cellStyle name="_樂清9507租賃用品申請_97年營業競賽提案報告書_97年營業競賽提案報告書_97年營業競賽提案報告書_97年春節保全回收報告書_Book1_1-晉欣鮮食廠-2012年春節作業體制" xfId="442"/>
    <cellStyle name="_樂清9507租賃用品申請_97年營業競賽提案報告書_97年營業競賽提案報告書_97年營業競賽提案報告書_97年春節保全回收報告書_春節作業手冊-981217" xfId="443"/>
    <cellStyle name="_樂清9507租賃用品申請_97年營業競賽提案報告書_97年營業競賽提案報告書_97年營業競賽提案報告書_97年春節保全回收報告書_春節作業手冊-981217_1-晉欣鮮食廠-2012年春節作業體制" xfId="444"/>
    <cellStyle name="_樂清9507租賃用品申請_97年營業競賽提案報告書_97年營業競賽提案報告書_97年營業競賽提案報告書_Book1" xfId="445"/>
    <cellStyle name="_樂清9507租賃用品申請_97年營業競賽提案報告書_97年營業競賽提案報告書_97年營業競賽提案報告書_Book1_1-晉欣鮮食廠-2012年春節作業體制" xfId="446"/>
    <cellStyle name="_樂清9507租賃用品申請_97年營業競賽提案報告書_97年營業競賽提案報告書_97年營業競賽提案報告書_春節作業手冊-981217" xfId="447"/>
    <cellStyle name="_樂清9507租賃用品申請_97年營業競賽提案報告書_97年營業競賽提案報告書_97年營業競賽提案報告書_春節作業手冊-981217_1-晉欣鮮食廠-2012年春節作業體制" xfId="448"/>
    <cellStyle name="_樂清9507租賃用品申請_97年營業競賽提案報告書_97年營業競賽提案報告書_Book1" xfId="449"/>
    <cellStyle name="_樂清9507租賃用品申請_97年營業競賽提案報告書_97年營業競賽提案報告書_Book1_1-晉欣鮮食廠-2012年春節作業體制" xfId="450"/>
    <cellStyle name="_樂清9507租賃用品申請_97年營業競賽提案報告書_97年營業競賽提案報告書_春節作業手冊-981217" xfId="451"/>
    <cellStyle name="_樂清9507租賃用品申請_97年營業競賽提案報告書_97年營業競賽提案報告書_春節作業手冊-981217_1-晉欣鮮食廠-2012年春節作業體制" xfId="452"/>
    <cellStyle name="_樂清9507租賃用品申請_97年營業競賽提案報告書_Book1" xfId="453"/>
    <cellStyle name="_樂清9507租賃用品申請_97年營業競賽提案報告書_Book1_1-晉欣鮮食廠-2012年春節作業體制" xfId="454"/>
    <cellStyle name="_樂清9507租賃用品申請_97年營業競賽提案報告書_春節作業手冊-981217" xfId="455"/>
    <cellStyle name="_樂清9507租賃用品申請_97年營業競賽提案報告書_春節作業手冊-981217_1-晉欣鮮食廠-2012年春節作業體制" xfId="456"/>
    <cellStyle name="_樂清9507租賃用品申請_Book1" xfId="457"/>
    <cellStyle name="_樂清9507租賃用品申請_Book1_1-晉欣鮮食廠-2012年春節作業體制" xfId="458"/>
    <cellStyle name="_樂清9507租賃用品申請_春節作業手冊-981217" xfId="459"/>
    <cellStyle name="_樂清9507租賃用品申請_春節作業手冊-981217_1-晉欣鮮食廠-2012年春節作業體制" xfId="460"/>
    <cellStyle name="Normal - Style1" xfId="461"/>
    <cellStyle name="Normal_Co-wide Monthly" xfId="462"/>
    <cellStyle name="一般" xfId="0" builtinId="0"/>
    <cellStyle name="一般 10" xfId="469"/>
    <cellStyle name="一般 10 2" xfId="470"/>
    <cellStyle name="一般 11" xfId="471"/>
    <cellStyle name="一般 12" xfId="472"/>
    <cellStyle name="一般 13" xfId="473"/>
    <cellStyle name="一般 14" xfId="474"/>
    <cellStyle name="一般 15" xfId="475"/>
    <cellStyle name="一般 15 2" xfId="476"/>
    <cellStyle name="一般 16" xfId="477"/>
    <cellStyle name="一般 17" xfId="478"/>
    <cellStyle name="一般 18" xfId="479"/>
    <cellStyle name="一般 19" xfId="480"/>
    <cellStyle name="一般 2" xfId="1"/>
    <cellStyle name="一般 2 2" xfId="481"/>
    <cellStyle name="一般 2 2 2" xfId="9"/>
    <cellStyle name="一般 2 2 2 2" xfId="482"/>
    <cellStyle name="一般 2 2 3" xfId="483"/>
    <cellStyle name="一般 2 2 30 2 2 30 2" xfId="4"/>
    <cellStyle name="一般 2 2 30 2 2 30 2 2" xfId="12"/>
    <cellStyle name="一般 2 2 30 2 2 30 2 2 2" xfId="15"/>
    <cellStyle name="一般 2 2 30 2 2 30 2 2 2 2 2" xfId="577"/>
    <cellStyle name="一般 2 2 30 2 2 30 2 2 2 2 2 2" xfId="580"/>
    <cellStyle name="一般 2 2 30 2 2 30 2 2 2 4" xfId="583"/>
    <cellStyle name="一般 2 2 30 2 2 30 2 2 3" xfId="16"/>
    <cellStyle name="一般 2 2 30 2 2 30 2 2 4" xfId="17"/>
    <cellStyle name="一般 2 2 30 2 2 30 2 3 2" xfId="578"/>
    <cellStyle name="一般 2 2 30 2 2 30 2 3 3" xfId="581"/>
    <cellStyle name="一般 2 2 30 2 3 2" xfId="6"/>
    <cellStyle name="一般 2 2 30 2 3 2 2 2" xfId="18"/>
    <cellStyle name="一般 2 2 30 2 3 2 3" xfId="579"/>
    <cellStyle name="一般 2 2 30 2 3 2 4" xfId="582"/>
    <cellStyle name="一般 2 2 30 3 30" xfId="7"/>
    <cellStyle name="一般 2 3" xfId="484"/>
    <cellStyle name="一般 2 4" xfId="485"/>
    <cellStyle name="一般 2 5" xfId="486"/>
    <cellStyle name="一般 2 6" xfId="487"/>
    <cellStyle name="一般 2 7" xfId="488"/>
    <cellStyle name="一般 2 8" xfId="489"/>
    <cellStyle name="一般 2 9" xfId="23"/>
    <cellStyle name="一般 20" xfId="490"/>
    <cellStyle name="一般 21" xfId="491"/>
    <cellStyle name="一般 22" xfId="492"/>
    <cellStyle name="一般 23" xfId="493"/>
    <cellStyle name="一般 24" xfId="21"/>
    <cellStyle name="一般 3" xfId="11"/>
    <cellStyle name="一般 3 2" xfId="494"/>
    <cellStyle name="一般 3 2 2" xfId="495"/>
    <cellStyle name="一般 3 3" xfId="496"/>
    <cellStyle name="一般 3 4" xfId="497"/>
    <cellStyle name="一般 3 5" xfId="498"/>
    <cellStyle name="一般 3 5 2" xfId="499"/>
    <cellStyle name="一般 3 6" xfId="500"/>
    <cellStyle name="一般 3 7" xfId="501"/>
    <cellStyle name="一般 3 8" xfId="463"/>
    <cellStyle name="一般 4" xfId="5"/>
    <cellStyle name="一般 4 2" xfId="502"/>
    <cellStyle name="一般 4 3" xfId="503"/>
    <cellStyle name="一般 4 4" xfId="464"/>
    <cellStyle name="一般 5" xfId="504"/>
    <cellStyle name="一般 5 2" xfId="505"/>
    <cellStyle name="一般 6" xfId="506"/>
    <cellStyle name="一般 6 2" xfId="507"/>
    <cellStyle name="一般 7" xfId="508"/>
    <cellStyle name="一般 8" xfId="509"/>
    <cellStyle name="一般 8 2" xfId="510"/>
    <cellStyle name="一般 9" xfId="511"/>
    <cellStyle name="一般 9 2" xfId="512"/>
    <cellStyle name="千分位" xfId="14" builtinId="3"/>
    <cellStyle name="千分位 2" xfId="2"/>
    <cellStyle name="千分位 2 2" xfId="514"/>
    <cellStyle name="千分位 2 3" xfId="515"/>
    <cellStyle name="千分位 2 4" xfId="516"/>
    <cellStyle name="千分位 2 5" xfId="517"/>
    <cellStyle name="千分位 2 6" xfId="518"/>
    <cellStyle name="千分位 2 7" xfId="519"/>
    <cellStyle name="千分位 2 8" xfId="513"/>
    <cellStyle name="千分位 3" xfId="19"/>
    <cellStyle name="千分位 3 2" xfId="520"/>
    <cellStyle name="千分位 4" xfId="521"/>
    <cellStyle name="千分位 5" xfId="522"/>
    <cellStyle name="千分位 5 2" xfId="523"/>
    <cellStyle name="千分位 6" xfId="524"/>
    <cellStyle name="千分位 7" xfId="525"/>
    <cellStyle name="千分位 8" xfId="526"/>
    <cellStyle name="千分位 9" xfId="576"/>
    <cellStyle name="好_1001024-晉欣重要管制流程 (3)" xfId="527"/>
    <cellStyle name="好_Sheet1" xfId="528"/>
    <cellStyle name="好_工作日報表---" xfId="529"/>
    <cellStyle name="好_晉欣重要管制流程-油炸作業" xfId="530"/>
    <cellStyle name="好_晉欣重要管制流程-原物料驗收" xfId="531"/>
    <cellStyle name="好_晉欣重要管制流程-烤箱作業" xfId="532"/>
    <cellStyle name="好_晉欣重要管制流程-理貨作業" xfId="533"/>
    <cellStyle name="好_晉欣重要管制流程-煮麵作業" xfId="534"/>
    <cellStyle name="好_晉欣重要管制流程-飯糰機操作&amp;丼飯作業&amp;三明治&amp;標籤&amp;炊飯&amp;美生菜" xfId="535"/>
    <cellStyle name="好_晉欣重要管制流程-準備室作業" xfId="536"/>
    <cellStyle name="好_晉欣重要管制流程-補料作業" xfId="537"/>
    <cellStyle name="好_配料相關一、二--------" xfId="538"/>
    <cellStyle name="百分比 2" xfId="8"/>
    <cellStyle name="百分比 2 2" xfId="10"/>
    <cellStyle name="百分比 2 2 2" xfId="20"/>
    <cellStyle name="百分比 2 2 2 2" xfId="540"/>
    <cellStyle name="百分比 2 2 3" xfId="539"/>
    <cellStyle name="百分比 2 3" xfId="541"/>
    <cellStyle name="百分比 2 4" xfId="542"/>
    <cellStyle name="百分比 2 5" xfId="24"/>
    <cellStyle name="百分比 3" xfId="3"/>
    <cellStyle name="百分比 3 2" xfId="544"/>
    <cellStyle name="百分比 3 3" xfId="545"/>
    <cellStyle name="百分比 3 4" xfId="543"/>
    <cellStyle name="百分比 4" xfId="13"/>
    <cellStyle name="百分比 4 2" xfId="547"/>
    <cellStyle name="百分比 4 2 2" xfId="548"/>
    <cellStyle name="百分比 4 2 2 2" xfId="549"/>
    <cellStyle name="百分比 4 2 3" xfId="550"/>
    <cellStyle name="百分比 4 3" xfId="551"/>
    <cellStyle name="百分比 4 3 2" xfId="552"/>
    <cellStyle name="百分比 4 3 2 2" xfId="553"/>
    <cellStyle name="百分比 4 3 2 2 2" xfId="554"/>
    <cellStyle name="百分比 4 3 2 2 2 2" xfId="555"/>
    <cellStyle name="百分比 4 3 2 2 2 2 2" xfId="556"/>
    <cellStyle name="百分比 4 4" xfId="557"/>
    <cellStyle name="百分比 4 5" xfId="546"/>
    <cellStyle name="百分比 5" xfId="558"/>
    <cellStyle name="百分比 5 2" xfId="559"/>
    <cellStyle name="百分比 5 3" xfId="560"/>
    <cellStyle name="百分比 6" xfId="561"/>
    <cellStyle name="百分比 7" xfId="22"/>
    <cellStyle name="貨幣 2" xfId="562"/>
    <cellStyle name="貨幣[0]_ AUDIT" xfId="465"/>
    <cellStyle name="超連結 2" xfId="466"/>
    <cellStyle name="標準 2_關所SOP" xfId="563"/>
    <cellStyle name="樣式 1" xfId="467"/>
    <cellStyle name="樣式 2" xfId="468"/>
    <cellStyle name="壞_1001024-晉欣重要管制流程 (3)" xfId="564"/>
    <cellStyle name="壞_Sheet1" xfId="565"/>
    <cellStyle name="壞_工作日報表---" xfId="566"/>
    <cellStyle name="壞_晉欣重要管制流程-油炸作業" xfId="567"/>
    <cellStyle name="壞_晉欣重要管制流程-原物料驗收" xfId="568"/>
    <cellStyle name="壞_晉欣重要管制流程-烤箱作業" xfId="569"/>
    <cellStyle name="壞_晉欣重要管制流程-理貨作業" xfId="570"/>
    <cellStyle name="壞_晉欣重要管制流程-煮麵作業" xfId="571"/>
    <cellStyle name="壞_晉欣重要管制流程-飯糰機操作&amp;丼飯作業&amp;三明治&amp;標籤&amp;炊飯&amp;美生菜" xfId="572"/>
    <cellStyle name="壞_晉欣重要管制流程-準備室作業" xfId="573"/>
    <cellStyle name="壞_晉欣重要管制流程-補料作業" xfId="574"/>
    <cellStyle name="壞_配料相關一、二--------" xfId="575"/>
  </cellStyles>
  <dxfs count="3"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theme="1"/>
      </font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38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66259</xdr:colOff>
      <xdr:row>15</xdr:row>
      <xdr:rowOff>74543</xdr:rowOff>
    </xdr:from>
    <xdr:to>
      <xdr:col>12</xdr:col>
      <xdr:colOff>627283</xdr:colOff>
      <xdr:row>29</xdr:row>
      <xdr:rowOff>132521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xmlns="" id="{00000000-0008-0000-1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259" y="3602934"/>
          <a:ext cx="8934741" cy="2840935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outlinePr summaryBelow="0" summaryRight="0"/>
    <pageSetUpPr fitToPage="1"/>
  </sheetPr>
  <dimension ref="A1:AA55"/>
  <sheetViews>
    <sheetView zoomScaleNormal="100" workbookViewId="0">
      <selection activeCell="E17" sqref="E17"/>
    </sheetView>
  </sheetViews>
  <sheetFormatPr defaultColWidth="12.5703125" defaultRowHeight="15.75" customHeight="1"/>
  <cols>
    <col min="1" max="2" width="12.5703125" style="2" customWidth="1"/>
    <col min="3" max="16384" width="12.5703125" style="2"/>
  </cols>
  <sheetData>
    <row r="1" spans="1:23" ht="15.75" customHeight="1">
      <c r="A1" s="1"/>
      <c r="G1" s="1"/>
      <c r="M1" s="1"/>
      <c r="S1" s="1"/>
    </row>
    <row r="2" spans="1:23" ht="15.75" customHeight="1">
      <c r="A2" s="3">
        <v>7</v>
      </c>
      <c r="B2" s="49" t="s">
        <v>73</v>
      </c>
      <c r="C2" s="48" t="s">
        <v>74</v>
      </c>
      <c r="D2" s="5" t="s">
        <v>0</v>
      </c>
      <c r="E2" s="6"/>
      <c r="G2" s="1"/>
      <c r="M2" s="1"/>
      <c r="S2" s="1"/>
    </row>
    <row r="3" spans="1:23" ht="15.75" customHeight="1">
      <c r="A3" s="1"/>
      <c r="G3" s="1"/>
      <c r="M3" s="1"/>
      <c r="S3" s="1"/>
    </row>
    <row r="4" spans="1:23" ht="15.75" customHeight="1">
      <c r="A4" s="61" t="s">
        <v>21</v>
      </c>
      <c r="B4" s="68"/>
      <c r="C4" s="68"/>
      <c r="D4" s="68"/>
      <c r="E4" s="62" t="s">
        <v>23</v>
      </c>
      <c r="G4" s="61" t="s">
        <v>71</v>
      </c>
      <c r="H4" s="68"/>
      <c r="I4" s="68"/>
      <c r="J4" s="68"/>
      <c r="K4" s="68"/>
      <c r="M4" s="61" t="s">
        <v>32</v>
      </c>
      <c r="N4" s="68"/>
      <c r="O4" s="68"/>
      <c r="P4" s="68"/>
      <c r="Q4" s="68"/>
      <c r="R4" s="68"/>
      <c r="S4" s="61" t="s">
        <v>33</v>
      </c>
      <c r="T4" s="68"/>
      <c r="U4" s="68"/>
      <c r="V4" s="68"/>
      <c r="W4" s="68"/>
    </row>
    <row r="5" spans="1:23" ht="15.75" customHeight="1">
      <c r="A5" s="7"/>
      <c r="B5" s="50" t="s">
        <v>22</v>
      </c>
      <c r="C5" s="7" t="s">
        <v>1</v>
      </c>
      <c r="D5" s="7" t="s">
        <v>2</v>
      </c>
      <c r="E5" s="7" t="s">
        <v>3</v>
      </c>
      <c r="G5" s="7"/>
      <c r="H5" s="50" t="s">
        <v>69</v>
      </c>
      <c r="I5" s="50" t="s">
        <v>70</v>
      </c>
      <c r="J5" s="50" t="s">
        <v>67</v>
      </c>
      <c r="K5" s="7" t="s">
        <v>3</v>
      </c>
      <c r="L5" s="63" t="s">
        <v>60</v>
      </c>
      <c r="M5" s="7"/>
      <c r="N5" s="50" t="s">
        <v>22</v>
      </c>
      <c r="O5" s="50" t="s">
        <v>66</v>
      </c>
      <c r="P5" s="50" t="s">
        <v>67</v>
      </c>
      <c r="Q5" s="50" t="s">
        <v>68</v>
      </c>
      <c r="R5" s="68"/>
      <c r="S5" s="7"/>
      <c r="T5" s="50" t="s">
        <v>22</v>
      </c>
      <c r="U5" s="50" t="s">
        <v>66</v>
      </c>
      <c r="V5" s="50" t="s">
        <v>67</v>
      </c>
      <c r="W5" s="50" t="s">
        <v>68</v>
      </c>
    </row>
    <row r="6" spans="1:23" ht="15.75" customHeight="1">
      <c r="A6" s="50" t="s">
        <v>24</v>
      </c>
      <c r="B6" s="9">
        <v>500000</v>
      </c>
      <c r="C6" s="9">
        <v>510000</v>
      </c>
      <c r="D6" s="10">
        <f t="shared" ref="D6:D11" si="0">B6-C6</f>
        <v>-10000</v>
      </c>
      <c r="E6" s="9">
        <f>B6+C6</f>
        <v>1010000</v>
      </c>
      <c r="G6" s="50" t="s">
        <v>30</v>
      </c>
      <c r="H6" s="11">
        <v>110</v>
      </c>
      <c r="I6" s="11">
        <v>100</v>
      </c>
      <c r="J6" s="11">
        <v>90</v>
      </c>
      <c r="K6" s="12"/>
      <c r="L6" s="63" t="s">
        <v>61</v>
      </c>
      <c r="M6" s="50" t="s">
        <v>34</v>
      </c>
      <c r="N6" s="9">
        <v>150000</v>
      </c>
      <c r="O6" s="13">
        <f t="shared" ref="O6:O13" si="1">IFERROR(N6/$B$6,"")</f>
        <v>0.3</v>
      </c>
      <c r="P6" s="14">
        <v>0.4</v>
      </c>
      <c r="Q6" s="13">
        <f t="shared" ref="Q6:Q13" si="2">IFERROR(O6-P6,"")</f>
        <v>-0.10000000000000003</v>
      </c>
      <c r="S6" s="50" t="s">
        <v>34</v>
      </c>
      <c r="T6" s="9">
        <v>35000</v>
      </c>
      <c r="U6" s="13">
        <f t="shared" ref="U6:U13" si="3">IFERROR(T6/$B$7,"")</f>
        <v>0.35</v>
      </c>
      <c r="V6" s="14">
        <v>0.3</v>
      </c>
      <c r="W6" s="13">
        <f t="shared" ref="W6:W13" si="4">IFERROR(U6-V6,"")</f>
        <v>4.9999999999999989E-2</v>
      </c>
    </row>
    <row r="7" spans="1:23" ht="15.75" customHeight="1">
      <c r="A7" s="50" t="s">
        <v>25</v>
      </c>
      <c r="B7" s="9">
        <v>100000</v>
      </c>
      <c r="C7" s="9">
        <v>110000</v>
      </c>
      <c r="D7" s="10">
        <f t="shared" si="0"/>
        <v>-10000</v>
      </c>
      <c r="E7" s="9">
        <f>B7+C7</f>
        <v>210000</v>
      </c>
      <c r="G7" s="54" t="s">
        <v>31</v>
      </c>
      <c r="H7" s="14">
        <v>0.8</v>
      </c>
      <c r="I7" s="14">
        <v>0.85</v>
      </c>
      <c r="J7" s="14">
        <v>0.81</v>
      </c>
      <c r="K7" s="14">
        <v>0.84</v>
      </c>
      <c r="L7" s="67" t="s">
        <v>4</v>
      </c>
      <c r="M7" s="50" t="s">
        <v>35</v>
      </c>
      <c r="N7" s="9">
        <v>100000</v>
      </c>
      <c r="O7" s="13">
        <f t="shared" si="1"/>
        <v>0.2</v>
      </c>
      <c r="P7" s="14">
        <v>0.15</v>
      </c>
      <c r="Q7" s="13">
        <f t="shared" si="2"/>
        <v>5.0000000000000017E-2</v>
      </c>
      <c r="S7" s="50" t="s">
        <v>35</v>
      </c>
      <c r="T7" s="9">
        <v>30000</v>
      </c>
      <c r="U7" s="13">
        <f t="shared" si="3"/>
        <v>0.3</v>
      </c>
      <c r="V7" s="14">
        <v>0.15</v>
      </c>
      <c r="W7" s="13">
        <f t="shared" si="4"/>
        <v>0.15</v>
      </c>
    </row>
    <row r="8" spans="1:23" ht="15.75" customHeight="1">
      <c r="A8" s="7" t="s">
        <v>5</v>
      </c>
      <c r="B8" s="9">
        <v>250000</v>
      </c>
      <c r="C8" s="9">
        <v>260000</v>
      </c>
      <c r="D8" s="10">
        <f t="shared" si="0"/>
        <v>-10000</v>
      </c>
      <c r="E8" s="9">
        <f>B8+C8</f>
        <v>510000</v>
      </c>
      <c r="G8" s="50" t="s">
        <v>26</v>
      </c>
      <c r="H8" s="14">
        <v>2.5000000000000001E-3</v>
      </c>
      <c r="I8" s="14">
        <v>2.3999999999999998E-3</v>
      </c>
      <c r="J8" s="14">
        <v>2.3E-3</v>
      </c>
      <c r="K8" s="14">
        <v>2.3500000000000001E-3</v>
      </c>
      <c r="L8" s="63" t="s">
        <v>55</v>
      </c>
      <c r="M8" s="50" t="s">
        <v>36</v>
      </c>
      <c r="N8" s="9">
        <v>160000</v>
      </c>
      <c r="O8" s="13">
        <f t="shared" si="1"/>
        <v>0.32</v>
      </c>
      <c r="P8" s="14">
        <v>0.28000000000000003</v>
      </c>
      <c r="Q8" s="13">
        <f t="shared" si="2"/>
        <v>3.999999999999998E-2</v>
      </c>
      <c r="S8" s="50" t="s">
        <v>36</v>
      </c>
      <c r="T8" s="9">
        <v>20000</v>
      </c>
      <c r="U8" s="13">
        <f t="shared" si="3"/>
        <v>0.2</v>
      </c>
      <c r="V8" s="14">
        <v>0.28000000000000003</v>
      </c>
      <c r="W8" s="13">
        <f t="shared" si="4"/>
        <v>-8.0000000000000016E-2</v>
      </c>
    </row>
    <row r="9" spans="1:23" ht="15.75" customHeight="1">
      <c r="A9" s="7" t="s">
        <v>6</v>
      </c>
      <c r="B9" s="14">
        <f>B8/B6</f>
        <v>0.5</v>
      </c>
      <c r="C9" s="14">
        <f>C8/C6</f>
        <v>0.50980392156862742</v>
      </c>
      <c r="D9" s="13">
        <f t="shared" si="0"/>
        <v>-9.8039215686274161E-3</v>
      </c>
      <c r="E9" s="14">
        <f>(B9+C9)/2</f>
        <v>0.50490196078431371</v>
      </c>
      <c r="G9" s="50" t="s">
        <v>27</v>
      </c>
      <c r="H9" s="14">
        <v>6.0000000000000001E-3</v>
      </c>
      <c r="I9" s="14">
        <v>8.9999999999999993E-3</v>
      </c>
      <c r="J9" s="14">
        <v>9.4999999999999998E-3</v>
      </c>
      <c r="K9" s="14">
        <v>9.1999999999999998E-3</v>
      </c>
      <c r="L9" s="63" t="s">
        <v>104</v>
      </c>
      <c r="M9" s="50" t="s">
        <v>44</v>
      </c>
      <c r="N9" s="9">
        <v>90000</v>
      </c>
      <c r="O9" s="13">
        <f t="shared" si="1"/>
        <v>0.18</v>
      </c>
      <c r="P9" s="14">
        <v>0.17</v>
      </c>
      <c r="Q9" s="13">
        <f t="shared" si="2"/>
        <v>9.9999999999999811E-3</v>
      </c>
      <c r="S9" s="50" t="s">
        <v>44</v>
      </c>
      <c r="T9" s="9">
        <v>15000</v>
      </c>
      <c r="U9" s="13">
        <f t="shared" si="3"/>
        <v>0.15</v>
      </c>
      <c r="V9" s="14">
        <v>0.27</v>
      </c>
      <c r="W9" s="13">
        <f t="shared" si="4"/>
        <v>-0.12000000000000002</v>
      </c>
    </row>
    <row r="10" spans="1:23" ht="15.75" customHeight="1">
      <c r="A10" s="50" t="s">
        <v>64</v>
      </c>
      <c r="B10" s="9">
        <v>100000</v>
      </c>
      <c r="C10" s="9">
        <v>105000</v>
      </c>
      <c r="D10" s="10">
        <f t="shared" si="0"/>
        <v>-5000</v>
      </c>
      <c r="E10" s="9">
        <f>B10+C10</f>
        <v>205000</v>
      </c>
      <c r="G10" s="50" t="s">
        <v>28</v>
      </c>
      <c r="H10" s="14">
        <v>0.95</v>
      </c>
      <c r="I10" s="14">
        <v>0.9</v>
      </c>
      <c r="J10" s="14">
        <v>0.92</v>
      </c>
      <c r="K10" s="14">
        <v>0.91</v>
      </c>
      <c r="L10" s="67" t="s">
        <v>7</v>
      </c>
      <c r="M10" s="50" t="s">
        <v>37</v>
      </c>
      <c r="N10" s="9" t="s">
        <v>8</v>
      </c>
      <c r="O10" s="13" t="str">
        <f t="shared" si="1"/>
        <v/>
      </c>
      <c r="P10" s="4" t="s">
        <v>9</v>
      </c>
      <c r="Q10" s="13" t="str">
        <f t="shared" si="2"/>
        <v/>
      </c>
      <c r="S10" s="50" t="s">
        <v>37</v>
      </c>
      <c r="T10" s="9" t="s">
        <v>8</v>
      </c>
      <c r="U10" s="13" t="str">
        <f t="shared" si="3"/>
        <v/>
      </c>
      <c r="V10" s="4" t="s">
        <v>9</v>
      </c>
      <c r="W10" s="13" t="str">
        <f t="shared" si="4"/>
        <v/>
      </c>
    </row>
    <row r="11" spans="1:23" ht="15.75" customHeight="1">
      <c r="A11" s="50" t="s">
        <v>65</v>
      </c>
      <c r="B11" s="14">
        <f>B10/B6</f>
        <v>0.2</v>
      </c>
      <c r="C11" s="14">
        <f>C10/C6</f>
        <v>0.20588235294117646</v>
      </c>
      <c r="D11" s="13">
        <f t="shared" si="0"/>
        <v>-5.8823529411764497E-3</v>
      </c>
      <c r="E11" s="14">
        <f>(B11+C11)/2</f>
        <v>0.20294117647058824</v>
      </c>
      <c r="G11" s="50" t="s">
        <v>29</v>
      </c>
      <c r="H11" s="14">
        <v>0.8</v>
      </c>
      <c r="I11" s="14">
        <v>0.85</v>
      </c>
      <c r="J11" s="14">
        <v>1</v>
      </c>
      <c r="K11" s="14">
        <v>0.92</v>
      </c>
      <c r="L11" s="63" t="s">
        <v>62</v>
      </c>
      <c r="M11" s="50" t="s">
        <v>38</v>
      </c>
      <c r="N11" s="9" t="s">
        <v>8</v>
      </c>
      <c r="O11" s="13" t="str">
        <f t="shared" si="1"/>
        <v/>
      </c>
      <c r="P11" s="4" t="s">
        <v>9</v>
      </c>
      <c r="Q11" s="13" t="str">
        <f t="shared" si="2"/>
        <v/>
      </c>
      <c r="S11" s="50" t="s">
        <v>38</v>
      </c>
      <c r="T11" s="9" t="s">
        <v>8</v>
      </c>
      <c r="U11" s="13" t="str">
        <f t="shared" si="3"/>
        <v/>
      </c>
      <c r="V11" s="4" t="s">
        <v>9</v>
      </c>
      <c r="W11" s="13" t="str">
        <f t="shared" si="4"/>
        <v/>
      </c>
    </row>
    <row r="12" spans="1:23" ht="15.75" customHeight="1">
      <c r="M12" s="50" t="s">
        <v>39</v>
      </c>
      <c r="N12" s="9" t="s">
        <v>8</v>
      </c>
      <c r="O12" s="13" t="str">
        <f t="shared" si="1"/>
        <v/>
      </c>
      <c r="P12" s="4" t="s">
        <v>9</v>
      </c>
      <c r="Q12" s="13" t="str">
        <f t="shared" si="2"/>
        <v/>
      </c>
      <c r="S12" s="50" t="s">
        <v>39</v>
      </c>
      <c r="T12" s="9" t="s">
        <v>8</v>
      </c>
      <c r="U12" s="13" t="str">
        <f t="shared" si="3"/>
        <v/>
      </c>
      <c r="V12" s="4" t="s">
        <v>9</v>
      </c>
      <c r="W12" s="13" t="str">
        <f t="shared" si="4"/>
        <v/>
      </c>
    </row>
    <row r="13" spans="1:23" ht="15.75" customHeight="1">
      <c r="A13" s="61" t="s">
        <v>63</v>
      </c>
      <c r="B13" s="68"/>
      <c r="C13" s="68"/>
      <c r="D13" s="68"/>
      <c r="E13" s="68"/>
      <c r="F13" s="68"/>
      <c r="G13" s="47"/>
      <c r="H13" s="47"/>
      <c r="I13" s="47"/>
      <c r="J13" s="47"/>
      <c r="K13" s="47"/>
      <c r="M13" s="50" t="s">
        <v>40</v>
      </c>
      <c r="N13" s="9" t="s">
        <v>8</v>
      </c>
      <c r="O13" s="13" t="str">
        <f t="shared" si="1"/>
        <v/>
      </c>
      <c r="P13" s="4" t="s">
        <v>9</v>
      </c>
      <c r="Q13" s="13" t="str">
        <f t="shared" si="2"/>
        <v/>
      </c>
      <c r="S13" s="50" t="s">
        <v>40</v>
      </c>
      <c r="T13" s="9" t="s">
        <v>8</v>
      </c>
      <c r="U13" s="13" t="str">
        <f t="shared" si="3"/>
        <v/>
      </c>
      <c r="V13" s="4" t="s">
        <v>9</v>
      </c>
      <c r="W13" s="13" t="str">
        <f t="shared" si="4"/>
        <v/>
      </c>
    </row>
    <row r="14" spans="1:23" ht="12.75">
      <c r="A14" s="7"/>
      <c r="B14" s="50" t="s">
        <v>22</v>
      </c>
      <c r="C14" s="7" t="s">
        <v>1</v>
      </c>
      <c r="D14" s="7" t="s">
        <v>2</v>
      </c>
      <c r="E14" s="7" t="s">
        <v>3</v>
      </c>
      <c r="F14" s="68"/>
      <c r="G14" s="7"/>
      <c r="H14" s="50" t="s">
        <v>22</v>
      </c>
      <c r="I14" s="7" t="s">
        <v>1</v>
      </c>
      <c r="J14" s="7" t="s">
        <v>2</v>
      </c>
      <c r="K14" s="7" t="s">
        <v>3</v>
      </c>
      <c r="O14" s="15">
        <f>SUM(O6:O13)</f>
        <v>1</v>
      </c>
      <c r="P14" s="15">
        <f>SUM(P6:P13)</f>
        <v>1</v>
      </c>
      <c r="U14" s="15">
        <f>SUM(U6:U13)</f>
        <v>0.99999999999999989</v>
      </c>
      <c r="V14" s="15">
        <f>SUM(V6:V13)</f>
        <v>1</v>
      </c>
    </row>
    <row r="15" spans="1:23" ht="15.75" customHeight="1">
      <c r="A15" s="50" t="s">
        <v>34</v>
      </c>
      <c r="B15" s="4">
        <v>600</v>
      </c>
      <c r="C15" s="4">
        <v>660</v>
      </c>
      <c r="D15" s="16">
        <f>B15-C15</f>
        <v>-60</v>
      </c>
      <c r="E15" s="17">
        <f>(B15+C15)/2</f>
        <v>630</v>
      </c>
      <c r="G15" s="50" t="s">
        <v>37</v>
      </c>
      <c r="H15" s="4"/>
      <c r="I15" s="4"/>
      <c r="J15" s="16">
        <f>H15-I15</f>
        <v>0</v>
      </c>
      <c r="K15" s="17"/>
      <c r="M15" s="61" t="s">
        <v>72</v>
      </c>
      <c r="N15" s="68"/>
      <c r="O15" s="68"/>
      <c r="P15" s="68"/>
      <c r="Q15" s="68"/>
      <c r="R15" s="68"/>
      <c r="S15" s="68"/>
    </row>
    <row r="16" spans="1:23" ht="15.75" customHeight="1">
      <c r="A16" s="50" t="s">
        <v>35</v>
      </c>
      <c r="B16" s="4">
        <v>800</v>
      </c>
      <c r="C16" s="4">
        <v>780</v>
      </c>
      <c r="D16" s="16">
        <f>B16-C16</f>
        <v>20</v>
      </c>
      <c r="E16" s="17">
        <f>(B16+C16)/2</f>
        <v>790</v>
      </c>
      <c r="G16" s="50" t="s">
        <v>38</v>
      </c>
      <c r="H16" s="4"/>
      <c r="I16" s="4"/>
      <c r="J16" s="16">
        <f>H16-I16</f>
        <v>0</v>
      </c>
      <c r="K16" s="17"/>
      <c r="M16" s="18"/>
      <c r="N16" s="46" t="s">
        <v>10</v>
      </c>
      <c r="O16" s="19"/>
      <c r="P16" s="59" t="s">
        <v>42</v>
      </c>
      <c r="Q16" s="19"/>
      <c r="R16" s="52" t="s">
        <v>43</v>
      </c>
      <c r="S16" s="19"/>
    </row>
    <row r="17" spans="1:27" ht="15.75" customHeight="1">
      <c r="A17" s="50" t="s">
        <v>36</v>
      </c>
      <c r="B17" s="4">
        <v>130</v>
      </c>
      <c r="C17" s="4">
        <v>111</v>
      </c>
      <c r="D17" s="16">
        <f>B17-C17</f>
        <v>19</v>
      </c>
      <c r="E17" s="17">
        <f>(B17+C17)/2</f>
        <v>120.5</v>
      </c>
      <c r="G17" s="50" t="s">
        <v>39</v>
      </c>
      <c r="H17" s="4"/>
      <c r="I17" s="4"/>
      <c r="J17" s="16">
        <f>H17-I17</f>
        <v>0</v>
      </c>
      <c r="K17" s="17"/>
      <c r="M17" s="20"/>
      <c r="N17" s="21" t="s">
        <v>11</v>
      </c>
      <c r="O17" s="51" t="s">
        <v>41</v>
      </c>
      <c r="P17" s="8" t="s">
        <v>11</v>
      </c>
      <c r="Q17" s="51" t="s">
        <v>41</v>
      </c>
      <c r="R17" s="8" t="s">
        <v>11</v>
      </c>
      <c r="S17" s="51" t="s">
        <v>41</v>
      </c>
    </row>
    <row r="18" spans="1:27" ht="15.75" customHeight="1">
      <c r="A18" s="50" t="s">
        <v>44</v>
      </c>
      <c r="B18" s="4">
        <v>140</v>
      </c>
      <c r="C18" s="4">
        <v>165</v>
      </c>
      <c r="D18" s="16">
        <f>B18-C18</f>
        <v>-25</v>
      </c>
      <c r="E18" s="17">
        <f>(B18+C18)/2</f>
        <v>152.5</v>
      </c>
      <c r="G18" s="50" t="s">
        <v>40</v>
      </c>
      <c r="H18" s="4"/>
      <c r="I18" s="4"/>
      <c r="J18" s="16">
        <f>H18-I18</f>
        <v>0</v>
      </c>
      <c r="K18" s="17"/>
      <c r="M18" s="50" t="s">
        <v>26</v>
      </c>
      <c r="N18" s="9">
        <v>1200</v>
      </c>
      <c r="O18" s="13">
        <f>N18/$B$6</f>
        <v>2.3999999999999998E-3</v>
      </c>
      <c r="P18" s="9">
        <v>900</v>
      </c>
      <c r="Q18" s="13">
        <f>IFERROR(P18/$B$6,"")</f>
        <v>1.8E-3</v>
      </c>
      <c r="R18" s="9">
        <v>300</v>
      </c>
      <c r="S18" s="13">
        <f>IFERROR(R18/$B$6,"")</f>
        <v>5.9999999999999995E-4</v>
      </c>
    </row>
    <row r="19" spans="1:27" ht="15.75" customHeight="1">
      <c r="M19" s="50" t="s">
        <v>27</v>
      </c>
      <c r="N19" s="9">
        <v>4500</v>
      </c>
      <c r="O19" s="13">
        <f>N19/$B$6</f>
        <v>8.9999999999999993E-3</v>
      </c>
      <c r="P19" s="9">
        <v>3500</v>
      </c>
      <c r="Q19" s="13">
        <f>IFERROR(P19/$B$6,"")</f>
        <v>7.0000000000000001E-3</v>
      </c>
      <c r="R19" s="9">
        <v>1000</v>
      </c>
      <c r="S19" s="13">
        <f>IFERROR(R19/$B$6,"")</f>
        <v>2E-3</v>
      </c>
    </row>
    <row r="20" spans="1:27" ht="15.75" customHeight="1">
      <c r="A20" s="61" t="s">
        <v>45</v>
      </c>
      <c r="B20" s="68"/>
      <c r="C20" s="64"/>
      <c r="D20" s="68"/>
      <c r="E20" s="68"/>
      <c r="F20" s="64"/>
      <c r="G20" s="64"/>
      <c r="H20" s="64"/>
      <c r="I20" s="64"/>
      <c r="J20" s="68"/>
      <c r="K20" s="68"/>
    </row>
    <row r="21" spans="1:27" ht="15.75" customHeight="1">
      <c r="A21" s="18"/>
      <c r="B21" s="50" t="s">
        <v>47</v>
      </c>
      <c r="C21" s="586" t="s">
        <v>12</v>
      </c>
      <c r="D21" s="584"/>
      <c r="E21" s="585"/>
      <c r="F21" s="50" t="s">
        <v>46</v>
      </c>
      <c r="G21" s="50" t="s">
        <v>48</v>
      </c>
      <c r="H21" s="50" t="s">
        <v>49</v>
      </c>
      <c r="I21" s="8" t="s">
        <v>13</v>
      </c>
      <c r="J21" s="599" t="s">
        <v>51</v>
      </c>
      <c r="K21" s="585"/>
      <c r="M21" s="61" t="s">
        <v>52</v>
      </c>
      <c r="N21" s="68"/>
      <c r="O21" s="64"/>
      <c r="P21" s="68"/>
      <c r="Q21" s="68"/>
      <c r="R21" s="64"/>
      <c r="S21" s="64"/>
      <c r="T21" s="64"/>
      <c r="U21" s="64"/>
      <c r="V21" s="64"/>
      <c r="W21" s="64"/>
      <c r="X21" s="64"/>
      <c r="Y21" s="64"/>
      <c r="Z21" s="68"/>
      <c r="AA21" s="68"/>
    </row>
    <row r="22" spans="1:27" ht="15.75" customHeight="1">
      <c r="A22" s="53" t="s">
        <v>34</v>
      </c>
      <c r="B22" s="6">
        <v>1</v>
      </c>
      <c r="C22" s="588" t="s">
        <v>14</v>
      </c>
      <c r="D22" s="584"/>
      <c r="E22" s="585"/>
      <c r="F22" s="4">
        <v>3</v>
      </c>
      <c r="G22" s="4">
        <v>3000</v>
      </c>
      <c r="H22" s="4">
        <v>1000</v>
      </c>
      <c r="I22" s="4">
        <v>10</v>
      </c>
      <c r="J22" s="587" t="s">
        <v>76</v>
      </c>
      <c r="K22" s="585"/>
      <c r="M22" s="53" t="s">
        <v>26</v>
      </c>
      <c r="N22" s="58" t="s">
        <v>47</v>
      </c>
      <c r="O22" s="594" t="s">
        <v>12</v>
      </c>
      <c r="P22" s="584"/>
      <c r="Q22" s="585"/>
      <c r="R22" s="600" t="s">
        <v>53</v>
      </c>
      <c r="S22" s="584"/>
      <c r="T22" s="585"/>
      <c r="U22" s="58" t="s">
        <v>54</v>
      </c>
      <c r="V22" s="58" t="s">
        <v>55</v>
      </c>
      <c r="W22" s="58" t="s">
        <v>56</v>
      </c>
      <c r="X22" s="8" t="s">
        <v>11</v>
      </c>
      <c r="Y22" s="8" t="s">
        <v>13</v>
      </c>
      <c r="Z22" s="599" t="s">
        <v>51</v>
      </c>
      <c r="AA22" s="585"/>
    </row>
    <row r="23" spans="1:27" ht="15.75" customHeight="1">
      <c r="A23" s="23"/>
      <c r="B23" s="6">
        <v>2</v>
      </c>
      <c r="C23" s="583"/>
      <c r="D23" s="584"/>
      <c r="E23" s="585"/>
      <c r="F23" s="4"/>
      <c r="G23" s="4"/>
      <c r="H23" s="4"/>
      <c r="I23" s="4"/>
      <c r="J23" s="583"/>
      <c r="K23" s="585"/>
      <c r="M23" s="57" t="s">
        <v>42</v>
      </c>
      <c r="N23" s="24">
        <v>1</v>
      </c>
      <c r="O23" s="587" t="s">
        <v>82</v>
      </c>
      <c r="P23" s="584"/>
      <c r="Q23" s="585"/>
      <c r="R23" s="587" t="s">
        <v>85</v>
      </c>
      <c r="S23" s="584"/>
      <c r="T23" s="585"/>
      <c r="U23" s="4">
        <v>10</v>
      </c>
      <c r="V23" s="14">
        <v>0.15</v>
      </c>
      <c r="W23" s="4">
        <v>10</v>
      </c>
      <c r="X23" s="16">
        <f>W23*U23</f>
        <v>100</v>
      </c>
      <c r="Y23" s="4">
        <v>80</v>
      </c>
      <c r="Z23" s="587" t="s">
        <v>86</v>
      </c>
      <c r="AA23" s="585"/>
    </row>
    <row r="24" spans="1:27" ht="15.75" customHeight="1">
      <c r="A24" s="23"/>
      <c r="B24" s="6">
        <v>3</v>
      </c>
      <c r="C24" s="583"/>
      <c r="D24" s="584"/>
      <c r="E24" s="585"/>
      <c r="F24" s="4"/>
      <c r="G24" s="4"/>
      <c r="H24" s="4"/>
      <c r="I24" s="4"/>
      <c r="J24" s="583"/>
      <c r="K24" s="585"/>
      <c r="M24" s="25"/>
      <c r="N24" s="24">
        <v>2</v>
      </c>
      <c r="O24" s="588"/>
      <c r="P24" s="584"/>
      <c r="Q24" s="585"/>
      <c r="R24" s="588"/>
      <c r="S24" s="584"/>
      <c r="T24" s="585"/>
      <c r="U24" s="4"/>
      <c r="V24" s="14"/>
      <c r="W24" s="4"/>
      <c r="X24" s="16">
        <f>W24*U24</f>
        <v>0</v>
      </c>
      <c r="Y24" s="4"/>
      <c r="Z24" s="588"/>
      <c r="AA24" s="585"/>
    </row>
    <row r="25" spans="1:27" ht="15.75" customHeight="1">
      <c r="A25" s="23"/>
      <c r="B25" s="6">
        <v>4</v>
      </c>
      <c r="C25" s="583"/>
      <c r="D25" s="584"/>
      <c r="E25" s="585"/>
      <c r="F25" s="4"/>
      <c r="G25" s="4"/>
      <c r="H25" s="4"/>
      <c r="I25" s="4"/>
      <c r="J25" s="583"/>
      <c r="K25" s="585"/>
      <c r="M25" s="25"/>
      <c r="N25" s="24">
        <v>3</v>
      </c>
      <c r="O25" s="588"/>
      <c r="P25" s="584"/>
      <c r="Q25" s="585"/>
      <c r="R25" s="588"/>
      <c r="S25" s="584"/>
      <c r="T25" s="585"/>
      <c r="U25" s="4"/>
      <c r="V25" s="14"/>
      <c r="W25" s="4"/>
      <c r="X25" s="16">
        <f>W25*U25</f>
        <v>0</v>
      </c>
      <c r="Y25" s="4"/>
      <c r="Z25" s="588"/>
      <c r="AA25" s="585"/>
    </row>
    <row r="26" spans="1:27" ht="15.75" customHeight="1">
      <c r="A26" s="23"/>
      <c r="B26" s="26">
        <v>5</v>
      </c>
      <c r="C26" s="597"/>
      <c r="D26" s="593"/>
      <c r="E26" s="590"/>
      <c r="F26" s="27"/>
      <c r="G26" s="27"/>
      <c r="H26" s="27"/>
      <c r="I26" s="27"/>
      <c r="J26" s="597"/>
      <c r="K26" s="590"/>
      <c r="M26" s="25"/>
      <c r="N26" s="24">
        <v>4</v>
      </c>
      <c r="O26" s="588"/>
      <c r="P26" s="584"/>
      <c r="Q26" s="585"/>
      <c r="R26" s="588"/>
      <c r="S26" s="584"/>
      <c r="T26" s="585"/>
      <c r="U26" s="4"/>
      <c r="V26" s="14"/>
      <c r="W26" s="4"/>
      <c r="X26" s="16">
        <f>W26*U26</f>
        <v>0</v>
      </c>
      <c r="Y26" s="4"/>
      <c r="Z26" s="588"/>
      <c r="AA26" s="585"/>
    </row>
    <row r="27" spans="1:27" ht="15.75" customHeight="1">
      <c r="A27" s="23"/>
      <c r="B27" s="70" t="s">
        <v>101</v>
      </c>
      <c r="C27" s="591" t="s">
        <v>75</v>
      </c>
      <c r="D27" s="598"/>
      <c r="E27" s="592"/>
      <c r="F27" s="28">
        <v>4</v>
      </c>
      <c r="G27" s="28">
        <v>2800</v>
      </c>
      <c r="H27" s="28">
        <v>700</v>
      </c>
      <c r="I27" s="28" t="s">
        <v>15</v>
      </c>
      <c r="J27" s="591" t="s">
        <v>77</v>
      </c>
      <c r="K27" s="592"/>
      <c r="M27" s="25"/>
      <c r="N27" s="29">
        <v>5</v>
      </c>
      <c r="O27" s="589"/>
      <c r="P27" s="593"/>
      <c r="Q27" s="590"/>
      <c r="R27" s="589"/>
      <c r="S27" s="593"/>
      <c r="T27" s="590"/>
      <c r="U27" s="27"/>
      <c r="V27" s="30"/>
      <c r="W27" s="27"/>
      <c r="X27" s="31">
        <f>W27*U27</f>
        <v>0</v>
      </c>
      <c r="Y27" s="4"/>
      <c r="Z27" s="589"/>
      <c r="AA27" s="590"/>
    </row>
    <row r="28" spans="1:27" ht="15.75" customHeight="1">
      <c r="A28" s="23"/>
      <c r="B28" s="71" t="s">
        <v>102</v>
      </c>
      <c r="C28" s="583"/>
      <c r="D28" s="584"/>
      <c r="E28" s="585"/>
      <c r="F28" s="4"/>
      <c r="G28" s="4"/>
      <c r="H28" s="4"/>
      <c r="I28" s="4"/>
      <c r="J28" s="583"/>
      <c r="K28" s="585"/>
      <c r="M28" s="32"/>
      <c r="N28" s="56"/>
      <c r="O28" s="595"/>
      <c r="P28" s="584"/>
      <c r="Q28" s="584"/>
      <c r="R28" s="595"/>
      <c r="S28" s="584"/>
      <c r="T28" s="584"/>
      <c r="U28" s="60" t="s">
        <v>58</v>
      </c>
      <c r="V28" s="33">
        <f>X28/N18</f>
        <v>8.3333333333333329E-2</v>
      </c>
      <c r="W28" s="60" t="s">
        <v>59</v>
      </c>
      <c r="X28" s="34">
        <f>SUM(X23:X27)</f>
        <v>100</v>
      </c>
      <c r="Y28" s="45"/>
      <c r="Z28" s="595"/>
      <c r="AA28" s="585"/>
    </row>
    <row r="29" spans="1:27" ht="15.75" customHeight="1">
      <c r="A29" s="23"/>
      <c r="B29" s="71" t="s">
        <v>100</v>
      </c>
      <c r="C29" s="583"/>
      <c r="D29" s="584"/>
      <c r="E29" s="585"/>
      <c r="F29" s="4"/>
      <c r="G29" s="4"/>
      <c r="H29" s="4"/>
      <c r="I29" s="4"/>
      <c r="J29" s="583"/>
      <c r="K29" s="585"/>
      <c r="M29" s="57" t="s">
        <v>43</v>
      </c>
      <c r="N29" s="24">
        <v>1</v>
      </c>
      <c r="O29" s="608" t="s">
        <v>16</v>
      </c>
      <c r="P29" s="604"/>
      <c r="Q29" s="605"/>
      <c r="R29" s="603" t="s">
        <v>87</v>
      </c>
      <c r="S29" s="604"/>
      <c r="T29" s="605"/>
      <c r="U29" s="35">
        <v>5.55</v>
      </c>
      <c r="V29" s="36">
        <v>0.21</v>
      </c>
      <c r="W29" s="35">
        <v>50</v>
      </c>
      <c r="X29" s="37">
        <f>W29*U29</f>
        <v>277.5</v>
      </c>
      <c r="Y29" s="4">
        <v>35</v>
      </c>
      <c r="Z29" s="603" t="s">
        <v>88</v>
      </c>
      <c r="AA29" s="605"/>
    </row>
    <row r="30" spans="1:27" ht="15.75" customHeight="1">
      <c r="A30" s="23"/>
      <c r="B30" s="71" t="s">
        <v>99</v>
      </c>
      <c r="C30" s="583"/>
      <c r="D30" s="584"/>
      <c r="E30" s="585"/>
      <c r="F30" s="4"/>
      <c r="G30" s="4"/>
      <c r="H30" s="4"/>
      <c r="I30" s="4"/>
      <c r="J30" s="583"/>
      <c r="K30" s="585"/>
      <c r="M30" s="25"/>
      <c r="N30" s="24">
        <v>2</v>
      </c>
      <c r="O30" s="588"/>
      <c r="P30" s="584"/>
      <c r="Q30" s="585"/>
      <c r="R30" s="588"/>
      <c r="S30" s="584"/>
      <c r="T30" s="585"/>
      <c r="U30" s="4"/>
      <c r="V30" s="14"/>
      <c r="W30" s="4"/>
      <c r="X30" s="16">
        <f>W30*U30</f>
        <v>0</v>
      </c>
      <c r="Y30" s="4"/>
      <c r="Z30" s="588"/>
      <c r="AA30" s="585"/>
    </row>
    <row r="31" spans="1:27" ht="15.75" customHeight="1">
      <c r="A31" s="20"/>
      <c r="B31" s="71" t="s">
        <v>103</v>
      </c>
      <c r="C31" s="583"/>
      <c r="D31" s="584"/>
      <c r="E31" s="585"/>
      <c r="F31" s="4"/>
      <c r="G31" s="4"/>
      <c r="H31" s="4"/>
      <c r="I31" s="4"/>
      <c r="J31" s="583"/>
      <c r="K31" s="585"/>
      <c r="M31" s="25"/>
      <c r="N31" s="24">
        <v>3</v>
      </c>
      <c r="O31" s="588"/>
      <c r="P31" s="584"/>
      <c r="Q31" s="585"/>
      <c r="R31" s="588"/>
      <c r="S31" s="584"/>
      <c r="T31" s="585"/>
      <c r="U31" s="4"/>
      <c r="V31" s="14"/>
      <c r="W31" s="4"/>
      <c r="X31" s="16">
        <f>W31*U31</f>
        <v>0</v>
      </c>
      <c r="Y31" s="4"/>
      <c r="Z31" s="588"/>
      <c r="AA31" s="585"/>
    </row>
    <row r="32" spans="1:27" ht="15.75" customHeight="1">
      <c r="A32" s="68"/>
      <c r="M32" s="25"/>
      <c r="N32" s="24">
        <v>4</v>
      </c>
      <c r="O32" s="588"/>
      <c r="P32" s="584"/>
      <c r="Q32" s="585"/>
      <c r="R32" s="588"/>
      <c r="S32" s="584"/>
      <c r="T32" s="585"/>
      <c r="U32" s="4"/>
      <c r="V32" s="14"/>
      <c r="W32" s="4"/>
      <c r="X32" s="16">
        <f>W32*U32</f>
        <v>0</v>
      </c>
      <c r="Y32" s="4"/>
      <c r="Z32" s="588"/>
      <c r="AA32" s="585"/>
    </row>
    <row r="33" spans="1:27" ht="15.75" customHeight="1">
      <c r="A33" s="18"/>
      <c r="B33" s="50" t="s">
        <v>47</v>
      </c>
      <c r="C33" s="586" t="s">
        <v>12</v>
      </c>
      <c r="D33" s="584"/>
      <c r="E33" s="585"/>
      <c r="F33" s="50" t="s">
        <v>46</v>
      </c>
      <c r="G33" s="50" t="s">
        <v>48</v>
      </c>
      <c r="H33" s="50" t="s">
        <v>49</v>
      </c>
      <c r="I33" s="8" t="s">
        <v>13</v>
      </c>
      <c r="J33" s="599" t="s">
        <v>51</v>
      </c>
      <c r="K33" s="585"/>
      <c r="M33" s="25"/>
      <c r="N33" s="29">
        <v>5</v>
      </c>
      <c r="O33" s="588"/>
      <c r="P33" s="584"/>
      <c r="Q33" s="585"/>
      <c r="R33" s="588"/>
      <c r="S33" s="584"/>
      <c r="T33" s="585"/>
      <c r="U33" s="27"/>
      <c r="V33" s="30"/>
      <c r="W33" s="27"/>
      <c r="X33" s="31">
        <f>W33*U33</f>
        <v>0</v>
      </c>
      <c r="Y33" s="4"/>
      <c r="Z33" s="588"/>
      <c r="AA33" s="585"/>
    </row>
    <row r="34" spans="1:27" ht="15.75" customHeight="1">
      <c r="A34" s="53" t="s">
        <v>35</v>
      </c>
      <c r="B34" s="6">
        <v>1</v>
      </c>
      <c r="C34" s="587" t="s">
        <v>79</v>
      </c>
      <c r="D34" s="584"/>
      <c r="E34" s="585"/>
      <c r="F34" s="4">
        <v>3</v>
      </c>
      <c r="G34" s="4">
        <v>2500</v>
      </c>
      <c r="H34" s="4">
        <v>833.33</v>
      </c>
      <c r="I34" s="4">
        <v>20</v>
      </c>
      <c r="J34" s="587" t="s">
        <v>78</v>
      </c>
      <c r="K34" s="585"/>
      <c r="M34" s="69"/>
      <c r="N34" s="45"/>
      <c r="O34" s="595"/>
      <c r="P34" s="584"/>
      <c r="Q34" s="584"/>
      <c r="R34" s="595"/>
      <c r="S34" s="584"/>
      <c r="T34" s="584"/>
      <c r="U34" s="60" t="s">
        <v>58</v>
      </c>
      <c r="V34" s="33">
        <f>X34/N18</f>
        <v>0.23125000000000001</v>
      </c>
      <c r="W34" s="60" t="s">
        <v>59</v>
      </c>
      <c r="X34" s="34">
        <f>SUM(X29:X33)</f>
        <v>277.5</v>
      </c>
      <c r="Y34" s="45"/>
      <c r="Z34" s="595"/>
      <c r="AA34" s="585"/>
    </row>
    <row r="35" spans="1:27" ht="15.75" customHeight="1">
      <c r="A35" s="23"/>
      <c r="B35" s="6">
        <v>2</v>
      </c>
      <c r="C35" s="588"/>
      <c r="D35" s="584"/>
      <c r="E35" s="585"/>
      <c r="F35" s="4"/>
      <c r="G35" s="4"/>
      <c r="H35" s="4"/>
      <c r="I35" s="4"/>
      <c r="J35" s="588"/>
      <c r="K35" s="585"/>
      <c r="M35" s="1"/>
      <c r="N35" s="1"/>
      <c r="O35" s="606"/>
      <c r="P35" s="607"/>
      <c r="Q35" s="607"/>
      <c r="R35" s="606"/>
      <c r="S35" s="607"/>
      <c r="T35" s="607"/>
      <c r="U35" s="1"/>
      <c r="V35" s="38"/>
      <c r="W35" s="1"/>
      <c r="X35" s="1"/>
      <c r="Y35" s="606"/>
      <c r="Z35" s="607"/>
      <c r="AA35" s="607"/>
    </row>
    <row r="36" spans="1:27" ht="15.75" customHeight="1">
      <c r="A36" s="23"/>
      <c r="B36" s="6">
        <v>3</v>
      </c>
      <c r="C36" s="588"/>
      <c r="D36" s="584"/>
      <c r="E36" s="585"/>
      <c r="F36" s="4"/>
      <c r="G36" s="4"/>
      <c r="H36" s="4"/>
      <c r="I36" s="4"/>
      <c r="J36" s="588"/>
      <c r="K36" s="585"/>
      <c r="M36" s="53" t="s">
        <v>27</v>
      </c>
      <c r="N36" s="58" t="s">
        <v>47</v>
      </c>
      <c r="O36" s="594" t="s">
        <v>12</v>
      </c>
      <c r="P36" s="595"/>
      <c r="Q36" s="596"/>
      <c r="R36" s="600" t="s">
        <v>53</v>
      </c>
      <c r="S36" s="601"/>
      <c r="T36" s="602"/>
      <c r="U36" s="58" t="s">
        <v>54</v>
      </c>
      <c r="V36" s="58" t="s">
        <v>55</v>
      </c>
      <c r="W36" s="58" t="s">
        <v>56</v>
      </c>
      <c r="X36" s="8" t="s">
        <v>11</v>
      </c>
      <c r="Y36" s="8" t="s">
        <v>13</v>
      </c>
      <c r="Z36" s="599" t="s">
        <v>51</v>
      </c>
      <c r="AA36" s="609"/>
    </row>
    <row r="37" spans="1:27" ht="15.75" customHeight="1">
      <c r="A37" s="23"/>
      <c r="B37" s="6">
        <v>4</v>
      </c>
      <c r="C37" s="588"/>
      <c r="D37" s="584"/>
      <c r="E37" s="585"/>
      <c r="F37" s="4"/>
      <c r="G37" s="4"/>
      <c r="H37" s="4"/>
      <c r="I37" s="4"/>
      <c r="J37" s="588"/>
      <c r="K37" s="585"/>
      <c r="M37" s="57" t="s">
        <v>42</v>
      </c>
      <c r="N37" s="24">
        <v>1</v>
      </c>
      <c r="O37" s="587" t="s">
        <v>89</v>
      </c>
      <c r="P37" s="584"/>
      <c r="Q37" s="585"/>
      <c r="R37" s="587" t="s">
        <v>90</v>
      </c>
      <c r="S37" s="584"/>
      <c r="T37" s="585"/>
      <c r="U37" s="4">
        <v>25</v>
      </c>
      <c r="V37" s="14">
        <v>0.25</v>
      </c>
      <c r="W37" s="4">
        <v>10</v>
      </c>
      <c r="X37" s="16">
        <f>W37*U37</f>
        <v>250</v>
      </c>
      <c r="Y37" s="4">
        <v>150</v>
      </c>
      <c r="Z37" s="587" t="s">
        <v>91</v>
      </c>
      <c r="AA37" s="585"/>
    </row>
    <row r="38" spans="1:27" ht="15.75" customHeight="1">
      <c r="A38" s="23"/>
      <c r="B38" s="26">
        <v>5</v>
      </c>
      <c r="C38" s="589"/>
      <c r="D38" s="593"/>
      <c r="E38" s="590"/>
      <c r="F38" s="27"/>
      <c r="G38" s="27"/>
      <c r="H38" s="27"/>
      <c r="I38" s="27"/>
      <c r="J38" s="589"/>
      <c r="K38" s="590"/>
      <c r="M38" s="25"/>
      <c r="N38" s="24">
        <v>2</v>
      </c>
      <c r="O38" s="588"/>
      <c r="P38" s="584"/>
      <c r="Q38" s="585"/>
      <c r="R38" s="588"/>
      <c r="S38" s="584"/>
      <c r="T38" s="585"/>
      <c r="U38" s="4"/>
      <c r="V38" s="14"/>
      <c r="W38" s="4"/>
      <c r="X38" s="16">
        <f>W38*U38</f>
        <v>0</v>
      </c>
      <c r="Y38" s="4"/>
      <c r="Z38" s="588"/>
      <c r="AA38" s="585"/>
    </row>
    <row r="39" spans="1:27" ht="14.25">
      <c r="A39" s="23"/>
      <c r="B39" s="70" t="s">
        <v>101</v>
      </c>
      <c r="C39" s="591" t="s">
        <v>80</v>
      </c>
      <c r="D39" s="598"/>
      <c r="E39" s="592"/>
      <c r="F39" s="28">
        <v>7</v>
      </c>
      <c r="G39" s="28">
        <v>2200</v>
      </c>
      <c r="H39" s="28">
        <v>314.29000000000002</v>
      </c>
      <c r="I39" s="28">
        <v>-15</v>
      </c>
      <c r="J39" s="591" t="s">
        <v>81</v>
      </c>
      <c r="K39" s="592"/>
      <c r="M39" s="25"/>
      <c r="N39" s="24">
        <v>3</v>
      </c>
      <c r="O39" s="588"/>
      <c r="P39" s="584"/>
      <c r="Q39" s="585"/>
      <c r="R39" s="588"/>
      <c r="S39" s="584"/>
      <c r="T39" s="585"/>
      <c r="U39" s="4"/>
      <c r="V39" s="14"/>
      <c r="W39" s="4"/>
      <c r="X39" s="16">
        <f>W39*U39</f>
        <v>0</v>
      </c>
      <c r="Y39" s="4"/>
      <c r="Z39" s="588"/>
      <c r="AA39" s="585"/>
    </row>
    <row r="40" spans="1:27" ht="14.25">
      <c r="A40" s="23"/>
      <c r="B40" s="71" t="s">
        <v>102</v>
      </c>
      <c r="C40" s="588"/>
      <c r="D40" s="584"/>
      <c r="E40" s="585"/>
      <c r="F40" s="4"/>
      <c r="G40" s="4"/>
      <c r="H40" s="4"/>
      <c r="I40" s="4"/>
      <c r="J40" s="588"/>
      <c r="K40" s="585"/>
      <c r="M40" s="25"/>
      <c r="N40" s="24">
        <v>4</v>
      </c>
      <c r="O40" s="588"/>
      <c r="P40" s="584"/>
      <c r="Q40" s="585"/>
      <c r="R40" s="588"/>
      <c r="S40" s="584"/>
      <c r="T40" s="585"/>
      <c r="U40" s="4"/>
      <c r="V40" s="14"/>
      <c r="W40" s="4"/>
      <c r="X40" s="16">
        <f>W40*U40</f>
        <v>0</v>
      </c>
      <c r="Y40" s="4"/>
      <c r="Z40" s="588"/>
      <c r="AA40" s="585"/>
    </row>
    <row r="41" spans="1:27" ht="14.25">
      <c r="A41" s="23"/>
      <c r="B41" s="71" t="s">
        <v>100</v>
      </c>
      <c r="C41" s="588"/>
      <c r="D41" s="584"/>
      <c r="E41" s="585"/>
      <c r="F41" s="4"/>
      <c r="G41" s="4"/>
      <c r="H41" s="4"/>
      <c r="I41" s="4"/>
      <c r="J41" s="588"/>
      <c r="K41" s="585"/>
      <c r="M41" s="25"/>
      <c r="N41" s="29">
        <v>5</v>
      </c>
      <c r="O41" s="589"/>
      <c r="P41" s="593"/>
      <c r="Q41" s="590"/>
      <c r="R41" s="589"/>
      <c r="S41" s="593"/>
      <c r="T41" s="590"/>
      <c r="U41" s="27"/>
      <c r="V41" s="30"/>
      <c r="W41" s="27"/>
      <c r="X41" s="31">
        <f>W41*U41</f>
        <v>0</v>
      </c>
      <c r="Y41" s="4"/>
      <c r="Z41" s="588"/>
      <c r="AA41" s="585"/>
    </row>
    <row r="42" spans="1:27" ht="14.25">
      <c r="A42" s="23"/>
      <c r="B42" s="71" t="s">
        <v>99</v>
      </c>
      <c r="C42" s="588"/>
      <c r="D42" s="584"/>
      <c r="E42" s="585"/>
      <c r="F42" s="4"/>
      <c r="G42" s="4"/>
      <c r="H42" s="4"/>
      <c r="I42" s="4"/>
      <c r="J42" s="588"/>
      <c r="K42" s="585"/>
      <c r="M42" s="32"/>
      <c r="N42" s="55"/>
      <c r="O42" s="595"/>
      <c r="P42" s="584"/>
      <c r="Q42" s="584"/>
      <c r="R42" s="595"/>
      <c r="S42" s="584"/>
      <c r="T42" s="584"/>
      <c r="U42" s="60" t="s">
        <v>58</v>
      </c>
      <c r="V42" s="33">
        <f>X42/N19</f>
        <v>5.5555555555555552E-2</v>
      </c>
      <c r="W42" s="60" t="s">
        <v>59</v>
      </c>
      <c r="X42" s="34">
        <f>SUM(X37:X41)</f>
        <v>250</v>
      </c>
      <c r="Y42" s="45"/>
      <c r="Z42" s="595"/>
      <c r="AA42" s="585"/>
    </row>
    <row r="43" spans="1:27" ht="14.25">
      <c r="A43" s="20"/>
      <c r="B43" s="71" t="s">
        <v>103</v>
      </c>
      <c r="C43" s="588"/>
      <c r="D43" s="584"/>
      <c r="E43" s="585"/>
      <c r="F43" s="4"/>
      <c r="G43" s="4"/>
      <c r="H43" s="4"/>
      <c r="I43" s="4"/>
      <c r="J43" s="588"/>
      <c r="K43" s="585"/>
      <c r="M43" s="57" t="s">
        <v>43</v>
      </c>
      <c r="N43" s="24">
        <v>1</v>
      </c>
      <c r="O43" s="587" t="s">
        <v>89</v>
      </c>
      <c r="P43" s="584"/>
      <c r="Q43" s="585"/>
      <c r="R43" s="603" t="s">
        <v>93</v>
      </c>
      <c r="S43" s="604"/>
      <c r="T43" s="605"/>
      <c r="U43" s="35">
        <v>30</v>
      </c>
      <c r="V43" s="36">
        <v>0.1</v>
      </c>
      <c r="W43" s="35">
        <v>20</v>
      </c>
      <c r="X43" s="37">
        <f>W43*U43</f>
        <v>600</v>
      </c>
      <c r="Y43" s="4">
        <v>400</v>
      </c>
      <c r="Z43" s="587" t="s">
        <v>92</v>
      </c>
      <c r="AA43" s="585"/>
    </row>
    <row r="44" spans="1:27" ht="14.25">
      <c r="A44" s="68"/>
      <c r="M44" s="25"/>
      <c r="N44" s="24">
        <v>2</v>
      </c>
      <c r="O44" s="588"/>
      <c r="P44" s="584"/>
      <c r="Q44" s="585"/>
      <c r="R44" s="588"/>
      <c r="S44" s="584"/>
      <c r="T44" s="585"/>
      <c r="U44" s="4"/>
      <c r="V44" s="14"/>
      <c r="W44" s="4"/>
      <c r="X44" s="37">
        <f>W44*U44</f>
        <v>0</v>
      </c>
      <c r="Y44" s="4"/>
      <c r="Z44" s="588"/>
      <c r="AA44" s="585"/>
    </row>
    <row r="45" spans="1:27" ht="14.25">
      <c r="A45" s="18"/>
      <c r="B45" s="50" t="s">
        <v>47</v>
      </c>
      <c r="C45" s="586" t="s">
        <v>12</v>
      </c>
      <c r="D45" s="584"/>
      <c r="E45" s="585"/>
      <c r="F45" s="50" t="s">
        <v>46</v>
      </c>
      <c r="G45" s="50" t="s">
        <v>48</v>
      </c>
      <c r="H45" s="50" t="s">
        <v>49</v>
      </c>
      <c r="I45" s="8" t="s">
        <v>13</v>
      </c>
      <c r="J45" s="599" t="s">
        <v>51</v>
      </c>
      <c r="K45" s="585"/>
      <c r="M45" s="25"/>
      <c r="N45" s="24">
        <v>3</v>
      </c>
      <c r="O45" s="588"/>
      <c r="P45" s="584"/>
      <c r="Q45" s="585"/>
      <c r="R45" s="588"/>
      <c r="S45" s="584"/>
      <c r="T45" s="585"/>
      <c r="U45" s="4"/>
      <c r="V45" s="14"/>
      <c r="W45" s="4"/>
      <c r="X45" s="37">
        <f>W45*U45</f>
        <v>0</v>
      </c>
      <c r="Y45" s="4"/>
      <c r="Z45" s="588"/>
      <c r="AA45" s="585"/>
    </row>
    <row r="46" spans="1:27" ht="14.25">
      <c r="A46" s="53" t="s">
        <v>36</v>
      </c>
      <c r="B46" s="6">
        <v>1</v>
      </c>
      <c r="C46" s="587" t="s">
        <v>82</v>
      </c>
      <c r="D46" s="584"/>
      <c r="E46" s="585"/>
      <c r="F46" s="4">
        <v>15</v>
      </c>
      <c r="G46" s="4">
        <v>1200</v>
      </c>
      <c r="H46" s="4">
        <v>80</v>
      </c>
      <c r="I46" s="4">
        <v>5</v>
      </c>
      <c r="J46" s="587" t="s">
        <v>83</v>
      </c>
      <c r="K46" s="585"/>
      <c r="M46" s="25"/>
      <c r="N46" s="24">
        <v>4</v>
      </c>
      <c r="O46" s="588"/>
      <c r="P46" s="584"/>
      <c r="Q46" s="585"/>
      <c r="R46" s="588"/>
      <c r="S46" s="584"/>
      <c r="T46" s="585"/>
      <c r="U46" s="4"/>
      <c r="V46" s="14"/>
      <c r="W46" s="4"/>
      <c r="X46" s="37">
        <f>W46*U46</f>
        <v>0</v>
      </c>
      <c r="Y46" s="4"/>
      <c r="Z46" s="588"/>
      <c r="AA46" s="585"/>
    </row>
    <row r="47" spans="1:27" ht="14.25">
      <c r="A47" s="23"/>
      <c r="B47" s="6">
        <v>2</v>
      </c>
      <c r="C47" s="588"/>
      <c r="D47" s="584"/>
      <c r="E47" s="585"/>
      <c r="F47" s="4"/>
      <c r="G47" s="4"/>
      <c r="H47" s="4"/>
      <c r="I47" s="4"/>
      <c r="J47" s="588"/>
      <c r="K47" s="585"/>
      <c r="M47" s="25"/>
      <c r="N47" s="29">
        <v>5</v>
      </c>
      <c r="O47" s="588"/>
      <c r="P47" s="584"/>
      <c r="Q47" s="585"/>
      <c r="R47" s="588"/>
      <c r="S47" s="584"/>
      <c r="T47" s="585"/>
      <c r="U47" s="27"/>
      <c r="V47" s="30"/>
      <c r="W47" s="27"/>
      <c r="X47" s="40">
        <f>W47*U47</f>
        <v>0</v>
      </c>
      <c r="Y47" s="4"/>
      <c r="Z47" s="588"/>
      <c r="AA47" s="585"/>
    </row>
    <row r="48" spans="1:27" ht="14.25">
      <c r="A48" s="23"/>
      <c r="B48" s="6">
        <v>3</v>
      </c>
      <c r="C48" s="588"/>
      <c r="D48" s="584"/>
      <c r="E48" s="585"/>
      <c r="F48" s="4"/>
      <c r="G48" s="4"/>
      <c r="H48" s="4"/>
      <c r="I48" s="4"/>
      <c r="J48" s="588"/>
      <c r="K48" s="585"/>
      <c r="M48" s="69"/>
      <c r="N48" s="45"/>
      <c r="O48" s="595"/>
      <c r="P48" s="584"/>
      <c r="Q48" s="584"/>
      <c r="R48" s="595"/>
      <c r="S48" s="584"/>
      <c r="T48" s="584"/>
      <c r="U48" s="60" t="s">
        <v>58</v>
      </c>
      <c r="V48" s="33">
        <f>X48/N19</f>
        <v>0.13333333333333333</v>
      </c>
      <c r="W48" s="60" t="s">
        <v>59</v>
      </c>
      <c r="X48" s="34">
        <f>SUM(X43:X47)</f>
        <v>600</v>
      </c>
      <c r="Y48" s="45"/>
      <c r="Z48" s="595"/>
      <c r="AA48" s="585"/>
    </row>
    <row r="49" spans="1:27" ht="14.25">
      <c r="A49" s="23"/>
      <c r="B49" s="6">
        <v>4</v>
      </c>
      <c r="C49" s="588"/>
      <c r="D49" s="584"/>
      <c r="E49" s="585"/>
      <c r="F49" s="4"/>
      <c r="G49" s="4"/>
      <c r="H49" s="4"/>
      <c r="I49" s="4"/>
      <c r="J49" s="588"/>
      <c r="K49" s="585"/>
      <c r="M49" s="1"/>
      <c r="N49" s="1"/>
      <c r="O49" s="1"/>
      <c r="P49" s="1"/>
      <c r="Q49" s="1"/>
      <c r="R49" s="1"/>
      <c r="S49" s="1"/>
      <c r="T49" s="1"/>
      <c r="U49" s="1"/>
      <c r="V49" s="38"/>
      <c r="W49" s="1"/>
      <c r="X49" s="1"/>
      <c r="Y49" s="1"/>
      <c r="Z49" s="1"/>
      <c r="AA49" s="1"/>
    </row>
    <row r="50" spans="1:27" ht="14.25">
      <c r="A50" s="23"/>
      <c r="B50" s="26">
        <v>5</v>
      </c>
      <c r="C50" s="589"/>
      <c r="D50" s="593"/>
      <c r="E50" s="590"/>
      <c r="F50" s="27"/>
      <c r="G50" s="27"/>
      <c r="H50" s="27"/>
      <c r="I50" s="27"/>
      <c r="J50" s="589"/>
      <c r="K50" s="590"/>
      <c r="M50" s="65" t="s">
        <v>17</v>
      </c>
      <c r="N50" s="67"/>
      <c r="O50" s="67"/>
      <c r="P50" s="67"/>
      <c r="Q50" s="67"/>
      <c r="R50" s="67"/>
      <c r="S50" s="67"/>
      <c r="T50" s="67"/>
      <c r="U50" s="67"/>
      <c r="V50" s="66"/>
      <c r="W50" s="67"/>
      <c r="X50" s="67"/>
      <c r="Y50" s="67"/>
      <c r="Z50" s="67"/>
      <c r="AA50" s="67"/>
    </row>
    <row r="51" spans="1:27" ht="14.25">
      <c r="A51" s="23"/>
      <c r="B51" s="70" t="s">
        <v>101</v>
      </c>
      <c r="C51" s="591" t="s">
        <v>89</v>
      </c>
      <c r="D51" s="598"/>
      <c r="E51" s="592"/>
      <c r="F51" s="28">
        <v>18</v>
      </c>
      <c r="G51" s="28">
        <v>800</v>
      </c>
      <c r="H51" s="28">
        <v>44.44</v>
      </c>
      <c r="I51" s="28">
        <v>-15</v>
      </c>
      <c r="J51" s="591" t="s">
        <v>84</v>
      </c>
      <c r="K51" s="592"/>
      <c r="M51" s="8"/>
      <c r="N51" s="8" t="s">
        <v>18</v>
      </c>
      <c r="O51" s="594" t="s">
        <v>12</v>
      </c>
      <c r="P51" s="595"/>
      <c r="Q51" s="596"/>
      <c r="R51" s="600" t="s">
        <v>53</v>
      </c>
      <c r="S51" s="601"/>
      <c r="T51" s="602"/>
      <c r="U51" s="58" t="s">
        <v>54</v>
      </c>
      <c r="V51" s="39" t="s">
        <v>19</v>
      </c>
      <c r="W51" s="58" t="s">
        <v>57</v>
      </c>
      <c r="X51" s="8" t="s">
        <v>2</v>
      </c>
      <c r="Y51" s="594" t="s">
        <v>50</v>
      </c>
      <c r="Z51" s="595"/>
      <c r="AA51" s="596"/>
    </row>
    <row r="52" spans="1:27" ht="14.25">
      <c r="A52" s="23"/>
      <c r="B52" s="71" t="s">
        <v>102</v>
      </c>
      <c r="C52" s="588"/>
      <c r="D52" s="584"/>
      <c r="E52" s="585"/>
      <c r="F52" s="4"/>
      <c r="G52" s="4"/>
      <c r="H52" s="4"/>
      <c r="I52" s="4"/>
      <c r="J52" s="588"/>
      <c r="K52" s="585"/>
      <c r="M52" s="57" t="s">
        <v>42</v>
      </c>
      <c r="N52" s="24">
        <v>1</v>
      </c>
      <c r="O52" s="587" t="s">
        <v>89</v>
      </c>
      <c r="P52" s="584"/>
      <c r="Q52" s="585"/>
      <c r="R52" s="603" t="s">
        <v>93</v>
      </c>
      <c r="S52" s="604"/>
      <c r="T52" s="605"/>
      <c r="U52" s="4">
        <v>30</v>
      </c>
      <c r="V52" s="14">
        <v>0.62</v>
      </c>
      <c r="W52" s="14">
        <v>0.57999999999999996</v>
      </c>
      <c r="X52" s="13">
        <f>W52-V52</f>
        <v>-4.0000000000000036E-2</v>
      </c>
      <c r="Y52" s="587" t="s">
        <v>97</v>
      </c>
      <c r="Z52" s="584"/>
      <c r="AA52" s="585"/>
    </row>
    <row r="53" spans="1:27" ht="14.25">
      <c r="A53" s="23"/>
      <c r="B53" s="71" t="s">
        <v>100</v>
      </c>
      <c r="C53" s="588"/>
      <c r="D53" s="584"/>
      <c r="E53" s="585"/>
      <c r="F53" s="4"/>
      <c r="G53" s="4"/>
      <c r="H53" s="4"/>
      <c r="I53" s="4"/>
      <c r="J53" s="588"/>
      <c r="K53" s="585"/>
      <c r="M53" s="25"/>
      <c r="N53" s="29">
        <v>2</v>
      </c>
      <c r="O53" s="589"/>
      <c r="P53" s="593"/>
      <c r="Q53" s="590"/>
      <c r="R53" s="589"/>
      <c r="S53" s="593"/>
      <c r="T53" s="590"/>
      <c r="U53" s="27"/>
      <c r="V53" s="30"/>
      <c r="W53" s="30"/>
      <c r="X53" s="41">
        <f>W53-V53</f>
        <v>0</v>
      </c>
      <c r="Y53" s="589"/>
      <c r="Z53" s="593"/>
      <c r="AA53" s="590"/>
    </row>
    <row r="54" spans="1:27" ht="14.25">
      <c r="A54" s="23"/>
      <c r="B54" s="71" t="s">
        <v>99</v>
      </c>
      <c r="C54" s="588"/>
      <c r="D54" s="584"/>
      <c r="E54" s="585"/>
      <c r="F54" s="4"/>
      <c r="G54" s="4"/>
      <c r="H54" s="4"/>
      <c r="I54" s="4"/>
      <c r="J54" s="588"/>
      <c r="K54" s="585"/>
      <c r="M54" s="57" t="s">
        <v>43</v>
      </c>
      <c r="N54" s="42">
        <v>1</v>
      </c>
      <c r="O54" s="591" t="s">
        <v>94</v>
      </c>
      <c r="P54" s="598"/>
      <c r="Q54" s="592"/>
      <c r="R54" s="591" t="s">
        <v>95</v>
      </c>
      <c r="S54" s="598"/>
      <c r="T54" s="592"/>
      <c r="U54" s="28">
        <v>20</v>
      </c>
      <c r="V54" s="43">
        <v>0.9</v>
      </c>
      <c r="W54" s="43">
        <v>0.82</v>
      </c>
      <c r="X54" s="44">
        <f>W54-V54</f>
        <v>-8.0000000000000071E-2</v>
      </c>
      <c r="Y54" s="591" t="s">
        <v>96</v>
      </c>
      <c r="Z54" s="598"/>
      <c r="AA54" s="592"/>
    </row>
    <row r="55" spans="1:27" ht="14.25">
      <c r="A55" s="20"/>
      <c r="B55" s="71" t="s">
        <v>103</v>
      </c>
      <c r="C55" s="588"/>
      <c r="D55" s="584"/>
      <c r="E55" s="585"/>
      <c r="F55" s="4"/>
      <c r="G55" s="4"/>
      <c r="H55" s="4"/>
      <c r="I55" s="4"/>
      <c r="J55" s="588"/>
      <c r="K55" s="585"/>
      <c r="M55" s="22"/>
      <c r="N55" s="24">
        <v>2</v>
      </c>
      <c r="O55" s="588"/>
      <c r="P55" s="584"/>
      <c r="Q55" s="585"/>
      <c r="R55" s="588"/>
      <c r="S55" s="584"/>
      <c r="T55" s="585"/>
      <c r="U55" s="4"/>
      <c r="V55" s="14"/>
      <c r="W55" s="14"/>
      <c r="X55" s="13">
        <f>W55-V55</f>
        <v>0</v>
      </c>
      <c r="Y55" s="588"/>
      <c r="Z55" s="584"/>
      <c r="AA55" s="585"/>
    </row>
  </sheetData>
  <mergeCells count="162">
    <mergeCell ref="Z26:AA26"/>
    <mergeCell ref="Z27:AA27"/>
    <mergeCell ref="Z28:AA28"/>
    <mergeCell ref="Z29:AA29"/>
    <mergeCell ref="Z30:AA30"/>
    <mergeCell ref="Z31:AA31"/>
    <mergeCell ref="Z32:AA32"/>
    <mergeCell ref="Y52:AA52"/>
    <mergeCell ref="Y53:AA53"/>
    <mergeCell ref="Y54:AA54"/>
    <mergeCell ref="Y55:AA55"/>
    <mergeCell ref="Z33:AA33"/>
    <mergeCell ref="Z34:AA34"/>
    <mergeCell ref="Z45:AA45"/>
    <mergeCell ref="Z46:AA46"/>
    <mergeCell ref="Z47:AA47"/>
    <mergeCell ref="Z48:AA48"/>
    <mergeCell ref="Y51:AA51"/>
    <mergeCell ref="Y35:AA35"/>
    <mergeCell ref="Z36:AA36"/>
    <mergeCell ref="Z42:AA42"/>
    <mergeCell ref="Z43:AA43"/>
    <mergeCell ref="Z44:AA44"/>
    <mergeCell ref="O35:Q35"/>
    <mergeCell ref="R35:T35"/>
    <mergeCell ref="R36:T36"/>
    <mergeCell ref="J35:K35"/>
    <mergeCell ref="J36:K36"/>
    <mergeCell ref="J27:K27"/>
    <mergeCell ref="J28:K28"/>
    <mergeCell ref="J29:K29"/>
    <mergeCell ref="J30:K30"/>
    <mergeCell ref="J31:K31"/>
    <mergeCell ref="J33:K33"/>
    <mergeCell ref="J34:K34"/>
    <mergeCell ref="O32:Q32"/>
    <mergeCell ref="O33:Q33"/>
    <mergeCell ref="O29:Q29"/>
    <mergeCell ref="R29:T29"/>
    <mergeCell ref="O30:Q30"/>
    <mergeCell ref="R30:T30"/>
    <mergeCell ref="O31:Q31"/>
    <mergeCell ref="R31:T31"/>
    <mergeCell ref="R32:T32"/>
    <mergeCell ref="R33:T33"/>
    <mergeCell ref="C52:E52"/>
    <mergeCell ref="C53:E53"/>
    <mergeCell ref="C54:E54"/>
    <mergeCell ref="C34:E34"/>
    <mergeCell ref="C35:E35"/>
    <mergeCell ref="C36:E36"/>
    <mergeCell ref="C37:E37"/>
    <mergeCell ref="J37:K37"/>
    <mergeCell ref="C38:E38"/>
    <mergeCell ref="C39:E39"/>
    <mergeCell ref="C40:E40"/>
    <mergeCell ref="J40:K40"/>
    <mergeCell ref="J49:K49"/>
    <mergeCell ref="J50:K50"/>
    <mergeCell ref="J51:K51"/>
    <mergeCell ref="C41:E41"/>
    <mergeCell ref="J41:K41"/>
    <mergeCell ref="C42:E42"/>
    <mergeCell ref="J42:K42"/>
    <mergeCell ref="J43:K43"/>
    <mergeCell ref="C51:E51"/>
    <mergeCell ref="O42:Q42"/>
    <mergeCell ref="R42:T42"/>
    <mergeCell ref="O43:Q43"/>
    <mergeCell ref="R43:T43"/>
    <mergeCell ref="O44:Q44"/>
    <mergeCell ref="R44:T44"/>
    <mergeCell ref="O45:Q45"/>
    <mergeCell ref="R45:T45"/>
    <mergeCell ref="C55:E55"/>
    <mergeCell ref="C43:E43"/>
    <mergeCell ref="C45:E45"/>
    <mergeCell ref="C46:E46"/>
    <mergeCell ref="C47:E47"/>
    <mergeCell ref="C48:E48"/>
    <mergeCell ref="C49:E49"/>
    <mergeCell ref="C50:E50"/>
    <mergeCell ref="J52:K52"/>
    <mergeCell ref="J53:K53"/>
    <mergeCell ref="J54:K54"/>
    <mergeCell ref="J55:K55"/>
    <mergeCell ref="J45:K45"/>
    <mergeCell ref="J46:K46"/>
    <mergeCell ref="J47:K47"/>
    <mergeCell ref="J48:K48"/>
    <mergeCell ref="O46:Q46"/>
    <mergeCell ref="R46:T46"/>
    <mergeCell ref="O47:Q47"/>
    <mergeCell ref="R47:T47"/>
    <mergeCell ref="R48:T48"/>
    <mergeCell ref="O54:Q54"/>
    <mergeCell ref="R54:T54"/>
    <mergeCell ref="O55:Q55"/>
    <mergeCell ref="R55:T55"/>
    <mergeCell ref="O48:Q48"/>
    <mergeCell ref="O51:Q51"/>
    <mergeCell ref="R51:T51"/>
    <mergeCell ref="O52:Q52"/>
    <mergeCell ref="R52:T52"/>
    <mergeCell ref="O53:Q53"/>
    <mergeCell ref="R53:T53"/>
    <mergeCell ref="C21:E21"/>
    <mergeCell ref="J21:K21"/>
    <mergeCell ref="C22:E22"/>
    <mergeCell ref="O22:Q22"/>
    <mergeCell ref="R22:T22"/>
    <mergeCell ref="Z22:AA22"/>
    <mergeCell ref="C23:E23"/>
    <mergeCell ref="Z23:AA23"/>
    <mergeCell ref="O23:Q23"/>
    <mergeCell ref="R23:T23"/>
    <mergeCell ref="O24:Q24"/>
    <mergeCell ref="R24:T24"/>
    <mergeCell ref="Z24:AA24"/>
    <mergeCell ref="R25:T25"/>
    <mergeCell ref="Z25:AA25"/>
    <mergeCell ref="J22:K22"/>
    <mergeCell ref="J23:K23"/>
    <mergeCell ref="C24:E24"/>
    <mergeCell ref="J24:K24"/>
    <mergeCell ref="C25:E25"/>
    <mergeCell ref="J25:K25"/>
    <mergeCell ref="J26:K26"/>
    <mergeCell ref="O25:Q25"/>
    <mergeCell ref="O26:Q26"/>
    <mergeCell ref="R26:T26"/>
    <mergeCell ref="O27:Q27"/>
    <mergeCell ref="R27:T27"/>
    <mergeCell ref="O28:Q28"/>
    <mergeCell ref="R28:T28"/>
    <mergeCell ref="C26:E26"/>
    <mergeCell ref="C27:E27"/>
    <mergeCell ref="C28:E28"/>
    <mergeCell ref="C29:E29"/>
    <mergeCell ref="C30:E30"/>
    <mergeCell ref="C31:E31"/>
    <mergeCell ref="C33:E33"/>
    <mergeCell ref="Z37:AA37"/>
    <mergeCell ref="Z38:AA38"/>
    <mergeCell ref="Z39:AA39"/>
    <mergeCell ref="Z40:AA40"/>
    <mergeCell ref="Z41:AA41"/>
    <mergeCell ref="J38:K38"/>
    <mergeCell ref="J39:K39"/>
    <mergeCell ref="O39:Q39"/>
    <mergeCell ref="R39:T39"/>
    <mergeCell ref="O40:Q40"/>
    <mergeCell ref="R40:T40"/>
    <mergeCell ref="R41:T41"/>
    <mergeCell ref="O41:Q41"/>
    <mergeCell ref="O36:Q36"/>
    <mergeCell ref="O37:Q37"/>
    <mergeCell ref="R37:T37"/>
    <mergeCell ref="O38:Q38"/>
    <mergeCell ref="R38:T38"/>
    <mergeCell ref="O34:Q34"/>
    <mergeCell ref="R34:T34"/>
  </mergeCells>
  <phoneticPr fontId="10"/>
  <printOptions horizontalCentered="1" gridLines="1"/>
  <pageMargins left="0.7" right="0.7" top="0.75" bottom="0.75" header="0" footer="0"/>
  <pageSetup paperSize="9" fitToHeight="0" pageOrder="overThenDown" orientation="landscape" cellComments="atEnd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outlinePr summaryBelow="0" summaryRight="0"/>
  </sheetPr>
  <dimension ref="A1:R38"/>
  <sheetViews>
    <sheetView zoomScale="90" zoomScaleNormal="90" zoomScaleSheetLayoutView="115" workbookViewId="0">
      <selection activeCell="B6" sqref="B6:B11"/>
    </sheetView>
  </sheetViews>
  <sheetFormatPr defaultColWidth="12.5703125" defaultRowHeight="15.75" customHeight="1"/>
  <cols>
    <col min="1" max="1" width="27.42578125" style="119" bestFit="1" customWidth="1"/>
    <col min="2" max="2" width="12.5703125" style="119" customWidth="1"/>
    <col min="3" max="4" width="12.5703125" style="119"/>
    <col min="5" max="5" width="16.42578125" style="119" customWidth="1"/>
    <col min="6" max="6" width="2.42578125" style="119" customWidth="1"/>
    <col min="7" max="7" width="24.85546875" style="119" bestFit="1" customWidth="1"/>
    <col min="8" max="10" width="12.5703125" style="119"/>
    <col min="11" max="11" width="16.42578125" style="119" customWidth="1"/>
    <col min="12" max="12" width="12.5703125" style="120"/>
    <col min="13" max="16384" width="12.5703125" style="119"/>
  </cols>
  <sheetData>
    <row r="1" spans="1:12" ht="15.75" customHeight="1">
      <c r="A1" s="610" t="s">
        <v>356</v>
      </c>
      <c r="B1" s="610"/>
      <c r="C1" s="610"/>
      <c r="D1" s="610"/>
      <c r="E1" s="610"/>
      <c r="F1" s="610"/>
      <c r="G1" s="610"/>
      <c r="H1" s="610"/>
      <c r="I1" s="610"/>
      <c r="J1" s="610"/>
      <c r="K1" s="610"/>
      <c r="L1" s="119"/>
    </row>
    <row r="2" spans="1:12" s="120" customFormat="1" ht="15.75" customHeight="1">
      <c r="A2" s="610"/>
      <c r="B2" s="610"/>
      <c r="C2" s="610"/>
      <c r="D2" s="610"/>
      <c r="E2" s="610"/>
      <c r="F2" s="610"/>
      <c r="G2" s="610"/>
      <c r="H2" s="610"/>
      <c r="I2" s="610"/>
      <c r="J2" s="610"/>
      <c r="K2" s="610"/>
    </row>
    <row r="3" spans="1:12" ht="21.6" customHeight="1">
      <c r="A3" s="139" t="s">
        <v>306</v>
      </c>
      <c r="B3" s="140">
        <v>10</v>
      </c>
      <c r="C3" s="139" t="s">
        <v>20</v>
      </c>
      <c r="D3" s="611" t="s">
        <v>355</v>
      </c>
      <c r="E3" s="611"/>
      <c r="F3" s="130"/>
      <c r="G3" s="131"/>
      <c r="H3" s="130"/>
      <c r="I3" s="130"/>
      <c r="J3" s="130"/>
      <c r="K3" s="130"/>
    </row>
    <row r="4" spans="1:12" s="121" customFormat="1" ht="15.75" customHeight="1">
      <c r="A4" s="132" t="s">
        <v>176</v>
      </c>
      <c r="B4" s="133"/>
      <c r="C4" s="133"/>
      <c r="D4" s="133"/>
      <c r="E4" s="123" t="s">
        <v>23</v>
      </c>
      <c r="F4" s="133"/>
      <c r="G4" s="134" t="s">
        <v>125</v>
      </c>
      <c r="H4" s="133"/>
      <c r="I4" s="133"/>
      <c r="J4" s="133"/>
      <c r="K4" s="133"/>
    </row>
    <row r="5" spans="1:12" s="125" customFormat="1" ht="15.75" customHeight="1">
      <c r="A5" s="146" t="s">
        <v>178</v>
      </c>
      <c r="B5" s="141" t="s">
        <v>22</v>
      </c>
      <c r="C5" s="141" t="s">
        <v>1</v>
      </c>
      <c r="D5" s="141" t="s">
        <v>2</v>
      </c>
      <c r="E5" s="141" t="s">
        <v>3</v>
      </c>
      <c r="F5" s="135"/>
      <c r="G5" s="146" t="s">
        <v>178</v>
      </c>
      <c r="H5" s="141" t="s">
        <v>69</v>
      </c>
      <c r="I5" s="141" t="s">
        <v>22</v>
      </c>
      <c r="J5" s="141" t="s">
        <v>67</v>
      </c>
      <c r="K5" s="141" t="s">
        <v>3</v>
      </c>
      <c r="L5" s="126" t="s">
        <v>60</v>
      </c>
    </row>
    <row r="6" spans="1:12" s="121" customFormat="1" ht="18" customHeight="1">
      <c r="A6" s="128" t="s">
        <v>24</v>
      </c>
      <c r="B6" s="142">
        <f>'（１）收支狀況'!H10/1000</f>
        <v>52637.474000000002</v>
      </c>
      <c r="C6" s="271">
        <v>224463.48699999999</v>
      </c>
      <c r="D6" s="142">
        <f t="shared" ref="D6:D11" si="0">B6-C6</f>
        <v>-171826.01299999998</v>
      </c>
      <c r="E6" s="142">
        <f t="shared" ref="E6:E11" si="1">B6</f>
        <v>52637.474000000002</v>
      </c>
      <c r="F6" s="133"/>
      <c r="G6" s="128" t="s">
        <v>179</v>
      </c>
      <c r="H6" s="274">
        <v>266</v>
      </c>
      <c r="I6" s="144">
        <f>'（２）ＫＰＩ達成進度'!H6</f>
        <v>0</v>
      </c>
      <c r="J6" s="286">
        <v>330.21457859125206</v>
      </c>
      <c r="K6" s="144">
        <f t="shared" ref="K6:K11" si="2">I6</f>
        <v>0</v>
      </c>
      <c r="L6" s="122" t="s">
        <v>175</v>
      </c>
    </row>
    <row r="7" spans="1:12" s="121" customFormat="1" ht="18" customHeight="1">
      <c r="A7" s="128" t="s">
        <v>25</v>
      </c>
      <c r="B7" s="142">
        <f>'（１）收支狀況'!K10</f>
        <v>1672871</v>
      </c>
      <c r="C7" s="271">
        <v>6964636</v>
      </c>
      <c r="D7" s="142">
        <f t="shared" si="0"/>
        <v>-5291765</v>
      </c>
      <c r="E7" s="142">
        <f t="shared" si="1"/>
        <v>1672871</v>
      </c>
      <c r="F7" s="133"/>
      <c r="G7" s="128" t="s">
        <v>180</v>
      </c>
      <c r="H7" s="252">
        <v>0.8</v>
      </c>
      <c r="I7" s="143">
        <f>'（２）ＫＰＩ達成進度'!K6</f>
        <v>0</v>
      </c>
      <c r="J7" s="272">
        <v>0.90222562456626254</v>
      </c>
      <c r="K7" s="143">
        <f t="shared" si="2"/>
        <v>0</v>
      </c>
      <c r="L7" s="122" t="s">
        <v>4</v>
      </c>
    </row>
    <row r="8" spans="1:12" s="121" customFormat="1" ht="18" customHeight="1">
      <c r="A8" s="128" t="s">
        <v>5</v>
      </c>
      <c r="B8" s="142">
        <f>'（１）收支狀況'!N10/1000</f>
        <v>35728.010999999999</v>
      </c>
      <c r="C8" s="271">
        <v>150244.29199999999</v>
      </c>
      <c r="D8" s="142">
        <f>B8-C8</f>
        <v>-114516.28099999999</v>
      </c>
      <c r="E8" s="142">
        <f t="shared" si="1"/>
        <v>35728.010999999999</v>
      </c>
      <c r="F8" s="133"/>
      <c r="G8" s="128" t="s">
        <v>181</v>
      </c>
      <c r="H8" s="247">
        <v>2.5000000000000001E-3</v>
      </c>
      <c r="I8" s="247">
        <f>'（２）ＫＰＩ達成進度'!N6</f>
        <v>0</v>
      </c>
      <c r="J8" s="287">
        <v>2.4646256819628254E-3</v>
      </c>
      <c r="K8" s="247">
        <f t="shared" si="2"/>
        <v>0</v>
      </c>
      <c r="L8" s="122" t="s">
        <v>55</v>
      </c>
    </row>
    <row r="9" spans="1:12" s="121" customFormat="1" ht="18" customHeight="1">
      <c r="A9" s="128" t="s">
        <v>6</v>
      </c>
      <c r="B9" s="143">
        <f>'（１）收支狀況'!Q10</f>
        <v>0.67875618423482864</v>
      </c>
      <c r="C9" s="272">
        <v>0.66934847180735457</v>
      </c>
      <c r="D9" s="143">
        <f t="shared" si="0"/>
        <v>9.4077124274740687E-3</v>
      </c>
      <c r="E9" s="143">
        <f t="shared" si="1"/>
        <v>0.67875618423482864</v>
      </c>
      <c r="F9" s="133"/>
      <c r="G9" s="128" t="s">
        <v>182</v>
      </c>
      <c r="H9" s="247">
        <v>2.5999999999999999E-3</v>
      </c>
      <c r="I9" s="247">
        <f>'（２）ＫＰＩ達成進度'!Q6</f>
        <v>0</v>
      </c>
      <c r="J9" s="287">
        <v>2.3405370745029669E-3</v>
      </c>
      <c r="K9" s="247">
        <f t="shared" si="2"/>
        <v>0</v>
      </c>
      <c r="L9" s="122" t="s">
        <v>98</v>
      </c>
    </row>
    <row r="10" spans="1:12" s="121" customFormat="1" ht="18" customHeight="1">
      <c r="A10" s="128" t="s">
        <v>64</v>
      </c>
      <c r="B10" s="142">
        <f>'（１）收支狀況'!T10/1000</f>
        <v>6480.9673580488761</v>
      </c>
      <c r="C10" s="271">
        <v>32105.786706827967</v>
      </c>
      <c r="D10" s="142">
        <f t="shared" si="0"/>
        <v>-25624.819348779092</v>
      </c>
      <c r="E10" s="142">
        <f t="shared" si="1"/>
        <v>6480.9673580488761</v>
      </c>
      <c r="F10" s="133"/>
      <c r="G10" s="128" t="s">
        <v>183</v>
      </c>
      <c r="H10" s="249">
        <v>0.8</v>
      </c>
      <c r="I10" s="249">
        <f>'（２）ＫＰＩ達成進度'!T6</f>
        <v>0</v>
      </c>
      <c r="J10" s="288">
        <v>0.91666666666666707</v>
      </c>
      <c r="K10" s="249">
        <f t="shared" si="2"/>
        <v>0</v>
      </c>
      <c r="L10" s="122" t="s">
        <v>7</v>
      </c>
    </row>
    <row r="11" spans="1:12" s="121" customFormat="1" ht="18" customHeight="1">
      <c r="A11" s="128" t="s">
        <v>65</v>
      </c>
      <c r="B11" s="143">
        <f>'（１）收支狀況'!W10</f>
        <v>0.12312458911020076</v>
      </c>
      <c r="C11" s="272">
        <v>0.14303344894053066</v>
      </c>
      <c r="D11" s="143">
        <f t="shared" si="0"/>
        <v>-1.9908859830329903E-2</v>
      </c>
      <c r="E11" s="143">
        <f t="shared" si="1"/>
        <v>0.12312458911020076</v>
      </c>
      <c r="F11" s="133"/>
      <c r="G11" s="128" t="s">
        <v>184</v>
      </c>
      <c r="H11" s="249">
        <v>1</v>
      </c>
      <c r="I11" s="143">
        <f>'（２）ＫＰＩ達成進度'!W6</f>
        <v>0</v>
      </c>
      <c r="J11" s="272">
        <v>0.84941935483870945</v>
      </c>
      <c r="K11" s="143">
        <f t="shared" si="2"/>
        <v>0</v>
      </c>
      <c r="L11" s="122" t="s">
        <v>62</v>
      </c>
    </row>
    <row r="12" spans="1:12" s="121" customFormat="1" ht="9.6" customHeight="1">
      <c r="A12" s="133"/>
      <c r="B12" s="133"/>
      <c r="C12" s="133"/>
      <c r="D12" s="133"/>
      <c r="E12" s="133"/>
      <c r="F12" s="133"/>
      <c r="G12" s="133"/>
      <c r="H12" s="133"/>
      <c r="I12" s="133"/>
      <c r="J12" s="133"/>
      <c r="K12" s="133"/>
    </row>
    <row r="13" spans="1:12" s="121" customFormat="1" ht="15.75" customHeight="1">
      <c r="A13" s="132" t="s">
        <v>32</v>
      </c>
      <c r="B13" s="133"/>
      <c r="C13" s="133"/>
      <c r="D13" s="133"/>
      <c r="E13" s="133"/>
      <c r="F13" s="133"/>
      <c r="G13" s="132" t="s">
        <v>147</v>
      </c>
      <c r="H13" s="133"/>
      <c r="I13" s="133"/>
      <c r="J13" s="133"/>
      <c r="K13" s="133"/>
    </row>
    <row r="14" spans="1:12" s="127" customFormat="1" ht="14.25">
      <c r="A14" s="145"/>
      <c r="B14" s="145" t="s">
        <v>22</v>
      </c>
      <c r="C14" s="145" t="s">
        <v>66</v>
      </c>
      <c r="D14" s="145" t="s">
        <v>67</v>
      </c>
      <c r="E14" s="145" t="s">
        <v>68</v>
      </c>
      <c r="F14" s="136"/>
      <c r="G14" s="145"/>
      <c r="H14" s="145" t="s">
        <v>22</v>
      </c>
      <c r="I14" s="145" t="s">
        <v>66</v>
      </c>
      <c r="J14" s="145" t="s">
        <v>67</v>
      </c>
      <c r="K14" s="145" t="s">
        <v>68</v>
      </c>
    </row>
    <row r="15" spans="1:12" s="121" customFormat="1" ht="18" customHeight="1">
      <c r="A15" s="128" t="s">
        <v>208</v>
      </c>
      <c r="B15" s="142">
        <f>'（３）業績構成比'!M50/1000</f>
        <v>13530.366521261558</v>
      </c>
      <c r="C15" s="143">
        <f>IFERROR(B15/$B$6,"")</f>
        <v>0.25704817296630833</v>
      </c>
      <c r="D15" s="272">
        <v>0.19061185820038584</v>
      </c>
      <c r="E15" s="143">
        <f>IFERROR(C15-D15,"")</f>
        <v>6.6436314765922488E-2</v>
      </c>
      <c r="F15" s="133"/>
      <c r="G15" s="128" t="s">
        <v>213</v>
      </c>
      <c r="H15" s="142">
        <f>'（４）訂單數量構成比'!M50</f>
        <v>803397</v>
      </c>
      <c r="I15" s="143">
        <f t="shared" ref="I15:I23" si="3">IFERROR(H15/$B$7,"")</f>
        <v>0.48025041978729982</v>
      </c>
      <c r="J15" s="272">
        <v>0.33067557299476957</v>
      </c>
      <c r="K15" s="143">
        <f t="shared" ref="K15:K23" si="4">IFERROR(I15-J15,"")</f>
        <v>0.14957484679253025</v>
      </c>
    </row>
    <row r="16" spans="1:12" s="121" customFormat="1" ht="18" customHeight="1">
      <c r="A16" s="128" t="s">
        <v>203</v>
      </c>
      <c r="B16" s="142">
        <f>'（３）業績構成比'!S50/1000</f>
        <v>1323.9337623551653</v>
      </c>
      <c r="C16" s="143">
        <f t="shared" ref="C16:C23" si="5">IFERROR(B16/$B$6,"")</f>
        <v>2.5151924318312941E-2</v>
      </c>
      <c r="D16" s="272">
        <v>4.2789233591899609E-2</v>
      </c>
      <c r="E16" s="143">
        <f t="shared" ref="E16:E23" si="6">IFERROR(C16-D16,"")</f>
        <v>-1.7637309273586668E-2</v>
      </c>
      <c r="F16" s="133"/>
      <c r="G16" s="128" t="s">
        <v>232</v>
      </c>
      <c r="H16" s="142">
        <f>'（４）訂單數量構成比'!S51</f>
        <v>53883</v>
      </c>
      <c r="I16" s="143">
        <f t="shared" si="3"/>
        <v>3.2209895443223058E-2</v>
      </c>
      <c r="J16" s="272">
        <v>6.1681041191528174E-2</v>
      </c>
      <c r="K16" s="143">
        <f t="shared" si="4"/>
        <v>-2.9471145748305116E-2</v>
      </c>
    </row>
    <row r="17" spans="1:18" s="121" customFormat="1" ht="18" customHeight="1">
      <c r="A17" s="128" t="s">
        <v>199</v>
      </c>
      <c r="B17" s="142">
        <f>'（３）業績構成比'!U50/1000</f>
        <v>6881.5661889159464</v>
      </c>
      <c r="C17" s="143">
        <f t="shared" si="5"/>
        <v>0.1307351144721714</v>
      </c>
      <c r="D17" s="272">
        <v>8.6938303169141445E-2</v>
      </c>
      <c r="E17" s="143">
        <f t="shared" si="6"/>
        <v>4.3796811303029953E-2</v>
      </c>
      <c r="F17" s="133"/>
      <c r="G17" s="128" t="s">
        <v>214</v>
      </c>
      <c r="H17" s="142">
        <f>'（４）訂單數量構成比'!U50</f>
        <v>210266</v>
      </c>
      <c r="I17" s="143">
        <f t="shared" si="3"/>
        <v>0.12569170007729227</v>
      </c>
      <c r="J17" s="272">
        <v>8.2530228428305513E-2</v>
      </c>
      <c r="K17" s="143">
        <f t="shared" si="4"/>
        <v>4.316147164898676E-2</v>
      </c>
    </row>
    <row r="18" spans="1:18" s="121" customFormat="1" ht="18" customHeight="1">
      <c r="A18" s="128" t="s">
        <v>201</v>
      </c>
      <c r="B18" s="142">
        <f>'（３）業績構成比'!W50/1000</f>
        <v>0</v>
      </c>
      <c r="C18" s="143">
        <f t="shared" si="5"/>
        <v>0</v>
      </c>
      <c r="D18" s="272">
        <v>1.4659145993880142E-2</v>
      </c>
      <c r="E18" s="143">
        <f t="shared" si="6"/>
        <v>-1.4659145993880142E-2</v>
      </c>
      <c r="F18" s="133"/>
      <c r="G18" s="128" t="s">
        <v>200</v>
      </c>
      <c r="H18" s="142">
        <f>'（４）訂單數量構成比'!W50</f>
        <v>0</v>
      </c>
      <c r="I18" s="143">
        <f t="shared" si="3"/>
        <v>0</v>
      </c>
      <c r="J18" s="272">
        <v>1.6773740939224964E-2</v>
      </c>
      <c r="K18" s="143">
        <f t="shared" si="4"/>
        <v>-1.6773740939224964E-2</v>
      </c>
    </row>
    <row r="19" spans="1:18" s="121" customFormat="1" ht="18" customHeight="1">
      <c r="A19" s="128" t="s">
        <v>205</v>
      </c>
      <c r="B19" s="142">
        <f>'（３）業績構成比'!AC50/1000</f>
        <v>11116.786532310234</v>
      </c>
      <c r="C19" s="143">
        <f t="shared" si="5"/>
        <v>0.21119528897435758</v>
      </c>
      <c r="D19" s="272">
        <v>0.24409177848792188</v>
      </c>
      <c r="E19" s="143">
        <f t="shared" si="6"/>
        <v>-3.2896489513564303E-2</v>
      </c>
      <c r="F19" s="133"/>
      <c r="G19" s="128" t="s">
        <v>204</v>
      </c>
      <c r="H19" s="142">
        <f>'（４）訂單數量構成比'!AC50</f>
        <v>334536</v>
      </c>
      <c r="I19" s="143">
        <f t="shared" si="3"/>
        <v>0.19997716500555035</v>
      </c>
      <c r="J19" s="272">
        <v>0.19673059726308739</v>
      </c>
      <c r="K19" s="143">
        <f t="shared" si="4"/>
        <v>3.246567742462958E-3</v>
      </c>
    </row>
    <row r="20" spans="1:18" s="121" customFormat="1" ht="18" customHeight="1">
      <c r="A20" s="128" t="s">
        <v>207</v>
      </c>
      <c r="B20" s="142">
        <f>'（３）業績構成比'!AE50/1000</f>
        <v>8659.1535929341317</v>
      </c>
      <c r="C20" s="143">
        <f t="shared" si="5"/>
        <v>0.16450549266353723</v>
      </c>
      <c r="D20" s="272">
        <v>0.1397972381723295</v>
      </c>
      <c r="E20" s="143">
        <f t="shared" si="6"/>
        <v>2.4708254491207726E-2</v>
      </c>
      <c r="F20" s="133"/>
      <c r="G20" s="128" t="s">
        <v>206</v>
      </c>
      <c r="H20" s="142">
        <f>'（４）訂單數量構成比'!AE50</f>
        <v>149758</v>
      </c>
      <c r="I20" s="143">
        <f t="shared" si="3"/>
        <v>8.9521547088807205E-2</v>
      </c>
      <c r="J20" s="272">
        <v>7.9797709456746913E-2</v>
      </c>
      <c r="K20" s="143">
        <f t="shared" si="4"/>
        <v>9.7238376320602921E-3</v>
      </c>
    </row>
    <row r="21" spans="1:18" s="121" customFormat="1" ht="18" customHeight="1">
      <c r="A21" s="128" t="s">
        <v>209</v>
      </c>
      <c r="B21" s="142">
        <f>'（３）業績構成比'!AG50/1000</f>
        <v>5978.1363586462239</v>
      </c>
      <c r="C21" s="143">
        <f>IFERROR(B21/$B$6,"")</f>
        <v>0.11357187008339768</v>
      </c>
      <c r="D21" s="272">
        <v>0.13619626613806221</v>
      </c>
      <c r="E21" s="143">
        <f>IFERROR(C21-D21,"")</f>
        <v>-2.2624396054664528E-2</v>
      </c>
      <c r="F21" s="133"/>
      <c r="G21" s="128" t="s">
        <v>215</v>
      </c>
      <c r="H21" s="142">
        <f>'（４）訂單數量構成比'!AG50</f>
        <v>125011</v>
      </c>
      <c r="I21" s="143">
        <f>IFERROR(H21/$B$7,"")</f>
        <v>7.4728415998603595E-2</v>
      </c>
      <c r="J21" s="272">
        <v>9.0009011239065476E-2</v>
      </c>
      <c r="K21" s="143">
        <f>IFERROR(I21-J21,"")</f>
        <v>-1.5280595240461881E-2</v>
      </c>
    </row>
    <row r="22" spans="1:18" s="121" customFormat="1" ht="18" customHeight="1">
      <c r="A22" s="128" t="s">
        <v>210</v>
      </c>
      <c r="B22" s="142">
        <f>'（３）業績構成比'!AI50/1000</f>
        <v>5238.4910571349819</v>
      </c>
      <c r="C22" s="143">
        <f t="shared" si="5"/>
        <v>9.9520183227922027E-2</v>
      </c>
      <c r="D22" s="272">
        <v>6.8175373790099608E-2</v>
      </c>
      <c r="E22" s="143">
        <f t="shared" si="6"/>
        <v>3.1344809437822418E-2</v>
      </c>
      <c r="F22" s="133"/>
      <c r="G22" s="128" t="s">
        <v>216</v>
      </c>
      <c r="H22" s="142">
        <f>'（４）訂單數量構成比'!AI50</f>
        <v>146351</v>
      </c>
      <c r="I22" s="143">
        <f t="shared" si="3"/>
        <v>8.7484928604775858E-2</v>
      </c>
      <c r="J22" s="272">
        <v>5.972113976954431E-2</v>
      </c>
      <c r="K22" s="143">
        <f t="shared" si="4"/>
        <v>2.7763788835231548E-2</v>
      </c>
    </row>
    <row r="23" spans="1:18" s="121" customFormat="1" ht="18" customHeight="1">
      <c r="A23" s="128" t="s">
        <v>212</v>
      </c>
      <c r="B23" s="142">
        <f>'（３）業績構成比'!AK50/1000</f>
        <v>4690.3893078016135</v>
      </c>
      <c r="C23" s="143">
        <f t="shared" si="5"/>
        <v>8.9107416282962468E-2</v>
      </c>
      <c r="D23" s="272">
        <v>7.674080245627983E-2</v>
      </c>
      <c r="E23" s="143">
        <f t="shared" si="6"/>
        <v>1.2366613826682638E-2</v>
      </c>
      <c r="F23" s="133"/>
      <c r="G23" s="128" t="s">
        <v>211</v>
      </c>
      <c r="H23" s="142">
        <f>'（４）訂單數量構成比'!AK50</f>
        <v>160400</v>
      </c>
      <c r="I23" s="143">
        <f t="shared" si="3"/>
        <v>9.5883065699626568E-2</v>
      </c>
      <c r="J23" s="272">
        <v>8.2080958717727678E-2</v>
      </c>
      <c r="K23" s="143">
        <f t="shared" si="4"/>
        <v>1.380210698189889E-2</v>
      </c>
    </row>
    <row r="24" spans="1:18" s="121" customFormat="1" ht="15.75" customHeight="1">
      <c r="A24" s="133"/>
      <c r="B24" s="133"/>
      <c r="C24" s="137">
        <f>SUM(C15:C23)</f>
        <v>1.0908354629889694</v>
      </c>
      <c r="D24" s="137">
        <f>SUM(D15:D23)</f>
        <v>1.0000000000000002</v>
      </c>
      <c r="E24" s="133"/>
      <c r="F24" s="133"/>
      <c r="G24" s="133"/>
      <c r="H24" s="133"/>
      <c r="I24" s="137">
        <f>SUM(I15:I23)</f>
        <v>1.1857471377051787</v>
      </c>
      <c r="J24" s="137">
        <f>SUM(J15:J23)</f>
        <v>1</v>
      </c>
      <c r="K24" s="133"/>
    </row>
    <row r="25" spans="1:18" s="121" customFormat="1" ht="9.6" customHeight="1">
      <c r="A25" s="138"/>
      <c r="B25" s="133"/>
      <c r="C25" s="133"/>
      <c r="D25" s="133"/>
      <c r="E25" s="133"/>
      <c r="F25" s="133"/>
      <c r="G25" s="133"/>
      <c r="H25" s="133"/>
      <c r="I25" s="133"/>
      <c r="J25" s="133"/>
      <c r="K25" s="133"/>
    </row>
    <row r="26" spans="1:18" s="121" customFormat="1" ht="15.75" customHeight="1">
      <c r="A26" s="132" t="s">
        <v>177</v>
      </c>
      <c r="B26" s="133"/>
      <c r="C26" s="133"/>
      <c r="D26" s="133"/>
      <c r="E26" s="133"/>
      <c r="F26" s="133"/>
      <c r="G26" s="133"/>
      <c r="H26" s="133"/>
      <c r="I26" s="133"/>
      <c r="J26" s="133"/>
      <c r="K26" s="133"/>
      <c r="L26" s="133"/>
      <c r="M26" s="133"/>
      <c r="N26" s="133"/>
      <c r="O26" s="133"/>
      <c r="P26" s="133"/>
      <c r="Q26" s="133"/>
      <c r="R26" s="133"/>
    </row>
    <row r="27" spans="1:18" s="121" customFormat="1" ht="15.75" customHeight="1">
      <c r="A27" s="128" t="s">
        <v>167</v>
      </c>
      <c r="B27" s="128" t="s">
        <v>22</v>
      </c>
      <c r="C27" s="128" t="s">
        <v>1</v>
      </c>
      <c r="D27" s="128" t="s">
        <v>2</v>
      </c>
      <c r="E27" s="128" t="s">
        <v>3</v>
      </c>
      <c r="F27" s="133"/>
      <c r="G27" s="133"/>
      <c r="H27" s="133"/>
      <c r="I27" s="133"/>
      <c r="M27" s="135" t="s">
        <v>416</v>
      </c>
      <c r="N27" s="135" t="s">
        <v>417</v>
      </c>
      <c r="O27" s="135" t="s">
        <v>418</v>
      </c>
      <c r="P27" s="135" t="s">
        <v>419</v>
      </c>
      <c r="Q27" s="135" t="s">
        <v>420</v>
      </c>
      <c r="R27" s="133"/>
    </row>
    <row r="28" spans="1:18" s="121" customFormat="1" ht="18" customHeight="1">
      <c r="A28" s="128" t="s">
        <v>213</v>
      </c>
      <c r="B28" s="273">
        <f>'（５-1）品群別人時生產性（18℃-飯糰）'!$C$1</f>
        <v>861.7157917226599</v>
      </c>
      <c r="C28" s="302">
        <v>756.20246993670457</v>
      </c>
      <c r="D28" s="243">
        <f t="shared" ref="D28:D36" si="7">B28-C28</f>
        <v>105.51332178595533</v>
      </c>
      <c r="E28" s="273">
        <f>R28</f>
        <v>789.62166332530978</v>
      </c>
      <c r="F28" s="133"/>
      <c r="G28" s="147"/>
      <c r="H28" s="147"/>
      <c r="I28" s="147"/>
      <c r="M28" s="273">
        <v>717.52753492795955</v>
      </c>
      <c r="N28" s="273">
        <f>B28</f>
        <v>861.7157917226599</v>
      </c>
      <c r="O28" s="273"/>
      <c r="P28" s="273"/>
      <c r="Q28" s="273"/>
      <c r="R28" s="289">
        <f>AVERAGE(M28:Q28)</f>
        <v>789.62166332530978</v>
      </c>
    </row>
    <row r="29" spans="1:18" s="121" customFormat="1" ht="18" customHeight="1">
      <c r="A29" s="128" t="s">
        <v>202</v>
      </c>
      <c r="B29" s="273">
        <f>'（５-2）品群別人時生產性（18-壽司手卷)'!$C$1</f>
        <v>136.67199863974548</v>
      </c>
      <c r="C29" s="302">
        <v>198.82982221081653</v>
      </c>
      <c r="D29" s="243">
        <f t="shared" si="7"/>
        <v>-62.157823571071049</v>
      </c>
      <c r="E29" s="273">
        <f t="shared" ref="E29:E36" si="8">R29</f>
        <v>167.15235776302677</v>
      </c>
      <c r="F29" s="133"/>
      <c r="G29" s="148"/>
      <c r="H29" s="148"/>
      <c r="I29" s="148"/>
      <c r="M29" s="273">
        <v>197.63271688630809</v>
      </c>
      <c r="N29" s="273">
        <f t="shared" ref="N29:N36" si="9">B29</f>
        <v>136.67199863974548</v>
      </c>
      <c r="O29" s="273"/>
      <c r="P29" s="273"/>
      <c r="Q29" s="273"/>
      <c r="R29" s="289">
        <f t="shared" ref="R29:R36" si="10">AVERAGE(M29:Q29)</f>
        <v>167.15235776302677</v>
      </c>
    </row>
    <row r="30" spans="1:18" s="121" customFormat="1" ht="18" customHeight="1">
      <c r="A30" s="128" t="s">
        <v>214</v>
      </c>
      <c r="B30" s="273">
        <f>'（５-3）品群別人時生產性（4℃-飯糰)'!$C$1</f>
        <v>231.6472467889065</v>
      </c>
      <c r="C30" s="302">
        <v>253.36933201602551</v>
      </c>
      <c r="D30" s="243">
        <f t="shared" si="7"/>
        <v>-21.72208522711901</v>
      </c>
      <c r="E30" s="273">
        <f t="shared" si="8"/>
        <v>236.05290908360487</v>
      </c>
      <c r="F30" s="133"/>
      <c r="G30" s="133"/>
      <c r="H30" s="133"/>
      <c r="I30" s="133"/>
      <c r="M30" s="273">
        <v>240.45857137830325</v>
      </c>
      <c r="N30" s="273">
        <f t="shared" si="9"/>
        <v>231.6472467889065</v>
      </c>
      <c r="O30" s="273"/>
      <c r="P30" s="273"/>
      <c r="Q30" s="273"/>
      <c r="R30" s="289">
        <f t="shared" si="10"/>
        <v>236.05290908360487</v>
      </c>
    </row>
    <row r="31" spans="1:18" s="121" customFormat="1" ht="18" customHeight="1">
      <c r="A31" s="128" t="s">
        <v>200</v>
      </c>
      <c r="B31" s="273" t="e">
        <f>'（５-4）品群別人時生產性（4℃-壽司手卷)'!$C$1</f>
        <v>#DIV/0!</v>
      </c>
      <c r="C31" s="302">
        <v>112.99131142028241</v>
      </c>
      <c r="D31" s="243" t="e">
        <f t="shared" si="7"/>
        <v>#DIV/0!</v>
      </c>
      <c r="E31" s="273" t="e">
        <f t="shared" si="8"/>
        <v>#DIV/0!</v>
      </c>
      <c r="F31" s="133"/>
      <c r="G31" s="133"/>
      <c r="H31" s="133"/>
      <c r="I31" s="133"/>
      <c r="M31" s="273">
        <v>106.86512290813759</v>
      </c>
      <c r="N31" s="273" t="e">
        <f t="shared" si="9"/>
        <v>#DIV/0!</v>
      </c>
      <c r="O31" s="273"/>
      <c r="P31" s="273"/>
      <c r="Q31" s="273"/>
      <c r="R31" s="289" t="e">
        <f t="shared" si="10"/>
        <v>#DIV/0!</v>
      </c>
    </row>
    <row r="32" spans="1:18" s="121" customFormat="1" ht="18" customHeight="1">
      <c r="A32" s="128" t="s">
        <v>204</v>
      </c>
      <c r="B32" s="273">
        <f>'（５-5）品群別人時生產性(主食) '!$C$1</f>
        <v>88.879798284433988</v>
      </c>
      <c r="C32" s="302">
        <v>85.495684450909806</v>
      </c>
      <c r="D32" s="243">
        <f t="shared" si="7"/>
        <v>3.3841138335241823</v>
      </c>
      <c r="E32" s="273">
        <f t="shared" si="8"/>
        <v>89.095113344583638</v>
      </c>
      <c r="F32" s="133"/>
      <c r="G32" s="133"/>
      <c r="H32" s="133"/>
      <c r="I32" s="133"/>
      <c r="M32" s="273">
        <v>89.310428404733287</v>
      </c>
      <c r="N32" s="273">
        <f t="shared" si="9"/>
        <v>88.879798284433988</v>
      </c>
      <c r="O32" s="273"/>
      <c r="P32" s="273"/>
      <c r="Q32" s="273"/>
      <c r="R32" s="289">
        <f t="shared" si="10"/>
        <v>89.095113344583638</v>
      </c>
    </row>
    <row r="33" spans="1:18" s="121" customFormat="1" ht="18" customHeight="1">
      <c r="A33" s="128" t="s">
        <v>206</v>
      </c>
      <c r="B33" s="273">
        <f>'（５-6）品群別人時生產性(便當)'!$C$1</f>
        <v>72.424316095340771</v>
      </c>
      <c r="C33" s="302">
        <v>66.943613625537381</v>
      </c>
      <c r="D33" s="243">
        <f t="shared" si="7"/>
        <v>5.4807024698033899</v>
      </c>
      <c r="E33" s="273">
        <f t="shared" si="8"/>
        <v>69.048529277310266</v>
      </c>
      <c r="F33" s="133"/>
      <c r="G33" s="133"/>
      <c r="H33" s="133"/>
      <c r="I33" s="133"/>
      <c r="M33" s="273">
        <v>65.67274245927976</v>
      </c>
      <c r="N33" s="273">
        <f t="shared" si="9"/>
        <v>72.424316095340771</v>
      </c>
      <c r="O33" s="273"/>
      <c r="P33" s="273"/>
      <c r="Q33" s="273"/>
      <c r="R33" s="289">
        <f t="shared" si="10"/>
        <v>69.048529277310266</v>
      </c>
    </row>
    <row r="34" spans="1:18" s="121" customFormat="1" ht="18" customHeight="1">
      <c r="A34" s="128" t="s">
        <v>215</v>
      </c>
      <c r="B34" s="273">
        <f>'（５-7）品群別人時生產性(熱食義麵) '!$C$1</f>
        <v>80.896252830499606</v>
      </c>
      <c r="C34" s="302">
        <v>80.555861357885718</v>
      </c>
      <c r="D34" s="243">
        <f t="shared" si="7"/>
        <v>0.34039147261388791</v>
      </c>
      <c r="E34" s="273">
        <f t="shared" si="8"/>
        <v>78.187410926226192</v>
      </c>
      <c r="F34" s="133"/>
      <c r="G34" s="133"/>
      <c r="H34" s="133"/>
      <c r="I34" s="133"/>
      <c r="M34" s="273">
        <v>75.478569021952779</v>
      </c>
      <c r="N34" s="273">
        <f t="shared" si="9"/>
        <v>80.896252830499606</v>
      </c>
      <c r="O34" s="273"/>
      <c r="P34" s="273"/>
      <c r="Q34" s="273"/>
      <c r="R34" s="289">
        <f t="shared" si="10"/>
        <v>78.187410926226192</v>
      </c>
    </row>
    <row r="35" spans="1:18" s="121" customFormat="1" ht="18" customHeight="1">
      <c r="A35" s="128" t="s">
        <v>216</v>
      </c>
      <c r="B35" s="273">
        <f>'（５-8）品群別人時生產性(季節調理麵) '!$C$1</f>
        <v>128.19631560423497</v>
      </c>
      <c r="C35" s="302">
        <v>121.13262609451999</v>
      </c>
      <c r="D35" s="243">
        <f t="shared" si="7"/>
        <v>7.0636895097149761</v>
      </c>
      <c r="E35" s="273">
        <f t="shared" si="8"/>
        <v>121.35094381541899</v>
      </c>
      <c r="F35" s="133"/>
      <c r="G35" s="133"/>
      <c r="H35" s="133"/>
      <c r="I35" s="133"/>
      <c r="M35" s="273">
        <v>114.50557202660302</v>
      </c>
      <c r="N35" s="273">
        <f t="shared" si="9"/>
        <v>128.19631560423497</v>
      </c>
      <c r="O35" s="273"/>
      <c r="P35" s="273"/>
      <c r="Q35" s="273"/>
      <c r="R35" s="289">
        <f t="shared" si="10"/>
        <v>121.35094381541899</v>
      </c>
    </row>
    <row r="36" spans="1:18" s="121" customFormat="1" ht="18" customHeight="1">
      <c r="A36" s="124" t="s">
        <v>211</v>
      </c>
      <c r="B36" s="273">
        <f>'（５-9）品群別人時生產性(微波小吃)'!$C$1</f>
        <v>154.62316490637193</v>
      </c>
      <c r="C36" s="302">
        <v>115.3662253913358</v>
      </c>
      <c r="D36" s="243">
        <f t="shared" si="7"/>
        <v>39.256939515036123</v>
      </c>
      <c r="E36" s="273">
        <f t="shared" si="8"/>
        <v>127.13575347411883</v>
      </c>
      <c r="F36" s="133"/>
      <c r="G36" s="133"/>
      <c r="H36" s="133"/>
      <c r="I36" s="133"/>
      <c r="M36" s="273">
        <v>99.648342041865732</v>
      </c>
      <c r="N36" s="273">
        <f t="shared" si="9"/>
        <v>154.62316490637193</v>
      </c>
      <c r="O36" s="273"/>
      <c r="P36" s="273"/>
      <c r="Q36" s="273"/>
      <c r="R36" s="289">
        <f t="shared" si="10"/>
        <v>127.13575347411883</v>
      </c>
    </row>
    <row r="37" spans="1:18" s="121" customFormat="1" ht="15.75" customHeight="1"/>
    <row r="38" spans="1:18" s="121" customFormat="1" ht="15.75" customHeight="1"/>
  </sheetData>
  <mergeCells count="2">
    <mergeCell ref="A1:K2"/>
    <mergeCell ref="D3:E3"/>
  </mergeCells>
  <phoneticPr fontId="13" type="noConversion"/>
  <printOptions horizontalCentered="1" gridLines="1"/>
  <pageMargins left="0.39370078740157483" right="0.39370078740157483" top="0.39370078740157483" bottom="0.19685039370078741" header="0" footer="0"/>
  <pageSetup paperSize="9" scale="86" fitToWidth="0" fitToHeight="0" pageOrder="overThenDown" orientation="landscape" cellComments="atEnd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outlinePr summaryBelow="0" summaryRight="0"/>
  </sheetPr>
  <dimension ref="A1:R38"/>
  <sheetViews>
    <sheetView tabSelected="1" zoomScale="85" zoomScaleNormal="85" zoomScaleSheetLayoutView="100" workbookViewId="0">
      <selection activeCell="G32" sqref="G32"/>
    </sheetView>
  </sheetViews>
  <sheetFormatPr defaultColWidth="12.5703125" defaultRowHeight="15.75" customHeight="1"/>
  <cols>
    <col min="1" max="1" width="27.42578125" style="119" bestFit="1" customWidth="1"/>
    <col min="2" max="2" width="12.5703125" style="119" customWidth="1"/>
    <col min="3" max="4" width="12.5703125" style="119"/>
    <col min="5" max="5" width="16.42578125" style="119" customWidth="1"/>
    <col min="6" max="6" width="2.42578125" style="119" customWidth="1"/>
    <col min="7" max="7" width="24.85546875" style="119" bestFit="1" customWidth="1"/>
    <col min="8" max="10" width="12.5703125" style="119"/>
    <col min="11" max="11" width="16.42578125" style="119" customWidth="1"/>
    <col min="12" max="12" width="12.5703125" style="120"/>
    <col min="13" max="16384" width="12.5703125" style="119"/>
  </cols>
  <sheetData>
    <row r="1" spans="1:18" ht="15.75" customHeight="1">
      <c r="A1" s="610" t="s">
        <v>356</v>
      </c>
      <c r="B1" s="610"/>
      <c r="C1" s="610"/>
      <c r="D1" s="610"/>
      <c r="E1" s="610"/>
      <c r="F1" s="610"/>
      <c r="G1" s="610"/>
      <c r="H1" s="610"/>
      <c r="I1" s="610"/>
      <c r="J1" s="610"/>
      <c r="K1" s="610"/>
      <c r="L1" s="119"/>
    </row>
    <row r="2" spans="1:18" s="120" customFormat="1" ht="15.75" customHeight="1">
      <c r="A2" s="610"/>
      <c r="B2" s="610"/>
      <c r="C2" s="610"/>
      <c r="D2" s="610"/>
      <c r="E2" s="610"/>
      <c r="F2" s="610"/>
      <c r="G2" s="610"/>
      <c r="H2" s="610"/>
      <c r="I2" s="610"/>
      <c r="J2" s="610"/>
      <c r="K2" s="610"/>
    </row>
    <row r="3" spans="1:18" ht="21.6" customHeight="1">
      <c r="A3" s="139" t="s">
        <v>306</v>
      </c>
      <c r="B3" s="214">
        <v>9</v>
      </c>
      <c r="C3" s="216" t="s">
        <v>307</v>
      </c>
      <c r="D3" s="214" t="s">
        <v>714</v>
      </c>
      <c r="E3" s="139" t="s">
        <v>20</v>
      </c>
      <c r="F3" s="611" t="s">
        <v>355</v>
      </c>
      <c r="G3" s="611"/>
      <c r="H3" s="130"/>
      <c r="I3" s="131"/>
      <c r="J3" s="130"/>
      <c r="K3" s="130"/>
      <c r="L3" s="130"/>
      <c r="M3" s="130"/>
      <c r="N3" s="120"/>
    </row>
    <row r="4" spans="1:18" s="121" customFormat="1" ht="15.75" customHeight="1">
      <c r="A4" s="132" t="s">
        <v>176</v>
      </c>
      <c r="B4" s="133"/>
      <c r="C4" s="133"/>
      <c r="D4" s="133"/>
      <c r="E4" s="123" t="s">
        <v>23</v>
      </c>
      <c r="F4" s="133"/>
      <c r="G4" s="134" t="s">
        <v>125</v>
      </c>
      <c r="H4" s="133"/>
      <c r="I4" s="133"/>
      <c r="J4" s="133"/>
      <c r="K4" s="133"/>
    </row>
    <row r="5" spans="1:18" s="125" customFormat="1" ht="15.75" customHeight="1">
      <c r="A5" s="146" t="s">
        <v>178</v>
      </c>
      <c r="B5" s="146" t="s">
        <v>309</v>
      </c>
      <c r="C5" s="146" t="s">
        <v>311</v>
      </c>
      <c r="D5" s="141" t="s">
        <v>2</v>
      </c>
      <c r="E5" s="141" t="s">
        <v>3</v>
      </c>
      <c r="F5" s="135"/>
      <c r="G5" s="146" t="s">
        <v>178</v>
      </c>
      <c r="H5" s="141" t="s">
        <v>69</v>
      </c>
      <c r="I5" s="141" t="s">
        <v>308</v>
      </c>
      <c r="J5" s="141" t="s">
        <v>310</v>
      </c>
      <c r="K5" s="141" t="s">
        <v>3</v>
      </c>
      <c r="L5" s="126" t="s">
        <v>60</v>
      </c>
    </row>
    <row r="6" spans="1:18" s="121" customFormat="1" ht="18" customHeight="1">
      <c r="A6" s="128" t="s">
        <v>24</v>
      </c>
      <c r="B6" s="223">
        <f>'（１）收支狀況'!G6/1000</f>
        <v>62106.324000000001</v>
      </c>
      <c r="C6" s="253">
        <v>56983.669000000002</v>
      </c>
      <c r="D6" s="142">
        <f t="shared" ref="D6:D11" si="0">B6-C6</f>
        <v>5122.6549999999988</v>
      </c>
      <c r="E6" s="235">
        <f>'（１）收支狀況'!H10/1000</f>
        <v>52637.474000000002</v>
      </c>
      <c r="F6" s="133"/>
      <c r="G6" s="128" t="s">
        <v>179</v>
      </c>
      <c r="H6" s="274">
        <v>366</v>
      </c>
      <c r="I6" s="237">
        <f>'（２）ＫＰＩ達成進度'!G6</f>
        <v>357.07494184699289</v>
      </c>
      <c r="J6" s="258">
        <v>358.9416245794082</v>
      </c>
      <c r="K6" s="259">
        <f>'（２）ＫＰＩ達成進度'!H10</f>
        <v>357.96047444230834</v>
      </c>
      <c r="L6" s="122" t="s">
        <v>175</v>
      </c>
    </row>
    <row r="7" spans="1:18" s="121" customFormat="1" ht="18" customHeight="1">
      <c r="A7" s="128" t="s">
        <v>25</v>
      </c>
      <c r="B7" s="223">
        <f>'（１）收支狀況'!J6</f>
        <v>1983602</v>
      </c>
      <c r="C7" s="253">
        <v>1763767</v>
      </c>
      <c r="D7" s="142">
        <f t="shared" si="0"/>
        <v>219835</v>
      </c>
      <c r="E7" s="235">
        <f>'（１）收支狀況'!K10</f>
        <v>1672871</v>
      </c>
      <c r="F7" s="133"/>
      <c r="G7" s="128" t="s">
        <v>180</v>
      </c>
      <c r="H7" s="252">
        <v>0.8</v>
      </c>
      <c r="I7" s="251">
        <f>'（２）ＫＰＩ達成進度'!J6</f>
        <v>0.97561459521036309</v>
      </c>
      <c r="J7" s="256">
        <v>0.98071482125521336</v>
      </c>
      <c r="K7" s="252">
        <f>'（２）ＫＰＩ達成進度'!K10</f>
        <v>0.18929691932433015</v>
      </c>
      <c r="L7" s="122" t="s">
        <v>4</v>
      </c>
    </row>
    <row r="8" spans="1:18" s="121" customFormat="1" ht="18" customHeight="1">
      <c r="A8" s="128" t="s">
        <v>5</v>
      </c>
      <c r="B8" s="223">
        <f>'（１）收支狀況'!M6/1000</f>
        <v>42383.152000000002</v>
      </c>
      <c r="C8" s="253">
        <v>38639.205999999998</v>
      </c>
      <c r="D8" s="142">
        <f>B8-C8</f>
        <v>3743.9460000000036</v>
      </c>
      <c r="E8" s="235">
        <f>'（１）收支狀況'!N10/1000</f>
        <v>35728.010999999999</v>
      </c>
      <c r="F8" s="133"/>
      <c r="G8" s="128" t="s">
        <v>181</v>
      </c>
      <c r="H8" s="247">
        <v>2.5000000000000001E-3</v>
      </c>
      <c r="I8" s="236">
        <f>'（２）ＫＰＩ達成進度'!M6</f>
        <v>2.4078289211901019E-3</v>
      </c>
      <c r="J8" s="255">
        <v>2.4197447717567259E-3</v>
      </c>
      <c r="K8" s="247">
        <f>'（２）ＫＰＩ達成進度'!N10</f>
        <v>2.4089191429947725E-3</v>
      </c>
      <c r="L8" s="122" t="s">
        <v>55</v>
      </c>
    </row>
    <row r="9" spans="1:18" s="121" customFormat="1" ht="18" customHeight="1">
      <c r="A9" s="128" t="s">
        <v>6</v>
      </c>
      <c r="B9" s="224">
        <f>'（１）收支狀況'!P6</f>
        <v>0.68242892623945994</v>
      </c>
      <c r="C9" s="254">
        <v>0.67807508147641393</v>
      </c>
      <c r="D9" s="143">
        <f t="shared" si="0"/>
        <v>4.3538447630460109E-3</v>
      </c>
      <c r="E9" s="143">
        <f>'（１）收支狀況'!Q10</f>
        <v>0.67875618423482864</v>
      </c>
      <c r="F9" s="133"/>
      <c r="G9" s="128" t="s">
        <v>182</v>
      </c>
      <c r="H9" s="247">
        <v>2.5999999999999999E-3</v>
      </c>
      <c r="I9" s="236">
        <f>'（２）ＫＰＩ達成進度'!P6</f>
        <v>4.0048614927021822E-3</v>
      </c>
      <c r="J9" s="255">
        <v>4.0024424360287619E-3</v>
      </c>
      <c r="K9" s="247">
        <f>'（２）ＫＰＩ達成進度'!Q10</f>
        <v>4.009166427765192E-3</v>
      </c>
      <c r="L9" s="122" t="s">
        <v>98</v>
      </c>
    </row>
    <row r="10" spans="1:18" s="121" customFormat="1" ht="18" customHeight="1">
      <c r="A10" s="128" t="s">
        <v>64</v>
      </c>
      <c r="B10" s="223">
        <f>'（１）收支狀況'!S6/1000</f>
        <v>7577.0951892364192</v>
      </c>
      <c r="C10" s="253">
        <v>6258.5953415096574</v>
      </c>
      <c r="D10" s="142">
        <f t="shared" si="0"/>
        <v>1318.4998477267618</v>
      </c>
      <c r="E10" s="235">
        <f>'（１）收支狀況'!T10/1000</f>
        <v>6480.9673580488761</v>
      </c>
      <c r="F10" s="133"/>
      <c r="G10" s="128" t="s">
        <v>183</v>
      </c>
      <c r="H10" s="249">
        <v>0.8</v>
      </c>
      <c r="I10" s="248">
        <v>0.91400000000000003</v>
      </c>
      <c r="J10" s="256">
        <v>0.91400000000000003</v>
      </c>
      <c r="K10" s="249">
        <v>0.91700000000000004</v>
      </c>
      <c r="L10" s="122" t="s">
        <v>7</v>
      </c>
    </row>
    <row r="11" spans="1:18" s="121" customFormat="1" ht="18" customHeight="1">
      <c r="A11" s="128" t="s">
        <v>65</v>
      </c>
      <c r="B11" s="224">
        <f>'（１）收支狀況'!V6</f>
        <v>0.12200199112149061</v>
      </c>
      <c r="C11" s="254">
        <v>0.10983138592760071</v>
      </c>
      <c r="D11" s="143">
        <f t="shared" si="0"/>
        <v>1.2170605193889905E-2</v>
      </c>
      <c r="E11" s="143">
        <f>'（１）收支狀況'!W10</f>
        <v>0.12312458911020076</v>
      </c>
      <c r="F11" s="133"/>
      <c r="G11" s="128" t="s">
        <v>184</v>
      </c>
      <c r="H11" s="249">
        <v>1</v>
      </c>
      <c r="I11" s="248">
        <f>'（２）ＫＰＩ達成進度'!V6</f>
        <v>0.71371428571428575</v>
      </c>
      <c r="J11" s="256">
        <v>0.68757142857142839</v>
      </c>
      <c r="K11" s="249">
        <f>'（２）ＫＰＩ達成進度'!W10</f>
        <v>0.71600000000000008</v>
      </c>
      <c r="L11" s="122" t="s">
        <v>62</v>
      </c>
    </row>
    <row r="12" spans="1:18" s="121" customFormat="1" ht="9.6" customHeight="1">
      <c r="A12" s="133"/>
      <c r="B12" s="133"/>
      <c r="C12" s="133"/>
      <c r="D12" s="133"/>
      <c r="E12" s="133"/>
      <c r="F12" s="133"/>
      <c r="G12" s="133"/>
      <c r="H12" s="133"/>
      <c r="I12" s="133"/>
      <c r="J12" s="133"/>
      <c r="K12" s="133"/>
    </row>
    <row r="13" spans="1:18" s="121" customFormat="1" ht="15.75" customHeight="1">
      <c r="A13" s="132" t="s">
        <v>32</v>
      </c>
      <c r="B13" s="133"/>
      <c r="C13" s="133"/>
      <c r="D13" s="133"/>
      <c r="E13" s="133"/>
      <c r="F13" s="133"/>
      <c r="G13" s="132" t="s">
        <v>147</v>
      </c>
      <c r="H13" s="133"/>
      <c r="I13" s="133"/>
      <c r="J13" s="133"/>
      <c r="K13" s="133"/>
    </row>
    <row r="14" spans="1:18" s="127" customFormat="1" ht="14.25">
      <c r="A14" s="145"/>
      <c r="B14" s="217" t="s">
        <v>309</v>
      </c>
      <c r="C14" s="145" t="s">
        <v>66</v>
      </c>
      <c r="D14" s="217" t="s">
        <v>312</v>
      </c>
      <c r="E14" s="145" t="s">
        <v>68</v>
      </c>
      <c r="F14" s="136"/>
      <c r="G14" s="145"/>
      <c r="H14" s="217" t="s">
        <v>309</v>
      </c>
      <c r="I14" s="145" t="s">
        <v>66</v>
      </c>
      <c r="J14" s="217" t="s">
        <v>312</v>
      </c>
      <c r="K14" s="145" t="s">
        <v>68</v>
      </c>
      <c r="M14" s="121"/>
      <c r="N14" s="121"/>
      <c r="O14" s="121"/>
      <c r="P14" s="121"/>
      <c r="Q14" s="121"/>
      <c r="R14" s="121"/>
    </row>
    <row r="15" spans="1:18" s="121" customFormat="1" ht="18" customHeight="1">
      <c r="A15" s="128" t="s">
        <v>316</v>
      </c>
      <c r="B15" s="238">
        <f>SUM('（３）業績構成比'!I7:I49,'（３）業績構成比'!K7:K49)/1000</f>
        <v>16021.056500249515</v>
      </c>
      <c r="C15" s="143">
        <f>IFERROR(B15/$B$6,"")</f>
        <v>0.25796175765046914</v>
      </c>
      <c r="D15" s="254">
        <v>0.19844275522890459</v>
      </c>
      <c r="E15" s="143">
        <f>IFERROR(C15-D15,"")</f>
        <v>5.9519002421564549E-2</v>
      </c>
      <c r="F15" s="133"/>
      <c r="G15" s="128" t="s">
        <v>316</v>
      </c>
      <c r="H15" s="238">
        <f>SUM(,'（４）訂單數量構成比'!I7:I49,'（４）訂單數量構成比'!K7:K49)</f>
        <v>803397</v>
      </c>
      <c r="I15" s="143">
        <f t="shared" ref="I15:I23" si="1">IFERROR(H15/$B$7,"")</f>
        <v>0.40501925285415119</v>
      </c>
      <c r="J15" s="254">
        <v>0.34164263193494376</v>
      </c>
      <c r="K15" s="143">
        <f t="shared" ref="K15:K23" si="2">IFERROR(I15-J15,"")</f>
        <v>6.3376620919207427E-2</v>
      </c>
    </row>
    <row r="16" spans="1:18" s="121" customFormat="1" ht="18" customHeight="1">
      <c r="A16" s="128" t="s">
        <v>203</v>
      </c>
      <c r="B16" s="238">
        <f>SUM('（３）業績構成比'!O7:O49,'（３）業績構成比'!Q7:Q49)/1000</f>
        <v>1551.1350108796064</v>
      </c>
      <c r="C16" s="143">
        <f t="shared" ref="C16:C23" si="3">IFERROR(B16/$B$6,"")</f>
        <v>2.4975476102556099E-2</v>
      </c>
      <c r="D16" s="254">
        <v>2.4265883968331532E-2</v>
      </c>
      <c r="E16" s="143">
        <f t="shared" ref="E16:E23" si="4">IFERROR(C16-D16,"")</f>
        <v>7.0959213422456743E-4</v>
      </c>
      <c r="F16" s="133"/>
      <c r="G16" s="128" t="s">
        <v>232</v>
      </c>
      <c r="H16" s="238">
        <f>SUM('（４）訂單數量構成比'!O7:O49,'（４）訂單數量構成比'!Q7:Q49)</f>
        <v>53883</v>
      </c>
      <c r="I16" s="143">
        <f t="shared" si="1"/>
        <v>2.7164219435148785E-2</v>
      </c>
      <c r="J16" s="254">
        <v>2.7479253212017232E-2</v>
      </c>
      <c r="K16" s="143">
        <f t="shared" si="2"/>
        <v>-3.1503377686844733E-4</v>
      </c>
    </row>
    <row r="17" spans="1:11" s="121" customFormat="1" ht="18" customHeight="1">
      <c r="A17" s="128" t="s">
        <v>199</v>
      </c>
      <c r="B17" s="238">
        <f>SUM('（３）業績構成比'!U7:U49)/1000</f>
        <v>6881.5661889159464</v>
      </c>
      <c r="C17" s="143">
        <f t="shared" si="3"/>
        <v>0.1108029866478001</v>
      </c>
      <c r="D17" s="254">
        <v>0.12159566148538979</v>
      </c>
      <c r="E17" s="143">
        <f t="shared" si="4"/>
        <v>-1.0792674837589694E-2</v>
      </c>
      <c r="F17" s="133"/>
      <c r="G17" s="128" t="s">
        <v>214</v>
      </c>
      <c r="H17" s="238">
        <f>SUM('（４）訂單數量構成比'!U7:U49)</f>
        <v>210266</v>
      </c>
      <c r="I17" s="143">
        <f t="shared" si="1"/>
        <v>0.1060021113106359</v>
      </c>
      <c r="J17" s="254">
        <v>0.12024377369573191</v>
      </c>
      <c r="K17" s="143">
        <f t="shared" si="2"/>
        <v>-1.4241662385096013E-2</v>
      </c>
    </row>
    <row r="18" spans="1:11" s="121" customFormat="1" ht="18" customHeight="1">
      <c r="A18" s="128" t="s">
        <v>201</v>
      </c>
      <c r="B18" s="238">
        <f>SUM('（３）業績構成比'!W7:W49)/1000</f>
        <v>0</v>
      </c>
      <c r="C18" s="143">
        <f t="shared" si="3"/>
        <v>0</v>
      </c>
      <c r="D18" s="254">
        <v>0</v>
      </c>
      <c r="E18" s="143">
        <f t="shared" si="4"/>
        <v>0</v>
      </c>
      <c r="F18" s="133"/>
      <c r="G18" s="128" t="s">
        <v>200</v>
      </c>
      <c r="H18" s="238">
        <f>SUM('（４）訂單數量構成比'!W7:W49)</f>
        <v>0</v>
      </c>
      <c r="I18" s="143">
        <f t="shared" si="1"/>
        <v>0</v>
      </c>
      <c r="J18" s="254">
        <v>0</v>
      </c>
      <c r="K18" s="143">
        <f t="shared" si="2"/>
        <v>0</v>
      </c>
    </row>
    <row r="19" spans="1:11" s="121" customFormat="1" ht="18" customHeight="1">
      <c r="A19" s="128" t="s">
        <v>205</v>
      </c>
      <c r="B19" s="238">
        <f>SUM('（３）業績構成比'!Y7:Y49,'（３）業績構成比'!AA7:AA49)/1000</f>
        <v>13086.395983437978</v>
      </c>
      <c r="C19" s="143">
        <f t="shared" si="3"/>
        <v>0.21070955646059455</v>
      </c>
      <c r="D19" s="254">
        <v>0.23843040210602878</v>
      </c>
      <c r="E19" s="143">
        <f t="shared" si="4"/>
        <v>-2.7720845645434228E-2</v>
      </c>
      <c r="F19" s="133"/>
      <c r="G19" s="128" t="s">
        <v>204</v>
      </c>
      <c r="H19" s="238">
        <f>SUM('（４）訂單數量構成比'!Y7:Y49,'（４）訂單數量構成比'!AA7:AA49)</f>
        <v>334536</v>
      </c>
      <c r="I19" s="143">
        <f t="shared" si="1"/>
        <v>0.16865076764391243</v>
      </c>
      <c r="J19" s="254">
        <v>0.19544871856656804</v>
      </c>
      <c r="K19" s="143">
        <f t="shared" si="2"/>
        <v>-2.6797950922655606E-2</v>
      </c>
    </row>
    <row r="20" spans="1:11" s="121" customFormat="1" ht="18" customHeight="1">
      <c r="A20" s="128" t="s">
        <v>207</v>
      </c>
      <c r="B20" s="238">
        <f>SUM('（３）業績構成比'!AE7:AE49)/1000</f>
        <v>8659.1535929341317</v>
      </c>
      <c r="C20" s="143">
        <f t="shared" si="3"/>
        <v>0.1394246678153763</v>
      </c>
      <c r="D20" s="254">
        <v>0.16236068536321405</v>
      </c>
      <c r="E20" s="143">
        <f t="shared" si="4"/>
        <v>-2.293601754783775E-2</v>
      </c>
      <c r="F20" s="133"/>
      <c r="G20" s="128" t="s">
        <v>206</v>
      </c>
      <c r="H20" s="238">
        <f>SUM('（４）訂單數量構成比'!AE7:AE49)</f>
        <v>149758</v>
      </c>
      <c r="I20" s="143">
        <f t="shared" si="1"/>
        <v>7.5498008168977448E-2</v>
      </c>
      <c r="J20" s="254">
        <v>9.0397994746471616E-2</v>
      </c>
      <c r="K20" s="143">
        <f t="shared" si="2"/>
        <v>-1.4899986577494168E-2</v>
      </c>
    </row>
    <row r="21" spans="1:11" s="121" customFormat="1" ht="18" customHeight="1">
      <c r="A21" s="128" t="s">
        <v>209</v>
      </c>
      <c r="B21" s="238">
        <f>SUM('（３）業績構成比'!AG7:AG49)/1000</f>
        <v>5978.1363586462239</v>
      </c>
      <c r="C21" s="143">
        <f t="shared" si="3"/>
        <v>9.6256483617452926E-2</v>
      </c>
      <c r="D21" s="254">
        <v>8.7865574444276048E-2</v>
      </c>
      <c r="E21" s="143">
        <f t="shared" si="4"/>
        <v>8.3909091731768776E-3</v>
      </c>
      <c r="F21" s="133"/>
      <c r="G21" s="128" t="s">
        <v>215</v>
      </c>
      <c r="H21" s="238">
        <f>SUM('（４）訂單數量構成比'!AG7:AG49)</f>
        <v>125011</v>
      </c>
      <c r="I21" s="143">
        <f t="shared" si="1"/>
        <v>6.302221917501595E-2</v>
      </c>
      <c r="J21" s="254">
        <v>5.8565558829482577E-2</v>
      </c>
      <c r="K21" s="143">
        <f t="shared" si="2"/>
        <v>4.4566603455333739E-3</v>
      </c>
    </row>
    <row r="22" spans="1:11" s="121" customFormat="1" ht="18" customHeight="1">
      <c r="A22" s="128" t="s">
        <v>210</v>
      </c>
      <c r="B22" s="238">
        <f>SUM('（３）業績構成比'!AI7:AI49)/1000</f>
        <v>5238.4910571349819</v>
      </c>
      <c r="C22" s="143">
        <f t="shared" si="3"/>
        <v>8.4347144054685672E-2</v>
      </c>
      <c r="D22" s="254">
        <v>8.9722939458246484E-2</v>
      </c>
      <c r="E22" s="143">
        <f t="shared" si="4"/>
        <v>-5.3757954035608124E-3</v>
      </c>
      <c r="F22" s="133"/>
      <c r="G22" s="128" t="s">
        <v>216</v>
      </c>
      <c r="H22" s="238">
        <f>SUM('（４）訂單數量構成比'!AI7:AI49)</f>
        <v>146351</v>
      </c>
      <c r="I22" s="143">
        <f t="shared" si="1"/>
        <v>7.3780425710399569E-2</v>
      </c>
      <c r="J22" s="254">
        <v>8.102600853740885E-2</v>
      </c>
      <c r="K22" s="143">
        <f t="shared" si="2"/>
        <v>-7.2455828270092809E-3</v>
      </c>
    </row>
    <row r="23" spans="1:11" s="121" customFormat="1" ht="18" customHeight="1">
      <c r="A23" s="128" t="s">
        <v>212</v>
      </c>
      <c r="B23" s="238">
        <f>SUM('（３）業績構成比'!AK7:AK49)/1000</f>
        <v>4690.3893078016135</v>
      </c>
      <c r="C23" s="143">
        <f t="shared" si="3"/>
        <v>7.552192765106519E-2</v>
      </c>
      <c r="D23" s="254">
        <v>7.7316097945608619E-2</v>
      </c>
      <c r="E23" s="143">
        <f t="shared" si="4"/>
        <v>-1.794170294543429E-3</v>
      </c>
      <c r="F23" s="133"/>
      <c r="G23" s="128" t="s">
        <v>211</v>
      </c>
      <c r="H23" s="238">
        <f>SUM('（４）訂單數量構成比'!AK7:AK49)</f>
        <v>160400</v>
      </c>
      <c r="I23" s="143">
        <f t="shared" si="1"/>
        <v>8.0862995701758714E-2</v>
      </c>
      <c r="J23" s="254">
        <v>8.5196060477375976E-2</v>
      </c>
      <c r="K23" s="143">
        <f t="shared" si="2"/>
        <v>-4.3330647756172624E-3</v>
      </c>
    </row>
    <row r="24" spans="1:11" s="121" customFormat="1" ht="15.75" customHeight="1">
      <c r="A24" s="133"/>
      <c r="B24" s="133"/>
      <c r="C24" s="137">
        <f>SUM(C15:C23)</f>
        <v>1</v>
      </c>
      <c r="D24" s="137">
        <f>SUM(D15:D23)</f>
        <v>0.99999999999999978</v>
      </c>
      <c r="E24" s="133"/>
      <c r="F24" s="133"/>
      <c r="G24" s="133"/>
      <c r="H24" s="133"/>
      <c r="I24" s="137">
        <f>SUM(I15:I23)</f>
        <v>0.99999999999999989</v>
      </c>
      <c r="J24" s="137">
        <f>SUM(J15:J23)</f>
        <v>0.99999999999999989</v>
      </c>
      <c r="K24" s="133"/>
    </row>
    <row r="25" spans="1:11" s="121" customFormat="1" ht="9.6" customHeight="1">
      <c r="A25" s="138"/>
      <c r="B25" s="133"/>
      <c r="C25" s="133"/>
      <c r="D25" s="133"/>
      <c r="E25" s="133"/>
      <c r="F25" s="133"/>
      <c r="G25" s="133"/>
      <c r="H25" s="133"/>
      <c r="I25" s="133"/>
      <c r="J25" s="133"/>
      <c r="K25" s="133"/>
    </row>
    <row r="26" spans="1:11" s="121" customFormat="1" ht="15.75" customHeight="1">
      <c r="A26" s="132" t="s">
        <v>437</v>
      </c>
      <c r="B26" s="133"/>
      <c r="C26" s="133"/>
      <c r="D26" s="133"/>
      <c r="E26" s="133"/>
      <c r="F26" s="133"/>
      <c r="G26" s="133"/>
      <c r="H26" s="133"/>
      <c r="I26" s="133"/>
      <c r="J26" s="133"/>
      <c r="K26" s="133"/>
    </row>
    <row r="27" spans="1:11" s="121" customFormat="1" ht="15.75" customHeight="1">
      <c r="A27" s="128" t="s">
        <v>167</v>
      </c>
      <c r="B27" s="218" t="s">
        <v>309</v>
      </c>
      <c r="C27" s="218" t="s">
        <v>311</v>
      </c>
      <c r="D27" s="128" t="s">
        <v>2</v>
      </c>
      <c r="E27" s="128" t="s">
        <v>357</v>
      </c>
      <c r="G27" s="133"/>
      <c r="H27" s="133"/>
      <c r="I27" s="133"/>
      <c r="J27" s="133"/>
      <c r="K27" s="133"/>
    </row>
    <row r="28" spans="1:11" s="121" customFormat="1" ht="18" customHeight="1">
      <c r="A28" s="128" t="s">
        <v>316</v>
      </c>
      <c r="B28" s="242">
        <f>'（５-1）品群別人時生產性（18℃-飯糰）'!L7</f>
        <v>861.7157917226599</v>
      </c>
      <c r="C28" s="257">
        <v>830.41616594065533</v>
      </c>
      <c r="D28" s="243">
        <f t="shared" ref="D28:D36" si="5">B28-C28</f>
        <v>31.299625782004568</v>
      </c>
      <c r="E28" s="129">
        <f>'（５-1）品群別人時生產性（18℃-飯糰）'!C1</f>
        <v>861.7157917226599</v>
      </c>
      <c r="G28" s="147"/>
      <c r="H28" s="523"/>
      <c r="I28" s="147"/>
      <c r="J28" s="147"/>
      <c r="K28" s="133"/>
    </row>
    <row r="29" spans="1:11" s="121" customFormat="1" ht="18" customHeight="1">
      <c r="A29" s="128" t="s">
        <v>202</v>
      </c>
      <c r="B29" s="242">
        <f>'（５-2）品群別人時生產性（18-壽司手卷)'!L7</f>
        <v>136.67199863974548</v>
      </c>
      <c r="C29" s="257">
        <v>141.06820694461382</v>
      </c>
      <c r="D29" s="243">
        <f t="shared" si="5"/>
        <v>-4.3962083048683382</v>
      </c>
      <c r="E29" s="129">
        <f>'（５-2）品群別人時生產性（18-壽司手卷)'!C1</f>
        <v>136.67199863974548</v>
      </c>
      <c r="G29" s="148"/>
      <c r="H29" s="523"/>
      <c r="I29" s="149"/>
      <c r="J29" s="150"/>
      <c r="K29" s="133"/>
    </row>
    <row r="30" spans="1:11" s="121" customFormat="1" ht="18" customHeight="1">
      <c r="A30" s="128" t="s">
        <v>214</v>
      </c>
      <c r="B30" s="242">
        <f>'（５-3）品群別人時生產性（4℃-飯糰)'!L7</f>
        <v>231.6472467889065</v>
      </c>
      <c r="C30" s="257">
        <v>232.60359423290868</v>
      </c>
      <c r="D30" s="243">
        <f t="shared" si="5"/>
        <v>-0.95634744400217642</v>
      </c>
      <c r="E30" s="129">
        <f>'（５-3）品群別人時生產性（4℃-飯糰)'!C1</f>
        <v>231.6472467889065</v>
      </c>
      <c r="G30" s="133"/>
      <c r="H30" s="523"/>
      <c r="I30" s="133"/>
      <c r="J30" s="133"/>
      <c r="K30" s="133"/>
    </row>
    <row r="31" spans="1:11" s="121" customFormat="1" ht="18" customHeight="1">
      <c r="A31" s="128" t="s">
        <v>200</v>
      </c>
      <c r="B31" s="242" t="str">
        <f>'（５-4）品群別人時生產性（4℃-壽司手卷)'!L7</f>
        <v>-</v>
      </c>
      <c r="C31" s="257" t="s">
        <v>8</v>
      </c>
      <c r="D31" s="243" t="e">
        <f t="shared" si="5"/>
        <v>#VALUE!</v>
      </c>
      <c r="E31" s="129" t="e">
        <f>'（５-4）品群別人時生產性（4℃-壽司手卷)'!C1</f>
        <v>#DIV/0!</v>
      </c>
      <c r="G31" s="566" t="s">
        <v>781</v>
      </c>
      <c r="H31" s="523"/>
      <c r="I31" s="133"/>
      <c r="J31" s="133"/>
      <c r="K31" s="133"/>
    </row>
    <row r="32" spans="1:11" s="121" customFormat="1" ht="18" customHeight="1">
      <c r="A32" s="128" t="s">
        <v>204</v>
      </c>
      <c r="B32" s="242">
        <f>'（５-5）品群別人時生產性(主食) '!L7</f>
        <v>88.879798284433988</v>
      </c>
      <c r="C32" s="257">
        <v>88.794934189831906</v>
      </c>
      <c r="D32" s="243">
        <f t="shared" si="5"/>
        <v>8.4864094602082218E-2</v>
      </c>
      <c r="E32" s="129">
        <f>'（５-5）品群別人時生產性(主食) '!C1</f>
        <v>88.879798284433988</v>
      </c>
      <c r="G32" s="133"/>
      <c r="H32" s="523"/>
      <c r="I32" s="133"/>
      <c r="J32" s="133"/>
      <c r="K32" s="133"/>
    </row>
    <row r="33" spans="1:11" s="121" customFormat="1" ht="18" customHeight="1">
      <c r="A33" s="128" t="s">
        <v>206</v>
      </c>
      <c r="B33" s="242">
        <f>'（５-6）品群別人時生產性(便當)'!L7</f>
        <v>72.424316095340771</v>
      </c>
      <c r="C33" s="257">
        <v>71.703028226385655</v>
      </c>
      <c r="D33" s="243">
        <f t="shared" si="5"/>
        <v>0.7212878689551161</v>
      </c>
      <c r="E33" s="129">
        <f>'（５-6）品群別人時生產性(便當)'!C1</f>
        <v>72.424316095340771</v>
      </c>
      <c r="G33" s="133"/>
      <c r="H33" s="523"/>
      <c r="I33" s="133"/>
      <c r="J33" s="133"/>
      <c r="K33" s="133"/>
    </row>
    <row r="34" spans="1:11" s="121" customFormat="1" ht="18" customHeight="1">
      <c r="A34" s="128" t="s">
        <v>215</v>
      </c>
      <c r="B34" s="242">
        <f>'（５-7）品群別人時生產性(熱食義麵) '!L7</f>
        <v>80.896252830499606</v>
      </c>
      <c r="C34" s="257">
        <v>80.888180902499485</v>
      </c>
      <c r="D34" s="243">
        <f t="shared" si="5"/>
        <v>8.0719280001204652E-3</v>
      </c>
      <c r="E34" s="129">
        <f>'（５-7）品群別人時生產性(熱食義麵) '!C1</f>
        <v>80.896252830499606</v>
      </c>
      <c r="G34" s="133"/>
      <c r="H34" s="523"/>
      <c r="I34" s="133"/>
      <c r="J34" s="133"/>
      <c r="K34" s="133"/>
    </row>
    <row r="35" spans="1:11" s="121" customFormat="1" ht="18" customHeight="1">
      <c r="A35" s="128" t="s">
        <v>216</v>
      </c>
      <c r="B35" s="242">
        <f>'（５-8）品群別人時生產性(季節調理麵) '!L7</f>
        <v>128.19631560423497</v>
      </c>
      <c r="C35" s="257">
        <v>125.99484386958157</v>
      </c>
      <c r="D35" s="243">
        <f t="shared" si="5"/>
        <v>2.2014717346533956</v>
      </c>
      <c r="E35" s="129">
        <f>'（５-8）品群別人時生產性(季節調理麵) '!C1</f>
        <v>128.19631560423497</v>
      </c>
      <c r="G35" s="133"/>
      <c r="H35" s="523"/>
      <c r="I35" s="133"/>
      <c r="J35" s="133"/>
      <c r="K35" s="133"/>
    </row>
    <row r="36" spans="1:11" s="121" customFormat="1" ht="18" customHeight="1">
      <c r="A36" s="124" t="s">
        <v>211</v>
      </c>
      <c r="B36" s="242">
        <f>'（５-9）品群別人時生產性(微波小吃)'!L7</f>
        <v>154.62316490637193</v>
      </c>
      <c r="C36" s="257">
        <v>164.98762869485964</v>
      </c>
      <c r="D36" s="243">
        <f t="shared" si="5"/>
        <v>-10.364463788487711</v>
      </c>
      <c r="E36" s="129">
        <f>'（５-9）品群別人時生產性(微波小吃)'!C1</f>
        <v>154.62316490637193</v>
      </c>
      <c r="G36" s="133"/>
      <c r="H36" s="523"/>
      <c r="I36" s="133"/>
      <c r="J36" s="133"/>
      <c r="K36" s="133"/>
    </row>
    <row r="37" spans="1:11" s="121" customFormat="1" ht="15.75" customHeight="1">
      <c r="D37" s="296"/>
    </row>
    <row r="38" spans="1:11" s="121" customFormat="1" ht="15.75" customHeight="1"/>
  </sheetData>
  <mergeCells count="2">
    <mergeCell ref="A1:K2"/>
    <mergeCell ref="F3:G3"/>
  </mergeCells>
  <phoneticPr fontId="13" type="noConversion"/>
  <printOptions horizontalCentered="1" gridLines="1"/>
  <pageMargins left="0.39370078740157483" right="0.39370078740157483" top="0.39370078740157483" bottom="0.19685039370078741" header="0" footer="0"/>
  <pageSetup paperSize="9" scale="86" fitToWidth="0" fitToHeight="0" pageOrder="overThenDown" orientation="landscape" cellComments="atEnd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2:W58"/>
  <sheetViews>
    <sheetView zoomScale="70" zoomScaleNormal="70" workbookViewId="0">
      <pane xSplit="5" ySplit="4" topLeftCell="F5" activePane="bottomRight" state="frozen"/>
      <selection pane="topRight" activeCell="F1" sqref="F1"/>
      <selection pane="bottomLeft" activeCell="A5" sqref="A5"/>
      <selection pane="bottomRight" activeCell="M52" sqref="M52"/>
    </sheetView>
  </sheetViews>
  <sheetFormatPr defaultColWidth="8.85546875" defaultRowHeight="14.25"/>
  <cols>
    <col min="1" max="1" width="10.42578125" style="83" bestFit="1" customWidth="1"/>
    <col min="2" max="2" width="12.5703125" style="82" customWidth="1"/>
    <col min="3" max="3" width="8.85546875" style="83"/>
    <col min="4" max="4" width="17.42578125" style="84" customWidth="1"/>
    <col min="5" max="5" width="4.42578125" style="84" customWidth="1"/>
    <col min="6" max="8" width="19.5703125" style="86" customWidth="1"/>
    <col min="9" max="13" width="19.5703125" style="87" customWidth="1"/>
    <col min="14" max="14" width="19.5703125" style="88" customWidth="1"/>
    <col min="15" max="17" width="19.5703125" style="89" customWidth="1"/>
    <col min="18" max="20" width="19.5703125" style="88" customWidth="1"/>
    <col min="21" max="21" width="19.5703125" style="89" customWidth="1"/>
    <col min="22" max="23" width="19.5703125" style="83" customWidth="1"/>
    <col min="24" max="16384" width="8.85546875" style="83"/>
  </cols>
  <sheetData>
    <row r="2" spans="1:23" ht="38.1" customHeight="1">
      <c r="B2" s="613" t="s">
        <v>121</v>
      </c>
      <c r="C2" s="613"/>
      <c r="D2" s="613"/>
      <c r="E2" s="613"/>
      <c r="F2" s="613"/>
      <c r="G2" s="613"/>
      <c r="H2" s="613"/>
      <c r="I2" s="613"/>
      <c r="J2" s="613"/>
      <c r="K2" s="613"/>
      <c r="L2" s="613"/>
      <c r="M2" s="613"/>
      <c r="N2" s="613"/>
      <c r="O2" s="613"/>
      <c r="P2" s="613"/>
      <c r="Q2" s="613"/>
      <c r="R2" s="613"/>
      <c r="S2" s="613"/>
      <c r="T2" s="613"/>
      <c r="U2" s="613"/>
      <c r="V2" s="613"/>
      <c r="W2" s="613"/>
    </row>
    <row r="3" spans="1:23" s="84" customFormat="1" ht="23.45" customHeight="1">
      <c r="B3" s="97"/>
      <c r="C3" s="617" t="s">
        <v>116</v>
      </c>
      <c r="D3" s="618" t="s">
        <v>105</v>
      </c>
      <c r="E3" s="618"/>
      <c r="F3" s="616" t="s">
        <v>331</v>
      </c>
      <c r="G3" s="616"/>
      <c r="H3" s="616"/>
      <c r="I3" s="614" t="s">
        <v>119</v>
      </c>
      <c r="J3" s="614"/>
      <c r="K3" s="614"/>
      <c r="L3" s="615" t="s">
        <v>120</v>
      </c>
      <c r="M3" s="615"/>
      <c r="N3" s="615"/>
      <c r="O3" s="612" t="s">
        <v>122</v>
      </c>
      <c r="P3" s="612"/>
      <c r="Q3" s="612"/>
      <c r="R3" s="619" t="s">
        <v>123</v>
      </c>
      <c r="S3" s="619"/>
      <c r="T3" s="619"/>
      <c r="U3" s="612" t="s">
        <v>124</v>
      </c>
      <c r="V3" s="612"/>
      <c r="W3" s="612"/>
    </row>
    <row r="4" spans="1:23" s="84" customFormat="1" ht="23.45" customHeight="1">
      <c r="A4" s="97"/>
      <c r="B4" s="97"/>
      <c r="C4" s="617"/>
      <c r="D4" s="618"/>
      <c r="E4" s="618"/>
      <c r="F4" s="78" t="s">
        <v>115</v>
      </c>
      <c r="G4" s="78" t="s">
        <v>117</v>
      </c>
      <c r="H4" s="78" t="s">
        <v>118</v>
      </c>
      <c r="I4" s="91" t="s">
        <v>115</v>
      </c>
      <c r="J4" s="91" t="s">
        <v>117</v>
      </c>
      <c r="K4" s="91" t="s">
        <v>118</v>
      </c>
      <c r="L4" s="90" t="s">
        <v>115</v>
      </c>
      <c r="M4" s="90" t="s">
        <v>117</v>
      </c>
      <c r="N4" s="90" t="s">
        <v>118</v>
      </c>
      <c r="O4" s="85" t="s">
        <v>115</v>
      </c>
      <c r="P4" s="85" t="s">
        <v>117</v>
      </c>
      <c r="Q4" s="300" t="s">
        <v>445</v>
      </c>
      <c r="R4" s="85" t="s">
        <v>115</v>
      </c>
      <c r="S4" s="85" t="s">
        <v>117</v>
      </c>
      <c r="T4" s="85" t="s">
        <v>118</v>
      </c>
      <c r="U4" s="85" t="s">
        <v>115</v>
      </c>
      <c r="V4" s="85" t="s">
        <v>117</v>
      </c>
      <c r="W4" s="300" t="s">
        <v>445</v>
      </c>
    </row>
    <row r="5" spans="1:23">
      <c r="A5" s="97"/>
      <c r="B5" s="97"/>
      <c r="C5" s="97"/>
      <c r="D5" s="299">
        <v>46266</v>
      </c>
      <c r="E5" s="299" t="s">
        <v>439</v>
      </c>
      <c r="F5" s="433">
        <v>9468849.9999999981</v>
      </c>
      <c r="H5" s="316"/>
      <c r="I5" s="429">
        <v>310731</v>
      </c>
      <c r="K5" s="317"/>
      <c r="L5" s="426">
        <v>6655141</v>
      </c>
      <c r="M5" s="297"/>
      <c r="N5" s="316"/>
      <c r="O5" s="89">
        <f t="shared" ref="O5:O39" si="0">L5/F5</f>
        <v>0.70284575212407008</v>
      </c>
      <c r="P5" s="298"/>
      <c r="Q5" s="315"/>
      <c r="R5" s="426">
        <v>1096127.8311875442</v>
      </c>
      <c r="S5" s="297"/>
      <c r="T5" s="316"/>
      <c r="U5" s="89">
        <f t="shared" ref="U5:U40" si="1">R5/F5</f>
        <v>0.11576145267773218</v>
      </c>
      <c r="V5" s="298"/>
      <c r="W5" s="315"/>
    </row>
    <row r="6" spans="1:23">
      <c r="A6" s="97"/>
      <c r="B6" s="97"/>
      <c r="C6" s="97"/>
      <c r="D6" s="299">
        <f t="shared" ref="D6" si="2">D5+1</f>
        <v>46267</v>
      </c>
      <c r="E6" s="299" t="s">
        <v>440</v>
      </c>
      <c r="F6" s="433">
        <v>9882798</v>
      </c>
      <c r="G6" s="297">
        <f>SUM(F5:F11)</f>
        <v>62106324</v>
      </c>
      <c r="H6" s="316"/>
      <c r="I6" s="429">
        <v>288038</v>
      </c>
      <c r="J6" s="87">
        <f>SUM(I5:I11)</f>
        <v>1983602</v>
      </c>
      <c r="K6" s="317"/>
      <c r="L6" s="426">
        <v>6273450</v>
      </c>
      <c r="M6" s="297">
        <f>SUM(L5:L11)</f>
        <v>42383152</v>
      </c>
      <c r="N6" s="316"/>
      <c r="O6" s="89">
        <f t="shared" si="0"/>
        <v>0.63478480487003786</v>
      </c>
      <c r="P6" s="89">
        <f>M6/G6</f>
        <v>0.68242892623945994</v>
      </c>
      <c r="Q6" s="315"/>
      <c r="R6" s="426">
        <v>1080306.6354271274</v>
      </c>
      <c r="S6" s="297">
        <f>SUM(R5:R11)</f>
        <v>7577095.1892364193</v>
      </c>
      <c r="T6" s="316"/>
      <c r="U6" s="89">
        <f t="shared" si="1"/>
        <v>0.10931181993471155</v>
      </c>
      <c r="V6" s="89">
        <f>S6/G6</f>
        <v>0.12200199112149061</v>
      </c>
      <c r="W6" s="315"/>
    </row>
    <row r="7" spans="1:23" ht="16.5" customHeight="1">
      <c r="A7" s="97"/>
      <c r="B7" s="97"/>
      <c r="C7" s="97"/>
      <c r="D7" s="299">
        <f>D6+1</f>
        <v>46268</v>
      </c>
      <c r="E7" s="299" t="s">
        <v>441</v>
      </c>
      <c r="F7" s="433">
        <v>9127133</v>
      </c>
      <c r="I7" s="429">
        <v>265421</v>
      </c>
      <c r="L7" s="426">
        <v>5655947</v>
      </c>
      <c r="M7" s="86"/>
      <c r="N7" s="86"/>
      <c r="O7" s="89">
        <f t="shared" si="0"/>
        <v>0.61968495473879914</v>
      </c>
      <c r="R7" s="426">
        <v>1069491.6710208773</v>
      </c>
      <c r="S7" s="86"/>
      <c r="T7" s="86"/>
      <c r="U7" s="89">
        <f t="shared" si="1"/>
        <v>0.11717717612100945</v>
      </c>
      <c r="V7" s="89"/>
    </row>
    <row r="8" spans="1:23" ht="16.5" customHeight="1">
      <c r="A8" s="97"/>
      <c r="B8" s="97"/>
      <c r="C8" s="97"/>
      <c r="D8" s="299">
        <f t="shared" ref="D8:D11" si="3">D7+1</f>
        <v>46269</v>
      </c>
      <c r="E8" s="299" t="s">
        <v>442</v>
      </c>
      <c r="F8" s="433">
        <v>8353572</v>
      </c>
      <c r="G8" s="297"/>
      <c r="H8" s="316"/>
      <c r="I8" s="429">
        <v>233074</v>
      </c>
      <c r="K8" s="317"/>
      <c r="L8" s="426">
        <v>5305070</v>
      </c>
      <c r="M8" s="297"/>
      <c r="N8" s="316"/>
      <c r="O8" s="89">
        <f t="shared" si="0"/>
        <v>0.6350660531806035</v>
      </c>
      <c r="P8" s="298"/>
      <c r="Q8" s="315"/>
      <c r="R8" s="426">
        <v>1071087.0579757385</v>
      </c>
      <c r="S8" s="297"/>
      <c r="T8" s="316"/>
      <c r="U8" s="89">
        <f t="shared" si="1"/>
        <v>0.12821904904581399</v>
      </c>
      <c r="V8" s="298"/>
      <c r="W8" s="315"/>
    </row>
    <row r="9" spans="1:23" ht="16.5" customHeight="1">
      <c r="A9" s="97"/>
      <c r="B9" s="97"/>
      <c r="C9" s="97"/>
      <c r="D9" s="299">
        <f t="shared" si="3"/>
        <v>46270</v>
      </c>
      <c r="E9" s="299" t="s">
        <v>443</v>
      </c>
      <c r="F9" s="433">
        <v>7218005.9999999981</v>
      </c>
      <c r="G9" s="297"/>
      <c r="H9" s="316"/>
      <c r="I9" s="429">
        <v>246794</v>
      </c>
      <c r="K9" s="317"/>
      <c r="L9" s="426">
        <v>5156932</v>
      </c>
      <c r="M9" s="297"/>
      <c r="N9" s="316"/>
      <c r="O9" s="89">
        <f t="shared" si="0"/>
        <v>0.71445382561333437</v>
      </c>
      <c r="P9" s="298"/>
      <c r="Q9" s="315"/>
      <c r="R9" s="426">
        <v>1055713.8894375439</v>
      </c>
      <c r="S9" s="297"/>
      <c r="T9" s="316"/>
      <c r="U9" s="89">
        <f t="shared" si="1"/>
        <v>0.1462611543184564</v>
      </c>
      <c r="V9" s="298"/>
      <c r="W9" s="315"/>
    </row>
    <row r="10" spans="1:23" ht="16.5" customHeight="1">
      <c r="A10" s="97"/>
      <c r="B10" s="97"/>
      <c r="C10" s="97"/>
      <c r="D10" s="299">
        <f t="shared" si="3"/>
        <v>46271</v>
      </c>
      <c r="E10" s="299" t="s">
        <v>444</v>
      </c>
      <c r="F10" s="433">
        <v>7784935.0000000019</v>
      </c>
      <c r="H10" s="316">
        <f>SUM(F6:F36)</f>
        <v>52637474</v>
      </c>
      <c r="I10" s="429">
        <v>321787</v>
      </c>
      <c r="K10" s="317">
        <f>SUM(I6:I36)</f>
        <v>1672871</v>
      </c>
      <c r="L10" s="426">
        <v>6554201</v>
      </c>
      <c r="M10" s="86"/>
      <c r="N10" s="316">
        <f>SUM(L6:L36)</f>
        <v>35728011</v>
      </c>
      <c r="O10" s="89">
        <f t="shared" si="0"/>
        <v>0.84190824971563649</v>
      </c>
      <c r="P10" s="298"/>
      <c r="Q10" s="315">
        <f>N10/H10</f>
        <v>0.67875618423482864</v>
      </c>
      <c r="R10" s="426">
        <v>1127512.5217917105</v>
      </c>
      <c r="S10" s="86"/>
      <c r="T10" s="316">
        <f>SUM(R6:R36)</f>
        <v>6480967.3580488758</v>
      </c>
      <c r="U10" s="89">
        <f t="shared" si="1"/>
        <v>0.14483261861424793</v>
      </c>
      <c r="V10" s="298"/>
      <c r="W10" s="315">
        <f>T10/H10</f>
        <v>0.12312458911020076</v>
      </c>
    </row>
    <row r="11" spans="1:23" ht="16.5" customHeight="1">
      <c r="A11" s="97"/>
      <c r="B11" s="97"/>
      <c r="C11" s="97"/>
      <c r="D11" s="299">
        <f t="shared" si="3"/>
        <v>46272</v>
      </c>
      <c r="E11" s="299" t="s">
        <v>438</v>
      </c>
      <c r="F11" s="433">
        <v>10271030.000000002</v>
      </c>
      <c r="G11" s="297"/>
      <c r="H11" s="316"/>
      <c r="I11" s="429">
        <v>317757</v>
      </c>
      <c r="K11" s="317"/>
      <c r="L11" s="426">
        <v>6782411</v>
      </c>
      <c r="M11" s="297"/>
      <c r="N11" s="316"/>
      <c r="O11" s="89">
        <f t="shared" si="0"/>
        <v>0.66034380193612507</v>
      </c>
      <c r="Q11" s="315"/>
      <c r="R11" s="426">
        <v>1076855.5823958775</v>
      </c>
      <c r="S11" s="297"/>
      <c r="T11" s="316"/>
      <c r="U11" s="89">
        <f t="shared" si="1"/>
        <v>0.10484397206471768</v>
      </c>
      <c r="V11" s="89"/>
      <c r="W11" s="315"/>
    </row>
    <row r="12" spans="1:23" ht="16.5" customHeight="1">
      <c r="A12" s="97"/>
      <c r="B12" s="97"/>
      <c r="C12" s="97"/>
      <c r="D12" s="355">
        <f t="shared" ref="D12:D34" si="4">D11+1</f>
        <v>46273</v>
      </c>
      <c r="E12" s="355" t="s">
        <v>439</v>
      </c>
      <c r="F12" s="229"/>
      <c r="G12" s="297">
        <f>SUM(F12:F18)</f>
        <v>0</v>
      </c>
      <c r="H12" s="316"/>
      <c r="I12" s="230"/>
      <c r="J12" s="87">
        <f>SUM(I12:I18)</f>
        <v>0</v>
      </c>
      <c r="K12" s="317"/>
      <c r="L12" s="229"/>
      <c r="M12" s="297">
        <f>SUM(L12:L18)</f>
        <v>0</v>
      </c>
      <c r="N12" s="316"/>
      <c r="O12" s="89" t="e">
        <f t="shared" si="0"/>
        <v>#DIV/0!</v>
      </c>
      <c r="P12" s="89" t="e">
        <f>M12/G12</f>
        <v>#DIV/0!</v>
      </c>
      <c r="Q12" s="315"/>
      <c r="R12" s="231"/>
      <c r="S12" s="297">
        <f>SUM(R12:R18)</f>
        <v>0</v>
      </c>
      <c r="T12" s="316"/>
      <c r="U12" s="89" t="e">
        <f t="shared" si="1"/>
        <v>#DIV/0!</v>
      </c>
      <c r="V12" s="89" t="e">
        <f>S12/G12</f>
        <v>#DIV/0!</v>
      </c>
      <c r="W12" s="315"/>
    </row>
    <row r="13" spans="1:23" ht="16.5" customHeight="1">
      <c r="A13" s="97"/>
      <c r="B13" s="97"/>
      <c r="C13" s="97"/>
      <c r="D13" s="355">
        <f t="shared" si="4"/>
        <v>46274</v>
      </c>
      <c r="E13" s="355" t="s">
        <v>440</v>
      </c>
      <c r="F13" s="229"/>
      <c r="H13" s="316"/>
      <c r="I13" s="230"/>
      <c r="K13" s="317"/>
      <c r="L13" s="229"/>
      <c r="M13" s="86"/>
      <c r="N13" s="316"/>
      <c r="O13" s="89" t="e">
        <f t="shared" si="0"/>
        <v>#DIV/0!</v>
      </c>
      <c r="P13" s="298"/>
      <c r="Q13" s="315"/>
      <c r="R13" s="229"/>
      <c r="S13" s="86"/>
      <c r="T13" s="316"/>
      <c r="U13" s="89" t="e">
        <f t="shared" si="1"/>
        <v>#DIV/0!</v>
      </c>
      <c r="V13" s="298"/>
      <c r="W13" s="315"/>
    </row>
    <row r="14" spans="1:23" ht="16.5" customHeight="1">
      <c r="A14" s="97"/>
      <c r="B14" s="97"/>
      <c r="C14" s="97"/>
      <c r="D14" s="355">
        <f t="shared" si="4"/>
        <v>46275</v>
      </c>
      <c r="E14" s="355" t="s">
        <v>441</v>
      </c>
      <c r="F14" s="229"/>
      <c r="G14" s="297"/>
      <c r="H14" s="316"/>
      <c r="I14" s="230"/>
      <c r="K14" s="317"/>
      <c r="L14" s="229"/>
      <c r="M14" s="297"/>
      <c r="N14" s="316"/>
      <c r="O14" s="89" t="e">
        <f t="shared" si="0"/>
        <v>#DIV/0!</v>
      </c>
      <c r="P14" s="298"/>
      <c r="Q14" s="315"/>
      <c r="R14" s="229"/>
      <c r="S14" s="297"/>
      <c r="T14" s="316"/>
      <c r="U14" s="89" t="e">
        <f t="shared" si="1"/>
        <v>#DIV/0!</v>
      </c>
      <c r="V14" s="298"/>
      <c r="W14" s="315"/>
    </row>
    <row r="15" spans="1:23" ht="16.5" customHeight="1">
      <c r="A15" s="97"/>
      <c r="B15" s="97"/>
      <c r="C15" s="97"/>
      <c r="D15" s="355">
        <f t="shared" si="4"/>
        <v>46276</v>
      </c>
      <c r="E15" s="355" t="s">
        <v>442</v>
      </c>
      <c r="F15" s="229"/>
      <c r="G15" s="297"/>
      <c r="H15" s="316"/>
      <c r="I15" s="230"/>
      <c r="K15" s="317"/>
      <c r="L15" s="229"/>
      <c r="M15" s="297"/>
      <c r="N15" s="316"/>
      <c r="O15" s="89" t="e">
        <f t="shared" si="0"/>
        <v>#DIV/0!</v>
      </c>
      <c r="Q15" s="315"/>
      <c r="R15" s="229"/>
      <c r="S15" s="297"/>
      <c r="T15" s="316"/>
      <c r="U15" s="89" t="e">
        <f t="shared" si="1"/>
        <v>#DIV/0!</v>
      </c>
      <c r="V15" s="89"/>
      <c r="W15" s="315"/>
    </row>
    <row r="16" spans="1:23" ht="16.5" customHeight="1">
      <c r="A16" s="97"/>
      <c r="B16" s="97"/>
      <c r="C16" s="97"/>
      <c r="D16" s="355">
        <f t="shared" si="4"/>
        <v>46277</v>
      </c>
      <c r="E16" s="355" t="s">
        <v>443</v>
      </c>
      <c r="F16" s="229"/>
      <c r="G16" s="297"/>
      <c r="H16" s="316"/>
      <c r="I16" s="230"/>
      <c r="K16" s="317"/>
      <c r="L16" s="229"/>
      <c r="M16" s="297"/>
      <c r="N16" s="316"/>
      <c r="O16" s="89" t="e">
        <f t="shared" si="0"/>
        <v>#DIV/0!</v>
      </c>
      <c r="P16" s="298"/>
      <c r="Q16" s="315"/>
      <c r="R16" s="229"/>
      <c r="S16" s="297"/>
      <c r="T16" s="316"/>
      <c r="U16" s="89" t="e">
        <f t="shared" si="1"/>
        <v>#DIV/0!</v>
      </c>
      <c r="V16" s="298"/>
      <c r="W16" s="315"/>
    </row>
    <row r="17" spans="1:23" ht="16.5" customHeight="1">
      <c r="A17" s="97"/>
      <c r="B17" s="97"/>
      <c r="C17" s="97"/>
      <c r="D17" s="355">
        <f t="shared" si="4"/>
        <v>46278</v>
      </c>
      <c r="E17" s="355" t="s">
        <v>444</v>
      </c>
      <c r="F17" s="229"/>
      <c r="H17" s="316"/>
      <c r="I17" s="230"/>
      <c r="K17" s="317"/>
      <c r="L17" s="229"/>
      <c r="M17" s="86"/>
      <c r="N17" s="316"/>
      <c r="O17" s="89" t="e">
        <f t="shared" si="0"/>
        <v>#DIV/0!</v>
      </c>
      <c r="P17" s="298"/>
      <c r="Q17" s="315"/>
      <c r="R17" s="229"/>
      <c r="S17" s="86"/>
      <c r="T17" s="316"/>
      <c r="U17" s="89" t="e">
        <f t="shared" si="1"/>
        <v>#DIV/0!</v>
      </c>
      <c r="V17" s="298"/>
      <c r="W17" s="315"/>
    </row>
    <row r="18" spans="1:23" ht="16.5" customHeight="1">
      <c r="A18" s="97"/>
      <c r="B18" s="97"/>
      <c r="C18" s="97"/>
      <c r="D18" s="355">
        <f t="shared" si="4"/>
        <v>46279</v>
      </c>
      <c r="E18" s="355" t="s">
        <v>438</v>
      </c>
      <c r="F18" s="229"/>
      <c r="G18" s="297"/>
      <c r="H18" s="316"/>
      <c r="I18" s="230"/>
      <c r="K18" s="317"/>
      <c r="L18" s="229"/>
      <c r="M18" s="297"/>
      <c r="N18" s="316"/>
      <c r="O18" s="89" t="e">
        <f t="shared" si="0"/>
        <v>#DIV/0!</v>
      </c>
      <c r="P18" s="298"/>
      <c r="Q18" s="315"/>
      <c r="R18" s="229"/>
      <c r="S18" s="297"/>
      <c r="T18" s="316"/>
      <c r="U18" s="89" t="e">
        <f t="shared" si="1"/>
        <v>#DIV/0!</v>
      </c>
      <c r="V18" s="298"/>
      <c r="W18" s="315"/>
    </row>
    <row r="19" spans="1:23" ht="16.5" customHeight="1">
      <c r="A19" s="97"/>
      <c r="B19" s="97"/>
      <c r="C19" s="97"/>
      <c r="D19" s="299">
        <f t="shared" si="4"/>
        <v>46280</v>
      </c>
      <c r="E19" s="299" t="s">
        <v>439</v>
      </c>
      <c r="F19" s="229"/>
      <c r="G19" s="297">
        <f>SUM(F19:F25)</f>
        <v>0</v>
      </c>
      <c r="H19" s="316"/>
      <c r="I19" s="230"/>
      <c r="J19" s="87">
        <f>SUM(I19:I25)</f>
        <v>0</v>
      </c>
      <c r="K19" s="317"/>
      <c r="L19" s="229"/>
      <c r="M19" s="297">
        <f>SUM(L19:L25)</f>
        <v>0</v>
      </c>
      <c r="N19" s="316"/>
      <c r="O19" s="89" t="e">
        <f t="shared" si="0"/>
        <v>#DIV/0!</v>
      </c>
      <c r="P19" s="89" t="e">
        <f>M19/G19</f>
        <v>#DIV/0!</v>
      </c>
      <c r="Q19" s="315"/>
      <c r="R19" s="229"/>
      <c r="S19" s="297">
        <f>SUM(R19:R25)</f>
        <v>0</v>
      </c>
      <c r="T19" s="316"/>
      <c r="U19" s="89" t="e">
        <f t="shared" si="1"/>
        <v>#DIV/0!</v>
      </c>
      <c r="V19" s="89" t="e">
        <f>S19/G19</f>
        <v>#DIV/0!</v>
      </c>
      <c r="W19" s="315"/>
    </row>
    <row r="20" spans="1:23" ht="16.5" customHeight="1">
      <c r="A20" s="97"/>
      <c r="B20" s="97"/>
      <c r="C20" s="97"/>
      <c r="D20" s="299">
        <f t="shared" si="4"/>
        <v>46281</v>
      </c>
      <c r="E20" s="299" t="s">
        <v>440</v>
      </c>
      <c r="F20" s="229"/>
      <c r="G20" s="297"/>
      <c r="H20" s="316"/>
      <c r="I20" s="230"/>
      <c r="K20" s="317"/>
      <c r="L20" s="229"/>
      <c r="M20" s="297"/>
      <c r="N20" s="316"/>
      <c r="O20" s="89" t="e">
        <f t="shared" si="0"/>
        <v>#DIV/0!</v>
      </c>
      <c r="P20" s="298"/>
      <c r="Q20" s="315"/>
      <c r="R20" s="229"/>
      <c r="S20" s="297"/>
      <c r="T20" s="316"/>
      <c r="U20" s="89" t="e">
        <f t="shared" si="1"/>
        <v>#DIV/0!</v>
      </c>
      <c r="V20" s="298"/>
      <c r="W20" s="315"/>
    </row>
    <row r="21" spans="1:23" ht="16.5" customHeight="1">
      <c r="A21" s="97"/>
      <c r="B21" s="97"/>
      <c r="C21" s="97"/>
      <c r="D21" s="299">
        <f t="shared" si="4"/>
        <v>46282</v>
      </c>
      <c r="E21" s="299" t="s">
        <v>441</v>
      </c>
      <c r="F21" s="229"/>
      <c r="H21" s="316"/>
      <c r="I21" s="230"/>
      <c r="K21" s="317"/>
      <c r="L21" s="229"/>
      <c r="M21" s="86"/>
      <c r="N21" s="316"/>
      <c r="O21" s="89" t="e">
        <f t="shared" si="0"/>
        <v>#DIV/0!</v>
      </c>
      <c r="P21" s="298"/>
      <c r="Q21" s="315"/>
      <c r="R21" s="229"/>
      <c r="S21" s="86"/>
      <c r="T21" s="316"/>
      <c r="U21" s="89" t="e">
        <f t="shared" si="1"/>
        <v>#DIV/0!</v>
      </c>
      <c r="V21" s="298"/>
      <c r="W21" s="315"/>
    </row>
    <row r="22" spans="1:23" ht="16.5" customHeight="1">
      <c r="A22" s="97"/>
      <c r="B22" s="97"/>
      <c r="C22" s="97"/>
      <c r="D22" s="299">
        <f t="shared" si="4"/>
        <v>46283</v>
      </c>
      <c r="E22" s="299" t="s">
        <v>442</v>
      </c>
      <c r="F22" s="229"/>
      <c r="G22" s="297"/>
      <c r="H22" s="316"/>
      <c r="I22" s="230"/>
      <c r="K22" s="317"/>
      <c r="L22" s="229"/>
      <c r="M22" s="297"/>
      <c r="N22" s="316"/>
      <c r="O22" s="89" t="e">
        <f t="shared" si="0"/>
        <v>#DIV/0!</v>
      </c>
      <c r="Q22" s="315"/>
      <c r="R22" s="229"/>
      <c r="S22" s="297"/>
      <c r="T22" s="316"/>
      <c r="U22" s="89" t="e">
        <f t="shared" si="1"/>
        <v>#DIV/0!</v>
      </c>
      <c r="V22" s="89"/>
      <c r="W22" s="315"/>
    </row>
    <row r="23" spans="1:23" ht="16.5" customHeight="1">
      <c r="A23" s="97"/>
      <c r="B23" s="97"/>
      <c r="C23" s="97"/>
      <c r="D23" s="299">
        <f t="shared" si="4"/>
        <v>46284</v>
      </c>
      <c r="E23" s="299" t="s">
        <v>443</v>
      </c>
      <c r="F23" s="229"/>
      <c r="G23" s="297"/>
      <c r="H23" s="316"/>
      <c r="I23" s="230"/>
      <c r="K23" s="317"/>
      <c r="L23" s="229"/>
      <c r="M23" s="297"/>
      <c r="N23" s="316"/>
      <c r="O23" s="89" t="e">
        <f t="shared" si="0"/>
        <v>#DIV/0!</v>
      </c>
      <c r="P23" s="298"/>
      <c r="Q23" s="315"/>
      <c r="R23" s="229"/>
      <c r="S23" s="297"/>
      <c r="T23" s="316"/>
      <c r="U23" s="89" t="e">
        <f t="shared" si="1"/>
        <v>#DIV/0!</v>
      </c>
      <c r="V23" s="298"/>
      <c r="W23" s="315"/>
    </row>
    <row r="24" spans="1:23" ht="16.5" customHeight="1">
      <c r="A24" s="97"/>
      <c r="B24" s="97"/>
      <c r="C24" s="97"/>
      <c r="D24" s="299">
        <f t="shared" si="4"/>
        <v>46285</v>
      </c>
      <c r="E24" s="299" t="s">
        <v>444</v>
      </c>
      <c r="F24" s="229"/>
      <c r="G24" s="297"/>
      <c r="H24" s="316"/>
      <c r="I24" s="230"/>
      <c r="K24" s="317"/>
      <c r="L24" s="229"/>
      <c r="M24" s="297"/>
      <c r="N24" s="316"/>
      <c r="O24" s="89" t="e">
        <f t="shared" si="0"/>
        <v>#DIV/0!</v>
      </c>
      <c r="P24" s="298"/>
      <c r="Q24" s="315"/>
      <c r="R24" s="229"/>
      <c r="S24" s="297"/>
      <c r="T24" s="316"/>
      <c r="U24" s="89" t="e">
        <f t="shared" si="1"/>
        <v>#DIV/0!</v>
      </c>
      <c r="V24" s="298"/>
      <c r="W24" s="315"/>
    </row>
    <row r="25" spans="1:23" ht="16.5" customHeight="1">
      <c r="A25" s="97"/>
      <c r="B25" s="97"/>
      <c r="C25" s="97"/>
      <c r="D25" s="299">
        <f t="shared" si="4"/>
        <v>46286</v>
      </c>
      <c r="E25" s="299" t="s">
        <v>438</v>
      </c>
      <c r="F25" s="229"/>
      <c r="H25" s="316"/>
      <c r="I25" s="230"/>
      <c r="K25" s="317"/>
      <c r="L25" s="229"/>
      <c r="M25" s="86"/>
      <c r="N25" s="316"/>
      <c r="O25" s="89" t="e">
        <f t="shared" si="0"/>
        <v>#DIV/0!</v>
      </c>
      <c r="P25" s="298"/>
      <c r="Q25" s="315"/>
      <c r="R25" s="229"/>
      <c r="S25" s="86"/>
      <c r="T25" s="316"/>
      <c r="U25" s="89" t="e">
        <f t="shared" si="1"/>
        <v>#DIV/0!</v>
      </c>
      <c r="V25" s="298"/>
      <c r="W25" s="315"/>
    </row>
    <row r="26" spans="1:23" ht="16.5" customHeight="1">
      <c r="A26" s="97"/>
      <c r="B26" s="97"/>
      <c r="C26" s="97"/>
      <c r="D26" s="355">
        <f t="shared" si="4"/>
        <v>46287</v>
      </c>
      <c r="E26" s="355" t="s">
        <v>439</v>
      </c>
      <c r="F26" s="229"/>
      <c r="G26" s="297">
        <f>SUM(F26:F32)</f>
        <v>0</v>
      </c>
      <c r="H26" s="316"/>
      <c r="I26" s="230"/>
      <c r="J26" s="87">
        <f>SUM(I26:I32)</f>
        <v>0</v>
      </c>
      <c r="K26" s="317"/>
      <c r="L26" s="229"/>
      <c r="M26" s="297">
        <f>SUM(L26:L32)</f>
        <v>0</v>
      </c>
      <c r="N26" s="316"/>
      <c r="O26" s="89" t="e">
        <f t="shared" si="0"/>
        <v>#DIV/0!</v>
      </c>
      <c r="P26" s="89" t="e">
        <f>M26/G26</f>
        <v>#DIV/0!</v>
      </c>
      <c r="Q26" s="315"/>
      <c r="R26" s="229"/>
      <c r="S26" s="297">
        <f>SUM(R26:R32)</f>
        <v>0</v>
      </c>
      <c r="T26" s="316"/>
      <c r="U26" s="89" t="e">
        <f t="shared" si="1"/>
        <v>#DIV/0!</v>
      </c>
      <c r="V26" s="89" t="e">
        <f>S26/G26</f>
        <v>#DIV/0!</v>
      </c>
      <c r="W26" s="315"/>
    </row>
    <row r="27" spans="1:23">
      <c r="A27" s="97"/>
      <c r="B27" s="97"/>
      <c r="C27" s="97"/>
      <c r="D27" s="355">
        <f t="shared" si="4"/>
        <v>46288</v>
      </c>
      <c r="E27" s="355" t="s">
        <v>440</v>
      </c>
      <c r="F27" s="229"/>
      <c r="G27" s="297"/>
      <c r="H27" s="316"/>
      <c r="I27" s="230"/>
      <c r="K27" s="317"/>
      <c r="L27" s="229"/>
      <c r="M27" s="297"/>
      <c r="N27" s="316"/>
      <c r="O27" s="89" t="e">
        <f t="shared" si="0"/>
        <v>#DIV/0!</v>
      </c>
      <c r="P27" s="298"/>
      <c r="Q27" s="315"/>
      <c r="R27" s="229"/>
      <c r="S27" s="297"/>
      <c r="T27" s="316"/>
      <c r="U27" s="89" t="e">
        <f t="shared" si="1"/>
        <v>#DIV/0!</v>
      </c>
      <c r="V27" s="298"/>
      <c r="W27" s="315"/>
    </row>
    <row r="28" spans="1:23">
      <c r="A28" s="97"/>
      <c r="B28" s="97"/>
      <c r="C28" s="97"/>
      <c r="D28" s="355">
        <f t="shared" si="4"/>
        <v>46289</v>
      </c>
      <c r="E28" s="355" t="s">
        <v>441</v>
      </c>
      <c r="F28" s="229"/>
      <c r="H28" s="316"/>
      <c r="I28" s="230"/>
      <c r="K28" s="317"/>
      <c r="L28" s="229"/>
      <c r="M28" s="86"/>
      <c r="N28" s="316"/>
      <c r="O28" s="89" t="e">
        <f t="shared" si="0"/>
        <v>#DIV/0!</v>
      </c>
      <c r="P28" s="298"/>
      <c r="Q28" s="315"/>
      <c r="R28" s="229"/>
      <c r="S28" s="86"/>
      <c r="T28" s="316"/>
      <c r="U28" s="89" t="e">
        <f t="shared" si="1"/>
        <v>#DIV/0!</v>
      </c>
      <c r="V28" s="298"/>
      <c r="W28" s="315"/>
    </row>
    <row r="29" spans="1:23">
      <c r="A29" s="97"/>
      <c r="B29" s="97"/>
      <c r="C29" s="97"/>
      <c r="D29" s="355">
        <f t="shared" si="4"/>
        <v>46290</v>
      </c>
      <c r="E29" s="355" t="s">
        <v>442</v>
      </c>
      <c r="F29" s="229"/>
      <c r="G29" s="297"/>
      <c r="H29" s="316"/>
      <c r="I29" s="230"/>
      <c r="K29" s="317"/>
      <c r="L29" s="229"/>
      <c r="M29" s="297"/>
      <c r="N29" s="316"/>
      <c r="O29" s="89" t="e">
        <f t="shared" si="0"/>
        <v>#DIV/0!</v>
      </c>
      <c r="Q29" s="315"/>
      <c r="R29" s="229"/>
      <c r="S29" s="297"/>
      <c r="T29" s="316"/>
      <c r="U29" s="89" t="e">
        <f t="shared" si="1"/>
        <v>#DIV/0!</v>
      </c>
      <c r="V29" s="89"/>
      <c r="W29" s="315"/>
    </row>
    <row r="30" spans="1:23">
      <c r="A30" s="97"/>
      <c r="B30" s="97"/>
      <c r="C30" s="97"/>
      <c r="D30" s="355">
        <f t="shared" si="4"/>
        <v>46291</v>
      </c>
      <c r="E30" s="355" t="s">
        <v>443</v>
      </c>
      <c r="F30" s="229"/>
      <c r="G30" s="297"/>
      <c r="H30" s="316"/>
      <c r="I30" s="230"/>
      <c r="K30" s="317"/>
      <c r="L30" s="229"/>
      <c r="M30" s="297"/>
      <c r="N30" s="316"/>
      <c r="O30" s="89" t="e">
        <f t="shared" si="0"/>
        <v>#DIV/0!</v>
      </c>
      <c r="P30" s="298"/>
      <c r="Q30" s="315"/>
      <c r="R30" s="229"/>
      <c r="S30" s="297"/>
      <c r="T30" s="316"/>
      <c r="U30" s="89" t="e">
        <f t="shared" si="1"/>
        <v>#DIV/0!</v>
      </c>
      <c r="V30" s="298"/>
      <c r="W30" s="315"/>
    </row>
    <row r="31" spans="1:23">
      <c r="A31" s="97"/>
      <c r="B31" s="97"/>
      <c r="C31" s="97"/>
      <c r="D31" s="355">
        <f t="shared" si="4"/>
        <v>46292</v>
      </c>
      <c r="E31" s="355" t="s">
        <v>444</v>
      </c>
      <c r="F31" s="229"/>
      <c r="G31" s="297"/>
      <c r="H31" s="316"/>
      <c r="I31" s="230"/>
      <c r="K31" s="317"/>
      <c r="L31" s="229"/>
      <c r="M31" s="297"/>
      <c r="N31" s="316"/>
      <c r="O31" s="89" t="e">
        <f t="shared" si="0"/>
        <v>#DIV/0!</v>
      </c>
      <c r="P31" s="298"/>
      <c r="Q31" s="315"/>
      <c r="R31" s="229"/>
      <c r="S31" s="297"/>
      <c r="T31" s="316"/>
      <c r="U31" s="89" t="e">
        <f t="shared" si="1"/>
        <v>#DIV/0!</v>
      </c>
      <c r="V31" s="298"/>
      <c r="W31" s="315"/>
    </row>
    <row r="32" spans="1:23">
      <c r="A32" s="97"/>
      <c r="B32" s="97"/>
      <c r="C32" s="97"/>
      <c r="D32" s="355">
        <f t="shared" si="4"/>
        <v>46293</v>
      </c>
      <c r="E32" s="355" t="s">
        <v>438</v>
      </c>
      <c r="F32" s="229"/>
      <c r="H32" s="316"/>
      <c r="I32" s="230"/>
      <c r="K32" s="317"/>
      <c r="L32" s="229"/>
      <c r="M32" s="86"/>
      <c r="N32" s="316"/>
      <c r="O32" s="89" t="e">
        <f t="shared" si="0"/>
        <v>#DIV/0!</v>
      </c>
      <c r="P32" s="298"/>
      <c r="Q32" s="315"/>
      <c r="R32" s="229"/>
      <c r="S32" s="86"/>
      <c r="T32" s="316"/>
      <c r="U32" s="89" t="e">
        <f t="shared" si="1"/>
        <v>#DIV/0!</v>
      </c>
      <c r="V32" s="298"/>
      <c r="W32" s="315"/>
    </row>
    <row r="33" spans="1:23" s="431" customFormat="1">
      <c r="A33" s="425"/>
      <c r="B33" s="425"/>
      <c r="C33" s="425"/>
      <c r="D33" s="299">
        <f t="shared" si="4"/>
        <v>46294</v>
      </c>
      <c r="E33" s="299" t="s">
        <v>439</v>
      </c>
      <c r="F33" s="433"/>
      <c r="G33" s="434">
        <f>SUM(F33:F39)</f>
        <v>0</v>
      </c>
      <c r="H33" s="435"/>
      <c r="I33" s="436"/>
      <c r="J33" s="336">
        <f>SUM(I33:I39)</f>
        <v>0</v>
      </c>
      <c r="K33" s="437"/>
      <c r="L33" s="229"/>
      <c r="M33" s="434">
        <f>SUM(L33:L39)</f>
        <v>0</v>
      </c>
      <c r="N33" s="435"/>
      <c r="O33" s="438" t="e">
        <f t="shared" si="0"/>
        <v>#DIV/0!</v>
      </c>
      <c r="P33" s="438" t="e">
        <f>M33/G33</f>
        <v>#DIV/0!</v>
      </c>
      <c r="Q33" s="439"/>
      <c r="R33" s="433"/>
      <c r="S33" s="434">
        <f>SUM(R33:R39)</f>
        <v>0</v>
      </c>
      <c r="T33" s="435"/>
      <c r="U33" s="438" t="e">
        <f t="shared" si="1"/>
        <v>#DIV/0!</v>
      </c>
      <c r="V33" s="438" t="e">
        <f>S33/G33</f>
        <v>#DIV/0!</v>
      </c>
      <c r="W33" s="430"/>
    </row>
    <row r="34" spans="1:23" s="431" customFormat="1">
      <c r="A34" s="425"/>
      <c r="B34" s="425"/>
      <c r="C34" s="425"/>
      <c r="D34" s="299">
        <f t="shared" si="4"/>
        <v>46295</v>
      </c>
      <c r="E34" s="299" t="s">
        <v>440</v>
      </c>
      <c r="F34" s="433"/>
      <c r="G34" s="440"/>
      <c r="H34" s="435"/>
      <c r="I34" s="436"/>
      <c r="J34" s="336"/>
      <c r="K34" s="437"/>
      <c r="L34" s="229"/>
      <c r="M34" s="434"/>
      <c r="N34" s="435"/>
      <c r="O34" s="438" t="e">
        <f t="shared" si="0"/>
        <v>#DIV/0!</v>
      </c>
      <c r="P34" s="438"/>
      <c r="Q34" s="439"/>
      <c r="R34" s="433"/>
      <c r="S34" s="434"/>
      <c r="T34" s="435"/>
      <c r="U34" s="438" t="e">
        <f t="shared" si="1"/>
        <v>#DIV/0!</v>
      </c>
      <c r="V34" s="438"/>
      <c r="W34" s="430"/>
    </row>
    <row r="35" spans="1:23" s="431" customFormat="1">
      <c r="A35" s="425"/>
      <c r="B35" s="425"/>
      <c r="D35" s="299">
        <f>D34+1</f>
        <v>46296</v>
      </c>
      <c r="E35" s="299" t="s">
        <v>441</v>
      </c>
      <c r="F35" s="433"/>
      <c r="G35" s="434"/>
      <c r="H35" s="440"/>
      <c r="I35" s="436"/>
      <c r="J35" s="336"/>
      <c r="K35" s="336"/>
      <c r="L35" s="229"/>
      <c r="M35" s="434"/>
      <c r="N35" s="440"/>
      <c r="O35" s="438" t="e">
        <f t="shared" si="0"/>
        <v>#DIV/0!</v>
      </c>
      <c r="P35" s="438"/>
      <c r="Q35" s="440"/>
      <c r="R35" s="433"/>
      <c r="S35" s="434"/>
      <c r="T35" s="440"/>
      <c r="U35" s="438" t="e">
        <f t="shared" si="1"/>
        <v>#DIV/0!</v>
      </c>
      <c r="V35" s="438"/>
      <c r="W35" s="432"/>
    </row>
    <row r="36" spans="1:23" s="431" customFormat="1">
      <c r="A36" s="425"/>
      <c r="B36" s="425"/>
      <c r="C36" s="425"/>
      <c r="D36" s="299">
        <f t="shared" ref="D36:D39" si="5">D35+1</f>
        <v>46297</v>
      </c>
      <c r="E36" s="299" t="s">
        <v>442</v>
      </c>
      <c r="F36" s="433"/>
      <c r="G36" s="434"/>
      <c r="H36" s="435"/>
      <c r="I36" s="436"/>
      <c r="J36" s="336"/>
      <c r="K36" s="437"/>
      <c r="L36" s="229"/>
      <c r="M36" s="434"/>
      <c r="N36" s="435"/>
      <c r="O36" s="438" t="e">
        <f t="shared" si="0"/>
        <v>#DIV/0!</v>
      </c>
      <c r="P36" s="438"/>
      <c r="Q36" s="439"/>
      <c r="R36" s="433"/>
      <c r="S36" s="434"/>
      <c r="T36" s="435"/>
      <c r="U36" s="438" t="e">
        <f t="shared" si="1"/>
        <v>#DIV/0!</v>
      </c>
      <c r="V36" s="438"/>
      <c r="W36" s="430"/>
    </row>
    <row r="37" spans="1:23" s="431" customFormat="1">
      <c r="A37" s="425"/>
      <c r="B37" s="425"/>
      <c r="D37" s="299">
        <f t="shared" si="5"/>
        <v>46298</v>
      </c>
      <c r="E37" s="299" t="s">
        <v>443</v>
      </c>
      <c r="F37" s="433"/>
      <c r="G37" s="434"/>
      <c r="H37" s="440"/>
      <c r="I37" s="436"/>
      <c r="J37" s="336"/>
      <c r="K37" s="336"/>
      <c r="L37" s="433"/>
      <c r="M37" s="434"/>
      <c r="N37" s="440"/>
      <c r="O37" s="438" t="e">
        <f t="shared" si="0"/>
        <v>#DIV/0!</v>
      </c>
      <c r="P37" s="438"/>
      <c r="Q37" s="440"/>
      <c r="R37" s="433"/>
      <c r="S37" s="434"/>
      <c r="T37" s="440"/>
      <c r="U37" s="438" t="e">
        <f t="shared" si="1"/>
        <v>#DIV/0!</v>
      </c>
      <c r="V37" s="438"/>
      <c r="W37" s="432"/>
    </row>
    <row r="38" spans="1:23" s="431" customFormat="1">
      <c r="A38" s="425"/>
      <c r="B38" s="425"/>
      <c r="D38" s="299">
        <f t="shared" si="5"/>
        <v>46299</v>
      </c>
      <c r="E38" s="299" t="s">
        <v>444</v>
      </c>
      <c r="F38" s="433"/>
      <c r="G38" s="434"/>
      <c r="H38" s="440"/>
      <c r="I38" s="436"/>
      <c r="J38" s="336"/>
      <c r="K38" s="336"/>
      <c r="L38" s="433"/>
      <c r="M38" s="434"/>
      <c r="N38" s="440"/>
      <c r="O38" s="438" t="e">
        <f t="shared" si="0"/>
        <v>#DIV/0!</v>
      </c>
      <c r="P38" s="438"/>
      <c r="Q38" s="440"/>
      <c r="R38" s="433"/>
      <c r="S38" s="434"/>
      <c r="T38" s="440"/>
      <c r="U38" s="438" t="e">
        <f t="shared" si="1"/>
        <v>#DIV/0!</v>
      </c>
      <c r="V38" s="438"/>
      <c r="W38" s="432"/>
    </row>
    <row r="39" spans="1:23" s="431" customFormat="1">
      <c r="A39" s="425"/>
      <c r="B39" s="425"/>
      <c r="D39" s="299">
        <f t="shared" si="5"/>
        <v>46300</v>
      </c>
      <c r="E39" s="299" t="s">
        <v>438</v>
      </c>
      <c r="F39" s="433"/>
      <c r="G39" s="434"/>
      <c r="H39" s="440"/>
      <c r="I39" s="436"/>
      <c r="J39" s="336"/>
      <c r="K39" s="336"/>
      <c r="L39" s="433"/>
      <c r="M39" s="434"/>
      <c r="N39" s="440"/>
      <c r="O39" s="438" t="e">
        <f t="shared" si="0"/>
        <v>#DIV/0!</v>
      </c>
      <c r="P39" s="438"/>
      <c r="Q39" s="440"/>
      <c r="R39" s="433"/>
      <c r="S39" s="434"/>
      <c r="T39" s="440"/>
      <c r="U39" s="438" t="e">
        <f t="shared" si="1"/>
        <v>#DIV/0!</v>
      </c>
      <c r="V39" s="438"/>
      <c r="W39" s="432"/>
    </row>
    <row r="40" spans="1:23">
      <c r="A40" s="97"/>
      <c r="B40" s="97"/>
      <c r="D40" s="355"/>
      <c r="E40" s="355"/>
      <c r="F40" s="229"/>
      <c r="G40" s="434">
        <f>SUM(F40:F46)</f>
        <v>0</v>
      </c>
      <c r="I40" s="230"/>
      <c r="J40" s="336">
        <f>SUM(I40:I46)</f>
        <v>0</v>
      </c>
      <c r="L40" s="229"/>
      <c r="M40" s="434">
        <f>SUM(L40:L46)</f>
        <v>0</v>
      </c>
      <c r="N40" s="86"/>
      <c r="O40" s="89" t="e">
        <f>L40/F40</f>
        <v>#DIV/0!</v>
      </c>
      <c r="P40" s="438" t="e">
        <f>M40/G40</f>
        <v>#DIV/0!</v>
      </c>
      <c r="Q40" s="86"/>
      <c r="R40" s="229"/>
      <c r="S40" s="434">
        <f>SUM(R40:R46)</f>
        <v>0</v>
      </c>
      <c r="T40" s="86"/>
      <c r="U40" s="89" t="e">
        <f t="shared" si="1"/>
        <v>#DIV/0!</v>
      </c>
      <c r="V40" s="438" t="e">
        <f>S40/G40</f>
        <v>#DIV/0!</v>
      </c>
      <c r="W40" s="86"/>
    </row>
    <row r="41" spans="1:23">
      <c r="A41" s="97"/>
      <c r="B41" s="97"/>
      <c r="D41" s="355"/>
      <c r="E41" s="355"/>
      <c r="F41" s="229"/>
      <c r="G41" s="297"/>
      <c r="I41" s="230"/>
      <c r="L41" s="229"/>
      <c r="M41" s="297"/>
      <c r="N41" s="86"/>
      <c r="O41" s="89" t="e">
        <f t="shared" ref="O41:O46" si="6">L41/F41</f>
        <v>#DIV/0!</v>
      </c>
      <c r="Q41" s="86"/>
      <c r="R41" s="229"/>
      <c r="S41" s="297"/>
      <c r="T41" s="86"/>
      <c r="U41" s="89" t="e">
        <f t="shared" ref="U41:U46" si="7">R41/F41</f>
        <v>#DIV/0!</v>
      </c>
      <c r="V41" s="89"/>
      <c r="W41" s="86"/>
    </row>
    <row r="42" spans="1:23">
      <c r="A42" s="97"/>
      <c r="B42" s="97"/>
      <c r="D42" s="355"/>
      <c r="E42" s="355"/>
      <c r="F42" s="229"/>
      <c r="G42" s="297"/>
      <c r="I42" s="230"/>
      <c r="L42" s="229"/>
      <c r="M42" s="297"/>
      <c r="N42" s="86"/>
      <c r="O42" s="89" t="e">
        <f t="shared" si="6"/>
        <v>#DIV/0!</v>
      </c>
      <c r="Q42" s="86"/>
      <c r="R42" s="229"/>
      <c r="S42" s="297"/>
      <c r="T42" s="86"/>
      <c r="U42" s="89" t="e">
        <f t="shared" si="7"/>
        <v>#DIV/0!</v>
      </c>
      <c r="V42" s="89"/>
      <c r="W42" s="86"/>
    </row>
    <row r="43" spans="1:23">
      <c r="A43" s="97"/>
      <c r="B43" s="97"/>
      <c r="D43" s="355"/>
      <c r="E43" s="355"/>
      <c r="F43" s="229"/>
      <c r="G43" s="297"/>
      <c r="I43" s="230"/>
      <c r="L43" s="229"/>
      <c r="M43" s="297"/>
      <c r="N43" s="86"/>
      <c r="O43" s="89" t="e">
        <f t="shared" si="6"/>
        <v>#DIV/0!</v>
      </c>
      <c r="Q43" s="86"/>
      <c r="R43" s="229"/>
      <c r="S43" s="297"/>
      <c r="T43" s="86"/>
      <c r="U43" s="89" t="e">
        <f t="shared" si="7"/>
        <v>#DIV/0!</v>
      </c>
      <c r="V43" s="89"/>
      <c r="W43" s="86"/>
    </row>
    <row r="44" spans="1:23">
      <c r="A44" s="97"/>
      <c r="B44" s="97"/>
      <c r="D44" s="355"/>
      <c r="E44" s="355"/>
      <c r="F44" s="229"/>
      <c r="G44" s="297"/>
      <c r="I44" s="230"/>
      <c r="L44" s="229"/>
      <c r="M44" s="297"/>
      <c r="N44" s="86"/>
      <c r="O44" s="89" t="e">
        <f t="shared" si="6"/>
        <v>#DIV/0!</v>
      </c>
      <c r="Q44" s="86"/>
      <c r="R44" s="229"/>
      <c r="S44" s="297"/>
      <c r="T44" s="86"/>
      <c r="U44" s="89" t="e">
        <f t="shared" si="7"/>
        <v>#DIV/0!</v>
      </c>
      <c r="V44" s="89"/>
      <c r="W44" s="86"/>
    </row>
    <row r="45" spans="1:23">
      <c r="A45" s="97"/>
      <c r="B45" s="97"/>
      <c r="D45" s="355"/>
      <c r="E45" s="355"/>
      <c r="F45" s="229"/>
      <c r="G45" s="297"/>
      <c r="I45" s="230"/>
      <c r="L45" s="229"/>
      <c r="M45" s="297"/>
      <c r="N45" s="86"/>
      <c r="O45" s="89" t="e">
        <f t="shared" si="6"/>
        <v>#DIV/0!</v>
      </c>
      <c r="Q45" s="86"/>
      <c r="R45" s="229"/>
      <c r="S45" s="297"/>
      <c r="T45" s="86"/>
      <c r="U45" s="89" t="e">
        <f t="shared" si="7"/>
        <v>#DIV/0!</v>
      </c>
      <c r="V45" s="89"/>
      <c r="W45" s="86"/>
    </row>
    <row r="46" spans="1:23">
      <c r="A46" s="97"/>
      <c r="B46" s="97"/>
      <c r="D46" s="355"/>
      <c r="E46" s="355"/>
      <c r="F46" s="229"/>
      <c r="G46" s="297"/>
      <c r="I46" s="230"/>
      <c r="L46" s="229"/>
      <c r="M46" s="297"/>
      <c r="N46" s="86"/>
      <c r="O46" s="89" t="e">
        <f t="shared" si="6"/>
        <v>#DIV/0!</v>
      </c>
      <c r="Q46" s="86"/>
      <c r="R46" s="229"/>
      <c r="S46" s="297"/>
      <c r="T46" s="86"/>
      <c r="U46" s="89" t="e">
        <f t="shared" si="7"/>
        <v>#DIV/0!</v>
      </c>
      <c r="V46" s="89"/>
      <c r="W46" s="86"/>
    </row>
    <row r="47" spans="1:23">
      <c r="A47" s="97"/>
      <c r="B47" s="97"/>
      <c r="F47" s="532"/>
      <c r="I47" s="533"/>
      <c r="M47" s="86"/>
    </row>
    <row r="48" spans="1:23">
      <c r="A48" s="97"/>
      <c r="B48" s="97"/>
      <c r="M48" s="86"/>
    </row>
    <row r="49" spans="1:13">
      <c r="A49" s="97"/>
      <c r="B49" s="97"/>
      <c r="M49" s="86"/>
    </row>
    <row r="50" spans="1:13">
      <c r="B50" s="97"/>
      <c r="M50" s="86"/>
    </row>
    <row r="51" spans="1:13">
      <c r="M51" s="86"/>
    </row>
    <row r="52" spans="1:13">
      <c r="M52" s="86"/>
    </row>
    <row r="53" spans="1:13">
      <c r="M53" s="86"/>
    </row>
    <row r="54" spans="1:13">
      <c r="M54" s="86"/>
    </row>
    <row r="55" spans="1:13">
      <c r="M55" s="86"/>
    </row>
    <row r="56" spans="1:13">
      <c r="M56" s="86"/>
    </row>
    <row r="57" spans="1:13">
      <c r="M57" s="86"/>
    </row>
    <row r="58" spans="1:13">
      <c r="M58" s="86"/>
    </row>
  </sheetData>
  <mergeCells count="9">
    <mergeCell ref="O3:Q3"/>
    <mergeCell ref="B2:W2"/>
    <mergeCell ref="I3:K3"/>
    <mergeCell ref="L3:N3"/>
    <mergeCell ref="F3:H3"/>
    <mergeCell ref="C3:C4"/>
    <mergeCell ref="D3:E4"/>
    <mergeCell ref="R3:T3"/>
    <mergeCell ref="U3:W3"/>
  </mergeCells>
  <phoneticPr fontId="13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B1:W50"/>
  <sheetViews>
    <sheetView zoomScale="70" zoomScaleNormal="70" workbookViewId="0">
      <pane xSplit="5" ySplit="4" topLeftCell="F5" activePane="bottomRight" state="frozen"/>
      <selection pane="topRight" activeCell="F1" sqref="F1"/>
      <selection pane="bottomLeft" activeCell="A5" sqref="A5"/>
      <selection pane="bottomRight" activeCell="O11" sqref="O11"/>
    </sheetView>
  </sheetViews>
  <sheetFormatPr defaultColWidth="8.85546875" defaultRowHeight="14.25"/>
  <cols>
    <col min="1" max="1" width="4.42578125" style="74" customWidth="1"/>
    <col min="2" max="2" width="12.5703125" style="82" customWidth="1"/>
    <col min="3" max="3" width="8.85546875" style="83"/>
    <col min="4" max="4" width="17.42578125" style="84" customWidth="1"/>
    <col min="5" max="5" width="4.42578125" style="84" customWidth="1"/>
    <col min="6" max="8" width="25.5703125" style="93" customWidth="1"/>
    <col min="9" max="11" width="15" style="73" customWidth="1"/>
    <col min="12" max="17" width="14.5703125" style="73" customWidth="1"/>
    <col min="18" max="21" width="14.140625" style="73" customWidth="1"/>
    <col min="22" max="23" width="14.140625" style="74" customWidth="1"/>
    <col min="24" max="16384" width="8.85546875" style="74"/>
  </cols>
  <sheetData>
    <row r="1" spans="2:23">
      <c r="B1" s="82" t="s">
        <v>315</v>
      </c>
      <c r="C1" s="83">
        <v>366</v>
      </c>
    </row>
    <row r="2" spans="2:23" ht="38.1" customHeight="1">
      <c r="B2" s="613" t="s">
        <v>126</v>
      </c>
      <c r="C2" s="620"/>
      <c r="D2" s="620"/>
      <c r="E2" s="620"/>
      <c r="F2" s="620"/>
      <c r="G2" s="620"/>
      <c r="H2" s="620"/>
      <c r="I2" s="620"/>
      <c r="J2" s="620"/>
      <c r="K2" s="620"/>
      <c r="L2" s="620"/>
      <c r="M2" s="620"/>
      <c r="N2" s="620"/>
      <c r="O2" s="620"/>
      <c r="P2" s="620"/>
      <c r="Q2" s="620"/>
      <c r="R2" s="620"/>
      <c r="S2" s="620"/>
      <c r="T2" s="620"/>
      <c r="U2" s="620"/>
    </row>
    <row r="3" spans="2:23" s="72" customFormat="1" ht="23.45" customHeight="1">
      <c r="B3" s="97"/>
      <c r="C3" s="617" t="s">
        <v>116</v>
      </c>
      <c r="D3" s="618" t="s">
        <v>105</v>
      </c>
      <c r="E3" s="618"/>
      <c r="F3" s="621" t="s">
        <v>107</v>
      </c>
      <c r="G3" s="621"/>
      <c r="H3" s="621"/>
      <c r="I3" s="623" t="s">
        <v>108</v>
      </c>
      <c r="J3" s="623"/>
      <c r="K3" s="623"/>
      <c r="L3" s="622" t="s">
        <v>305</v>
      </c>
      <c r="M3" s="622"/>
      <c r="N3" s="622"/>
      <c r="O3" s="622" t="s">
        <v>106</v>
      </c>
      <c r="P3" s="622"/>
      <c r="Q3" s="622"/>
      <c r="R3" s="622" t="s">
        <v>109</v>
      </c>
      <c r="S3" s="622"/>
      <c r="T3" s="622"/>
      <c r="U3" s="622" t="s">
        <v>110</v>
      </c>
      <c r="V3" s="622"/>
      <c r="W3" s="622"/>
    </row>
    <row r="4" spans="2:23" ht="15.75">
      <c r="B4" s="97"/>
      <c r="C4" s="617"/>
      <c r="D4" s="618"/>
      <c r="E4" s="618"/>
      <c r="F4" s="85" t="s">
        <v>115</v>
      </c>
      <c r="G4" s="95" t="s">
        <v>127</v>
      </c>
      <c r="H4" s="95" t="s">
        <v>128</v>
      </c>
      <c r="I4" s="85" t="s">
        <v>115</v>
      </c>
      <c r="J4" s="94" t="s">
        <v>127</v>
      </c>
      <c r="K4" s="94" t="s">
        <v>128</v>
      </c>
      <c r="L4" s="85" t="s">
        <v>115</v>
      </c>
      <c r="M4" s="94" t="s">
        <v>127</v>
      </c>
      <c r="N4" s="94" t="s">
        <v>128</v>
      </c>
      <c r="O4" s="85" t="s">
        <v>115</v>
      </c>
      <c r="P4" s="94" t="s">
        <v>127</v>
      </c>
      <c r="Q4" s="94" t="s">
        <v>128</v>
      </c>
      <c r="R4" s="85" t="s">
        <v>115</v>
      </c>
      <c r="S4" s="94" t="s">
        <v>127</v>
      </c>
      <c r="T4" s="94" t="s">
        <v>128</v>
      </c>
      <c r="U4" s="85" t="s">
        <v>115</v>
      </c>
      <c r="V4" s="94" t="s">
        <v>127</v>
      </c>
      <c r="W4" s="94" t="s">
        <v>128</v>
      </c>
    </row>
    <row r="5" spans="2:23" ht="14.45" customHeight="1">
      <c r="B5" s="97"/>
      <c r="C5" s="97"/>
      <c r="D5" s="299">
        <v>46266</v>
      </c>
      <c r="E5" s="299" t="s">
        <v>439</v>
      </c>
      <c r="F5" s="441">
        <v>351.76174627510022</v>
      </c>
      <c r="G5" s="92"/>
      <c r="H5" s="92"/>
      <c r="I5" s="89">
        <f>F5/$C$1</f>
        <v>0.9610976674183066</v>
      </c>
      <c r="J5" s="213"/>
      <c r="K5" s="213"/>
      <c r="L5" s="444">
        <v>2.4012875903620819E-3</v>
      </c>
      <c r="M5" s="298"/>
      <c r="N5" s="298"/>
      <c r="O5" s="444">
        <v>3.9790318823241261E-3</v>
      </c>
      <c r="P5" s="298"/>
      <c r="Q5" s="298"/>
      <c r="R5" s="232">
        <v>0.91700000000000004</v>
      </c>
      <c r="S5" s="213"/>
      <c r="T5" s="298"/>
      <c r="U5" s="446">
        <v>0.7</v>
      </c>
      <c r="V5" s="213"/>
      <c r="W5" s="298"/>
    </row>
    <row r="6" spans="2:23" ht="14.45" customHeight="1">
      <c r="B6" s="97"/>
      <c r="C6" s="97"/>
      <c r="D6" s="299">
        <f t="shared" ref="D6" si="0">D5+1</f>
        <v>46267</v>
      </c>
      <c r="E6" s="299" t="s">
        <v>440</v>
      </c>
      <c r="F6" s="441">
        <v>359.09435008018835</v>
      </c>
      <c r="G6" s="93">
        <f>AVERAGE(F5:F11)</f>
        <v>357.07494184699289</v>
      </c>
      <c r="H6" s="92"/>
      <c r="I6" s="89">
        <f>F6/$C$1</f>
        <v>0.98113210404423046</v>
      </c>
      <c r="J6" s="213">
        <f>AVERAGE(I5:I11)</f>
        <v>0.97561459521036309</v>
      </c>
      <c r="K6" s="213"/>
      <c r="L6" s="444">
        <v>2.3998264459113706E-3</v>
      </c>
      <c r="M6" s="298">
        <f>AVERAGE(L5:L11)</f>
        <v>2.4078289211901019E-3</v>
      </c>
      <c r="N6" s="298"/>
      <c r="O6" s="444">
        <v>3.9782501755046195E-3</v>
      </c>
      <c r="P6" s="298">
        <f>AVERAGE(O5:O11)</f>
        <v>4.0048614927021822E-3</v>
      </c>
      <c r="Q6" s="298"/>
      <c r="R6" s="232">
        <v>0.91700000000000004</v>
      </c>
      <c r="S6" s="213">
        <f>AVERAGE(R5:R11)</f>
        <v>0.91699999999999993</v>
      </c>
      <c r="T6" s="298"/>
      <c r="U6" s="446">
        <v>0.70199999999999996</v>
      </c>
      <c r="V6" s="213">
        <f>AVERAGE(U5:U11)</f>
        <v>0.71371428571428575</v>
      </c>
      <c r="W6" s="298"/>
    </row>
    <row r="7" spans="2:23" ht="14.45" customHeight="1">
      <c r="B7" s="97"/>
      <c r="C7" s="97"/>
      <c r="D7" s="299">
        <f>D6+1</f>
        <v>46268</v>
      </c>
      <c r="E7" s="299" t="s">
        <v>441</v>
      </c>
      <c r="F7" s="441">
        <v>356.04979707537035</v>
      </c>
      <c r="I7" s="89">
        <f t="shared" ref="I7:I40" si="1">F7/$C$1</f>
        <v>0.97281365321139435</v>
      </c>
      <c r="J7" s="213"/>
      <c r="L7" s="444">
        <v>2.4095317229530675E-3</v>
      </c>
      <c r="M7" s="298"/>
      <c r="O7" s="444">
        <v>3.9778187226256808E-3</v>
      </c>
      <c r="P7" s="298"/>
      <c r="R7" s="232">
        <v>0.91700000000000004</v>
      </c>
      <c r="S7" s="213"/>
      <c r="U7" s="446">
        <v>0.71</v>
      </c>
      <c r="V7" s="213"/>
    </row>
    <row r="8" spans="2:23" ht="14.45" customHeight="1">
      <c r="B8" s="97"/>
      <c r="C8" s="97"/>
      <c r="D8" s="299">
        <f t="shared" ref="D8:D34" si="2">D7+1</f>
        <v>46269</v>
      </c>
      <c r="E8" s="299" t="s">
        <v>442</v>
      </c>
      <c r="F8" s="441">
        <v>363.86166956799622</v>
      </c>
      <c r="G8" s="92"/>
      <c r="H8" s="92"/>
      <c r="I8" s="89">
        <f t="shared" si="1"/>
        <v>0.99415756712567271</v>
      </c>
      <c r="J8" s="213"/>
      <c r="K8" s="213"/>
      <c r="L8" s="444">
        <v>2.4222058920571224E-3</v>
      </c>
      <c r="M8" s="298"/>
      <c r="N8" s="298"/>
      <c r="O8" s="444">
        <v>4.0299197696329302E-3</v>
      </c>
      <c r="P8" s="298"/>
      <c r="Q8" s="298"/>
      <c r="R8" s="232">
        <v>0.91700000000000004</v>
      </c>
      <c r="S8" s="213"/>
      <c r="T8" s="298"/>
      <c r="U8" s="446">
        <v>0.71599999999999997</v>
      </c>
      <c r="V8" s="213"/>
      <c r="W8" s="298"/>
    </row>
    <row r="9" spans="2:23" ht="14.45" customHeight="1">
      <c r="B9" s="97"/>
      <c r="C9" s="97"/>
      <c r="D9" s="299">
        <f t="shared" si="2"/>
        <v>46270</v>
      </c>
      <c r="E9" s="299" t="s">
        <v>443</v>
      </c>
      <c r="F9" s="441">
        <v>348.56238708289015</v>
      </c>
      <c r="G9" s="92"/>
      <c r="H9" s="92"/>
      <c r="I9" s="89">
        <f t="shared" si="1"/>
        <v>0.95235624886035564</v>
      </c>
      <c r="J9" s="213"/>
      <c r="K9" s="213"/>
      <c r="L9" s="444">
        <v>2.3990883354765846E-3</v>
      </c>
      <c r="M9" s="298"/>
      <c r="N9" s="298"/>
      <c r="O9" s="444">
        <v>4.1424782925087947E-3</v>
      </c>
      <c r="P9" s="298"/>
      <c r="Q9" s="298"/>
      <c r="R9" s="232">
        <v>0.91700000000000004</v>
      </c>
      <c r="S9" s="213"/>
      <c r="T9" s="298"/>
      <c r="U9" s="446">
        <v>0.72</v>
      </c>
      <c r="V9" s="213"/>
      <c r="W9" s="298"/>
    </row>
    <row r="10" spans="2:23" ht="14.45" customHeight="1">
      <c r="B10" s="97"/>
      <c r="C10" s="97"/>
      <c r="D10" s="299">
        <f t="shared" si="2"/>
        <v>46271</v>
      </c>
      <c r="E10" s="299" t="s">
        <v>444</v>
      </c>
      <c r="F10" s="441">
        <v>362.98033374754016</v>
      </c>
      <c r="G10" s="92"/>
      <c r="H10" s="92">
        <f>AVERAGE(F6:F36)</f>
        <v>357.96047444230834</v>
      </c>
      <c r="I10" s="89">
        <f t="shared" si="1"/>
        <v>0.99174954575830643</v>
      </c>
      <c r="J10" s="213"/>
      <c r="K10" s="213">
        <f>AVERAGE(I6:I36)</f>
        <v>0.18929691932433015</v>
      </c>
      <c r="L10" s="444">
        <v>2.3923156712291104E-3</v>
      </c>
      <c r="M10" s="298"/>
      <c r="N10" s="298">
        <f>AVERAGE(L6:L36)</f>
        <v>2.4089191429947725E-3</v>
      </c>
      <c r="O10" s="444">
        <v>3.9974236233673664E-3</v>
      </c>
      <c r="P10" s="298"/>
      <c r="Q10" s="298">
        <f>AVERAGE(O6:O36)</f>
        <v>4.009166427765192E-3</v>
      </c>
      <c r="R10" s="232">
        <v>0.91700000000000004</v>
      </c>
      <c r="S10" s="213"/>
      <c r="T10" s="213">
        <f>AVERAGE(R6:R36)</f>
        <v>0.91699999999999993</v>
      </c>
      <c r="U10" s="446">
        <v>0.72399999999999998</v>
      </c>
      <c r="V10" s="213"/>
      <c r="W10" s="213">
        <f>AVERAGE(U6:U36)</f>
        <v>0.71600000000000008</v>
      </c>
    </row>
    <row r="11" spans="2:23" ht="14.45" customHeight="1">
      <c r="B11" s="97"/>
      <c r="C11" s="97"/>
      <c r="D11" s="299">
        <f t="shared" si="2"/>
        <v>46272</v>
      </c>
      <c r="E11" s="299" t="s">
        <v>438</v>
      </c>
      <c r="F11" s="441">
        <v>357.21430909986464</v>
      </c>
      <c r="G11" s="92"/>
      <c r="H11" s="92"/>
      <c r="I11" s="89">
        <f t="shared" si="1"/>
        <v>0.975995380054275</v>
      </c>
      <c r="J11" s="213"/>
      <c r="K11" s="213"/>
      <c r="L11" s="444">
        <v>2.4305467903413787E-3</v>
      </c>
      <c r="M11" s="298"/>
      <c r="N11" s="298"/>
      <c r="O11" s="444">
        <v>3.9291079829517636E-3</v>
      </c>
      <c r="P11" s="298"/>
      <c r="Q11" s="298"/>
      <c r="R11" s="232">
        <v>0.91700000000000004</v>
      </c>
      <c r="S11" s="213"/>
      <c r="T11" s="298"/>
      <c r="U11" s="446">
        <v>0.72399999999999998</v>
      </c>
      <c r="V11" s="213"/>
      <c r="W11" s="213"/>
    </row>
    <row r="12" spans="2:23" ht="14.45" customHeight="1">
      <c r="B12" s="97"/>
      <c r="C12" s="97"/>
      <c r="D12" s="355">
        <f t="shared" si="2"/>
        <v>46273</v>
      </c>
      <c r="E12" s="355" t="s">
        <v>439</v>
      </c>
      <c r="F12" s="228"/>
      <c r="G12" s="92" t="e">
        <f>AVERAGE(F12:F18)</f>
        <v>#DIV/0!</v>
      </c>
      <c r="H12" s="92"/>
      <c r="I12" s="89">
        <f t="shared" si="1"/>
        <v>0</v>
      </c>
      <c r="J12" s="213">
        <f>AVERAGE(I12:I18)</f>
        <v>0</v>
      </c>
      <c r="K12" s="213"/>
      <c r="L12" s="246"/>
      <c r="M12" s="298" t="e">
        <f>AVERAGE(L12:L18)</f>
        <v>#DIV/0!</v>
      </c>
      <c r="N12" s="298"/>
      <c r="O12" s="246"/>
      <c r="P12" s="298" t="e">
        <f>AVERAGE(O12:O18)</f>
        <v>#DIV/0!</v>
      </c>
      <c r="Q12" s="298"/>
      <c r="R12" s="232"/>
      <c r="S12" s="213" t="e">
        <f>AVERAGE(R12:R18)</f>
        <v>#DIV/0!</v>
      </c>
      <c r="T12" s="298"/>
      <c r="U12" s="232"/>
      <c r="V12" s="213" t="e">
        <f>AVERAGE(U12:U18)</f>
        <v>#DIV/0!</v>
      </c>
      <c r="W12" s="298"/>
    </row>
    <row r="13" spans="2:23" ht="14.45" customHeight="1">
      <c r="B13" s="97"/>
      <c r="C13" s="97"/>
      <c r="D13" s="355">
        <f t="shared" si="2"/>
        <v>46274</v>
      </c>
      <c r="E13" s="355" t="s">
        <v>440</v>
      </c>
      <c r="F13" s="228"/>
      <c r="G13" s="92"/>
      <c r="H13" s="92"/>
      <c r="I13" s="89">
        <f t="shared" si="1"/>
        <v>0</v>
      </c>
      <c r="J13" s="213"/>
      <c r="K13" s="213"/>
      <c r="L13" s="246"/>
      <c r="M13" s="298"/>
      <c r="N13" s="298"/>
      <c r="O13" s="246"/>
      <c r="P13" s="298"/>
      <c r="Q13" s="298"/>
      <c r="R13" s="232"/>
      <c r="S13" s="213"/>
      <c r="T13" s="298"/>
      <c r="U13" s="232"/>
      <c r="V13" s="213"/>
      <c r="W13" s="298"/>
    </row>
    <row r="14" spans="2:23" ht="14.45" customHeight="1">
      <c r="B14" s="97"/>
      <c r="C14" s="97"/>
      <c r="D14" s="355">
        <f t="shared" si="2"/>
        <v>46275</v>
      </c>
      <c r="E14" s="355" t="s">
        <v>441</v>
      </c>
      <c r="F14" s="228"/>
      <c r="H14" s="92"/>
      <c r="I14" s="89">
        <f t="shared" si="1"/>
        <v>0</v>
      </c>
      <c r="J14" s="213"/>
      <c r="K14" s="213"/>
      <c r="L14" s="246"/>
      <c r="M14" s="298"/>
      <c r="N14" s="298"/>
      <c r="O14" s="246"/>
      <c r="P14" s="298"/>
      <c r="Q14" s="298"/>
      <c r="R14" s="232"/>
      <c r="S14" s="213"/>
      <c r="T14" s="298"/>
      <c r="U14" s="232"/>
      <c r="V14" s="213"/>
      <c r="W14" s="298"/>
    </row>
    <row r="15" spans="2:23" ht="14.45" customHeight="1">
      <c r="B15" s="97"/>
      <c r="C15" s="97"/>
      <c r="D15" s="355">
        <f t="shared" si="2"/>
        <v>46276</v>
      </c>
      <c r="E15" s="355" t="s">
        <v>442</v>
      </c>
      <c r="F15" s="228"/>
      <c r="G15" s="92"/>
      <c r="H15" s="92"/>
      <c r="I15" s="89">
        <f t="shared" si="1"/>
        <v>0</v>
      </c>
      <c r="J15" s="213"/>
      <c r="K15" s="213"/>
      <c r="L15" s="246"/>
      <c r="M15" s="298"/>
      <c r="N15" s="298"/>
      <c r="O15" s="246"/>
      <c r="P15" s="298"/>
      <c r="Q15" s="298"/>
      <c r="R15" s="232"/>
      <c r="S15" s="213"/>
      <c r="T15" s="298"/>
      <c r="U15" s="232"/>
      <c r="V15" s="213"/>
      <c r="W15" s="298"/>
    </row>
    <row r="16" spans="2:23" ht="14.45" customHeight="1">
      <c r="B16" s="97"/>
      <c r="C16" s="97"/>
      <c r="D16" s="355">
        <f t="shared" si="2"/>
        <v>46277</v>
      </c>
      <c r="E16" s="355" t="s">
        <v>443</v>
      </c>
      <c r="F16" s="228"/>
      <c r="G16" s="92"/>
      <c r="H16" s="92"/>
      <c r="I16" s="89">
        <f t="shared" si="1"/>
        <v>0</v>
      </c>
      <c r="J16" s="213"/>
      <c r="K16" s="213"/>
      <c r="L16" s="246"/>
      <c r="M16" s="298"/>
      <c r="N16" s="298"/>
      <c r="O16" s="246"/>
      <c r="P16" s="298"/>
      <c r="Q16" s="298"/>
      <c r="R16" s="232"/>
      <c r="S16" s="213"/>
      <c r="T16" s="298"/>
      <c r="U16" s="232"/>
      <c r="V16" s="213"/>
      <c r="W16" s="298"/>
    </row>
    <row r="17" spans="2:23" ht="14.45" customHeight="1">
      <c r="B17" s="97"/>
      <c r="C17" s="97"/>
      <c r="D17" s="355">
        <f t="shared" si="2"/>
        <v>46278</v>
      </c>
      <c r="E17" s="355" t="s">
        <v>444</v>
      </c>
      <c r="F17" s="228"/>
      <c r="G17" s="92"/>
      <c r="H17" s="92"/>
      <c r="I17" s="89">
        <f t="shared" si="1"/>
        <v>0</v>
      </c>
      <c r="J17" s="213"/>
      <c r="K17" s="213"/>
      <c r="L17" s="246"/>
      <c r="M17" s="298"/>
      <c r="N17" s="298"/>
      <c r="O17" s="246"/>
      <c r="P17" s="298"/>
      <c r="Q17" s="298"/>
      <c r="R17" s="232"/>
      <c r="S17" s="213"/>
      <c r="T17" s="298"/>
      <c r="U17" s="232"/>
      <c r="V17" s="213"/>
      <c r="W17" s="298"/>
    </row>
    <row r="18" spans="2:23" ht="14.45" customHeight="1">
      <c r="B18" s="97"/>
      <c r="C18" s="97"/>
      <c r="D18" s="355">
        <f t="shared" si="2"/>
        <v>46279</v>
      </c>
      <c r="E18" s="355" t="s">
        <v>438</v>
      </c>
      <c r="F18" s="228"/>
      <c r="G18" s="92"/>
      <c r="H18" s="92"/>
      <c r="I18" s="89">
        <f t="shared" si="1"/>
        <v>0</v>
      </c>
      <c r="J18" s="213"/>
      <c r="K18" s="213"/>
      <c r="L18" s="246"/>
      <c r="M18" s="298"/>
      <c r="N18" s="298"/>
      <c r="O18" s="246"/>
      <c r="P18" s="298"/>
      <c r="Q18" s="298"/>
      <c r="R18" s="232"/>
      <c r="S18" s="213"/>
      <c r="T18" s="298"/>
      <c r="U18" s="232"/>
      <c r="V18" s="213"/>
      <c r="W18" s="298"/>
    </row>
    <row r="19" spans="2:23" ht="14.45" customHeight="1">
      <c r="B19" s="97"/>
      <c r="C19" s="97"/>
      <c r="D19" s="299">
        <f t="shared" si="2"/>
        <v>46280</v>
      </c>
      <c r="E19" s="299" t="s">
        <v>439</v>
      </c>
      <c r="F19" s="228"/>
      <c r="G19" s="92" t="e">
        <f>AVERAGE(F19:F25)</f>
        <v>#DIV/0!</v>
      </c>
      <c r="H19" s="92"/>
      <c r="I19" s="89">
        <f t="shared" si="1"/>
        <v>0</v>
      </c>
      <c r="J19" s="213">
        <f>AVERAGE(I19:I25)</f>
        <v>0</v>
      </c>
      <c r="K19" s="213"/>
      <c r="L19" s="246"/>
      <c r="M19" s="298" t="e">
        <f>AVERAGE(L19:L25)</f>
        <v>#DIV/0!</v>
      </c>
      <c r="N19" s="298"/>
      <c r="O19" s="246"/>
      <c r="P19" s="298" t="e">
        <f>AVERAGE(O19:O25)</f>
        <v>#DIV/0!</v>
      </c>
      <c r="Q19" s="298"/>
      <c r="R19" s="232"/>
      <c r="S19" s="213" t="e">
        <f>AVERAGE(R19:R25)</f>
        <v>#DIV/0!</v>
      </c>
      <c r="T19" s="298"/>
      <c r="U19" s="232"/>
      <c r="V19" s="213" t="e">
        <f>AVERAGE(U19:U25)</f>
        <v>#DIV/0!</v>
      </c>
      <c r="W19" s="298"/>
    </row>
    <row r="20" spans="2:23" ht="14.45" customHeight="1">
      <c r="B20" s="97"/>
      <c r="C20" s="97"/>
      <c r="D20" s="299">
        <f t="shared" si="2"/>
        <v>46281</v>
      </c>
      <c r="E20" s="299" t="s">
        <v>440</v>
      </c>
      <c r="F20" s="228"/>
      <c r="G20" s="92"/>
      <c r="H20" s="92"/>
      <c r="I20" s="89">
        <f t="shared" si="1"/>
        <v>0</v>
      </c>
      <c r="J20" s="213"/>
      <c r="K20" s="213"/>
      <c r="L20" s="246"/>
      <c r="M20" s="298"/>
      <c r="N20" s="298"/>
      <c r="O20" s="246"/>
      <c r="P20" s="298"/>
      <c r="Q20" s="298"/>
      <c r="R20" s="232"/>
      <c r="S20" s="213"/>
      <c r="T20" s="298"/>
      <c r="U20" s="232"/>
      <c r="V20" s="213"/>
      <c r="W20" s="298"/>
    </row>
    <row r="21" spans="2:23" ht="14.45" customHeight="1">
      <c r="B21" s="97"/>
      <c r="C21" s="97"/>
      <c r="D21" s="299">
        <f t="shared" si="2"/>
        <v>46282</v>
      </c>
      <c r="E21" s="299" t="s">
        <v>441</v>
      </c>
      <c r="F21" s="228"/>
      <c r="G21" s="92"/>
      <c r="H21" s="92"/>
      <c r="I21" s="89">
        <f t="shared" si="1"/>
        <v>0</v>
      </c>
      <c r="J21" s="213"/>
      <c r="K21" s="213"/>
      <c r="L21" s="246"/>
      <c r="M21" s="298"/>
      <c r="N21" s="298"/>
      <c r="O21" s="246"/>
      <c r="P21" s="298"/>
      <c r="Q21" s="298"/>
      <c r="R21" s="232"/>
      <c r="S21" s="213"/>
      <c r="T21" s="298"/>
      <c r="U21" s="232"/>
      <c r="V21" s="213"/>
      <c r="W21" s="298"/>
    </row>
    <row r="22" spans="2:23" ht="14.45" customHeight="1">
      <c r="B22" s="97"/>
      <c r="C22" s="97"/>
      <c r="D22" s="299">
        <f t="shared" si="2"/>
        <v>46283</v>
      </c>
      <c r="E22" s="299" t="s">
        <v>442</v>
      </c>
      <c r="F22" s="228"/>
      <c r="G22" s="92"/>
      <c r="H22" s="92"/>
      <c r="I22" s="89">
        <f t="shared" si="1"/>
        <v>0</v>
      </c>
      <c r="J22" s="213"/>
      <c r="K22" s="213"/>
      <c r="L22" s="246"/>
      <c r="M22" s="298"/>
      <c r="N22" s="298"/>
      <c r="O22" s="246"/>
      <c r="P22" s="298"/>
      <c r="Q22" s="298"/>
      <c r="R22" s="232"/>
      <c r="S22" s="213"/>
      <c r="T22" s="298"/>
      <c r="U22" s="232"/>
      <c r="V22" s="213"/>
      <c r="W22" s="298"/>
    </row>
    <row r="23" spans="2:23" ht="14.45" customHeight="1">
      <c r="B23" s="97"/>
      <c r="C23" s="97"/>
      <c r="D23" s="299">
        <f t="shared" si="2"/>
        <v>46284</v>
      </c>
      <c r="E23" s="299" t="s">
        <v>443</v>
      </c>
      <c r="F23" s="228"/>
      <c r="G23" s="92"/>
      <c r="H23" s="92"/>
      <c r="I23" s="89">
        <f t="shared" si="1"/>
        <v>0</v>
      </c>
      <c r="J23" s="213"/>
      <c r="K23" s="213"/>
      <c r="L23" s="246"/>
      <c r="M23" s="298"/>
      <c r="N23" s="298"/>
      <c r="O23" s="246"/>
      <c r="P23" s="298"/>
      <c r="Q23" s="298"/>
      <c r="R23" s="232"/>
      <c r="S23" s="213"/>
      <c r="T23" s="298"/>
      <c r="U23" s="232"/>
      <c r="V23" s="213"/>
      <c r="W23" s="298"/>
    </row>
    <row r="24" spans="2:23" ht="14.45" customHeight="1">
      <c r="B24" s="97"/>
      <c r="C24" s="97"/>
      <c r="D24" s="299">
        <f t="shared" si="2"/>
        <v>46285</v>
      </c>
      <c r="E24" s="299" t="s">
        <v>444</v>
      </c>
      <c r="F24" s="228"/>
      <c r="G24" s="92"/>
      <c r="H24" s="92"/>
      <c r="I24" s="89">
        <f t="shared" si="1"/>
        <v>0</v>
      </c>
      <c r="J24" s="213"/>
      <c r="K24" s="213"/>
      <c r="L24" s="246"/>
      <c r="M24" s="298"/>
      <c r="N24" s="298"/>
      <c r="O24" s="246"/>
      <c r="P24" s="298"/>
      <c r="Q24" s="298"/>
      <c r="R24" s="232"/>
      <c r="S24" s="213"/>
      <c r="T24" s="298"/>
      <c r="U24" s="232"/>
      <c r="V24" s="213"/>
      <c r="W24" s="298"/>
    </row>
    <row r="25" spans="2:23" ht="14.45" customHeight="1">
      <c r="B25" s="97"/>
      <c r="C25" s="97"/>
      <c r="D25" s="299">
        <f t="shared" si="2"/>
        <v>46286</v>
      </c>
      <c r="E25" s="299" t="s">
        <v>438</v>
      </c>
      <c r="F25" s="228"/>
      <c r="G25" s="92"/>
      <c r="H25" s="92"/>
      <c r="I25" s="89">
        <f t="shared" si="1"/>
        <v>0</v>
      </c>
      <c r="J25" s="213"/>
      <c r="K25" s="213"/>
      <c r="L25" s="246"/>
      <c r="M25" s="298"/>
      <c r="N25" s="298"/>
      <c r="O25" s="246"/>
      <c r="P25" s="298"/>
      <c r="Q25" s="298"/>
      <c r="R25" s="232"/>
      <c r="S25" s="213"/>
      <c r="T25" s="298"/>
      <c r="U25" s="232"/>
      <c r="V25" s="213"/>
      <c r="W25" s="298"/>
    </row>
    <row r="26" spans="2:23" ht="14.45" customHeight="1">
      <c r="B26" s="97"/>
      <c r="C26" s="97"/>
      <c r="D26" s="355">
        <f t="shared" si="2"/>
        <v>46287</v>
      </c>
      <c r="E26" s="355" t="s">
        <v>439</v>
      </c>
      <c r="F26" s="228"/>
      <c r="G26" s="92" t="e">
        <f>AVERAGE(F26:F32)</f>
        <v>#DIV/0!</v>
      </c>
      <c r="H26" s="92"/>
      <c r="I26" s="89">
        <f t="shared" si="1"/>
        <v>0</v>
      </c>
      <c r="J26" s="213">
        <f>AVERAGE(I26:I32)</f>
        <v>0</v>
      </c>
      <c r="K26" s="213"/>
      <c r="L26" s="246"/>
      <c r="M26" s="298" t="e">
        <f>AVERAGE(L26:L32)</f>
        <v>#DIV/0!</v>
      </c>
      <c r="N26" s="298"/>
      <c r="O26" s="246"/>
      <c r="P26" s="298" t="e">
        <f>AVERAGE(O26:O32)</f>
        <v>#DIV/0!</v>
      </c>
      <c r="Q26" s="298"/>
      <c r="R26" s="232"/>
      <c r="S26" s="213" t="e">
        <f>AVERAGE(R26:R32)</f>
        <v>#DIV/0!</v>
      </c>
      <c r="T26" s="298"/>
      <c r="U26" s="232"/>
      <c r="V26" s="213" t="e">
        <f>AVERAGE(U26:U32)</f>
        <v>#DIV/0!</v>
      </c>
      <c r="W26" s="298"/>
    </row>
    <row r="27" spans="2:23" ht="14.45" customHeight="1">
      <c r="B27" s="97"/>
      <c r="C27" s="97"/>
      <c r="D27" s="355">
        <f t="shared" si="2"/>
        <v>46288</v>
      </c>
      <c r="E27" s="355" t="s">
        <v>440</v>
      </c>
      <c r="F27" s="228"/>
      <c r="G27" s="92"/>
      <c r="H27" s="92"/>
      <c r="I27" s="89">
        <f t="shared" si="1"/>
        <v>0</v>
      </c>
      <c r="J27" s="213"/>
      <c r="K27" s="213"/>
      <c r="L27" s="246"/>
      <c r="M27" s="298"/>
      <c r="N27" s="298"/>
      <c r="O27" s="246"/>
      <c r="P27" s="298"/>
      <c r="Q27" s="298"/>
      <c r="R27" s="232"/>
      <c r="S27" s="213"/>
      <c r="T27" s="298"/>
      <c r="U27" s="232"/>
      <c r="V27" s="213"/>
      <c r="W27" s="298"/>
    </row>
    <row r="28" spans="2:23" ht="14.45" customHeight="1">
      <c r="B28" s="97"/>
      <c r="C28" s="97"/>
      <c r="D28" s="355">
        <f t="shared" si="2"/>
        <v>46289</v>
      </c>
      <c r="E28" s="355" t="s">
        <v>441</v>
      </c>
      <c r="F28" s="228"/>
      <c r="G28" s="92"/>
      <c r="H28" s="92"/>
      <c r="I28" s="89">
        <f t="shared" si="1"/>
        <v>0</v>
      </c>
      <c r="J28" s="213"/>
      <c r="K28" s="213"/>
      <c r="L28" s="246"/>
      <c r="M28" s="298"/>
      <c r="N28" s="298"/>
      <c r="O28" s="246"/>
      <c r="P28" s="298"/>
      <c r="Q28" s="298"/>
      <c r="R28" s="232"/>
      <c r="S28" s="213"/>
      <c r="T28" s="298"/>
      <c r="U28" s="232"/>
      <c r="V28" s="213"/>
      <c r="W28" s="298"/>
    </row>
    <row r="29" spans="2:23" ht="14.45" customHeight="1">
      <c r="B29" s="97"/>
      <c r="C29" s="97"/>
      <c r="D29" s="355">
        <f t="shared" si="2"/>
        <v>46290</v>
      </c>
      <c r="E29" s="355" t="s">
        <v>442</v>
      </c>
      <c r="F29" s="228"/>
      <c r="G29" s="92"/>
      <c r="H29" s="92"/>
      <c r="I29" s="89">
        <f t="shared" si="1"/>
        <v>0</v>
      </c>
      <c r="J29" s="213"/>
      <c r="K29" s="213"/>
      <c r="L29" s="246"/>
      <c r="M29" s="298"/>
      <c r="N29" s="298"/>
      <c r="O29" s="246"/>
      <c r="P29" s="298"/>
      <c r="Q29" s="298"/>
      <c r="R29" s="232"/>
      <c r="S29" s="213"/>
      <c r="T29" s="298"/>
      <c r="U29" s="232"/>
      <c r="V29" s="213"/>
      <c r="W29" s="298"/>
    </row>
    <row r="30" spans="2:23" ht="14.45" customHeight="1">
      <c r="B30" s="97"/>
      <c r="C30" s="97"/>
      <c r="D30" s="355">
        <f t="shared" si="2"/>
        <v>46291</v>
      </c>
      <c r="E30" s="355" t="s">
        <v>443</v>
      </c>
      <c r="F30" s="228"/>
      <c r="G30" s="92"/>
      <c r="H30" s="92"/>
      <c r="I30" s="89">
        <f t="shared" si="1"/>
        <v>0</v>
      </c>
      <c r="J30" s="213"/>
      <c r="K30" s="213"/>
      <c r="L30" s="246"/>
      <c r="M30" s="298"/>
      <c r="N30" s="298"/>
      <c r="O30" s="246"/>
      <c r="P30" s="298"/>
      <c r="Q30" s="298"/>
      <c r="R30" s="232"/>
      <c r="S30" s="213"/>
      <c r="T30" s="298"/>
      <c r="U30" s="232"/>
      <c r="V30" s="213"/>
      <c r="W30" s="298"/>
    </row>
    <row r="31" spans="2:23" ht="14.45" customHeight="1">
      <c r="B31" s="97"/>
      <c r="C31" s="97"/>
      <c r="D31" s="355">
        <f t="shared" si="2"/>
        <v>46292</v>
      </c>
      <c r="E31" s="355" t="s">
        <v>444</v>
      </c>
      <c r="F31" s="228"/>
      <c r="G31" s="92"/>
      <c r="H31" s="92"/>
      <c r="I31" s="89">
        <f t="shared" si="1"/>
        <v>0</v>
      </c>
      <c r="J31" s="213"/>
      <c r="K31" s="213"/>
      <c r="L31" s="246"/>
      <c r="M31" s="298"/>
      <c r="N31" s="298"/>
      <c r="O31" s="246"/>
      <c r="P31" s="298"/>
      <c r="Q31" s="298"/>
      <c r="R31" s="232"/>
      <c r="S31" s="213"/>
      <c r="T31" s="298"/>
      <c r="U31" s="232"/>
      <c r="V31" s="213"/>
      <c r="W31" s="298"/>
    </row>
    <row r="32" spans="2:23" ht="14.45" customHeight="1">
      <c r="B32" s="97"/>
      <c r="C32" s="97"/>
      <c r="D32" s="355">
        <f t="shared" si="2"/>
        <v>46293</v>
      </c>
      <c r="E32" s="355" t="s">
        <v>438</v>
      </c>
      <c r="F32" s="228"/>
      <c r="G32" s="92"/>
      <c r="H32" s="92"/>
      <c r="I32" s="89">
        <f t="shared" si="1"/>
        <v>0</v>
      </c>
      <c r="J32" s="213"/>
      <c r="K32" s="213"/>
      <c r="L32" s="246"/>
      <c r="M32" s="298"/>
      <c r="N32" s="298"/>
      <c r="O32" s="246"/>
      <c r="P32" s="298"/>
      <c r="Q32" s="298"/>
      <c r="R32" s="232"/>
      <c r="S32" s="213"/>
      <c r="T32" s="298"/>
      <c r="U32" s="232"/>
      <c r="V32" s="213"/>
      <c r="W32" s="298"/>
    </row>
    <row r="33" spans="2:23" s="452" customFormat="1" ht="14.45" customHeight="1">
      <c r="B33" s="449"/>
      <c r="C33" s="449"/>
      <c r="D33" s="299">
        <f t="shared" si="2"/>
        <v>46294</v>
      </c>
      <c r="E33" s="299" t="s">
        <v>439</v>
      </c>
      <c r="F33" s="441"/>
      <c r="G33" s="442" t="e">
        <f>AVERAGE(F33:F39)</f>
        <v>#DIV/0!</v>
      </c>
      <c r="H33" s="442"/>
      <c r="I33" s="438">
        <f t="shared" si="1"/>
        <v>0</v>
      </c>
      <c r="J33" s="443">
        <f>AVERAGE(I33:I39)</f>
        <v>0</v>
      </c>
      <c r="K33" s="443"/>
      <c r="L33" s="444"/>
      <c r="M33" s="445" t="e">
        <f>AVERAGE(L33:L39)</f>
        <v>#DIV/0!</v>
      </c>
      <c r="N33" s="445"/>
      <c r="O33" s="444"/>
      <c r="P33" s="445" t="e">
        <f>AVERAGE(O33:O39)</f>
        <v>#DIV/0!</v>
      </c>
      <c r="Q33" s="445"/>
      <c r="R33" s="232"/>
      <c r="S33" s="213" t="e">
        <f>AVERAGE(R33:R39)</f>
        <v>#DIV/0!</v>
      </c>
      <c r="T33" s="445"/>
      <c r="U33" s="446"/>
      <c r="V33" s="443" t="e">
        <f>AVERAGE(U33:U39)</f>
        <v>#DIV/0!</v>
      </c>
      <c r="W33" s="451"/>
    </row>
    <row r="34" spans="2:23" s="452" customFormat="1" ht="14.45" customHeight="1">
      <c r="B34" s="449"/>
      <c r="C34" s="449"/>
      <c r="D34" s="299">
        <f t="shared" si="2"/>
        <v>46295</v>
      </c>
      <c r="E34" s="299" t="s">
        <v>440</v>
      </c>
      <c r="F34" s="441"/>
      <c r="G34" s="442"/>
      <c r="H34" s="442"/>
      <c r="I34" s="438">
        <f t="shared" si="1"/>
        <v>0</v>
      </c>
      <c r="J34" s="443"/>
      <c r="K34" s="443"/>
      <c r="L34" s="444"/>
      <c r="M34" s="445"/>
      <c r="N34" s="445"/>
      <c r="O34" s="444"/>
      <c r="P34" s="445"/>
      <c r="Q34" s="445"/>
      <c r="R34" s="232"/>
      <c r="S34" s="443"/>
      <c r="T34" s="445"/>
      <c r="U34" s="446"/>
      <c r="V34" s="443"/>
      <c r="W34" s="451"/>
    </row>
    <row r="35" spans="2:23" s="452" customFormat="1">
      <c r="B35" s="449"/>
      <c r="C35" s="431"/>
      <c r="D35" s="299">
        <f>D34+1</f>
        <v>46296</v>
      </c>
      <c r="E35" s="299" t="s">
        <v>441</v>
      </c>
      <c r="F35" s="441"/>
      <c r="G35" s="442"/>
      <c r="H35" s="447"/>
      <c r="I35" s="438">
        <f t="shared" si="1"/>
        <v>0</v>
      </c>
      <c r="J35" s="443"/>
      <c r="K35" s="448"/>
      <c r="L35" s="444"/>
      <c r="M35" s="445"/>
      <c r="N35" s="448"/>
      <c r="O35" s="444"/>
      <c r="P35" s="445"/>
      <c r="Q35" s="448"/>
      <c r="R35" s="232"/>
      <c r="S35" s="443"/>
      <c r="T35" s="448"/>
      <c r="U35" s="446"/>
      <c r="V35" s="443"/>
    </row>
    <row r="36" spans="2:23" s="452" customFormat="1">
      <c r="B36" s="449"/>
      <c r="C36" s="449"/>
      <c r="D36" s="299">
        <f t="shared" ref="D36:D39" si="3">D35+1</f>
        <v>46297</v>
      </c>
      <c r="E36" s="299" t="s">
        <v>442</v>
      </c>
      <c r="F36" s="441"/>
      <c r="G36" s="442"/>
      <c r="H36" s="442"/>
      <c r="I36" s="438">
        <f t="shared" si="1"/>
        <v>0</v>
      </c>
      <c r="J36" s="443"/>
      <c r="K36" s="443"/>
      <c r="L36" s="444"/>
      <c r="M36" s="443"/>
      <c r="N36" s="445"/>
      <c r="O36" s="444"/>
      <c r="P36" s="443"/>
      <c r="Q36" s="445"/>
      <c r="R36" s="232"/>
      <c r="S36" s="443"/>
      <c r="T36" s="443"/>
      <c r="U36" s="446"/>
      <c r="V36" s="443"/>
      <c r="W36" s="450"/>
    </row>
    <row r="37" spans="2:23" s="452" customFormat="1">
      <c r="B37" s="449"/>
      <c r="C37" s="431"/>
      <c r="D37" s="299">
        <f t="shared" si="3"/>
        <v>46298</v>
      </c>
      <c r="E37" s="299" t="s">
        <v>443</v>
      </c>
      <c r="F37" s="441"/>
      <c r="G37" s="442"/>
      <c r="H37" s="442"/>
      <c r="I37" s="438">
        <f t="shared" si="1"/>
        <v>0</v>
      </c>
      <c r="J37" s="443"/>
      <c r="K37" s="440"/>
      <c r="L37" s="444"/>
      <c r="M37" s="443"/>
      <c r="N37" s="438"/>
      <c r="O37" s="444"/>
      <c r="P37" s="443"/>
      <c r="Q37" s="438"/>
      <c r="R37" s="232"/>
      <c r="S37" s="443"/>
      <c r="T37" s="443"/>
      <c r="U37" s="446"/>
      <c r="V37" s="443"/>
      <c r="W37" s="450"/>
    </row>
    <row r="38" spans="2:23" s="452" customFormat="1">
      <c r="B38" s="449"/>
      <c r="C38" s="431"/>
      <c r="D38" s="299">
        <f t="shared" si="3"/>
        <v>46299</v>
      </c>
      <c r="E38" s="299" t="s">
        <v>444</v>
      </c>
      <c r="F38" s="441"/>
      <c r="G38" s="442"/>
      <c r="H38" s="442"/>
      <c r="I38" s="438">
        <f t="shared" si="1"/>
        <v>0</v>
      </c>
      <c r="J38" s="443"/>
      <c r="K38" s="440"/>
      <c r="L38" s="444"/>
      <c r="M38" s="443"/>
      <c r="N38" s="438"/>
      <c r="O38" s="444"/>
      <c r="P38" s="443"/>
      <c r="Q38" s="438"/>
      <c r="R38" s="232"/>
      <c r="S38" s="443"/>
      <c r="T38" s="443"/>
      <c r="U38" s="446"/>
      <c r="V38" s="443"/>
      <c r="W38" s="450"/>
    </row>
    <row r="39" spans="2:23" s="452" customFormat="1">
      <c r="B39" s="449"/>
      <c r="C39" s="431"/>
      <c r="D39" s="299">
        <f t="shared" si="3"/>
        <v>46300</v>
      </c>
      <c r="E39" s="299" t="s">
        <v>438</v>
      </c>
      <c r="F39" s="441"/>
      <c r="G39" s="442"/>
      <c r="H39" s="442"/>
      <c r="I39" s="438">
        <f t="shared" si="1"/>
        <v>0</v>
      </c>
      <c r="J39" s="443"/>
      <c r="K39" s="440"/>
      <c r="L39" s="444"/>
      <c r="M39" s="443"/>
      <c r="N39" s="438"/>
      <c r="O39" s="444"/>
      <c r="P39" s="443"/>
      <c r="Q39" s="438"/>
      <c r="R39" s="232"/>
      <c r="S39" s="443"/>
      <c r="T39" s="443"/>
      <c r="U39" s="446"/>
      <c r="V39" s="443"/>
      <c r="W39" s="450"/>
    </row>
    <row r="40" spans="2:23">
      <c r="B40" s="97"/>
      <c r="D40" s="355"/>
      <c r="E40" s="355"/>
      <c r="F40" s="228"/>
      <c r="G40" s="442" t="e">
        <f>AVERAGE(F40:F46)</f>
        <v>#DIV/0!</v>
      </c>
      <c r="H40" s="92"/>
      <c r="I40" s="89">
        <f t="shared" si="1"/>
        <v>0</v>
      </c>
      <c r="J40" s="443">
        <f>AVERAGE(I40:I46)</f>
        <v>0</v>
      </c>
      <c r="K40" s="86"/>
      <c r="L40" s="246"/>
      <c r="M40" s="445" t="e">
        <f>AVERAGE(L40:L46)</f>
        <v>#DIV/0!</v>
      </c>
      <c r="N40" s="89"/>
      <c r="O40" s="246"/>
      <c r="P40" s="445" t="e">
        <f>AVERAGE(O40:O46)</f>
        <v>#DIV/0!</v>
      </c>
      <c r="Q40" s="89"/>
      <c r="R40" s="232"/>
      <c r="S40" s="213" t="e">
        <f>AVERAGE(R40:R46)</f>
        <v>#DIV/0!</v>
      </c>
      <c r="T40" s="213"/>
      <c r="U40" s="232"/>
      <c r="V40" s="443" t="e">
        <f>AVERAGE(U40:U46)</f>
        <v>#DIV/0!</v>
      </c>
      <c r="W40" s="213"/>
    </row>
    <row r="41" spans="2:23">
      <c r="B41" s="97"/>
      <c r="D41" s="355"/>
      <c r="E41" s="355"/>
      <c r="F41" s="228"/>
      <c r="G41" s="92"/>
      <c r="H41" s="92"/>
      <c r="I41" s="89">
        <f t="shared" ref="I41:I45" si="4">F41/$C$1</f>
        <v>0</v>
      </c>
      <c r="J41" s="213"/>
      <c r="K41" s="86"/>
      <c r="L41" s="246"/>
      <c r="M41" s="213"/>
      <c r="N41" s="89"/>
      <c r="O41" s="246"/>
      <c r="P41" s="213"/>
      <c r="Q41" s="89"/>
      <c r="R41" s="232"/>
      <c r="S41" s="213"/>
      <c r="T41" s="213"/>
      <c r="U41" s="232"/>
      <c r="V41" s="213"/>
      <c r="W41" s="213"/>
    </row>
    <row r="42" spans="2:23">
      <c r="B42" s="97"/>
      <c r="D42" s="355"/>
      <c r="E42" s="355"/>
      <c r="F42" s="228"/>
      <c r="G42" s="92"/>
      <c r="H42" s="92"/>
      <c r="I42" s="89">
        <f t="shared" si="4"/>
        <v>0</v>
      </c>
      <c r="J42" s="213"/>
      <c r="K42" s="86"/>
      <c r="L42" s="246"/>
      <c r="M42" s="213"/>
      <c r="N42" s="89"/>
      <c r="O42" s="246"/>
      <c r="P42" s="213"/>
      <c r="Q42" s="89"/>
      <c r="R42" s="232"/>
      <c r="S42" s="213"/>
      <c r="T42" s="213"/>
      <c r="U42" s="232"/>
      <c r="V42" s="213"/>
      <c r="W42" s="213"/>
    </row>
    <row r="43" spans="2:23">
      <c r="B43" s="97"/>
      <c r="D43" s="355"/>
      <c r="E43" s="355"/>
      <c r="F43" s="228"/>
      <c r="G43" s="92"/>
      <c r="H43" s="92"/>
      <c r="I43" s="89">
        <f t="shared" si="4"/>
        <v>0</v>
      </c>
      <c r="J43" s="213"/>
      <c r="K43" s="86"/>
      <c r="L43" s="246"/>
      <c r="M43" s="213"/>
      <c r="N43" s="89"/>
      <c r="O43" s="246"/>
      <c r="P43" s="213"/>
      <c r="Q43" s="89"/>
      <c r="R43" s="232"/>
      <c r="S43" s="213"/>
      <c r="T43" s="213"/>
      <c r="U43" s="232"/>
      <c r="V43" s="213"/>
      <c r="W43" s="213"/>
    </row>
    <row r="44" spans="2:23">
      <c r="B44" s="97"/>
      <c r="D44" s="355"/>
      <c r="E44" s="355"/>
      <c r="F44" s="228"/>
      <c r="G44" s="92"/>
      <c r="H44" s="92"/>
      <c r="I44" s="89">
        <f t="shared" si="4"/>
        <v>0</v>
      </c>
      <c r="J44" s="213"/>
      <c r="K44" s="86"/>
      <c r="L44" s="246"/>
      <c r="M44" s="213"/>
      <c r="N44" s="89"/>
      <c r="O44" s="246"/>
      <c r="P44" s="213"/>
      <c r="Q44" s="89"/>
      <c r="R44" s="232"/>
      <c r="S44" s="213"/>
      <c r="T44" s="213"/>
      <c r="U44" s="232"/>
      <c r="V44" s="213"/>
      <c r="W44" s="213"/>
    </row>
    <row r="45" spans="2:23">
      <c r="B45" s="97"/>
      <c r="D45" s="355"/>
      <c r="E45" s="355"/>
      <c r="F45" s="228"/>
      <c r="G45" s="92"/>
      <c r="H45" s="92"/>
      <c r="I45" s="89">
        <f t="shared" si="4"/>
        <v>0</v>
      </c>
      <c r="J45" s="213"/>
      <c r="K45" s="86"/>
      <c r="L45" s="246"/>
      <c r="M45" s="213"/>
      <c r="N45" s="89"/>
      <c r="O45" s="246"/>
      <c r="P45" s="213"/>
      <c r="Q45" s="89"/>
      <c r="R45" s="232"/>
      <c r="S45" s="213"/>
      <c r="T45" s="213"/>
      <c r="U45" s="232"/>
      <c r="V45" s="213"/>
      <c r="W45" s="213"/>
    </row>
    <row r="46" spans="2:23">
      <c r="B46" s="97"/>
      <c r="D46" s="355"/>
      <c r="E46" s="355"/>
      <c r="F46" s="228"/>
      <c r="G46" s="92"/>
      <c r="H46" s="92"/>
      <c r="I46" s="89">
        <f t="shared" ref="I46" si="5">F46/$C$1</f>
        <v>0</v>
      </c>
      <c r="J46" s="213"/>
      <c r="K46" s="86"/>
      <c r="L46" s="246"/>
      <c r="M46" s="213"/>
      <c r="N46" s="89"/>
      <c r="O46" s="246"/>
      <c r="P46" s="213"/>
      <c r="Q46" s="89"/>
      <c r="R46" s="232"/>
      <c r="S46" s="213"/>
      <c r="T46" s="213"/>
      <c r="U46" s="232"/>
      <c r="V46" s="213"/>
      <c r="W46" s="213"/>
    </row>
    <row r="47" spans="2:23">
      <c r="B47" s="97"/>
    </row>
    <row r="48" spans="2:23">
      <c r="B48" s="97"/>
    </row>
    <row r="49" spans="2:2">
      <c r="B49" s="97"/>
    </row>
    <row r="50" spans="2:2">
      <c r="B50" s="97"/>
    </row>
  </sheetData>
  <mergeCells count="9">
    <mergeCell ref="B2:U2"/>
    <mergeCell ref="F3:H3"/>
    <mergeCell ref="L3:N3"/>
    <mergeCell ref="R3:T3"/>
    <mergeCell ref="C3:C4"/>
    <mergeCell ref="D3:E4"/>
    <mergeCell ref="I3:K3"/>
    <mergeCell ref="O3:Q3"/>
    <mergeCell ref="U3:W3"/>
  </mergeCells>
  <phoneticPr fontId="13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2:AT106"/>
  <sheetViews>
    <sheetView zoomScale="85" zoomScaleNormal="85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I7" sqref="I7"/>
    </sheetView>
  </sheetViews>
  <sheetFormatPr defaultColWidth="8.85546875" defaultRowHeight="16.5"/>
  <cols>
    <col min="1" max="1" width="0" style="77" hidden="1" customWidth="1"/>
    <col min="2" max="2" width="13.140625" style="77" hidden="1" customWidth="1"/>
    <col min="3" max="3" width="0" style="102" hidden="1" customWidth="1"/>
    <col min="4" max="4" width="11" style="102" bestFit="1" customWidth="1"/>
    <col min="5" max="5" width="8.5703125" style="84" customWidth="1"/>
    <col min="6" max="8" width="17.42578125" style="101" customWidth="1"/>
    <col min="9" max="9" width="10.5703125" style="96" customWidth="1"/>
    <col min="10" max="10" width="10.5703125" style="89" customWidth="1"/>
    <col min="11" max="11" width="10.5703125" style="96" customWidth="1"/>
    <col min="12" max="14" width="10.5703125" style="89" customWidth="1"/>
    <col min="15" max="15" width="10.5703125" style="96" customWidth="1"/>
    <col min="16" max="16" width="10.5703125" style="89" customWidth="1"/>
    <col min="17" max="17" width="10.5703125" style="96" customWidth="1"/>
    <col min="18" max="18" width="10.5703125" style="89" customWidth="1"/>
    <col min="19" max="19" width="10.5703125" style="96" customWidth="1"/>
    <col min="20" max="20" width="10.5703125" style="89" customWidth="1"/>
    <col min="21" max="21" width="10.5703125" style="96" customWidth="1"/>
    <col min="22" max="22" width="10.5703125" style="89" customWidth="1"/>
    <col min="23" max="23" width="10.5703125" style="96" customWidth="1"/>
    <col min="24" max="24" width="10.5703125" style="89" customWidth="1"/>
    <col min="25" max="25" width="10.5703125" style="96" customWidth="1"/>
    <col min="26" max="26" width="10.5703125" style="89" customWidth="1"/>
    <col min="27" max="27" width="10.5703125" style="96" customWidth="1"/>
    <col min="28" max="28" width="10.5703125" style="89" customWidth="1"/>
    <col min="29" max="29" width="10.5703125" style="96" customWidth="1"/>
    <col min="30" max="30" width="10.5703125" style="89" customWidth="1"/>
    <col min="31" max="31" width="10.5703125" style="96" customWidth="1"/>
    <col min="32" max="32" width="10.5703125" style="89" customWidth="1"/>
    <col min="33" max="33" width="10.42578125" style="96" customWidth="1"/>
    <col min="34" max="34" width="10.42578125" style="89" customWidth="1"/>
    <col min="35" max="35" width="10.42578125" style="96" customWidth="1"/>
    <col min="36" max="36" width="10.42578125" style="89" customWidth="1"/>
    <col min="37" max="37" width="10.42578125" style="96" customWidth="1"/>
    <col min="38" max="38" width="10.42578125" style="89" customWidth="1"/>
    <col min="39" max="16384" width="8.85546875" style="77"/>
  </cols>
  <sheetData>
    <row r="2" spans="1:38" ht="38.1" customHeight="1">
      <c r="A2" s="75"/>
      <c r="B2" s="625" t="s">
        <v>300</v>
      </c>
      <c r="C2" s="625"/>
      <c r="D2" s="625"/>
      <c r="E2" s="625"/>
      <c r="F2" s="625"/>
      <c r="G2" s="625"/>
      <c r="H2" s="625"/>
      <c r="I2" s="625"/>
      <c r="J2" s="625"/>
      <c r="K2" s="625"/>
      <c r="L2" s="625"/>
      <c r="M2" s="625"/>
      <c r="N2" s="625"/>
      <c r="O2" s="625"/>
      <c r="P2" s="625"/>
      <c r="Q2" s="625"/>
      <c r="R2" s="625"/>
      <c r="S2" s="625"/>
      <c r="T2" s="625"/>
      <c r="U2" s="625"/>
      <c r="V2" s="625"/>
      <c r="W2" s="625"/>
      <c r="X2" s="625"/>
      <c r="Y2" s="625"/>
      <c r="Z2" s="625"/>
      <c r="AA2" s="625"/>
      <c r="AB2" s="625"/>
      <c r="AC2" s="625"/>
      <c r="AD2" s="625"/>
      <c r="AE2" s="625"/>
      <c r="AF2" s="625"/>
      <c r="AG2" s="625"/>
      <c r="AH2" s="625"/>
      <c r="AI2" s="625"/>
      <c r="AJ2" s="625"/>
      <c r="AK2" s="625"/>
      <c r="AL2" s="625"/>
    </row>
    <row r="3" spans="1:38" ht="25.35" customHeight="1">
      <c r="B3" s="97"/>
      <c r="C3" s="626" t="s">
        <v>139</v>
      </c>
      <c r="D3" s="627" t="s">
        <v>105</v>
      </c>
      <c r="E3" s="627"/>
      <c r="F3" s="628" t="s">
        <v>332</v>
      </c>
      <c r="G3" s="628"/>
      <c r="H3" s="628"/>
      <c r="I3" s="629" t="s">
        <v>111</v>
      </c>
      <c r="J3" s="629"/>
      <c r="K3" s="629"/>
      <c r="L3" s="629"/>
      <c r="M3" s="629"/>
      <c r="N3" s="629"/>
      <c r="O3" s="629"/>
      <c r="P3" s="629"/>
      <c r="Q3" s="629"/>
      <c r="R3" s="629"/>
      <c r="S3" s="629"/>
      <c r="T3" s="629"/>
      <c r="U3" s="629"/>
      <c r="V3" s="629"/>
      <c r="W3" s="629"/>
      <c r="X3" s="629"/>
      <c r="Y3" s="629"/>
      <c r="Z3" s="629"/>
      <c r="AA3" s="629"/>
      <c r="AB3" s="629"/>
      <c r="AC3" s="629"/>
      <c r="AD3" s="629"/>
      <c r="AE3" s="629"/>
      <c r="AF3" s="629"/>
      <c r="AG3" s="629"/>
      <c r="AH3" s="629"/>
      <c r="AI3" s="629"/>
      <c r="AJ3" s="629"/>
      <c r="AK3" s="629"/>
      <c r="AL3" s="629"/>
    </row>
    <row r="4" spans="1:38" ht="25.35" customHeight="1">
      <c r="B4" s="97"/>
      <c r="C4" s="626"/>
      <c r="D4" s="627"/>
      <c r="E4" s="627"/>
      <c r="F4" s="628"/>
      <c r="G4" s="628"/>
      <c r="H4" s="628"/>
      <c r="I4" s="624" t="s">
        <v>140</v>
      </c>
      <c r="J4" s="624"/>
      <c r="K4" s="624"/>
      <c r="L4" s="624"/>
      <c r="M4" s="624"/>
      <c r="N4" s="624"/>
      <c r="O4" s="624" t="s">
        <v>141</v>
      </c>
      <c r="P4" s="624"/>
      <c r="Q4" s="624"/>
      <c r="R4" s="624"/>
      <c r="S4" s="624"/>
      <c r="T4" s="624"/>
      <c r="U4" s="624" t="s">
        <v>324</v>
      </c>
      <c r="V4" s="624"/>
      <c r="W4" s="624" t="s">
        <v>143</v>
      </c>
      <c r="X4" s="624"/>
      <c r="Y4" s="624" t="s">
        <v>134</v>
      </c>
      <c r="Z4" s="624"/>
      <c r="AA4" s="624"/>
      <c r="AB4" s="624"/>
      <c r="AC4" s="624"/>
      <c r="AD4" s="624"/>
      <c r="AE4" s="624" t="s">
        <v>132</v>
      </c>
      <c r="AF4" s="624"/>
      <c r="AG4" s="624" t="s">
        <v>144</v>
      </c>
      <c r="AH4" s="624"/>
      <c r="AI4" s="624" t="s">
        <v>145</v>
      </c>
      <c r="AJ4" s="624"/>
      <c r="AK4" s="624" t="s">
        <v>138</v>
      </c>
      <c r="AL4" s="624"/>
    </row>
    <row r="5" spans="1:38" ht="25.35" customHeight="1">
      <c r="B5" s="97"/>
      <c r="C5" s="626"/>
      <c r="D5" s="627"/>
      <c r="E5" s="627"/>
      <c r="F5" s="631" t="s">
        <v>115</v>
      </c>
      <c r="G5" s="631" t="s">
        <v>117</v>
      </c>
      <c r="H5" s="631" t="s">
        <v>118</v>
      </c>
      <c r="I5" s="624" t="s">
        <v>129</v>
      </c>
      <c r="J5" s="624"/>
      <c r="K5" s="624" t="s">
        <v>130</v>
      </c>
      <c r="L5" s="624"/>
      <c r="M5" s="630" t="s">
        <v>146</v>
      </c>
      <c r="N5" s="624"/>
      <c r="O5" s="624" t="s">
        <v>129</v>
      </c>
      <c r="P5" s="624"/>
      <c r="Q5" s="624" t="s">
        <v>130</v>
      </c>
      <c r="R5" s="624"/>
      <c r="S5" s="630" t="s">
        <v>146</v>
      </c>
      <c r="T5" s="624"/>
      <c r="U5" s="624" t="s">
        <v>129</v>
      </c>
      <c r="V5" s="624"/>
      <c r="W5" s="624" t="s">
        <v>129</v>
      </c>
      <c r="X5" s="624"/>
      <c r="Y5" s="624" t="s">
        <v>129</v>
      </c>
      <c r="Z5" s="624"/>
      <c r="AA5" s="624" t="s">
        <v>130</v>
      </c>
      <c r="AB5" s="624"/>
      <c r="AC5" s="630" t="s">
        <v>146</v>
      </c>
      <c r="AD5" s="624"/>
      <c r="AE5" s="624" t="s">
        <v>129</v>
      </c>
      <c r="AF5" s="624"/>
      <c r="AG5" s="624" t="s">
        <v>129</v>
      </c>
      <c r="AH5" s="624"/>
      <c r="AI5" s="624" t="s">
        <v>129</v>
      </c>
      <c r="AJ5" s="624"/>
      <c r="AK5" s="624" t="s">
        <v>129</v>
      </c>
      <c r="AL5" s="624"/>
    </row>
    <row r="6" spans="1:38" s="80" customFormat="1" ht="23.45" customHeight="1">
      <c r="B6" s="97"/>
      <c r="C6" s="626"/>
      <c r="D6" s="627"/>
      <c r="E6" s="627"/>
      <c r="F6" s="631"/>
      <c r="G6" s="631"/>
      <c r="H6" s="631"/>
      <c r="I6" s="98" t="s">
        <v>112</v>
      </c>
      <c r="J6" s="99" t="s">
        <v>113</v>
      </c>
      <c r="K6" s="98" t="s">
        <v>112</v>
      </c>
      <c r="L6" s="99" t="s">
        <v>113</v>
      </c>
      <c r="M6" s="98" t="s">
        <v>112</v>
      </c>
      <c r="N6" s="99" t="s">
        <v>113</v>
      </c>
      <c r="O6" s="98" t="s">
        <v>112</v>
      </c>
      <c r="P6" s="99" t="s">
        <v>113</v>
      </c>
      <c r="Q6" s="98" t="s">
        <v>112</v>
      </c>
      <c r="R6" s="99" t="s">
        <v>113</v>
      </c>
      <c r="S6" s="98" t="s">
        <v>112</v>
      </c>
      <c r="T6" s="99" t="s">
        <v>113</v>
      </c>
      <c r="U6" s="98" t="s">
        <v>112</v>
      </c>
      <c r="V6" s="99" t="s">
        <v>113</v>
      </c>
      <c r="W6" s="98" t="s">
        <v>112</v>
      </c>
      <c r="X6" s="99" t="s">
        <v>113</v>
      </c>
      <c r="Y6" s="98" t="s">
        <v>112</v>
      </c>
      <c r="Z6" s="99" t="s">
        <v>113</v>
      </c>
      <c r="AA6" s="98" t="s">
        <v>112</v>
      </c>
      <c r="AB6" s="99" t="s">
        <v>113</v>
      </c>
      <c r="AC6" s="98" t="s">
        <v>112</v>
      </c>
      <c r="AD6" s="99" t="s">
        <v>113</v>
      </c>
      <c r="AE6" s="98" t="s">
        <v>112</v>
      </c>
      <c r="AF6" s="99" t="s">
        <v>113</v>
      </c>
      <c r="AG6" s="98" t="s">
        <v>112</v>
      </c>
      <c r="AH6" s="99" t="s">
        <v>113</v>
      </c>
      <c r="AI6" s="98" t="s">
        <v>112</v>
      </c>
      <c r="AJ6" s="99" t="s">
        <v>113</v>
      </c>
      <c r="AK6" s="98" t="s">
        <v>112</v>
      </c>
      <c r="AL6" s="99" t="s">
        <v>113</v>
      </c>
    </row>
    <row r="7" spans="1:38" ht="14.25">
      <c r="B7" s="97"/>
      <c r="C7" s="83"/>
      <c r="D7" s="299">
        <v>46266</v>
      </c>
      <c r="E7" s="299" t="s">
        <v>439</v>
      </c>
      <c r="F7" s="227">
        <f t="shared" ref="F7" si="0">SUM(M7,S7,U7,W7,AC7,AE7,AG7,AI7,AK7)</f>
        <v>9468849.9999999981</v>
      </c>
      <c r="G7" s="297"/>
      <c r="I7" s="456">
        <v>1165629.2998291561</v>
      </c>
      <c r="J7" s="338">
        <f t="shared" ref="J7:J13" si="1">I7/F7</f>
        <v>0.12310146425692205</v>
      </c>
      <c r="K7" s="456">
        <v>1325060.6791588017</v>
      </c>
      <c r="L7" s="338">
        <f t="shared" ref="L7:L13" si="2">K7/F7</f>
        <v>0.13993892385651921</v>
      </c>
      <c r="M7" s="457">
        <f t="shared" ref="M7:M13" si="3">SUM(I7+K7)</f>
        <v>2490689.9789879578</v>
      </c>
      <c r="N7" s="338">
        <f t="shared" ref="N7:N13" si="4">M7/F7</f>
        <v>0.26304038811344127</v>
      </c>
      <c r="O7" s="456">
        <v>227201.24852444147</v>
      </c>
      <c r="P7" s="338">
        <f t="shared" ref="P7:P13" si="5">O7/F7</f>
        <v>2.399459792101908E-2</v>
      </c>
      <c r="Q7" s="456"/>
      <c r="R7" s="338">
        <f t="shared" ref="R7:R13" si="6">Q7/$F7</f>
        <v>0</v>
      </c>
      <c r="S7" s="457">
        <f t="shared" ref="S7:S13" si="7">SUM(O7+Q7)</f>
        <v>227201.24852444147</v>
      </c>
      <c r="T7" s="338">
        <f t="shared" ref="T7:T13" si="8">S7/F7</f>
        <v>2.399459792101908E-2</v>
      </c>
      <c r="U7" s="456">
        <v>1023610.2812844648</v>
      </c>
      <c r="V7" s="338">
        <f t="shared" ref="V7:V13" si="9">U7/F7</f>
        <v>0.10810291442830597</v>
      </c>
      <c r="W7" s="456"/>
      <c r="X7" s="338">
        <f t="shared" ref="X7:X13" si="10">W7/F7</f>
        <v>0</v>
      </c>
      <c r="Y7" s="456">
        <v>748663.57297781843</v>
      </c>
      <c r="Z7" s="338">
        <f t="shared" ref="Z7:Z13" si="11">Y7/F7</f>
        <v>7.906594496457528E-2</v>
      </c>
      <c r="AA7" s="456">
        <v>1220945.8781499257</v>
      </c>
      <c r="AB7" s="338">
        <f t="shared" ref="AB7:AB13" si="12">AA7/$F7</f>
        <v>0.12894341743188728</v>
      </c>
      <c r="AC7" s="457">
        <f t="shared" ref="AC7:AC13" si="13">SUM(Y7+AA7)</f>
        <v>1969609.4511277443</v>
      </c>
      <c r="AD7" s="338">
        <f t="shared" ref="AD7:AD13" si="14">AC7/F7</f>
        <v>0.20800936239646259</v>
      </c>
      <c r="AE7" s="456">
        <v>1296214.2190377875</v>
      </c>
      <c r="AF7" s="338">
        <f t="shared" ref="AF7:AF13" si="15">AE7/F7</f>
        <v>0.13689246519247719</v>
      </c>
      <c r="AG7" s="456">
        <v>1002597.5282671306</v>
      </c>
      <c r="AH7" s="338">
        <f t="shared" ref="AH7:AH13" si="16">AG7/F7</f>
        <v>0.10588376922932888</v>
      </c>
      <c r="AI7" s="456">
        <v>728386.81095541909</v>
      </c>
      <c r="AJ7" s="338">
        <f t="shared" ref="AJ7:AJ13" si="17">AI7/F7</f>
        <v>7.6924527366619935E-2</v>
      </c>
      <c r="AK7" s="456">
        <v>730540.48181505373</v>
      </c>
      <c r="AL7" s="100">
        <f>AK7/F7</f>
        <v>7.7151975352345206E-2</v>
      </c>
    </row>
    <row r="8" spans="1:38" ht="14.25">
      <c r="B8" s="97"/>
      <c r="C8" s="340"/>
      <c r="D8" s="299">
        <f t="shared" ref="D8" si="18">D7+1</f>
        <v>46267</v>
      </c>
      <c r="E8" s="299" t="s">
        <v>440</v>
      </c>
      <c r="F8" s="227">
        <f>SUM(M8,S8,U8,W8,AC8,AE8,AG8,AI8,AK8)</f>
        <v>9882798.0000000019</v>
      </c>
      <c r="G8" s="297">
        <f>SUM(F7:F13)</f>
        <v>62106324</v>
      </c>
      <c r="H8" s="316"/>
      <c r="I8" s="456">
        <v>1145950.5162904225</v>
      </c>
      <c r="J8" s="338">
        <f t="shared" si="1"/>
        <v>0.11595405636039736</v>
      </c>
      <c r="K8" s="456">
        <v>1426001.5655638394</v>
      </c>
      <c r="L8" s="338">
        <f t="shared" si="2"/>
        <v>0.14429127920694515</v>
      </c>
      <c r="M8" s="457">
        <f t="shared" si="3"/>
        <v>2571952.0818542619</v>
      </c>
      <c r="N8" s="338">
        <f t="shared" si="4"/>
        <v>0.26024533556734253</v>
      </c>
      <c r="O8" s="456">
        <v>254127.9723878068</v>
      </c>
      <c r="P8" s="338">
        <f t="shared" si="5"/>
        <v>2.5714172483117307E-2</v>
      </c>
      <c r="Q8" s="456"/>
      <c r="R8" s="338">
        <f t="shared" si="6"/>
        <v>0</v>
      </c>
      <c r="S8" s="457">
        <f t="shared" si="7"/>
        <v>254127.9723878068</v>
      </c>
      <c r="T8" s="338">
        <f t="shared" si="8"/>
        <v>2.5714172483117307E-2</v>
      </c>
      <c r="U8" s="456">
        <v>1056250.7535532576</v>
      </c>
      <c r="V8" s="338">
        <f t="shared" si="9"/>
        <v>0.10687770341488892</v>
      </c>
      <c r="W8" s="456"/>
      <c r="X8" s="338">
        <f t="shared" si="10"/>
        <v>0</v>
      </c>
      <c r="Y8" s="456">
        <v>825260.07699922402</v>
      </c>
      <c r="Z8" s="338">
        <f t="shared" si="11"/>
        <v>8.3504699478753275E-2</v>
      </c>
      <c r="AA8" s="456">
        <v>1323594.9725341056</v>
      </c>
      <c r="AB8" s="338">
        <f t="shared" si="12"/>
        <v>0.13392917395803347</v>
      </c>
      <c r="AC8" s="457">
        <f t="shared" si="13"/>
        <v>2148855.0495333299</v>
      </c>
      <c r="AD8" s="338">
        <f t="shared" si="14"/>
        <v>0.21743387343678677</v>
      </c>
      <c r="AE8" s="456">
        <v>1394493.4345636619</v>
      </c>
      <c r="AF8" s="338">
        <f t="shared" si="15"/>
        <v>0.14110310000909274</v>
      </c>
      <c r="AG8" s="456">
        <v>950593.87715227134</v>
      </c>
      <c r="AH8" s="338">
        <f t="shared" si="16"/>
        <v>9.6186715255363014E-2</v>
      </c>
      <c r="AI8" s="456">
        <v>762343.1564393054</v>
      </c>
      <c r="AJ8" s="338">
        <f t="shared" si="17"/>
        <v>7.713839303801466E-2</v>
      </c>
      <c r="AK8" s="456">
        <v>744181.67451610626</v>
      </c>
      <c r="AL8" s="100">
        <f>AK8/F8</f>
        <v>7.5300706795393982E-2</v>
      </c>
    </row>
    <row r="9" spans="1:38" ht="14.25">
      <c r="B9" s="97"/>
      <c r="C9" s="97"/>
      <c r="D9" s="299">
        <f>D8+1</f>
        <v>46268</v>
      </c>
      <c r="E9" s="299" t="s">
        <v>441</v>
      </c>
      <c r="F9" s="227">
        <f t="shared" ref="F9:F49" si="19">SUM(M9,S9,U9,W9,AC9,AE9,AG9,AI9,AK9)</f>
        <v>9127133</v>
      </c>
      <c r="G9" s="86"/>
      <c r="H9" s="86"/>
      <c r="I9" s="233">
        <v>1059798.8781120423</v>
      </c>
      <c r="J9" s="100">
        <f t="shared" si="1"/>
        <v>0.11611520048103192</v>
      </c>
      <c r="K9" s="233">
        <v>1300177.5161449064</v>
      </c>
      <c r="L9" s="100">
        <f t="shared" si="2"/>
        <v>0.14245190862726623</v>
      </c>
      <c r="M9" s="226">
        <f t="shared" si="3"/>
        <v>2359976.3942569485</v>
      </c>
      <c r="N9" s="100">
        <f t="shared" si="4"/>
        <v>0.25856710910829811</v>
      </c>
      <c r="O9" s="233">
        <v>250038.50943343228</v>
      </c>
      <c r="P9" s="100">
        <f t="shared" si="5"/>
        <v>2.7395076792836509E-2</v>
      </c>
      <c r="Q9" s="233"/>
      <c r="R9" s="100">
        <f t="shared" si="6"/>
        <v>0</v>
      </c>
      <c r="S9" s="226">
        <f t="shared" si="7"/>
        <v>250038.50943343228</v>
      </c>
      <c r="T9" s="100">
        <f t="shared" si="8"/>
        <v>2.7395076792836509E-2</v>
      </c>
      <c r="U9" s="233">
        <v>968905.38425371645</v>
      </c>
      <c r="V9" s="100">
        <f t="shared" si="9"/>
        <v>0.10615659750479328</v>
      </c>
      <c r="W9" s="233"/>
      <c r="X9" s="100">
        <f t="shared" si="10"/>
        <v>0</v>
      </c>
      <c r="Y9" s="233">
        <v>769060.23118062248</v>
      </c>
      <c r="Z9" s="100">
        <f t="shared" si="11"/>
        <v>8.426087701150213E-2</v>
      </c>
      <c r="AA9" s="233">
        <v>1043311.1931416265</v>
      </c>
      <c r="AB9" s="100">
        <f t="shared" si="12"/>
        <v>0.11430875315848105</v>
      </c>
      <c r="AC9" s="226">
        <f t="shared" si="13"/>
        <v>1812371.4243222489</v>
      </c>
      <c r="AD9" s="100">
        <f t="shared" si="14"/>
        <v>0.19856963016998316</v>
      </c>
      <c r="AE9" s="233">
        <v>1368665.9692649243</v>
      </c>
      <c r="AF9" s="100">
        <f t="shared" si="15"/>
        <v>0.14995573848490257</v>
      </c>
      <c r="AG9" s="233">
        <v>893142.31386571191</v>
      </c>
      <c r="AH9" s="100">
        <f t="shared" si="16"/>
        <v>9.7855735625383342E-2</v>
      </c>
      <c r="AI9" s="233">
        <v>749646.7737185827</v>
      </c>
      <c r="AJ9" s="100">
        <f t="shared" si="17"/>
        <v>8.2133872018582688E-2</v>
      </c>
      <c r="AK9" s="233">
        <v>724386.23088443419</v>
      </c>
      <c r="AL9" s="100">
        <f>AK9/F9</f>
        <v>7.9366240295220214E-2</v>
      </c>
    </row>
    <row r="10" spans="1:38" ht="14.25">
      <c r="B10" s="97"/>
      <c r="C10" s="97"/>
      <c r="D10" s="299">
        <f t="shared" ref="D10:D36" si="20">D9+1</f>
        <v>46269</v>
      </c>
      <c r="E10" s="299" t="s">
        <v>442</v>
      </c>
      <c r="F10" s="227">
        <f t="shared" si="19"/>
        <v>8353572</v>
      </c>
      <c r="G10" s="297"/>
      <c r="H10" s="316"/>
      <c r="I10" s="233">
        <v>1046963.0601488923</v>
      </c>
      <c r="J10" s="100">
        <f t="shared" si="1"/>
        <v>0.12533118289384379</v>
      </c>
      <c r="K10" s="233">
        <v>1239471.2061164831</v>
      </c>
      <c r="L10" s="100">
        <f t="shared" si="2"/>
        <v>0.14837619237812077</v>
      </c>
      <c r="M10" s="226">
        <f t="shared" si="3"/>
        <v>2286434.2662653755</v>
      </c>
      <c r="N10" s="100">
        <f t="shared" si="4"/>
        <v>0.27370737527196454</v>
      </c>
      <c r="O10" s="233">
        <v>214916.13948594601</v>
      </c>
      <c r="P10" s="100">
        <f t="shared" si="5"/>
        <v>2.5727454014395999E-2</v>
      </c>
      <c r="Q10" s="233"/>
      <c r="R10" s="100">
        <f t="shared" si="6"/>
        <v>0</v>
      </c>
      <c r="S10" s="226">
        <f t="shared" si="7"/>
        <v>214916.13948594601</v>
      </c>
      <c r="T10" s="100">
        <f t="shared" si="8"/>
        <v>2.5727454014395999E-2</v>
      </c>
      <c r="U10" s="233">
        <v>913698.41659902839</v>
      </c>
      <c r="V10" s="100">
        <f t="shared" si="9"/>
        <v>0.10937816979359589</v>
      </c>
      <c r="W10" s="233"/>
      <c r="X10" s="100">
        <f t="shared" si="10"/>
        <v>0</v>
      </c>
      <c r="Y10" s="233">
        <v>668896.87159266137</v>
      </c>
      <c r="Z10" s="100">
        <f t="shared" si="11"/>
        <v>8.0073155722206191E-2</v>
      </c>
      <c r="AA10" s="233">
        <v>1127229.6026784296</v>
      </c>
      <c r="AB10" s="100">
        <f t="shared" si="12"/>
        <v>0.13493983204770721</v>
      </c>
      <c r="AC10" s="226">
        <f t="shared" si="13"/>
        <v>1796126.4742710909</v>
      </c>
      <c r="AD10" s="100">
        <f t="shared" si="14"/>
        <v>0.2150129877699134</v>
      </c>
      <c r="AE10" s="233">
        <v>1050109.615351649</v>
      </c>
      <c r="AF10" s="100">
        <f t="shared" si="15"/>
        <v>0.12570785471791576</v>
      </c>
      <c r="AG10" s="233">
        <v>729375.89188456652</v>
      </c>
      <c r="AH10" s="100">
        <f t="shared" si="16"/>
        <v>8.7313055048135871E-2</v>
      </c>
      <c r="AI10" s="233">
        <v>774089.45735022007</v>
      </c>
      <c r="AJ10" s="100">
        <f t="shared" si="17"/>
        <v>9.2665683296944121E-2</v>
      </c>
      <c r="AK10" s="233">
        <v>588821.73879212292</v>
      </c>
      <c r="AL10" s="100">
        <f t="shared" ref="AL10:AL13" si="21">AK10/F10</f>
        <v>7.0487420087134336E-2</v>
      </c>
    </row>
    <row r="11" spans="1:38" ht="14.25">
      <c r="B11" s="97"/>
      <c r="C11" s="97"/>
      <c r="D11" s="299">
        <f t="shared" si="20"/>
        <v>46270</v>
      </c>
      <c r="E11" s="299" t="s">
        <v>443</v>
      </c>
      <c r="F11" s="227">
        <f t="shared" si="19"/>
        <v>7218005.9999999981</v>
      </c>
      <c r="G11" s="297"/>
      <c r="H11" s="316"/>
      <c r="I11" s="456">
        <v>748815.42416219169</v>
      </c>
      <c r="J11" s="338">
        <f t="shared" si="1"/>
        <v>0.10374269904488745</v>
      </c>
      <c r="K11" s="456">
        <v>1082108.235054614</v>
      </c>
      <c r="L11" s="338">
        <f t="shared" si="2"/>
        <v>0.14991789076576195</v>
      </c>
      <c r="M11" s="457">
        <f t="shared" si="3"/>
        <v>1830923.6592168058</v>
      </c>
      <c r="N11" s="338">
        <f t="shared" si="4"/>
        <v>0.25366058981064943</v>
      </c>
      <c r="O11" s="456">
        <v>167278.69630874097</v>
      </c>
      <c r="P11" s="338">
        <f t="shared" si="5"/>
        <v>2.3175194965027877E-2</v>
      </c>
      <c r="Q11" s="456"/>
      <c r="R11" s="338">
        <f t="shared" si="6"/>
        <v>0</v>
      </c>
      <c r="S11" s="457">
        <f t="shared" si="7"/>
        <v>167278.69630874097</v>
      </c>
      <c r="T11" s="338">
        <f t="shared" si="8"/>
        <v>2.3175194965027877E-2</v>
      </c>
      <c r="U11" s="456">
        <v>829043.4122789104</v>
      </c>
      <c r="V11" s="338">
        <f t="shared" si="9"/>
        <v>0.1148576784611859</v>
      </c>
      <c r="W11" s="456"/>
      <c r="X11" s="338">
        <f t="shared" si="10"/>
        <v>0</v>
      </c>
      <c r="Y11" s="456">
        <v>576722.07124574389</v>
      </c>
      <c r="Z11" s="338">
        <f t="shared" si="11"/>
        <v>7.9900469914508804E-2</v>
      </c>
      <c r="AA11" s="456">
        <v>1031752.8619717949</v>
      </c>
      <c r="AB11" s="338">
        <f t="shared" si="12"/>
        <v>0.14294153565012208</v>
      </c>
      <c r="AC11" s="457">
        <f t="shared" si="13"/>
        <v>1608474.9332175388</v>
      </c>
      <c r="AD11" s="338">
        <f t="shared" si="14"/>
        <v>0.22284200556463088</v>
      </c>
      <c r="AE11" s="456">
        <v>934082.86043868295</v>
      </c>
      <c r="AF11" s="338">
        <f t="shared" si="15"/>
        <v>0.12941009753090857</v>
      </c>
      <c r="AG11" s="456">
        <v>662146.58076649555</v>
      </c>
      <c r="AH11" s="338">
        <f t="shared" si="16"/>
        <v>9.1735387968158486E-2</v>
      </c>
      <c r="AI11" s="456">
        <v>676099.03758998495</v>
      </c>
      <c r="AJ11" s="338">
        <f t="shared" si="17"/>
        <v>9.366839506506161E-2</v>
      </c>
      <c r="AK11" s="456">
        <v>509956.820182839</v>
      </c>
      <c r="AL11" s="100">
        <f t="shared" si="21"/>
        <v>7.0650650634377296E-2</v>
      </c>
    </row>
    <row r="12" spans="1:38" ht="14.25">
      <c r="B12" s="97"/>
      <c r="C12" s="97"/>
      <c r="D12" s="299">
        <f t="shared" si="20"/>
        <v>46271</v>
      </c>
      <c r="E12" s="299" t="s">
        <v>444</v>
      </c>
      <c r="F12" s="227">
        <f t="shared" si="19"/>
        <v>7784935.0000000019</v>
      </c>
      <c r="G12" s="86"/>
      <c r="H12" s="316">
        <f>SUM(F8:F38)</f>
        <v>52637474</v>
      </c>
      <c r="I12" s="456">
        <v>878182.34824885475</v>
      </c>
      <c r="J12" s="338">
        <f t="shared" si="1"/>
        <v>0.11280535396234581</v>
      </c>
      <c r="K12" s="456">
        <v>1066367.7462987581</v>
      </c>
      <c r="L12" s="338">
        <f t="shared" si="2"/>
        <v>0.13697837506655583</v>
      </c>
      <c r="M12" s="457">
        <f t="shared" si="3"/>
        <v>1944550.0945476128</v>
      </c>
      <c r="N12" s="338">
        <f t="shared" si="4"/>
        <v>0.24978372902890164</v>
      </c>
      <c r="O12" s="456">
        <v>184862.31825781064</v>
      </c>
      <c r="P12" s="338">
        <f t="shared" si="5"/>
        <v>2.3746160791042005E-2</v>
      </c>
      <c r="Q12" s="456"/>
      <c r="R12" s="338">
        <f t="shared" si="6"/>
        <v>0</v>
      </c>
      <c r="S12" s="457">
        <f t="shared" si="7"/>
        <v>184862.31825781064</v>
      </c>
      <c r="T12" s="338">
        <f t="shared" si="8"/>
        <v>2.3746160791042005E-2</v>
      </c>
      <c r="U12" s="456">
        <v>886804.51565952785</v>
      </c>
      <c r="V12" s="338">
        <f t="shared" si="9"/>
        <v>0.11391289916480069</v>
      </c>
      <c r="W12" s="456"/>
      <c r="X12" s="338">
        <f t="shared" si="10"/>
        <v>0</v>
      </c>
      <c r="Y12" s="456">
        <v>606552.93792621139</v>
      </c>
      <c r="Z12" s="338">
        <f t="shared" si="11"/>
        <v>7.7913680451565909E-2</v>
      </c>
      <c r="AA12" s="456">
        <v>1006124.0833578148</v>
      </c>
      <c r="AB12" s="338">
        <f t="shared" si="12"/>
        <v>0.12923988233142789</v>
      </c>
      <c r="AC12" s="457">
        <f t="shared" si="13"/>
        <v>1612677.0212840261</v>
      </c>
      <c r="AD12" s="338">
        <f t="shared" si="14"/>
        <v>0.20715356278299379</v>
      </c>
      <c r="AE12" s="456">
        <v>1161301.4334154651</v>
      </c>
      <c r="AF12" s="338">
        <f t="shared" si="15"/>
        <v>0.14917291325045937</v>
      </c>
      <c r="AG12" s="456">
        <v>760817.84813755192</v>
      </c>
      <c r="AH12" s="338">
        <f t="shared" si="16"/>
        <v>9.7729505530560215E-2</v>
      </c>
      <c r="AI12" s="456">
        <v>669135.40016063815</v>
      </c>
      <c r="AJ12" s="338">
        <f t="shared" si="17"/>
        <v>8.5952599496416857E-2</v>
      </c>
      <c r="AK12" s="456">
        <v>564786.36853736779</v>
      </c>
      <c r="AL12" s="100">
        <f t="shared" si="21"/>
        <v>7.2548629954825264E-2</v>
      </c>
    </row>
    <row r="13" spans="1:38" ht="14.25">
      <c r="B13" s="97"/>
      <c r="C13" s="97"/>
      <c r="D13" s="299">
        <f t="shared" si="20"/>
        <v>46272</v>
      </c>
      <c r="E13" s="299" t="s">
        <v>438</v>
      </c>
      <c r="F13" s="227">
        <f t="shared" si="19"/>
        <v>10271030</v>
      </c>
      <c r="G13" s="297"/>
      <c r="H13" s="316"/>
      <c r="I13" s="456">
        <v>1137191.4894616457</v>
      </c>
      <c r="J13" s="338">
        <f t="shared" si="1"/>
        <v>0.11071834951914712</v>
      </c>
      <c r="K13" s="456">
        <v>1399338.5356589076</v>
      </c>
      <c r="L13" s="338">
        <f t="shared" si="2"/>
        <v>0.13624130546390262</v>
      </c>
      <c r="M13" s="457">
        <f t="shared" si="3"/>
        <v>2536530.0251205536</v>
      </c>
      <c r="N13" s="338">
        <f t="shared" si="4"/>
        <v>0.24695965498304975</v>
      </c>
      <c r="O13" s="456">
        <v>252710.12648142857</v>
      </c>
      <c r="P13" s="338">
        <f t="shared" si="5"/>
        <v>2.4604165938706107E-2</v>
      </c>
      <c r="Q13" s="456"/>
      <c r="R13" s="338">
        <f t="shared" si="6"/>
        <v>0</v>
      </c>
      <c r="S13" s="457">
        <f t="shared" si="7"/>
        <v>252710.12648142857</v>
      </c>
      <c r="T13" s="338">
        <f t="shared" si="8"/>
        <v>2.4604165938706107E-2</v>
      </c>
      <c r="U13" s="456">
        <v>1203253.4252870411</v>
      </c>
      <c r="V13" s="338">
        <f t="shared" si="9"/>
        <v>0.11715022011298196</v>
      </c>
      <c r="W13" s="456"/>
      <c r="X13" s="338">
        <f t="shared" si="10"/>
        <v>0</v>
      </c>
      <c r="Y13" s="456">
        <v>835983.18846791773</v>
      </c>
      <c r="Z13" s="338">
        <f t="shared" si="11"/>
        <v>8.13923421962469E-2</v>
      </c>
      <c r="AA13" s="456">
        <v>1302298.4412140816</v>
      </c>
      <c r="AB13" s="338">
        <f t="shared" si="12"/>
        <v>0.12679336358808041</v>
      </c>
      <c r="AC13" s="457">
        <f t="shared" si="13"/>
        <v>2138281.6296819993</v>
      </c>
      <c r="AD13" s="338">
        <f t="shared" si="14"/>
        <v>0.2081857057843273</v>
      </c>
      <c r="AE13" s="456">
        <v>1454286.0608619608</v>
      </c>
      <c r="AF13" s="338">
        <f t="shared" si="15"/>
        <v>0.14159106349236258</v>
      </c>
      <c r="AG13" s="456">
        <v>979462.31857249665</v>
      </c>
      <c r="AH13" s="338">
        <f t="shared" si="16"/>
        <v>9.5361645187726704E-2</v>
      </c>
      <c r="AI13" s="456">
        <v>878790.42092083173</v>
      </c>
      <c r="AJ13" s="338">
        <f t="shared" si="17"/>
        <v>8.5560106524937785E-2</v>
      </c>
      <c r="AK13" s="456">
        <v>827715.9930736894</v>
      </c>
      <c r="AL13" s="100">
        <f t="shared" si="21"/>
        <v>8.0587437975907908E-2</v>
      </c>
    </row>
    <row r="14" spans="1:38" ht="14.25">
      <c r="B14" s="97"/>
      <c r="C14" s="97"/>
      <c r="D14" s="355">
        <f t="shared" si="20"/>
        <v>46273</v>
      </c>
      <c r="E14" s="355" t="s">
        <v>439</v>
      </c>
      <c r="F14" s="227">
        <f t="shared" si="19"/>
        <v>0</v>
      </c>
      <c r="G14" s="297">
        <f>SUM(F14:F20)</f>
        <v>0</v>
      </c>
      <c r="H14" s="316"/>
      <c r="I14" s="233"/>
      <c r="J14" s="100" t="e">
        <f>I14/F14</f>
        <v>#DIV/0!</v>
      </c>
      <c r="K14" s="233"/>
      <c r="L14" s="100" t="e">
        <f>K14/F14</f>
        <v>#DIV/0!</v>
      </c>
      <c r="M14" s="226">
        <f>SUM(I14+K14)</f>
        <v>0</v>
      </c>
      <c r="N14" s="100" t="e">
        <f>M14/F14</f>
        <v>#DIV/0!</v>
      </c>
      <c r="O14" s="233"/>
      <c r="P14" s="100" t="e">
        <f>O14/F14</f>
        <v>#DIV/0!</v>
      </c>
      <c r="Q14" s="233"/>
      <c r="R14" s="100" t="e">
        <f t="shared" ref="R14" si="22">Q14/$F14</f>
        <v>#DIV/0!</v>
      </c>
      <c r="S14" s="226">
        <f t="shared" ref="S14" si="23">SUM(O14+Q14)</f>
        <v>0</v>
      </c>
      <c r="T14" s="100" t="e">
        <f>S14/F14</f>
        <v>#DIV/0!</v>
      </c>
      <c r="U14" s="233"/>
      <c r="V14" s="100" t="e">
        <f>U14/F14</f>
        <v>#DIV/0!</v>
      </c>
      <c r="W14" s="233"/>
      <c r="X14" s="100" t="e">
        <f>W14/F14</f>
        <v>#DIV/0!</v>
      </c>
      <c r="Y14" s="233"/>
      <c r="Z14" s="100" t="e">
        <f t="shared" ref="Z14:Z16" si="24">Y14/F14</f>
        <v>#DIV/0!</v>
      </c>
      <c r="AA14" s="233"/>
      <c r="AB14" s="100" t="e">
        <f t="shared" ref="AB14:AB40" si="25">AA14/$F14</f>
        <v>#DIV/0!</v>
      </c>
      <c r="AC14" s="226">
        <f t="shared" ref="AC14:AC16" si="26">SUM(Y14+AA14)</f>
        <v>0</v>
      </c>
      <c r="AD14" s="100" t="e">
        <f t="shared" ref="AD14:AD16" si="27">AC14/F14</f>
        <v>#DIV/0!</v>
      </c>
      <c r="AE14" s="233"/>
      <c r="AF14" s="100" t="e">
        <f t="shared" ref="AF14:AF16" si="28">AE14/F14</f>
        <v>#DIV/0!</v>
      </c>
      <c r="AG14" s="233"/>
      <c r="AH14" s="100" t="e">
        <f t="shared" ref="AH14:AH16" si="29">AG14/F14</f>
        <v>#DIV/0!</v>
      </c>
      <c r="AI14" s="233"/>
      <c r="AJ14" s="100" t="e">
        <f t="shared" ref="AJ14:AJ16" si="30">AI14/F14</f>
        <v>#DIV/0!</v>
      </c>
      <c r="AK14" s="233"/>
      <c r="AL14" s="100" t="e">
        <f>AK14/F14</f>
        <v>#DIV/0!</v>
      </c>
    </row>
    <row r="15" spans="1:38" ht="14.25">
      <c r="B15" s="97"/>
      <c r="C15" s="97"/>
      <c r="D15" s="355">
        <f t="shared" si="20"/>
        <v>46274</v>
      </c>
      <c r="E15" s="355" t="s">
        <v>440</v>
      </c>
      <c r="F15" s="227">
        <f t="shared" si="19"/>
        <v>0</v>
      </c>
      <c r="G15" s="86"/>
      <c r="H15" s="316"/>
      <c r="I15" s="233"/>
      <c r="J15" s="100" t="e">
        <f t="shared" ref="J15" si="31">I15/F15</f>
        <v>#DIV/0!</v>
      </c>
      <c r="K15" s="233"/>
      <c r="L15" s="100" t="e">
        <f t="shared" ref="L15" si="32">K15/F15</f>
        <v>#DIV/0!</v>
      </c>
      <c r="M15" s="226">
        <f t="shared" ref="M15" si="33">SUM(I15+K15)</f>
        <v>0</v>
      </c>
      <c r="N15" s="100" t="e">
        <f t="shared" ref="N15" si="34">M15/F15</f>
        <v>#DIV/0!</v>
      </c>
      <c r="O15" s="233"/>
      <c r="P15" s="100" t="e">
        <f t="shared" ref="P15" si="35">O15/F15</f>
        <v>#DIV/0!</v>
      </c>
      <c r="Q15" s="233"/>
      <c r="R15" s="100" t="e">
        <f t="shared" ref="R15" si="36">Q15/$F15</f>
        <v>#DIV/0!</v>
      </c>
      <c r="S15" s="226">
        <f t="shared" ref="S15" si="37">SUM(O15+Q15)</f>
        <v>0</v>
      </c>
      <c r="T15" s="100" t="e">
        <f t="shared" ref="T15" si="38">S15/F15</f>
        <v>#DIV/0!</v>
      </c>
      <c r="U15" s="233"/>
      <c r="V15" s="100" t="e">
        <f t="shared" ref="V15" si="39">U15/F15</f>
        <v>#DIV/0!</v>
      </c>
      <c r="W15" s="233"/>
      <c r="X15" s="100" t="e">
        <f t="shared" ref="X15" si="40">W15/F15</f>
        <v>#DIV/0!</v>
      </c>
      <c r="Y15" s="233"/>
      <c r="Z15" s="100" t="e">
        <f t="shared" si="24"/>
        <v>#DIV/0!</v>
      </c>
      <c r="AA15" s="233"/>
      <c r="AB15" s="100" t="e">
        <f t="shared" si="25"/>
        <v>#DIV/0!</v>
      </c>
      <c r="AC15" s="226">
        <f t="shared" si="26"/>
        <v>0</v>
      </c>
      <c r="AD15" s="100" t="e">
        <f t="shared" si="27"/>
        <v>#DIV/0!</v>
      </c>
      <c r="AE15" s="233"/>
      <c r="AF15" s="100" t="e">
        <f t="shared" si="28"/>
        <v>#DIV/0!</v>
      </c>
      <c r="AG15" s="233"/>
      <c r="AH15" s="100" t="e">
        <f t="shared" si="29"/>
        <v>#DIV/0!</v>
      </c>
      <c r="AI15" s="233"/>
      <c r="AJ15" s="100" t="e">
        <f t="shared" si="30"/>
        <v>#DIV/0!</v>
      </c>
      <c r="AK15" s="233"/>
      <c r="AL15" s="100" t="e">
        <f t="shared" ref="AL15" si="41">AK15/F15</f>
        <v>#DIV/0!</v>
      </c>
    </row>
    <row r="16" spans="1:38" ht="14.25">
      <c r="B16" s="97"/>
      <c r="C16" s="97"/>
      <c r="D16" s="355">
        <f t="shared" si="20"/>
        <v>46275</v>
      </c>
      <c r="E16" s="355" t="s">
        <v>441</v>
      </c>
      <c r="F16" s="227">
        <f t="shared" si="19"/>
        <v>0</v>
      </c>
      <c r="G16" s="297"/>
      <c r="H16" s="316"/>
      <c r="I16" s="233"/>
      <c r="J16" s="100" t="e">
        <f t="shared" ref="J16:J41" si="42">I16/F16</f>
        <v>#DIV/0!</v>
      </c>
      <c r="K16" s="233"/>
      <c r="L16" s="100" t="e">
        <f t="shared" ref="L16:L41" si="43">K16/F16</f>
        <v>#DIV/0!</v>
      </c>
      <c r="M16" s="226">
        <f t="shared" ref="M16:M41" si="44">SUM(I16+K16)</f>
        <v>0</v>
      </c>
      <c r="N16" s="100" t="e">
        <f t="shared" ref="N16:N41" si="45">M16/F16</f>
        <v>#DIV/0!</v>
      </c>
      <c r="O16" s="233"/>
      <c r="P16" s="100" t="e">
        <f t="shared" ref="P16:P41" si="46">O16/F16</f>
        <v>#DIV/0!</v>
      </c>
      <c r="Q16" s="233"/>
      <c r="R16" s="100" t="e">
        <f t="shared" ref="R16:R49" si="47">Q16/$F16</f>
        <v>#DIV/0!</v>
      </c>
      <c r="S16" s="226">
        <f t="shared" ref="S16:S49" si="48">SUM(O16+Q16)</f>
        <v>0</v>
      </c>
      <c r="T16" s="100" t="e">
        <f t="shared" ref="T16:T41" si="49">S16/F16</f>
        <v>#DIV/0!</v>
      </c>
      <c r="U16" s="233"/>
      <c r="V16" s="100" t="e">
        <f t="shared" ref="V16:V41" si="50">U16/F16</f>
        <v>#DIV/0!</v>
      </c>
      <c r="W16" s="233"/>
      <c r="X16" s="100" t="e">
        <f t="shared" ref="X16:X41" si="51">W16/F16</f>
        <v>#DIV/0!</v>
      </c>
      <c r="Y16" s="233"/>
      <c r="Z16" s="100" t="e">
        <f t="shared" si="24"/>
        <v>#DIV/0!</v>
      </c>
      <c r="AA16" s="233"/>
      <c r="AB16" s="100" t="e">
        <f t="shared" si="25"/>
        <v>#DIV/0!</v>
      </c>
      <c r="AC16" s="226">
        <f t="shared" si="26"/>
        <v>0</v>
      </c>
      <c r="AD16" s="100" t="e">
        <f t="shared" si="27"/>
        <v>#DIV/0!</v>
      </c>
      <c r="AE16" s="233"/>
      <c r="AF16" s="100" t="e">
        <f t="shared" si="28"/>
        <v>#DIV/0!</v>
      </c>
      <c r="AG16" s="233"/>
      <c r="AH16" s="100" t="e">
        <f t="shared" si="29"/>
        <v>#DIV/0!</v>
      </c>
      <c r="AI16" s="233"/>
      <c r="AJ16" s="100" t="e">
        <f t="shared" si="30"/>
        <v>#DIV/0!</v>
      </c>
      <c r="AK16" s="233"/>
      <c r="AL16" s="100" t="e">
        <f t="shared" ref="AL16:AL41" si="52">AK16/F16</f>
        <v>#DIV/0!</v>
      </c>
    </row>
    <row r="17" spans="2:38" ht="14.25">
      <c r="B17" s="97"/>
      <c r="C17" s="97"/>
      <c r="D17" s="355">
        <f t="shared" si="20"/>
        <v>46276</v>
      </c>
      <c r="E17" s="355" t="s">
        <v>442</v>
      </c>
      <c r="F17" s="227">
        <f t="shared" si="19"/>
        <v>0</v>
      </c>
      <c r="G17" s="297"/>
      <c r="H17" s="316"/>
      <c r="I17" s="233"/>
      <c r="J17" s="100" t="e">
        <f t="shared" si="42"/>
        <v>#DIV/0!</v>
      </c>
      <c r="K17" s="233"/>
      <c r="L17" s="100" t="e">
        <f t="shared" si="43"/>
        <v>#DIV/0!</v>
      </c>
      <c r="M17" s="226">
        <f t="shared" si="44"/>
        <v>0</v>
      </c>
      <c r="N17" s="100" t="e">
        <f t="shared" si="45"/>
        <v>#DIV/0!</v>
      </c>
      <c r="O17" s="233"/>
      <c r="P17" s="100" t="e">
        <f t="shared" si="46"/>
        <v>#DIV/0!</v>
      </c>
      <c r="Q17" s="233"/>
      <c r="R17" s="100" t="e">
        <f t="shared" si="47"/>
        <v>#DIV/0!</v>
      </c>
      <c r="S17" s="226">
        <f t="shared" si="48"/>
        <v>0</v>
      </c>
      <c r="T17" s="100" t="e">
        <f t="shared" si="49"/>
        <v>#DIV/0!</v>
      </c>
      <c r="U17" s="233"/>
      <c r="V17" s="100" t="e">
        <f t="shared" si="50"/>
        <v>#DIV/0!</v>
      </c>
      <c r="W17" s="233"/>
      <c r="X17" s="100" t="e">
        <f t="shared" si="51"/>
        <v>#DIV/0!</v>
      </c>
      <c r="Y17" s="233"/>
      <c r="Z17" s="100" t="e">
        <f>Y17/F17</f>
        <v>#DIV/0!</v>
      </c>
      <c r="AA17" s="233"/>
      <c r="AB17" s="100" t="e">
        <f t="shared" si="25"/>
        <v>#DIV/0!</v>
      </c>
      <c r="AC17" s="226">
        <f>SUM(Y17+AA17)</f>
        <v>0</v>
      </c>
      <c r="AD17" s="100" t="e">
        <f>AC17/F17</f>
        <v>#DIV/0!</v>
      </c>
      <c r="AE17" s="233"/>
      <c r="AF17" s="100" t="e">
        <f>AE17/F17</f>
        <v>#DIV/0!</v>
      </c>
      <c r="AG17" s="233"/>
      <c r="AH17" s="100" t="e">
        <f>AG17/F17</f>
        <v>#DIV/0!</v>
      </c>
      <c r="AI17" s="233"/>
      <c r="AJ17" s="100" t="e">
        <f>AI17/F17</f>
        <v>#DIV/0!</v>
      </c>
      <c r="AK17" s="233"/>
      <c r="AL17" s="100" t="e">
        <f t="shared" si="52"/>
        <v>#DIV/0!</v>
      </c>
    </row>
    <row r="18" spans="2:38" ht="14.25">
      <c r="B18" s="97"/>
      <c r="C18" s="97"/>
      <c r="D18" s="355">
        <f t="shared" si="20"/>
        <v>46277</v>
      </c>
      <c r="E18" s="355" t="s">
        <v>443</v>
      </c>
      <c r="F18" s="227">
        <f t="shared" si="19"/>
        <v>0</v>
      </c>
      <c r="G18" s="297"/>
      <c r="H18" s="316"/>
      <c r="I18" s="233"/>
      <c r="J18" s="100" t="e">
        <f t="shared" si="42"/>
        <v>#DIV/0!</v>
      </c>
      <c r="K18" s="233"/>
      <c r="L18" s="100" t="e">
        <f t="shared" si="43"/>
        <v>#DIV/0!</v>
      </c>
      <c r="M18" s="226">
        <f t="shared" si="44"/>
        <v>0</v>
      </c>
      <c r="N18" s="100" t="e">
        <f t="shared" si="45"/>
        <v>#DIV/0!</v>
      </c>
      <c r="O18" s="233"/>
      <c r="P18" s="100" t="e">
        <f t="shared" si="46"/>
        <v>#DIV/0!</v>
      </c>
      <c r="Q18" s="233"/>
      <c r="R18" s="100" t="e">
        <f t="shared" si="47"/>
        <v>#DIV/0!</v>
      </c>
      <c r="S18" s="226">
        <f t="shared" si="48"/>
        <v>0</v>
      </c>
      <c r="T18" s="100" t="e">
        <f t="shared" si="49"/>
        <v>#DIV/0!</v>
      </c>
      <c r="U18" s="233"/>
      <c r="V18" s="100" t="e">
        <f t="shared" si="50"/>
        <v>#DIV/0!</v>
      </c>
      <c r="W18" s="233"/>
      <c r="X18" s="100" t="e">
        <f t="shared" si="51"/>
        <v>#DIV/0!</v>
      </c>
      <c r="Y18" s="233"/>
      <c r="Z18" s="100" t="e">
        <f t="shared" ref="Z18:Z40" si="53">Y18/F18</f>
        <v>#DIV/0!</v>
      </c>
      <c r="AA18" s="233"/>
      <c r="AB18" s="100" t="e">
        <f t="shared" si="25"/>
        <v>#DIV/0!</v>
      </c>
      <c r="AC18" s="226">
        <f t="shared" ref="AC18:AC40" si="54">SUM(Y18+AA18)</f>
        <v>0</v>
      </c>
      <c r="AD18" s="100" t="e">
        <f t="shared" ref="AD18:AD40" si="55">AC18/F18</f>
        <v>#DIV/0!</v>
      </c>
      <c r="AE18" s="233"/>
      <c r="AF18" s="100" t="e">
        <f t="shared" ref="AF18:AF40" si="56">AE18/F18</f>
        <v>#DIV/0!</v>
      </c>
      <c r="AG18" s="233"/>
      <c r="AH18" s="100" t="e">
        <f t="shared" ref="AH18:AH40" si="57">AG18/F18</f>
        <v>#DIV/0!</v>
      </c>
      <c r="AI18" s="233"/>
      <c r="AJ18" s="100" t="e">
        <f t="shared" ref="AJ18:AJ40" si="58">AI18/F18</f>
        <v>#DIV/0!</v>
      </c>
      <c r="AK18" s="233"/>
      <c r="AL18" s="100" t="e">
        <f t="shared" si="52"/>
        <v>#DIV/0!</v>
      </c>
    </row>
    <row r="19" spans="2:38" ht="14.25">
      <c r="B19" s="97"/>
      <c r="C19" s="97"/>
      <c r="D19" s="355">
        <f t="shared" si="20"/>
        <v>46278</v>
      </c>
      <c r="E19" s="355" t="s">
        <v>444</v>
      </c>
      <c r="F19" s="227">
        <f t="shared" si="19"/>
        <v>0</v>
      </c>
      <c r="G19" s="86"/>
      <c r="H19" s="316"/>
      <c r="I19" s="233"/>
      <c r="J19" s="100" t="e">
        <f t="shared" si="42"/>
        <v>#DIV/0!</v>
      </c>
      <c r="K19" s="233"/>
      <c r="L19" s="100" t="e">
        <f t="shared" si="43"/>
        <v>#DIV/0!</v>
      </c>
      <c r="M19" s="226">
        <f t="shared" si="44"/>
        <v>0</v>
      </c>
      <c r="N19" s="100" t="e">
        <f t="shared" si="45"/>
        <v>#DIV/0!</v>
      </c>
      <c r="O19" s="233"/>
      <c r="P19" s="100" t="e">
        <f t="shared" si="46"/>
        <v>#DIV/0!</v>
      </c>
      <c r="Q19" s="233"/>
      <c r="R19" s="100" t="e">
        <f t="shared" si="47"/>
        <v>#DIV/0!</v>
      </c>
      <c r="S19" s="226">
        <f t="shared" si="48"/>
        <v>0</v>
      </c>
      <c r="T19" s="100" t="e">
        <f t="shared" si="49"/>
        <v>#DIV/0!</v>
      </c>
      <c r="U19" s="233"/>
      <c r="V19" s="100" t="e">
        <f t="shared" si="50"/>
        <v>#DIV/0!</v>
      </c>
      <c r="W19" s="233"/>
      <c r="X19" s="100" t="e">
        <f t="shared" si="51"/>
        <v>#DIV/0!</v>
      </c>
      <c r="Y19" s="233"/>
      <c r="Z19" s="100" t="e">
        <f t="shared" si="53"/>
        <v>#DIV/0!</v>
      </c>
      <c r="AA19" s="233"/>
      <c r="AB19" s="100" t="e">
        <f t="shared" si="25"/>
        <v>#DIV/0!</v>
      </c>
      <c r="AC19" s="226">
        <f t="shared" si="54"/>
        <v>0</v>
      </c>
      <c r="AD19" s="100" t="e">
        <f t="shared" si="55"/>
        <v>#DIV/0!</v>
      </c>
      <c r="AE19" s="233"/>
      <c r="AF19" s="100" t="e">
        <f t="shared" si="56"/>
        <v>#DIV/0!</v>
      </c>
      <c r="AG19" s="233"/>
      <c r="AH19" s="100" t="e">
        <f t="shared" si="57"/>
        <v>#DIV/0!</v>
      </c>
      <c r="AI19" s="233"/>
      <c r="AJ19" s="100" t="e">
        <f t="shared" si="58"/>
        <v>#DIV/0!</v>
      </c>
      <c r="AK19" s="233"/>
      <c r="AL19" s="100" t="e">
        <f t="shared" si="52"/>
        <v>#DIV/0!</v>
      </c>
    </row>
    <row r="20" spans="2:38" ht="14.25">
      <c r="B20" s="97"/>
      <c r="C20" s="97"/>
      <c r="D20" s="355">
        <f t="shared" si="20"/>
        <v>46279</v>
      </c>
      <c r="E20" s="355" t="s">
        <v>438</v>
      </c>
      <c r="F20" s="227">
        <f t="shared" si="19"/>
        <v>0</v>
      </c>
      <c r="G20" s="297"/>
      <c r="H20" s="316"/>
      <c r="I20" s="233"/>
      <c r="J20" s="100" t="e">
        <f t="shared" si="42"/>
        <v>#DIV/0!</v>
      </c>
      <c r="K20" s="233"/>
      <c r="L20" s="100" t="e">
        <f t="shared" si="43"/>
        <v>#DIV/0!</v>
      </c>
      <c r="M20" s="226">
        <f t="shared" si="44"/>
        <v>0</v>
      </c>
      <c r="N20" s="100" t="e">
        <f t="shared" si="45"/>
        <v>#DIV/0!</v>
      </c>
      <c r="O20" s="233"/>
      <c r="P20" s="100" t="e">
        <f t="shared" si="46"/>
        <v>#DIV/0!</v>
      </c>
      <c r="Q20" s="233"/>
      <c r="R20" s="100" t="e">
        <f t="shared" si="47"/>
        <v>#DIV/0!</v>
      </c>
      <c r="S20" s="226">
        <f t="shared" si="48"/>
        <v>0</v>
      </c>
      <c r="T20" s="100" t="e">
        <f t="shared" si="49"/>
        <v>#DIV/0!</v>
      </c>
      <c r="U20" s="233"/>
      <c r="V20" s="100" t="e">
        <f t="shared" si="50"/>
        <v>#DIV/0!</v>
      </c>
      <c r="W20" s="233"/>
      <c r="X20" s="100" t="e">
        <f t="shared" si="51"/>
        <v>#DIV/0!</v>
      </c>
      <c r="Y20" s="233"/>
      <c r="Z20" s="100" t="e">
        <f t="shared" si="53"/>
        <v>#DIV/0!</v>
      </c>
      <c r="AA20" s="233"/>
      <c r="AB20" s="100" t="e">
        <f t="shared" si="25"/>
        <v>#DIV/0!</v>
      </c>
      <c r="AC20" s="226">
        <f t="shared" si="54"/>
        <v>0</v>
      </c>
      <c r="AD20" s="100" t="e">
        <f t="shared" si="55"/>
        <v>#DIV/0!</v>
      </c>
      <c r="AE20" s="233"/>
      <c r="AF20" s="100" t="e">
        <f t="shared" si="56"/>
        <v>#DIV/0!</v>
      </c>
      <c r="AG20" s="233"/>
      <c r="AH20" s="100" t="e">
        <f t="shared" si="57"/>
        <v>#DIV/0!</v>
      </c>
      <c r="AI20" s="233"/>
      <c r="AJ20" s="100" t="e">
        <f t="shared" si="58"/>
        <v>#DIV/0!</v>
      </c>
      <c r="AK20" s="233"/>
      <c r="AL20" s="100" t="e">
        <f t="shared" si="52"/>
        <v>#DIV/0!</v>
      </c>
    </row>
    <row r="21" spans="2:38" ht="14.25">
      <c r="B21" s="97"/>
      <c r="C21" s="97"/>
      <c r="D21" s="299">
        <f t="shared" si="20"/>
        <v>46280</v>
      </c>
      <c r="E21" s="299" t="s">
        <v>439</v>
      </c>
      <c r="F21" s="227">
        <f t="shared" si="19"/>
        <v>0</v>
      </c>
      <c r="G21" s="297">
        <f>SUM(F21:F27)</f>
        <v>0</v>
      </c>
      <c r="H21" s="316"/>
      <c r="I21" s="233"/>
      <c r="J21" s="100" t="e">
        <f t="shared" si="42"/>
        <v>#DIV/0!</v>
      </c>
      <c r="K21" s="233"/>
      <c r="L21" s="100" t="e">
        <f t="shared" si="43"/>
        <v>#DIV/0!</v>
      </c>
      <c r="M21" s="226">
        <f t="shared" si="44"/>
        <v>0</v>
      </c>
      <c r="N21" s="100" t="e">
        <f t="shared" si="45"/>
        <v>#DIV/0!</v>
      </c>
      <c r="O21" s="233"/>
      <c r="P21" s="100" t="e">
        <f t="shared" si="46"/>
        <v>#DIV/0!</v>
      </c>
      <c r="Q21" s="233"/>
      <c r="R21" s="100" t="e">
        <f t="shared" si="47"/>
        <v>#DIV/0!</v>
      </c>
      <c r="S21" s="226">
        <f t="shared" si="48"/>
        <v>0</v>
      </c>
      <c r="T21" s="100" t="e">
        <f t="shared" si="49"/>
        <v>#DIV/0!</v>
      </c>
      <c r="U21" s="233"/>
      <c r="V21" s="100" t="e">
        <f t="shared" si="50"/>
        <v>#DIV/0!</v>
      </c>
      <c r="W21" s="233"/>
      <c r="X21" s="100" t="e">
        <f t="shared" si="51"/>
        <v>#DIV/0!</v>
      </c>
      <c r="Y21" s="233"/>
      <c r="Z21" s="100" t="e">
        <f t="shared" si="53"/>
        <v>#DIV/0!</v>
      </c>
      <c r="AA21" s="233"/>
      <c r="AB21" s="100" t="e">
        <f t="shared" si="25"/>
        <v>#DIV/0!</v>
      </c>
      <c r="AC21" s="226">
        <f t="shared" si="54"/>
        <v>0</v>
      </c>
      <c r="AD21" s="100" t="e">
        <f t="shared" si="55"/>
        <v>#DIV/0!</v>
      </c>
      <c r="AE21" s="233"/>
      <c r="AF21" s="100" t="e">
        <f t="shared" si="56"/>
        <v>#DIV/0!</v>
      </c>
      <c r="AG21" s="233"/>
      <c r="AH21" s="100" t="e">
        <f t="shared" si="57"/>
        <v>#DIV/0!</v>
      </c>
      <c r="AI21" s="233"/>
      <c r="AJ21" s="100" t="e">
        <f t="shared" si="58"/>
        <v>#DIV/0!</v>
      </c>
      <c r="AK21" s="233"/>
      <c r="AL21" s="100" t="e">
        <f t="shared" si="52"/>
        <v>#DIV/0!</v>
      </c>
    </row>
    <row r="22" spans="2:38" ht="14.25">
      <c r="B22" s="97"/>
      <c r="C22" s="97"/>
      <c r="D22" s="299">
        <f t="shared" si="20"/>
        <v>46281</v>
      </c>
      <c r="E22" s="299" t="s">
        <v>440</v>
      </c>
      <c r="F22" s="227">
        <f t="shared" si="19"/>
        <v>0</v>
      </c>
      <c r="G22" s="297"/>
      <c r="H22" s="316"/>
      <c r="I22" s="233"/>
      <c r="J22" s="100" t="e">
        <f t="shared" si="42"/>
        <v>#DIV/0!</v>
      </c>
      <c r="K22" s="233"/>
      <c r="L22" s="100" t="e">
        <f t="shared" si="43"/>
        <v>#DIV/0!</v>
      </c>
      <c r="M22" s="226">
        <f t="shared" si="44"/>
        <v>0</v>
      </c>
      <c r="N22" s="100" t="e">
        <f t="shared" si="45"/>
        <v>#DIV/0!</v>
      </c>
      <c r="O22" s="233"/>
      <c r="P22" s="100" t="e">
        <f t="shared" si="46"/>
        <v>#DIV/0!</v>
      </c>
      <c r="Q22" s="233"/>
      <c r="R22" s="100" t="e">
        <f t="shared" si="47"/>
        <v>#DIV/0!</v>
      </c>
      <c r="S22" s="226">
        <f t="shared" si="48"/>
        <v>0</v>
      </c>
      <c r="T22" s="100" t="e">
        <f t="shared" si="49"/>
        <v>#DIV/0!</v>
      </c>
      <c r="U22" s="233"/>
      <c r="V22" s="100" t="e">
        <f t="shared" si="50"/>
        <v>#DIV/0!</v>
      </c>
      <c r="W22" s="233"/>
      <c r="X22" s="100" t="e">
        <f t="shared" si="51"/>
        <v>#DIV/0!</v>
      </c>
      <c r="Y22" s="233"/>
      <c r="Z22" s="100" t="e">
        <f t="shared" si="53"/>
        <v>#DIV/0!</v>
      </c>
      <c r="AA22" s="233"/>
      <c r="AB22" s="100" t="e">
        <f t="shared" si="25"/>
        <v>#DIV/0!</v>
      </c>
      <c r="AC22" s="226">
        <f t="shared" si="54"/>
        <v>0</v>
      </c>
      <c r="AD22" s="100" t="e">
        <f t="shared" si="55"/>
        <v>#DIV/0!</v>
      </c>
      <c r="AE22" s="233"/>
      <c r="AF22" s="100" t="e">
        <f t="shared" si="56"/>
        <v>#DIV/0!</v>
      </c>
      <c r="AG22" s="233"/>
      <c r="AH22" s="100" t="e">
        <f t="shared" si="57"/>
        <v>#DIV/0!</v>
      </c>
      <c r="AI22" s="233"/>
      <c r="AJ22" s="100" t="e">
        <f t="shared" si="58"/>
        <v>#DIV/0!</v>
      </c>
      <c r="AK22" s="233"/>
      <c r="AL22" s="100" t="e">
        <f t="shared" si="52"/>
        <v>#DIV/0!</v>
      </c>
    </row>
    <row r="23" spans="2:38" ht="14.25">
      <c r="B23" s="97"/>
      <c r="C23" s="97"/>
      <c r="D23" s="299">
        <f t="shared" si="20"/>
        <v>46282</v>
      </c>
      <c r="E23" s="299" t="s">
        <v>441</v>
      </c>
      <c r="F23" s="227">
        <f t="shared" si="19"/>
        <v>0</v>
      </c>
      <c r="G23" s="86"/>
      <c r="H23" s="316"/>
      <c r="I23" s="233"/>
      <c r="J23" s="100" t="e">
        <f t="shared" si="42"/>
        <v>#DIV/0!</v>
      </c>
      <c r="K23" s="233"/>
      <c r="L23" s="100" t="e">
        <f t="shared" si="43"/>
        <v>#DIV/0!</v>
      </c>
      <c r="M23" s="226">
        <f t="shared" si="44"/>
        <v>0</v>
      </c>
      <c r="N23" s="100" t="e">
        <f t="shared" si="45"/>
        <v>#DIV/0!</v>
      </c>
      <c r="O23" s="233"/>
      <c r="P23" s="100" t="e">
        <f t="shared" si="46"/>
        <v>#DIV/0!</v>
      </c>
      <c r="Q23" s="233"/>
      <c r="R23" s="100" t="e">
        <f t="shared" si="47"/>
        <v>#DIV/0!</v>
      </c>
      <c r="S23" s="226">
        <f t="shared" si="48"/>
        <v>0</v>
      </c>
      <c r="T23" s="100" t="e">
        <f t="shared" si="49"/>
        <v>#DIV/0!</v>
      </c>
      <c r="U23" s="233"/>
      <c r="V23" s="100" t="e">
        <f t="shared" si="50"/>
        <v>#DIV/0!</v>
      </c>
      <c r="W23" s="233"/>
      <c r="X23" s="100" t="e">
        <f t="shared" si="51"/>
        <v>#DIV/0!</v>
      </c>
      <c r="Y23" s="233"/>
      <c r="Z23" s="100" t="e">
        <f t="shared" si="53"/>
        <v>#DIV/0!</v>
      </c>
      <c r="AA23" s="233"/>
      <c r="AB23" s="100" t="e">
        <f t="shared" si="25"/>
        <v>#DIV/0!</v>
      </c>
      <c r="AC23" s="226">
        <f t="shared" si="54"/>
        <v>0</v>
      </c>
      <c r="AD23" s="100" t="e">
        <f t="shared" si="55"/>
        <v>#DIV/0!</v>
      </c>
      <c r="AE23" s="233"/>
      <c r="AF23" s="100" t="e">
        <f t="shared" si="56"/>
        <v>#DIV/0!</v>
      </c>
      <c r="AG23" s="233"/>
      <c r="AH23" s="100" t="e">
        <f t="shared" si="57"/>
        <v>#DIV/0!</v>
      </c>
      <c r="AI23" s="233"/>
      <c r="AJ23" s="100" t="e">
        <f t="shared" si="58"/>
        <v>#DIV/0!</v>
      </c>
      <c r="AK23" s="233"/>
      <c r="AL23" s="100" t="e">
        <f t="shared" si="52"/>
        <v>#DIV/0!</v>
      </c>
    </row>
    <row r="24" spans="2:38" ht="14.25">
      <c r="B24" s="97"/>
      <c r="C24" s="97"/>
      <c r="D24" s="299">
        <f t="shared" si="20"/>
        <v>46283</v>
      </c>
      <c r="E24" s="299" t="s">
        <v>442</v>
      </c>
      <c r="F24" s="227">
        <f t="shared" si="19"/>
        <v>0</v>
      </c>
      <c r="G24" s="297"/>
      <c r="H24" s="316"/>
      <c r="I24" s="233"/>
      <c r="J24" s="100" t="e">
        <f t="shared" si="42"/>
        <v>#DIV/0!</v>
      </c>
      <c r="K24" s="233"/>
      <c r="L24" s="100" t="e">
        <f t="shared" si="43"/>
        <v>#DIV/0!</v>
      </c>
      <c r="M24" s="226">
        <f t="shared" si="44"/>
        <v>0</v>
      </c>
      <c r="N24" s="100" t="e">
        <f t="shared" si="45"/>
        <v>#DIV/0!</v>
      </c>
      <c r="O24" s="233"/>
      <c r="P24" s="100" t="e">
        <f t="shared" si="46"/>
        <v>#DIV/0!</v>
      </c>
      <c r="Q24" s="233"/>
      <c r="R24" s="100" t="e">
        <f t="shared" si="47"/>
        <v>#DIV/0!</v>
      </c>
      <c r="S24" s="226">
        <f t="shared" si="48"/>
        <v>0</v>
      </c>
      <c r="T24" s="100" t="e">
        <f t="shared" si="49"/>
        <v>#DIV/0!</v>
      </c>
      <c r="U24" s="233"/>
      <c r="V24" s="100" t="e">
        <f t="shared" si="50"/>
        <v>#DIV/0!</v>
      </c>
      <c r="W24" s="233"/>
      <c r="X24" s="100" t="e">
        <f t="shared" si="51"/>
        <v>#DIV/0!</v>
      </c>
      <c r="Y24" s="233"/>
      <c r="Z24" s="100" t="e">
        <f t="shared" si="53"/>
        <v>#DIV/0!</v>
      </c>
      <c r="AA24" s="233"/>
      <c r="AB24" s="100" t="e">
        <f t="shared" si="25"/>
        <v>#DIV/0!</v>
      </c>
      <c r="AC24" s="226">
        <f t="shared" si="54"/>
        <v>0</v>
      </c>
      <c r="AD24" s="100" t="e">
        <f t="shared" si="55"/>
        <v>#DIV/0!</v>
      </c>
      <c r="AE24" s="233"/>
      <c r="AF24" s="100" t="e">
        <f t="shared" si="56"/>
        <v>#DIV/0!</v>
      </c>
      <c r="AG24" s="233"/>
      <c r="AH24" s="100" t="e">
        <f t="shared" si="57"/>
        <v>#DIV/0!</v>
      </c>
      <c r="AI24" s="233"/>
      <c r="AJ24" s="100" t="e">
        <f t="shared" si="58"/>
        <v>#DIV/0!</v>
      </c>
      <c r="AK24" s="233"/>
      <c r="AL24" s="100" t="e">
        <f t="shared" si="52"/>
        <v>#DIV/0!</v>
      </c>
    </row>
    <row r="25" spans="2:38" ht="14.25">
      <c r="B25" s="97"/>
      <c r="C25" s="97"/>
      <c r="D25" s="299">
        <f t="shared" si="20"/>
        <v>46284</v>
      </c>
      <c r="E25" s="299" t="s">
        <v>443</v>
      </c>
      <c r="F25" s="227">
        <f t="shared" si="19"/>
        <v>0</v>
      </c>
      <c r="G25" s="297"/>
      <c r="H25" s="316"/>
      <c r="I25" s="233"/>
      <c r="J25" s="100" t="e">
        <f t="shared" si="42"/>
        <v>#DIV/0!</v>
      </c>
      <c r="K25" s="233"/>
      <c r="L25" s="100" t="e">
        <f t="shared" si="43"/>
        <v>#DIV/0!</v>
      </c>
      <c r="M25" s="226">
        <f t="shared" si="44"/>
        <v>0</v>
      </c>
      <c r="N25" s="100" t="e">
        <f t="shared" si="45"/>
        <v>#DIV/0!</v>
      </c>
      <c r="O25" s="233"/>
      <c r="P25" s="100" t="e">
        <f t="shared" si="46"/>
        <v>#DIV/0!</v>
      </c>
      <c r="Q25" s="233"/>
      <c r="R25" s="100" t="e">
        <f t="shared" si="47"/>
        <v>#DIV/0!</v>
      </c>
      <c r="S25" s="226">
        <f t="shared" si="48"/>
        <v>0</v>
      </c>
      <c r="T25" s="100" t="e">
        <f t="shared" si="49"/>
        <v>#DIV/0!</v>
      </c>
      <c r="U25" s="233"/>
      <c r="V25" s="100" t="e">
        <f t="shared" si="50"/>
        <v>#DIV/0!</v>
      </c>
      <c r="W25" s="233"/>
      <c r="X25" s="100" t="e">
        <f t="shared" si="51"/>
        <v>#DIV/0!</v>
      </c>
      <c r="Y25" s="233"/>
      <c r="Z25" s="100" t="e">
        <f t="shared" si="53"/>
        <v>#DIV/0!</v>
      </c>
      <c r="AA25" s="233"/>
      <c r="AB25" s="100" t="e">
        <f t="shared" si="25"/>
        <v>#DIV/0!</v>
      </c>
      <c r="AC25" s="226">
        <f t="shared" si="54"/>
        <v>0</v>
      </c>
      <c r="AD25" s="100" t="e">
        <f t="shared" si="55"/>
        <v>#DIV/0!</v>
      </c>
      <c r="AE25" s="233"/>
      <c r="AF25" s="100" t="e">
        <f t="shared" si="56"/>
        <v>#DIV/0!</v>
      </c>
      <c r="AG25" s="233"/>
      <c r="AH25" s="100" t="e">
        <f t="shared" si="57"/>
        <v>#DIV/0!</v>
      </c>
      <c r="AI25" s="233"/>
      <c r="AJ25" s="100" t="e">
        <f t="shared" si="58"/>
        <v>#DIV/0!</v>
      </c>
      <c r="AK25" s="233"/>
      <c r="AL25" s="100" t="e">
        <f t="shared" si="52"/>
        <v>#DIV/0!</v>
      </c>
    </row>
    <row r="26" spans="2:38" ht="14.25">
      <c r="B26" s="97"/>
      <c r="C26" s="97"/>
      <c r="D26" s="299">
        <f t="shared" si="20"/>
        <v>46285</v>
      </c>
      <c r="E26" s="299" t="s">
        <v>444</v>
      </c>
      <c r="F26" s="227">
        <f t="shared" si="19"/>
        <v>0</v>
      </c>
      <c r="G26" s="297"/>
      <c r="H26" s="316"/>
      <c r="I26" s="233"/>
      <c r="J26" s="100" t="e">
        <f t="shared" si="42"/>
        <v>#DIV/0!</v>
      </c>
      <c r="K26" s="233"/>
      <c r="L26" s="100" t="e">
        <f t="shared" si="43"/>
        <v>#DIV/0!</v>
      </c>
      <c r="M26" s="226">
        <f t="shared" si="44"/>
        <v>0</v>
      </c>
      <c r="N26" s="100" t="e">
        <f t="shared" si="45"/>
        <v>#DIV/0!</v>
      </c>
      <c r="O26" s="233"/>
      <c r="P26" s="100" t="e">
        <f t="shared" si="46"/>
        <v>#DIV/0!</v>
      </c>
      <c r="Q26" s="233"/>
      <c r="R26" s="100" t="e">
        <f t="shared" si="47"/>
        <v>#DIV/0!</v>
      </c>
      <c r="S26" s="226">
        <f t="shared" si="48"/>
        <v>0</v>
      </c>
      <c r="T26" s="100" t="e">
        <f t="shared" si="49"/>
        <v>#DIV/0!</v>
      </c>
      <c r="U26" s="233"/>
      <c r="V26" s="100" t="e">
        <f t="shared" si="50"/>
        <v>#DIV/0!</v>
      </c>
      <c r="W26" s="233"/>
      <c r="X26" s="100" t="e">
        <f t="shared" si="51"/>
        <v>#DIV/0!</v>
      </c>
      <c r="Y26" s="233"/>
      <c r="Z26" s="100" t="e">
        <f t="shared" si="53"/>
        <v>#DIV/0!</v>
      </c>
      <c r="AA26" s="233"/>
      <c r="AB26" s="100" t="e">
        <f t="shared" si="25"/>
        <v>#DIV/0!</v>
      </c>
      <c r="AC26" s="226">
        <f t="shared" si="54"/>
        <v>0</v>
      </c>
      <c r="AD26" s="100" t="e">
        <f t="shared" si="55"/>
        <v>#DIV/0!</v>
      </c>
      <c r="AE26" s="233"/>
      <c r="AF26" s="100" t="e">
        <f t="shared" si="56"/>
        <v>#DIV/0!</v>
      </c>
      <c r="AG26" s="233"/>
      <c r="AH26" s="100" t="e">
        <f t="shared" si="57"/>
        <v>#DIV/0!</v>
      </c>
      <c r="AI26" s="233"/>
      <c r="AJ26" s="100" t="e">
        <f t="shared" si="58"/>
        <v>#DIV/0!</v>
      </c>
      <c r="AK26" s="233"/>
      <c r="AL26" s="100" t="e">
        <f t="shared" si="52"/>
        <v>#DIV/0!</v>
      </c>
    </row>
    <row r="27" spans="2:38" ht="14.25">
      <c r="B27" s="97"/>
      <c r="C27" s="97"/>
      <c r="D27" s="299">
        <f t="shared" si="20"/>
        <v>46286</v>
      </c>
      <c r="E27" s="299" t="s">
        <v>438</v>
      </c>
      <c r="F27" s="227">
        <f t="shared" si="19"/>
        <v>0</v>
      </c>
      <c r="G27" s="86"/>
      <c r="H27" s="316"/>
      <c r="I27" s="233"/>
      <c r="J27" s="100" t="e">
        <f t="shared" si="42"/>
        <v>#DIV/0!</v>
      </c>
      <c r="K27" s="233"/>
      <c r="L27" s="100" t="e">
        <f t="shared" si="43"/>
        <v>#DIV/0!</v>
      </c>
      <c r="M27" s="226">
        <f t="shared" si="44"/>
        <v>0</v>
      </c>
      <c r="N27" s="100" t="e">
        <f t="shared" si="45"/>
        <v>#DIV/0!</v>
      </c>
      <c r="O27" s="233"/>
      <c r="P27" s="100" t="e">
        <f t="shared" si="46"/>
        <v>#DIV/0!</v>
      </c>
      <c r="Q27" s="233"/>
      <c r="R27" s="100" t="e">
        <f t="shared" si="47"/>
        <v>#DIV/0!</v>
      </c>
      <c r="S27" s="226">
        <f t="shared" si="48"/>
        <v>0</v>
      </c>
      <c r="T27" s="100" t="e">
        <f t="shared" si="49"/>
        <v>#DIV/0!</v>
      </c>
      <c r="U27" s="233"/>
      <c r="V27" s="100" t="e">
        <f t="shared" si="50"/>
        <v>#DIV/0!</v>
      </c>
      <c r="W27" s="233"/>
      <c r="X27" s="100" t="e">
        <f t="shared" si="51"/>
        <v>#DIV/0!</v>
      </c>
      <c r="Y27" s="233"/>
      <c r="Z27" s="100" t="e">
        <f t="shared" si="53"/>
        <v>#DIV/0!</v>
      </c>
      <c r="AA27" s="233"/>
      <c r="AB27" s="100" t="e">
        <f t="shared" si="25"/>
        <v>#DIV/0!</v>
      </c>
      <c r="AC27" s="226">
        <f t="shared" si="54"/>
        <v>0</v>
      </c>
      <c r="AD27" s="100" t="e">
        <f t="shared" si="55"/>
        <v>#DIV/0!</v>
      </c>
      <c r="AE27" s="233"/>
      <c r="AF27" s="100" t="e">
        <f t="shared" si="56"/>
        <v>#DIV/0!</v>
      </c>
      <c r="AG27" s="233"/>
      <c r="AH27" s="100" t="e">
        <f t="shared" si="57"/>
        <v>#DIV/0!</v>
      </c>
      <c r="AI27" s="233"/>
      <c r="AJ27" s="100" t="e">
        <f t="shared" si="58"/>
        <v>#DIV/0!</v>
      </c>
      <c r="AK27" s="233"/>
      <c r="AL27" s="100" t="e">
        <f t="shared" si="52"/>
        <v>#DIV/0!</v>
      </c>
    </row>
    <row r="28" spans="2:38" ht="14.25">
      <c r="B28" s="97"/>
      <c r="C28" s="97"/>
      <c r="D28" s="355">
        <f t="shared" si="20"/>
        <v>46287</v>
      </c>
      <c r="E28" s="355" t="s">
        <v>439</v>
      </c>
      <c r="F28" s="227">
        <f t="shared" si="19"/>
        <v>0</v>
      </c>
      <c r="G28" s="297">
        <f>SUM(F28:F34)</f>
        <v>0</v>
      </c>
      <c r="H28" s="316"/>
      <c r="I28" s="233"/>
      <c r="J28" s="100" t="e">
        <f t="shared" si="42"/>
        <v>#DIV/0!</v>
      </c>
      <c r="K28" s="233"/>
      <c r="L28" s="100" t="e">
        <f t="shared" si="43"/>
        <v>#DIV/0!</v>
      </c>
      <c r="M28" s="226">
        <f t="shared" si="44"/>
        <v>0</v>
      </c>
      <c r="N28" s="100" t="e">
        <f t="shared" si="45"/>
        <v>#DIV/0!</v>
      </c>
      <c r="O28" s="233"/>
      <c r="P28" s="100" t="e">
        <f t="shared" si="46"/>
        <v>#DIV/0!</v>
      </c>
      <c r="Q28" s="233"/>
      <c r="R28" s="100" t="e">
        <f t="shared" si="47"/>
        <v>#DIV/0!</v>
      </c>
      <c r="S28" s="226">
        <f t="shared" si="48"/>
        <v>0</v>
      </c>
      <c r="T28" s="100" t="e">
        <f t="shared" si="49"/>
        <v>#DIV/0!</v>
      </c>
      <c r="U28" s="233"/>
      <c r="V28" s="100" t="e">
        <f t="shared" si="50"/>
        <v>#DIV/0!</v>
      </c>
      <c r="W28" s="233"/>
      <c r="X28" s="100" t="e">
        <f t="shared" si="51"/>
        <v>#DIV/0!</v>
      </c>
      <c r="Y28" s="233"/>
      <c r="Z28" s="100" t="e">
        <f t="shared" si="53"/>
        <v>#DIV/0!</v>
      </c>
      <c r="AA28" s="233"/>
      <c r="AB28" s="100" t="e">
        <f t="shared" si="25"/>
        <v>#DIV/0!</v>
      </c>
      <c r="AC28" s="226">
        <f t="shared" si="54"/>
        <v>0</v>
      </c>
      <c r="AD28" s="100" t="e">
        <f t="shared" si="55"/>
        <v>#DIV/0!</v>
      </c>
      <c r="AE28" s="233"/>
      <c r="AF28" s="100" t="e">
        <f t="shared" si="56"/>
        <v>#DIV/0!</v>
      </c>
      <c r="AG28" s="233"/>
      <c r="AH28" s="100" t="e">
        <f t="shared" si="57"/>
        <v>#DIV/0!</v>
      </c>
      <c r="AI28" s="233"/>
      <c r="AJ28" s="100" t="e">
        <f t="shared" si="58"/>
        <v>#DIV/0!</v>
      </c>
      <c r="AK28" s="233"/>
      <c r="AL28" s="100" t="e">
        <f t="shared" si="52"/>
        <v>#DIV/0!</v>
      </c>
    </row>
    <row r="29" spans="2:38" ht="14.25">
      <c r="B29" s="97"/>
      <c r="C29" s="97"/>
      <c r="D29" s="355">
        <f t="shared" si="20"/>
        <v>46288</v>
      </c>
      <c r="E29" s="355" t="s">
        <v>440</v>
      </c>
      <c r="F29" s="227">
        <f t="shared" si="19"/>
        <v>0</v>
      </c>
      <c r="G29" s="297"/>
      <c r="H29" s="316"/>
      <c r="I29" s="233"/>
      <c r="J29" s="100" t="e">
        <f t="shared" si="42"/>
        <v>#DIV/0!</v>
      </c>
      <c r="K29" s="233"/>
      <c r="L29" s="100" t="e">
        <f t="shared" si="43"/>
        <v>#DIV/0!</v>
      </c>
      <c r="M29" s="226">
        <f t="shared" si="44"/>
        <v>0</v>
      </c>
      <c r="N29" s="100" t="e">
        <f t="shared" si="45"/>
        <v>#DIV/0!</v>
      </c>
      <c r="O29" s="233"/>
      <c r="P29" s="100" t="e">
        <f t="shared" si="46"/>
        <v>#DIV/0!</v>
      </c>
      <c r="Q29" s="233"/>
      <c r="R29" s="100" t="e">
        <f t="shared" si="47"/>
        <v>#DIV/0!</v>
      </c>
      <c r="S29" s="226">
        <f t="shared" si="48"/>
        <v>0</v>
      </c>
      <c r="T29" s="100" t="e">
        <f t="shared" si="49"/>
        <v>#DIV/0!</v>
      </c>
      <c r="U29" s="233"/>
      <c r="V29" s="100" t="e">
        <f t="shared" si="50"/>
        <v>#DIV/0!</v>
      </c>
      <c r="W29" s="233"/>
      <c r="X29" s="100" t="e">
        <f t="shared" si="51"/>
        <v>#DIV/0!</v>
      </c>
      <c r="Y29" s="233"/>
      <c r="Z29" s="100" t="e">
        <f t="shared" si="53"/>
        <v>#DIV/0!</v>
      </c>
      <c r="AA29" s="233"/>
      <c r="AB29" s="100" t="e">
        <f t="shared" si="25"/>
        <v>#DIV/0!</v>
      </c>
      <c r="AC29" s="226">
        <f t="shared" si="54"/>
        <v>0</v>
      </c>
      <c r="AD29" s="100" t="e">
        <f t="shared" si="55"/>
        <v>#DIV/0!</v>
      </c>
      <c r="AE29" s="233"/>
      <c r="AF29" s="100" t="e">
        <f t="shared" si="56"/>
        <v>#DIV/0!</v>
      </c>
      <c r="AG29" s="233"/>
      <c r="AH29" s="100" t="e">
        <f t="shared" si="57"/>
        <v>#DIV/0!</v>
      </c>
      <c r="AI29" s="233"/>
      <c r="AJ29" s="100" t="e">
        <f t="shared" si="58"/>
        <v>#DIV/0!</v>
      </c>
      <c r="AK29" s="233"/>
      <c r="AL29" s="100" t="e">
        <f t="shared" si="52"/>
        <v>#DIV/0!</v>
      </c>
    </row>
    <row r="30" spans="2:38" ht="14.25">
      <c r="B30" s="97"/>
      <c r="C30" s="97"/>
      <c r="D30" s="355">
        <f t="shared" si="20"/>
        <v>46289</v>
      </c>
      <c r="E30" s="355" t="s">
        <v>441</v>
      </c>
      <c r="F30" s="227">
        <f t="shared" si="19"/>
        <v>0</v>
      </c>
      <c r="G30" s="86"/>
      <c r="H30" s="316"/>
      <c r="I30" s="233"/>
      <c r="J30" s="100" t="e">
        <f t="shared" si="42"/>
        <v>#DIV/0!</v>
      </c>
      <c r="K30" s="233"/>
      <c r="L30" s="100" t="e">
        <f t="shared" si="43"/>
        <v>#DIV/0!</v>
      </c>
      <c r="M30" s="226">
        <f t="shared" si="44"/>
        <v>0</v>
      </c>
      <c r="N30" s="100" t="e">
        <f t="shared" si="45"/>
        <v>#DIV/0!</v>
      </c>
      <c r="O30" s="233"/>
      <c r="P30" s="100" t="e">
        <f t="shared" si="46"/>
        <v>#DIV/0!</v>
      </c>
      <c r="Q30" s="233"/>
      <c r="R30" s="100" t="e">
        <f t="shared" si="47"/>
        <v>#DIV/0!</v>
      </c>
      <c r="S30" s="226">
        <f t="shared" si="48"/>
        <v>0</v>
      </c>
      <c r="T30" s="100" t="e">
        <f t="shared" si="49"/>
        <v>#DIV/0!</v>
      </c>
      <c r="U30" s="233"/>
      <c r="V30" s="100" t="e">
        <f t="shared" si="50"/>
        <v>#DIV/0!</v>
      </c>
      <c r="W30" s="233"/>
      <c r="X30" s="100" t="e">
        <f t="shared" si="51"/>
        <v>#DIV/0!</v>
      </c>
      <c r="Y30" s="233"/>
      <c r="Z30" s="100" t="e">
        <f t="shared" si="53"/>
        <v>#DIV/0!</v>
      </c>
      <c r="AA30" s="233"/>
      <c r="AB30" s="100" t="e">
        <f t="shared" si="25"/>
        <v>#DIV/0!</v>
      </c>
      <c r="AC30" s="226">
        <f t="shared" si="54"/>
        <v>0</v>
      </c>
      <c r="AD30" s="100" t="e">
        <f t="shared" si="55"/>
        <v>#DIV/0!</v>
      </c>
      <c r="AE30" s="233"/>
      <c r="AF30" s="100" t="e">
        <f t="shared" si="56"/>
        <v>#DIV/0!</v>
      </c>
      <c r="AG30" s="233"/>
      <c r="AH30" s="100" t="e">
        <f t="shared" si="57"/>
        <v>#DIV/0!</v>
      </c>
      <c r="AI30" s="233"/>
      <c r="AJ30" s="100" t="e">
        <f t="shared" si="58"/>
        <v>#DIV/0!</v>
      </c>
      <c r="AK30" s="233"/>
      <c r="AL30" s="100" t="e">
        <f t="shared" si="52"/>
        <v>#DIV/0!</v>
      </c>
    </row>
    <row r="31" spans="2:38" ht="14.25">
      <c r="B31" s="97"/>
      <c r="C31" s="97"/>
      <c r="D31" s="355">
        <f t="shared" si="20"/>
        <v>46290</v>
      </c>
      <c r="E31" s="355" t="s">
        <v>442</v>
      </c>
      <c r="F31" s="227">
        <f t="shared" si="19"/>
        <v>0</v>
      </c>
      <c r="G31" s="297"/>
      <c r="H31" s="316"/>
      <c r="I31" s="233"/>
      <c r="J31" s="100" t="e">
        <f t="shared" si="42"/>
        <v>#DIV/0!</v>
      </c>
      <c r="K31" s="233"/>
      <c r="L31" s="100" t="e">
        <f t="shared" si="43"/>
        <v>#DIV/0!</v>
      </c>
      <c r="M31" s="226">
        <f t="shared" si="44"/>
        <v>0</v>
      </c>
      <c r="N31" s="100" t="e">
        <f t="shared" si="45"/>
        <v>#DIV/0!</v>
      </c>
      <c r="O31" s="233"/>
      <c r="P31" s="100" t="e">
        <f t="shared" si="46"/>
        <v>#DIV/0!</v>
      </c>
      <c r="Q31" s="233"/>
      <c r="R31" s="100" t="e">
        <f t="shared" si="47"/>
        <v>#DIV/0!</v>
      </c>
      <c r="S31" s="226">
        <f t="shared" si="48"/>
        <v>0</v>
      </c>
      <c r="T31" s="100" t="e">
        <f t="shared" si="49"/>
        <v>#DIV/0!</v>
      </c>
      <c r="U31" s="233"/>
      <c r="V31" s="100" t="e">
        <f t="shared" si="50"/>
        <v>#DIV/0!</v>
      </c>
      <c r="W31" s="233"/>
      <c r="X31" s="100" t="e">
        <f t="shared" si="51"/>
        <v>#DIV/0!</v>
      </c>
      <c r="Y31" s="233"/>
      <c r="Z31" s="100" t="e">
        <f t="shared" si="53"/>
        <v>#DIV/0!</v>
      </c>
      <c r="AA31" s="233"/>
      <c r="AB31" s="100" t="e">
        <f t="shared" si="25"/>
        <v>#DIV/0!</v>
      </c>
      <c r="AC31" s="226">
        <f t="shared" si="54"/>
        <v>0</v>
      </c>
      <c r="AD31" s="100" t="e">
        <f t="shared" si="55"/>
        <v>#DIV/0!</v>
      </c>
      <c r="AE31" s="233"/>
      <c r="AF31" s="100" t="e">
        <f t="shared" si="56"/>
        <v>#DIV/0!</v>
      </c>
      <c r="AG31" s="233"/>
      <c r="AH31" s="100" t="e">
        <f t="shared" si="57"/>
        <v>#DIV/0!</v>
      </c>
      <c r="AI31" s="233"/>
      <c r="AJ31" s="100" t="e">
        <f t="shared" si="58"/>
        <v>#DIV/0!</v>
      </c>
      <c r="AK31" s="233"/>
      <c r="AL31" s="100" t="e">
        <f t="shared" si="52"/>
        <v>#DIV/0!</v>
      </c>
    </row>
    <row r="32" spans="2:38" ht="14.25">
      <c r="B32" s="97"/>
      <c r="C32" s="97"/>
      <c r="D32" s="355">
        <f t="shared" si="20"/>
        <v>46291</v>
      </c>
      <c r="E32" s="355" t="s">
        <v>443</v>
      </c>
      <c r="F32" s="227">
        <f t="shared" si="19"/>
        <v>0</v>
      </c>
      <c r="G32" s="297"/>
      <c r="H32" s="316"/>
      <c r="I32" s="233"/>
      <c r="J32" s="100" t="e">
        <f t="shared" si="42"/>
        <v>#DIV/0!</v>
      </c>
      <c r="K32" s="233"/>
      <c r="L32" s="100" t="e">
        <f t="shared" si="43"/>
        <v>#DIV/0!</v>
      </c>
      <c r="M32" s="226">
        <f t="shared" si="44"/>
        <v>0</v>
      </c>
      <c r="N32" s="100" t="e">
        <f t="shared" si="45"/>
        <v>#DIV/0!</v>
      </c>
      <c r="O32" s="233"/>
      <c r="P32" s="100" t="e">
        <f t="shared" si="46"/>
        <v>#DIV/0!</v>
      </c>
      <c r="Q32" s="233"/>
      <c r="R32" s="100" t="e">
        <f t="shared" si="47"/>
        <v>#DIV/0!</v>
      </c>
      <c r="S32" s="226">
        <f t="shared" si="48"/>
        <v>0</v>
      </c>
      <c r="T32" s="100" t="e">
        <f t="shared" si="49"/>
        <v>#DIV/0!</v>
      </c>
      <c r="U32" s="233"/>
      <c r="V32" s="100" t="e">
        <f t="shared" si="50"/>
        <v>#DIV/0!</v>
      </c>
      <c r="W32" s="233"/>
      <c r="X32" s="100" t="e">
        <f t="shared" si="51"/>
        <v>#DIV/0!</v>
      </c>
      <c r="Y32" s="233"/>
      <c r="Z32" s="100" t="e">
        <f t="shared" si="53"/>
        <v>#DIV/0!</v>
      </c>
      <c r="AA32" s="233"/>
      <c r="AB32" s="100" t="e">
        <f t="shared" si="25"/>
        <v>#DIV/0!</v>
      </c>
      <c r="AC32" s="226">
        <f t="shared" si="54"/>
        <v>0</v>
      </c>
      <c r="AD32" s="100" t="e">
        <f t="shared" si="55"/>
        <v>#DIV/0!</v>
      </c>
      <c r="AE32" s="233"/>
      <c r="AF32" s="100" t="e">
        <f t="shared" si="56"/>
        <v>#DIV/0!</v>
      </c>
      <c r="AG32" s="233"/>
      <c r="AH32" s="100" t="e">
        <f t="shared" si="57"/>
        <v>#DIV/0!</v>
      </c>
      <c r="AI32" s="233"/>
      <c r="AJ32" s="100" t="e">
        <f t="shared" si="58"/>
        <v>#DIV/0!</v>
      </c>
      <c r="AK32" s="233"/>
      <c r="AL32" s="100" t="e">
        <f t="shared" si="52"/>
        <v>#DIV/0!</v>
      </c>
    </row>
    <row r="33" spans="2:38" ht="14.25">
      <c r="B33" s="97"/>
      <c r="C33" s="97"/>
      <c r="D33" s="355">
        <f t="shared" si="20"/>
        <v>46292</v>
      </c>
      <c r="E33" s="355" t="s">
        <v>444</v>
      </c>
      <c r="F33" s="227">
        <f t="shared" si="19"/>
        <v>0</v>
      </c>
      <c r="G33" s="297"/>
      <c r="H33" s="316"/>
      <c r="I33" s="233"/>
      <c r="J33" s="100" t="e">
        <f t="shared" si="42"/>
        <v>#DIV/0!</v>
      </c>
      <c r="K33" s="233"/>
      <c r="L33" s="100" t="e">
        <f t="shared" si="43"/>
        <v>#DIV/0!</v>
      </c>
      <c r="M33" s="226">
        <f t="shared" si="44"/>
        <v>0</v>
      </c>
      <c r="N33" s="100" t="e">
        <f t="shared" si="45"/>
        <v>#DIV/0!</v>
      </c>
      <c r="O33" s="233"/>
      <c r="P33" s="100" t="e">
        <f t="shared" si="46"/>
        <v>#DIV/0!</v>
      </c>
      <c r="Q33" s="233"/>
      <c r="R33" s="100" t="e">
        <f t="shared" si="47"/>
        <v>#DIV/0!</v>
      </c>
      <c r="S33" s="226">
        <f t="shared" si="48"/>
        <v>0</v>
      </c>
      <c r="T33" s="100" t="e">
        <f t="shared" si="49"/>
        <v>#DIV/0!</v>
      </c>
      <c r="U33" s="233"/>
      <c r="V33" s="100" t="e">
        <f t="shared" si="50"/>
        <v>#DIV/0!</v>
      </c>
      <c r="W33" s="233"/>
      <c r="X33" s="100" t="e">
        <f t="shared" si="51"/>
        <v>#DIV/0!</v>
      </c>
      <c r="Y33" s="233"/>
      <c r="Z33" s="100" t="e">
        <f t="shared" si="53"/>
        <v>#DIV/0!</v>
      </c>
      <c r="AA33" s="233"/>
      <c r="AB33" s="100" t="e">
        <f t="shared" si="25"/>
        <v>#DIV/0!</v>
      </c>
      <c r="AC33" s="226">
        <f t="shared" si="54"/>
        <v>0</v>
      </c>
      <c r="AD33" s="100" t="e">
        <f t="shared" si="55"/>
        <v>#DIV/0!</v>
      </c>
      <c r="AE33" s="233"/>
      <c r="AF33" s="100" t="e">
        <f t="shared" si="56"/>
        <v>#DIV/0!</v>
      </c>
      <c r="AG33" s="233"/>
      <c r="AH33" s="100" t="e">
        <f t="shared" si="57"/>
        <v>#DIV/0!</v>
      </c>
      <c r="AI33" s="233"/>
      <c r="AJ33" s="100" t="e">
        <f t="shared" si="58"/>
        <v>#DIV/0!</v>
      </c>
      <c r="AK33" s="233"/>
      <c r="AL33" s="100" t="e">
        <f t="shared" si="52"/>
        <v>#DIV/0!</v>
      </c>
    </row>
    <row r="34" spans="2:38" ht="14.25">
      <c r="B34" s="97"/>
      <c r="C34" s="97"/>
      <c r="D34" s="355">
        <f t="shared" si="20"/>
        <v>46293</v>
      </c>
      <c r="E34" s="355" t="s">
        <v>438</v>
      </c>
      <c r="F34" s="227">
        <f t="shared" si="19"/>
        <v>0</v>
      </c>
      <c r="G34" s="86"/>
      <c r="H34" s="316"/>
      <c r="I34" s="233"/>
      <c r="J34" s="100" t="e">
        <f t="shared" si="42"/>
        <v>#DIV/0!</v>
      </c>
      <c r="K34" s="233"/>
      <c r="L34" s="100" t="e">
        <f t="shared" si="43"/>
        <v>#DIV/0!</v>
      </c>
      <c r="M34" s="226">
        <f t="shared" si="44"/>
        <v>0</v>
      </c>
      <c r="N34" s="100" t="e">
        <f t="shared" si="45"/>
        <v>#DIV/0!</v>
      </c>
      <c r="O34" s="233"/>
      <c r="P34" s="100" t="e">
        <f t="shared" si="46"/>
        <v>#DIV/0!</v>
      </c>
      <c r="Q34" s="233"/>
      <c r="R34" s="100" t="e">
        <f t="shared" si="47"/>
        <v>#DIV/0!</v>
      </c>
      <c r="S34" s="226">
        <f t="shared" si="48"/>
        <v>0</v>
      </c>
      <c r="T34" s="100" t="e">
        <f t="shared" si="49"/>
        <v>#DIV/0!</v>
      </c>
      <c r="U34" s="233"/>
      <c r="V34" s="100" t="e">
        <f t="shared" si="50"/>
        <v>#DIV/0!</v>
      </c>
      <c r="W34" s="233"/>
      <c r="X34" s="100" t="e">
        <f t="shared" si="51"/>
        <v>#DIV/0!</v>
      </c>
      <c r="Y34" s="233"/>
      <c r="Z34" s="100" t="e">
        <f t="shared" si="53"/>
        <v>#DIV/0!</v>
      </c>
      <c r="AA34" s="233"/>
      <c r="AB34" s="100" t="e">
        <f t="shared" si="25"/>
        <v>#DIV/0!</v>
      </c>
      <c r="AC34" s="226">
        <f t="shared" si="54"/>
        <v>0</v>
      </c>
      <c r="AD34" s="100" t="e">
        <f t="shared" si="55"/>
        <v>#DIV/0!</v>
      </c>
      <c r="AE34" s="233"/>
      <c r="AF34" s="100" t="e">
        <f t="shared" si="56"/>
        <v>#DIV/0!</v>
      </c>
      <c r="AG34" s="233"/>
      <c r="AH34" s="100" t="e">
        <f t="shared" si="57"/>
        <v>#DIV/0!</v>
      </c>
      <c r="AI34" s="233"/>
      <c r="AJ34" s="100" t="e">
        <f t="shared" si="58"/>
        <v>#DIV/0!</v>
      </c>
      <c r="AK34" s="233"/>
      <c r="AL34" s="100" t="e">
        <f t="shared" si="52"/>
        <v>#DIV/0!</v>
      </c>
    </row>
    <row r="35" spans="2:38" s="452" customFormat="1" ht="14.25">
      <c r="B35" s="425"/>
      <c r="C35" s="425"/>
      <c r="D35" s="299">
        <f t="shared" si="20"/>
        <v>46294</v>
      </c>
      <c r="E35" s="299" t="s">
        <v>439</v>
      </c>
      <c r="F35" s="453">
        <f t="shared" si="19"/>
        <v>0</v>
      </c>
      <c r="G35" s="427">
        <f>SUM(F35:F41)</f>
        <v>0</v>
      </c>
      <c r="H35" s="428"/>
      <c r="I35" s="456"/>
      <c r="J35" s="338" t="e">
        <f t="shared" si="42"/>
        <v>#DIV/0!</v>
      </c>
      <c r="K35" s="456"/>
      <c r="L35" s="338" t="e">
        <f t="shared" si="43"/>
        <v>#DIV/0!</v>
      </c>
      <c r="M35" s="457">
        <f t="shared" ref="M35:M36" si="59">SUM(I35+K35)</f>
        <v>0</v>
      </c>
      <c r="N35" s="338" t="e">
        <f t="shared" si="45"/>
        <v>#DIV/0!</v>
      </c>
      <c r="O35" s="456"/>
      <c r="P35" s="338" t="e">
        <f t="shared" si="46"/>
        <v>#DIV/0!</v>
      </c>
      <c r="Q35" s="456"/>
      <c r="R35" s="338" t="e">
        <f t="shared" si="47"/>
        <v>#DIV/0!</v>
      </c>
      <c r="S35" s="457">
        <f t="shared" si="48"/>
        <v>0</v>
      </c>
      <c r="T35" s="338" t="e">
        <f t="shared" si="49"/>
        <v>#DIV/0!</v>
      </c>
      <c r="U35" s="456"/>
      <c r="V35" s="338" t="e">
        <f t="shared" si="50"/>
        <v>#DIV/0!</v>
      </c>
      <c r="W35" s="456"/>
      <c r="X35" s="338" t="e">
        <f t="shared" si="51"/>
        <v>#DIV/0!</v>
      </c>
      <c r="Y35" s="456"/>
      <c r="Z35" s="338" t="e">
        <f t="shared" si="53"/>
        <v>#DIV/0!</v>
      </c>
      <c r="AA35" s="456"/>
      <c r="AB35" s="338" t="e">
        <f t="shared" si="25"/>
        <v>#DIV/0!</v>
      </c>
      <c r="AC35" s="457">
        <f t="shared" si="54"/>
        <v>0</v>
      </c>
      <c r="AD35" s="338" t="e">
        <f t="shared" si="55"/>
        <v>#DIV/0!</v>
      </c>
      <c r="AE35" s="456"/>
      <c r="AF35" s="338" t="e">
        <f t="shared" si="56"/>
        <v>#DIV/0!</v>
      </c>
      <c r="AG35" s="456"/>
      <c r="AH35" s="338" t="e">
        <f t="shared" si="57"/>
        <v>#DIV/0!</v>
      </c>
      <c r="AI35" s="456"/>
      <c r="AJ35" s="338" t="e">
        <f t="shared" si="58"/>
        <v>#DIV/0!</v>
      </c>
      <c r="AK35" s="456"/>
      <c r="AL35" s="338" t="e">
        <f t="shared" si="52"/>
        <v>#DIV/0!</v>
      </c>
    </row>
    <row r="36" spans="2:38" s="452" customFormat="1" ht="14.25">
      <c r="B36" s="425"/>
      <c r="C36" s="425"/>
      <c r="D36" s="299">
        <f t="shared" si="20"/>
        <v>46295</v>
      </c>
      <c r="E36" s="299" t="s">
        <v>440</v>
      </c>
      <c r="F36" s="453">
        <f t="shared" si="19"/>
        <v>0</v>
      </c>
      <c r="G36" s="427"/>
      <c r="H36" s="454"/>
      <c r="I36" s="456"/>
      <c r="J36" s="338" t="e">
        <f t="shared" si="42"/>
        <v>#DIV/0!</v>
      </c>
      <c r="K36" s="456"/>
      <c r="L36" s="338" t="e">
        <f t="shared" si="43"/>
        <v>#DIV/0!</v>
      </c>
      <c r="M36" s="457">
        <f t="shared" si="59"/>
        <v>0</v>
      </c>
      <c r="N36" s="338" t="e">
        <f t="shared" si="45"/>
        <v>#DIV/0!</v>
      </c>
      <c r="O36" s="456"/>
      <c r="P36" s="338" t="e">
        <f t="shared" si="46"/>
        <v>#DIV/0!</v>
      </c>
      <c r="Q36" s="456"/>
      <c r="R36" s="338" t="e">
        <f t="shared" si="47"/>
        <v>#DIV/0!</v>
      </c>
      <c r="S36" s="457">
        <f t="shared" si="48"/>
        <v>0</v>
      </c>
      <c r="T36" s="338" t="e">
        <f t="shared" si="49"/>
        <v>#DIV/0!</v>
      </c>
      <c r="U36" s="456"/>
      <c r="V36" s="338" t="e">
        <f t="shared" si="50"/>
        <v>#DIV/0!</v>
      </c>
      <c r="W36" s="456"/>
      <c r="X36" s="338" t="e">
        <f t="shared" si="51"/>
        <v>#DIV/0!</v>
      </c>
      <c r="Y36" s="456"/>
      <c r="Z36" s="338" t="e">
        <f t="shared" si="53"/>
        <v>#DIV/0!</v>
      </c>
      <c r="AA36" s="456"/>
      <c r="AB36" s="338" t="e">
        <f t="shared" si="25"/>
        <v>#DIV/0!</v>
      </c>
      <c r="AC36" s="457">
        <f t="shared" si="54"/>
        <v>0</v>
      </c>
      <c r="AD36" s="338" t="e">
        <f t="shared" si="55"/>
        <v>#DIV/0!</v>
      </c>
      <c r="AE36" s="456"/>
      <c r="AF36" s="338" t="e">
        <f t="shared" si="56"/>
        <v>#DIV/0!</v>
      </c>
      <c r="AG36" s="456"/>
      <c r="AH36" s="338" t="e">
        <f t="shared" si="57"/>
        <v>#DIV/0!</v>
      </c>
      <c r="AI36" s="456"/>
      <c r="AJ36" s="338" t="e">
        <f t="shared" si="58"/>
        <v>#DIV/0!</v>
      </c>
      <c r="AK36" s="456"/>
      <c r="AL36" s="338" t="e">
        <f t="shared" si="52"/>
        <v>#DIV/0!</v>
      </c>
    </row>
    <row r="37" spans="2:38" s="452" customFormat="1" ht="14.25">
      <c r="B37" s="425"/>
      <c r="C37" s="425"/>
      <c r="D37" s="299">
        <f>D36+1</f>
        <v>46296</v>
      </c>
      <c r="E37" s="299" t="s">
        <v>441</v>
      </c>
      <c r="F37" s="453">
        <f t="shared" si="19"/>
        <v>0</v>
      </c>
      <c r="G37" s="427"/>
      <c r="H37" s="454"/>
      <c r="I37" s="233"/>
      <c r="J37" s="100" t="e">
        <f t="shared" si="42"/>
        <v>#DIV/0!</v>
      </c>
      <c r="K37" s="233"/>
      <c r="L37" s="100" t="e">
        <f t="shared" si="43"/>
        <v>#DIV/0!</v>
      </c>
      <c r="M37" s="226">
        <f t="shared" ref="M37:M38" si="60">SUM(I37+K37)</f>
        <v>0</v>
      </c>
      <c r="N37" s="100" t="e">
        <f t="shared" si="45"/>
        <v>#DIV/0!</v>
      </c>
      <c r="O37" s="233"/>
      <c r="P37" s="100" t="e">
        <f t="shared" si="46"/>
        <v>#DIV/0!</v>
      </c>
      <c r="Q37" s="233"/>
      <c r="R37" s="100" t="e">
        <f t="shared" si="47"/>
        <v>#DIV/0!</v>
      </c>
      <c r="S37" s="226">
        <f t="shared" si="48"/>
        <v>0</v>
      </c>
      <c r="T37" s="100" t="e">
        <f t="shared" si="49"/>
        <v>#DIV/0!</v>
      </c>
      <c r="U37" s="233"/>
      <c r="V37" s="100" t="e">
        <f t="shared" si="50"/>
        <v>#DIV/0!</v>
      </c>
      <c r="W37" s="233"/>
      <c r="X37" s="100" t="e">
        <f t="shared" si="51"/>
        <v>#DIV/0!</v>
      </c>
      <c r="Y37" s="233"/>
      <c r="Z37" s="100" t="e">
        <f t="shared" si="53"/>
        <v>#DIV/0!</v>
      </c>
      <c r="AA37" s="233"/>
      <c r="AB37" s="100" t="e">
        <f t="shared" si="25"/>
        <v>#DIV/0!</v>
      </c>
      <c r="AC37" s="226">
        <f t="shared" si="54"/>
        <v>0</v>
      </c>
      <c r="AD37" s="100" t="e">
        <f t="shared" si="55"/>
        <v>#DIV/0!</v>
      </c>
      <c r="AE37" s="233"/>
      <c r="AF37" s="100" t="e">
        <f t="shared" si="56"/>
        <v>#DIV/0!</v>
      </c>
      <c r="AG37" s="233"/>
      <c r="AH37" s="100" t="e">
        <f t="shared" si="57"/>
        <v>#DIV/0!</v>
      </c>
      <c r="AI37" s="233"/>
      <c r="AJ37" s="100" t="e">
        <f t="shared" si="58"/>
        <v>#DIV/0!</v>
      </c>
      <c r="AK37" s="233"/>
      <c r="AL37" s="100" t="e">
        <f t="shared" si="52"/>
        <v>#DIV/0!</v>
      </c>
    </row>
    <row r="38" spans="2:38" s="452" customFormat="1" ht="14.25">
      <c r="B38" s="425"/>
      <c r="C38" s="425"/>
      <c r="D38" s="299">
        <f t="shared" ref="D38:D41" si="61">D37+1</f>
        <v>46297</v>
      </c>
      <c r="E38" s="299" t="s">
        <v>442</v>
      </c>
      <c r="F38" s="453">
        <f t="shared" si="19"/>
        <v>0</v>
      </c>
      <c r="G38" s="427"/>
      <c r="H38" s="454"/>
      <c r="I38" s="233"/>
      <c r="J38" s="100" t="e">
        <f t="shared" si="42"/>
        <v>#DIV/0!</v>
      </c>
      <c r="K38" s="233"/>
      <c r="L38" s="100" t="e">
        <f t="shared" si="43"/>
        <v>#DIV/0!</v>
      </c>
      <c r="M38" s="226">
        <f t="shared" si="60"/>
        <v>0</v>
      </c>
      <c r="N38" s="100" t="e">
        <f t="shared" si="45"/>
        <v>#DIV/0!</v>
      </c>
      <c r="O38" s="233"/>
      <c r="P38" s="100" t="e">
        <f t="shared" si="46"/>
        <v>#DIV/0!</v>
      </c>
      <c r="Q38" s="233"/>
      <c r="R38" s="100" t="e">
        <f t="shared" si="47"/>
        <v>#DIV/0!</v>
      </c>
      <c r="S38" s="226">
        <f t="shared" si="48"/>
        <v>0</v>
      </c>
      <c r="T38" s="100" t="e">
        <f t="shared" si="49"/>
        <v>#DIV/0!</v>
      </c>
      <c r="U38" s="233"/>
      <c r="V38" s="100" t="e">
        <f t="shared" si="50"/>
        <v>#DIV/0!</v>
      </c>
      <c r="W38" s="233"/>
      <c r="X38" s="100" t="e">
        <f t="shared" si="51"/>
        <v>#DIV/0!</v>
      </c>
      <c r="Y38" s="233"/>
      <c r="Z38" s="100" t="e">
        <f t="shared" si="53"/>
        <v>#DIV/0!</v>
      </c>
      <c r="AA38" s="233"/>
      <c r="AB38" s="100" t="e">
        <f t="shared" si="25"/>
        <v>#DIV/0!</v>
      </c>
      <c r="AC38" s="226">
        <f t="shared" si="54"/>
        <v>0</v>
      </c>
      <c r="AD38" s="100" t="e">
        <f t="shared" si="55"/>
        <v>#DIV/0!</v>
      </c>
      <c r="AE38" s="233"/>
      <c r="AF38" s="100" t="e">
        <f t="shared" si="56"/>
        <v>#DIV/0!</v>
      </c>
      <c r="AG38" s="233"/>
      <c r="AH38" s="100" t="e">
        <f t="shared" si="57"/>
        <v>#DIV/0!</v>
      </c>
      <c r="AI38" s="233"/>
      <c r="AJ38" s="100" t="e">
        <f t="shared" si="58"/>
        <v>#DIV/0!</v>
      </c>
      <c r="AK38" s="233"/>
      <c r="AL38" s="100" t="e">
        <f t="shared" si="52"/>
        <v>#DIV/0!</v>
      </c>
    </row>
    <row r="39" spans="2:38" s="452" customFormat="1" ht="14.25">
      <c r="B39" s="425"/>
      <c r="C39" s="431"/>
      <c r="D39" s="299">
        <f t="shared" si="61"/>
        <v>46298</v>
      </c>
      <c r="E39" s="299" t="s">
        <v>443</v>
      </c>
      <c r="F39" s="453">
        <f t="shared" si="19"/>
        <v>0</v>
      </c>
      <c r="G39" s="427"/>
      <c r="H39" s="455"/>
      <c r="I39" s="456"/>
      <c r="J39" s="338" t="e">
        <f t="shared" si="42"/>
        <v>#DIV/0!</v>
      </c>
      <c r="K39" s="456"/>
      <c r="L39" s="338" t="e">
        <f t="shared" si="43"/>
        <v>#DIV/0!</v>
      </c>
      <c r="M39" s="457">
        <f t="shared" si="44"/>
        <v>0</v>
      </c>
      <c r="N39" s="338" t="e">
        <f t="shared" si="45"/>
        <v>#DIV/0!</v>
      </c>
      <c r="O39" s="456"/>
      <c r="P39" s="338" t="e">
        <f t="shared" si="46"/>
        <v>#DIV/0!</v>
      </c>
      <c r="Q39" s="456"/>
      <c r="R39" s="338" t="e">
        <f t="shared" si="47"/>
        <v>#DIV/0!</v>
      </c>
      <c r="S39" s="457">
        <f t="shared" si="48"/>
        <v>0</v>
      </c>
      <c r="T39" s="338" t="e">
        <f t="shared" si="49"/>
        <v>#DIV/0!</v>
      </c>
      <c r="U39" s="456"/>
      <c r="V39" s="338" t="e">
        <f t="shared" si="50"/>
        <v>#DIV/0!</v>
      </c>
      <c r="W39" s="456"/>
      <c r="X39" s="338" t="e">
        <f t="shared" si="51"/>
        <v>#DIV/0!</v>
      </c>
      <c r="Y39" s="456"/>
      <c r="Z39" s="338" t="e">
        <f t="shared" si="53"/>
        <v>#DIV/0!</v>
      </c>
      <c r="AA39" s="456"/>
      <c r="AB39" s="338" t="e">
        <f t="shared" si="25"/>
        <v>#DIV/0!</v>
      </c>
      <c r="AC39" s="457">
        <f t="shared" si="54"/>
        <v>0</v>
      </c>
      <c r="AD39" s="338" t="e">
        <f t="shared" si="55"/>
        <v>#DIV/0!</v>
      </c>
      <c r="AE39" s="456"/>
      <c r="AF39" s="338" t="e">
        <f t="shared" si="56"/>
        <v>#DIV/0!</v>
      </c>
      <c r="AG39" s="456"/>
      <c r="AH39" s="338" t="e">
        <f t="shared" si="57"/>
        <v>#DIV/0!</v>
      </c>
      <c r="AI39" s="456"/>
      <c r="AJ39" s="338" t="e">
        <f t="shared" si="58"/>
        <v>#DIV/0!</v>
      </c>
      <c r="AK39" s="456"/>
      <c r="AL39" s="338" t="e">
        <f t="shared" si="52"/>
        <v>#DIV/0!</v>
      </c>
    </row>
    <row r="40" spans="2:38" s="452" customFormat="1" ht="14.25">
      <c r="B40" s="425"/>
      <c r="C40" s="431"/>
      <c r="D40" s="299">
        <f t="shared" si="61"/>
        <v>46299</v>
      </c>
      <c r="E40" s="299" t="s">
        <v>444</v>
      </c>
      <c r="F40" s="453">
        <f t="shared" si="19"/>
        <v>0</v>
      </c>
      <c r="G40" s="427"/>
      <c r="H40" s="455"/>
      <c r="I40" s="456"/>
      <c r="J40" s="338" t="e">
        <f t="shared" si="42"/>
        <v>#DIV/0!</v>
      </c>
      <c r="K40" s="456"/>
      <c r="L40" s="338" t="e">
        <f t="shared" si="43"/>
        <v>#DIV/0!</v>
      </c>
      <c r="M40" s="457">
        <f t="shared" si="44"/>
        <v>0</v>
      </c>
      <c r="N40" s="338" t="e">
        <f t="shared" si="45"/>
        <v>#DIV/0!</v>
      </c>
      <c r="O40" s="456"/>
      <c r="P40" s="338" t="e">
        <f t="shared" si="46"/>
        <v>#DIV/0!</v>
      </c>
      <c r="Q40" s="456"/>
      <c r="R40" s="338" t="e">
        <f t="shared" si="47"/>
        <v>#DIV/0!</v>
      </c>
      <c r="S40" s="457">
        <f t="shared" si="48"/>
        <v>0</v>
      </c>
      <c r="T40" s="338" t="e">
        <f t="shared" si="49"/>
        <v>#DIV/0!</v>
      </c>
      <c r="U40" s="456"/>
      <c r="V40" s="338" t="e">
        <f t="shared" si="50"/>
        <v>#DIV/0!</v>
      </c>
      <c r="W40" s="456"/>
      <c r="X40" s="338" t="e">
        <f t="shared" si="51"/>
        <v>#DIV/0!</v>
      </c>
      <c r="Y40" s="456"/>
      <c r="Z40" s="338" t="e">
        <f t="shared" si="53"/>
        <v>#DIV/0!</v>
      </c>
      <c r="AA40" s="456"/>
      <c r="AB40" s="338" t="e">
        <f t="shared" si="25"/>
        <v>#DIV/0!</v>
      </c>
      <c r="AC40" s="457">
        <f t="shared" si="54"/>
        <v>0</v>
      </c>
      <c r="AD40" s="338" t="e">
        <f t="shared" si="55"/>
        <v>#DIV/0!</v>
      </c>
      <c r="AE40" s="456"/>
      <c r="AF40" s="338" t="e">
        <f t="shared" si="56"/>
        <v>#DIV/0!</v>
      </c>
      <c r="AG40" s="456"/>
      <c r="AH40" s="338" t="e">
        <f t="shared" si="57"/>
        <v>#DIV/0!</v>
      </c>
      <c r="AI40" s="456"/>
      <c r="AJ40" s="338" t="e">
        <f t="shared" si="58"/>
        <v>#DIV/0!</v>
      </c>
      <c r="AK40" s="456"/>
      <c r="AL40" s="338" t="e">
        <f t="shared" si="52"/>
        <v>#DIV/0!</v>
      </c>
    </row>
    <row r="41" spans="2:38" s="452" customFormat="1" ht="14.25">
      <c r="B41" s="425"/>
      <c r="C41" s="431"/>
      <c r="D41" s="299">
        <f t="shared" si="61"/>
        <v>46300</v>
      </c>
      <c r="E41" s="299" t="s">
        <v>438</v>
      </c>
      <c r="F41" s="453">
        <f t="shared" si="19"/>
        <v>0</v>
      </c>
      <c r="G41" s="427"/>
      <c r="H41" s="455"/>
      <c r="I41" s="456"/>
      <c r="J41" s="338" t="e">
        <f t="shared" si="42"/>
        <v>#DIV/0!</v>
      </c>
      <c r="K41" s="456"/>
      <c r="L41" s="338" t="e">
        <f t="shared" si="43"/>
        <v>#DIV/0!</v>
      </c>
      <c r="M41" s="457">
        <f t="shared" si="44"/>
        <v>0</v>
      </c>
      <c r="N41" s="338" t="e">
        <f t="shared" si="45"/>
        <v>#DIV/0!</v>
      </c>
      <c r="O41" s="456"/>
      <c r="P41" s="338" t="e">
        <f t="shared" si="46"/>
        <v>#DIV/0!</v>
      </c>
      <c r="Q41" s="456"/>
      <c r="R41" s="338" t="e">
        <f t="shared" si="47"/>
        <v>#DIV/0!</v>
      </c>
      <c r="S41" s="457">
        <f t="shared" si="48"/>
        <v>0</v>
      </c>
      <c r="T41" s="338" t="e">
        <f t="shared" si="49"/>
        <v>#DIV/0!</v>
      </c>
      <c r="U41" s="456"/>
      <c r="V41" s="338" t="e">
        <f t="shared" si="50"/>
        <v>#DIV/0!</v>
      </c>
      <c r="W41" s="456"/>
      <c r="X41" s="338" t="e">
        <f t="shared" si="51"/>
        <v>#DIV/0!</v>
      </c>
      <c r="Y41" s="456"/>
      <c r="Z41" s="338" t="e">
        <f t="shared" ref="Z41" si="62">Y41/F41</f>
        <v>#DIV/0!</v>
      </c>
      <c r="AA41" s="456"/>
      <c r="AB41" s="338" t="e">
        <f t="shared" ref="AB41:AB49" si="63">AA41/$F41</f>
        <v>#DIV/0!</v>
      </c>
      <c r="AC41" s="457">
        <f t="shared" ref="AC41" si="64">SUM(Y41+AA41)</f>
        <v>0</v>
      </c>
      <c r="AD41" s="338" t="e">
        <f t="shared" ref="AD41" si="65">AC41/F41</f>
        <v>#DIV/0!</v>
      </c>
      <c r="AE41" s="456"/>
      <c r="AF41" s="338" t="e">
        <f t="shared" ref="AF41" si="66">AE41/F41</f>
        <v>#DIV/0!</v>
      </c>
      <c r="AG41" s="456"/>
      <c r="AH41" s="338" t="e">
        <f t="shared" ref="AH41" si="67">AG41/F41</f>
        <v>#DIV/0!</v>
      </c>
      <c r="AI41" s="456"/>
      <c r="AJ41" s="338" t="e">
        <f t="shared" ref="AJ41" si="68">AI41/F41</f>
        <v>#DIV/0!</v>
      </c>
      <c r="AK41" s="456"/>
      <c r="AL41" s="338" t="e">
        <f t="shared" si="52"/>
        <v>#DIV/0!</v>
      </c>
    </row>
    <row r="42" spans="2:38" ht="14.25">
      <c r="B42" s="97"/>
      <c r="C42" s="83"/>
      <c r="D42" s="355"/>
      <c r="E42" s="355"/>
      <c r="F42" s="227">
        <f t="shared" si="19"/>
        <v>0</v>
      </c>
      <c r="G42" s="297"/>
      <c r="H42" s="96"/>
      <c r="I42" s="233"/>
      <c r="J42" s="100" t="e">
        <f>I42/F42</f>
        <v>#DIV/0!</v>
      </c>
      <c r="K42" s="233"/>
      <c r="L42" s="100" t="e">
        <f>K42/F42</f>
        <v>#DIV/0!</v>
      </c>
      <c r="M42" s="226">
        <f>SUM(I42+K42)</f>
        <v>0</v>
      </c>
      <c r="N42" s="100" t="e">
        <f>M42/F42</f>
        <v>#DIV/0!</v>
      </c>
      <c r="O42" s="233"/>
      <c r="P42" s="100" t="e">
        <f>O42/F42</f>
        <v>#DIV/0!</v>
      </c>
      <c r="Q42" s="233"/>
      <c r="R42" s="100" t="e">
        <f t="shared" si="47"/>
        <v>#DIV/0!</v>
      </c>
      <c r="S42" s="226">
        <f t="shared" si="48"/>
        <v>0</v>
      </c>
      <c r="T42" s="100" t="e">
        <f>S42/F42</f>
        <v>#DIV/0!</v>
      </c>
      <c r="U42" s="233"/>
      <c r="V42" s="100" t="e">
        <f>U42/F42</f>
        <v>#DIV/0!</v>
      </c>
      <c r="W42" s="233"/>
      <c r="X42" s="100" t="e">
        <f>W42/F42</f>
        <v>#DIV/0!</v>
      </c>
      <c r="Y42" s="233"/>
      <c r="Z42" s="100" t="e">
        <f>Y42/F42</f>
        <v>#DIV/0!</v>
      </c>
      <c r="AA42" s="233"/>
      <c r="AB42" s="100" t="e">
        <f t="shared" si="63"/>
        <v>#DIV/0!</v>
      </c>
      <c r="AC42" s="226">
        <f>SUM(Y42+AA42)</f>
        <v>0</v>
      </c>
      <c r="AD42" s="100" t="e">
        <f>AC42/F42</f>
        <v>#DIV/0!</v>
      </c>
      <c r="AE42" s="233"/>
      <c r="AF42" s="100" t="e">
        <f>AE42/F42</f>
        <v>#DIV/0!</v>
      </c>
      <c r="AG42" s="233"/>
      <c r="AH42" s="100" t="e">
        <f>AG42/F42</f>
        <v>#DIV/0!</v>
      </c>
      <c r="AI42" s="233"/>
      <c r="AJ42" s="100" t="e">
        <f>AI42/F42</f>
        <v>#DIV/0!</v>
      </c>
      <c r="AK42" s="233"/>
      <c r="AL42" s="100" t="e">
        <f>AK42/F42</f>
        <v>#DIV/0!</v>
      </c>
    </row>
    <row r="43" spans="2:38" ht="14.25">
      <c r="B43" s="97"/>
      <c r="C43" s="83"/>
      <c r="D43" s="355"/>
      <c r="E43" s="355"/>
      <c r="F43" s="227">
        <f t="shared" si="19"/>
        <v>0</v>
      </c>
      <c r="G43" s="297"/>
      <c r="H43" s="96"/>
      <c r="I43" s="233"/>
      <c r="J43" s="100" t="e">
        <f>I43/F43</f>
        <v>#DIV/0!</v>
      </c>
      <c r="K43" s="233"/>
      <c r="L43" s="100" t="e">
        <f>K43/F43</f>
        <v>#DIV/0!</v>
      </c>
      <c r="M43" s="226">
        <f>SUM(I43+K43)</f>
        <v>0</v>
      </c>
      <c r="N43" s="100" t="e">
        <f>M43/F43</f>
        <v>#DIV/0!</v>
      </c>
      <c r="O43" s="233"/>
      <c r="P43" s="100" t="e">
        <f>O43/F43</f>
        <v>#DIV/0!</v>
      </c>
      <c r="Q43" s="233"/>
      <c r="R43" s="100" t="e">
        <f t="shared" si="47"/>
        <v>#DIV/0!</v>
      </c>
      <c r="S43" s="226">
        <f t="shared" si="48"/>
        <v>0</v>
      </c>
      <c r="T43" s="100" t="e">
        <f>S43/F43</f>
        <v>#DIV/0!</v>
      </c>
      <c r="U43" s="233"/>
      <c r="V43" s="100" t="e">
        <f>U43/F43</f>
        <v>#DIV/0!</v>
      </c>
      <c r="W43" s="233"/>
      <c r="X43" s="100" t="e">
        <f>W43/F43</f>
        <v>#DIV/0!</v>
      </c>
      <c r="Y43" s="233"/>
      <c r="Z43" s="100" t="e">
        <f>Y43/F43</f>
        <v>#DIV/0!</v>
      </c>
      <c r="AA43" s="233"/>
      <c r="AB43" s="100" t="e">
        <f t="shared" si="63"/>
        <v>#DIV/0!</v>
      </c>
      <c r="AC43" s="226">
        <f>SUM(Y43+AA43)</f>
        <v>0</v>
      </c>
      <c r="AD43" s="100" t="e">
        <f>AC43/F43</f>
        <v>#DIV/0!</v>
      </c>
      <c r="AE43" s="233"/>
      <c r="AF43" s="100" t="e">
        <f>AE43/F43</f>
        <v>#DIV/0!</v>
      </c>
      <c r="AG43" s="233"/>
      <c r="AH43" s="100" t="e">
        <f>AG43/F43</f>
        <v>#DIV/0!</v>
      </c>
      <c r="AI43" s="233"/>
      <c r="AJ43" s="100" t="e">
        <f>AI43/F43</f>
        <v>#DIV/0!</v>
      </c>
      <c r="AK43" s="233"/>
      <c r="AL43" s="100" t="e">
        <f>AK43/F43</f>
        <v>#DIV/0!</v>
      </c>
    </row>
    <row r="44" spans="2:38" ht="14.25">
      <c r="B44" s="97"/>
      <c r="C44" s="83"/>
      <c r="D44" s="355"/>
      <c r="E44" s="355"/>
      <c r="F44" s="227">
        <f t="shared" si="19"/>
        <v>0</v>
      </c>
      <c r="G44" s="227"/>
      <c r="H44" s="96"/>
      <c r="I44" s="233"/>
      <c r="J44" s="100" t="e">
        <f>I44/F44</f>
        <v>#DIV/0!</v>
      </c>
      <c r="K44" s="233"/>
      <c r="L44" s="100" t="e">
        <f>K44/F44</f>
        <v>#DIV/0!</v>
      </c>
      <c r="M44" s="226">
        <f>SUM(I44+K44)</f>
        <v>0</v>
      </c>
      <c r="N44" s="100" t="e">
        <f>M44/F44</f>
        <v>#DIV/0!</v>
      </c>
      <c r="O44" s="233"/>
      <c r="P44" s="100" t="e">
        <f>O44/F44</f>
        <v>#DIV/0!</v>
      </c>
      <c r="Q44" s="233"/>
      <c r="R44" s="100" t="e">
        <f t="shared" si="47"/>
        <v>#DIV/0!</v>
      </c>
      <c r="S44" s="226">
        <f t="shared" si="48"/>
        <v>0</v>
      </c>
      <c r="T44" s="100" t="e">
        <f>S44/F44</f>
        <v>#DIV/0!</v>
      </c>
      <c r="U44" s="233"/>
      <c r="V44" s="100" t="e">
        <f>U44/F44</f>
        <v>#DIV/0!</v>
      </c>
      <c r="W44" s="233"/>
      <c r="X44" s="100" t="e">
        <f>W44/F44</f>
        <v>#DIV/0!</v>
      </c>
      <c r="Y44" s="233"/>
      <c r="Z44" s="100" t="e">
        <f>Y44/F44</f>
        <v>#DIV/0!</v>
      </c>
      <c r="AA44" s="233"/>
      <c r="AB44" s="100" t="e">
        <f t="shared" si="63"/>
        <v>#DIV/0!</v>
      </c>
      <c r="AC44" s="226">
        <f>SUM(Y44+AA44)</f>
        <v>0</v>
      </c>
      <c r="AD44" s="100" t="e">
        <f>AC44/F44</f>
        <v>#DIV/0!</v>
      </c>
      <c r="AE44" s="233"/>
      <c r="AF44" s="100" t="e">
        <f>AE44/F44</f>
        <v>#DIV/0!</v>
      </c>
      <c r="AG44" s="233"/>
      <c r="AH44" s="100" t="e">
        <f>AG44/F44</f>
        <v>#DIV/0!</v>
      </c>
      <c r="AI44" s="233"/>
      <c r="AJ44" s="100" t="e">
        <f>AI44/F44</f>
        <v>#DIV/0!</v>
      </c>
      <c r="AK44" s="233"/>
      <c r="AL44" s="100" t="e">
        <f>AK44/F44</f>
        <v>#DIV/0!</v>
      </c>
    </row>
    <row r="45" spans="2:38" ht="14.25">
      <c r="B45" s="97"/>
      <c r="C45" s="83"/>
      <c r="D45" s="355"/>
      <c r="E45" s="355"/>
      <c r="F45" s="227">
        <f t="shared" ref="F45:F48" si="69">SUM(M45,S45,U45,W45,AC45,AE45,AG45,AI45,AK45)</f>
        <v>0</v>
      </c>
      <c r="G45" s="227"/>
      <c r="H45" s="96"/>
      <c r="I45" s="233"/>
      <c r="J45" s="100" t="e">
        <f t="shared" ref="J45:J48" si="70">I45/F45</f>
        <v>#DIV/0!</v>
      </c>
      <c r="K45" s="233"/>
      <c r="L45" s="100" t="e">
        <f t="shared" ref="L45:L48" si="71">K45/F45</f>
        <v>#DIV/0!</v>
      </c>
      <c r="M45" s="226">
        <f t="shared" ref="M45:M48" si="72">SUM(I45+K45)</f>
        <v>0</v>
      </c>
      <c r="N45" s="100" t="e">
        <f t="shared" ref="N45:N48" si="73">M45/F45</f>
        <v>#DIV/0!</v>
      </c>
      <c r="O45" s="233"/>
      <c r="P45" s="100" t="e">
        <f t="shared" ref="P45:P48" si="74">O45/F45</f>
        <v>#DIV/0!</v>
      </c>
      <c r="Q45" s="233"/>
      <c r="R45" s="100" t="e">
        <f t="shared" ref="R45:R48" si="75">Q45/$F45</f>
        <v>#DIV/0!</v>
      </c>
      <c r="S45" s="226">
        <f t="shared" ref="S45:S48" si="76">SUM(O45+Q45)</f>
        <v>0</v>
      </c>
      <c r="T45" s="100" t="e">
        <f t="shared" ref="T45:T48" si="77">S45/F45</f>
        <v>#DIV/0!</v>
      </c>
      <c r="U45" s="233"/>
      <c r="V45" s="100" t="e">
        <f t="shared" ref="V45:V48" si="78">U45/F45</f>
        <v>#DIV/0!</v>
      </c>
      <c r="W45" s="233"/>
      <c r="X45" s="100" t="e">
        <f t="shared" ref="X45:X48" si="79">W45/F45</f>
        <v>#DIV/0!</v>
      </c>
      <c r="Y45" s="233"/>
      <c r="Z45" s="100" t="e">
        <f t="shared" ref="Z45:Z48" si="80">Y45/F45</f>
        <v>#DIV/0!</v>
      </c>
      <c r="AA45" s="233"/>
      <c r="AB45" s="100" t="e">
        <f t="shared" ref="AB45:AB48" si="81">AA45/$F45</f>
        <v>#DIV/0!</v>
      </c>
      <c r="AC45" s="226">
        <f t="shared" ref="AC45:AC48" si="82">SUM(Y45+AA45)</f>
        <v>0</v>
      </c>
      <c r="AD45" s="100" t="e">
        <f t="shared" ref="AD45:AD48" si="83">AC45/F45</f>
        <v>#DIV/0!</v>
      </c>
      <c r="AE45" s="233"/>
      <c r="AF45" s="100" t="e">
        <f t="shared" ref="AF45:AF48" si="84">AE45/F45</f>
        <v>#DIV/0!</v>
      </c>
      <c r="AG45" s="233"/>
      <c r="AH45" s="100" t="e">
        <f t="shared" ref="AH45:AH48" si="85">AG45/F45</f>
        <v>#DIV/0!</v>
      </c>
      <c r="AI45" s="233"/>
      <c r="AJ45" s="100" t="e">
        <f t="shared" ref="AJ45:AJ48" si="86">AI45/F45</f>
        <v>#DIV/0!</v>
      </c>
      <c r="AK45" s="233"/>
      <c r="AL45" s="100" t="e">
        <f t="shared" ref="AL45:AL48" si="87">AK45/F45</f>
        <v>#DIV/0!</v>
      </c>
    </row>
    <row r="46" spans="2:38" ht="14.25">
      <c r="B46" s="97"/>
      <c r="C46" s="83"/>
      <c r="D46" s="355"/>
      <c r="E46" s="355"/>
      <c r="F46" s="227">
        <f t="shared" si="69"/>
        <v>0</v>
      </c>
      <c r="G46" s="227"/>
      <c r="H46" s="96"/>
      <c r="I46" s="233"/>
      <c r="J46" s="100" t="e">
        <f t="shared" si="70"/>
        <v>#DIV/0!</v>
      </c>
      <c r="K46" s="233"/>
      <c r="L46" s="100" t="e">
        <f t="shared" si="71"/>
        <v>#DIV/0!</v>
      </c>
      <c r="M46" s="226">
        <f t="shared" si="72"/>
        <v>0</v>
      </c>
      <c r="N46" s="100" t="e">
        <f t="shared" si="73"/>
        <v>#DIV/0!</v>
      </c>
      <c r="O46" s="233"/>
      <c r="P46" s="100" t="e">
        <f t="shared" si="74"/>
        <v>#DIV/0!</v>
      </c>
      <c r="Q46" s="233"/>
      <c r="R46" s="100" t="e">
        <f t="shared" si="75"/>
        <v>#DIV/0!</v>
      </c>
      <c r="S46" s="226">
        <f t="shared" si="76"/>
        <v>0</v>
      </c>
      <c r="T46" s="100" t="e">
        <f t="shared" si="77"/>
        <v>#DIV/0!</v>
      </c>
      <c r="U46" s="233"/>
      <c r="V46" s="100" t="e">
        <f t="shared" si="78"/>
        <v>#DIV/0!</v>
      </c>
      <c r="W46" s="233"/>
      <c r="X46" s="100" t="e">
        <f t="shared" si="79"/>
        <v>#DIV/0!</v>
      </c>
      <c r="Y46" s="233"/>
      <c r="Z46" s="100" t="e">
        <f t="shared" si="80"/>
        <v>#DIV/0!</v>
      </c>
      <c r="AA46" s="233"/>
      <c r="AB46" s="100" t="e">
        <f t="shared" si="81"/>
        <v>#DIV/0!</v>
      </c>
      <c r="AC46" s="226">
        <f t="shared" si="82"/>
        <v>0</v>
      </c>
      <c r="AD46" s="100" t="e">
        <f t="shared" si="83"/>
        <v>#DIV/0!</v>
      </c>
      <c r="AE46" s="233"/>
      <c r="AF46" s="100" t="e">
        <f t="shared" si="84"/>
        <v>#DIV/0!</v>
      </c>
      <c r="AG46" s="233"/>
      <c r="AH46" s="100" t="e">
        <f t="shared" si="85"/>
        <v>#DIV/0!</v>
      </c>
      <c r="AI46" s="233"/>
      <c r="AJ46" s="100" t="e">
        <f t="shared" si="86"/>
        <v>#DIV/0!</v>
      </c>
      <c r="AK46" s="233"/>
      <c r="AL46" s="100" t="e">
        <f t="shared" si="87"/>
        <v>#DIV/0!</v>
      </c>
    </row>
    <row r="47" spans="2:38" ht="14.25">
      <c r="B47" s="97"/>
      <c r="C47" s="83"/>
      <c r="D47" s="355"/>
      <c r="E47" s="355"/>
      <c r="F47" s="227">
        <f t="shared" si="69"/>
        <v>0</v>
      </c>
      <c r="G47" s="227"/>
      <c r="H47" s="96"/>
      <c r="I47" s="233"/>
      <c r="J47" s="100" t="e">
        <f t="shared" si="70"/>
        <v>#DIV/0!</v>
      </c>
      <c r="K47" s="233"/>
      <c r="L47" s="100" t="e">
        <f t="shared" si="71"/>
        <v>#DIV/0!</v>
      </c>
      <c r="M47" s="226">
        <f t="shared" si="72"/>
        <v>0</v>
      </c>
      <c r="N47" s="100" t="e">
        <f t="shared" si="73"/>
        <v>#DIV/0!</v>
      </c>
      <c r="O47" s="233"/>
      <c r="P47" s="100" t="e">
        <f t="shared" si="74"/>
        <v>#DIV/0!</v>
      </c>
      <c r="Q47" s="233"/>
      <c r="R47" s="100" t="e">
        <f t="shared" si="75"/>
        <v>#DIV/0!</v>
      </c>
      <c r="S47" s="226">
        <f t="shared" si="76"/>
        <v>0</v>
      </c>
      <c r="T47" s="100" t="e">
        <f t="shared" si="77"/>
        <v>#DIV/0!</v>
      </c>
      <c r="U47" s="233"/>
      <c r="V47" s="100" t="e">
        <f t="shared" si="78"/>
        <v>#DIV/0!</v>
      </c>
      <c r="W47" s="233"/>
      <c r="X47" s="100" t="e">
        <f t="shared" si="79"/>
        <v>#DIV/0!</v>
      </c>
      <c r="Y47" s="233"/>
      <c r="Z47" s="100" t="e">
        <f t="shared" si="80"/>
        <v>#DIV/0!</v>
      </c>
      <c r="AA47" s="233"/>
      <c r="AB47" s="100" t="e">
        <f t="shared" si="81"/>
        <v>#DIV/0!</v>
      </c>
      <c r="AC47" s="226">
        <f t="shared" si="82"/>
        <v>0</v>
      </c>
      <c r="AD47" s="100" t="e">
        <f t="shared" si="83"/>
        <v>#DIV/0!</v>
      </c>
      <c r="AE47" s="233"/>
      <c r="AF47" s="100" t="e">
        <f t="shared" si="84"/>
        <v>#DIV/0!</v>
      </c>
      <c r="AG47" s="233"/>
      <c r="AH47" s="100" t="e">
        <f t="shared" si="85"/>
        <v>#DIV/0!</v>
      </c>
      <c r="AI47" s="233"/>
      <c r="AJ47" s="100" t="e">
        <f t="shared" si="86"/>
        <v>#DIV/0!</v>
      </c>
      <c r="AK47" s="233"/>
      <c r="AL47" s="100" t="e">
        <f t="shared" si="87"/>
        <v>#DIV/0!</v>
      </c>
    </row>
    <row r="48" spans="2:38" ht="14.25">
      <c r="B48" s="97"/>
      <c r="C48" s="83"/>
      <c r="D48" s="355"/>
      <c r="E48" s="355"/>
      <c r="F48" s="227">
        <f t="shared" si="69"/>
        <v>0</v>
      </c>
      <c r="G48" s="227"/>
      <c r="H48" s="96"/>
      <c r="I48" s="233"/>
      <c r="J48" s="100" t="e">
        <f t="shared" si="70"/>
        <v>#DIV/0!</v>
      </c>
      <c r="K48" s="233"/>
      <c r="L48" s="100" t="e">
        <f t="shared" si="71"/>
        <v>#DIV/0!</v>
      </c>
      <c r="M48" s="226">
        <f t="shared" si="72"/>
        <v>0</v>
      </c>
      <c r="N48" s="100" t="e">
        <f t="shared" si="73"/>
        <v>#DIV/0!</v>
      </c>
      <c r="O48" s="233"/>
      <c r="P48" s="100" t="e">
        <f t="shared" si="74"/>
        <v>#DIV/0!</v>
      </c>
      <c r="Q48" s="233"/>
      <c r="R48" s="100" t="e">
        <f t="shared" si="75"/>
        <v>#DIV/0!</v>
      </c>
      <c r="S48" s="226">
        <f t="shared" si="76"/>
        <v>0</v>
      </c>
      <c r="T48" s="100" t="e">
        <f t="shared" si="77"/>
        <v>#DIV/0!</v>
      </c>
      <c r="U48" s="233"/>
      <c r="V48" s="100" t="e">
        <f t="shared" si="78"/>
        <v>#DIV/0!</v>
      </c>
      <c r="W48" s="233"/>
      <c r="X48" s="100" t="e">
        <f t="shared" si="79"/>
        <v>#DIV/0!</v>
      </c>
      <c r="Y48" s="233"/>
      <c r="Z48" s="100" t="e">
        <f t="shared" si="80"/>
        <v>#DIV/0!</v>
      </c>
      <c r="AA48" s="233"/>
      <c r="AB48" s="100" t="e">
        <f t="shared" si="81"/>
        <v>#DIV/0!</v>
      </c>
      <c r="AC48" s="226">
        <f t="shared" si="82"/>
        <v>0</v>
      </c>
      <c r="AD48" s="100" t="e">
        <f t="shared" si="83"/>
        <v>#DIV/0!</v>
      </c>
      <c r="AE48" s="233"/>
      <c r="AF48" s="100" t="e">
        <f t="shared" si="84"/>
        <v>#DIV/0!</v>
      </c>
      <c r="AG48" s="233"/>
      <c r="AH48" s="100" t="e">
        <f t="shared" si="85"/>
        <v>#DIV/0!</v>
      </c>
      <c r="AI48" s="233"/>
      <c r="AJ48" s="100" t="e">
        <f t="shared" si="86"/>
        <v>#DIV/0!</v>
      </c>
      <c r="AK48" s="233"/>
      <c r="AL48" s="100" t="e">
        <f t="shared" si="87"/>
        <v>#DIV/0!</v>
      </c>
    </row>
    <row r="49" spans="1:46" ht="14.25">
      <c r="B49" s="97"/>
      <c r="C49" s="83"/>
      <c r="D49" s="355"/>
      <c r="E49" s="355"/>
      <c r="F49" s="227">
        <f t="shared" si="19"/>
        <v>0</v>
      </c>
      <c r="G49" s="227"/>
      <c r="H49" s="96"/>
      <c r="I49" s="233"/>
      <c r="J49" s="100" t="e">
        <f>I49/F49</f>
        <v>#DIV/0!</v>
      </c>
      <c r="K49" s="233"/>
      <c r="L49" s="100" t="e">
        <f>K49/F49</f>
        <v>#DIV/0!</v>
      </c>
      <c r="M49" s="226">
        <f>SUM(I49+K49)</f>
        <v>0</v>
      </c>
      <c r="N49" s="100" t="e">
        <f>M49/F49</f>
        <v>#DIV/0!</v>
      </c>
      <c r="O49" s="233"/>
      <c r="P49" s="100" t="e">
        <f>O49/F49</f>
        <v>#DIV/0!</v>
      </c>
      <c r="Q49" s="233"/>
      <c r="R49" s="100" t="e">
        <f t="shared" si="47"/>
        <v>#DIV/0!</v>
      </c>
      <c r="S49" s="226">
        <f t="shared" si="48"/>
        <v>0</v>
      </c>
      <c r="T49" s="100" t="e">
        <f>S49/F49</f>
        <v>#DIV/0!</v>
      </c>
      <c r="U49" s="233"/>
      <c r="V49" s="100" t="e">
        <f>U49/F49</f>
        <v>#DIV/0!</v>
      </c>
      <c r="W49" s="233"/>
      <c r="X49" s="100" t="e">
        <f>W49/F49</f>
        <v>#DIV/0!</v>
      </c>
      <c r="Y49" s="233"/>
      <c r="Z49" s="100" t="e">
        <f>Y49/F49</f>
        <v>#DIV/0!</v>
      </c>
      <c r="AA49" s="233"/>
      <c r="AB49" s="100" t="e">
        <f t="shared" si="63"/>
        <v>#DIV/0!</v>
      </c>
      <c r="AC49" s="226">
        <f>SUM(Y49+AA49)</f>
        <v>0</v>
      </c>
      <c r="AD49" s="100" t="e">
        <f>AC49/F49</f>
        <v>#DIV/0!</v>
      </c>
      <c r="AE49" s="233"/>
      <c r="AF49" s="100" t="e">
        <f>AE49/F49</f>
        <v>#DIV/0!</v>
      </c>
      <c r="AG49" s="233"/>
      <c r="AH49" s="100" t="e">
        <f>AG49/F49</f>
        <v>#DIV/0!</v>
      </c>
      <c r="AI49" s="233"/>
      <c r="AJ49" s="100" t="e">
        <f>AI49/F49</f>
        <v>#DIV/0!</v>
      </c>
      <c r="AK49" s="233"/>
      <c r="AL49" s="100" t="e">
        <f>AK49/F49</f>
        <v>#DIV/0!</v>
      </c>
    </row>
    <row r="50" spans="1:46" ht="14.25">
      <c r="B50" s="97"/>
      <c r="C50" s="83"/>
      <c r="D50" s="355"/>
      <c r="E50" s="355"/>
      <c r="F50" s="96"/>
      <c r="G50" s="96"/>
      <c r="H50" s="96"/>
      <c r="I50" s="270">
        <f>SUM(I7:I49)</f>
        <v>7182531.016253205</v>
      </c>
      <c r="J50" s="266">
        <f>I50/$H$12</f>
        <v>0.13645280577584717</v>
      </c>
      <c r="K50" s="270">
        <f>SUM(K7:K49)</f>
        <v>8838525.4839963093</v>
      </c>
      <c r="L50" s="266">
        <f>K50/$H$12</f>
        <v>0.1679131769126366</v>
      </c>
      <c r="M50" s="270">
        <f>SUM(M8:M49)</f>
        <v>13530366.521261558</v>
      </c>
      <c r="N50" s="266" t="e">
        <f>M50/$H$8</f>
        <v>#DIV/0!</v>
      </c>
      <c r="O50" s="270">
        <f>SUM(O7:O49)</f>
        <v>1551135.0108796065</v>
      </c>
      <c r="P50" s="266">
        <f>O50/$H$12</f>
        <v>2.9468264584269498E-2</v>
      </c>
      <c r="Q50" s="270">
        <f>SUM(Q7:Q49)</f>
        <v>0</v>
      </c>
      <c r="R50" s="266">
        <f>Q50/$H$12</f>
        <v>0</v>
      </c>
      <c r="S50" s="270">
        <f>SUM(S8:S49)</f>
        <v>1323933.7623551653</v>
      </c>
      <c r="T50" s="266" t="e">
        <f>S50/$H$8</f>
        <v>#DIV/0!</v>
      </c>
      <c r="U50" s="270">
        <f>SUM(U7:U49)</f>
        <v>6881566.1889159465</v>
      </c>
      <c r="V50" s="266">
        <f>U50/$H$12</f>
        <v>0.13073511447217143</v>
      </c>
      <c r="W50" s="270">
        <f>SUM(W7:W49)</f>
        <v>0</v>
      </c>
      <c r="X50" s="266">
        <f>W50/$H$12</f>
        <v>0</v>
      </c>
      <c r="Y50" s="270">
        <f>SUM(Y7:Y49)</f>
        <v>5031138.9503901992</v>
      </c>
      <c r="Z50" s="266">
        <f>Y50/$H$12</f>
        <v>9.558093441927322E-2</v>
      </c>
      <c r="AA50" s="270">
        <f>SUM(AA7:AA49)</f>
        <v>8055257.0330477785</v>
      </c>
      <c r="AB50" s="266">
        <f>AA50/$H$12</f>
        <v>0.15303274304249057</v>
      </c>
      <c r="AC50" s="270">
        <f>SUM(AC8:AC49)</f>
        <v>11116786.532310234</v>
      </c>
      <c r="AD50" s="266" t="e">
        <f>AC50/$H$8</f>
        <v>#DIV/0!</v>
      </c>
      <c r="AE50" s="270">
        <f>SUM(AE7:AE49)</f>
        <v>8659153.5929341316</v>
      </c>
      <c r="AF50" s="266">
        <f>AE50/$H$12</f>
        <v>0.16450549266353723</v>
      </c>
      <c r="AG50" s="270">
        <f>SUM(AG7:AG49)</f>
        <v>5978136.3586462243</v>
      </c>
      <c r="AH50" s="266">
        <f>AG50/$H$12</f>
        <v>0.1135718700833977</v>
      </c>
      <c r="AI50" s="270">
        <f>SUM(AI7:AI49)</f>
        <v>5238491.0571349822</v>
      </c>
      <c r="AJ50" s="266">
        <f>AI50/$H$12</f>
        <v>9.9520183227922041E-2</v>
      </c>
      <c r="AK50" s="270">
        <f>SUM(AK7:AK49)</f>
        <v>4690389.3078016136</v>
      </c>
      <c r="AL50" s="266">
        <f>AK50/$H$12</f>
        <v>8.9107416282962468E-2</v>
      </c>
    </row>
    <row r="51" spans="1:46" ht="14.25">
      <c r="B51" s="97"/>
      <c r="C51" s="83"/>
      <c r="D51" s="355"/>
      <c r="E51" s="355"/>
      <c r="F51" s="96"/>
      <c r="G51" s="96"/>
      <c r="H51" s="96"/>
      <c r="I51" s="267"/>
      <c r="J51" s="268"/>
      <c r="K51" s="267"/>
      <c r="L51" s="268"/>
      <c r="M51" s="269">
        <f>M50</f>
        <v>13530366.521261558</v>
      </c>
      <c r="N51" s="268"/>
      <c r="O51" s="267"/>
      <c r="P51" s="268"/>
      <c r="Q51" s="267"/>
      <c r="R51" s="268"/>
      <c r="S51" s="269">
        <f>S50</f>
        <v>1323933.7623551653</v>
      </c>
      <c r="T51" s="268"/>
      <c r="U51" s="269">
        <f>U50</f>
        <v>6881566.1889159465</v>
      </c>
      <c r="V51" s="268"/>
      <c r="W51" s="269">
        <f>W50</f>
        <v>0</v>
      </c>
      <c r="X51" s="268"/>
      <c r="Y51" s="267"/>
      <c r="Z51" s="268"/>
      <c r="AA51" s="267"/>
      <c r="AB51" s="268"/>
      <c r="AC51" s="269">
        <f>AC50</f>
        <v>11116786.532310234</v>
      </c>
      <c r="AD51" s="268"/>
      <c r="AE51" s="269">
        <f>AE50</f>
        <v>8659153.5929341316</v>
      </c>
      <c r="AF51" s="268"/>
      <c r="AG51" s="269">
        <f>AG50</f>
        <v>5978136.3586462243</v>
      </c>
      <c r="AH51" s="268"/>
      <c r="AI51" s="269">
        <f>AI50</f>
        <v>5238491.0571349822</v>
      </c>
      <c r="AJ51" s="268"/>
      <c r="AK51" s="269">
        <f>AK50</f>
        <v>4690389.3078016136</v>
      </c>
      <c r="AL51" s="268"/>
    </row>
    <row r="52" spans="1:46" ht="14.25">
      <c r="B52" s="97"/>
      <c r="C52" s="83"/>
      <c r="D52" s="355"/>
      <c r="E52" s="355"/>
      <c r="F52" s="96"/>
      <c r="G52" s="96"/>
      <c r="H52" s="96"/>
    </row>
    <row r="53" spans="1:46" ht="14.25">
      <c r="B53" s="97"/>
      <c r="C53" s="83"/>
      <c r="D53" s="84"/>
      <c r="F53" s="96"/>
      <c r="G53" s="96"/>
      <c r="H53" s="96"/>
    </row>
    <row r="54" spans="1:46" s="84" customFormat="1" ht="14.25">
      <c r="A54" s="77"/>
      <c r="B54" s="97"/>
      <c r="C54" s="83"/>
      <c r="F54" s="101"/>
      <c r="G54" s="101"/>
      <c r="H54" s="101"/>
      <c r="I54" s="96"/>
      <c r="J54" s="89"/>
      <c r="K54" s="96"/>
      <c r="L54" s="89"/>
      <c r="M54" s="89"/>
      <c r="N54" s="89"/>
      <c r="O54" s="96"/>
      <c r="P54" s="89"/>
      <c r="Q54" s="96"/>
      <c r="R54" s="89"/>
      <c r="S54" s="96"/>
      <c r="T54" s="89"/>
      <c r="U54" s="96"/>
      <c r="V54" s="89"/>
      <c r="W54" s="96"/>
      <c r="X54" s="89"/>
      <c r="Y54" s="96"/>
      <c r="Z54" s="89"/>
      <c r="AA54" s="96"/>
      <c r="AB54" s="89"/>
      <c r="AC54" s="96"/>
      <c r="AD54" s="89"/>
      <c r="AE54" s="96"/>
      <c r="AF54" s="89"/>
      <c r="AG54" s="96"/>
      <c r="AH54" s="89"/>
      <c r="AI54" s="96"/>
      <c r="AJ54" s="89"/>
      <c r="AK54" s="96"/>
      <c r="AL54" s="89"/>
      <c r="AM54" s="77"/>
      <c r="AN54" s="77"/>
      <c r="AO54" s="77"/>
      <c r="AP54" s="77"/>
      <c r="AQ54" s="77"/>
      <c r="AR54" s="77"/>
      <c r="AS54" s="77"/>
      <c r="AT54" s="77"/>
    </row>
    <row r="55" spans="1:46" s="84" customFormat="1" ht="14.25">
      <c r="A55" s="77"/>
      <c r="B55" s="97"/>
      <c r="C55" s="83"/>
      <c r="F55" s="101"/>
      <c r="G55" s="101"/>
      <c r="H55" s="101"/>
      <c r="I55" s="96"/>
      <c r="J55" s="89"/>
      <c r="K55" s="96"/>
      <c r="L55" s="89"/>
      <c r="M55" s="89"/>
      <c r="N55" s="89"/>
      <c r="O55" s="96"/>
      <c r="P55" s="89"/>
      <c r="Q55" s="96"/>
      <c r="R55" s="89"/>
      <c r="S55" s="96"/>
      <c r="T55" s="89"/>
      <c r="U55" s="96"/>
      <c r="V55" s="89"/>
      <c r="W55" s="96"/>
      <c r="X55" s="89"/>
      <c r="Y55" s="96"/>
      <c r="Z55" s="89"/>
      <c r="AA55" s="96"/>
      <c r="AB55" s="89"/>
      <c r="AC55" s="96"/>
      <c r="AD55" s="89"/>
      <c r="AE55" s="96"/>
      <c r="AF55" s="89"/>
      <c r="AG55" s="96"/>
      <c r="AH55" s="89"/>
      <c r="AI55" s="96"/>
      <c r="AJ55" s="89"/>
      <c r="AK55" s="96"/>
      <c r="AL55" s="89"/>
      <c r="AM55" s="77"/>
      <c r="AN55" s="77"/>
      <c r="AO55" s="77"/>
      <c r="AP55" s="77"/>
      <c r="AQ55" s="77"/>
      <c r="AR55" s="77"/>
      <c r="AS55" s="77"/>
      <c r="AT55" s="77"/>
    </row>
    <row r="56" spans="1:46" s="84" customFormat="1" ht="14.25">
      <c r="A56" s="77"/>
      <c r="B56" s="97"/>
      <c r="C56" s="83"/>
      <c r="F56" s="101"/>
      <c r="G56" s="101"/>
      <c r="H56" s="101"/>
      <c r="I56" s="96"/>
      <c r="J56" s="89"/>
      <c r="K56" s="96"/>
      <c r="L56" s="89"/>
      <c r="M56" s="89"/>
      <c r="N56" s="89"/>
      <c r="O56" s="96"/>
      <c r="P56" s="89"/>
      <c r="Q56" s="96"/>
      <c r="R56" s="89"/>
      <c r="S56" s="96"/>
      <c r="T56" s="89"/>
      <c r="U56" s="96"/>
      <c r="V56" s="89"/>
      <c r="W56" s="96"/>
      <c r="X56" s="89"/>
      <c r="Y56" s="96"/>
      <c r="Z56" s="89"/>
      <c r="AA56" s="96"/>
      <c r="AB56" s="89"/>
      <c r="AC56" s="96"/>
      <c r="AD56" s="89"/>
      <c r="AE56" s="96"/>
      <c r="AF56" s="89"/>
      <c r="AG56" s="96"/>
      <c r="AH56" s="89"/>
      <c r="AI56" s="96"/>
      <c r="AJ56" s="89"/>
      <c r="AK56" s="96"/>
      <c r="AL56" s="89"/>
      <c r="AM56" s="77"/>
      <c r="AN56" s="77"/>
      <c r="AO56" s="77"/>
      <c r="AP56" s="77"/>
      <c r="AQ56" s="77"/>
      <c r="AR56" s="77"/>
      <c r="AS56" s="77"/>
      <c r="AT56" s="77"/>
    </row>
    <row r="57" spans="1:46" s="84" customFormat="1" ht="14.25">
      <c r="A57" s="77"/>
      <c r="B57" s="97"/>
      <c r="C57" s="83"/>
      <c r="F57" s="101"/>
      <c r="G57" s="101"/>
      <c r="H57" s="101"/>
      <c r="I57" s="96"/>
      <c r="J57" s="89"/>
      <c r="K57" s="96"/>
      <c r="L57" s="89"/>
      <c r="M57" s="89"/>
      <c r="N57" s="89"/>
      <c r="O57" s="96"/>
      <c r="P57" s="89"/>
      <c r="Q57" s="96"/>
      <c r="R57" s="89"/>
      <c r="S57" s="96"/>
      <c r="T57" s="89"/>
      <c r="U57" s="96"/>
      <c r="V57" s="89"/>
      <c r="W57" s="96"/>
      <c r="X57" s="89"/>
      <c r="Y57" s="96"/>
      <c r="Z57" s="89"/>
      <c r="AA57" s="96"/>
      <c r="AB57" s="89"/>
      <c r="AC57" s="96"/>
      <c r="AD57" s="89"/>
      <c r="AE57" s="96"/>
      <c r="AF57" s="89"/>
      <c r="AG57" s="96"/>
      <c r="AH57" s="89"/>
      <c r="AI57" s="96"/>
      <c r="AJ57" s="89"/>
      <c r="AK57" s="96"/>
      <c r="AL57" s="89"/>
      <c r="AM57" s="77"/>
      <c r="AN57" s="77"/>
      <c r="AO57" s="77"/>
      <c r="AP57" s="77"/>
      <c r="AQ57" s="77"/>
      <c r="AR57" s="77"/>
      <c r="AS57" s="77"/>
      <c r="AT57" s="77"/>
    </row>
    <row r="58" spans="1:46" s="84" customFormat="1" ht="14.25">
      <c r="A58" s="77"/>
      <c r="B58" s="97"/>
      <c r="C58" s="83"/>
      <c r="F58" s="101"/>
      <c r="G58" s="101"/>
      <c r="H58" s="101"/>
      <c r="I58" s="96"/>
      <c r="J58" s="89"/>
      <c r="K58" s="96"/>
      <c r="L58" s="89"/>
      <c r="M58" s="89"/>
      <c r="N58" s="89"/>
      <c r="O58" s="96"/>
      <c r="P58" s="89"/>
      <c r="Q58" s="96"/>
      <c r="R58" s="89"/>
      <c r="S58" s="96"/>
      <c r="T58" s="89"/>
      <c r="U58" s="96"/>
      <c r="V58" s="89"/>
      <c r="W58" s="96"/>
      <c r="X58" s="89"/>
      <c r="Y58" s="96"/>
      <c r="Z58" s="89"/>
      <c r="AA58" s="96"/>
      <c r="AB58" s="89"/>
      <c r="AC58" s="96"/>
      <c r="AD58" s="89"/>
      <c r="AE58" s="96"/>
      <c r="AF58" s="89"/>
      <c r="AG58" s="96"/>
      <c r="AH58" s="89"/>
      <c r="AI58" s="96"/>
      <c r="AJ58" s="89"/>
      <c r="AK58" s="96"/>
      <c r="AL58" s="89"/>
      <c r="AM58" s="77"/>
      <c r="AN58" s="77"/>
      <c r="AO58" s="77"/>
      <c r="AP58" s="77"/>
      <c r="AQ58" s="77"/>
      <c r="AR58" s="77"/>
      <c r="AS58" s="77"/>
      <c r="AT58" s="77"/>
    </row>
    <row r="59" spans="1:46" s="84" customFormat="1" ht="14.25">
      <c r="A59" s="77"/>
      <c r="B59" s="97"/>
      <c r="C59" s="83"/>
      <c r="F59" s="101"/>
      <c r="G59" s="101"/>
      <c r="H59" s="101"/>
      <c r="I59" s="96"/>
      <c r="J59" s="89"/>
      <c r="K59" s="96"/>
      <c r="L59" s="89"/>
      <c r="M59" s="89"/>
      <c r="N59" s="89"/>
      <c r="O59" s="96"/>
      <c r="P59" s="89"/>
      <c r="Q59" s="96"/>
      <c r="R59" s="89"/>
      <c r="S59" s="96"/>
      <c r="T59" s="89"/>
      <c r="U59" s="96"/>
      <c r="V59" s="89"/>
      <c r="W59" s="96"/>
      <c r="X59" s="89"/>
      <c r="Y59" s="96"/>
      <c r="Z59" s="89"/>
      <c r="AA59" s="96"/>
      <c r="AB59" s="89"/>
      <c r="AC59" s="96"/>
      <c r="AD59" s="89"/>
      <c r="AE59" s="96"/>
      <c r="AF59" s="89"/>
      <c r="AG59" s="96"/>
      <c r="AH59" s="89"/>
      <c r="AI59" s="96"/>
      <c r="AJ59" s="89"/>
      <c r="AK59" s="96"/>
      <c r="AL59" s="89"/>
      <c r="AM59" s="77"/>
      <c r="AN59" s="77"/>
      <c r="AO59" s="77"/>
      <c r="AP59" s="77"/>
      <c r="AQ59" s="77"/>
      <c r="AR59" s="77"/>
      <c r="AS59" s="77"/>
      <c r="AT59" s="77"/>
    </row>
    <row r="60" spans="1:46" s="84" customFormat="1" ht="14.25">
      <c r="A60" s="77"/>
      <c r="B60" s="97"/>
      <c r="C60" s="83"/>
      <c r="F60" s="101"/>
      <c r="G60" s="101"/>
      <c r="H60" s="101"/>
      <c r="I60" s="96"/>
      <c r="J60" s="89"/>
      <c r="K60" s="96"/>
      <c r="L60" s="89"/>
      <c r="M60" s="89"/>
      <c r="N60" s="89"/>
      <c r="O60" s="96"/>
      <c r="P60" s="89"/>
      <c r="Q60" s="96"/>
      <c r="R60" s="89"/>
      <c r="S60" s="96"/>
      <c r="T60" s="89"/>
      <c r="U60" s="96"/>
      <c r="V60" s="89"/>
      <c r="W60" s="96"/>
      <c r="X60" s="89"/>
      <c r="Y60" s="96"/>
      <c r="Z60" s="89"/>
      <c r="AA60" s="96"/>
      <c r="AB60" s="89"/>
      <c r="AC60" s="96"/>
      <c r="AD60" s="89"/>
      <c r="AE60" s="96"/>
      <c r="AF60" s="89"/>
      <c r="AG60" s="96"/>
      <c r="AH60" s="89"/>
      <c r="AI60" s="96"/>
      <c r="AJ60" s="89"/>
      <c r="AK60" s="96"/>
      <c r="AL60" s="89"/>
      <c r="AM60" s="77"/>
      <c r="AN60" s="77"/>
      <c r="AO60" s="77"/>
      <c r="AP60" s="77"/>
      <c r="AQ60" s="77"/>
      <c r="AR60" s="77"/>
      <c r="AS60" s="77"/>
      <c r="AT60" s="77"/>
    </row>
    <row r="61" spans="1:46" s="84" customFormat="1" ht="14.25">
      <c r="A61" s="77"/>
      <c r="B61" s="97"/>
      <c r="C61" s="83"/>
      <c r="F61" s="101"/>
      <c r="G61" s="101"/>
      <c r="H61" s="101"/>
      <c r="I61" s="96"/>
      <c r="J61" s="89"/>
      <c r="K61" s="96"/>
      <c r="L61" s="89"/>
      <c r="M61" s="89"/>
      <c r="N61" s="89"/>
      <c r="O61" s="96"/>
      <c r="P61" s="89"/>
      <c r="Q61" s="96"/>
      <c r="R61" s="89"/>
      <c r="S61" s="96"/>
      <c r="T61" s="89"/>
      <c r="U61" s="96"/>
      <c r="V61" s="89"/>
      <c r="W61" s="96"/>
      <c r="X61" s="89"/>
      <c r="Y61" s="96"/>
      <c r="Z61" s="89"/>
      <c r="AA61" s="96"/>
      <c r="AB61" s="89"/>
      <c r="AC61" s="96"/>
      <c r="AD61" s="89"/>
      <c r="AE61" s="96"/>
      <c r="AF61" s="89"/>
      <c r="AG61" s="96"/>
      <c r="AH61" s="89"/>
      <c r="AI61" s="96"/>
      <c r="AJ61" s="89"/>
      <c r="AK61" s="96"/>
      <c r="AL61" s="89"/>
      <c r="AM61" s="77"/>
      <c r="AN61" s="77"/>
      <c r="AO61" s="77"/>
      <c r="AP61" s="77"/>
      <c r="AQ61" s="77"/>
      <c r="AR61" s="77"/>
      <c r="AS61" s="77"/>
      <c r="AT61" s="77"/>
    </row>
    <row r="62" spans="1:46" s="84" customFormat="1" ht="14.25">
      <c r="A62" s="77"/>
      <c r="B62" s="97"/>
      <c r="C62" s="83"/>
      <c r="F62" s="101"/>
      <c r="G62" s="101"/>
      <c r="H62" s="101"/>
      <c r="I62" s="96"/>
      <c r="J62" s="89"/>
      <c r="K62" s="96"/>
      <c r="L62" s="89"/>
      <c r="M62" s="89"/>
      <c r="N62" s="89"/>
      <c r="O62" s="96"/>
      <c r="P62" s="89"/>
      <c r="Q62" s="96"/>
      <c r="R62" s="89"/>
      <c r="S62" s="96"/>
      <c r="T62" s="89"/>
      <c r="U62" s="96"/>
      <c r="V62" s="89"/>
      <c r="W62" s="96"/>
      <c r="X62" s="89"/>
      <c r="Y62" s="96"/>
      <c r="Z62" s="89"/>
      <c r="AA62" s="96"/>
      <c r="AB62" s="89"/>
      <c r="AC62" s="96"/>
      <c r="AD62" s="89"/>
      <c r="AE62" s="96"/>
      <c r="AF62" s="89"/>
      <c r="AG62" s="96"/>
      <c r="AH62" s="89"/>
      <c r="AI62" s="96"/>
      <c r="AJ62" s="89"/>
      <c r="AK62" s="96"/>
      <c r="AL62" s="89"/>
      <c r="AM62" s="77"/>
      <c r="AN62" s="77"/>
      <c r="AO62" s="77"/>
      <c r="AP62" s="77"/>
      <c r="AQ62" s="77"/>
      <c r="AR62" s="77"/>
      <c r="AS62" s="77"/>
      <c r="AT62" s="77"/>
    </row>
    <row r="63" spans="1:46" s="84" customFormat="1" ht="14.25">
      <c r="A63" s="77"/>
      <c r="B63" s="97"/>
      <c r="C63" s="83"/>
      <c r="F63" s="101"/>
      <c r="G63" s="101"/>
      <c r="H63" s="101"/>
      <c r="I63" s="96"/>
      <c r="J63" s="89"/>
      <c r="K63" s="96"/>
      <c r="L63" s="89"/>
      <c r="M63" s="89"/>
      <c r="N63" s="89"/>
      <c r="O63" s="96"/>
      <c r="P63" s="89"/>
      <c r="Q63" s="96"/>
      <c r="R63" s="89"/>
      <c r="S63" s="96"/>
      <c r="T63" s="89"/>
      <c r="U63" s="96"/>
      <c r="V63" s="89"/>
      <c r="W63" s="96"/>
      <c r="X63" s="89"/>
      <c r="Y63" s="96"/>
      <c r="Z63" s="89"/>
      <c r="AA63" s="96"/>
      <c r="AB63" s="89"/>
      <c r="AC63" s="96"/>
      <c r="AD63" s="89"/>
      <c r="AE63" s="96"/>
      <c r="AF63" s="89"/>
      <c r="AG63" s="96"/>
      <c r="AH63" s="89"/>
      <c r="AI63" s="96"/>
      <c r="AJ63" s="89"/>
      <c r="AK63" s="96"/>
      <c r="AL63" s="89"/>
      <c r="AM63" s="77"/>
      <c r="AN63" s="77"/>
      <c r="AO63" s="77"/>
      <c r="AP63" s="77"/>
      <c r="AQ63" s="77"/>
      <c r="AR63" s="77"/>
      <c r="AS63" s="77"/>
      <c r="AT63" s="77"/>
    </row>
    <row r="64" spans="1:46" s="84" customFormat="1" ht="14.25">
      <c r="A64" s="77"/>
      <c r="B64" s="97"/>
      <c r="C64" s="83"/>
      <c r="F64" s="101"/>
      <c r="G64" s="101"/>
      <c r="H64" s="101"/>
      <c r="I64" s="96"/>
      <c r="J64" s="89"/>
      <c r="K64" s="96"/>
      <c r="L64" s="89"/>
      <c r="M64" s="89"/>
      <c r="N64" s="89"/>
      <c r="O64" s="96"/>
      <c r="P64" s="89"/>
      <c r="Q64" s="96"/>
      <c r="R64" s="89"/>
      <c r="S64" s="96"/>
      <c r="T64" s="89"/>
      <c r="U64" s="96"/>
      <c r="V64" s="89"/>
      <c r="W64" s="96"/>
      <c r="X64" s="89"/>
      <c r="Y64" s="96"/>
      <c r="Z64" s="89"/>
      <c r="AA64" s="96"/>
      <c r="AB64" s="89"/>
      <c r="AC64" s="96"/>
      <c r="AD64" s="89"/>
      <c r="AE64" s="96"/>
      <c r="AF64" s="89"/>
      <c r="AG64" s="96"/>
      <c r="AH64" s="89"/>
      <c r="AI64" s="96"/>
      <c r="AJ64" s="89"/>
      <c r="AK64" s="96"/>
      <c r="AL64" s="89"/>
      <c r="AM64" s="77"/>
      <c r="AN64" s="77"/>
      <c r="AO64" s="77"/>
      <c r="AP64" s="77"/>
      <c r="AQ64" s="77"/>
      <c r="AR64" s="77"/>
      <c r="AS64" s="77"/>
      <c r="AT64" s="77"/>
    </row>
    <row r="65" spans="1:46" s="84" customFormat="1" ht="14.25">
      <c r="A65" s="77"/>
      <c r="B65" s="97"/>
      <c r="C65" s="83"/>
      <c r="F65" s="101"/>
      <c r="G65" s="101"/>
      <c r="H65" s="101"/>
      <c r="I65" s="96"/>
      <c r="J65" s="89"/>
      <c r="K65" s="96"/>
      <c r="L65" s="89"/>
      <c r="M65" s="89"/>
      <c r="N65" s="89"/>
      <c r="O65" s="96"/>
      <c r="P65" s="89"/>
      <c r="Q65" s="96"/>
      <c r="R65" s="89"/>
      <c r="S65" s="96"/>
      <c r="T65" s="89"/>
      <c r="U65" s="96"/>
      <c r="V65" s="89"/>
      <c r="W65" s="96"/>
      <c r="X65" s="89"/>
      <c r="Y65" s="96"/>
      <c r="Z65" s="89"/>
      <c r="AA65" s="96"/>
      <c r="AB65" s="89"/>
      <c r="AC65" s="96"/>
      <c r="AD65" s="89"/>
      <c r="AE65" s="96"/>
      <c r="AF65" s="89"/>
      <c r="AG65" s="96"/>
      <c r="AH65" s="89"/>
      <c r="AI65" s="96"/>
      <c r="AJ65" s="89"/>
      <c r="AK65" s="96"/>
      <c r="AL65" s="89"/>
      <c r="AM65" s="77"/>
      <c r="AN65" s="77"/>
      <c r="AO65" s="77"/>
      <c r="AP65" s="77"/>
      <c r="AQ65" s="77"/>
      <c r="AR65" s="77"/>
      <c r="AS65" s="77"/>
      <c r="AT65" s="77"/>
    </row>
    <row r="66" spans="1:46" s="84" customFormat="1" ht="14.25">
      <c r="A66" s="77"/>
      <c r="B66" s="97"/>
      <c r="C66" s="83"/>
      <c r="F66" s="101"/>
      <c r="G66" s="101"/>
      <c r="H66" s="101"/>
      <c r="I66" s="96"/>
      <c r="J66" s="89"/>
      <c r="K66" s="96"/>
      <c r="L66" s="89"/>
      <c r="M66" s="89"/>
      <c r="N66" s="89"/>
      <c r="O66" s="96"/>
      <c r="P66" s="89"/>
      <c r="Q66" s="96"/>
      <c r="R66" s="89"/>
      <c r="S66" s="96"/>
      <c r="T66" s="89"/>
      <c r="U66" s="96"/>
      <c r="V66" s="89"/>
      <c r="W66" s="96"/>
      <c r="X66" s="89"/>
      <c r="Y66" s="96"/>
      <c r="Z66" s="89"/>
      <c r="AA66" s="96"/>
      <c r="AB66" s="89"/>
      <c r="AC66" s="96"/>
      <c r="AD66" s="89"/>
      <c r="AE66" s="96"/>
      <c r="AF66" s="89"/>
      <c r="AG66" s="96"/>
      <c r="AH66" s="89"/>
      <c r="AI66" s="96"/>
      <c r="AJ66" s="89"/>
      <c r="AK66" s="96"/>
      <c r="AL66" s="89"/>
      <c r="AM66" s="77"/>
      <c r="AN66" s="77"/>
      <c r="AO66" s="77"/>
      <c r="AP66" s="77"/>
      <c r="AQ66" s="77"/>
      <c r="AR66" s="77"/>
      <c r="AS66" s="77"/>
      <c r="AT66" s="77"/>
    </row>
    <row r="67" spans="1:46" s="84" customFormat="1" ht="14.25">
      <c r="A67" s="77"/>
      <c r="B67" s="97"/>
      <c r="C67" s="83"/>
      <c r="F67" s="101"/>
      <c r="G67" s="101"/>
      <c r="H67" s="101"/>
      <c r="I67" s="96"/>
      <c r="J67" s="89"/>
      <c r="K67" s="96"/>
      <c r="L67" s="89"/>
      <c r="M67" s="89"/>
      <c r="N67" s="89"/>
      <c r="O67" s="96"/>
      <c r="P67" s="89"/>
      <c r="Q67" s="96"/>
      <c r="R67" s="89"/>
      <c r="S67" s="96"/>
      <c r="T67" s="89"/>
      <c r="U67" s="96"/>
      <c r="V67" s="89"/>
      <c r="W67" s="96"/>
      <c r="X67" s="89"/>
      <c r="Y67" s="96"/>
      <c r="Z67" s="89"/>
      <c r="AA67" s="96"/>
      <c r="AB67" s="89"/>
      <c r="AC67" s="96"/>
      <c r="AD67" s="89"/>
      <c r="AE67" s="96"/>
      <c r="AF67" s="89"/>
      <c r="AG67" s="96"/>
      <c r="AH67" s="89"/>
      <c r="AI67" s="96"/>
      <c r="AJ67" s="89"/>
      <c r="AK67" s="96"/>
      <c r="AL67" s="89"/>
      <c r="AM67" s="77"/>
      <c r="AN67" s="77"/>
      <c r="AO67" s="77"/>
      <c r="AP67" s="77"/>
      <c r="AQ67" s="77"/>
      <c r="AR67" s="77"/>
      <c r="AS67" s="77"/>
      <c r="AT67" s="77"/>
    </row>
    <row r="68" spans="1:46" s="84" customFormat="1" ht="14.25">
      <c r="A68" s="77"/>
      <c r="B68" s="97"/>
      <c r="C68" s="83"/>
      <c r="F68" s="101"/>
      <c r="G68" s="101"/>
      <c r="H68" s="101"/>
      <c r="I68" s="96"/>
      <c r="J68" s="89"/>
      <c r="K68" s="96"/>
      <c r="L68" s="89"/>
      <c r="M68" s="89"/>
      <c r="N68" s="89"/>
      <c r="O68" s="96"/>
      <c r="P68" s="89"/>
      <c r="Q68" s="96"/>
      <c r="R68" s="89"/>
      <c r="S68" s="96"/>
      <c r="T68" s="89"/>
      <c r="U68" s="96"/>
      <c r="V68" s="89"/>
      <c r="W68" s="96"/>
      <c r="X68" s="89"/>
      <c r="Y68" s="96"/>
      <c r="Z68" s="89"/>
      <c r="AA68" s="96"/>
      <c r="AB68" s="89"/>
      <c r="AC68" s="96"/>
      <c r="AD68" s="89"/>
      <c r="AE68" s="96"/>
      <c r="AF68" s="89"/>
      <c r="AG68" s="96"/>
      <c r="AH68" s="89"/>
      <c r="AI68" s="96"/>
      <c r="AJ68" s="89"/>
      <c r="AK68" s="96"/>
      <c r="AL68" s="89"/>
      <c r="AM68" s="77"/>
      <c r="AN68" s="77"/>
      <c r="AO68" s="77"/>
      <c r="AP68" s="77"/>
      <c r="AQ68" s="77"/>
      <c r="AR68" s="77"/>
      <c r="AS68" s="77"/>
      <c r="AT68" s="77"/>
    </row>
    <row r="69" spans="1:46" s="84" customFormat="1" ht="14.25">
      <c r="A69" s="77"/>
      <c r="B69" s="97"/>
      <c r="C69" s="83"/>
      <c r="F69" s="101"/>
      <c r="G69" s="101"/>
      <c r="H69" s="101"/>
      <c r="I69" s="96"/>
      <c r="J69" s="89"/>
      <c r="K69" s="96"/>
      <c r="L69" s="89"/>
      <c r="M69" s="89"/>
      <c r="N69" s="89"/>
      <c r="O69" s="96"/>
      <c r="P69" s="89"/>
      <c r="Q69" s="96"/>
      <c r="R69" s="89"/>
      <c r="S69" s="96"/>
      <c r="T69" s="89"/>
      <c r="U69" s="96"/>
      <c r="V69" s="89"/>
      <c r="W69" s="96"/>
      <c r="X69" s="89"/>
      <c r="Y69" s="96"/>
      <c r="Z69" s="89"/>
      <c r="AA69" s="96"/>
      <c r="AB69" s="89"/>
      <c r="AC69" s="96"/>
      <c r="AD69" s="89"/>
      <c r="AE69" s="96"/>
      <c r="AF69" s="89"/>
      <c r="AG69" s="96"/>
      <c r="AH69" s="89"/>
      <c r="AI69" s="96"/>
      <c r="AJ69" s="89"/>
      <c r="AK69" s="96"/>
      <c r="AL69" s="89"/>
      <c r="AM69" s="77"/>
      <c r="AN69" s="77"/>
      <c r="AO69" s="77"/>
      <c r="AP69" s="77"/>
      <c r="AQ69" s="77"/>
      <c r="AR69" s="77"/>
      <c r="AS69" s="77"/>
      <c r="AT69" s="77"/>
    </row>
    <row r="70" spans="1:46" s="84" customFormat="1" ht="14.25">
      <c r="A70" s="77"/>
      <c r="B70" s="97"/>
      <c r="C70" s="83"/>
      <c r="F70" s="101"/>
      <c r="G70" s="101"/>
      <c r="H70" s="101"/>
      <c r="I70" s="96"/>
      <c r="J70" s="89"/>
      <c r="K70" s="96"/>
      <c r="L70" s="89"/>
      <c r="M70" s="89"/>
      <c r="N70" s="89"/>
      <c r="O70" s="96"/>
      <c r="P70" s="89"/>
      <c r="Q70" s="96"/>
      <c r="R70" s="89"/>
      <c r="S70" s="96"/>
      <c r="T70" s="89"/>
      <c r="U70" s="96"/>
      <c r="V70" s="89"/>
      <c r="W70" s="96"/>
      <c r="X70" s="89"/>
      <c r="Y70" s="96"/>
      <c r="Z70" s="89"/>
      <c r="AA70" s="96"/>
      <c r="AB70" s="89"/>
      <c r="AC70" s="96"/>
      <c r="AD70" s="89"/>
      <c r="AE70" s="96"/>
      <c r="AF70" s="89"/>
      <c r="AG70" s="96"/>
      <c r="AH70" s="89"/>
      <c r="AI70" s="96"/>
      <c r="AJ70" s="89"/>
      <c r="AK70" s="96"/>
      <c r="AL70" s="89"/>
      <c r="AM70" s="77"/>
      <c r="AN70" s="77"/>
      <c r="AO70" s="77"/>
      <c r="AP70" s="77"/>
      <c r="AQ70" s="77"/>
      <c r="AR70" s="77"/>
      <c r="AS70" s="77"/>
      <c r="AT70" s="77"/>
    </row>
    <row r="71" spans="1:46" s="84" customFormat="1" ht="14.25">
      <c r="A71" s="77"/>
      <c r="B71" s="97"/>
      <c r="C71" s="83"/>
      <c r="F71" s="101"/>
      <c r="G71" s="101"/>
      <c r="H71" s="101"/>
      <c r="I71" s="96"/>
      <c r="J71" s="89"/>
      <c r="K71" s="96"/>
      <c r="L71" s="89"/>
      <c r="M71" s="89"/>
      <c r="N71" s="89"/>
      <c r="O71" s="96"/>
      <c r="P71" s="89"/>
      <c r="Q71" s="96"/>
      <c r="R71" s="89"/>
      <c r="S71" s="96"/>
      <c r="T71" s="89"/>
      <c r="U71" s="96"/>
      <c r="V71" s="89"/>
      <c r="W71" s="96"/>
      <c r="X71" s="89"/>
      <c r="Y71" s="96"/>
      <c r="Z71" s="89"/>
      <c r="AA71" s="96"/>
      <c r="AB71" s="89"/>
      <c r="AC71" s="96"/>
      <c r="AD71" s="89"/>
      <c r="AE71" s="96"/>
      <c r="AF71" s="89"/>
      <c r="AG71" s="96"/>
      <c r="AH71" s="89"/>
      <c r="AI71" s="96"/>
      <c r="AJ71" s="89"/>
      <c r="AK71" s="96"/>
      <c r="AL71" s="89"/>
      <c r="AM71" s="77"/>
      <c r="AN71" s="77"/>
      <c r="AO71" s="77"/>
      <c r="AP71" s="77"/>
      <c r="AQ71" s="77"/>
      <c r="AR71" s="77"/>
      <c r="AS71" s="77"/>
      <c r="AT71" s="77"/>
    </row>
    <row r="72" spans="1:46" s="84" customFormat="1" ht="14.25">
      <c r="A72" s="77"/>
      <c r="B72" s="97"/>
      <c r="C72" s="83"/>
      <c r="F72" s="101"/>
      <c r="G72" s="101"/>
      <c r="H72" s="101"/>
      <c r="I72" s="96"/>
      <c r="J72" s="89"/>
      <c r="K72" s="96"/>
      <c r="L72" s="89"/>
      <c r="M72" s="89"/>
      <c r="N72" s="89"/>
      <c r="O72" s="96"/>
      <c r="P72" s="89"/>
      <c r="Q72" s="96"/>
      <c r="R72" s="89"/>
      <c r="S72" s="96"/>
      <c r="T72" s="89"/>
      <c r="U72" s="96"/>
      <c r="V72" s="89"/>
      <c r="W72" s="96"/>
      <c r="X72" s="89"/>
      <c r="Y72" s="96"/>
      <c r="Z72" s="89"/>
      <c r="AA72" s="96"/>
      <c r="AB72" s="89"/>
      <c r="AC72" s="96"/>
      <c r="AD72" s="89"/>
      <c r="AE72" s="96"/>
      <c r="AF72" s="89"/>
      <c r="AG72" s="96"/>
      <c r="AH72" s="89"/>
      <c r="AI72" s="96"/>
      <c r="AJ72" s="89"/>
      <c r="AK72" s="96"/>
      <c r="AL72" s="89"/>
      <c r="AM72" s="77"/>
      <c r="AN72" s="77"/>
      <c r="AO72" s="77"/>
      <c r="AP72" s="77"/>
      <c r="AQ72" s="77"/>
      <c r="AR72" s="77"/>
      <c r="AS72" s="77"/>
      <c r="AT72" s="77"/>
    </row>
    <row r="73" spans="1:46" s="84" customFormat="1" ht="14.25">
      <c r="A73" s="77"/>
      <c r="B73" s="97"/>
      <c r="C73" s="83"/>
      <c r="F73" s="101"/>
      <c r="G73" s="101"/>
      <c r="H73" s="101"/>
      <c r="I73" s="96"/>
      <c r="J73" s="89"/>
      <c r="K73" s="96"/>
      <c r="L73" s="89"/>
      <c r="M73" s="89"/>
      <c r="N73" s="89"/>
      <c r="O73" s="96"/>
      <c r="P73" s="89"/>
      <c r="Q73" s="96"/>
      <c r="R73" s="89"/>
      <c r="S73" s="96"/>
      <c r="T73" s="89"/>
      <c r="U73" s="96"/>
      <c r="V73" s="89"/>
      <c r="W73" s="96"/>
      <c r="X73" s="89"/>
      <c r="Y73" s="96"/>
      <c r="Z73" s="89"/>
      <c r="AA73" s="96"/>
      <c r="AB73" s="89"/>
      <c r="AC73" s="96"/>
      <c r="AD73" s="89"/>
      <c r="AE73" s="96"/>
      <c r="AF73" s="89"/>
      <c r="AG73" s="96"/>
      <c r="AH73" s="89"/>
      <c r="AI73" s="96"/>
      <c r="AJ73" s="89"/>
      <c r="AK73" s="96"/>
      <c r="AL73" s="89"/>
      <c r="AM73" s="77"/>
      <c r="AN73" s="77"/>
      <c r="AO73" s="77"/>
      <c r="AP73" s="77"/>
      <c r="AQ73" s="77"/>
      <c r="AR73" s="77"/>
      <c r="AS73" s="77"/>
      <c r="AT73" s="77"/>
    </row>
    <row r="74" spans="1:46" s="84" customFormat="1" ht="14.25">
      <c r="A74" s="77"/>
      <c r="B74" s="97"/>
      <c r="C74" s="83"/>
      <c r="F74" s="101"/>
      <c r="G74" s="101"/>
      <c r="H74" s="101"/>
      <c r="I74" s="96"/>
      <c r="J74" s="89"/>
      <c r="K74" s="96"/>
      <c r="L74" s="89"/>
      <c r="M74" s="89"/>
      <c r="N74" s="89"/>
      <c r="O74" s="96"/>
      <c r="P74" s="89"/>
      <c r="Q74" s="96"/>
      <c r="R74" s="89"/>
      <c r="S74" s="96"/>
      <c r="T74" s="89"/>
      <c r="U74" s="96"/>
      <c r="V74" s="89"/>
      <c r="W74" s="96"/>
      <c r="X74" s="89"/>
      <c r="Y74" s="96"/>
      <c r="Z74" s="89"/>
      <c r="AA74" s="96"/>
      <c r="AB74" s="89"/>
      <c r="AC74" s="96"/>
      <c r="AD74" s="89"/>
      <c r="AE74" s="96"/>
      <c r="AF74" s="89"/>
      <c r="AG74" s="96"/>
      <c r="AH74" s="89"/>
      <c r="AI74" s="96"/>
      <c r="AJ74" s="89"/>
      <c r="AK74" s="96"/>
      <c r="AL74" s="89"/>
      <c r="AM74" s="77"/>
      <c r="AN74" s="77"/>
      <c r="AO74" s="77"/>
      <c r="AP74" s="77"/>
      <c r="AQ74" s="77"/>
      <c r="AR74" s="77"/>
      <c r="AS74" s="77"/>
      <c r="AT74" s="77"/>
    </row>
    <row r="75" spans="1:46" s="84" customFormat="1" ht="14.25">
      <c r="A75" s="77"/>
      <c r="B75" s="97"/>
      <c r="C75" s="83"/>
      <c r="F75" s="101"/>
      <c r="G75" s="101"/>
      <c r="H75" s="101"/>
      <c r="I75" s="96"/>
      <c r="J75" s="89"/>
      <c r="K75" s="96"/>
      <c r="L75" s="89"/>
      <c r="M75" s="89"/>
      <c r="N75" s="89"/>
      <c r="O75" s="96"/>
      <c r="P75" s="89"/>
      <c r="Q75" s="96"/>
      <c r="R75" s="89"/>
      <c r="S75" s="96"/>
      <c r="T75" s="89"/>
      <c r="U75" s="96"/>
      <c r="V75" s="89"/>
      <c r="W75" s="96"/>
      <c r="X75" s="89"/>
      <c r="Y75" s="96"/>
      <c r="Z75" s="89"/>
      <c r="AA75" s="96"/>
      <c r="AB75" s="89"/>
      <c r="AC75" s="96"/>
      <c r="AD75" s="89"/>
      <c r="AE75" s="96"/>
      <c r="AF75" s="89"/>
      <c r="AG75" s="96"/>
      <c r="AH75" s="89"/>
      <c r="AI75" s="96"/>
      <c r="AJ75" s="89"/>
      <c r="AK75" s="96"/>
      <c r="AL75" s="89"/>
      <c r="AM75" s="77"/>
      <c r="AN75" s="77"/>
      <c r="AO75" s="77"/>
      <c r="AP75" s="77"/>
      <c r="AQ75" s="77"/>
      <c r="AR75" s="77"/>
      <c r="AS75" s="77"/>
      <c r="AT75" s="77"/>
    </row>
    <row r="76" spans="1:46" s="84" customFormat="1" ht="14.25">
      <c r="A76" s="77"/>
      <c r="B76" s="97"/>
      <c r="C76" s="83"/>
      <c r="F76" s="101"/>
      <c r="G76" s="101"/>
      <c r="H76" s="101"/>
      <c r="I76" s="96"/>
      <c r="J76" s="89"/>
      <c r="K76" s="96"/>
      <c r="L76" s="89"/>
      <c r="M76" s="89"/>
      <c r="N76" s="89"/>
      <c r="O76" s="96"/>
      <c r="P76" s="89"/>
      <c r="Q76" s="96"/>
      <c r="R76" s="89"/>
      <c r="S76" s="96"/>
      <c r="T76" s="89"/>
      <c r="U76" s="96"/>
      <c r="V76" s="89"/>
      <c r="W76" s="96"/>
      <c r="X76" s="89"/>
      <c r="Y76" s="96"/>
      <c r="Z76" s="89"/>
      <c r="AA76" s="96"/>
      <c r="AB76" s="89"/>
      <c r="AC76" s="96"/>
      <c r="AD76" s="89"/>
      <c r="AE76" s="96"/>
      <c r="AF76" s="89"/>
      <c r="AG76" s="96"/>
      <c r="AH76" s="89"/>
      <c r="AI76" s="96"/>
      <c r="AJ76" s="89"/>
      <c r="AK76" s="96"/>
      <c r="AL76" s="89"/>
      <c r="AM76" s="77"/>
      <c r="AN76" s="77"/>
      <c r="AO76" s="77"/>
      <c r="AP76" s="77"/>
      <c r="AQ76" s="77"/>
      <c r="AR76" s="77"/>
      <c r="AS76" s="77"/>
      <c r="AT76" s="77"/>
    </row>
    <row r="77" spans="1:46" s="84" customFormat="1" ht="14.25">
      <c r="A77" s="77"/>
      <c r="B77" s="97"/>
      <c r="C77" s="83"/>
      <c r="F77" s="101"/>
      <c r="G77" s="101"/>
      <c r="H77" s="101"/>
      <c r="I77" s="96"/>
      <c r="J77" s="89"/>
      <c r="K77" s="96"/>
      <c r="L77" s="89"/>
      <c r="M77" s="89"/>
      <c r="N77" s="89"/>
      <c r="O77" s="96"/>
      <c r="P77" s="89"/>
      <c r="Q77" s="96"/>
      <c r="R77" s="89"/>
      <c r="S77" s="96"/>
      <c r="T77" s="89"/>
      <c r="U77" s="96"/>
      <c r="V77" s="89"/>
      <c r="W77" s="96"/>
      <c r="X77" s="89"/>
      <c r="Y77" s="96"/>
      <c r="Z77" s="89"/>
      <c r="AA77" s="96"/>
      <c r="AB77" s="89"/>
      <c r="AC77" s="96"/>
      <c r="AD77" s="89"/>
      <c r="AE77" s="96"/>
      <c r="AF77" s="89"/>
      <c r="AG77" s="96"/>
      <c r="AH77" s="89"/>
      <c r="AI77" s="96"/>
      <c r="AJ77" s="89"/>
      <c r="AK77" s="96"/>
      <c r="AL77" s="89"/>
      <c r="AM77" s="77"/>
      <c r="AN77" s="77"/>
      <c r="AO77" s="77"/>
      <c r="AP77" s="77"/>
      <c r="AQ77" s="77"/>
      <c r="AR77" s="77"/>
      <c r="AS77" s="77"/>
      <c r="AT77" s="77"/>
    </row>
    <row r="78" spans="1:46" s="84" customFormat="1" ht="14.25">
      <c r="A78" s="77"/>
      <c r="B78" s="97"/>
      <c r="C78" s="83"/>
      <c r="F78" s="101"/>
      <c r="G78" s="101"/>
      <c r="H78" s="101"/>
      <c r="I78" s="96"/>
      <c r="J78" s="89"/>
      <c r="K78" s="96"/>
      <c r="L78" s="89"/>
      <c r="M78" s="89"/>
      <c r="N78" s="89"/>
      <c r="O78" s="96"/>
      <c r="P78" s="89"/>
      <c r="Q78" s="96"/>
      <c r="R78" s="89"/>
      <c r="S78" s="96"/>
      <c r="T78" s="89"/>
      <c r="U78" s="96"/>
      <c r="V78" s="89"/>
      <c r="W78" s="96"/>
      <c r="X78" s="89"/>
      <c r="Y78" s="96"/>
      <c r="Z78" s="89"/>
      <c r="AA78" s="96"/>
      <c r="AB78" s="89"/>
      <c r="AC78" s="96"/>
      <c r="AD78" s="89"/>
      <c r="AE78" s="96"/>
      <c r="AF78" s="89"/>
      <c r="AG78" s="96"/>
      <c r="AH78" s="89"/>
      <c r="AI78" s="96"/>
      <c r="AJ78" s="89"/>
      <c r="AK78" s="96"/>
      <c r="AL78" s="89"/>
      <c r="AM78" s="77"/>
      <c r="AN78" s="77"/>
      <c r="AO78" s="77"/>
      <c r="AP78" s="77"/>
      <c r="AQ78" s="77"/>
      <c r="AR78" s="77"/>
      <c r="AS78" s="77"/>
      <c r="AT78" s="77"/>
    </row>
    <row r="79" spans="1:46" s="84" customFormat="1" ht="14.25">
      <c r="A79" s="77"/>
      <c r="B79" s="97"/>
      <c r="C79" s="83"/>
      <c r="F79" s="101"/>
      <c r="G79" s="101"/>
      <c r="H79" s="101"/>
      <c r="I79" s="96"/>
      <c r="J79" s="89"/>
      <c r="K79" s="96"/>
      <c r="L79" s="89"/>
      <c r="M79" s="89"/>
      <c r="N79" s="89"/>
      <c r="O79" s="96"/>
      <c r="P79" s="89"/>
      <c r="Q79" s="96"/>
      <c r="R79" s="89"/>
      <c r="S79" s="96"/>
      <c r="T79" s="89"/>
      <c r="U79" s="96"/>
      <c r="V79" s="89"/>
      <c r="W79" s="96"/>
      <c r="X79" s="89"/>
      <c r="Y79" s="96"/>
      <c r="Z79" s="89"/>
      <c r="AA79" s="96"/>
      <c r="AB79" s="89"/>
      <c r="AC79" s="96"/>
      <c r="AD79" s="89"/>
      <c r="AE79" s="96"/>
      <c r="AF79" s="89"/>
      <c r="AG79" s="96"/>
      <c r="AH79" s="89"/>
      <c r="AI79" s="96"/>
      <c r="AJ79" s="89"/>
      <c r="AK79" s="96"/>
      <c r="AL79" s="89"/>
      <c r="AM79" s="77"/>
      <c r="AN79" s="77"/>
      <c r="AO79" s="77"/>
      <c r="AP79" s="77"/>
      <c r="AQ79" s="77"/>
      <c r="AR79" s="77"/>
      <c r="AS79" s="77"/>
      <c r="AT79" s="77"/>
    </row>
    <row r="80" spans="1:46" s="84" customFormat="1" ht="14.25">
      <c r="A80" s="77"/>
      <c r="B80" s="97"/>
      <c r="C80" s="83"/>
      <c r="F80" s="101"/>
      <c r="G80" s="101"/>
      <c r="H80" s="101"/>
      <c r="I80" s="96"/>
      <c r="J80" s="89"/>
      <c r="K80" s="96"/>
      <c r="L80" s="89"/>
      <c r="M80" s="89"/>
      <c r="N80" s="89"/>
      <c r="O80" s="96"/>
      <c r="P80" s="89"/>
      <c r="Q80" s="96"/>
      <c r="R80" s="89"/>
      <c r="S80" s="96"/>
      <c r="T80" s="89"/>
      <c r="U80" s="96"/>
      <c r="V80" s="89"/>
      <c r="W80" s="96"/>
      <c r="X80" s="89"/>
      <c r="Y80" s="96"/>
      <c r="Z80" s="89"/>
      <c r="AA80" s="96"/>
      <c r="AB80" s="89"/>
      <c r="AC80" s="96"/>
      <c r="AD80" s="89"/>
      <c r="AE80" s="96"/>
      <c r="AF80" s="89"/>
      <c r="AG80" s="96"/>
      <c r="AH80" s="89"/>
      <c r="AI80" s="96"/>
      <c r="AJ80" s="89"/>
      <c r="AK80" s="96"/>
      <c r="AL80" s="89"/>
      <c r="AM80" s="77"/>
      <c r="AN80" s="77"/>
      <c r="AO80" s="77"/>
      <c r="AP80" s="77"/>
      <c r="AQ80" s="77"/>
      <c r="AR80" s="77"/>
      <c r="AS80" s="77"/>
      <c r="AT80" s="77"/>
    </row>
    <row r="81" spans="1:46" s="84" customFormat="1" ht="14.25">
      <c r="A81" s="77"/>
      <c r="B81" s="97"/>
      <c r="C81" s="83"/>
      <c r="F81" s="101"/>
      <c r="G81" s="101"/>
      <c r="H81" s="101"/>
      <c r="I81" s="96"/>
      <c r="J81" s="89"/>
      <c r="K81" s="96"/>
      <c r="L81" s="89"/>
      <c r="M81" s="89"/>
      <c r="N81" s="89"/>
      <c r="O81" s="96"/>
      <c r="P81" s="89"/>
      <c r="Q81" s="96"/>
      <c r="R81" s="89"/>
      <c r="S81" s="96"/>
      <c r="T81" s="89"/>
      <c r="U81" s="96"/>
      <c r="V81" s="89"/>
      <c r="W81" s="96"/>
      <c r="X81" s="89"/>
      <c r="Y81" s="96"/>
      <c r="Z81" s="89"/>
      <c r="AA81" s="96"/>
      <c r="AB81" s="89"/>
      <c r="AC81" s="96"/>
      <c r="AD81" s="89"/>
      <c r="AE81" s="96"/>
      <c r="AF81" s="89"/>
      <c r="AG81" s="96"/>
      <c r="AH81" s="89"/>
      <c r="AI81" s="96"/>
      <c r="AJ81" s="89"/>
      <c r="AK81" s="96"/>
      <c r="AL81" s="89"/>
      <c r="AM81" s="77"/>
      <c r="AN81" s="77"/>
      <c r="AO81" s="77"/>
      <c r="AP81" s="77"/>
      <c r="AQ81" s="77"/>
      <c r="AR81" s="77"/>
      <c r="AS81" s="77"/>
      <c r="AT81" s="77"/>
    </row>
    <row r="82" spans="1:46" s="84" customFormat="1" ht="14.25">
      <c r="A82" s="77"/>
      <c r="B82" s="97"/>
      <c r="C82" s="83"/>
      <c r="F82" s="101"/>
      <c r="G82" s="101"/>
      <c r="H82" s="101"/>
      <c r="I82" s="96"/>
      <c r="J82" s="89"/>
      <c r="K82" s="96"/>
      <c r="L82" s="89"/>
      <c r="M82" s="89"/>
      <c r="N82" s="89"/>
      <c r="O82" s="96"/>
      <c r="P82" s="89"/>
      <c r="Q82" s="96"/>
      <c r="R82" s="89"/>
      <c r="S82" s="96"/>
      <c r="T82" s="89"/>
      <c r="U82" s="96"/>
      <c r="V82" s="89"/>
      <c r="W82" s="96"/>
      <c r="X82" s="89"/>
      <c r="Y82" s="96"/>
      <c r="Z82" s="89"/>
      <c r="AA82" s="96"/>
      <c r="AB82" s="89"/>
      <c r="AC82" s="96"/>
      <c r="AD82" s="89"/>
      <c r="AE82" s="96"/>
      <c r="AF82" s="89"/>
      <c r="AG82" s="96"/>
      <c r="AH82" s="89"/>
      <c r="AI82" s="96"/>
      <c r="AJ82" s="89"/>
      <c r="AK82" s="96"/>
      <c r="AL82" s="89"/>
      <c r="AM82" s="77"/>
      <c r="AN82" s="77"/>
      <c r="AO82" s="77"/>
      <c r="AP82" s="77"/>
      <c r="AQ82" s="77"/>
      <c r="AR82" s="77"/>
      <c r="AS82" s="77"/>
      <c r="AT82" s="77"/>
    </row>
    <row r="83" spans="1:46" s="84" customFormat="1" ht="14.25">
      <c r="A83" s="77"/>
      <c r="B83" s="97"/>
      <c r="C83" s="83"/>
      <c r="F83" s="101"/>
      <c r="G83" s="101"/>
      <c r="H83" s="101"/>
      <c r="I83" s="96"/>
      <c r="J83" s="89"/>
      <c r="K83" s="96"/>
      <c r="L83" s="89"/>
      <c r="M83" s="89"/>
      <c r="N83" s="89"/>
      <c r="O83" s="96"/>
      <c r="P83" s="89"/>
      <c r="Q83" s="96"/>
      <c r="R83" s="89"/>
      <c r="S83" s="96"/>
      <c r="T83" s="89"/>
      <c r="U83" s="96"/>
      <c r="V83" s="89"/>
      <c r="W83" s="96"/>
      <c r="X83" s="89"/>
      <c r="Y83" s="96"/>
      <c r="Z83" s="89"/>
      <c r="AA83" s="96"/>
      <c r="AB83" s="89"/>
      <c r="AC83" s="96"/>
      <c r="AD83" s="89"/>
      <c r="AE83" s="96"/>
      <c r="AF83" s="89"/>
      <c r="AG83" s="96"/>
      <c r="AH83" s="89"/>
      <c r="AI83" s="96"/>
      <c r="AJ83" s="89"/>
      <c r="AK83" s="96"/>
      <c r="AL83" s="89"/>
      <c r="AM83" s="77"/>
      <c r="AN83" s="77"/>
      <c r="AO83" s="77"/>
      <c r="AP83" s="77"/>
      <c r="AQ83" s="77"/>
      <c r="AR83" s="77"/>
      <c r="AS83" s="77"/>
      <c r="AT83" s="77"/>
    </row>
    <row r="84" spans="1:46" s="84" customFormat="1" ht="14.25">
      <c r="A84" s="77"/>
      <c r="B84" s="97"/>
      <c r="C84" s="83"/>
      <c r="F84" s="101"/>
      <c r="G84" s="101"/>
      <c r="H84" s="101"/>
      <c r="I84" s="96"/>
      <c r="J84" s="89"/>
      <c r="K84" s="96"/>
      <c r="L84" s="89"/>
      <c r="M84" s="89"/>
      <c r="N84" s="89"/>
      <c r="O84" s="96"/>
      <c r="P84" s="89"/>
      <c r="Q84" s="96"/>
      <c r="R84" s="89"/>
      <c r="S84" s="96"/>
      <c r="T84" s="89"/>
      <c r="U84" s="96"/>
      <c r="V84" s="89"/>
      <c r="W84" s="96"/>
      <c r="X84" s="89"/>
      <c r="Y84" s="96"/>
      <c r="Z84" s="89"/>
      <c r="AA84" s="96"/>
      <c r="AB84" s="89"/>
      <c r="AC84" s="96"/>
      <c r="AD84" s="89"/>
      <c r="AE84" s="96"/>
      <c r="AF84" s="89"/>
      <c r="AG84" s="96"/>
      <c r="AH84" s="89"/>
      <c r="AI84" s="96"/>
      <c r="AJ84" s="89"/>
      <c r="AK84" s="96"/>
      <c r="AL84" s="89"/>
      <c r="AM84" s="77"/>
      <c r="AN84" s="77"/>
      <c r="AO84" s="77"/>
      <c r="AP84" s="77"/>
      <c r="AQ84" s="77"/>
      <c r="AR84" s="77"/>
      <c r="AS84" s="77"/>
      <c r="AT84" s="77"/>
    </row>
    <row r="85" spans="1:46" s="84" customFormat="1" ht="14.25">
      <c r="A85" s="77"/>
      <c r="B85" s="97"/>
      <c r="C85" s="83"/>
      <c r="F85" s="101"/>
      <c r="G85" s="101"/>
      <c r="H85" s="101"/>
      <c r="I85" s="96"/>
      <c r="J85" s="89"/>
      <c r="K85" s="96"/>
      <c r="L85" s="89"/>
      <c r="M85" s="89"/>
      <c r="N85" s="89"/>
      <c r="O85" s="96"/>
      <c r="P85" s="89"/>
      <c r="Q85" s="96"/>
      <c r="R85" s="89"/>
      <c r="S85" s="96"/>
      <c r="T85" s="89"/>
      <c r="U85" s="96"/>
      <c r="V85" s="89"/>
      <c r="W85" s="96"/>
      <c r="X85" s="89"/>
      <c r="Y85" s="96"/>
      <c r="Z85" s="89"/>
      <c r="AA85" s="96"/>
      <c r="AB85" s="89"/>
      <c r="AC85" s="96"/>
      <c r="AD85" s="89"/>
      <c r="AE85" s="96"/>
      <c r="AF85" s="89"/>
      <c r="AG85" s="96"/>
      <c r="AH85" s="89"/>
      <c r="AI85" s="96"/>
      <c r="AJ85" s="89"/>
      <c r="AK85" s="96"/>
      <c r="AL85" s="89"/>
      <c r="AM85" s="77"/>
      <c r="AN85" s="77"/>
      <c r="AO85" s="77"/>
      <c r="AP85" s="77"/>
      <c r="AQ85" s="77"/>
      <c r="AR85" s="77"/>
      <c r="AS85" s="77"/>
      <c r="AT85" s="77"/>
    </row>
    <row r="86" spans="1:46" s="84" customFormat="1" ht="14.25">
      <c r="A86" s="77"/>
      <c r="B86" s="97"/>
      <c r="C86" s="83"/>
      <c r="F86" s="101"/>
      <c r="G86" s="101"/>
      <c r="H86" s="101"/>
      <c r="I86" s="96"/>
      <c r="J86" s="89"/>
      <c r="K86" s="96"/>
      <c r="L86" s="89"/>
      <c r="M86" s="89"/>
      <c r="N86" s="89"/>
      <c r="O86" s="96"/>
      <c r="P86" s="89"/>
      <c r="Q86" s="96"/>
      <c r="R86" s="89"/>
      <c r="S86" s="96"/>
      <c r="T86" s="89"/>
      <c r="U86" s="96"/>
      <c r="V86" s="89"/>
      <c r="W86" s="96"/>
      <c r="X86" s="89"/>
      <c r="Y86" s="96"/>
      <c r="Z86" s="89"/>
      <c r="AA86" s="96"/>
      <c r="AB86" s="89"/>
      <c r="AC86" s="96"/>
      <c r="AD86" s="89"/>
      <c r="AE86" s="96"/>
      <c r="AF86" s="89"/>
      <c r="AG86" s="96"/>
      <c r="AH86" s="89"/>
      <c r="AI86" s="96"/>
      <c r="AJ86" s="89"/>
      <c r="AK86" s="96"/>
      <c r="AL86" s="89"/>
      <c r="AM86" s="77"/>
      <c r="AN86" s="77"/>
      <c r="AO86" s="77"/>
      <c r="AP86" s="77"/>
      <c r="AQ86" s="77"/>
      <c r="AR86" s="77"/>
      <c r="AS86" s="77"/>
      <c r="AT86" s="77"/>
    </row>
    <row r="87" spans="1:46" s="84" customFormat="1" ht="14.25">
      <c r="A87" s="77"/>
      <c r="B87" s="97"/>
      <c r="C87" s="83"/>
      <c r="F87" s="101"/>
      <c r="G87" s="101"/>
      <c r="H87" s="101"/>
      <c r="I87" s="96"/>
      <c r="J87" s="89"/>
      <c r="K87" s="96"/>
      <c r="L87" s="89"/>
      <c r="M87" s="89"/>
      <c r="N87" s="89"/>
      <c r="O87" s="96"/>
      <c r="P87" s="89"/>
      <c r="Q87" s="96"/>
      <c r="R87" s="89"/>
      <c r="S87" s="96"/>
      <c r="T87" s="89"/>
      <c r="U87" s="96"/>
      <c r="V87" s="89"/>
      <c r="W87" s="96"/>
      <c r="X87" s="89"/>
      <c r="Y87" s="96"/>
      <c r="Z87" s="89"/>
      <c r="AA87" s="96"/>
      <c r="AB87" s="89"/>
      <c r="AC87" s="96"/>
      <c r="AD87" s="89"/>
      <c r="AE87" s="96"/>
      <c r="AF87" s="89"/>
      <c r="AG87" s="96"/>
      <c r="AH87" s="89"/>
      <c r="AI87" s="96"/>
      <c r="AJ87" s="89"/>
      <c r="AK87" s="96"/>
      <c r="AL87" s="89"/>
      <c r="AM87" s="77"/>
      <c r="AN87" s="77"/>
      <c r="AO87" s="77"/>
      <c r="AP87" s="77"/>
      <c r="AQ87" s="77"/>
      <c r="AR87" s="77"/>
      <c r="AS87" s="77"/>
      <c r="AT87" s="77"/>
    </row>
    <row r="88" spans="1:46" s="84" customFormat="1" ht="14.25">
      <c r="A88" s="77"/>
      <c r="B88" s="97"/>
      <c r="C88" s="83"/>
      <c r="F88" s="101"/>
      <c r="G88" s="101"/>
      <c r="H88" s="101"/>
      <c r="I88" s="96"/>
      <c r="J88" s="89"/>
      <c r="K88" s="96"/>
      <c r="L88" s="89"/>
      <c r="M88" s="89"/>
      <c r="N88" s="89"/>
      <c r="O88" s="96"/>
      <c r="P88" s="89"/>
      <c r="Q88" s="96"/>
      <c r="R88" s="89"/>
      <c r="S88" s="96"/>
      <c r="T88" s="89"/>
      <c r="U88" s="96"/>
      <c r="V88" s="89"/>
      <c r="W88" s="96"/>
      <c r="X88" s="89"/>
      <c r="Y88" s="96"/>
      <c r="Z88" s="89"/>
      <c r="AA88" s="96"/>
      <c r="AB88" s="89"/>
      <c r="AC88" s="96"/>
      <c r="AD88" s="89"/>
      <c r="AE88" s="96"/>
      <c r="AF88" s="89"/>
      <c r="AG88" s="96"/>
      <c r="AH88" s="89"/>
      <c r="AI88" s="96"/>
      <c r="AJ88" s="89"/>
      <c r="AK88" s="96"/>
      <c r="AL88" s="89"/>
      <c r="AM88" s="77"/>
      <c r="AN88" s="77"/>
      <c r="AO88" s="77"/>
      <c r="AP88" s="77"/>
      <c r="AQ88" s="77"/>
      <c r="AR88" s="77"/>
      <c r="AS88" s="77"/>
      <c r="AT88" s="77"/>
    </row>
    <row r="89" spans="1:46" s="84" customFormat="1" ht="14.25">
      <c r="A89" s="77"/>
      <c r="B89" s="97"/>
      <c r="C89" s="83"/>
      <c r="F89" s="101"/>
      <c r="G89" s="101"/>
      <c r="H89" s="101"/>
      <c r="I89" s="96"/>
      <c r="J89" s="89"/>
      <c r="K89" s="96"/>
      <c r="L89" s="89"/>
      <c r="M89" s="89"/>
      <c r="N89" s="89"/>
      <c r="O89" s="96"/>
      <c r="P89" s="89"/>
      <c r="Q89" s="96"/>
      <c r="R89" s="89"/>
      <c r="S89" s="96"/>
      <c r="T89" s="89"/>
      <c r="U89" s="96"/>
      <c r="V89" s="89"/>
      <c r="W89" s="96"/>
      <c r="X89" s="89"/>
      <c r="Y89" s="96"/>
      <c r="Z89" s="89"/>
      <c r="AA89" s="96"/>
      <c r="AB89" s="89"/>
      <c r="AC89" s="96"/>
      <c r="AD89" s="89"/>
      <c r="AE89" s="96"/>
      <c r="AF89" s="89"/>
      <c r="AG89" s="96"/>
      <c r="AH89" s="89"/>
      <c r="AI89" s="96"/>
      <c r="AJ89" s="89"/>
      <c r="AK89" s="96"/>
      <c r="AL89" s="89"/>
      <c r="AM89" s="77"/>
      <c r="AN89" s="77"/>
      <c r="AO89" s="77"/>
      <c r="AP89" s="77"/>
      <c r="AQ89" s="77"/>
      <c r="AR89" s="77"/>
      <c r="AS89" s="77"/>
      <c r="AT89" s="77"/>
    </row>
    <row r="90" spans="1:46" s="84" customFormat="1" ht="14.25">
      <c r="A90" s="77"/>
      <c r="B90" s="97"/>
      <c r="C90" s="83"/>
      <c r="F90" s="101"/>
      <c r="G90" s="101"/>
      <c r="H90" s="101"/>
      <c r="I90" s="96"/>
      <c r="J90" s="89"/>
      <c r="K90" s="96"/>
      <c r="L90" s="89"/>
      <c r="M90" s="89"/>
      <c r="N90" s="89"/>
      <c r="O90" s="96"/>
      <c r="P90" s="89"/>
      <c r="Q90" s="96"/>
      <c r="R90" s="89"/>
      <c r="S90" s="96"/>
      <c r="T90" s="89"/>
      <c r="U90" s="96"/>
      <c r="V90" s="89"/>
      <c r="W90" s="96"/>
      <c r="X90" s="89"/>
      <c r="Y90" s="96"/>
      <c r="Z90" s="89"/>
      <c r="AA90" s="96"/>
      <c r="AB90" s="89"/>
      <c r="AC90" s="96"/>
      <c r="AD90" s="89"/>
      <c r="AE90" s="96"/>
      <c r="AF90" s="89"/>
      <c r="AG90" s="96"/>
      <c r="AH90" s="89"/>
      <c r="AI90" s="96"/>
      <c r="AJ90" s="89"/>
      <c r="AK90" s="96"/>
      <c r="AL90" s="89"/>
      <c r="AM90" s="77"/>
      <c r="AN90" s="77"/>
      <c r="AO90" s="77"/>
      <c r="AP90" s="77"/>
      <c r="AQ90" s="77"/>
      <c r="AR90" s="77"/>
      <c r="AS90" s="77"/>
      <c r="AT90" s="77"/>
    </row>
    <row r="91" spans="1:46" s="84" customFormat="1" ht="14.25">
      <c r="A91" s="77"/>
      <c r="B91" s="97"/>
      <c r="C91" s="83"/>
      <c r="F91" s="101"/>
      <c r="G91" s="101"/>
      <c r="H91" s="101"/>
      <c r="I91" s="96"/>
      <c r="J91" s="89"/>
      <c r="K91" s="96"/>
      <c r="L91" s="89"/>
      <c r="M91" s="89"/>
      <c r="N91" s="89"/>
      <c r="O91" s="96"/>
      <c r="P91" s="89"/>
      <c r="Q91" s="96"/>
      <c r="R91" s="89"/>
      <c r="S91" s="96"/>
      <c r="T91" s="89"/>
      <c r="U91" s="96"/>
      <c r="V91" s="89"/>
      <c r="W91" s="96"/>
      <c r="X91" s="89"/>
      <c r="Y91" s="96"/>
      <c r="Z91" s="89"/>
      <c r="AA91" s="96"/>
      <c r="AB91" s="89"/>
      <c r="AC91" s="96"/>
      <c r="AD91" s="89"/>
      <c r="AE91" s="96"/>
      <c r="AF91" s="89"/>
      <c r="AG91" s="96"/>
      <c r="AH91" s="89"/>
      <c r="AI91" s="96"/>
      <c r="AJ91" s="89"/>
      <c r="AK91" s="96"/>
      <c r="AL91" s="89"/>
      <c r="AM91" s="77"/>
      <c r="AN91" s="77"/>
      <c r="AO91" s="77"/>
      <c r="AP91" s="77"/>
      <c r="AQ91" s="77"/>
      <c r="AR91" s="77"/>
      <c r="AS91" s="77"/>
      <c r="AT91" s="77"/>
    </row>
    <row r="92" spans="1:46" s="84" customFormat="1" ht="14.25">
      <c r="A92" s="77"/>
      <c r="B92" s="97"/>
      <c r="C92" s="83"/>
      <c r="F92" s="101"/>
      <c r="G92" s="101"/>
      <c r="H92" s="101"/>
      <c r="I92" s="96"/>
      <c r="J92" s="89"/>
      <c r="K92" s="96"/>
      <c r="L92" s="89"/>
      <c r="M92" s="89"/>
      <c r="N92" s="89"/>
      <c r="O92" s="96"/>
      <c r="P92" s="89"/>
      <c r="Q92" s="96"/>
      <c r="R92" s="89"/>
      <c r="S92" s="96"/>
      <c r="T92" s="89"/>
      <c r="U92" s="96"/>
      <c r="V92" s="89"/>
      <c r="W92" s="96"/>
      <c r="X92" s="89"/>
      <c r="Y92" s="96"/>
      <c r="Z92" s="89"/>
      <c r="AA92" s="96"/>
      <c r="AB92" s="89"/>
      <c r="AC92" s="96"/>
      <c r="AD92" s="89"/>
      <c r="AE92" s="96"/>
      <c r="AF92" s="89"/>
      <c r="AG92" s="96"/>
      <c r="AH92" s="89"/>
      <c r="AI92" s="96"/>
      <c r="AJ92" s="89"/>
      <c r="AK92" s="96"/>
      <c r="AL92" s="89"/>
      <c r="AM92" s="77"/>
      <c r="AN92" s="77"/>
      <c r="AO92" s="77"/>
      <c r="AP92" s="77"/>
      <c r="AQ92" s="77"/>
      <c r="AR92" s="77"/>
      <c r="AS92" s="77"/>
      <c r="AT92" s="77"/>
    </row>
    <row r="93" spans="1:46" s="84" customFormat="1" ht="14.25">
      <c r="A93" s="77"/>
      <c r="B93" s="97"/>
      <c r="C93" s="83"/>
      <c r="F93" s="101"/>
      <c r="G93" s="101"/>
      <c r="H93" s="101"/>
      <c r="I93" s="96"/>
      <c r="J93" s="89"/>
      <c r="K93" s="96"/>
      <c r="L93" s="89"/>
      <c r="M93" s="89"/>
      <c r="N93" s="89"/>
      <c r="O93" s="96"/>
      <c r="P93" s="89"/>
      <c r="Q93" s="96"/>
      <c r="R93" s="89"/>
      <c r="S93" s="96"/>
      <c r="T93" s="89"/>
      <c r="U93" s="96"/>
      <c r="V93" s="89"/>
      <c r="W93" s="96"/>
      <c r="X93" s="89"/>
      <c r="Y93" s="96"/>
      <c r="Z93" s="89"/>
      <c r="AA93" s="96"/>
      <c r="AB93" s="89"/>
      <c r="AC93" s="96"/>
      <c r="AD93" s="89"/>
      <c r="AE93" s="96"/>
      <c r="AF93" s="89"/>
      <c r="AG93" s="96"/>
      <c r="AH93" s="89"/>
      <c r="AI93" s="96"/>
      <c r="AJ93" s="89"/>
      <c r="AK93" s="96"/>
      <c r="AL93" s="89"/>
      <c r="AM93" s="77"/>
      <c r="AN93" s="77"/>
      <c r="AO93" s="77"/>
      <c r="AP93" s="77"/>
      <c r="AQ93" s="77"/>
      <c r="AR93" s="77"/>
      <c r="AS93" s="77"/>
      <c r="AT93" s="77"/>
    </row>
    <row r="94" spans="1:46" s="84" customFormat="1" ht="14.25">
      <c r="A94" s="77"/>
      <c r="B94" s="97"/>
      <c r="C94" s="83"/>
      <c r="F94" s="101"/>
      <c r="G94" s="101"/>
      <c r="H94" s="101"/>
      <c r="I94" s="96"/>
      <c r="J94" s="89"/>
      <c r="K94" s="96"/>
      <c r="L94" s="89"/>
      <c r="M94" s="89"/>
      <c r="N94" s="89"/>
      <c r="O94" s="96"/>
      <c r="P94" s="89"/>
      <c r="Q94" s="96"/>
      <c r="R94" s="89"/>
      <c r="S94" s="96"/>
      <c r="T94" s="89"/>
      <c r="U94" s="96"/>
      <c r="V94" s="89"/>
      <c r="W94" s="96"/>
      <c r="X94" s="89"/>
      <c r="Y94" s="96"/>
      <c r="Z94" s="89"/>
      <c r="AA94" s="96"/>
      <c r="AB94" s="89"/>
      <c r="AC94" s="96"/>
      <c r="AD94" s="89"/>
      <c r="AE94" s="96"/>
      <c r="AF94" s="89"/>
      <c r="AG94" s="96"/>
      <c r="AH94" s="89"/>
      <c r="AI94" s="96"/>
      <c r="AJ94" s="89"/>
      <c r="AK94" s="96"/>
      <c r="AL94" s="89"/>
      <c r="AM94" s="77"/>
      <c r="AN94" s="77"/>
      <c r="AO94" s="77"/>
      <c r="AP94" s="77"/>
      <c r="AQ94" s="77"/>
      <c r="AR94" s="77"/>
      <c r="AS94" s="77"/>
      <c r="AT94" s="77"/>
    </row>
    <row r="95" spans="1:46" s="84" customFormat="1" ht="14.25">
      <c r="A95" s="77"/>
      <c r="B95" s="97"/>
      <c r="C95" s="83"/>
      <c r="F95" s="101"/>
      <c r="G95" s="101"/>
      <c r="H95" s="101"/>
      <c r="I95" s="96"/>
      <c r="J95" s="89"/>
      <c r="K95" s="96"/>
      <c r="L95" s="89"/>
      <c r="M95" s="89"/>
      <c r="N95" s="89"/>
      <c r="O95" s="96"/>
      <c r="P95" s="89"/>
      <c r="Q95" s="96"/>
      <c r="R95" s="89"/>
      <c r="S95" s="96"/>
      <c r="T95" s="89"/>
      <c r="U95" s="96"/>
      <c r="V95" s="89"/>
      <c r="W95" s="96"/>
      <c r="X95" s="89"/>
      <c r="Y95" s="96"/>
      <c r="Z95" s="89"/>
      <c r="AA95" s="96"/>
      <c r="AB95" s="89"/>
      <c r="AC95" s="96"/>
      <c r="AD95" s="89"/>
      <c r="AE95" s="96"/>
      <c r="AF95" s="89"/>
      <c r="AG95" s="96"/>
      <c r="AH95" s="89"/>
      <c r="AI95" s="96"/>
      <c r="AJ95" s="89"/>
      <c r="AK95" s="96"/>
      <c r="AL95" s="89"/>
      <c r="AM95" s="77"/>
      <c r="AN95" s="77"/>
      <c r="AO95" s="77"/>
      <c r="AP95" s="77"/>
      <c r="AQ95" s="77"/>
      <c r="AR95" s="77"/>
      <c r="AS95" s="77"/>
      <c r="AT95" s="77"/>
    </row>
    <row r="96" spans="1:46" s="84" customFormat="1" ht="14.25">
      <c r="A96" s="77"/>
      <c r="B96" s="97"/>
      <c r="C96" s="83"/>
      <c r="F96" s="101"/>
      <c r="G96" s="101"/>
      <c r="H96" s="101"/>
      <c r="I96" s="96"/>
      <c r="J96" s="89"/>
      <c r="K96" s="96"/>
      <c r="L96" s="89"/>
      <c r="M96" s="89"/>
      <c r="N96" s="89"/>
      <c r="O96" s="96"/>
      <c r="P96" s="89"/>
      <c r="Q96" s="96"/>
      <c r="R96" s="89"/>
      <c r="S96" s="96"/>
      <c r="T96" s="89"/>
      <c r="U96" s="96"/>
      <c r="V96" s="89"/>
      <c r="W96" s="96"/>
      <c r="X96" s="89"/>
      <c r="Y96" s="96"/>
      <c r="Z96" s="89"/>
      <c r="AA96" s="96"/>
      <c r="AB96" s="89"/>
      <c r="AC96" s="96"/>
      <c r="AD96" s="89"/>
      <c r="AE96" s="96"/>
      <c r="AF96" s="89"/>
      <c r="AG96" s="96"/>
      <c r="AH96" s="89"/>
      <c r="AI96" s="96"/>
      <c r="AJ96" s="89"/>
      <c r="AK96" s="96"/>
      <c r="AL96" s="89"/>
      <c r="AM96" s="77"/>
      <c r="AN96" s="77"/>
      <c r="AO96" s="77"/>
      <c r="AP96" s="77"/>
      <c r="AQ96" s="77"/>
      <c r="AR96" s="77"/>
      <c r="AS96" s="77"/>
      <c r="AT96" s="77"/>
    </row>
    <row r="97" spans="1:46" s="84" customFormat="1" ht="14.25">
      <c r="A97" s="77"/>
      <c r="B97" s="97"/>
      <c r="C97" s="83"/>
      <c r="F97" s="101"/>
      <c r="G97" s="101"/>
      <c r="H97" s="101"/>
      <c r="I97" s="96"/>
      <c r="J97" s="89"/>
      <c r="K97" s="96"/>
      <c r="L97" s="89"/>
      <c r="M97" s="89"/>
      <c r="N97" s="89"/>
      <c r="O97" s="96"/>
      <c r="P97" s="89"/>
      <c r="Q97" s="96"/>
      <c r="R97" s="89"/>
      <c r="S97" s="96"/>
      <c r="T97" s="89"/>
      <c r="U97" s="96"/>
      <c r="V97" s="89"/>
      <c r="W97" s="96"/>
      <c r="X97" s="89"/>
      <c r="Y97" s="96"/>
      <c r="Z97" s="89"/>
      <c r="AA97" s="96"/>
      <c r="AB97" s="89"/>
      <c r="AC97" s="96"/>
      <c r="AD97" s="89"/>
      <c r="AE97" s="96"/>
      <c r="AF97" s="89"/>
      <c r="AG97" s="96"/>
      <c r="AH97" s="89"/>
      <c r="AI97" s="96"/>
      <c r="AJ97" s="89"/>
      <c r="AK97" s="96"/>
      <c r="AL97" s="89"/>
      <c r="AM97" s="77"/>
      <c r="AN97" s="77"/>
      <c r="AO97" s="77"/>
      <c r="AP97" s="77"/>
      <c r="AQ97" s="77"/>
      <c r="AR97" s="77"/>
      <c r="AS97" s="77"/>
      <c r="AT97" s="77"/>
    </row>
    <row r="98" spans="1:46" s="84" customFormat="1" ht="14.25">
      <c r="A98" s="77"/>
      <c r="B98" s="97"/>
      <c r="C98" s="83"/>
      <c r="F98" s="101"/>
      <c r="G98" s="101"/>
      <c r="H98" s="101"/>
      <c r="I98" s="96"/>
      <c r="J98" s="89"/>
      <c r="K98" s="96"/>
      <c r="L98" s="89"/>
      <c r="M98" s="89"/>
      <c r="N98" s="89"/>
      <c r="O98" s="96"/>
      <c r="P98" s="89"/>
      <c r="Q98" s="96"/>
      <c r="R98" s="89"/>
      <c r="S98" s="96"/>
      <c r="T98" s="89"/>
      <c r="U98" s="96"/>
      <c r="V98" s="89"/>
      <c r="W98" s="96"/>
      <c r="X98" s="89"/>
      <c r="Y98" s="96"/>
      <c r="Z98" s="89"/>
      <c r="AA98" s="96"/>
      <c r="AB98" s="89"/>
      <c r="AC98" s="96"/>
      <c r="AD98" s="89"/>
      <c r="AE98" s="96"/>
      <c r="AF98" s="89"/>
      <c r="AG98" s="96"/>
      <c r="AH98" s="89"/>
      <c r="AI98" s="96"/>
      <c r="AJ98" s="89"/>
      <c r="AK98" s="96"/>
      <c r="AL98" s="89"/>
      <c r="AM98" s="77"/>
      <c r="AN98" s="77"/>
      <c r="AO98" s="77"/>
      <c r="AP98" s="77"/>
      <c r="AQ98" s="77"/>
      <c r="AR98" s="77"/>
      <c r="AS98" s="77"/>
      <c r="AT98" s="77"/>
    </row>
    <row r="99" spans="1:46" s="84" customFormat="1" ht="14.25">
      <c r="A99" s="77"/>
      <c r="B99" s="97"/>
      <c r="C99" s="83"/>
      <c r="F99" s="101"/>
      <c r="G99" s="101"/>
      <c r="H99" s="101"/>
      <c r="I99" s="96"/>
      <c r="J99" s="89"/>
      <c r="K99" s="96"/>
      <c r="L99" s="89"/>
      <c r="M99" s="89"/>
      <c r="N99" s="89"/>
      <c r="O99" s="96"/>
      <c r="P99" s="89"/>
      <c r="Q99" s="96"/>
      <c r="R99" s="89"/>
      <c r="S99" s="96"/>
      <c r="T99" s="89"/>
      <c r="U99" s="96"/>
      <c r="V99" s="89"/>
      <c r="W99" s="96"/>
      <c r="X99" s="89"/>
      <c r="Y99" s="96"/>
      <c r="Z99" s="89"/>
      <c r="AA99" s="96"/>
      <c r="AB99" s="89"/>
      <c r="AC99" s="96"/>
      <c r="AD99" s="89"/>
      <c r="AE99" s="96"/>
      <c r="AF99" s="89"/>
      <c r="AG99" s="96"/>
      <c r="AH99" s="89"/>
      <c r="AI99" s="96"/>
      <c r="AJ99" s="89"/>
      <c r="AK99" s="96"/>
      <c r="AL99" s="89"/>
      <c r="AM99" s="77"/>
      <c r="AN99" s="77"/>
      <c r="AO99" s="77"/>
      <c r="AP99" s="77"/>
      <c r="AQ99" s="77"/>
      <c r="AR99" s="77"/>
      <c r="AS99" s="77"/>
      <c r="AT99" s="77"/>
    </row>
    <row r="100" spans="1:46" s="84" customFormat="1" ht="14.25">
      <c r="A100" s="77"/>
      <c r="B100" s="97"/>
      <c r="C100" s="83"/>
      <c r="F100" s="101"/>
      <c r="G100" s="101"/>
      <c r="H100" s="101"/>
      <c r="I100" s="96"/>
      <c r="J100" s="89"/>
      <c r="K100" s="96"/>
      <c r="L100" s="89"/>
      <c r="M100" s="89"/>
      <c r="N100" s="89"/>
      <c r="O100" s="96"/>
      <c r="P100" s="89"/>
      <c r="Q100" s="96"/>
      <c r="R100" s="89"/>
      <c r="S100" s="96"/>
      <c r="T100" s="89"/>
      <c r="U100" s="96"/>
      <c r="V100" s="89"/>
      <c r="W100" s="96"/>
      <c r="X100" s="89"/>
      <c r="Y100" s="96"/>
      <c r="Z100" s="89"/>
      <c r="AA100" s="96"/>
      <c r="AB100" s="89"/>
      <c r="AC100" s="96"/>
      <c r="AD100" s="89"/>
      <c r="AE100" s="96"/>
      <c r="AF100" s="89"/>
      <c r="AG100" s="96"/>
      <c r="AH100" s="89"/>
      <c r="AI100" s="96"/>
      <c r="AJ100" s="89"/>
      <c r="AK100" s="96"/>
      <c r="AL100" s="89"/>
      <c r="AM100" s="77"/>
      <c r="AN100" s="77"/>
      <c r="AO100" s="77"/>
      <c r="AP100" s="77"/>
      <c r="AQ100" s="77"/>
      <c r="AR100" s="77"/>
      <c r="AS100" s="77"/>
      <c r="AT100" s="77"/>
    </row>
    <row r="101" spans="1:46" s="84" customFormat="1" ht="14.25">
      <c r="A101" s="77"/>
      <c r="B101" s="97"/>
      <c r="C101" s="83"/>
      <c r="F101" s="101"/>
      <c r="G101" s="101"/>
      <c r="H101" s="101"/>
      <c r="I101" s="96"/>
      <c r="J101" s="89"/>
      <c r="K101" s="96"/>
      <c r="L101" s="89"/>
      <c r="M101" s="89"/>
      <c r="N101" s="89"/>
      <c r="O101" s="96"/>
      <c r="P101" s="89"/>
      <c r="Q101" s="96"/>
      <c r="R101" s="89"/>
      <c r="S101" s="96"/>
      <c r="T101" s="89"/>
      <c r="U101" s="96"/>
      <c r="V101" s="89"/>
      <c r="W101" s="96"/>
      <c r="X101" s="89"/>
      <c r="Y101" s="96"/>
      <c r="Z101" s="89"/>
      <c r="AA101" s="96"/>
      <c r="AB101" s="89"/>
      <c r="AC101" s="96"/>
      <c r="AD101" s="89"/>
      <c r="AE101" s="96"/>
      <c r="AF101" s="89"/>
      <c r="AG101" s="96"/>
      <c r="AH101" s="89"/>
      <c r="AI101" s="96"/>
      <c r="AJ101" s="89"/>
      <c r="AK101" s="96"/>
      <c r="AL101" s="89"/>
      <c r="AM101" s="77"/>
      <c r="AN101" s="77"/>
      <c r="AO101" s="77"/>
      <c r="AP101" s="77"/>
      <c r="AQ101" s="77"/>
      <c r="AR101" s="77"/>
      <c r="AS101" s="77"/>
      <c r="AT101" s="77"/>
    </row>
    <row r="102" spans="1:46" s="84" customFormat="1" ht="14.25">
      <c r="A102" s="77"/>
      <c r="B102" s="97"/>
      <c r="C102" s="83"/>
      <c r="F102" s="101"/>
      <c r="G102" s="101"/>
      <c r="H102" s="101"/>
      <c r="I102" s="96"/>
      <c r="J102" s="89"/>
      <c r="K102" s="96"/>
      <c r="L102" s="89"/>
      <c r="M102" s="89"/>
      <c r="N102" s="89"/>
      <c r="O102" s="96"/>
      <c r="P102" s="89"/>
      <c r="Q102" s="96"/>
      <c r="R102" s="89"/>
      <c r="S102" s="96"/>
      <c r="T102" s="89"/>
      <c r="U102" s="96"/>
      <c r="V102" s="89"/>
      <c r="W102" s="96"/>
      <c r="X102" s="89"/>
      <c r="Y102" s="96"/>
      <c r="Z102" s="89"/>
      <c r="AA102" s="96"/>
      <c r="AB102" s="89"/>
      <c r="AC102" s="96"/>
      <c r="AD102" s="89"/>
      <c r="AE102" s="96"/>
      <c r="AF102" s="89"/>
      <c r="AG102" s="96"/>
      <c r="AH102" s="89"/>
      <c r="AI102" s="96"/>
      <c r="AJ102" s="89"/>
      <c r="AK102" s="96"/>
      <c r="AL102" s="89"/>
      <c r="AM102" s="77"/>
      <c r="AN102" s="77"/>
      <c r="AO102" s="77"/>
      <c r="AP102" s="77"/>
      <c r="AQ102" s="77"/>
      <c r="AR102" s="77"/>
      <c r="AS102" s="77"/>
      <c r="AT102" s="77"/>
    </row>
    <row r="103" spans="1:46" s="84" customFormat="1" ht="14.25">
      <c r="A103" s="77"/>
      <c r="B103" s="97"/>
      <c r="C103" s="83"/>
      <c r="F103" s="101"/>
      <c r="G103" s="101"/>
      <c r="H103" s="101"/>
      <c r="I103" s="96"/>
      <c r="J103" s="89"/>
      <c r="K103" s="96"/>
      <c r="L103" s="89"/>
      <c r="M103" s="89"/>
      <c r="N103" s="89"/>
      <c r="O103" s="96"/>
      <c r="P103" s="89"/>
      <c r="Q103" s="96"/>
      <c r="R103" s="89"/>
      <c r="S103" s="96"/>
      <c r="T103" s="89"/>
      <c r="U103" s="96"/>
      <c r="V103" s="89"/>
      <c r="W103" s="96"/>
      <c r="X103" s="89"/>
      <c r="Y103" s="96"/>
      <c r="Z103" s="89"/>
      <c r="AA103" s="96"/>
      <c r="AB103" s="89"/>
      <c r="AC103" s="96"/>
      <c r="AD103" s="89"/>
      <c r="AE103" s="96"/>
      <c r="AF103" s="89"/>
      <c r="AG103" s="96"/>
      <c r="AH103" s="89"/>
      <c r="AI103" s="96"/>
      <c r="AJ103" s="89"/>
      <c r="AK103" s="96"/>
      <c r="AL103" s="89"/>
      <c r="AM103" s="77"/>
      <c r="AN103" s="77"/>
      <c r="AO103" s="77"/>
      <c r="AP103" s="77"/>
      <c r="AQ103" s="77"/>
      <c r="AR103" s="77"/>
      <c r="AS103" s="77"/>
      <c r="AT103" s="77"/>
    </row>
    <row r="104" spans="1:46" s="84" customFormat="1" ht="14.25">
      <c r="A104" s="77"/>
      <c r="B104" s="97"/>
      <c r="C104" s="83"/>
      <c r="F104" s="101"/>
      <c r="G104" s="101"/>
      <c r="H104" s="101"/>
      <c r="I104" s="96"/>
      <c r="J104" s="89"/>
      <c r="K104" s="96"/>
      <c r="L104" s="89"/>
      <c r="M104" s="89"/>
      <c r="N104" s="89"/>
      <c r="O104" s="96"/>
      <c r="P104" s="89"/>
      <c r="Q104" s="96"/>
      <c r="R104" s="89"/>
      <c r="S104" s="96"/>
      <c r="T104" s="89"/>
      <c r="U104" s="96"/>
      <c r="V104" s="89"/>
      <c r="W104" s="96"/>
      <c r="X104" s="89"/>
      <c r="Y104" s="96"/>
      <c r="Z104" s="89"/>
      <c r="AA104" s="96"/>
      <c r="AB104" s="89"/>
      <c r="AC104" s="96"/>
      <c r="AD104" s="89"/>
      <c r="AE104" s="96"/>
      <c r="AF104" s="89"/>
      <c r="AG104" s="96"/>
      <c r="AH104" s="89"/>
      <c r="AI104" s="96"/>
      <c r="AJ104" s="89"/>
      <c r="AK104" s="96"/>
      <c r="AL104" s="89"/>
      <c r="AM104" s="77"/>
      <c r="AN104" s="77"/>
      <c r="AO104" s="77"/>
      <c r="AP104" s="77"/>
      <c r="AQ104" s="77"/>
      <c r="AR104" s="77"/>
      <c r="AS104" s="77"/>
      <c r="AT104" s="77"/>
    </row>
    <row r="105" spans="1:46" s="84" customFormat="1" ht="14.25">
      <c r="A105" s="77"/>
      <c r="B105" s="97"/>
      <c r="C105" s="83"/>
      <c r="F105" s="101"/>
      <c r="G105" s="101"/>
      <c r="H105" s="101"/>
      <c r="I105" s="96"/>
      <c r="J105" s="89"/>
      <c r="K105" s="96"/>
      <c r="L105" s="89"/>
      <c r="M105" s="89"/>
      <c r="N105" s="89"/>
      <c r="O105" s="96"/>
      <c r="P105" s="89"/>
      <c r="Q105" s="96"/>
      <c r="R105" s="89"/>
      <c r="S105" s="96"/>
      <c r="T105" s="89"/>
      <c r="U105" s="96"/>
      <c r="V105" s="89"/>
      <c r="W105" s="96"/>
      <c r="X105" s="89"/>
      <c r="Y105" s="96"/>
      <c r="Z105" s="89"/>
      <c r="AA105" s="96"/>
      <c r="AB105" s="89"/>
      <c r="AC105" s="96"/>
      <c r="AD105" s="89"/>
      <c r="AE105" s="96"/>
      <c r="AF105" s="89"/>
      <c r="AG105" s="96"/>
      <c r="AH105" s="89"/>
      <c r="AI105" s="96"/>
      <c r="AJ105" s="89"/>
      <c r="AK105" s="96"/>
      <c r="AL105" s="89"/>
      <c r="AM105" s="77"/>
      <c r="AN105" s="77"/>
      <c r="AO105" s="77"/>
      <c r="AP105" s="77"/>
      <c r="AQ105" s="77"/>
      <c r="AR105" s="77"/>
      <c r="AS105" s="77"/>
      <c r="AT105" s="77"/>
    </row>
    <row r="106" spans="1:46" s="84" customFormat="1" ht="14.25">
      <c r="A106" s="77"/>
      <c r="B106" s="97"/>
      <c r="C106" s="83"/>
      <c r="F106" s="101"/>
      <c r="G106" s="101"/>
      <c r="H106" s="101"/>
      <c r="I106" s="96"/>
      <c r="J106" s="89"/>
      <c r="K106" s="96"/>
      <c r="L106" s="89"/>
      <c r="M106" s="89"/>
      <c r="N106" s="89"/>
      <c r="O106" s="96"/>
      <c r="P106" s="89"/>
      <c r="Q106" s="96"/>
      <c r="R106" s="89"/>
      <c r="S106" s="96"/>
      <c r="T106" s="89"/>
      <c r="U106" s="96"/>
      <c r="V106" s="89"/>
      <c r="W106" s="96"/>
      <c r="X106" s="89"/>
      <c r="Y106" s="96"/>
      <c r="Z106" s="89"/>
      <c r="AA106" s="96"/>
      <c r="AB106" s="89"/>
      <c r="AC106" s="96"/>
      <c r="AD106" s="89"/>
      <c r="AE106" s="96"/>
      <c r="AF106" s="89"/>
      <c r="AG106" s="96"/>
      <c r="AH106" s="89"/>
      <c r="AI106" s="96"/>
      <c r="AJ106" s="89"/>
      <c r="AK106" s="96"/>
      <c r="AL106" s="89"/>
      <c r="AM106" s="77"/>
      <c r="AN106" s="77"/>
      <c r="AO106" s="77"/>
      <c r="AP106" s="77"/>
      <c r="AQ106" s="77"/>
      <c r="AR106" s="77"/>
      <c r="AS106" s="77"/>
      <c r="AT106" s="77"/>
    </row>
  </sheetData>
  <mergeCells count="32">
    <mergeCell ref="G5:G6"/>
    <mergeCell ref="H5:H6"/>
    <mergeCell ref="I5:J5"/>
    <mergeCell ref="K5:L5"/>
    <mergeCell ref="AK5:AL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I4:AJ4"/>
    <mergeCell ref="AK4:AL4"/>
    <mergeCell ref="B2:AL2"/>
    <mergeCell ref="C3:C6"/>
    <mergeCell ref="D3:E6"/>
    <mergeCell ref="F3:H4"/>
    <mergeCell ref="I3:AL3"/>
    <mergeCell ref="I4:N4"/>
    <mergeCell ref="O4:T4"/>
    <mergeCell ref="U4:V4"/>
    <mergeCell ref="M5:N5"/>
    <mergeCell ref="W4:X4"/>
    <mergeCell ref="Y4:AD4"/>
    <mergeCell ref="AE4:AF4"/>
    <mergeCell ref="AG4:AH4"/>
    <mergeCell ref="F5:F6"/>
  </mergeCells>
  <phoneticPr fontId="1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2:AL106"/>
  <sheetViews>
    <sheetView zoomScale="70" zoomScaleNormal="70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Q20" sqref="Q20"/>
    </sheetView>
  </sheetViews>
  <sheetFormatPr defaultColWidth="8.85546875" defaultRowHeight="16.5"/>
  <cols>
    <col min="1" max="1" width="0" style="77" hidden="1" customWidth="1"/>
    <col min="2" max="2" width="13.140625" style="77" hidden="1" customWidth="1"/>
    <col min="3" max="3" width="0" style="102" hidden="1" customWidth="1"/>
    <col min="4" max="4" width="17" style="102" customWidth="1"/>
    <col min="5" max="5" width="8.5703125" style="84" customWidth="1"/>
    <col min="6" max="8" width="17.42578125" style="103" customWidth="1"/>
    <col min="9" max="9" width="10.5703125" style="87" customWidth="1"/>
    <col min="10" max="10" width="10.5703125" style="89" customWidth="1"/>
    <col min="11" max="11" width="10.5703125" style="87" customWidth="1"/>
    <col min="12" max="12" width="10.5703125" style="89" customWidth="1"/>
    <col min="13" max="13" width="10.5703125" style="87" customWidth="1"/>
    <col min="14" max="14" width="10.5703125" style="89" customWidth="1"/>
    <col min="15" max="15" width="10.5703125" style="87" customWidth="1"/>
    <col min="16" max="16" width="10.5703125" style="89" customWidth="1"/>
    <col min="17" max="17" width="10.5703125" style="87" customWidth="1"/>
    <col min="18" max="18" width="10.5703125" style="89" customWidth="1"/>
    <col min="19" max="19" width="10.5703125" style="87" customWidth="1"/>
    <col min="20" max="20" width="10.5703125" style="89" customWidth="1"/>
    <col min="21" max="21" width="10.5703125" style="87" customWidth="1"/>
    <col min="22" max="22" width="10.5703125" style="89" customWidth="1"/>
    <col min="23" max="23" width="10.5703125" style="87" customWidth="1"/>
    <col min="24" max="24" width="10.5703125" style="89" customWidth="1"/>
    <col min="25" max="25" width="10.5703125" style="87" customWidth="1"/>
    <col min="26" max="26" width="10.5703125" style="89" customWidth="1"/>
    <col min="27" max="27" width="10.5703125" style="87" customWidth="1"/>
    <col min="28" max="28" width="10.5703125" style="89" customWidth="1"/>
    <col min="29" max="29" width="10.5703125" style="87" customWidth="1"/>
    <col min="30" max="30" width="10.5703125" style="89" customWidth="1"/>
    <col min="31" max="31" width="10.5703125" style="87" customWidth="1"/>
    <col min="32" max="32" width="10.5703125" style="89" customWidth="1"/>
    <col min="33" max="33" width="10.42578125" style="87" customWidth="1"/>
    <col min="34" max="34" width="10.42578125" style="89" customWidth="1"/>
    <col min="35" max="35" width="10.42578125" style="87" customWidth="1"/>
    <col min="36" max="36" width="10.42578125" style="89" customWidth="1"/>
    <col min="37" max="37" width="10.42578125" style="87" customWidth="1"/>
    <col min="38" max="38" width="10.42578125" style="89" customWidth="1"/>
    <col min="39" max="16384" width="8.85546875" style="77"/>
  </cols>
  <sheetData>
    <row r="2" spans="1:38" ht="38.1" customHeight="1">
      <c r="A2" s="75"/>
      <c r="B2" s="625" t="s">
        <v>301</v>
      </c>
      <c r="C2" s="625"/>
      <c r="D2" s="625"/>
      <c r="E2" s="625"/>
      <c r="F2" s="625"/>
      <c r="G2" s="625"/>
      <c r="H2" s="625"/>
      <c r="I2" s="625"/>
      <c r="J2" s="625"/>
      <c r="K2" s="625"/>
      <c r="L2" s="625"/>
      <c r="M2" s="625"/>
      <c r="N2" s="625"/>
      <c r="O2" s="625"/>
      <c r="P2" s="625"/>
      <c r="Q2" s="625"/>
      <c r="R2" s="625"/>
      <c r="S2" s="625"/>
      <c r="T2" s="625"/>
      <c r="U2" s="625"/>
      <c r="V2" s="625"/>
      <c r="W2" s="625"/>
      <c r="X2" s="625"/>
      <c r="Y2" s="625"/>
      <c r="Z2" s="625"/>
      <c r="AA2" s="625"/>
      <c r="AB2" s="625"/>
      <c r="AC2" s="625"/>
      <c r="AD2" s="625"/>
      <c r="AE2" s="625"/>
      <c r="AF2" s="625"/>
      <c r="AG2" s="625"/>
      <c r="AH2" s="625"/>
      <c r="AI2" s="625"/>
      <c r="AJ2" s="625"/>
      <c r="AK2" s="625"/>
      <c r="AL2" s="625"/>
    </row>
    <row r="3" spans="1:38" ht="25.35" customHeight="1">
      <c r="B3" s="97"/>
      <c r="C3" s="626" t="s">
        <v>139</v>
      </c>
      <c r="D3" s="627" t="s">
        <v>105</v>
      </c>
      <c r="E3" s="627"/>
      <c r="F3" s="635" t="s">
        <v>148</v>
      </c>
      <c r="G3" s="636"/>
      <c r="H3" s="636"/>
      <c r="I3" s="633" t="s">
        <v>299</v>
      </c>
      <c r="J3" s="633"/>
      <c r="K3" s="633"/>
      <c r="L3" s="633"/>
      <c r="M3" s="633"/>
      <c r="N3" s="633"/>
      <c r="O3" s="633"/>
      <c r="P3" s="633"/>
      <c r="Q3" s="633"/>
      <c r="R3" s="633"/>
      <c r="S3" s="633"/>
      <c r="T3" s="633"/>
      <c r="U3" s="633"/>
      <c r="V3" s="633"/>
      <c r="W3" s="633"/>
      <c r="X3" s="633"/>
      <c r="Y3" s="633"/>
      <c r="Z3" s="633"/>
      <c r="AA3" s="633"/>
      <c r="AB3" s="633"/>
      <c r="AC3" s="633"/>
      <c r="AD3" s="633"/>
      <c r="AE3" s="633"/>
      <c r="AF3" s="633"/>
      <c r="AG3" s="633"/>
      <c r="AH3" s="633"/>
      <c r="AI3" s="633"/>
      <c r="AJ3" s="633"/>
      <c r="AK3" s="633"/>
      <c r="AL3" s="633"/>
    </row>
    <row r="4" spans="1:38" ht="25.35" customHeight="1">
      <c r="B4" s="97"/>
      <c r="C4" s="626"/>
      <c r="D4" s="627"/>
      <c r="E4" s="627"/>
      <c r="F4" s="636"/>
      <c r="G4" s="636"/>
      <c r="H4" s="636"/>
      <c r="I4" s="634" t="s">
        <v>140</v>
      </c>
      <c r="J4" s="634"/>
      <c r="K4" s="634"/>
      <c r="L4" s="634"/>
      <c r="M4" s="634"/>
      <c r="N4" s="634"/>
      <c r="O4" s="634" t="s">
        <v>141</v>
      </c>
      <c r="P4" s="634"/>
      <c r="Q4" s="634"/>
      <c r="R4" s="634"/>
      <c r="S4" s="634"/>
      <c r="T4" s="634"/>
      <c r="U4" s="634" t="s">
        <v>142</v>
      </c>
      <c r="V4" s="634"/>
      <c r="W4" s="634" t="s">
        <v>143</v>
      </c>
      <c r="X4" s="634"/>
      <c r="Y4" s="634" t="s">
        <v>134</v>
      </c>
      <c r="Z4" s="634"/>
      <c r="AA4" s="634"/>
      <c r="AB4" s="634"/>
      <c r="AC4" s="634"/>
      <c r="AD4" s="634"/>
      <c r="AE4" s="634" t="s">
        <v>132</v>
      </c>
      <c r="AF4" s="634"/>
      <c r="AG4" s="634" t="s">
        <v>144</v>
      </c>
      <c r="AH4" s="634"/>
      <c r="AI4" s="634" t="s">
        <v>145</v>
      </c>
      <c r="AJ4" s="634"/>
      <c r="AK4" s="634" t="s">
        <v>138</v>
      </c>
      <c r="AL4" s="634"/>
    </row>
    <row r="5" spans="1:38" ht="25.35" customHeight="1">
      <c r="B5" s="97"/>
      <c r="C5" s="626"/>
      <c r="D5" s="627"/>
      <c r="E5" s="627"/>
      <c r="F5" s="632" t="s">
        <v>115</v>
      </c>
      <c r="G5" s="632" t="s">
        <v>117</v>
      </c>
      <c r="H5" s="632" t="s">
        <v>118</v>
      </c>
      <c r="I5" s="634" t="s">
        <v>129</v>
      </c>
      <c r="J5" s="634"/>
      <c r="K5" s="634" t="s">
        <v>130</v>
      </c>
      <c r="L5" s="634"/>
      <c r="M5" s="637" t="s">
        <v>146</v>
      </c>
      <c r="N5" s="634"/>
      <c r="O5" s="634" t="s">
        <v>129</v>
      </c>
      <c r="P5" s="634"/>
      <c r="Q5" s="634" t="s">
        <v>130</v>
      </c>
      <c r="R5" s="634"/>
      <c r="S5" s="637" t="s">
        <v>146</v>
      </c>
      <c r="T5" s="634"/>
      <c r="U5" s="634" t="s">
        <v>129</v>
      </c>
      <c r="V5" s="634"/>
      <c r="W5" s="634" t="s">
        <v>129</v>
      </c>
      <c r="X5" s="634"/>
      <c r="Y5" s="634" t="s">
        <v>129</v>
      </c>
      <c r="Z5" s="634"/>
      <c r="AA5" s="634" t="s">
        <v>130</v>
      </c>
      <c r="AB5" s="634"/>
      <c r="AC5" s="637" t="s">
        <v>146</v>
      </c>
      <c r="AD5" s="634"/>
      <c r="AE5" s="634" t="s">
        <v>129</v>
      </c>
      <c r="AF5" s="634"/>
      <c r="AG5" s="634" t="s">
        <v>129</v>
      </c>
      <c r="AH5" s="634"/>
      <c r="AI5" s="634" t="s">
        <v>129</v>
      </c>
      <c r="AJ5" s="634"/>
      <c r="AK5" s="634" t="s">
        <v>129</v>
      </c>
      <c r="AL5" s="634"/>
    </row>
    <row r="6" spans="1:38" s="80" customFormat="1" ht="23.45" customHeight="1">
      <c r="B6" s="97"/>
      <c r="C6" s="626"/>
      <c r="D6" s="627"/>
      <c r="E6" s="627"/>
      <c r="F6" s="632"/>
      <c r="G6" s="632"/>
      <c r="H6" s="632"/>
      <c r="I6" s="104" t="s">
        <v>149</v>
      </c>
      <c r="J6" s="99" t="s">
        <v>113</v>
      </c>
      <c r="K6" s="104" t="s">
        <v>149</v>
      </c>
      <c r="L6" s="99" t="s">
        <v>113</v>
      </c>
      <c r="M6" s="104" t="s">
        <v>149</v>
      </c>
      <c r="N6" s="99" t="s">
        <v>113</v>
      </c>
      <c r="O6" s="104" t="s">
        <v>149</v>
      </c>
      <c r="P6" s="99" t="s">
        <v>113</v>
      </c>
      <c r="Q6" s="104" t="s">
        <v>149</v>
      </c>
      <c r="R6" s="99" t="s">
        <v>113</v>
      </c>
      <c r="S6" s="104" t="s">
        <v>149</v>
      </c>
      <c r="T6" s="99" t="s">
        <v>113</v>
      </c>
      <c r="U6" s="104" t="s">
        <v>149</v>
      </c>
      <c r="V6" s="99" t="s">
        <v>113</v>
      </c>
      <c r="W6" s="104" t="s">
        <v>149</v>
      </c>
      <c r="X6" s="99" t="s">
        <v>113</v>
      </c>
      <c r="Y6" s="104" t="s">
        <v>149</v>
      </c>
      <c r="Z6" s="99" t="s">
        <v>113</v>
      </c>
      <c r="AA6" s="104" t="s">
        <v>149</v>
      </c>
      <c r="AB6" s="99" t="s">
        <v>113</v>
      </c>
      <c r="AC6" s="104" t="s">
        <v>149</v>
      </c>
      <c r="AD6" s="99" t="s">
        <v>113</v>
      </c>
      <c r="AE6" s="104" t="s">
        <v>149</v>
      </c>
      <c r="AF6" s="99" t="s">
        <v>113</v>
      </c>
      <c r="AG6" s="104" t="s">
        <v>149</v>
      </c>
      <c r="AH6" s="99" t="s">
        <v>113</v>
      </c>
      <c r="AI6" s="104" t="s">
        <v>149</v>
      </c>
      <c r="AJ6" s="99" t="s">
        <v>113</v>
      </c>
      <c r="AK6" s="104" t="s">
        <v>149</v>
      </c>
      <c r="AL6" s="99" t="s">
        <v>113</v>
      </c>
    </row>
    <row r="7" spans="1:38" ht="14.25">
      <c r="B7" s="97"/>
      <c r="C7" s="83"/>
      <c r="D7" s="299">
        <v>46266</v>
      </c>
      <c r="E7" s="299" t="s">
        <v>439</v>
      </c>
      <c r="F7" s="87">
        <f t="shared" ref="F7" si="0">SUM(M7,S7,U7,W7,AC7,AE7,AG7,AI7,AK7)</f>
        <v>310731</v>
      </c>
      <c r="G7" s="301"/>
      <c r="H7" s="87"/>
      <c r="I7" s="234">
        <v>58659</v>
      </c>
      <c r="J7" s="100">
        <f t="shared" ref="J7:J13" si="1">I7/F7</f>
        <v>0.18877743128300684</v>
      </c>
      <c r="K7" s="234">
        <v>69362</v>
      </c>
      <c r="L7" s="100">
        <f t="shared" ref="L7:L13" si="2">K7/F7</f>
        <v>0.22322201518355106</v>
      </c>
      <c r="M7" s="105">
        <f t="shared" ref="M7:M13" si="3">SUM(I7+K7)</f>
        <v>128021</v>
      </c>
      <c r="N7" s="100">
        <f t="shared" ref="N7:N13" si="4">M7/F7</f>
        <v>0.41199944646655789</v>
      </c>
      <c r="O7" s="234">
        <v>8192</v>
      </c>
      <c r="P7" s="100">
        <f t="shared" ref="P7:P13" si="5">O7/F7</f>
        <v>2.6363639289288806E-2</v>
      </c>
      <c r="Q7" s="234"/>
      <c r="R7" s="100">
        <f t="shared" ref="R7:R13" si="6">Q7/F7</f>
        <v>0</v>
      </c>
      <c r="S7" s="105">
        <f t="shared" ref="S7:S13" si="7">SUM(O7+Q7)</f>
        <v>8192</v>
      </c>
      <c r="T7" s="100">
        <f t="shared" ref="T7:T13" si="8">S7/F7</f>
        <v>2.6363639289288806E-2</v>
      </c>
      <c r="U7" s="234">
        <v>32286</v>
      </c>
      <c r="V7" s="100">
        <f t="shared" ref="V7:V13" si="9">U7/F7</f>
        <v>0.10390337623217509</v>
      </c>
      <c r="W7" s="234"/>
      <c r="X7" s="100">
        <f t="shared" ref="X7:X13" si="10">W7/F7</f>
        <v>0</v>
      </c>
      <c r="Y7" s="234">
        <v>26535</v>
      </c>
      <c r="Z7" s="100">
        <f t="shared" ref="Z7:Z13" si="11">Y7/F7</f>
        <v>8.5395406316074035E-2</v>
      </c>
      <c r="AA7" s="234">
        <v>23993</v>
      </c>
      <c r="AB7" s="100">
        <f t="shared" ref="AB7:AB13" si="12">AA7/F7</f>
        <v>7.7214696956531534E-2</v>
      </c>
      <c r="AC7" s="105">
        <f t="shared" ref="AC7:AC13" si="13">SUM(Y7+AA7)</f>
        <v>50528</v>
      </c>
      <c r="AD7" s="100">
        <f t="shared" ref="AD7:AD13" si="14">AC7/F7</f>
        <v>0.16261010327260556</v>
      </c>
      <c r="AE7" s="234">
        <v>23115</v>
      </c>
      <c r="AF7" s="100">
        <f t="shared" ref="AF7:AF13" si="15">AE7/F7</f>
        <v>7.4389101827625828E-2</v>
      </c>
      <c r="AG7" s="234">
        <v>21609</v>
      </c>
      <c r="AH7" s="100">
        <f t="shared" ref="AH7:AH13" si="16">AG7/F7</f>
        <v>6.9542465991484601E-2</v>
      </c>
      <c r="AI7" s="234">
        <v>21005</v>
      </c>
      <c r="AJ7" s="100">
        <f t="shared" ref="AJ7:AJ13" si="17">AI7/F7</f>
        <v>6.759866250872941E-2</v>
      </c>
      <c r="AK7" s="234">
        <v>25975</v>
      </c>
      <c r="AL7" s="100">
        <f t="shared" ref="AL7:AL13" si="18">AK7/F7</f>
        <v>8.3593204411532798E-2</v>
      </c>
    </row>
    <row r="8" spans="1:38" ht="14.25">
      <c r="B8" s="97"/>
      <c r="C8" s="83"/>
      <c r="D8" s="299">
        <f t="shared" ref="D8" si="19">D7+1</f>
        <v>46267</v>
      </c>
      <c r="E8" s="299" t="s">
        <v>440</v>
      </c>
      <c r="F8" s="87">
        <f>SUM(M8,S8,U8,W8,AC8,AE8,AG8,AI8,AK8)</f>
        <v>288038</v>
      </c>
      <c r="G8" s="301">
        <f>SUM(F7:F13)</f>
        <v>1983602</v>
      </c>
      <c r="H8" s="314"/>
      <c r="I8" s="234">
        <v>51569</v>
      </c>
      <c r="J8" s="100">
        <f t="shared" si="1"/>
        <v>0.17903540505072246</v>
      </c>
      <c r="K8" s="234">
        <v>65881</v>
      </c>
      <c r="L8" s="100">
        <f t="shared" si="2"/>
        <v>0.2287232934543359</v>
      </c>
      <c r="M8" s="105">
        <f t="shared" si="3"/>
        <v>117450</v>
      </c>
      <c r="N8" s="100">
        <f t="shared" si="4"/>
        <v>0.40775869850505836</v>
      </c>
      <c r="O8" s="234">
        <v>8105</v>
      </c>
      <c r="P8" s="100">
        <f t="shared" si="5"/>
        <v>2.8138648372784146E-2</v>
      </c>
      <c r="Q8" s="234"/>
      <c r="R8" s="100">
        <f t="shared" si="6"/>
        <v>0</v>
      </c>
      <c r="S8" s="105">
        <f t="shared" si="7"/>
        <v>8105</v>
      </c>
      <c r="T8" s="100">
        <f t="shared" si="8"/>
        <v>2.8138648372784146E-2</v>
      </c>
      <c r="U8" s="234">
        <v>29482</v>
      </c>
      <c r="V8" s="100">
        <f t="shared" si="9"/>
        <v>0.10235455044126122</v>
      </c>
      <c r="W8" s="234"/>
      <c r="X8" s="100">
        <f t="shared" si="10"/>
        <v>0</v>
      </c>
      <c r="Y8" s="234">
        <v>26903</v>
      </c>
      <c r="Z8" s="100">
        <f t="shared" si="11"/>
        <v>9.3400870718446868E-2</v>
      </c>
      <c r="AA8" s="234">
        <v>23008</v>
      </c>
      <c r="AB8" s="100">
        <f t="shared" si="12"/>
        <v>7.9878349384456218E-2</v>
      </c>
      <c r="AC8" s="105">
        <f t="shared" si="13"/>
        <v>49911</v>
      </c>
      <c r="AD8" s="100">
        <f t="shared" si="14"/>
        <v>0.17327922010290309</v>
      </c>
      <c r="AE8" s="234">
        <v>22009</v>
      </c>
      <c r="AF8" s="100">
        <f t="shared" si="15"/>
        <v>7.6410057006367216E-2</v>
      </c>
      <c r="AG8" s="234">
        <v>18193</v>
      </c>
      <c r="AH8" s="100">
        <f t="shared" si="16"/>
        <v>6.3161805039612828E-2</v>
      </c>
      <c r="AI8" s="234">
        <v>19448</v>
      </c>
      <c r="AJ8" s="100">
        <f t="shared" si="17"/>
        <v>6.7518869038113022E-2</v>
      </c>
      <c r="AK8" s="234">
        <v>23440</v>
      </c>
      <c r="AL8" s="100">
        <f t="shared" si="18"/>
        <v>8.1378151493900111E-2</v>
      </c>
    </row>
    <row r="9" spans="1:38" ht="14.25">
      <c r="B9" s="97"/>
      <c r="C9" s="83"/>
      <c r="D9" s="299">
        <f>D8+1</f>
        <v>46268</v>
      </c>
      <c r="E9" s="299" t="s">
        <v>441</v>
      </c>
      <c r="F9" s="87">
        <f t="shared" ref="F9:F44" si="20">SUM(M9,S9,U9,W9,AC9,AE9,AG9,AI9,AK9)</f>
        <v>265421</v>
      </c>
      <c r="G9" s="301"/>
      <c r="I9" s="234">
        <v>47863</v>
      </c>
      <c r="J9" s="100">
        <f t="shared" si="1"/>
        <v>0.18032861001955383</v>
      </c>
      <c r="K9" s="234">
        <v>59715</v>
      </c>
      <c r="L9" s="100">
        <f t="shared" si="2"/>
        <v>0.22498219809284117</v>
      </c>
      <c r="M9" s="105">
        <f t="shared" si="3"/>
        <v>107578</v>
      </c>
      <c r="N9" s="100">
        <f t="shared" si="4"/>
        <v>0.405310808112395</v>
      </c>
      <c r="O9" s="234">
        <v>7908</v>
      </c>
      <c r="P9" s="100">
        <f t="shared" si="5"/>
        <v>2.9794176044849505E-2</v>
      </c>
      <c r="Q9" s="234"/>
      <c r="R9" s="100">
        <f t="shared" si="6"/>
        <v>0</v>
      </c>
      <c r="S9" s="105">
        <f t="shared" si="7"/>
        <v>7908</v>
      </c>
      <c r="T9" s="100">
        <f t="shared" si="8"/>
        <v>2.9794176044849505E-2</v>
      </c>
      <c r="U9" s="234">
        <v>26814</v>
      </c>
      <c r="V9" s="100">
        <f t="shared" si="9"/>
        <v>0.10102441027650412</v>
      </c>
      <c r="W9" s="234"/>
      <c r="X9" s="100">
        <f t="shared" si="10"/>
        <v>0</v>
      </c>
      <c r="Y9" s="234">
        <v>25255</v>
      </c>
      <c r="Z9" s="100">
        <f t="shared" si="11"/>
        <v>9.5150722813944641E-2</v>
      </c>
      <c r="AA9" s="234">
        <v>17994</v>
      </c>
      <c r="AB9" s="100">
        <f t="shared" si="12"/>
        <v>6.7794183580048295E-2</v>
      </c>
      <c r="AC9" s="105">
        <f t="shared" si="13"/>
        <v>43249</v>
      </c>
      <c r="AD9" s="100">
        <f t="shared" si="14"/>
        <v>0.16294490639399295</v>
      </c>
      <c r="AE9" s="234">
        <v>21438</v>
      </c>
      <c r="AF9" s="100">
        <f t="shared" si="15"/>
        <v>8.0769795909140574E-2</v>
      </c>
      <c r="AG9" s="234">
        <v>16918</v>
      </c>
      <c r="AH9" s="100">
        <f t="shared" si="16"/>
        <v>6.3740246627056643E-2</v>
      </c>
      <c r="AI9" s="234">
        <v>18953</v>
      </c>
      <c r="AJ9" s="100">
        <f t="shared" si="17"/>
        <v>7.1407311403393098E-2</v>
      </c>
      <c r="AK9" s="234">
        <v>22563</v>
      </c>
      <c r="AL9" s="100">
        <f t="shared" si="18"/>
        <v>8.5008345232668106E-2</v>
      </c>
    </row>
    <row r="10" spans="1:38" ht="14.25">
      <c r="B10" s="97"/>
      <c r="C10" s="83"/>
      <c r="D10" s="299">
        <f t="shared" ref="D10:D36" si="21">D9+1</f>
        <v>46269</v>
      </c>
      <c r="E10" s="299" t="s">
        <v>442</v>
      </c>
      <c r="F10" s="87">
        <f t="shared" si="20"/>
        <v>233074</v>
      </c>
      <c r="G10" s="301"/>
      <c r="H10" s="341"/>
      <c r="I10" s="234">
        <v>44117</v>
      </c>
      <c r="J10" s="100">
        <f t="shared" si="1"/>
        <v>0.18928323193492197</v>
      </c>
      <c r="K10" s="234">
        <v>54144</v>
      </c>
      <c r="L10" s="100">
        <f t="shared" si="2"/>
        <v>0.23230390348129779</v>
      </c>
      <c r="M10" s="105">
        <f t="shared" si="3"/>
        <v>98261</v>
      </c>
      <c r="N10" s="100">
        <f t="shared" si="4"/>
        <v>0.42158713541621973</v>
      </c>
      <c r="O10" s="234">
        <v>6421</v>
      </c>
      <c r="P10" s="100">
        <f t="shared" si="5"/>
        <v>2.7549190385886029E-2</v>
      </c>
      <c r="Q10" s="234"/>
      <c r="R10" s="100">
        <f t="shared" si="6"/>
        <v>0</v>
      </c>
      <c r="S10" s="105">
        <f t="shared" si="7"/>
        <v>6421</v>
      </c>
      <c r="T10" s="100">
        <f t="shared" si="8"/>
        <v>2.7549190385886029E-2</v>
      </c>
      <c r="U10" s="234">
        <v>23823</v>
      </c>
      <c r="V10" s="100">
        <f t="shared" si="9"/>
        <v>0.10221217295794469</v>
      </c>
      <c r="W10" s="234"/>
      <c r="X10" s="100">
        <f t="shared" si="10"/>
        <v>0</v>
      </c>
      <c r="Y10" s="234">
        <v>22129</v>
      </c>
      <c r="Z10" s="100">
        <f t="shared" si="11"/>
        <v>9.4944095008452245E-2</v>
      </c>
      <c r="AA10" s="234">
        <v>18357</v>
      </c>
      <c r="AB10" s="100">
        <f t="shared" si="12"/>
        <v>7.8760393694706402E-2</v>
      </c>
      <c r="AC10" s="105">
        <f t="shared" si="13"/>
        <v>40486</v>
      </c>
      <c r="AD10" s="100">
        <f t="shared" si="14"/>
        <v>0.17370448870315866</v>
      </c>
      <c r="AE10" s="234">
        <v>15459</v>
      </c>
      <c r="AF10" s="100">
        <f t="shared" si="15"/>
        <v>6.632657439268215E-2</v>
      </c>
      <c r="AG10" s="234">
        <v>12873</v>
      </c>
      <c r="AH10" s="100">
        <f t="shared" si="16"/>
        <v>5.5231385740151198E-2</v>
      </c>
      <c r="AI10" s="234">
        <v>18496</v>
      </c>
      <c r="AJ10" s="100">
        <f t="shared" si="17"/>
        <v>7.9356770810987062E-2</v>
      </c>
      <c r="AK10" s="234">
        <v>17255</v>
      </c>
      <c r="AL10" s="100">
        <f t="shared" si="18"/>
        <v>7.403228159297047E-2</v>
      </c>
    </row>
    <row r="11" spans="1:38" ht="14.25">
      <c r="B11" s="97"/>
      <c r="C11" s="83"/>
      <c r="D11" s="299">
        <f t="shared" si="21"/>
        <v>46270</v>
      </c>
      <c r="E11" s="299" t="s">
        <v>443</v>
      </c>
      <c r="F11" s="87">
        <f t="shared" si="20"/>
        <v>246794</v>
      </c>
      <c r="G11" s="301"/>
      <c r="H11" s="341"/>
      <c r="I11" s="234">
        <v>39918</v>
      </c>
      <c r="J11" s="100">
        <f t="shared" si="1"/>
        <v>0.16174623370098137</v>
      </c>
      <c r="K11" s="234">
        <v>59747</v>
      </c>
      <c r="L11" s="100">
        <f t="shared" si="2"/>
        <v>0.24209259544397352</v>
      </c>
      <c r="M11" s="105">
        <f t="shared" si="3"/>
        <v>99665</v>
      </c>
      <c r="N11" s="100">
        <f t="shared" si="4"/>
        <v>0.40383882914495489</v>
      </c>
      <c r="O11" s="234">
        <v>6238</v>
      </c>
      <c r="P11" s="100">
        <f t="shared" si="5"/>
        <v>2.5276141235200209E-2</v>
      </c>
      <c r="Q11" s="234"/>
      <c r="R11" s="100">
        <f t="shared" si="6"/>
        <v>0</v>
      </c>
      <c r="S11" s="105">
        <f t="shared" si="7"/>
        <v>6238</v>
      </c>
      <c r="T11" s="100">
        <f t="shared" si="8"/>
        <v>2.5276141235200209E-2</v>
      </c>
      <c r="U11" s="234">
        <v>26830</v>
      </c>
      <c r="V11" s="100">
        <f t="shared" si="9"/>
        <v>0.10871415026297236</v>
      </c>
      <c r="W11" s="234"/>
      <c r="X11" s="100">
        <f t="shared" si="10"/>
        <v>0</v>
      </c>
      <c r="Y11" s="234">
        <v>22420</v>
      </c>
      <c r="Z11" s="100">
        <f t="shared" si="11"/>
        <v>9.0844996231674996E-2</v>
      </c>
      <c r="AA11" s="234">
        <v>20963</v>
      </c>
      <c r="AB11" s="100">
        <f t="shared" si="12"/>
        <v>8.4941287065325735E-2</v>
      </c>
      <c r="AC11" s="105">
        <f t="shared" si="13"/>
        <v>43383</v>
      </c>
      <c r="AD11" s="100">
        <f t="shared" si="14"/>
        <v>0.17578628329700074</v>
      </c>
      <c r="AE11" s="234">
        <v>17271</v>
      </c>
      <c r="AF11" s="100">
        <f t="shared" si="15"/>
        <v>6.9981442012366585E-2</v>
      </c>
      <c r="AG11" s="234">
        <v>14724</v>
      </c>
      <c r="AH11" s="100">
        <f t="shared" si="16"/>
        <v>5.9661093867760154E-2</v>
      </c>
      <c r="AI11" s="234">
        <v>20144</v>
      </c>
      <c r="AJ11" s="100">
        <f t="shared" si="17"/>
        <v>8.1622729888084805E-2</v>
      </c>
      <c r="AK11" s="234">
        <v>18539</v>
      </c>
      <c r="AL11" s="100">
        <f t="shared" si="18"/>
        <v>7.511933029166025E-2</v>
      </c>
    </row>
    <row r="12" spans="1:38" ht="14.25">
      <c r="B12" s="97"/>
      <c r="C12" s="83"/>
      <c r="D12" s="299">
        <f t="shared" si="21"/>
        <v>46271</v>
      </c>
      <c r="E12" s="299" t="s">
        <v>444</v>
      </c>
      <c r="F12" s="87">
        <f t="shared" si="20"/>
        <v>321787</v>
      </c>
      <c r="G12" s="301"/>
      <c r="H12" s="341">
        <f>SUM(F8:F38)</f>
        <v>1672871</v>
      </c>
      <c r="I12" s="234">
        <v>56539</v>
      </c>
      <c r="J12" s="100">
        <f t="shared" si="1"/>
        <v>0.17570318254000317</v>
      </c>
      <c r="K12" s="234">
        <v>70947</v>
      </c>
      <c r="L12" s="100">
        <f t="shared" si="2"/>
        <v>0.22047814237368196</v>
      </c>
      <c r="M12" s="105">
        <f t="shared" si="3"/>
        <v>127486</v>
      </c>
      <c r="N12" s="100">
        <f t="shared" si="4"/>
        <v>0.39618132491368513</v>
      </c>
      <c r="O12" s="234">
        <v>8424</v>
      </c>
      <c r="P12" s="100">
        <f t="shared" si="5"/>
        <v>2.6178807720635078E-2</v>
      </c>
      <c r="Q12" s="234"/>
      <c r="R12" s="100">
        <f t="shared" si="6"/>
        <v>0</v>
      </c>
      <c r="S12" s="105">
        <f t="shared" si="7"/>
        <v>8424</v>
      </c>
      <c r="T12" s="100">
        <f t="shared" si="8"/>
        <v>2.6178807720635078E-2</v>
      </c>
      <c r="U12" s="234">
        <v>35211</v>
      </c>
      <c r="V12" s="100">
        <f t="shared" si="9"/>
        <v>0.10942331417987675</v>
      </c>
      <c r="W12" s="234"/>
      <c r="X12" s="100">
        <f t="shared" si="10"/>
        <v>0</v>
      </c>
      <c r="Y12" s="234">
        <v>29274</v>
      </c>
      <c r="Z12" s="100">
        <f t="shared" si="11"/>
        <v>9.0973221416651387E-2</v>
      </c>
      <c r="AA12" s="234">
        <v>24998</v>
      </c>
      <c r="AB12" s="100">
        <f t="shared" si="12"/>
        <v>7.7684928228921618E-2</v>
      </c>
      <c r="AC12" s="105">
        <f t="shared" si="13"/>
        <v>54272</v>
      </c>
      <c r="AD12" s="100">
        <f t="shared" si="14"/>
        <v>0.16865814964557299</v>
      </c>
      <c r="AE12" s="234">
        <v>26083</v>
      </c>
      <c r="AF12" s="100">
        <f t="shared" si="15"/>
        <v>8.1056723857707111E-2</v>
      </c>
      <c r="AG12" s="234">
        <v>20732</v>
      </c>
      <c r="AH12" s="100">
        <f t="shared" si="16"/>
        <v>6.4427711498600007E-2</v>
      </c>
      <c r="AI12" s="234">
        <v>24359</v>
      </c>
      <c r="AJ12" s="100">
        <f t="shared" si="17"/>
        <v>7.5699142600540115E-2</v>
      </c>
      <c r="AK12" s="234">
        <v>25220</v>
      </c>
      <c r="AL12" s="100">
        <f t="shared" si="18"/>
        <v>7.8374825583382796E-2</v>
      </c>
    </row>
    <row r="13" spans="1:38" ht="14.25">
      <c r="B13" s="97"/>
      <c r="C13" s="83"/>
      <c r="D13" s="299">
        <f t="shared" si="21"/>
        <v>46272</v>
      </c>
      <c r="E13" s="299" t="s">
        <v>438</v>
      </c>
      <c r="F13" s="87">
        <f t="shared" si="20"/>
        <v>317757</v>
      </c>
      <c r="G13" s="301"/>
      <c r="H13" s="341"/>
      <c r="I13" s="234">
        <v>55002</v>
      </c>
      <c r="J13" s="100">
        <f t="shared" si="1"/>
        <v>0.17309453450278042</v>
      </c>
      <c r="K13" s="234">
        <v>69934</v>
      </c>
      <c r="L13" s="100">
        <f t="shared" si="2"/>
        <v>0.22008641823783584</v>
      </c>
      <c r="M13" s="105">
        <f t="shared" si="3"/>
        <v>124936</v>
      </c>
      <c r="N13" s="100">
        <f t="shared" si="4"/>
        <v>0.39318095274061626</v>
      </c>
      <c r="O13" s="234">
        <v>8595</v>
      </c>
      <c r="P13" s="100">
        <f t="shared" si="5"/>
        <v>2.7048971383793276E-2</v>
      </c>
      <c r="Q13" s="234"/>
      <c r="R13" s="100">
        <f t="shared" si="6"/>
        <v>0</v>
      </c>
      <c r="S13" s="105">
        <f t="shared" si="7"/>
        <v>8595</v>
      </c>
      <c r="T13" s="100">
        <f t="shared" si="8"/>
        <v>2.7048971383793276E-2</v>
      </c>
      <c r="U13" s="234">
        <v>35820</v>
      </c>
      <c r="V13" s="100">
        <f t="shared" si="9"/>
        <v>0.11272765037434265</v>
      </c>
      <c r="W13" s="234"/>
      <c r="X13" s="100">
        <f t="shared" si="10"/>
        <v>0</v>
      </c>
      <c r="Y13" s="234">
        <v>28482</v>
      </c>
      <c r="Z13" s="100">
        <f t="shared" si="11"/>
        <v>8.9634532048074478E-2</v>
      </c>
      <c r="AA13" s="234">
        <v>24225</v>
      </c>
      <c r="AB13" s="100">
        <f t="shared" si="12"/>
        <v>7.6237502242279473E-2</v>
      </c>
      <c r="AC13" s="105">
        <f t="shared" si="13"/>
        <v>52707</v>
      </c>
      <c r="AD13" s="100">
        <f t="shared" si="14"/>
        <v>0.16587203429035394</v>
      </c>
      <c r="AE13" s="234">
        <v>24383</v>
      </c>
      <c r="AF13" s="100">
        <f t="shared" si="15"/>
        <v>7.6734737551021698E-2</v>
      </c>
      <c r="AG13" s="234">
        <v>19962</v>
      </c>
      <c r="AH13" s="100">
        <f t="shared" si="16"/>
        <v>6.2821590082987946E-2</v>
      </c>
      <c r="AI13" s="234">
        <v>23946</v>
      </c>
      <c r="AJ13" s="100">
        <f t="shared" si="17"/>
        <v>7.5359472804690381E-2</v>
      </c>
      <c r="AK13" s="234">
        <v>27408</v>
      </c>
      <c r="AL13" s="100">
        <f t="shared" si="18"/>
        <v>8.6254590772193843E-2</v>
      </c>
    </row>
    <row r="14" spans="1:38" ht="14.25">
      <c r="B14" s="97"/>
      <c r="C14" s="83"/>
      <c r="D14" s="355">
        <f t="shared" si="21"/>
        <v>46273</v>
      </c>
      <c r="E14" s="355" t="s">
        <v>439</v>
      </c>
      <c r="F14" s="87">
        <f t="shared" si="20"/>
        <v>0</v>
      </c>
      <c r="G14" s="301">
        <f>SUM(F14:F20)</f>
        <v>0</v>
      </c>
      <c r="H14" s="341"/>
      <c r="I14" s="234"/>
      <c r="J14" s="100" t="e">
        <f>I14/F14</f>
        <v>#DIV/0!</v>
      </c>
      <c r="K14" s="234"/>
      <c r="L14" s="100" t="e">
        <f>K14/F14</f>
        <v>#DIV/0!</v>
      </c>
      <c r="M14" s="105">
        <f>SUM(I14+K14)</f>
        <v>0</v>
      </c>
      <c r="N14" s="100" t="e">
        <f>M14/F14</f>
        <v>#DIV/0!</v>
      </c>
      <c r="O14" s="234"/>
      <c r="P14" s="100" t="e">
        <f>O14/F14</f>
        <v>#DIV/0!</v>
      </c>
      <c r="Q14" s="234"/>
      <c r="R14" s="100" t="e">
        <f t="shared" ref="R14" si="22">Q14/F14</f>
        <v>#DIV/0!</v>
      </c>
      <c r="S14" s="105">
        <f t="shared" ref="S14" si="23">SUM(O14+Q14)</f>
        <v>0</v>
      </c>
      <c r="T14" s="100" t="e">
        <f>S14/F14</f>
        <v>#DIV/0!</v>
      </c>
      <c r="U14" s="234"/>
      <c r="V14" s="100" t="e">
        <f>U14/F14</f>
        <v>#DIV/0!</v>
      </c>
      <c r="W14" s="234"/>
      <c r="X14" s="100" t="e">
        <f>W14/F14</f>
        <v>#DIV/0!</v>
      </c>
      <c r="Y14" s="234"/>
      <c r="Z14" s="100" t="e">
        <f>Y14/F14</f>
        <v>#DIV/0!</v>
      </c>
      <c r="AA14" s="234"/>
      <c r="AB14" s="100" t="e">
        <f t="shared" ref="AB14" si="24">AA14/F14</f>
        <v>#DIV/0!</v>
      </c>
      <c r="AC14" s="105">
        <f>SUM(Y14+AA14)</f>
        <v>0</v>
      </c>
      <c r="AD14" s="100" t="e">
        <f>AC14/F14</f>
        <v>#DIV/0!</v>
      </c>
      <c r="AE14" s="234"/>
      <c r="AF14" s="100" t="e">
        <f>AE14/F14</f>
        <v>#DIV/0!</v>
      </c>
      <c r="AG14" s="234"/>
      <c r="AH14" s="100" t="e">
        <f>AG14/F14</f>
        <v>#DIV/0!</v>
      </c>
      <c r="AI14" s="234"/>
      <c r="AJ14" s="100" t="e">
        <f>AI14/F14</f>
        <v>#DIV/0!</v>
      </c>
      <c r="AK14" s="234"/>
      <c r="AL14" s="100" t="e">
        <f>AK14/F14</f>
        <v>#DIV/0!</v>
      </c>
    </row>
    <row r="15" spans="1:38" ht="14.25">
      <c r="B15" s="97"/>
      <c r="C15" s="83"/>
      <c r="D15" s="355">
        <f t="shared" si="21"/>
        <v>46274</v>
      </c>
      <c r="E15" s="355" t="s">
        <v>440</v>
      </c>
      <c r="F15" s="87">
        <f t="shared" si="20"/>
        <v>0</v>
      </c>
      <c r="G15" s="301"/>
      <c r="H15" s="341"/>
      <c r="I15" s="234"/>
      <c r="J15" s="100" t="e">
        <f t="shared" ref="J15:J48" si="25">I15/F15</f>
        <v>#DIV/0!</v>
      </c>
      <c r="K15" s="234"/>
      <c r="L15" s="100" t="e">
        <f t="shared" ref="L15:L48" si="26">K15/F15</f>
        <v>#DIV/0!</v>
      </c>
      <c r="M15" s="105">
        <f t="shared" ref="M15:M48" si="27">SUM(I15+K15)</f>
        <v>0</v>
      </c>
      <c r="N15" s="100" t="e">
        <f t="shared" ref="N15:N48" si="28">M15/F15</f>
        <v>#DIV/0!</v>
      </c>
      <c r="O15" s="234"/>
      <c r="P15" s="100" t="e">
        <f t="shared" ref="P15:P48" si="29">O15/F15</f>
        <v>#DIV/0!</v>
      </c>
      <c r="Q15" s="234"/>
      <c r="R15" s="100" t="e">
        <f t="shared" ref="R15:R48" si="30">Q15/F15</f>
        <v>#DIV/0!</v>
      </c>
      <c r="S15" s="105">
        <f t="shared" ref="S15:S48" si="31">SUM(O15+Q15)</f>
        <v>0</v>
      </c>
      <c r="T15" s="100" t="e">
        <f t="shared" ref="T15:T48" si="32">S15/F15</f>
        <v>#DIV/0!</v>
      </c>
      <c r="U15" s="234"/>
      <c r="V15" s="100" t="e">
        <f t="shared" ref="V15:V48" si="33">U15/F15</f>
        <v>#DIV/0!</v>
      </c>
      <c r="W15" s="234"/>
      <c r="X15" s="100" t="e">
        <f t="shared" ref="X15:X48" si="34">W15/F15</f>
        <v>#DIV/0!</v>
      </c>
      <c r="Y15" s="234"/>
      <c r="Z15" s="100" t="e">
        <f t="shared" ref="Z15:Z48" si="35">Y15/F15</f>
        <v>#DIV/0!</v>
      </c>
      <c r="AA15" s="234"/>
      <c r="AB15" s="100" t="e">
        <f t="shared" ref="AB15:AB48" si="36">AA15/F15</f>
        <v>#DIV/0!</v>
      </c>
      <c r="AC15" s="105">
        <f t="shared" ref="AC15:AC48" si="37">SUM(Y15+AA15)</f>
        <v>0</v>
      </c>
      <c r="AD15" s="100" t="e">
        <f t="shared" ref="AD15:AD48" si="38">AC15/F15</f>
        <v>#DIV/0!</v>
      </c>
      <c r="AE15" s="234"/>
      <c r="AF15" s="100" t="e">
        <f t="shared" ref="AF15:AF48" si="39">AE15/F15</f>
        <v>#DIV/0!</v>
      </c>
      <c r="AG15" s="234"/>
      <c r="AH15" s="100" t="e">
        <f t="shared" ref="AH15:AH48" si="40">AG15/F15</f>
        <v>#DIV/0!</v>
      </c>
      <c r="AI15" s="234"/>
      <c r="AJ15" s="100" t="e">
        <f t="shared" ref="AJ15:AJ48" si="41">AI15/F15</f>
        <v>#DIV/0!</v>
      </c>
      <c r="AK15" s="234"/>
      <c r="AL15" s="100" t="e">
        <f t="shared" ref="AL15:AL48" si="42">AK15/F15</f>
        <v>#DIV/0!</v>
      </c>
    </row>
    <row r="16" spans="1:38" ht="14.25">
      <c r="B16" s="97"/>
      <c r="C16" s="83"/>
      <c r="D16" s="355">
        <f t="shared" si="21"/>
        <v>46275</v>
      </c>
      <c r="E16" s="355" t="s">
        <v>441</v>
      </c>
      <c r="F16" s="87">
        <f t="shared" si="20"/>
        <v>0</v>
      </c>
      <c r="G16" s="301"/>
      <c r="H16" s="341"/>
      <c r="I16" s="234"/>
      <c r="J16" s="100" t="e">
        <f t="shared" si="25"/>
        <v>#DIV/0!</v>
      </c>
      <c r="K16" s="234"/>
      <c r="L16" s="100" t="e">
        <f t="shared" si="26"/>
        <v>#DIV/0!</v>
      </c>
      <c r="M16" s="105">
        <f t="shared" si="27"/>
        <v>0</v>
      </c>
      <c r="N16" s="100" t="e">
        <f t="shared" si="28"/>
        <v>#DIV/0!</v>
      </c>
      <c r="O16" s="234"/>
      <c r="P16" s="100" t="e">
        <f t="shared" si="29"/>
        <v>#DIV/0!</v>
      </c>
      <c r="Q16" s="234"/>
      <c r="R16" s="100" t="e">
        <f t="shared" si="30"/>
        <v>#DIV/0!</v>
      </c>
      <c r="S16" s="105">
        <f t="shared" si="31"/>
        <v>0</v>
      </c>
      <c r="T16" s="100" t="e">
        <f t="shared" si="32"/>
        <v>#DIV/0!</v>
      </c>
      <c r="U16" s="234"/>
      <c r="V16" s="100" t="e">
        <f t="shared" si="33"/>
        <v>#DIV/0!</v>
      </c>
      <c r="W16" s="234"/>
      <c r="X16" s="100" t="e">
        <f t="shared" si="34"/>
        <v>#DIV/0!</v>
      </c>
      <c r="Y16" s="234"/>
      <c r="Z16" s="100" t="e">
        <f t="shared" si="35"/>
        <v>#DIV/0!</v>
      </c>
      <c r="AA16" s="234"/>
      <c r="AB16" s="100" t="e">
        <f t="shared" si="36"/>
        <v>#DIV/0!</v>
      </c>
      <c r="AC16" s="105">
        <f t="shared" si="37"/>
        <v>0</v>
      </c>
      <c r="AD16" s="100" t="e">
        <f t="shared" si="38"/>
        <v>#DIV/0!</v>
      </c>
      <c r="AE16" s="234"/>
      <c r="AF16" s="100" t="e">
        <f t="shared" si="39"/>
        <v>#DIV/0!</v>
      </c>
      <c r="AG16" s="234"/>
      <c r="AH16" s="100" t="e">
        <f t="shared" si="40"/>
        <v>#DIV/0!</v>
      </c>
      <c r="AI16" s="234"/>
      <c r="AJ16" s="100" t="e">
        <f t="shared" si="41"/>
        <v>#DIV/0!</v>
      </c>
      <c r="AK16" s="234"/>
      <c r="AL16" s="100" t="e">
        <f t="shared" si="42"/>
        <v>#DIV/0!</v>
      </c>
    </row>
    <row r="17" spans="2:38" ht="14.25">
      <c r="B17" s="97"/>
      <c r="C17" s="83"/>
      <c r="D17" s="355">
        <f t="shared" si="21"/>
        <v>46276</v>
      </c>
      <c r="E17" s="355" t="s">
        <v>442</v>
      </c>
      <c r="F17" s="87">
        <f t="shared" si="20"/>
        <v>0</v>
      </c>
      <c r="G17" s="301"/>
      <c r="H17" s="341"/>
      <c r="I17" s="234"/>
      <c r="J17" s="100" t="e">
        <f t="shared" si="25"/>
        <v>#DIV/0!</v>
      </c>
      <c r="K17" s="234"/>
      <c r="L17" s="100" t="e">
        <f t="shared" si="26"/>
        <v>#DIV/0!</v>
      </c>
      <c r="M17" s="105">
        <f t="shared" si="27"/>
        <v>0</v>
      </c>
      <c r="N17" s="100" t="e">
        <f t="shared" si="28"/>
        <v>#DIV/0!</v>
      </c>
      <c r="O17" s="234"/>
      <c r="P17" s="100" t="e">
        <f t="shared" si="29"/>
        <v>#DIV/0!</v>
      </c>
      <c r="Q17" s="234"/>
      <c r="R17" s="100" t="e">
        <f t="shared" si="30"/>
        <v>#DIV/0!</v>
      </c>
      <c r="S17" s="105">
        <f t="shared" si="31"/>
        <v>0</v>
      </c>
      <c r="T17" s="100" t="e">
        <f t="shared" si="32"/>
        <v>#DIV/0!</v>
      </c>
      <c r="U17" s="234"/>
      <c r="V17" s="100" t="e">
        <f t="shared" si="33"/>
        <v>#DIV/0!</v>
      </c>
      <c r="W17" s="234"/>
      <c r="X17" s="100" t="e">
        <f t="shared" si="34"/>
        <v>#DIV/0!</v>
      </c>
      <c r="Y17" s="234"/>
      <c r="Z17" s="100" t="e">
        <f t="shared" si="35"/>
        <v>#DIV/0!</v>
      </c>
      <c r="AA17" s="234"/>
      <c r="AB17" s="100" t="e">
        <f t="shared" si="36"/>
        <v>#DIV/0!</v>
      </c>
      <c r="AC17" s="105">
        <f t="shared" si="37"/>
        <v>0</v>
      </c>
      <c r="AD17" s="100" t="e">
        <f t="shared" si="38"/>
        <v>#DIV/0!</v>
      </c>
      <c r="AE17" s="234"/>
      <c r="AF17" s="100" t="e">
        <f t="shared" si="39"/>
        <v>#DIV/0!</v>
      </c>
      <c r="AG17" s="234"/>
      <c r="AH17" s="100" t="e">
        <f t="shared" si="40"/>
        <v>#DIV/0!</v>
      </c>
      <c r="AI17" s="234"/>
      <c r="AJ17" s="100" t="e">
        <f t="shared" si="41"/>
        <v>#DIV/0!</v>
      </c>
      <c r="AK17" s="234"/>
      <c r="AL17" s="100" t="e">
        <f t="shared" si="42"/>
        <v>#DIV/0!</v>
      </c>
    </row>
    <row r="18" spans="2:38" ht="14.25">
      <c r="B18" s="97"/>
      <c r="C18" s="83"/>
      <c r="D18" s="355">
        <f t="shared" si="21"/>
        <v>46277</v>
      </c>
      <c r="E18" s="355" t="s">
        <v>443</v>
      </c>
      <c r="F18" s="87">
        <f t="shared" si="20"/>
        <v>0</v>
      </c>
      <c r="G18" s="301"/>
      <c r="H18" s="341"/>
      <c r="I18" s="234"/>
      <c r="J18" s="100" t="e">
        <f t="shared" si="25"/>
        <v>#DIV/0!</v>
      </c>
      <c r="K18" s="234"/>
      <c r="L18" s="100" t="e">
        <f t="shared" si="26"/>
        <v>#DIV/0!</v>
      </c>
      <c r="M18" s="105">
        <f t="shared" si="27"/>
        <v>0</v>
      </c>
      <c r="N18" s="100" t="e">
        <f t="shared" si="28"/>
        <v>#DIV/0!</v>
      </c>
      <c r="O18" s="234"/>
      <c r="P18" s="100" t="e">
        <f t="shared" si="29"/>
        <v>#DIV/0!</v>
      </c>
      <c r="Q18" s="234"/>
      <c r="R18" s="100" t="e">
        <f t="shared" si="30"/>
        <v>#DIV/0!</v>
      </c>
      <c r="S18" s="105">
        <f t="shared" si="31"/>
        <v>0</v>
      </c>
      <c r="T18" s="100" t="e">
        <f t="shared" si="32"/>
        <v>#DIV/0!</v>
      </c>
      <c r="U18" s="234"/>
      <c r="V18" s="100" t="e">
        <f t="shared" si="33"/>
        <v>#DIV/0!</v>
      </c>
      <c r="W18" s="234"/>
      <c r="X18" s="100" t="e">
        <f t="shared" si="34"/>
        <v>#DIV/0!</v>
      </c>
      <c r="Y18" s="234"/>
      <c r="Z18" s="100" t="e">
        <f t="shared" si="35"/>
        <v>#DIV/0!</v>
      </c>
      <c r="AA18" s="234"/>
      <c r="AB18" s="100" t="e">
        <f t="shared" si="36"/>
        <v>#DIV/0!</v>
      </c>
      <c r="AC18" s="105">
        <f t="shared" si="37"/>
        <v>0</v>
      </c>
      <c r="AD18" s="100" t="e">
        <f t="shared" si="38"/>
        <v>#DIV/0!</v>
      </c>
      <c r="AE18" s="234"/>
      <c r="AF18" s="100" t="e">
        <f t="shared" si="39"/>
        <v>#DIV/0!</v>
      </c>
      <c r="AG18" s="234"/>
      <c r="AH18" s="100" t="e">
        <f t="shared" si="40"/>
        <v>#DIV/0!</v>
      </c>
      <c r="AI18" s="234"/>
      <c r="AJ18" s="100" t="e">
        <f t="shared" si="41"/>
        <v>#DIV/0!</v>
      </c>
      <c r="AK18" s="234"/>
      <c r="AL18" s="100" t="e">
        <f t="shared" si="42"/>
        <v>#DIV/0!</v>
      </c>
    </row>
    <row r="19" spans="2:38" ht="14.25">
      <c r="B19" s="97"/>
      <c r="C19" s="83"/>
      <c r="D19" s="355">
        <f t="shared" si="21"/>
        <v>46278</v>
      </c>
      <c r="E19" s="355" t="s">
        <v>444</v>
      </c>
      <c r="F19" s="87">
        <f t="shared" si="20"/>
        <v>0</v>
      </c>
      <c r="G19" s="301"/>
      <c r="H19" s="341"/>
      <c r="I19" s="234"/>
      <c r="J19" s="100" t="e">
        <f t="shared" si="25"/>
        <v>#DIV/0!</v>
      </c>
      <c r="K19" s="234"/>
      <c r="L19" s="100" t="e">
        <f t="shared" si="26"/>
        <v>#DIV/0!</v>
      </c>
      <c r="M19" s="105">
        <f t="shared" si="27"/>
        <v>0</v>
      </c>
      <c r="N19" s="100" t="e">
        <f t="shared" si="28"/>
        <v>#DIV/0!</v>
      </c>
      <c r="O19" s="234"/>
      <c r="P19" s="100" t="e">
        <f t="shared" si="29"/>
        <v>#DIV/0!</v>
      </c>
      <c r="Q19" s="234"/>
      <c r="R19" s="100" t="e">
        <f t="shared" si="30"/>
        <v>#DIV/0!</v>
      </c>
      <c r="S19" s="105">
        <f t="shared" si="31"/>
        <v>0</v>
      </c>
      <c r="T19" s="100" t="e">
        <f t="shared" si="32"/>
        <v>#DIV/0!</v>
      </c>
      <c r="U19" s="234"/>
      <c r="V19" s="100" t="e">
        <f t="shared" si="33"/>
        <v>#DIV/0!</v>
      </c>
      <c r="W19" s="234"/>
      <c r="X19" s="100" t="e">
        <f t="shared" si="34"/>
        <v>#DIV/0!</v>
      </c>
      <c r="Y19" s="234"/>
      <c r="Z19" s="100" t="e">
        <f t="shared" si="35"/>
        <v>#DIV/0!</v>
      </c>
      <c r="AA19" s="234"/>
      <c r="AB19" s="100" t="e">
        <f t="shared" si="36"/>
        <v>#DIV/0!</v>
      </c>
      <c r="AC19" s="105">
        <f t="shared" si="37"/>
        <v>0</v>
      </c>
      <c r="AD19" s="100" t="e">
        <f t="shared" si="38"/>
        <v>#DIV/0!</v>
      </c>
      <c r="AE19" s="234"/>
      <c r="AF19" s="100" t="e">
        <f t="shared" si="39"/>
        <v>#DIV/0!</v>
      </c>
      <c r="AG19" s="234"/>
      <c r="AH19" s="100" t="e">
        <f t="shared" si="40"/>
        <v>#DIV/0!</v>
      </c>
      <c r="AI19" s="234"/>
      <c r="AJ19" s="100" t="e">
        <f t="shared" si="41"/>
        <v>#DIV/0!</v>
      </c>
      <c r="AK19" s="234"/>
      <c r="AL19" s="100" t="e">
        <f t="shared" si="42"/>
        <v>#DIV/0!</v>
      </c>
    </row>
    <row r="20" spans="2:38" ht="14.25">
      <c r="B20" s="97"/>
      <c r="C20" s="83"/>
      <c r="D20" s="355">
        <f t="shared" si="21"/>
        <v>46279</v>
      </c>
      <c r="E20" s="355" t="s">
        <v>438</v>
      </c>
      <c r="F20" s="87">
        <f t="shared" si="20"/>
        <v>0</v>
      </c>
      <c r="G20" s="301"/>
      <c r="H20" s="341"/>
      <c r="I20" s="234"/>
      <c r="J20" s="100" t="e">
        <f t="shared" si="25"/>
        <v>#DIV/0!</v>
      </c>
      <c r="K20" s="234"/>
      <c r="L20" s="100" t="e">
        <f t="shared" si="26"/>
        <v>#DIV/0!</v>
      </c>
      <c r="M20" s="105">
        <f t="shared" si="27"/>
        <v>0</v>
      </c>
      <c r="N20" s="100" t="e">
        <f t="shared" si="28"/>
        <v>#DIV/0!</v>
      </c>
      <c r="O20" s="234"/>
      <c r="P20" s="100" t="e">
        <f t="shared" si="29"/>
        <v>#DIV/0!</v>
      </c>
      <c r="Q20" s="234"/>
      <c r="R20" s="100" t="e">
        <f t="shared" si="30"/>
        <v>#DIV/0!</v>
      </c>
      <c r="S20" s="105">
        <f t="shared" si="31"/>
        <v>0</v>
      </c>
      <c r="T20" s="100" t="e">
        <f t="shared" si="32"/>
        <v>#DIV/0!</v>
      </c>
      <c r="U20" s="234"/>
      <c r="V20" s="100" t="e">
        <f t="shared" si="33"/>
        <v>#DIV/0!</v>
      </c>
      <c r="W20" s="234"/>
      <c r="X20" s="100" t="e">
        <f t="shared" si="34"/>
        <v>#DIV/0!</v>
      </c>
      <c r="Y20" s="234"/>
      <c r="Z20" s="100" t="e">
        <f t="shared" si="35"/>
        <v>#DIV/0!</v>
      </c>
      <c r="AA20" s="234"/>
      <c r="AB20" s="100" t="e">
        <f t="shared" si="36"/>
        <v>#DIV/0!</v>
      </c>
      <c r="AC20" s="105">
        <f t="shared" si="37"/>
        <v>0</v>
      </c>
      <c r="AD20" s="100" t="e">
        <f t="shared" si="38"/>
        <v>#DIV/0!</v>
      </c>
      <c r="AE20" s="234"/>
      <c r="AF20" s="100" t="e">
        <f t="shared" si="39"/>
        <v>#DIV/0!</v>
      </c>
      <c r="AG20" s="234"/>
      <c r="AH20" s="100" t="e">
        <f t="shared" si="40"/>
        <v>#DIV/0!</v>
      </c>
      <c r="AI20" s="234"/>
      <c r="AJ20" s="100" t="e">
        <f t="shared" si="41"/>
        <v>#DIV/0!</v>
      </c>
      <c r="AK20" s="234"/>
      <c r="AL20" s="100" t="e">
        <f t="shared" si="42"/>
        <v>#DIV/0!</v>
      </c>
    </row>
    <row r="21" spans="2:38" ht="14.25">
      <c r="B21" s="97"/>
      <c r="C21" s="83"/>
      <c r="D21" s="299">
        <f t="shared" si="21"/>
        <v>46280</v>
      </c>
      <c r="E21" s="299" t="s">
        <v>439</v>
      </c>
      <c r="F21" s="87">
        <f t="shared" si="20"/>
        <v>0</v>
      </c>
      <c r="G21" s="301">
        <f>SUM(F21:F27)</f>
        <v>0</v>
      </c>
      <c r="H21" s="341"/>
      <c r="I21" s="234"/>
      <c r="J21" s="100" t="e">
        <f t="shared" si="25"/>
        <v>#DIV/0!</v>
      </c>
      <c r="K21" s="234"/>
      <c r="L21" s="100" t="e">
        <f t="shared" si="26"/>
        <v>#DIV/0!</v>
      </c>
      <c r="M21" s="105">
        <f t="shared" si="27"/>
        <v>0</v>
      </c>
      <c r="N21" s="100" t="e">
        <f t="shared" si="28"/>
        <v>#DIV/0!</v>
      </c>
      <c r="O21" s="234"/>
      <c r="P21" s="100" t="e">
        <f t="shared" si="29"/>
        <v>#DIV/0!</v>
      </c>
      <c r="Q21" s="234"/>
      <c r="R21" s="100" t="e">
        <f t="shared" si="30"/>
        <v>#DIV/0!</v>
      </c>
      <c r="S21" s="105">
        <f t="shared" si="31"/>
        <v>0</v>
      </c>
      <c r="T21" s="100" t="e">
        <f t="shared" si="32"/>
        <v>#DIV/0!</v>
      </c>
      <c r="U21" s="234"/>
      <c r="V21" s="100" t="e">
        <f t="shared" si="33"/>
        <v>#DIV/0!</v>
      </c>
      <c r="W21" s="234"/>
      <c r="X21" s="100" t="e">
        <f t="shared" si="34"/>
        <v>#DIV/0!</v>
      </c>
      <c r="Y21" s="234"/>
      <c r="Z21" s="100" t="e">
        <f t="shared" si="35"/>
        <v>#DIV/0!</v>
      </c>
      <c r="AA21" s="234"/>
      <c r="AB21" s="100" t="e">
        <f t="shared" si="36"/>
        <v>#DIV/0!</v>
      </c>
      <c r="AC21" s="105">
        <f t="shared" si="37"/>
        <v>0</v>
      </c>
      <c r="AD21" s="100" t="e">
        <f t="shared" si="38"/>
        <v>#DIV/0!</v>
      </c>
      <c r="AE21" s="234"/>
      <c r="AF21" s="100" t="e">
        <f t="shared" si="39"/>
        <v>#DIV/0!</v>
      </c>
      <c r="AG21" s="234"/>
      <c r="AH21" s="100" t="e">
        <f t="shared" si="40"/>
        <v>#DIV/0!</v>
      </c>
      <c r="AI21" s="234"/>
      <c r="AJ21" s="100" t="e">
        <f t="shared" si="41"/>
        <v>#DIV/0!</v>
      </c>
      <c r="AK21" s="234"/>
      <c r="AL21" s="100" t="e">
        <f t="shared" si="42"/>
        <v>#DIV/0!</v>
      </c>
    </row>
    <row r="22" spans="2:38" ht="14.25">
      <c r="B22" s="97"/>
      <c r="C22" s="83"/>
      <c r="D22" s="299">
        <f t="shared" si="21"/>
        <v>46281</v>
      </c>
      <c r="E22" s="299" t="s">
        <v>440</v>
      </c>
      <c r="F22" s="87">
        <f t="shared" si="20"/>
        <v>0</v>
      </c>
      <c r="G22" s="301"/>
      <c r="H22" s="341"/>
      <c r="I22" s="234"/>
      <c r="J22" s="100" t="e">
        <f t="shared" si="25"/>
        <v>#DIV/0!</v>
      </c>
      <c r="K22" s="234"/>
      <c r="L22" s="100" t="e">
        <f t="shared" si="26"/>
        <v>#DIV/0!</v>
      </c>
      <c r="M22" s="105">
        <f t="shared" si="27"/>
        <v>0</v>
      </c>
      <c r="N22" s="100" t="e">
        <f t="shared" si="28"/>
        <v>#DIV/0!</v>
      </c>
      <c r="O22" s="234"/>
      <c r="P22" s="100" t="e">
        <f t="shared" si="29"/>
        <v>#DIV/0!</v>
      </c>
      <c r="Q22" s="234"/>
      <c r="R22" s="100" t="e">
        <f t="shared" si="30"/>
        <v>#DIV/0!</v>
      </c>
      <c r="S22" s="105">
        <f t="shared" si="31"/>
        <v>0</v>
      </c>
      <c r="T22" s="100" t="e">
        <f t="shared" si="32"/>
        <v>#DIV/0!</v>
      </c>
      <c r="U22" s="234"/>
      <c r="V22" s="100" t="e">
        <f t="shared" si="33"/>
        <v>#DIV/0!</v>
      </c>
      <c r="W22" s="234"/>
      <c r="X22" s="100" t="e">
        <f t="shared" si="34"/>
        <v>#DIV/0!</v>
      </c>
      <c r="Y22" s="234"/>
      <c r="Z22" s="100" t="e">
        <f t="shared" si="35"/>
        <v>#DIV/0!</v>
      </c>
      <c r="AA22" s="234"/>
      <c r="AB22" s="100" t="e">
        <f t="shared" si="36"/>
        <v>#DIV/0!</v>
      </c>
      <c r="AC22" s="105">
        <f t="shared" si="37"/>
        <v>0</v>
      </c>
      <c r="AD22" s="100" t="e">
        <f t="shared" si="38"/>
        <v>#DIV/0!</v>
      </c>
      <c r="AE22" s="234"/>
      <c r="AF22" s="100" t="e">
        <f t="shared" si="39"/>
        <v>#DIV/0!</v>
      </c>
      <c r="AG22" s="234"/>
      <c r="AH22" s="100" t="e">
        <f t="shared" si="40"/>
        <v>#DIV/0!</v>
      </c>
      <c r="AI22" s="234"/>
      <c r="AJ22" s="100" t="e">
        <f t="shared" si="41"/>
        <v>#DIV/0!</v>
      </c>
      <c r="AK22" s="234"/>
      <c r="AL22" s="100" t="e">
        <f t="shared" si="42"/>
        <v>#DIV/0!</v>
      </c>
    </row>
    <row r="23" spans="2:38" ht="14.25">
      <c r="B23" s="97"/>
      <c r="C23" s="83"/>
      <c r="D23" s="299">
        <f t="shared" si="21"/>
        <v>46282</v>
      </c>
      <c r="E23" s="299" t="s">
        <v>441</v>
      </c>
      <c r="F23" s="87">
        <f t="shared" si="20"/>
        <v>0</v>
      </c>
      <c r="G23" s="301"/>
      <c r="H23" s="341"/>
      <c r="I23" s="234"/>
      <c r="J23" s="100" t="e">
        <f t="shared" si="25"/>
        <v>#DIV/0!</v>
      </c>
      <c r="K23" s="234"/>
      <c r="L23" s="100" t="e">
        <f t="shared" si="26"/>
        <v>#DIV/0!</v>
      </c>
      <c r="M23" s="105">
        <f t="shared" si="27"/>
        <v>0</v>
      </c>
      <c r="N23" s="100" t="e">
        <f t="shared" si="28"/>
        <v>#DIV/0!</v>
      </c>
      <c r="O23" s="234"/>
      <c r="P23" s="100" t="e">
        <f t="shared" si="29"/>
        <v>#DIV/0!</v>
      </c>
      <c r="Q23" s="234"/>
      <c r="R23" s="100" t="e">
        <f t="shared" si="30"/>
        <v>#DIV/0!</v>
      </c>
      <c r="S23" s="105">
        <f t="shared" si="31"/>
        <v>0</v>
      </c>
      <c r="T23" s="100" t="e">
        <f t="shared" si="32"/>
        <v>#DIV/0!</v>
      </c>
      <c r="U23" s="234"/>
      <c r="V23" s="100" t="e">
        <f t="shared" si="33"/>
        <v>#DIV/0!</v>
      </c>
      <c r="W23" s="234"/>
      <c r="X23" s="100" t="e">
        <f t="shared" si="34"/>
        <v>#DIV/0!</v>
      </c>
      <c r="Y23" s="234"/>
      <c r="Z23" s="100" t="e">
        <f t="shared" si="35"/>
        <v>#DIV/0!</v>
      </c>
      <c r="AA23" s="234"/>
      <c r="AB23" s="100" t="e">
        <f t="shared" si="36"/>
        <v>#DIV/0!</v>
      </c>
      <c r="AC23" s="105">
        <f t="shared" si="37"/>
        <v>0</v>
      </c>
      <c r="AD23" s="100" t="e">
        <f t="shared" si="38"/>
        <v>#DIV/0!</v>
      </c>
      <c r="AE23" s="234"/>
      <c r="AF23" s="100" t="e">
        <f t="shared" si="39"/>
        <v>#DIV/0!</v>
      </c>
      <c r="AG23" s="234"/>
      <c r="AH23" s="100" t="e">
        <f t="shared" si="40"/>
        <v>#DIV/0!</v>
      </c>
      <c r="AI23" s="234"/>
      <c r="AJ23" s="100" t="e">
        <f t="shared" si="41"/>
        <v>#DIV/0!</v>
      </c>
      <c r="AK23" s="234"/>
      <c r="AL23" s="100" t="e">
        <f t="shared" si="42"/>
        <v>#DIV/0!</v>
      </c>
    </row>
    <row r="24" spans="2:38" ht="14.25">
      <c r="B24" s="97"/>
      <c r="C24" s="83"/>
      <c r="D24" s="299">
        <f t="shared" si="21"/>
        <v>46283</v>
      </c>
      <c r="E24" s="299" t="s">
        <v>442</v>
      </c>
      <c r="F24" s="87">
        <f t="shared" si="20"/>
        <v>0</v>
      </c>
      <c r="G24" s="301"/>
      <c r="H24" s="341"/>
      <c r="I24" s="234"/>
      <c r="J24" s="100" t="e">
        <f t="shared" si="25"/>
        <v>#DIV/0!</v>
      </c>
      <c r="K24" s="234"/>
      <c r="L24" s="100" t="e">
        <f t="shared" si="26"/>
        <v>#DIV/0!</v>
      </c>
      <c r="M24" s="105">
        <f t="shared" si="27"/>
        <v>0</v>
      </c>
      <c r="N24" s="100" t="e">
        <f t="shared" si="28"/>
        <v>#DIV/0!</v>
      </c>
      <c r="O24" s="234"/>
      <c r="P24" s="100" t="e">
        <f t="shared" si="29"/>
        <v>#DIV/0!</v>
      </c>
      <c r="Q24" s="234"/>
      <c r="R24" s="100" t="e">
        <f t="shared" si="30"/>
        <v>#DIV/0!</v>
      </c>
      <c r="S24" s="105">
        <f t="shared" si="31"/>
        <v>0</v>
      </c>
      <c r="T24" s="100" t="e">
        <f t="shared" si="32"/>
        <v>#DIV/0!</v>
      </c>
      <c r="U24" s="234"/>
      <c r="V24" s="100" t="e">
        <f t="shared" si="33"/>
        <v>#DIV/0!</v>
      </c>
      <c r="W24" s="234"/>
      <c r="X24" s="100" t="e">
        <f t="shared" si="34"/>
        <v>#DIV/0!</v>
      </c>
      <c r="Y24" s="234"/>
      <c r="Z24" s="100" t="e">
        <f t="shared" si="35"/>
        <v>#DIV/0!</v>
      </c>
      <c r="AA24" s="234"/>
      <c r="AB24" s="100" t="e">
        <f t="shared" si="36"/>
        <v>#DIV/0!</v>
      </c>
      <c r="AC24" s="105">
        <f t="shared" si="37"/>
        <v>0</v>
      </c>
      <c r="AD24" s="100" t="e">
        <f t="shared" si="38"/>
        <v>#DIV/0!</v>
      </c>
      <c r="AE24" s="234"/>
      <c r="AF24" s="100" t="e">
        <f t="shared" si="39"/>
        <v>#DIV/0!</v>
      </c>
      <c r="AG24" s="234"/>
      <c r="AH24" s="100" t="e">
        <f t="shared" si="40"/>
        <v>#DIV/0!</v>
      </c>
      <c r="AI24" s="234"/>
      <c r="AJ24" s="100" t="e">
        <f t="shared" si="41"/>
        <v>#DIV/0!</v>
      </c>
      <c r="AK24" s="234"/>
      <c r="AL24" s="100" t="e">
        <f t="shared" si="42"/>
        <v>#DIV/0!</v>
      </c>
    </row>
    <row r="25" spans="2:38" ht="14.25">
      <c r="B25" s="97"/>
      <c r="C25" s="83"/>
      <c r="D25" s="299">
        <f t="shared" si="21"/>
        <v>46284</v>
      </c>
      <c r="E25" s="299" t="s">
        <v>443</v>
      </c>
      <c r="F25" s="87">
        <f t="shared" si="20"/>
        <v>0</v>
      </c>
      <c r="G25" s="301"/>
      <c r="H25" s="341"/>
      <c r="I25" s="234"/>
      <c r="J25" s="100" t="e">
        <f t="shared" si="25"/>
        <v>#DIV/0!</v>
      </c>
      <c r="K25" s="234"/>
      <c r="L25" s="100" t="e">
        <f t="shared" si="26"/>
        <v>#DIV/0!</v>
      </c>
      <c r="M25" s="105">
        <f t="shared" si="27"/>
        <v>0</v>
      </c>
      <c r="N25" s="100" t="e">
        <f t="shared" si="28"/>
        <v>#DIV/0!</v>
      </c>
      <c r="O25" s="234"/>
      <c r="P25" s="100" t="e">
        <f t="shared" si="29"/>
        <v>#DIV/0!</v>
      </c>
      <c r="Q25" s="234"/>
      <c r="R25" s="100" t="e">
        <f t="shared" si="30"/>
        <v>#DIV/0!</v>
      </c>
      <c r="S25" s="105">
        <f t="shared" si="31"/>
        <v>0</v>
      </c>
      <c r="T25" s="100" t="e">
        <f t="shared" si="32"/>
        <v>#DIV/0!</v>
      </c>
      <c r="U25" s="234"/>
      <c r="V25" s="100" t="e">
        <f t="shared" si="33"/>
        <v>#DIV/0!</v>
      </c>
      <c r="W25" s="234"/>
      <c r="X25" s="100" t="e">
        <f t="shared" si="34"/>
        <v>#DIV/0!</v>
      </c>
      <c r="Y25" s="234"/>
      <c r="Z25" s="100" t="e">
        <f t="shared" si="35"/>
        <v>#DIV/0!</v>
      </c>
      <c r="AA25" s="234"/>
      <c r="AB25" s="100" t="e">
        <f t="shared" si="36"/>
        <v>#DIV/0!</v>
      </c>
      <c r="AC25" s="105">
        <f t="shared" si="37"/>
        <v>0</v>
      </c>
      <c r="AD25" s="100" t="e">
        <f t="shared" si="38"/>
        <v>#DIV/0!</v>
      </c>
      <c r="AE25" s="234"/>
      <c r="AF25" s="100" t="e">
        <f t="shared" si="39"/>
        <v>#DIV/0!</v>
      </c>
      <c r="AG25" s="234"/>
      <c r="AH25" s="100" t="e">
        <f t="shared" si="40"/>
        <v>#DIV/0!</v>
      </c>
      <c r="AI25" s="234"/>
      <c r="AJ25" s="100" t="e">
        <f t="shared" si="41"/>
        <v>#DIV/0!</v>
      </c>
      <c r="AK25" s="234"/>
      <c r="AL25" s="100" t="e">
        <f t="shared" si="42"/>
        <v>#DIV/0!</v>
      </c>
    </row>
    <row r="26" spans="2:38" ht="14.25">
      <c r="B26" s="97"/>
      <c r="C26" s="83"/>
      <c r="D26" s="299">
        <f t="shared" si="21"/>
        <v>46285</v>
      </c>
      <c r="E26" s="299" t="s">
        <v>444</v>
      </c>
      <c r="F26" s="87">
        <f t="shared" si="20"/>
        <v>0</v>
      </c>
      <c r="G26" s="301"/>
      <c r="H26" s="341"/>
      <c r="I26" s="234"/>
      <c r="J26" s="100" t="e">
        <f t="shared" si="25"/>
        <v>#DIV/0!</v>
      </c>
      <c r="K26" s="234"/>
      <c r="L26" s="100" t="e">
        <f t="shared" si="26"/>
        <v>#DIV/0!</v>
      </c>
      <c r="M26" s="105">
        <f t="shared" si="27"/>
        <v>0</v>
      </c>
      <c r="N26" s="100" t="e">
        <f t="shared" si="28"/>
        <v>#DIV/0!</v>
      </c>
      <c r="O26" s="234"/>
      <c r="P26" s="100" t="e">
        <f t="shared" si="29"/>
        <v>#DIV/0!</v>
      </c>
      <c r="Q26" s="234"/>
      <c r="R26" s="100" t="e">
        <f t="shared" si="30"/>
        <v>#DIV/0!</v>
      </c>
      <c r="S26" s="105">
        <f t="shared" si="31"/>
        <v>0</v>
      </c>
      <c r="T26" s="100" t="e">
        <f t="shared" si="32"/>
        <v>#DIV/0!</v>
      </c>
      <c r="U26" s="234"/>
      <c r="V26" s="100" t="e">
        <f t="shared" si="33"/>
        <v>#DIV/0!</v>
      </c>
      <c r="W26" s="234"/>
      <c r="X26" s="100" t="e">
        <f t="shared" si="34"/>
        <v>#DIV/0!</v>
      </c>
      <c r="Y26" s="234"/>
      <c r="Z26" s="100" t="e">
        <f t="shared" si="35"/>
        <v>#DIV/0!</v>
      </c>
      <c r="AA26" s="234"/>
      <c r="AB26" s="100" t="e">
        <f t="shared" si="36"/>
        <v>#DIV/0!</v>
      </c>
      <c r="AC26" s="105">
        <f t="shared" si="37"/>
        <v>0</v>
      </c>
      <c r="AD26" s="100" t="e">
        <f t="shared" si="38"/>
        <v>#DIV/0!</v>
      </c>
      <c r="AE26" s="234"/>
      <c r="AF26" s="100" t="e">
        <f t="shared" si="39"/>
        <v>#DIV/0!</v>
      </c>
      <c r="AG26" s="234"/>
      <c r="AH26" s="100" t="e">
        <f t="shared" si="40"/>
        <v>#DIV/0!</v>
      </c>
      <c r="AI26" s="234"/>
      <c r="AJ26" s="100" t="e">
        <f t="shared" si="41"/>
        <v>#DIV/0!</v>
      </c>
      <c r="AK26" s="234"/>
      <c r="AL26" s="100" t="e">
        <f t="shared" si="42"/>
        <v>#DIV/0!</v>
      </c>
    </row>
    <row r="27" spans="2:38" ht="14.25">
      <c r="B27" s="97"/>
      <c r="C27" s="83"/>
      <c r="D27" s="299">
        <f t="shared" si="21"/>
        <v>46286</v>
      </c>
      <c r="E27" s="299" t="s">
        <v>438</v>
      </c>
      <c r="F27" s="87">
        <f t="shared" si="20"/>
        <v>0</v>
      </c>
      <c r="G27" s="301"/>
      <c r="H27" s="341"/>
      <c r="I27" s="234"/>
      <c r="J27" s="100" t="e">
        <f t="shared" si="25"/>
        <v>#DIV/0!</v>
      </c>
      <c r="K27" s="234"/>
      <c r="L27" s="100" t="e">
        <f t="shared" si="26"/>
        <v>#DIV/0!</v>
      </c>
      <c r="M27" s="105">
        <f t="shared" si="27"/>
        <v>0</v>
      </c>
      <c r="N27" s="100" t="e">
        <f t="shared" si="28"/>
        <v>#DIV/0!</v>
      </c>
      <c r="O27" s="234"/>
      <c r="P27" s="100" t="e">
        <f t="shared" si="29"/>
        <v>#DIV/0!</v>
      </c>
      <c r="Q27" s="234"/>
      <c r="R27" s="100" t="e">
        <f t="shared" si="30"/>
        <v>#DIV/0!</v>
      </c>
      <c r="S27" s="105">
        <f t="shared" si="31"/>
        <v>0</v>
      </c>
      <c r="T27" s="100" t="e">
        <f t="shared" si="32"/>
        <v>#DIV/0!</v>
      </c>
      <c r="U27" s="234"/>
      <c r="V27" s="100" t="e">
        <f t="shared" si="33"/>
        <v>#DIV/0!</v>
      </c>
      <c r="W27" s="234"/>
      <c r="X27" s="100" t="e">
        <f t="shared" si="34"/>
        <v>#DIV/0!</v>
      </c>
      <c r="Y27" s="234"/>
      <c r="Z27" s="100" t="e">
        <f t="shared" si="35"/>
        <v>#DIV/0!</v>
      </c>
      <c r="AA27" s="234"/>
      <c r="AB27" s="100" t="e">
        <f t="shared" si="36"/>
        <v>#DIV/0!</v>
      </c>
      <c r="AC27" s="105">
        <f t="shared" si="37"/>
        <v>0</v>
      </c>
      <c r="AD27" s="100" t="e">
        <f t="shared" si="38"/>
        <v>#DIV/0!</v>
      </c>
      <c r="AE27" s="234"/>
      <c r="AF27" s="100" t="e">
        <f t="shared" si="39"/>
        <v>#DIV/0!</v>
      </c>
      <c r="AG27" s="234"/>
      <c r="AH27" s="100" t="e">
        <f t="shared" si="40"/>
        <v>#DIV/0!</v>
      </c>
      <c r="AI27" s="234"/>
      <c r="AJ27" s="100" t="e">
        <f t="shared" si="41"/>
        <v>#DIV/0!</v>
      </c>
      <c r="AK27" s="234"/>
      <c r="AL27" s="100" t="e">
        <f t="shared" si="42"/>
        <v>#DIV/0!</v>
      </c>
    </row>
    <row r="28" spans="2:38" ht="14.25">
      <c r="B28" s="97"/>
      <c r="C28" s="83"/>
      <c r="D28" s="355">
        <f t="shared" si="21"/>
        <v>46287</v>
      </c>
      <c r="E28" s="355" t="s">
        <v>439</v>
      </c>
      <c r="F28" s="87">
        <f t="shared" si="20"/>
        <v>0</v>
      </c>
      <c r="G28" s="301">
        <f>SUM(F28:F34)</f>
        <v>0</v>
      </c>
      <c r="H28" s="341"/>
      <c r="I28" s="234"/>
      <c r="J28" s="100" t="e">
        <f t="shared" si="25"/>
        <v>#DIV/0!</v>
      </c>
      <c r="K28" s="234"/>
      <c r="L28" s="100" t="e">
        <f t="shared" si="26"/>
        <v>#DIV/0!</v>
      </c>
      <c r="M28" s="105">
        <f t="shared" si="27"/>
        <v>0</v>
      </c>
      <c r="N28" s="100" t="e">
        <f t="shared" si="28"/>
        <v>#DIV/0!</v>
      </c>
      <c r="O28" s="234"/>
      <c r="P28" s="100" t="e">
        <f t="shared" si="29"/>
        <v>#DIV/0!</v>
      </c>
      <c r="Q28" s="234"/>
      <c r="R28" s="100" t="e">
        <f t="shared" si="30"/>
        <v>#DIV/0!</v>
      </c>
      <c r="S28" s="105">
        <f t="shared" si="31"/>
        <v>0</v>
      </c>
      <c r="T28" s="100" t="e">
        <f t="shared" si="32"/>
        <v>#DIV/0!</v>
      </c>
      <c r="U28" s="234"/>
      <c r="V28" s="100" t="e">
        <f t="shared" si="33"/>
        <v>#DIV/0!</v>
      </c>
      <c r="W28" s="234"/>
      <c r="X28" s="100" t="e">
        <f t="shared" si="34"/>
        <v>#DIV/0!</v>
      </c>
      <c r="Y28" s="234"/>
      <c r="Z28" s="100" t="e">
        <f t="shared" si="35"/>
        <v>#DIV/0!</v>
      </c>
      <c r="AA28" s="234"/>
      <c r="AB28" s="100" t="e">
        <f t="shared" si="36"/>
        <v>#DIV/0!</v>
      </c>
      <c r="AC28" s="105">
        <f t="shared" si="37"/>
        <v>0</v>
      </c>
      <c r="AD28" s="100" t="e">
        <f t="shared" si="38"/>
        <v>#DIV/0!</v>
      </c>
      <c r="AE28" s="234"/>
      <c r="AF28" s="100" t="e">
        <f t="shared" si="39"/>
        <v>#DIV/0!</v>
      </c>
      <c r="AG28" s="234"/>
      <c r="AH28" s="100" t="e">
        <f t="shared" si="40"/>
        <v>#DIV/0!</v>
      </c>
      <c r="AI28" s="234"/>
      <c r="AJ28" s="100" t="e">
        <f t="shared" si="41"/>
        <v>#DIV/0!</v>
      </c>
      <c r="AK28" s="234"/>
      <c r="AL28" s="100" t="e">
        <f t="shared" si="42"/>
        <v>#DIV/0!</v>
      </c>
    </row>
    <row r="29" spans="2:38" ht="14.25">
      <c r="B29" s="97"/>
      <c r="C29" s="83"/>
      <c r="D29" s="355">
        <f t="shared" si="21"/>
        <v>46288</v>
      </c>
      <c r="E29" s="355" t="s">
        <v>440</v>
      </c>
      <c r="F29" s="87">
        <f t="shared" si="20"/>
        <v>0</v>
      </c>
      <c r="G29" s="301"/>
      <c r="H29" s="341"/>
      <c r="I29" s="234"/>
      <c r="J29" s="100" t="e">
        <f t="shared" si="25"/>
        <v>#DIV/0!</v>
      </c>
      <c r="K29" s="234"/>
      <c r="L29" s="100" t="e">
        <f t="shared" si="26"/>
        <v>#DIV/0!</v>
      </c>
      <c r="M29" s="105">
        <f t="shared" si="27"/>
        <v>0</v>
      </c>
      <c r="N29" s="100" t="e">
        <f t="shared" si="28"/>
        <v>#DIV/0!</v>
      </c>
      <c r="O29" s="234"/>
      <c r="P29" s="100" t="e">
        <f t="shared" si="29"/>
        <v>#DIV/0!</v>
      </c>
      <c r="Q29" s="234"/>
      <c r="R29" s="100" t="e">
        <f t="shared" si="30"/>
        <v>#DIV/0!</v>
      </c>
      <c r="S29" s="105">
        <f t="shared" si="31"/>
        <v>0</v>
      </c>
      <c r="T29" s="100" t="e">
        <f t="shared" si="32"/>
        <v>#DIV/0!</v>
      </c>
      <c r="U29" s="234"/>
      <c r="V29" s="100" t="e">
        <f t="shared" si="33"/>
        <v>#DIV/0!</v>
      </c>
      <c r="W29" s="234"/>
      <c r="X29" s="100" t="e">
        <f t="shared" si="34"/>
        <v>#DIV/0!</v>
      </c>
      <c r="Y29" s="234"/>
      <c r="Z29" s="100" t="e">
        <f t="shared" si="35"/>
        <v>#DIV/0!</v>
      </c>
      <c r="AA29" s="234"/>
      <c r="AB29" s="100" t="e">
        <f t="shared" si="36"/>
        <v>#DIV/0!</v>
      </c>
      <c r="AC29" s="105">
        <f t="shared" si="37"/>
        <v>0</v>
      </c>
      <c r="AD29" s="100" t="e">
        <f t="shared" si="38"/>
        <v>#DIV/0!</v>
      </c>
      <c r="AE29" s="234"/>
      <c r="AF29" s="100" t="e">
        <f t="shared" si="39"/>
        <v>#DIV/0!</v>
      </c>
      <c r="AG29" s="234"/>
      <c r="AH29" s="100" t="e">
        <f t="shared" si="40"/>
        <v>#DIV/0!</v>
      </c>
      <c r="AI29" s="234"/>
      <c r="AJ29" s="100" t="e">
        <f t="shared" si="41"/>
        <v>#DIV/0!</v>
      </c>
      <c r="AK29" s="234"/>
      <c r="AL29" s="100" t="e">
        <f t="shared" si="42"/>
        <v>#DIV/0!</v>
      </c>
    </row>
    <row r="30" spans="2:38" ht="14.25">
      <c r="B30" s="97"/>
      <c r="C30" s="83"/>
      <c r="D30" s="355">
        <f t="shared" si="21"/>
        <v>46289</v>
      </c>
      <c r="E30" s="355" t="s">
        <v>441</v>
      </c>
      <c r="F30" s="87">
        <f t="shared" si="20"/>
        <v>0</v>
      </c>
      <c r="G30" s="301"/>
      <c r="H30" s="341"/>
      <c r="I30" s="234"/>
      <c r="J30" s="100" t="e">
        <f t="shared" si="25"/>
        <v>#DIV/0!</v>
      </c>
      <c r="K30" s="234"/>
      <c r="L30" s="100" t="e">
        <f t="shared" si="26"/>
        <v>#DIV/0!</v>
      </c>
      <c r="M30" s="105">
        <f t="shared" si="27"/>
        <v>0</v>
      </c>
      <c r="N30" s="100" t="e">
        <f t="shared" si="28"/>
        <v>#DIV/0!</v>
      </c>
      <c r="O30" s="234"/>
      <c r="P30" s="100" t="e">
        <f t="shared" si="29"/>
        <v>#DIV/0!</v>
      </c>
      <c r="Q30" s="234"/>
      <c r="R30" s="100" t="e">
        <f t="shared" si="30"/>
        <v>#DIV/0!</v>
      </c>
      <c r="S30" s="105">
        <f t="shared" si="31"/>
        <v>0</v>
      </c>
      <c r="T30" s="100" t="e">
        <f t="shared" si="32"/>
        <v>#DIV/0!</v>
      </c>
      <c r="U30" s="234"/>
      <c r="V30" s="100" t="e">
        <f t="shared" si="33"/>
        <v>#DIV/0!</v>
      </c>
      <c r="W30" s="234"/>
      <c r="X30" s="100" t="e">
        <f t="shared" si="34"/>
        <v>#DIV/0!</v>
      </c>
      <c r="Y30" s="234"/>
      <c r="Z30" s="100" t="e">
        <f t="shared" si="35"/>
        <v>#DIV/0!</v>
      </c>
      <c r="AA30" s="234"/>
      <c r="AB30" s="100" t="e">
        <f t="shared" si="36"/>
        <v>#DIV/0!</v>
      </c>
      <c r="AC30" s="105">
        <f t="shared" si="37"/>
        <v>0</v>
      </c>
      <c r="AD30" s="100" t="e">
        <f t="shared" si="38"/>
        <v>#DIV/0!</v>
      </c>
      <c r="AE30" s="234"/>
      <c r="AF30" s="100" t="e">
        <f t="shared" si="39"/>
        <v>#DIV/0!</v>
      </c>
      <c r="AG30" s="234"/>
      <c r="AH30" s="100" t="e">
        <f t="shared" si="40"/>
        <v>#DIV/0!</v>
      </c>
      <c r="AI30" s="234"/>
      <c r="AJ30" s="100" t="e">
        <f t="shared" si="41"/>
        <v>#DIV/0!</v>
      </c>
      <c r="AK30" s="234"/>
      <c r="AL30" s="100" t="e">
        <f t="shared" si="42"/>
        <v>#DIV/0!</v>
      </c>
    </row>
    <row r="31" spans="2:38" ht="14.25">
      <c r="B31" s="97"/>
      <c r="C31" s="83"/>
      <c r="D31" s="355">
        <f t="shared" si="21"/>
        <v>46290</v>
      </c>
      <c r="E31" s="355" t="s">
        <v>442</v>
      </c>
      <c r="F31" s="87">
        <f t="shared" si="20"/>
        <v>0</v>
      </c>
      <c r="G31" s="301"/>
      <c r="H31" s="341"/>
      <c r="I31" s="234"/>
      <c r="J31" s="100" t="e">
        <f t="shared" si="25"/>
        <v>#DIV/0!</v>
      </c>
      <c r="K31" s="234"/>
      <c r="L31" s="100" t="e">
        <f t="shared" si="26"/>
        <v>#DIV/0!</v>
      </c>
      <c r="M31" s="105">
        <f t="shared" si="27"/>
        <v>0</v>
      </c>
      <c r="N31" s="100" t="e">
        <f t="shared" si="28"/>
        <v>#DIV/0!</v>
      </c>
      <c r="O31" s="234"/>
      <c r="P31" s="100" t="e">
        <f t="shared" si="29"/>
        <v>#DIV/0!</v>
      </c>
      <c r="Q31" s="234"/>
      <c r="R31" s="100" t="e">
        <f t="shared" si="30"/>
        <v>#DIV/0!</v>
      </c>
      <c r="S31" s="105">
        <f t="shared" si="31"/>
        <v>0</v>
      </c>
      <c r="T31" s="100" t="e">
        <f t="shared" si="32"/>
        <v>#DIV/0!</v>
      </c>
      <c r="U31" s="234"/>
      <c r="V31" s="100" t="e">
        <f t="shared" si="33"/>
        <v>#DIV/0!</v>
      </c>
      <c r="W31" s="234"/>
      <c r="X31" s="100" t="e">
        <f t="shared" si="34"/>
        <v>#DIV/0!</v>
      </c>
      <c r="Y31" s="234"/>
      <c r="Z31" s="100" t="e">
        <f t="shared" si="35"/>
        <v>#DIV/0!</v>
      </c>
      <c r="AA31" s="234"/>
      <c r="AB31" s="100" t="e">
        <f t="shared" si="36"/>
        <v>#DIV/0!</v>
      </c>
      <c r="AC31" s="105">
        <f t="shared" si="37"/>
        <v>0</v>
      </c>
      <c r="AD31" s="100" t="e">
        <f t="shared" si="38"/>
        <v>#DIV/0!</v>
      </c>
      <c r="AE31" s="234"/>
      <c r="AF31" s="100" t="e">
        <f t="shared" si="39"/>
        <v>#DIV/0!</v>
      </c>
      <c r="AG31" s="234"/>
      <c r="AH31" s="100" t="e">
        <f t="shared" si="40"/>
        <v>#DIV/0!</v>
      </c>
      <c r="AI31" s="234"/>
      <c r="AJ31" s="100" t="e">
        <f t="shared" si="41"/>
        <v>#DIV/0!</v>
      </c>
      <c r="AK31" s="234"/>
      <c r="AL31" s="100" t="e">
        <f t="shared" si="42"/>
        <v>#DIV/0!</v>
      </c>
    </row>
    <row r="32" spans="2:38" s="452" customFormat="1" ht="14.25">
      <c r="B32" s="425"/>
      <c r="C32" s="431"/>
      <c r="D32" s="355">
        <f t="shared" si="21"/>
        <v>46291</v>
      </c>
      <c r="E32" s="355" t="s">
        <v>443</v>
      </c>
      <c r="F32" s="336">
        <f t="shared" si="20"/>
        <v>0</v>
      </c>
      <c r="G32" s="337"/>
      <c r="H32" s="458"/>
      <c r="I32" s="234"/>
      <c r="J32" s="100" t="e">
        <f t="shared" si="25"/>
        <v>#DIV/0!</v>
      </c>
      <c r="K32" s="234"/>
      <c r="L32" s="100" t="e">
        <f t="shared" si="26"/>
        <v>#DIV/0!</v>
      </c>
      <c r="M32" s="105">
        <f t="shared" si="27"/>
        <v>0</v>
      </c>
      <c r="N32" s="100" t="e">
        <f t="shared" si="28"/>
        <v>#DIV/0!</v>
      </c>
      <c r="O32" s="234"/>
      <c r="P32" s="100" t="e">
        <f t="shared" si="29"/>
        <v>#DIV/0!</v>
      </c>
      <c r="Q32" s="234"/>
      <c r="R32" s="100" t="e">
        <f t="shared" si="30"/>
        <v>#DIV/0!</v>
      </c>
      <c r="S32" s="105">
        <f t="shared" si="31"/>
        <v>0</v>
      </c>
      <c r="T32" s="100" t="e">
        <f t="shared" si="32"/>
        <v>#DIV/0!</v>
      </c>
      <c r="U32" s="234"/>
      <c r="V32" s="100" t="e">
        <f t="shared" si="33"/>
        <v>#DIV/0!</v>
      </c>
      <c r="W32" s="234"/>
      <c r="X32" s="100" t="e">
        <f t="shared" si="34"/>
        <v>#DIV/0!</v>
      </c>
      <c r="Y32" s="234"/>
      <c r="Z32" s="100" t="e">
        <f t="shared" si="35"/>
        <v>#DIV/0!</v>
      </c>
      <c r="AA32" s="234"/>
      <c r="AB32" s="100" t="e">
        <f t="shared" si="36"/>
        <v>#DIV/0!</v>
      </c>
      <c r="AC32" s="105">
        <f t="shared" si="37"/>
        <v>0</v>
      </c>
      <c r="AD32" s="100" t="e">
        <f t="shared" si="38"/>
        <v>#DIV/0!</v>
      </c>
      <c r="AE32" s="234"/>
      <c r="AF32" s="100" t="e">
        <f t="shared" si="39"/>
        <v>#DIV/0!</v>
      </c>
      <c r="AG32" s="234"/>
      <c r="AH32" s="100" t="e">
        <f t="shared" si="40"/>
        <v>#DIV/0!</v>
      </c>
      <c r="AI32" s="234"/>
      <c r="AJ32" s="100" t="e">
        <f t="shared" si="41"/>
        <v>#DIV/0!</v>
      </c>
      <c r="AK32" s="234"/>
      <c r="AL32" s="100" t="e">
        <f t="shared" si="42"/>
        <v>#DIV/0!</v>
      </c>
    </row>
    <row r="33" spans="2:38" s="452" customFormat="1" ht="14.25">
      <c r="B33" s="425"/>
      <c r="C33" s="431"/>
      <c r="D33" s="355">
        <f t="shared" si="21"/>
        <v>46292</v>
      </c>
      <c r="E33" s="355" t="s">
        <v>444</v>
      </c>
      <c r="F33" s="336">
        <f t="shared" si="20"/>
        <v>0</v>
      </c>
      <c r="G33" s="337"/>
      <c r="H33" s="458"/>
      <c r="I33" s="234"/>
      <c r="J33" s="100" t="e">
        <f t="shared" si="25"/>
        <v>#DIV/0!</v>
      </c>
      <c r="K33" s="234"/>
      <c r="L33" s="100" t="e">
        <f t="shared" si="26"/>
        <v>#DIV/0!</v>
      </c>
      <c r="M33" s="105">
        <f t="shared" si="27"/>
        <v>0</v>
      </c>
      <c r="N33" s="100" t="e">
        <f t="shared" si="28"/>
        <v>#DIV/0!</v>
      </c>
      <c r="O33" s="234"/>
      <c r="P33" s="100" t="e">
        <f t="shared" si="29"/>
        <v>#DIV/0!</v>
      </c>
      <c r="Q33" s="234"/>
      <c r="R33" s="100" t="e">
        <f t="shared" si="30"/>
        <v>#DIV/0!</v>
      </c>
      <c r="S33" s="105">
        <f t="shared" si="31"/>
        <v>0</v>
      </c>
      <c r="T33" s="100" t="e">
        <f t="shared" si="32"/>
        <v>#DIV/0!</v>
      </c>
      <c r="U33" s="234"/>
      <c r="V33" s="100" t="e">
        <f t="shared" si="33"/>
        <v>#DIV/0!</v>
      </c>
      <c r="W33" s="234"/>
      <c r="X33" s="100" t="e">
        <f t="shared" si="34"/>
        <v>#DIV/0!</v>
      </c>
      <c r="Y33" s="234"/>
      <c r="Z33" s="100" t="e">
        <f t="shared" si="35"/>
        <v>#DIV/0!</v>
      </c>
      <c r="AA33" s="234"/>
      <c r="AB33" s="100" t="e">
        <f t="shared" si="36"/>
        <v>#DIV/0!</v>
      </c>
      <c r="AC33" s="105">
        <f t="shared" si="37"/>
        <v>0</v>
      </c>
      <c r="AD33" s="100" t="e">
        <f t="shared" si="38"/>
        <v>#DIV/0!</v>
      </c>
      <c r="AE33" s="234"/>
      <c r="AF33" s="100" t="e">
        <f t="shared" si="39"/>
        <v>#DIV/0!</v>
      </c>
      <c r="AG33" s="234"/>
      <c r="AH33" s="100" t="e">
        <f t="shared" si="40"/>
        <v>#DIV/0!</v>
      </c>
      <c r="AI33" s="234"/>
      <c r="AJ33" s="100" t="e">
        <f t="shared" si="41"/>
        <v>#DIV/0!</v>
      </c>
      <c r="AK33" s="234"/>
      <c r="AL33" s="100" t="e">
        <f t="shared" si="42"/>
        <v>#DIV/0!</v>
      </c>
    </row>
    <row r="34" spans="2:38" s="452" customFormat="1" ht="14.25">
      <c r="B34" s="425"/>
      <c r="C34" s="431"/>
      <c r="D34" s="355">
        <f t="shared" si="21"/>
        <v>46293</v>
      </c>
      <c r="E34" s="355" t="s">
        <v>438</v>
      </c>
      <c r="F34" s="336">
        <f t="shared" si="20"/>
        <v>0</v>
      </c>
      <c r="G34" s="337"/>
      <c r="H34" s="458"/>
      <c r="I34" s="234"/>
      <c r="J34" s="100" t="e">
        <f t="shared" si="25"/>
        <v>#DIV/0!</v>
      </c>
      <c r="K34" s="234"/>
      <c r="L34" s="100" t="e">
        <f t="shared" si="26"/>
        <v>#DIV/0!</v>
      </c>
      <c r="M34" s="105">
        <f t="shared" si="27"/>
        <v>0</v>
      </c>
      <c r="N34" s="100" t="e">
        <f t="shared" si="28"/>
        <v>#DIV/0!</v>
      </c>
      <c r="O34" s="234"/>
      <c r="P34" s="100" t="e">
        <f t="shared" si="29"/>
        <v>#DIV/0!</v>
      </c>
      <c r="Q34" s="234"/>
      <c r="R34" s="100" t="e">
        <f t="shared" si="30"/>
        <v>#DIV/0!</v>
      </c>
      <c r="S34" s="105">
        <f t="shared" si="31"/>
        <v>0</v>
      </c>
      <c r="T34" s="100" t="e">
        <f t="shared" si="32"/>
        <v>#DIV/0!</v>
      </c>
      <c r="U34" s="234"/>
      <c r="V34" s="100" t="e">
        <f t="shared" si="33"/>
        <v>#DIV/0!</v>
      </c>
      <c r="W34" s="234"/>
      <c r="X34" s="100" t="e">
        <f t="shared" si="34"/>
        <v>#DIV/0!</v>
      </c>
      <c r="Y34" s="234"/>
      <c r="Z34" s="100" t="e">
        <f t="shared" si="35"/>
        <v>#DIV/0!</v>
      </c>
      <c r="AA34" s="234"/>
      <c r="AB34" s="100" t="e">
        <f t="shared" si="36"/>
        <v>#DIV/0!</v>
      </c>
      <c r="AC34" s="105">
        <f t="shared" si="37"/>
        <v>0</v>
      </c>
      <c r="AD34" s="100" t="e">
        <f t="shared" si="38"/>
        <v>#DIV/0!</v>
      </c>
      <c r="AE34" s="234"/>
      <c r="AF34" s="100" t="e">
        <f t="shared" si="39"/>
        <v>#DIV/0!</v>
      </c>
      <c r="AG34" s="234"/>
      <c r="AH34" s="100" t="e">
        <f t="shared" si="40"/>
        <v>#DIV/0!</v>
      </c>
      <c r="AI34" s="234"/>
      <c r="AJ34" s="100" t="e">
        <f t="shared" si="41"/>
        <v>#DIV/0!</v>
      </c>
      <c r="AK34" s="234"/>
      <c r="AL34" s="100" t="e">
        <f t="shared" si="42"/>
        <v>#DIV/0!</v>
      </c>
    </row>
    <row r="35" spans="2:38" s="452" customFormat="1" ht="14.25">
      <c r="B35" s="425"/>
      <c r="C35" s="431"/>
      <c r="D35" s="299">
        <f t="shared" si="21"/>
        <v>46294</v>
      </c>
      <c r="E35" s="299" t="s">
        <v>439</v>
      </c>
      <c r="F35" s="336">
        <f t="shared" si="20"/>
        <v>0</v>
      </c>
      <c r="G35" s="337">
        <f>SUM(F35:F41)</f>
        <v>0</v>
      </c>
      <c r="H35" s="458"/>
      <c r="I35" s="234"/>
      <c r="J35" s="100" t="e">
        <f t="shared" si="25"/>
        <v>#DIV/0!</v>
      </c>
      <c r="K35" s="234"/>
      <c r="L35" s="100" t="e">
        <f t="shared" si="26"/>
        <v>#DIV/0!</v>
      </c>
      <c r="M35" s="105">
        <f t="shared" ref="M35:M36" si="43">SUM(I35+K35)</f>
        <v>0</v>
      </c>
      <c r="N35" s="100" t="e">
        <f t="shared" si="28"/>
        <v>#DIV/0!</v>
      </c>
      <c r="O35" s="234"/>
      <c r="P35" s="100" t="e">
        <f t="shared" si="29"/>
        <v>#DIV/0!</v>
      </c>
      <c r="Q35" s="234"/>
      <c r="R35" s="100" t="e">
        <f t="shared" si="30"/>
        <v>#DIV/0!</v>
      </c>
      <c r="S35" s="105">
        <f t="shared" si="31"/>
        <v>0</v>
      </c>
      <c r="T35" s="100" t="e">
        <f t="shared" si="32"/>
        <v>#DIV/0!</v>
      </c>
      <c r="U35" s="234"/>
      <c r="V35" s="100" t="e">
        <f t="shared" si="33"/>
        <v>#DIV/0!</v>
      </c>
      <c r="W35" s="234"/>
      <c r="X35" s="100" t="e">
        <f t="shared" si="34"/>
        <v>#DIV/0!</v>
      </c>
      <c r="Y35" s="234"/>
      <c r="Z35" s="100" t="e">
        <f t="shared" si="35"/>
        <v>#DIV/0!</v>
      </c>
      <c r="AA35" s="234"/>
      <c r="AB35" s="100" t="e">
        <f t="shared" si="36"/>
        <v>#DIV/0!</v>
      </c>
      <c r="AC35" s="105">
        <f t="shared" si="37"/>
        <v>0</v>
      </c>
      <c r="AD35" s="100" t="e">
        <f t="shared" si="38"/>
        <v>#DIV/0!</v>
      </c>
      <c r="AE35" s="234"/>
      <c r="AF35" s="100" t="e">
        <f t="shared" si="39"/>
        <v>#DIV/0!</v>
      </c>
      <c r="AG35" s="234"/>
      <c r="AH35" s="100" t="e">
        <f t="shared" si="40"/>
        <v>#DIV/0!</v>
      </c>
      <c r="AI35" s="234"/>
      <c r="AJ35" s="100" t="e">
        <f t="shared" si="41"/>
        <v>#DIV/0!</v>
      </c>
      <c r="AK35" s="234"/>
      <c r="AL35" s="100" t="e">
        <f t="shared" si="42"/>
        <v>#DIV/0!</v>
      </c>
    </row>
    <row r="36" spans="2:38" s="452" customFormat="1" ht="14.25">
      <c r="B36" s="425"/>
      <c r="C36" s="431"/>
      <c r="D36" s="299">
        <f t="shared" si="21"/>
        <v>46295</v>
      </c>
      <c r="E36" s="299" t="s">
        <v>440</v>
      </c>
      <c r="F36" s="336">
        <f t="shared" si="20"/>
        <v>0</v>
      </c>
      <c r="G36" s="337"/>
      <c r="H36" s="458"/>
      <c r="I36" s="234"/>
      <c r="J36" s="100" t="e">
        <f t="shared" si="25"/>
        <v>#DIV/0!</v>
      </c>
      <c r="K36" s="234"/>
      <c r="L36" s="100" t="e">
        <f t="shared" si="26"/>
        <v>#DIV/0!</v>
      </c>
      <c r="M36" s="105">
        <f t="shared" si="43"/>
        <v>0</v>
      </c>
      <c r="N36" s="100" t="e">
        <f t="shared" si="28"/>
        <v>#DIV/0!</v>
      </c>
      <c r="O36" s="234"/>
      <c r="P36" s="100" t="e">
        <f t="shared" si="29"/>
        <v>#DIV/0!</v>
      </c>
      <c r="Q36" s="234"/>
      <c r="R36" s="100" t="e">
        <f t="shared" si="30"/>
        <v>#DIV/0!</v>
      </c>
      <c r="S36" s="105">
        <f t="shared" si="31"/>
        <v>0</v>
      </c>
      <c r="T36" s="100" t="e">
        <f t="shared" si="32"/>
        <v>#DIV/0!</v>
      </c>
      <c r="U36" s="234"/>
      <c r="V36" s="100" t="e">
        <f t="shared" si="33"/>
        <v>#DIV/0!</v>
      </c>
      <c r="W36" s="234"/>
      <c r="X36" s="100" t="e">
        <f t="shared" si="34"/>
        <v>#DIV/0!</v>
      </c>
      <c r="Y36" s="234"/>
      <c r="Z36" s="100" t="e">
        <f t="shared" si="35"/>
        <v>#DIV/0!</v>
      </c>
      <c r="AA36" s="234"/>
      <c r="AB36" s="100" t="e">
        <f t="shared" si="36"/>
        <v>#DIV/0!</v>
      </c>
      <c r="AC36" s="105">
        <f t="shared" si="37"/>
        <v>0</v>
      </c>
      <c r="AD36" s="100" t="e">
        <f t="shared" si="38"/>
        <v>#DIV/0!</v>
      </c>
      <c r="AE36" s="234"/>
      <c r="AF36" s="100" t="e">
        <f t="shared" si="39"/>
        <v>#DIV/0!</v>
      </c>
      <c r="AG36" s="234"/>
      <c r="AH36" s="100" t="e">
        <f t="shared" si="40"/>
        <v>#DIV/0!</v>
      </c>
      <c r="AI36" s="234"/>
      <c r="AJ36" s="100" t="e">
        <f t="shared" si="41"/>
        <v>#DIV/0!</v>
      </c>
      <c r="AK36" s="234"/>
      <c r="AL36" s="100" t="e">
        <f t="shared" si="42"/>
        <v>#DIV/0!</v>
      </c>
    </row>
    <row r="37" spans="2:38" s="452" customFormat="1" ht="14.25">
      <c r="B37" s="425"/>
      <c r="C37" s="431"/>
      <c r="D37" s="299">
        <f>D36+1</f>
        <v>46296</v>
      </c>
      <c r="E37" s="299" t="s">
        <v>441</v>
      </c>
      <c r="F37" s="336">
        <f t="shared" si="20"/>
        <v>0</v>
      </c>
      <c r="G37" s="337"/>
      <c r="H37" s="458"/>
      <c r="I37" s="234"/>
      <c r="J37" s="100" t="e">
        <f t="shared" si="25"/>
        <v>#DIV/0!</v>
      </c>
      <c r="K37" s="234"/>
      <c r="L37" s="100" t="e">
        <f t="shared" si="26"/>
        <v>#DIV/0!</v>
      </c>
      <c r="M37" s="105">
        <f t="shared" ref="M37:M38" si="44">SUM(I37+K37)</f>
        <v>0</v>
      </c>
      <c r="N37" s="100" t="e">
        <f t="shared" si="28"/>
        <v>#DIV/0!</v>
      </c>
      <c r="O37" s="234"/>
      <c r="P37" s="100" t="e">
        <f t="shared" si="29"/>
        <v>#DIV/0!</v>
      </c>
      <c r="Q37" s="234"/>
      <c r="R37" s="100" t="e">
        <f t="shared" si="30"/>
        <v>#DIV/0!</v>
      </c>
      <c r="S37" s="105">
        <f t="shared" si="31"/>
        <v>0</v>
      </c>
      <c r="T37" s="100" t="e">
        <f t="shared" si="32"/>
        <v>#DIV/0!</v>
      </c>
      <c r="U37" s="234"/>
      <c r="V37" s="100" t="e">
        <f t="shared" si="33"/>
        <v>#DIV/0!</v>
      </c>
      <c r="W37" s="234"/>
      <c r="X37" s="100" t="e">
        <f t="shared" si="34"/>
        <v>#DIV/0!</v>
      </c>
      <c r="Y37" s="234"/>
      <c r="Z37" s="100" t="e">
        <f t="shared" si="35"/>
        <v>#DIV/0!</v>
      </c>
      <c r="AA37" s="234"/>
      <c r="AB37" s="100" t="e">
        <f t="shared" si="36"/>
        <v>#DIV/0!</v>
      </c>
      <c r="AC37" s="105">
        <f t="shared" si="37"/>
        <v>0</v>
      </c>
      <c r="AD37" s="100" t="e">
        <f t="shared" si="38"/>
        <v>#DIV/0!</v>
      </c>
      <c r="AE37" s="234"/>
      <c r="AF37" s="100" t="e">
        <f t="shared" si="39"/>
        <v>#DIV/0!</v>
      </c>
      <c r="AG37" s="234"/>
      <c r="AH37" s="100" t="e">
        <f t="shared" si="40"/>
        <v>#DIV/0!</v>
      </c>
      <c r="AI37" s="234"/>
      <c r="AJ37" s="100" t="e">
        <f t="shared" si="41"/>
        <v>#DIV/0!</v>
      </c>
      <c r="AK37" s="234"/>
      <c r="AL37" s="100" t="e">
        <f t="shared" si="42"/>
        <v>#DIV/0!</v>
      </c>
    </row>
    <row r="38" spans="2:38" s="452" customFormat="1" ht="14.25">
      <c r="B38" s="425"/>
      <c r="C38" s="431"/>
      <c r="D38" s="299">
        <f t="shared" ref="D38:D41" si="45">D37+1</f>
        <v>46297</v>
      </c>
      <c r="E38" s="299" t="s">
        <v>442</v>
      </c>
      <c r="F38" s="336">
        <f t="shared" si="20"/>
        <v>0</v>
      </c>
      <c r="G38" s="337"/>
      <c r="H38" s="458"/>
      <c r="I38" s="234"/>
      <c r="J38" s="100" t="e">
        <f t="shared" si="25"/>
        <v>#DIV/0!</v>
      </c>
      <c r="K38" s="234"/>
      <c r="L38" s="100" t="e">
        <f t="shared" si="26"/>
        <v>#DIV/0!</v>
      </c>
      <c r="M38" s="105">
        <f t="shared" si="44"/>
        <v>0</v>
      </c>
      <c r="N38" s="100" t="e">
        <f t="shared" si="28"/>
        <v>#DIV/0!</v>
      </c>
      <c r="O38" s="234"/>
      <c r="P38" s="100" t="e">
        <f t="shared" si="29"/>
        <v>#DIV/0!</v>
      </c>
      <c r="Q38" s="234"/>
      <c r="R38" s="100" t="e">
        <f t="shared" si="30"/>
        <v>#DIV/0!</v>
      </c>
      <c r="S38" s="105">
        <f t="shared" si="31"/>
        <v>0</v>
      </c>
      <c r="T38" s="100" t="e">
        <f t="shared" si="32"/>
        <v>#DIV/0!</v>
      </c>
      <c r="U38" s="234"/>
      <c r="V38" s="100" t="e">
        <f t="shared" si="33"/>
        <v>#DIV/0!</v>
      </c>
      <c r="W38" s="234"/>
      <c r="X38" s="100" t="e">
        <f t="shared" si="34"/>
        <v>#DIV/0!</v>
      </c>
      <c r="Y38" s="234"/>
      <c r="Z38" s="100" t="e">
        <f t="shared" si="35"/>
        <v>#DIV/0!</v>
      </c>
      <c r="AA38" s="234"/>
      <c r="AB38" s="100" t="e">
        <f t="shared" si="36"/>
        <v>#DIV/0!</v>
      </c>
      <c r="AC38" s="105">
        <f t="shared" si="37"/>
        <v>0</v>
      </c>
      <c r="AD38" s="100" t="e">
        <f t="shared" si="38"/>
        <v>#DIV/0!</v>
      </c>
      <c r="AE38" s="234"/>
      <c r="AF38" s="100" t="e">
        <f t="shared" si="39"/>
        <v>#DIV/0!</v>
      </c>
      <c r="AG38" s="234"/>
      <c r="AH38" s="100" t="e">
        <f t="shared" si="40"/>
        <v>#DIV/0!</v>
      </c>
      <c r="AI38" s="234"/>
      <c r="AJ38" s="100" t="e">
        <f t="shared" si="41"/>
        <v>#DIV/0!</v>
      </c>
      <c r="AK38" s="234"/>
      <c r="AL38" s="100" t="e">
        <f t="shared" si="42"/>
        <v>#DIV/0!</v>
      </c>
    </row>
    <row r="39" spans="2:38" s="339" customFormat="1" ht="14.25">
      <c r="B39" s="334"/>
      <c r="C39" s="335"/>
      <c r="D39" s="299">
        <f t="shared" si="45"/>
        <v>46298</v>
      </c>
      <c r="E39" s="299" t="s">
        <v>443</v>
      </c>
      <c r="F39" s="336">
        <f t="shared" si="20"/>
        <v>0</v>
      </c>
      <c r="G39" s="337"/>
      <c r="H39" s="341"/>
      <c r="I39" s="234"/>
      <c r="J39" s="100" t="e">
        <f t="shared" si="25"/>
        <v>#DIV/0!</v>
      </c>
      <c r="K39" s="234"/>
      <c r="L39" s="100" t="e">
        <f t="shared" si="26"/>
        <v>#DIV/0!</v>
      </c>
      <c r="M39" s="105">
        <f t="shared" si="27"/>
        <v>0</v>
      </c>
      <c r="N39" s="100" t="e">
        <f t="shared" si="28"/>
        <v>#DIV/0!</v>
      </c>
      <c r="O39" s="234"/>
      <c r="P39" s="100" t="e">
        <f t="shared" si="29"/>
        <v>#DIV/0!</v>
      </c>
      <c r="Q39" s="234"/>
      <c r="R39" s="100" t="e">
        <f t="shared" si="30"/>
        <v>#DIV/0!</v>
      </c>
      <c r="S39" s="105">
        <f t="shared" si="31"/>
        <v>0</v>
      </c>
      <c r="T39" s="100" t="e">
        <f t="shared" si="32"/>
        <v>#DIV/0!</v>
      </c>
      <c r="U39" s="234"/>
      <c r="V39" s="100" t="e">
        <f t="shared" si="33"/>
        <v>#DIV/0!</v>
      </c>
      <c r="W39" s="234"/>
      <c r="X39" s="100" t="e">
        <f t="shared" si="34"/>
        <v>#DIV/0!</v>
      </c>
      <c r="Y39" s="234"/>
      <c r="Z39" s="100" t="e">
        <f t="shared" si="35"/>
        <v>#DIV/0!</v>
      </c>
      <c r="AA39" s="234"/>
      <c r="AB39" s="100" t="e">
        <f t="shared" si="36"/>
        <v>#DIV/0!</v>
      </c>
      <c r="AC39" s="105">
        <f t="shared" si="37"/>
        <v>0</v>
      </c>
      <c r="AD39" s="100" t="e">
        <f t="shared" si="38"/>
        <v>#DIV/0!</v>
      </c>
      <c r="AE39" s="234"/>
      <c r="AF39" s="100" t="e">
        <f t="shared" si="39"/>
        <v>#DIV/0!</v>
      </c>
      <c r="AG39" s="234"/>
      <c r="AH39" s="100" t="e">
        <f t="shared" si="40"/>
        <v>#DIV/0!</v>
      </c>
      <c r="AI39" s="234"/>
      <c r="AJ39" s="100" t="e">
        <f t="shared" si="41"/>
        <v>#DIV/0!</v>
      </c>
      <c r="AK39" s="234"/>
      <c r="AL39" s="100" t="e">
        <f t="shared" si="42"/>
        <v>#DIV/0!</v>
      </c>
    </row>
    <row r="40" spans="2:38" ht="14.25">
      <c r="B40" s="97"/>
      <c r="C40" s="83"/>
      <c r="D40" s="299">
        <f t="shared" si="45"/>
        <v>46299</v>
      </c>
      <c r="E40" s="299" t="s">
        <v>444</v>
      </c>
      <c r="F40" s="87">
        <f t="shared" si="20"/>
        <v>0</v>
      </c>
      <c r="G40" s="301"/>
      <c r="H40" s="87"/>
      <c r="I40" s="234"/>
      <c r="J40" s="100" t="e">
        <f t="shared" si="25"/>
        <v>#DIV/0!</v>
      </c>
      <c r="K40" s="234"/>
      <c r="L40" s="100" t="e">
        <f t="shared" si="26"/>
        <v>#DIV/0!</v>
      </c>
      <c r="M40" s="105">
        <f t="shared" si="27"/>
        <v>0</v>
      </c>
      <c r="N40" s="100" t="e">
        <f t="shared" si="28"/>
        <v>#DIV/0!</v>
      </c>
      <c r="O40" s="234"/>
      <c r="P40" s="100" t="e">
        <f t="shared" si="29"/>
        <v>#DIV/0!</v>
      </c>
      <c r="Q40" s="234"/>
      <c r="R40" s="100" t="e">
        <f t="shared" si="30"/>
        <v>#DIV/0!</v>
      </c>
      <c r="S40" s="105">
        <f t="shared" si="31"/>
        <v>0</v>
      </c>
      <c r="T40" s="100" t="e">
        <f t="shared" si="32"/>
        <v>#DIV/0!</v>
      </c>
      <c r="U40" s="234"/>
      <c r="V40" s="100" t="e">
        <f t="shared" si="33"/>
        <v>#DIV/0!</v>
      </c>
      <c r="W40" s="234"/>
      <c r="X40" s="100" t="e">
        <f t="shared" si="34"/>
        <v>#DIV/0!</v>
      </c>
      <c r="Y40" s="234"/>
      <c r="Z40" s="100" t="e">
        <f t="shared" si="35"/>
        <v>#DIV/0!</v>
      </c>
      <c r="AA40" s="234"/>
      <c r="AB40" s="100" t="e">
        <f t="shared" si="36"/>
        <v>#DIV/0!</v>
      </c>
      <c r="AC40" s="105">
        <f t="shared" si="37"/>
        <v>0</v>
      </c>
      <c r="AD40" s="100" t="e">
        <f t="shared" si="38"/>
        <v>#DIV/0!</v>
      </c>
      <c r="AE40" s="234"/>
      <c r="AF40" s="100" t="e">
        <f t="shared" si="39"/>
        <v>#DIV/0!</v>
      </c>
      <c r="AG40" s="234"/>
      <c r="AH40" s="100" t="e">
        <f t="shared" si="40"/>
        <v>#DIV/0!</v>
      </c>
      <c r="AI40" s="234"/>
      <c r="AJ40" s="100" t="e">
        <f t="shared" si="41"/>
        <v>#DIV/0!</v>
      </c>
      <c r="AK40" s="234"/>
      <c r="AL40" s="100" t="e">
        <f t="shared" si="42"/>
        <v>#DIV/0!</v>
      </c>
    </row>
    <row r="41" spans="2:38" ht="14.25">
      <c r="B41" s="97"/>
      <c r="C41" s="83"/>
      <c r="D41" s="299">
        <f t="shared" si="45"/>
        <v>46300</v>
      </c>
      <c r="E41" s="299" t="s">
        <v>438</v>
      </c>
      <c r="F41" s="87">
        <f t="shared" si="20"/>
        <v>0</v>
      </c>
      <c r="G41" s="301"/>
      <c r="H41" s="87"/>
      <c r="I41" s="234"/>
      <c r="J41" s="100" t="e">
        <f t="shared" si="25"/>
        <v>#DIV/0!</v>
      </c>
      <c r="K41" s="234"/>
      <c r="L41" s="100" t="e">
        <f t="shared" si="26"/>
        <v>#DIV/0!</v>
      </c>
      <c r="M41" s="105">
        <f t="shared" si="27"/>
        <v>0</v>
      </c>
      <c r="N41" s="100" t="e">
        <f t="shared" si="28"/>
        <v>#DIV/0!</v>
      </c>
      <c r="O41" s="234"/>
      <c r="P41" s="100" t="e">
        <f t="shared" si="29"/>
        <v>#DIV/0!</v>
      </c>
      <c r="Q41" s="234"/>
      <c r="R41" s="100" t="e">
        <f t="shared" si="30"/>
        <v>#DIV/0!</v>
      </c>
      <c r="S41" s="105">
        <f t="shared" si="31"/>
        <v>0</v>
      </c>
      <c r="T41" s="100" t="e">
        <f t="shared" si="32"/>
        <v>#DIV/0!</v>
      </c>
      <c r="U41" s="234"/>
      <c r="V41" s="100" t="e">
        <f t="shared" si="33"/>
        <v>#DIV/0!</v>
      </c>
      <c r="W41" s="234"/>
      <c r="X41" s="100" t="e">
        <f t="shared" si="34"/>
        <v>#DIV/0!</v>
      </c>
      <c r="Y41" s="234"/>
      <c r="Z41" s="100" t="e">
        <f t="shared" si="35"/>
        <v>#DIV/0!</v>
      </c>
      <c r="AA41" s="234"/>
      <c r="AB41" s="100" t="e">
        <f t="shared" si="36"/>
        <v>#DIV/0!</v>
      </c>
      <c r="AC41" s="105">
        <f t="shared" si="37"/>
        <v>0</v>
      </c>
      <c r="AD41" s="100" t="e">
        <f t="shared" si="38"/>
        <v>#DIV/0!</v>
      </c>
      <c r="AE41" s="234"/>
      <c r="AF41" s="100" t="e">
        <f t="shared" si="39"/>
        <v>#DIV/0!</v>
      </c>
      <c r="AG41" s="234"/>
      <c r="AH41" s="100" t="e">
        <f t="shared" si="40"/>
        <v>#DIV/0!</v>
      </c>
      <c r="AI41" s="234"/>
      <c r="AJ41" s="100" t="e">
        <f t="shared" si="41"/>
        <v>#DIV/0!</v>
      </c>
      <c r="AK41" s="234"/>
      <c r="AL41" s="100" t="e">
        <f t="shared" si="42"/>
        <v>#DIV/0!</v>
      </c>
    </row>
    <row r="42" spans="2:38" ht="14.25">
      <c r="B42" s="97"/>
      <c r="C42" s="83"/>
      <c r="D42" s="355"/>
      <c r="E42" s="355"/>
      <c r="F42" s="87">
        <f t="shared" si="20"/>
        <v>0</v>
      </c>
      <c r="G42" s="301"/>
      <c r="H42" s="87"/>
      <c r="I42" s="234"/>
      <c r="J42" s="100" t="e">
        <f t="shared" si="25"/>
        <v>#DIV/0!</v>
      </c>
      <c r="K42" s="234"/>
      <c r="L42" s="100" t="e">
        <f t="shared" si="26"/>
        <v>#DIV/0!</v>
      </c>
      <c r="M42" s="105">
        <f t="shared" si="27"/>
        <v>0</v>
      </c>
      <c r="N42" s="100" t="e">
        <f t="shared" si="28"/>
        <v>#DIV/0!</v>
      </c>
      <c r="O42" s="234"/>
      <c r="P42" s="100" t="e">
        <f t="shared" si="29"/>
        <v>#DIV/0!</v>
      </c>
      <c r="Q42" s="234"/>
      <c r="R42" s="100" t="e">
        <f t="shared" si="30"/>
        <v>#DIV/0!</v>
      </c>
      <c r="S42" s="105">
        <f t="shared" si="31"/>
        <v>0</v>
      </c>
      <c r="T42" s="100" t="e">
        <f t="shared" si="32"/>
        <v>#DIV/0!</v>
      </c>
      <c r="U42" s="234"/>
      <c r="V42" s="100" t="e">
        <f t="shared" si="33"/>
        <v>#DIV/0!</v>
      </c>
      <c r="W42" s="234"/>
      <c r="X42" s="100" t="e">
        <f t="shared" si="34"/>
        <v>#DIV/0!</v>
      </c>
      <c r="Y42" s="234"/>
      <c r="Z42" s="100" t="e">
        <f t="shared" si="35"/>
        <v>#DIV/0!</v>
      </c>
      <c r="AA42" s="234"/>
      <c r="AB42" s="100" t="e">
        <f t="shared" si="36"/>
        <v>#DIV/0!</v>
      </c>
      <c r="AC42" s="105">
        <f t="shared" si="37"/>
        <v>0</v>
      </c>
      <c r="AD42" s="100" t="e">
        <f t="shared" si="38"/>
        <v>#DIV/0!</v>
      </c>
      <c r="AE42" s="234"/>
      <c r="AF42" s="100" t="e">
        <f t="shared" si="39"/>
        <v>#DIV/0!</v>
      </c>
      <c r="AG42" s="234"/>
      <c r="AH42" s="100" t="e">
        <f t="shared" si="40"/>
        <v>#DIV/0!</v>
      </c>
      <c r="AI42" s="234"/>
      <c r="AJ42" s="100" t="e">
        <f t="shared" si="41"/>
        <v>#DIV/0!</v>
      </c>
      <c r="AK42" s="234"/>
      <c r="AL42" s="100" t="e">
        <f t="shared" si="42"/>
        <v>#DIV/0!</v>
      </c>
    </row>
    <row r="43" spans="2:38" ht="14.25">
      <c r="B43" s="97"/>
      <c r="C43" s="83"/>
      <c r="D43" s="355"/>
      <c r="E43" s="355"/>
      <c r="F43" s="87">
        <f t="shared" ref="F43" si="46">SUM(M43,S43,U43,W43,AC43,AE43,AG43,AI43,AK43)</f>
        <v>0</v>
      </c>
      <c r="G43" s="301"/>
      <c r="H43" s="87"/>
      <c r="I43" s="234"/>
      <c r="J43" s="100" t="e">
        <f t="shared" si="25"/>
        <v>#DIV/0!</v>
      </c>
      <c r="K43" s="234"/>
      <c r="L43" s="100" t="e">
        <f t="shared" si="26"/>
        <v>#DIV/0!</v>
      </c>
      <c r="M43" s="105">
        <f t="shared" si="27"/>
        <v>0</v>
      </c>
      <c r="N43" s="100" t="e">
        <f t="shared" si="28"/>
        <v>#DIV/0!</v>
      </c>
      <c r="O43" s="234"/>
      <c r="P43" s="100" t="e">
        <f t="shared" si="29"/>
        <v>#DIV/0!</v>
      </c>
      <c r="Q43" s="234"/>
      <c r="R43" s="100" t="e">
        <f t="shared" si="30"/>
        <v>#DIV/0!</v>
      </c>
      <c r="S43" s="105">
        <f t="shared" si="31"/>
        <v>0</v>
      </c>
      <c r="T43" s="100" t="e">
        <f t="shared" si="32"/>
        <v>#DIV/0!</v>
      </c>
      <c r="U43" s="234"/>
      <c r="V43" s="100" t="e">
        <f t="shared" si="33"/>
        <v>#DIV/0!</v>
      </c>
      <c r="W43" s="234"/>
      <c r="X43" s="100" t="e">
        <f t="shared" si="34"/>
        <v>#DIV/0!</v>
      </c>
      <c r="Y43" s="234"/>
      <c r="Z43" s="100" t="e">
        <f t="shared" si="35"/>
        <v>#DIV/0!</v>
      </c>
      <c r="AA43" s="234"/>
      <c r="AB43" s="100" t="e">
        <f t="shared" si="36"/>
        <v>#DIV/0!</v>
      </c>
      <c r="AC43" s="105">
        <f t="shared" si="37"/>
        <v>0</v>
      </c>
      <c r="AD43" s="100" t="e">
        <f t="shared" si="38"/>
        <v>#DIV/0!</v>
      </c>
      <c r="AE43" s="234"/>
      <c r="AF43" s="100" t="e">
        <f t="shared" si="39"/>
        <v>#DIV/0!</v>
      </c>
      <c r="AG43" s="234"/>
      <c r="AH43" s="100" t="e">
        <f t="shared" si="40"/>
        <v>#DIV/0!</v>
      </c>
      <c r="AI43" s="234"/>
      <c r="AJ43" s="100" t="e">
        <f t="shared" si="41"/>
        <v>#DIV/0!</v>
      </c>
      <c r="AK43" s="234"/>
      <c r="AL43" s="100" t="e">
        <f t="shared" si="42"/>
        <v>#DIV/0!</v>
      </c>
    </row>
    <row r="44" spans="2:38" ht="14.25">
      <c r="B44" s="97"/>
      <c r="C44" s="83"/>
      <c r="D44" s="355"/>
      <c r="E44" s="355"/>
      <c r="F44" s="87">
        <f t="shared" si="20"/>
        <v>0</v>
      </c>
      <c r="G44" s="301"/>
      <c r="H44" s="87"/>
      <c r="I44" s="234"/>
      <c r="J44" s="100" t="e">
        <f t="shared" si="25"/>
        <v>#DIV/0!</v>
      </c>
      <c r="K44" s="234"/>
      <c r="L44" s="100" t="e">
        <f t="shared" si="26"/>
        <v>#DIV/0!</v>
      </c>
      <c r="M44" s="105">
        <f t="shared" si="27"/>
        <v>0</v>
      </c>
      <c r="N44" s="100" t="e">
        <f t="shared" si="28"/>
        <v>#DIV/0!</v>
      </c>
      <c r="O44" s="234"/>
      <c r="P44" s="100" t="e">
        <f t="shared" si="29"/>
        <v>#DIV/0!</v>
      </c>
      <c r="Q44" s="234"/>
      <c r="R44" s="100" t="e">
        <f t="shared" si="30"/>
        <v>#DIV/0!</v>
      </c>
      <c r="S44" s="105">
        <f t="shared" si="31"/>
        <v>0</v>
      </c>
      <c r="T44" s="100" t="e">
        <f t="shared" si="32"/>
        <v>#DIV/0!</v>
      </c>
      <c r="U44" s="234"/>
      <c r="V44" s="100" t="e">
        <f t="shared" si="33"/>
        <v>#DIV/0!</v>
      </c>
      <c r="W44" s="234"/>
      <c r="X44" s="100" t="e">
        <f t="shared" si="34"/>
        <v>#DIV/0!</v>
      </c>
      <c r="Y44" s="234"/>
      <c r="Z44" s="100" t="e">
        <f t="shared" si="35"/>
        <v>#DIV/0!</v>
      </c>
      <c r="AA44" s="234"/>
      <c r="AB44" s="100" t="e">
        <f t="shared" si="36"/>
        <v>#DIV/0!</v>
      </c>
      <c r="AC44" s="105">
        <f t="shared" si="37"/>
        <v>0</v>
      </c>
      <c r="AD44" s="100" t="e">
        <f t="shared" si="38"/>
        <v>#DIV/0!</v>
      </c>
      <c r="AE44" s="234"/>
      <c r="AF44" s="100" t="e">
        <f t="shared" si="39"/>
        <v>#DIV/0!</v>
      </c>
      <c r="AG44" s="234"/>
      <c r="AH44" s="100" t="e">
        <f t="shared" si="40"/>
        <v>#DIV/0!</v>
      </c>
      <c r="AI44" s="234"/>
      <c r="AJ44" s="100" t="e">
        <f t="shared" si="41"/>
        <v>#DIV/0!</v>
      </c>
      <c r="AK44" s="234"/>
      <c r="AL44" s="100" t="e">
        <f t="shared" si="42"/>
        <v>#DIV/0!</v>
      </c>
    </row>
    <row r="45" spans="2:38" ht="14.25">
      <c r="B45" s="97"/>
      <c r="C45" s="83"/>
      <c r="D45" s="355"/>
      <c r="E45" s="355"/>
      <c r="F45" s="87">
        <f t="shared" ref="F45:F48" si="47">SUM(M45,S45,U45,W45,AC45,AE45,AG45,AI45,AK45)</f>
        <v>0</v>
      </c>
      <c r="G45" s="301"/>
      <c r="H45" s="87"/>
      <c r="I45" s="234"/>
      <c r="J45" s="100" t="e">
        <f t="shared" si="25"/>
        <v>#DIV/0!</v>
      </c>
      <c r="K45" s="234"/>
      <c r="L45" s="100" t="e">
        <f t="shared" si="26"/>
        <v>#DIV/0!</v>
      </c>
      <c r="M45" s="105">
        <f t="shared" si="27"/>
        <v>0</v>
      </c>
      <c r="N45" s="100" t="e">
        <f t="shared" si="28"/>
        <v>#DIV/0!</v>
      </c>
      <c r="O45" s="234"/>
      <c r="P45" s="100" t="e">
        <f t="shared" si="29"/>
        <v>#DIV/0!</v>
      </c>
      <c r="Q45" s="234"/>
      <c r="R45" s="100" t="e">
        <f t="shared" si="30"/>
        <v>#DIV/0!</v>
      </c>
      <c r="S45" s="105">
        <f t="shared" si="31"/>
        <v>0</v>
      </c>
      <c r="T45" s="100" t="e">
        <f t="shared" si="32"/>
        <v>#DIV/0!</v>
      </c>
      <c r="U45" s="234"/>
      <c r="V45" s="100" t="e">
        <f t="shared" si="33"/>
        <v>#DIV/0!</v>
      </c>
      <c r="W45" s="234"/>
      <c r="X45" s="100" t="e">
        <f t="shared" si="34"/>
        <v>#DIV/0!</v>
      </c>
      <c r="Y45" s="234"/>
      <c r="Z45" s="100" t="e">
        <f t="shared" si="35"/>
        <v>#DIV/0!</v>
      </c>
      <c r="AA45" s="234"/>
      <c r="AB45" s="100" t="e">
        <f t="shared" si="36"/>
        <v>#DIV/0!</v>
      </c>
      <c r="AC45" s="105">
        <f t="shared" si="37"/>
        <v>0</v>
      </c>
      <c r="AD45" s="100" t="e">
        <f t="shared" si="38"/>
        <v>#DIV/0!</v>
      </c>
      <c r="AE45" s="234"/>
      <c r="AF45" s="100" t="e">
        <f t="shared" si="39"/>
        <v>#DIV/0!</v>
      </c>
      <c r="AG45" s="234"/>
      <c r="AH45" s="100" t="e">
        <f t="shared" si="40"/>
        <v>#DIV/0!</v>
      </c>
      <c r="AI45" s="234"/>
      <c r="AJ45" s="100" t="e">
        <f t="shared" si="41"/>
        <v>#DIV/0!</v>
      </c>
      <c r="AK45" s="234"/>
      <c r="AL45" s="100" t="e">
        <f t="shared" si="42"/>
        <v>#DIV/0!</v>
      </c>
    </row>
    <row r="46" spans="2:38" ht="14.25">
      <c r="B46" s="97"/>
      <c r="C46" s="83"/>
      <c r="D46" s="355"/>
      <c r="E46" s="355"/>
      <c r="F46" s="87">
        <f t="shared" si="47"/>
        <v>0</v>
      </c>
      <c r="G46" s="301"/>
      <c r="H46" s="87"/>
      <c r="I46" s="234"/>
      <c r="J46" s="100" t="e">
        <f t="shared" si="25"/>
        <v>#DIV/0!</v>
      </c>
      <c r="K46" s="234"/>
      <c r="L46" s="100" t="e">
        <f t="shared" si="26"/>
        <v>#DIV/0!</v>
      </c>
      <c r="M46" s="105">
        <f t="shared" si="27"/>
        <v>0</v>
      </c>
      <c r="N46" s="100" t="e">
        <f t="shared" si="28"/>
        <v>#DIV/0!</v>
      </c>
      <c r="O46" s="234"/>
      <c r="P46" s="100" t="e">
        <f t="shared" si="29"/>
        <v>#DIV/0!</v>
      </c>
      <c r="Q46" s="234"/>
      <c r="R46" s="100" t="e">
        <f t="shared" si="30"/>
        <v>#DIV/0!</v>
      </c>
      <c r="S46" s="105">
        <f t="shared" si="31"/>
        <v>0</v>
      </c>
      <c r="T46" s="100" t="e">
        <f t="shared" si="32"/>
        <v>#DIV/0!</v>
      </c>
      <c r="U46" s="234"/>
      <c r="V46" s="100" t="e">
        <f t="shared" si="33"/>
        <v>#DIV/0!</v>
      </c>
      <c r="W46" s="234"/>
      <c r="X46" s="100" t="e">
        <f t="shared" si="34"/>
        <v>#DIV/0!</v>
      </c>
      <c r="Y46" s="234"/>
      <c r="Z46" s="100" t="e">
        <f t="shared" si="35"/>
        <v>#DIV/0!</v>
      </c>
      <c r="AA46" s="234"/>
      <c r="AB46" s="100" t="e">
        <f t="shared" si="36"/>
        <v>#DIV/0!</v>
      </c>
      <c r="AC46" s="105">
        <f t="shared" si="37"/>
        <v>0</v>
      </c>
      <c r="AD46" s="100" t="e">
        <f t="shared" si="38"/>
        <v>#DIV/0!</v>
      </c>
      <c r="AE46" s="234"/>
      <c r="AF46" s="100" t="e">
        <f t="shared" si="39"/>
        <v>#DIV/0!</v>
      </c>
      <c r="AG46" s="234"/>
      <c r="AH46" s="100" t="e">
        <f t="shared" si="40"/>
        <v>#DIV/0!</v>
      </c>
      <c r="AI46" s="234"/>
      <c r="AJ46" s="100" t="e">
        <f t="shared" si="41"/>
        <v>#DIV/0!</v>
      </c>
      <c r="AK46" s="234"/>
      <c r="AL46" s="100" t="e">
        <f t="shared" si="42"/>
        <v>#DIV/0!</v>
      </c>
    </row>
    <row r="47" spans="2:38" ht="14.25">
      <c r="B47" s="97"/>
      <c r="C47" s="83"/>
      <c r="D47" s="355"/>
      <c r="E47" s="355"/>
      <c r="F47" s="87">
        <f t="shared" si="47"/>
        <v>0</v>
      </c>
      <c r="G47" s="301"/>
      <c r="H47" s="87"/>
      <c r="I47" s="234"/>
      <c r="J47" s="100" t="e">
        <f t="shared" si="25"/>
        <v>#DIV/0!</v>
      </c>
      <c r="K47" s="234"/>
      <c r="L47" s="100" t="e">
        <f t="shared" si="26"/>
        <v>#DIV/0!</v>
      </c>
      <c r="M47" s="105">
        <f t="shared" si="27"/>
        <v>0</v>
      </c>
      <c r="N47" s="100" t="e">
        <f t="shared" si="28"/>
        <v>#DIV/0!</v>
      </c>
      <c r="O47" s="234"/>
      <c r="P47" s="100" t="e">
        <f t="shared" si="29"/>
        <v>#DIV/0!</v>
      </c>
      <c r="Q47" s="234"/>
      <c r="R47" s="100" t="e">
        <f t="shared" si="30"/>
        <v>#DIV/0!</v>
      </c>
      <c r="S47" s="105">
        <f t="shared" si="31"/>
        <v>0</v>
      </c>
      <c r="T47" s="100" t="e">
        <f t="shared" si="32"/>
        <v>#DIV/0!</v>
      </c>
      <c r="U47" s="234"/>
      <c r="V47" s="100" t="e">
        <f t="shared" si="33"/>
        <v>#DIV/0!</v>
      </c>
      <c r="W47" s="234"/>
      <c r="X47" s="100" t="e">
        <f t="shared" si="34"/>
        <v>#DIV/0!</v>
      </c>
      <c r="Y47" s="234"/>
      <c r="Z47" s="100" t="e">
        <f t="shared" si="35"/>
        <v>#DIV/0!</v>
      </c>
      <c r="AA47" s="234"/>
      <c r="AB47" s="100" t="e">
        <f t="shared" si="36"/>
        <v>#DIV/0!</v>
      </c>
      <c r="AC47" s="105">
        <f t="shared" si="37"/>
        <v>0</v>
      </c>
      <c r="AD47" s="100" t="e">
        <f t="shared" si="38"/>
        <v>#DIV/0!</v>
      </c>
      <c r="AE47" s="234"/>
      <c r="AF47" s="100" t="e">
        <f t="shared" si="39"/>
        <v>#DIV/0!</v>
      </c>
      <c r="AG47" s="234"/>
      <c r="AH47" s="100" t="e">
        <f t="shared" si="40"/>
        <v>#DIV/0!</v>
      </c>
      <c r="AI47" s="234"/>
      <c r="AJ47" s="100" t="e">
        <f t="shared" si="41"/>
        <v>#DIV/0!</v>
      </c>
      <c r="AK47" s="234"/>
      <c r="AL47" s="100" t="e">
        <f t="shared" si="42"/>
        <v>#DIV/0!</v>
      </c>
    </row>
    <row r="48" spans="2:38" ht="14.25">
      <c r="B48" s="97"/>
      <c r="C48" s="83"/>
      <c r="D48" s="355"/>
      <c r="E48" s="355"/>
      <c r="F48" s="87">
        <f t="shared" si="47"/>
        <v>0</v>
      </c>
      <c r="G48" s="301"/>
      <c r="H48" s="87"/>
      <c r="I48" s="234"/>
      <c r="J48" s="100" t="e">
        <f t="shared" si="25"/>
        <v>#DIV/0!</v>
      </c>
      <c r="K48" s="234"/>
      <c r="L48" s="100" t="e">
        <f t="shared" si="26"/>
        <v>#DIV/0!</v>
      </c>
      <c r="M48" s="105">
        <f t="shared" si="27"/>
        <v>0</v>
      </c>
      <c r="N48" s="100" t="e">
        <f t="shared" si="28"/>
        <v>#DIV/0!</v>
      </c>
      <c r="O48" s="234"/>
      <c r="P48" s="100" t="e">
        <f t="shared" si="29"/>
        <v>#DIV/0!</v>
      </c>
      <c r="Q48" s="234"/>
      <c r="R48" s="100" t="e">
        <f t="shared" si="30"/>
        <v>#DIV/0!</v>
      </c>
      <c r="S48" s="105">
        <f t="shared" si="31"/>
        <v>0</v>
      </c>
      <c r="T48" s="100" t="e">
        <f t="shared" si="32"/>
        <v>#DIV/0!</v>
      </c>
      <c r="U48" s="234"/>
      <c r="V48" s="100" t="e">
        <f t="shared" si="33"/>
        <v>#DIV/0!</v>
      </c>
      <c r="W48" s="234"/>
      <c r="X48" s="100" t="e">
        <f t="shared" si="34"/>
        <v>#DIV/0!</v>
      </c>
      <c r="Y48" s="234"/>
      <c r="Z48" s="100" t="e">
        <f t="shared" si="35"/>
        <v>#DIV/0!</v>
      </c>
      <c r="AA48" s="234"/>
      <c r="AB48" s="100" t="e">
        <f t="shared" si="36"/>
        <v>#DIV/0!</v>
      </c>
      <c r="AC48" s="105">
        <f t="shared" si="37"/>
        <v>0</v>
      </c>
      <c r="AD48" s="100" t="e">
        <f t="shared" si="38"/>
        <v>#DIV/0!</v>
      </c>
      <c r="AE48" s="234"/>
      <c r="AF48" s="100" t="e">
        <f t="shared" si="39"/>
        <v>#DIV/0!</v>
      </c>
      <c r="AG48" s="234"/>
      <c r="AH48" s="100" t="e">
        <f t="shared" si="40"/>
        <v>#DIV/0!</v>
      </c>
      <c r="AI48" s="234"/>
      <c r="AJ48" s="100" t="e">
        <f t="shared" si="41"/>
        <v>#DIV/0!</v>
      </c>
      <c r="AK48" s="234"/>
      <c r="AL48" s="100" t="e">
        <f t="shared" si="42"/>
        <v>#DIV/0!</v>
      </c>
    </row>
    <row r="49" spans="2:38" ht="14.25">
      <c r="B49" s="97"/>
      <c r="C49" s="83"/>
      <c r="D49" s="355"/>
      <c r="E49" s="355"/>
      <c r="F49" s="87"/>
      <c r="G49" s="301"/>
      <c r="H49" s="87"/>
      <c r="I49" s="234"/>
      <c r="J49" s="100" t="e">
        <f>I49/F49</f>
        <v>#DIV/0!</v>
      </c>
      <c r="K49" s="234"/>
      <c r="L49" s="100" t="e">
        <f>K49/F49</f>
        <v>#DIV/0!</v>
      </c>
      <c r="M49" s="105">
        <f>SUM(I49+K49)</f>
        <v>0</v>
      </c>
      <c r="N49" s="100" t="e">
        <f>M49/F49</f>
        <v>#DIV/0!</v>
      </c>
      <c r="O49" s="234"/>
      <c r="P49" s="100" t="e">
        <f>O49/F49</f>
        <v>#DIV/0!</v>
      </c>
      <c r="Q49" s="234"/>
      <c r="R49" s="100" t="e">
        <f t="shared" ref="R49" si="48">Q49/F49</f>
        <v>#DIV/0!</v>
      </c>
      <c r="S49" s="105">
        <f t="shared" ref="S49" si="49">SUM(O49+Q49)</f>
        <v>0</v>
      </c>
      <c r="T49" s="100" t="e">
        <f>S49/F49</f>
        <v>#DIV/0!</v>
      </c>
      <c r="U49" s="234"/>
      <c r="V49" s="100" t="e">
        <f>U49/F49</f>
        <v>#DIV/0!</v>
      </c>
      <c r="W49" s="234"/>
      <c r="X49" s="100" t="e">
        <f>W49/F49</f>
        <v>#DIV/0!</v>
      </c>
      <c r="Y49" s="234"/>
      <c r="Z49" s="100" t="e">
        <f>Y49/F49</f>
        <v>#DIV/0!</v>
      </c>
      <c r="AA49" s="234"/>
      <c r="AB49" s="100" t="e">
        <f t="shared" ref="AB49" si="50">AA49/F49</f>
        <v>#DIV/0!</v>
      </c>
      <c r="AC49" s="105">
        <f>SUM(Y49+AA49)</f>
        <v>0</v>
      </c>
      <c r="AD49" s="100" t="e">
        <f>AC49/F49</f>
        <v>#DIV/0!</v>
      </c>
      <c r="AE49" s="234"/>
      <c r="AF49" s="100" t="e">
        <f>AE49/F49</f>
        <v>#DIV/0!</v>
      </c>
      <c r="AG49" s="234"/>
      <c r="AH49" s="100" t="e">
        <f>AG49/F49</f>
        <v>#DIV/0!</v>
      </c>
      <c r="AI49" s="234"/>
      <c r="AJ49" s="100" t="e">
        <f>AI49/F49</f>
        <v>#DIV/0!</v>
      </c>
      <c r="AK49" s="234"/>
      <c r="AL49" s="100" t="e">
        <f>AK49/F49</f>
        <v>#DIV/0!</v>
      </c>
    </row>
    <row r="50" spans="2:38" ht="14.25">
      <c r="B50" s="97"/>
      <c r="C50" s="83"/>
      <c r="D50" s="355"/>
      <c r="E50" s="355"/>
      <c r="F50" s="87"/>
      <c r="G50" s="87"/>
      <c r="H50" s="87"/>
      <c r="I50" s="264">
        <f>SUM(I7:I44)</f>
        <v>353667</v>
      </c>
      <c r="J50" s="263">
        <f>I50/$H$12</f>
        <v>0.2114131932468194</v>
      </c>
      <c r="K50" s="264">
        <f>SUM(K7:K44)</f>
        <v>449730</v>
      </c>
      <c r="L50" s="263">
        <f>K50/$H$12</f>
        <v>0.26883722654048042</v>
      </c>
      <c r="M50" s="264">
        <f>SUM(M7:M44)</f>
        <v>803397</v>
      </c>
      <c r="N50" s="263">
        <f>M50/$H$12</f>
        <v>0.48025041978729982</v>
      </c>
      <c r="O50" s="264">
        <f>SUM(O7:O44)</f>
        <v>53883</v>
      </c>
      <c r="P50" s="263">
        <f>O50/$H$12</f>
        <v>3.2209895443223058E-2</v>
      </c>
      <c r="Q50" s="264">
        <f>SUM(Q7:Q44)</f>
        <v>0</v>
      </c>
      <c r="R50" s="263">
        <f>Q50/$H$12</f>
        <v>0</v>
      </c>
      <c r="S50" s="264">
        <f>SUM(S7:S44)</f>
        <v>53883</v>
      </c>
      <c r="T50" s="263">
        <f>S50/$H$12</f>
        <v>3.2209895443223058E-2</v>
      </c>
      <c r="U50" s="264">
        <f>SUM(U7:U44)</f>
        <v>210266</v>
      </c>
      <c r="V50" s="263">
        <f>U50/$H$12</f>
        <v>0.12569170007729227</v>
      </c>
      <c r="W50" s="264">
        <f>SUM(W7:W44)</f>
        <v>0</v>
      </c>
      <c r="X50" s="263">
        <f>W50/$H$12</f>
        <v>0</v>
      </c>
      <c r="Y50" s="264">
        <f>SUM(Y7:Y44)</f>
        <v>180998</v>
      </c>
      <c r="Z50" s="263">
        <f>Y50/$H$12</f>
        <v>0.1081960294607295</v>
      </c>
      <c r="AA50" s="264">
        <f>SUM(AA7:AA44)</f>
        <v>153538</v>
      </c>
      <c r="AB50" s="263">
        <f>AA50/$H$12</f>
        <v>9.1781135544820855E-2</v>
      </c>
      <c r="AC50" s="264">
        <f>SUM(AC7:AC44)</f>
        <v>334536</v>
      </c>
      <c r="AD50" s="263">
        <f>AC50/$H$12</f>
        <v>0.19997716500555035</v>
      </c>
      <c r="AE50" s="264">
        <f>SUM(AE7:AE44)</f>
        <v>149758</v>
      </c>
      <c r="AF50" s="263">
        <f>AE50/$H$12</f>
        <v>8.9521547088807205E-2</v>
      </c>
      <c r="AG50" s="264">
        <f>SUM(AG7:AG44)</f>
        <v>125011</v>
      </c>
      <c r="AH50" s="263">
        <f>AG50/$H$12</f>
        <v>7.4728415998603595E-2</v>
      </c>
      <c r="AI50" s="264">
        <f>SUM(AI7:AI44)</f>
        <v>146351</v>
      </c>
      <c r="AJ50" s="263">
        <f>AI50/$H$12</f>
        <v>8.7484928604775858E-2</v>
      </c>
      <c r="AK50" s="264">
        <f>SUM(AK7:AK44)</f>
        <v>160400</v>
      </c>
      <c r="AL50" s="263">
        <f>AK50/$H$12</f>
        <v>9.5883065699626568E-2</v>
      </c>
    </row>
    <row r="51" spans="2:38" ht="14.25">
      <c r="B51" s="97"/>
      <c r="C51" s="83"/>
      <c r="D51" s="355"/>
      <c r="E51" s="355"/>
      <c r="F51" s="87"/>
      <c r="G51" s="87"/>
      <c r="H51" s="87"/>
      <c r="M51" s="265">
        <f>M50</f>
        <v>803397</v>
      </c>
      <c r="S51" s="265">
        <f>S50</f>
        <v>53883</v>
      </c>
      <c r="U51" s="265">
        <f>U50</f>
        <v>210266</v>
      </c>
      <c r="W51" s="265">
        <f>W50</f>
        <v>0</v>
      </c>
      <c r="Y51" s="265"/>
      <c r="AA51" s="265"/>
      <c r="AC51" s="265">
        <f>AC50</f>
        <v>334536</v>
      </c>
      <c r="AE51" s="265">
        <f>AE50</f>
        <v>149758</v>
      </c>
      <c r="AG51" s="265">
        <f>AG50</f>
        <v>125011</v>
      </c>
      <c r="AI51" s="265">
        <f>AI50</f>
        <v>146351</v>
      </c>
      <c r="AK51" s="265">
        <f>AK50</f>
        <v>160400</v>
      </c>
    </row>
    <row r="52" spans="2:38" ht="14.25">
      <c r="B52" s="97"/>
      <c r="C52" s="83"/>
      <c r="D52" s="355"/>
      <c r="E52" s="355"/>
      <c r="F52" s="87"/>
      <c r="G52" s="87"/>
      <c r="H52" s="87"/>
    </row>
    <row r="53" spans="2:38" ht="14.25">
      <c r="B53" s="97"/>
      <c r="C53" s="83"/>
      <c r="D53" s="84"/>
      <c r="F53" s="87"/>
      <c r="G53" s="87"/>
      <c r="H53" s="87"/>
    </row>
    <row r="54" spans="2:38" ht="14.25">
      <c r="B54" s="97"/>
      <c r="C54" s="83"/>
      <c r="D54" s="84"/>
    </row>
    <row r="55" spans="2:38" ht="14.25">
      <c r="B55" s="97"/>
      <c r="C55" s="83"/>
      <c r="D55" s="84"/>
    </row>
    <row r="56" spans="2:38" ht="14.25">
      <c r="B56" s="97"/>
      <c r="C56" s="83"/>
      <c r="D56" s="84"/>
    </row>
    <row r="57" spans="2:38" ht="14.25">
      <c r="B57" s="97"/>
      <c r="C57" s="83"/>
      <c r="D57" s="84"/>
    </row>
    <row r="58" spans="2:38" ht="14.25">
      <c r="B58" s="97"/>
      <c r="C58" s="83"/>
      <c r="D58" s="84"/>
    </row>
    <row r="59" spans="2:38" ht="14.25">
      <c r="B59" s="97"/>
      <c r="C59" s="83"/>
      <c r="D59" s="84"/>
    </row>
    <row r="60" spans="2:38" ht="14.25">
      <c r="B60" s="97"/>
      <c r="C60" s="83"/>
      <c r="D60" s="84"/>
    </row>
    <row r="61" spans="2:38" ht="14.25">
      <c r="B61" s="97"/>
      <c r="C61" s="83"/>
      <c r="D61" s="84"/>
    </row>
    <row r="62" spans="2:38" ht="14.25">
      <c r="B62" s="97"/>
      <c r="C62" s="83"/>
      <c r="D62" s="84"/>
    </row>
    <row r="63" spans="2:38" ht="14.25">
      <c r="B63" s="97"/>
      <c r="C63" s="83"/>
      <c r="D63" s="84"/>
    </row>
    <row r="64" spans="2:38" ht="14.25">
      <c r="B64" s="97"/>
      <c r="C64" s="83"/>
      <c r="D64" s="84"/>
    </row>
    <row r="65" spans="2:4" ht="14.25">
      <c r="B65" s="97"/>
      <c r="C65" s="83"/>
      <c r="D65" s="84"/>
    </row>
    <row r="66" spans="2:4" ht="14.25">
      <c r="B66" s="97"/>
      <c r="C66" s="83"/>
      <c r="D66" s="84"/>
    </row>
    <row r="67" spans="2:4" ht="14.25">
      <c r="B67" s="97"/>
      <c r="C67" s="83"/>
      <c r="D67" s="84"/>
    </row>
    <row r="68" spans="2:4" ht="14.25">
      <c r="B68" s="97"/>
      <c r="C68" s="83"/>
      <c r="D68" s="84"/>
    </row>
    <row r="69" spans="2:4" ht="14.25">
      <c r="B69" s="97"/>
      <c r="C69" s="83"/>
      <c r="D69" s="84"/>
    </row>
    <row r="70" spans="2:4" ht="14.25">
      <c r="B70" s="97"/>
      <c r="C70" s="83"/>
      <c r="D70" s="84"/>
    </row>
    <row r="71" spans="2:4" ht="14.25">
      <c r="B71" s="97"/>
      <c r="C71" s="83"/>
      <c r="D71" s="84"/>
    </row>
    <row r="72" spans="2:4" ht="14.25">
      <c r="B72" s="97"/>
      <c r="C72" s="83"/>
      <c r="D72" s="84"/>
    </row>
    <row r="73" spans="2:4" ht="14.25">
      <c r="B73" s="97"/>
      <c r="C73" s="83"/>
      <c r="D73" s="84"/>
    </row>
    <row r="74" spans="2:4" ht="14.25">
      <c r="B74" s="97"/>
      <c r="C74" s="83"/>
      <c r="D74" s="84"/>
    </row>
    <row r="75" spans="2:4" ht="14.25">
      <c r="B75" s="97"/>
      <c r="C75" s="83"/>
      <c r="D75" s="84"/>
    </row>
    <row r="76" spans="2:4" ht="14.25">
      <c r="B76" s="97"/>
      <c r="C76" s="83"/>
      <c r="D76" s="84"/>
    </row>
    <row r="77" spans="2:4" ht="14.25">
      <c r="B77" s="97"/>
      <c r="C77" s="83"/>
      <c r="D77" s="84"/>
    </row>
    <row r="78" spans="2:4" ht="14.25">
      <c r="B78" s="97"/>
      <c r="C78" s="83"/>
      <c r="D78" s="84"/>
    </row>
    <row r="79" spans="2:4" ht="14.25">
      <c r="B79" s="97"/>
      <c r="C79" s="83"/>
      <c r="D79" s="84"/>
    </row>
    <row r="80" spans="2:4" ht="14.25">
      <c r="B80" s="97"/>
      <c r="C80" s="83"/>
      <c r="D80" s="84"/>
    </row>
    <row r="81" spans="2:4" ht="14.25">
      <c r="B81" s="97"/>
      <c r="C81" s="83"/>
      <c r="D81" s="84"/>
    </row>
    <row r="82" spans="2:4" ht="14.25">
      <c r="B82" s="97"/>
      <c r="C82" s="83"/>
      <c r="D82" s="84"/>
    </row>
    <row r="83" spans="2:4" ht="14.25">
      <c r="B83" s="97"/>
      <c r="C83" s="83"/>
      <c r="D83" s="84"/>
    </row>
    <row r="84" spans="2:4" ht="14.25">
      <c r="B84" s="97"/>
      <c r="C84" s="83"/>
      <c r="D84" s="84"/>
    </row>
    <row r="85" spans="2:4" ht="14.25">
      <c r="B85" s="97"/>
      <c r="C85" s="83"/>
      <c r="D85" s="84"/>
    </row>
    <row r="86" spans="2:4" ht="14.25">
      <c r="B86" s="97"/>
      <c r="C86" s="83"/>
      <c r="D86" s="84"/>
    </row>
    <row r="87" spans="2:4" ht="14.25">
      <c r="B87" s="97"/>
      <c r="C87" s="83"/>
      <c r="D87" s="84"/>
    </row>
    <row r="88" spans="2:4" ht="14.25">
      <c r="B88" s="97"/>
      <c r="C88" s="83"/>
      <c r="D88" s="84"/>
    </row>
    <row r="89" spans="2:4" ht="14.25">
      <c r="B89" s="97"/>
      <c r="C89" s="83"/>
      <c r="D89" s="84"/>
    </row>
    <row r="90" spans="2:4" ht="14.25">
      <c r="B90" s="97"/>
      <c r="C90" s="83"/>
      <c r="D90" s="84"/>
    </row>
    <row r="91" spans="2:4" ht="14.25">
      <c r="B91" s="97"/>
      <c r="C91" s="83"/>
      <c r="D91" s="84"/>
    </row>
    <row r="92" spans="2:4" ht="14.25">
      <c r="B92" s="97"/>
      <c r="C92" s="83"/>
      <c r="D92" s="84"/>
    </row>
    <row r="93" spans="2:4" ht="14.25">
      <c r="B93" s="97"/>
      <c r="C93" s="83"/>
      <c r="D93" s="84"/>
    </row>
    <row r="94" spans="2:4" ht="14.25">
      <c r="B94" s="97"/>
      <c r="C94" s="83"/>
      <c r="D94" s="84"/>
    </row>
    <row r="95" spans="2:4" ht="14.25">
      <c r="B95" s="97"/>
      <c r="C95" s="83"/>
      <c r="D95" s="84"/>
    </row>
    <row r="96" spans="2:4" ht="14.25">
      <c r="B96" s="97"/>
      <c r="C96" s="83"/>
      <c r="D96" s="84"/>
    </row>
    <row r="97" spans="2:4" ht="14.25">
      <c r="B97" s="97"/>
      <c r="C97" s="83"/>
      <c r="D97" s="84"/>
    </row>
    <row r="98" spans="2:4" ht="14.25">
      <c r="B98" s="97"/>
      <c r="C98" s="83"/>
      <c r="D98" s="84"/>
    </row>
    <row r="99" spans="2:4" ht="14.25">
      <c r="B99" s="97"/>
      <c r="C99" s="83"/>
      <c r="D99" s="84"/>
    </row>
    <row r="100" spans="2:4" ht="14.25">
      <c r="B100" s="97"/>
      <c r="C100" s="83"/>
      <c r="D100" s="84"/>
    </row>
    <row r="101" spans="2:4" ht="14.25">
      <c r="B101" s="97"/>
      <c r="C101" s="83"/>
      <c r="D101" s="84"/>
    </row>
    <row r="102" spans="2:4" ht="14.25">
      <c r="B102" s="97"/>
      <c r="C102" s="83"/>
      <c r="D102" s="84"/>
    </row>
    <row r="103" spans="2:4" ht="14.25">
      <c r="B103" s="97"/>
      <c r="C103" s="83"/>
      <c r="D103" s="84"/>
    </row>
    <row r="104" spans="2:4" ht="14.25">
      <c r="B104" s="97"/>
      <c r="C104" s="83"/>
      <c r="D104" s="84"/>
    </row>
    <row r="105" spans="2:4" ht="14.25">
      <c r="B105" s="97"/>
      <c r="C105" s="83"/>
      <c r="D105" s="84"/>
    </row>
    <row r="106" spans="2:4" ht="14.25">
      <c r="B106" s="97"/>
      <c r="C106" s="83"/>
      <c r="D106" s="84"/>
    </row>
  </sheetData>
  <mergeCells count="32">
    <mergeCell ref="B2:AL2"/>
    <mergeCell ref="AK5:AL5"/>
    <mergeCell ref="U4:V4"/>
    <mergeCell ref="U5:V5"/>
    <mergeCell ref="W5:X5"/>
    <mergeCell ref="W4:X4"/>
    <mergeCell ref="Y5:Z5"/>
    <mergeCell ref="AC5:AD5"/>
    <mergeCell ref="AE4:AF4"/>
    <mergeCell ref="AE5:AF5"/>
    <mergeCell ref="AG5:AH5"/>
    <mergeCell ref="AG4:AH4"/>
    <mergeCell ref="Y4:AD4"/>
    <mergeCell ref="I4:N4"/>
    <mergeCell ref="AK4:AL4"/>
    <mergeCell ref="Q5:R5"/>
    <mergeCell ref="C3:C6"/>
    <mergeCell ref="G5:G6"/>
    <mergeCell ref="H5:H6"/>
    <mergeCell ref="I3:AL3"/>
    <mergeCell ref="D3:E6"/>
    <mergeCell ref="O4:T4"/>
    <mergeCell ref="O5:P5"/>
    <mergeCell ref="I5:J5"/>
    <mergeCell ref="AI4:AJ4"/>
    <mergeCell ref="AI5:AJ5"/>
    <mergeCell ref="F3:H4"/>
    <mergeCell ref="AA5:AB5"/>
    <mergeCell ref="K5:L5"/>
    <mergeCell ref="S5:T5"/>
    <mergeCell ref="F5:F6"/>
    <mergeCell ref="M5:N5"/>
  </mergeCells>
  <phoneticPr fontId="1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A1:BA262"/>
  <sheetViews>
    <sheetView topLeftCell="A85" zoomScale="40" zoomScaleNormal="40" workbookViewId="0">
      <pane xSplit="15" topLeftCell="P1" activePane="topRight" state="frozen"/>
      <selection activeCell="H7" sqref="H7:H21"/>
      <selection pane="topRight" activeCell="I13" sqref="I13"/>
    </sheetView>
  </sheetViews>
  <sheetFormatPr defaultColWidth="8.85546875" defaultRowHeight="12.75"/>
  <cols>
    <col min="1" max="1" width="5.5703125" style="107" customWidth="1"/>
    <col min="2" max="2" width="12.42578125" style="107" customWidth="1"/>
    <col min="3" max="3" width="8.85546875" style="106"/>
    <col min="4" max="4" width="26.42578125" style="106" customWidth="1"/>
    <col min="5" max="7" width="8.42578125" style="106" customWidth="1"/>
    <col min="8" max="8" width="11.140625" style="106" bestFit="1" customWidth="1"/>
    <col min="9" max="12" width="11.140625" style="106" customWidth="1"/>
    <col min="13" max="13" width="13.5703125" style="106" customWidth="1"/>
    <col min="14" max="14" width="9.85546875" style="106" customWidth="1"/>
    <col min="15" max="15" width="7.140625" style="106" customWidth="1"/>
    <col min="16" max="18" width="12.85546875" style="106" customWidth="1"/>
    <col min="19" max="19" width="5.42578125" style="106" customWidth="1"/>
    <col min="20" max="20" width="12.85546875" style="106" customWidth="1"/>
    <col min="21" max="23" width="12.85546875" style="107" customWidth="1"/>
    <col min="24" max="24" width="5.42578125" style="106" customWidth="1"/>
    <col min="25" max="28" width="12.85546875" style="107" customWidth="1"/>
    <col min="29" max="29" width="5.42578125" style="106" customWidth="1"/>
    <col min="30" max="30" width="12.85546875" style="107" customWidth="1"/>
    <col min="31" max="33" width="12.5703125" style="107" customWidth="1"/>
    <col min="34" max="34" width="5.42578125" style="106" customWidth="1"/>
    <col min="35" max="35" width="13" style="107" customWidth="1"/>
    <col min="36" max="38" width="12.5703125" style="107" customWidth="1"/>
    <col min="39" max="39" width="5.42578125" style="106" customWidth="1"/>
    <col min="40" max="40" width="13" style="107" customWidth="1"/>
    <col min="41" max="43" width="13.140625" style="107" customWidth="1"/>
    <col min="44" max="44" width="5.42578125" style="107" customWidth="1"/>
    <col min="45" max="48" width="13.140625" style="107" customWidth="1"/>
    <col min="49" max="49" width="5.42578125" style="107" customWidth="1"/>
    <col min="50" max="50" width="13.140625" style="107" customWidth="1"/>
    <col min="51" max="51" width="8.85546875" style="107"/>
    <col min="52" max="52" width="5.42578125" style="107" customWidth="1"/>
    <col min="53" max="53" width="13.140625" style="107" customWidth="1"/>
    <col min="54" max="16384" width="8.85546875" style="107"/>
  </cols>
  <sheetData>
    <row r="1" spans="1:53" ht="24">
      <c r="A1" s="75"/>
      <c r="B1" s="220" t="s">
        <v>314</v>
      </c>
      <c r="C1" s="219">
        <f>AVERAGE(L7,L42,L77,L112,L147,L182)</f>
        <v>861.7157917226599</v>
      </c>
    </row>
    <row r="2" spans="1:53" ht="15.75">
      <c r="A2" s="81"/>
      <c r="B2" s="671" t="s">
        <v>162</v>
      </c>
      <c r="C2" s="672"/>
      <c r="D2" s="672"/>
      <c r="E2" s="672"/>
      <c r="F2" s="672"/>
      <c r="G2" s="672"/>
      <c r="H2" s="673"/>
      <c r="I2" s="207"/>
      <c r="J2" s="207"/>
      <c r="K2" s="207"/>
      <c r="L2" s="207"/>
      <c r="M2" s="206"/>
      <c r="N2" s="645" t="s">
        <v>156</v>
      </c>
      <c r="O2" s="645" t="s">
        <v>105</v>
      </c>
      <c r="P2" s="670">
        <v>46266</v>
      </c>
      <c r="Q2" s="649"/>
      <c r="R2" s="649"/>
      <c r="S2" s="649"/>
      <c r="T2" s="649"/>
      <c r="U2" s="667">
        <f>P2+1</f>
        <v>46267</v>
      </c>
      <c r="V2" s="668"/>
      <c r="W2" s="668"/>
      <c r="X2" s="668"/>
      <c r="Y2" s="669"/>
      <c r="Z2" s="667">
        <f>U2+1</f>
        <v>46268</v>
      </c>
      <c r="AA2" s="668"/>
      <c r="AB2" s="668"/>
      <c r="AC2" s="668"/>
      <c r="AD2" s="669"/>
      <c r="AE2" s="667">
        <f>Z2+1</f>
        <v>46269</v>
      </c>
      <c r="AF2" s="668"/>
      <c r="AG2" s="668"/>
      <c r="AH2" s="668"/>
      <c r="AI2" s="669"/>
      <c r="AJ2" s="667">
        <f>AE2+1</f>
        <v>46270</v>
      </c>
      <c r="AK2" s="668"/>
      <c r="AL2" s="668"/>
      <c r="AM2" s="668"/>
      <c r="AN2" s="669"/>
      <c r="AO2" s="667">
        <f>AJ2+1</f>
        <v>46271</v>
      </c>
      <c r="AP2" s="668"/>
      <c r="AQ2" s="668"/>
      <c r="AR2" s="668"/>
      <c r="AS2" s="669"/>
      <c r="AT2" s="667">
        <f>AO2+1</f>
        <v>46272</v>
      </c>
      <c r="AU2" s="668"/>
      <c r="AV2" s="668"/>
      <c r="AW2" s="668"/>
      <c r="AX2" s="669"/>
    </row>
    <row r="3" spans="1:53" ht="15.75">
      <c r="A3" s="81"/>
      <c r="B3" s="674"/>
      <c r="C3" s="674"/>
      <c r="D3" s="674"/>
      <c r="E3" s="674"/>
      <c r="F3" s="674"/>
      <c r="G3" s="674"/>
      <c r="H3" s="674"/>
      <c r="I3" s="204"/>
      <c r="J3" s="204"/>
      <c r="K3" s="204"/>
      <c r="L3" s="204"/>
      <c r="M3" s="205"/>
      <c r="N3" s="647"/>
      <c r="O3" s="647"/>
      <c r="P3" s="670" t="s">
        <v>158</v>
      </c>
      <c r="Q3" s="649"/>
      <c r="R3" s="649"/>
      <c r="S3" s="649"/>
      <c r="T3" s="649"/>
      <c r="U3" s="670" t="s">
        <v>114</v>
      </c>
      <c r="V3" s="649"/>
      <c r="W3" s="649"/>
      <c r="X3" s="649"/>
      <c r="Y3" s="649"/>
      <c r="Z3" s="670" t="s">
        <v>159</v>
      </c>
      <c r="AA3" s="649"/>
      <c r="AB3" s="649"/>
      <c r="AC3" s="649"/>
      <c r="AD3" s="649"/>
      <c r="AE3" s="670" t="s">
        <v>157</v>
      </c>
      <c r="AF3" s="649"/>
      <c r="AG3" s="649"/>
      <c r="AH3" s="649"/>
      <c r="AI3" s="649"/>
      <c r="AJ3" s="670" t="s">
        <v>160</v>
      </c>
      <c r="AK3" s="649"/>
      <c r="AL3" s="649"/>
      <c r="AM3" s="649"/>
      <c r="AN3" s="649"/>
      <c r="AO3" s="670" t="s">
        <v>115</v>
      </c>
      <c r="AP3" s="649"/>
      <c r="AQ3" s="649"/>
      <c r="AR3" s="649"/>
      <c r="AS3" s="649"/>
      <c r="AT3" s="670" t="s">
        <v>161</v>
      </c>
      <c r="AU3" s="649"/>
      <c r="AV3" s="649"/>
      <c r="AW3" s="649"/>
      <c r="AX3" s="649"/>
    </row>
    <row r="4" spans="1:53" ht="14.25">
      <c r="A4" s="81"/>
      <c r="B4" s="643" t="s">
        <v>154</v>
      </c>
      <c r="C4" s="643" t="s">
        <v>372</v>
      </c>
      <c r="D4" s="643"/>
      <c r="E4" s="643" t="s">
        <v>363</v>
      </c>
      <c r="F4" s="643"/>
      <c r="G4" s="643"/>
      <c r="H4" s="675" t="s">
        <v>359</v>
      </c>
      <c r="I4" s="690" t="s">
        <v>364</v>
      </c>
      <c r="J4" s="690"/>
      <c r="K4" s="690"/>
      <c r="L4" s="691" t="s">
        <v>359</v>
      </c>
      <c r="M4" s="679" t="s">
        <v>360</v>
      </c>
      <c r="N4" s="643"/>
      <c r="O4" s="643" t="s">
        <v>365</v>
      </c>
      <c r="P4" s="661" t="s">
        <v>361</v>
      </c>
      <c r="Q4" s="662"/>
      <c r="R4" s="662"/>
      <c r="S4" s="663"/>
      <c r="T4" s="643" t="s">
        <v>359</v>
      </c>
      <c r="U4" s="661" t="s">
        <v>361</v>
      </c>
      <c r="V4" s="662"/>
      <c r="W4" s="662"/>
      <c r="X4" s="663"/>
      <c r="Y4" s="643" t="s">
        <v>359</v>
      </c>
      <c r="Z4" s="661" t="s">
        <v>361</v>
      </c>
      <c r="AA4" s="662"/>
      <c r="AB4" s="662"/>
      <c r="AC4" s="663"/>
      <c r="AD4" s="643" t="s">
        <v>359</v>
      </c>
      <c r="AE4" s="661" t="s">
        <v>361</v>
      </c>
      <c r="AF4" s="662"/>
      <c r="AG4" s="662"/>
      <c r="AH4" s="663"/>
      <c r="AI4" s="643" t="s">
        <v>359</v>
      </c>
      <c r="AJ4" s="661" t="s">
        <v>361</v>
      </c>
      <c r="AK4" s="662"/>
      <c r="AL4" s="662"/>
      <c r="AM4" s="663"/>
      <c r="AN4" s="643" t="s">
        <v>359</v>
      </c>
      <c r="AO4" s="661" t="s">
        <v>361</v>
      </c>
      <c r="AP4" s="662"/>
      <c r="AQ4" s="662"/>
      <c r="AR4" s="663"/>
      <c r="AS4" s="643" t="s">
        <v>359</v>
      </c>
      <c r="AT4" s="661" t="s">
        <v>361</v>
      </c>
      <c r="AU4" s="662"/>
      <c r="AV4" s="662"/>
      <c r="AW4" s="663"/>
      <c r="AX4" s="643" t="s">
        <v>359</v>
      </c>
      <c r="BA4" s="643" t="s">
        <v>359</v>
      </c>
    </row>
    <row r="5" spans="1:53" ht="14.25">
      <c r="A5" s="81"/>
      <c r="B5" s="643"/>
      <c r="C5" s="643"/>
      <c r="D5" s="643"/>
      <c r="E5" s="643" t="s">
        <v>366</v>
      </c>
      <c r="F5" s="643"/>
      <c r="G5" s="643"/>
      <c r="H5" s="676"/>
      <c r="I5" s="690" t="s">
        <v>366</v>
      </c>
      <c r="J5" s="690"/>
      <c r="K5" s="690"/>
      <c r="L5" s="692"/>
      <c r="M5" s="680"/>
      <c r="N5" s="643"/>
      <c r="O5" s="643"/>
      <c r="P5" s="661" t="s">
        <v>367</v>
      </c>
      <c r="Q5" s="662"/>
      <c r="R5" s="662"/>
      <c r="S5" s="663"/>
      <c r="T5" s="643"/>
      <c r="U5" s="661" t="s">
        <v>367</v>
      </c>
      <c r="V5" s="662"/>
      <c r="W5" s="662"/>
      <c r="X5" s="663"/>
      <c r="Y5" s="643"/>
      <c r="Z5" s="661" t="s">
        <v>367</v>
      </c>
      <c r="AA5" s="662"/>
      <c r="AB5" s="662"/>
      <c r="AC5" s="663"/>
      <c r="AD5" s="643"/>
      <c r="AE5" s="661" t="s">
        <v>367</v>
      </c>
      <c r="AF5" s="662"/>
      <c r="AG5" s="662"/>
      <c r="AH5" s="663"/>
      <c r="AI5" s="643"/>
      <c r="AJ5" s="661" t="s">
        <v>367</v>
      </c>
      <c r="AK5" s="662"/>
      <c r="AL5" s="662"/>
      <c r="AM5" s="663"/>
      <c r="AN5" s="643"/>
      <c r="AO5" s="661" t="s">
        <v>367</v>
      </c>
      <c r="AP5" s="662"/>
      <c r="AQ5" s="662"/>
      <c r="AR5" s="663"/>
      <c r="AS5" s="643"/>
      <c r="AT5" s="661" t="s">
        <v>367</v>
      </c>
      <c r="AU5" s="662"/>
      <c r="AV5" s="662"/>
      <c r="AW5" s="663"/>
      <c r="AX5" s="643"/>
      <c r="BA5" s="643"/>
    </row>
    <row r="6" spans="1:53" ht="14.25">
      <c r="A6" s="79"/>
      <c r="B6" s="643"/>
      <c r="C6" s="643"/>
      <c r="D6" s="643"/>
      <c r="E6" s="525" t="s">
        <v>368</v>
      </c>
      <c r="F6" s="525" t="s">
        <v>369</v>
      </c>
      <c r="G6" s="525" t="s">
        <v>370</v>
      </c>
      <c r="H6" s="677"/>
      <c r="I6" s="524" t="s">
        <v>368</v>
      </c>
      <c r="J6" s="524" t="s">
        <v>369</v>
      </c>
      <c r="K6" s="524" t="s">
        <v>370</v>
      </c>
      <c r="L6" s="693"/>
      <c r="M6" s="681"/>
      <c r="N6" s="643"/>
      <c r="O6" s="643"/>
      <c r="P6" s="575" t="s">
        <v>368</v>
      </c>
      <c r="Q6" s="575" t="s">
        <v>369</v>
      </c>
      <c r="R6" s="575" t="s">
        <v>370</v>
      </c>
      <c r="S6" s="575" t="s">
        <v>360</v>
      </c>
      <c r="T6" s="643"/>
      <c r="U6" s="575" t="s">
        <v>368</v>
      </c>
      <c r="V6" s="575" t="s">
        <v>369</v>
      </c>
      <c r="W6" s="575" t="s">
        <v>370</v>
      </c>
      <c r="X6" s="575" t="s">
        <v>360</v>
      </c>
      <c r="Y6" s="643"/>
      <c r="Z6" s="575" t="s">
        <v>368</v>
      </c>
      <c r="AA6" s="575" t="s">
        <v>369</v>
      </c>
      <c r="AB6" s="575" t="s">
        <v>370</v>
      </c>
      <c r="AC6" s="575" t="s">
        <v>360</v>
      </c>
      <c r="AD6" s="643"/>
      <c r="AE6" s="575" t="s">
        <v>368</v>
      </c>
      <c r="AF6" s="575" t="s">
        <v>369</v>
      </c>
      <c r="AG6" s="575" t="s">
        <v>370</v>
      </c>
      <c r="AH6" s="575" t="s">
        <v>360</v>
      </c>
      <c r="AI6" s="643"/>
      <c r="AJ6" s="575" t="s">
        <v>368</v>
      </c>
      <c r="AK6" s="575" t="s">
        <v>369</v>
      </c>
      <c r="AL6" s="575" t="s">
        <v>370</v>
      </c>
      <c r="AM6" s="575" t="s">
        <v>360</v>
      </c>
      <c r="AN6" s="643"/>
      <c r="AO6" s="575" t="s">
        <v>368</v>
      </c>
      <c r="AP6" s="575" t="s">
        <v>369</v>
      </c>
      <c r="AQ6" s="575" t="s">
        <v>370</v>
      </c>
      <c r="AR6" s="575" t="s">
        <v>360</v>
      </c>
      <c r="AS6" s="643"/>
      <c r="AT6" s="575" t="s">
        <v>368</v>
      </c>
      <c r="AU6" s="575" t="s">
        <v>369</v>
      </c>
      <c r="AV6" s="575" t="s">
        <v>370</v>
      </c>
      <c r="AW6" s="575" t="s">
        <v>360</v>
      </c>
      <c r="AX6" s="643"/>
      <c r="AZ6" s="373" t="s">
        <v>360</v>
      </c>
      <c r="BA6" s="643"/>
    </row>
    <row r="7" spans="1:53" ht="14.25">
      <c r="A7" s="81"/>
      <c r="B7" s="648" t="s">
        <v>476</v>
      </c>
      <c r="C7" s="526">
        <v>1</v>
      </c>
      <c r="D7" s="201" t="s">
        <v>333</v>
      </c>
      <c r="E7" s="201">
        <v>3</v>
      </c>
      <c r="F7" s="201">
        <v>3200</v>
      </c>
      <c r="G7" s="529">
        <v>1066.6666666666667</v>
      </c>
      <c r="H7" s="638">
        <f>AVERAGE(G7:G36)</f>
        <v>834.89583333333314</v>
      </c>
      <c r="I7" s="529">
        <f>IFERROR(AVERAGE(P7,U7,Z7,AE7,AJ7,AO7,AT7),"-")</f>
        <v>3</v>
      </c>
      <c r="J7" s="529">
        <f>IFERROR(AVERAGE(Q7,V7,AA7,AF7,AK7,AP7,AU7),"-")</f>
        <v>3240.464534446683</v>
      </c>
      <c r="K7" s="199">
        <f>IFERROR(AVERAGE(R7,W7,AB7,AG7,AL7,AQ7,AV7),"-")</f>
        <v>1080.1548448155609</v>
      </c>
      <c r="L7" s="658">
        <f>IFERROR(AVERAGE(K7:K36),"-")</f>
        <v>861.7157917226599</v>
      </c>
      <c r="M7" s="550">
        <f>RANK(K7, K$7:$K$36)</f>
        <v>3</v>
      </c>
      <c r="N7" s="643"/>
      <c r="O7" s="643"/>
      <c r="P7" s="577">
        <v>3</v>
      </c>
      <c r="Q7" s="510">
        <v>3199.5180722891587</v>
      </c>
      <c r="R7" s="510">
        <v>1066.5060240963862</v>
      </c>
      <c r="S7" s="576">
        <f>RANK(R7, R$7:R$36)</f>
        <v>2</v>
      </c>
      <c r="T7" s="644">
        <f>AVERAGE(R7:R36)</f>
        <v>836.06263829256875</v>
      </c>
      <c r="U7" s="577">
        <v>3</v>
      </c>
      <c r="V7" s="510">
        <v>3194.9999999999964</v>
      </c>
      <c r="W7" s="510">
        <v>1064.9999999999989</v>
      </c>
      <c r="X7" s="576">
        <f>RANK(W7, W$7:W$36)</f>
        <v>7</v>
      </c>
      <c r="Y7" s="644">
        <f>AVERAGE(W7:W36)</f>
        <v>869.59792087997528</v>
      </c>
      <c r="Z7" s="577">
        <v>3</v>
      </c>
      <c r="AA7" s="510">
        <v>3203.5135135135129</v>
      </c>
      <c r="AB7" s="510">
        <v>1067.8378378378377</v>
      </c>
      <c r="AC7" s="576">
        <f>RANK(AB7, AB$7:AB$36)</f>
        <v>7</v>
      </c>
      <c r="AD7" s="644">
        <f>AVERAGE(AB7:AB36)</f>
        <v>865.74958280306407</v>
      </c>
      <c r="AE7" s="577">
        <v>3</v>
      </c>
      <c r="AF7" s="510">
        <v>3287.6190476190468</v>
      </c>
      <c r="AG7" s="510">
        <v>1095.8730158730157</v>
      </c>
      <c r="AH7" s="576">
        <f>RANK(AG7, AG$7:AG$36)</f>
        <v>2</v>
      </c>
      <c r="AI7" s="644">
        <f>AVERAGE(AG7:AG36)</f>
        <v>877.97318227534436</v>
      </c>
      <c r="AJ7" s="577">
        <v>3</v>
      </c>
      <c r="AK7" s="510">
        <v>3270.4918032786891</v>
      </c>
      <c r="AL7" s="510">
        <v>1090.1639344262296</v>
      </c>
      <c r="AM7" s="576">
        <f>RANK(AL7, AL$7:AL$36)</f>
        <v>1</v>
      </c>
      <c r="AN7" s="644">
        <f>AVERAGE(AL7:AL36)</f>
        <v>828.18116305161618</v>
      </c>
      <c r="AO7" s="577">
        <v>3</v>
      </c>
      <c r="AP7" s="510">
        <v>3262.9629629629635</v>
      </c>
      <c r="AQ7" s="510">
        <v>1087.6543209876545</v>
      </c>
      <c r="AR7" s="576">
        <f>RANK(AQ7, AQ$7:AQ$36)</f>
        <v>4</v>
      </c>
      <c r="AS7" s="644">
        <f>AVERAGE(AQ7:AQ36)</f>
        <v>872.73699682197287</v>
      </c>
      <c r="AT7" s="577">
        <v>3</v>
      </c>
      <c r="AU7" s="510">
        <v>3264.1463414634118</v>
      </c>
      <c r="AV7" s="510">
        <v>1088.0487804878039</v>
      </c>
      <c r="AW7" s="576">
        <f>RANK(AV7, AV$7:AV$36)</f>
        <v>5</v>
      </c>
      <c r="AX7" s="644">
        <f>AVERAGE(AV7:AV36)</f>
        <v>881.70905793407701</v>
      </c>
      <c r="AZ7" s="372" t="e">
        <f>RANK(AY7, AY$7:AY$36)</f>
        <v>#N/A</v>
      </c>
      <c r="BA7" s="644" t="e">
        <f>AVERAGE(AY7:AY36)</f>
        <v>#DIV/0!</v>
      </c>
    </row>
    <row r="8" spans="1:53" ht="15" customHeight="1">
      <c r="A8" s="81"/>
      <c r="B8" s="678"/>
      <c r="C8" s="526">
        <v>2</v>
      </c>
      <c r="D8" s="524" t="s">
        <v>334</v>
      </c>
      <c r="E8" s="201">
        <v>3</v>
      </c>
      <c r="F8" s="201">
        <v>3200</v>
      </c>
      <c r="G8" s="529">
        <v>1066.6666666666667</v>
      </c>
      <c r="H8" s="639"/>
      <c r="I8" s="529">
        <f t="shared" ref="I8:I36" si="0">IFERROR(AVERAGE(P8,U8,Z8,AE8,AJ8,AO8,AT8),"-")</f>
        <v>3</v>
      </c>
      <c r="J8" s="529">
        <f t="shared" ref="J8:J36" si="1">IFERROR(AVERAGE(Q8,V8,AA8,AF8,AK8,AP8,AU8),"-")</f>
        <v>3263.4585800827554</v>
      </c>
      <c r="K8" s="199">
        <f t="shared" ref="K8:K36" si="2">IFERROR(AVERAGE(R8,W8,AB8,AG8,AL8,AQ8,AV8),"-")</f>
        <v>1087.8195266942519</v>
      </c>
      <c r="L8" s="659"/>
      <c r="M8" s="550">
        <f>RANK(K8, K$7:$K$36)</f>
        <v>2</v>
      </c>
      <c r="N8" s="643"/>
      <c r="O8" s="643"/>
      <c r="P8" s="577">
        <v>3</v>
      </c>
      <c r="Q8" s="510">
        <v>3152.7272727272784</v>
      </c>
      <c r="R8" s="510">
        <v>1050.9090909090928</v>
      </c>
      <c r="S8" s="576">
        <f t="shared" ref="S8:S36" si="3">RANK(R8, R$7:R$36)</f>
        <v>4</v>
      </c>
      <c r="T8" s="644"/>
      <c r="U8" s="577">
        <v>3</v>
      </c>
      <c r="V8" s="510">
        <v>3546.6666666666715</v>
      </c>
      <c r="W8" s="510">
        <v>1182.2222222222238</v>
      </c>
      <c r="X8" s="576">
        <f t="shared" ref="X8:X36" si="4">RANK(W8, W$7:W$36)</f>
        <v>1</v>
      </c>
      <c r="Y8" s="644"/>
      <c r="Z8" s="577">
        <v>3</v>
      </c>
      <c r="AA8" s="510">
        <v>3249.4736842105312</v>
      </c>
      <c r="AB8" s="510">
        <v>1083.1578947368437</v>
      </c>
      <c r="AC8" s="576">
        <f t="shared" ref="AC8:AC36" si="5">RANK(AB8, AB$7:AB$36)</f>
        <v>5</v>
      </c>
      <c r="AD8" s="644"/>
      <c r="AE8" s="577">
        <v>3</v>
      </c>
      <c r="AF8" s="510">
        <v>3208.2352941176514</v>
      </c>
      <c r="AG8" s="510">
        <v>1069.4117647058838</v>
      </c>
      <c r="AH8" s="576">
        <f t="shared" ref="AH8:AH36" si="6">RANK(AG8, AG$7:AG$36)</f>
        <v>6</v>
      </c>
      <c r="AI8" s="644"/>
      <c r="AJ8" s="577">
        <v>3</v>
      </c>
      <c r="AK8" s="510">
        <v>3086.2500000000036</v>
      </c>
      <c r="AL8" s="510">
        <v>1028.7500000000011</v>
      </c>
      <c r="AM8" s="576">
        <f t="shared" ref="AM8:AM36" si="7">RANK(AL8, AL$7:AL$36)</f>
        <v>7</v>
      </c>
      <c r="AN8" s="644"/>
      <c r="AO8" s="577">
        <v>3</v>
      </c>
      <c r="AP8" s="510">
        <v>3282.8571428571486</v>
      </c>
      <c r="AQ8" s="510">
        <v>1094.2857142857163</v>
      </c>
      <c r="AR8" s="576">
        <f t="shared" ref="AR8:AR36" si="8">RANK(AQ8, AQ$7:AQ$36)</f>
        <v>3</v>
      </c>
      <c r="AS8" s="644"/>
      <c r="AT8" s="577">
        <v>3</v>
      </c>
      <c r="AU8" s="510">
        <v>3318.0000000000055</v>
      </c>
      <c r="AV8" s="510">
        <v>1106.0000000000018</v>
      </c>
      <c r="AW8" s="576">
        <f t="shared" ref="AW8:AW36" si="9">RANK(AV8, AV$7:AV$36)</f>
        <v>2</v>
      </c>
      <c r="AX8" s="644"/>
      <c r="AZ8" s="372" t="e">
        <f t="shared" ref="AZ8:AZ36" si="10">RANK(AY8, AY$7:AY$36)</f>
        <v>#N/A</v>
      </c>
      <c r="BA8" s="644"/>
    </row>
    <row r="9" spans="1:53" ht="14.25">
      <c r="A9" s="81"/>
      <c r="B9" s="678"/>
      <c r="C9" s="526">
        <v>3</v>
      </c>
      <c r="D9" s="201" t="s">
        <v>747</v>
      </c>
      <c r="E9" s="201">
        <v>4</v>
      </c>
      <c r="F9" s="201">
        <v>3200</v>
      </c>
      <c r="G9" s="529">
        <v>800</v>
      </c>
      <c r="H9" s="639"/>
      <c r="I9" s="529">
        <f t="shared" si="0"/>
        <v>4</v>
      </c>
      <c r="J9" s="529">
        <f t="shared" si="1"/>
        <v>3275.4372294372261</v>
      </c>
      <c r="K9" s="199">
        <f t="shared" si="2"/>
        <v>818.85930735930651</v>
      </c>
      <c r="L9" s="659"/>
      <c r="M9" s="550">
        <f>RANK(K9, K$7:$K$36)</f>
        <v>13</v>
      </c>
      <c r="N9" s="643"/>
      <c r="O9" s="643"/>
      <c r="P9" s="577">
        <v>4</v>
      </c>
      <c r="Q9" s="510">
        <v>3105.4545454545414</v>
      </c>
      <c r="R9" s="510">
        <v>776.36363636363535</v>
      </c>
      <c r="S9" s="576">
        <f t="shared" si="3"/>
        <v>15</v>
      </c>
      <c r="T9" s="644"/>
      <c r="U9" s="577">
        <v>4</v>
      </c>
      <c r="V9" s="510">
        <v>3233.9999999999986</v>
      </c>
      <c r="W9" s="510">
        <v>808.49999999999966</v>
      </c>
      <c r="X9" s="576">
        <f t="shared" si="4"/>
        <v>17</v>
      </c>
      <c r="Y9" s="644"/>
      <c r="Z9" s="577">
        <v>4</v>
      </c>
      <c r="AA9" s="510">
        <v>3369.5999999999954</v>
      </c>
      <c r="AB9" s="510">
        <v>842.39999999999884</v>
      </c>
      <c r="AC9" s="576">
        <f t="shared" si="5"/>
        <v>13</v>
      </c>
      <c r="AD9" s="644"/>
      <c r="AE9" s="577">
        <v>4</v>
      </c>
      <c r="AF9" s="510">
        <v>3278.399999999996</v>
      </c>
      <c r="AG9" s="510">
        <v>819.599999999999</v>
      </c>
      <c r="AH9" s="576">
        <f t="shared" si="6"/>
        <v>14</v>
      </c>
      <c r="AI9" s="644"/>
      <c r="AJ9" s="577">
        <v>4</v>
      </c>
      <c r="AK9" s="510">
        <v>3147.272727272727</v>
      </c>
      <c r="AL9" s="510">
        <v>786.81818181818176</v>
      </c>
      <c r="AM9" s="576">
        <f t="shared" si="7"/>
        <v>15</v>
      </c>
      <c r="AN9" s="644"/>
      <c r="AO9" s="577">
        <v>4</v>
      </c>
      <c r="AP9" s="510">
        <v>3437.7777777777746</v>
      </c>
      <c r="AQ9" s="510">
        <v>859.44444444444366</v>
      </c>
      <c r="AR9" s="576">
        <f t="shared" si="8"/>
        <v>12</v>
      </c>
      <c r="AS9" s="644"/>
      <c r="AT9" s="577">
        <v>4</v>
      </c>
      <c r="AU9" s="510">
        <v>3355.5555555555525</v>
      </c>
      <c r="AV9" s="510">
        <v>838.88888888888812</v>
      </c>
      <c r="AW9" s="576">
        <f t="shared" si="9"/>
        <v>14</v>
      </c>
      <c r="AX9" s="644"/>
      <c r="AZ9" s="372" t="e">
        <f t="shared" si="10"/>
        <v>#N/A</v>
      </c>
      <c r="BA9" s="644"/>
    </row>
    <row r="10" spans="1:53" ht="14.25">
      <c r="A10" s="81"/>
      <c r="B10" s="678"/>
      <c r="C10" s="526">
        <v>4</v>
      </c>
      <c r="D10" s="201" t="s">
        <v>748</v>
      </c>
      <c r="E10" s="201">
        <v>3</v>
      </c>
      <c r="F10" s="201">
        <v>3200</v>
      </c>
      <c r="G10" s="529">
        <v>1066.6666666666667</v>
      </c>
      <c r="H10" s="639"/>
      <c r="I10" s="529">
        <f t="shared" si="0"/>
        <v>3</v>
      </c>
      <c r="J10" s="529">
        <f t="shared" si="1"/>
        <v>3233.2123612532182</v>
      </c>
      <c r="K10" s="199">
        <f t="shared" si="2"/>
        <v>1077.7374537510727</v>
      </c>
      <c r="L10" s="659"/>
      <c r="M10" s="550">
        <f>RANK(K10, K$7:$K$36)</f>
        <v>5</v>
      </c>
      <c r="N10" s="643"/>
      <c r="O10" s="643"/>
      <c r="P10" s="577">
        <v>3</v>
      </c>
      <c r="Q10" s="510">
        <v>3229.5000000000005</v>
      </c>
      <c r="R10" s="510">
        <v>1076.5000000000002</v>
      </c>
      <c r="S10" s="576">
        <f t="shared" si="3"/>
        <v>1</v>
      </c>
      <c r="T10" s="644"/>
      <c r="U10" s="577">
        <v>3</v>
      </c>
      <c r="V10" s="510">
        <v>3237.3913043478265</v>
      </c>
      <c r="W10" s="510">
        <v>1079.1304347826087</v>
      </c>
      <c r="X10" s="576">
        <f t="shared" si="4"/>
        <v>6</v>
      </c>
      <c r="Y10" s="644"/>
      <c r="Z10" s="577">
        <v>3</v>
      </c>
      <c r="AA10" s="510">
        <v>3273.8181818181815</v>
      </c>
      <c r="AB10" s="510">
        <v>1091.2727272727273</v>
      </c>
      <c r="AC10" s="576">
        <f t="shared" si="5"/>
        <v>3</v>
      </c>
      <c r="AD10" s="644"/>
      <c r="AE10" s="577">
        <v>3</v>
      </c>
      <c r="AF10" s="510">
        <v>3247.5789473684217</v>
      </c>
      <c r="AG10" s="510">
        <v>1082.526315789474</v>
      </c>
      <c r="AH10" s="576">
        <f t="shared" si="6"/>
        <v>4</v>
      </c>
      <c r="AI10" s="644"/>
      <c r="AJ10" s="577">
        <v>3</v>
      </c>
      <c r="AK10" s="510">
        <v>3180.0000000000005</v>
      </c>
      <c r="AL10" s="510">
        <v>1060.0000000000002</v>
      </c>
      <c r="AM10" s="576">
        <f t="shared" si="7"/>
        <v>4</v>
      </c>
      <c r="AN10" s="644"/>
      <c r="AO10" s="577">
        <v>3</v>
      </c>
      <c r="AP10" s="510">
        <v>3228.9600000000009</v>
      </c>
      <c r="AQ10" s="510">
        <v>1076.3200000000004</v>
      </c>
      <c r="AR10" s="576">
        <f t="shared" si="8"/>
        <v>7</v>
      </c>
      <c r="AS10" s="644"/>
      <c r="AT10" s="577">
        <v>3</v>
      </c>
      <c r="AU10" s="510">
        <v>3235.2380952380945</v>
      </c>
      <c r="AV10" s="510">
        <v>1078.4126984126981</v>
      </c>
      <c r="AW10" s="576">
        <f t="shared" si="9"/>
        <v>6</v>
      </c>
      <c r="AX10" s="644"/>
      <c r="AZ10" s="372" t="e">
        <f t="shared" si="10"/>
        <v>#N/A</v>
      </c>
      <c r="BA10" s="644"/>
    </row>
    <row r="11" spans="1:53" ht="14.25">
      <c r="A11" s="81"/>
      <c r="B11" s="678"/>
      <c r="C11" s="526">
        <v>5</v>
      </c>
      <c r="D11" s="201" t="s">
        <v>749</v>
      </c>
      <c r="E11" s="201">
        <v>4</v>
      </c>
      <c r="F11" s="201">
        <v>3200</v>
      </c>
      <c r="G11" s="529">
        <v>800</v>
      </c>
      <c r="H11" s="639"/>
      <c r="I11" s="529">
        <f t="shared" si="0"/>
        <v>4</v>
      </c>
      <c r="J11" s="529">
        <f t="shared" si="1"/>
        <v>3253.6544348508623</v>
      </c>
      <c r="K11" s="199">
        <f t="shared" si="2"/>
        <v>813.41360871271559</v>
      </c>
      <c r="L11" s="659"/>
      <c r="M11" s="550">
        <f>RANK(K11, K$7:$K$36)</f>
        <v>14</v>
      </c>
      <c r="N11" s="643"/>
      <c r="O11" s="643"/>
      <c r="P11" s="577">
        <v>4</v>
      </c>
      <c r="Q11" s="510">
        <v>3183.4285714285752</v>
      </c>
      <c r="R11" s="510">
        <v>795.8571428571438</v>
      </c>
      <c r="S11" s="576">
        <f t="shared" si="3"/>
        <v>12</v>
      </c>
      <c r="T11" s="644"/>
      <c r="U11" s="577">
        <v>4</v>
      </c>
      <c r="V11" s="510">
        <v>3335.6249999999909</v>
      </c>
      <c r="W11" s="510">
        <v>833.90624999999773</v>
      </c>
      <c r="X11" s="576">
        <f t="shared" si="4"/>
        <v>12</v>
      </c>
      <c r="Y11" s="644"/>
      <c r="Z11" s="577">
        <v>4</v>
      </c>
      <c r="AA11" s="510">
        <v>3209.9999999999973</v>
      </c>
      <c r="AB11" s="510">
        <v>802.49999999999932</v>
      </c>
      <c r="AC11" s="576">
        <f t="shared" si="5"/>
        <v>16</v>
      </c>
      <c r="AD11" s="644"/>
      <c r="AE11" s="577">
        <v>4</v>
      </c>
      <c r="AF11" s="510">
        <v>3325.3846153846175</v>
      </c>
      <c r="AG11" s="510">
        <v>831.34615384615438</v>
      </c>
      <c r="AH11" s="576">
        <f t="shared" si="6"/>
        <v>12</v>
      </c>
      <c r="AI11" s="644"/>
      <c r="AJ11" s="577">
        <v>4</v>
      </c>
      <c r="AK11" s="510">
        <v>3157.142857142856</v>
      </c>
      <c r="AL11" s="510">
        <v>789.28571428571399</v>
      </c>
      <c r="AM11" s="576">
        <f t="shared" si="7"/>
        <v>14</v>
      </c>
      <c r="AN11" s="644"/>
      <c r="AO11" s="577">
        <v>4</v>
      </c>
      <c r="AP11" s="510">
        <v>3309.9999999999986</v>
      </c>
      <c r="AQ11" s="510">
        <v>827.49999999999966</v>
      </c>
      <c r="AR11" s="576">
        <f t="shared" si="8"/>
        <v>14</v>
      </c>
      <c r="AS11" s="644"/>
      <c r="AT11" s="577">
        <v>4</v>
      </c>
      <c r="AU11" s="510">
        <v>3253.9999999999982</v>
      </c>
      <c r="AV11" s="510">
        <v>813.49999999999955</v>
      </c>
      <c r="AW11" s="576">
        <f t="shared" si="9"/>
        <v>17</v>
      </c>
      <c r="AX11" s="644"/>
      <c r="AZ11" s="372" t="e">
        <f t="shared" si="10"/>
        <v>#N/A</v>
      </c>
      <c r="BA11" s="644"/>
    </row>
    <row r="12" spans="1:53" ht="14.25">
      <c r="A12" s="81"/>
      <c r="B12" s="678"/>
      <c r="C12" s="526">
        <v>6</v>
      </c>
      <c r="D12" s="201" t="s">
        <v>750</v>
      </c>
      <c r="E12" s="201">
        <v>4</v>
      </c>
      <c r="F12" s="201">
        <v>3200</v>
      </c>
      <c r="G12" s="529">
        <v>800</v>
      </c>
      <c r="H12" s="639"/>
      <c r="I12" s="529">
        <f t="shared" si="0"/>
        <v>4</v>
      </c>
      <c r="J12" s="529">
        <f t="shared" si="1"/>
        <v>3299.0270925761661</v>
      </c>
      <c r="K12" s="199">
        <f t="shared" si="2"/>
        <v>824.75677314404152</v>
      </c>
      <c r="L12" s="659"/>
      <c r="M12" s="550">
        <f>RANK(K12, K$7:$K$36)</f>
        <v>12</v>
      </c>
      <c r="N12" s="643"/>
      <c r="O12" s="643"/>
      <c r="P12" s="577">
        <v>4</v>
      </c>
      <c r="Q12" s="510">
        <v>3172.8000000000011</v>
      </c>
      <c r="R12" s="510">
        <v>793.20000000000027</v>
      </c>
      <c r="S12" s="576">
        <f t="shared" si="3"/>
        <v>13</v>
      </c>
      <c r="T12" s="644"/>
      <c r="U12" s="577">
        <v>4</v>
      </c>
      <c r="V12" s="510">
        <v>3314.4000000000065</v>
      </c>
      <c r="W12" s="510">
        <v>828.60000000000161</v>
      </c>
      <c r="X12" s="576">
        <f t="shared" si="4"/>
        <v>13</v>
      </c>
      <c r="Y12" s="644"/>
      <c r="Z12" s="577">
        <v>4</v>
      </c>
      <c r="AA12" s="510">
        <v>3486.6666666666715</v>
      </c>
      <c r="AB12" s="510">
        <v>871.66666666666788</v>
      </c>
      <c r="AC12" s="576">
        <f t="shared" si="5"/>
        <v>12</v>
      </c>
      <c r="AD12" s="644"/>
      <c r="AE12" s="577">
        <v>4</v>
      </c>
      <c r="AF12" s="510">
        <v>3261.000000000005</v>
      </c>
      <c r="AG12" s="510">
        <v>815.25000000000125</v>
      </c>
      <c r="AH12" s="576">
        <f t="shared" si="6"/>
        <v>16</v>
      </c>
      <c r="AI12" s="644"/>
      <c r="AJ12" s="577">
        <v>4</v>
      </c>
      <c r="AK12" s="510">
        <v>3270.0000000000036</v>
      </c>
      <c r="AL12" s="510">
        <v>817.50000000000091</v>
      </c>
      <c r="AM12" s="576">
        <f t="shared" si="7"/>
        <v>11</v>
      </c>
      <c r="AN12" s="644"/>
      <c r="AO12" s="577">
        <v>4</v>
      </c>
      <c r="AP12" s="510">
        <v>3242.6086956521799</v>
      </c>
      <c r="AQ12" s="510">
        <v>810.65217391304498</v>
      </c>
      <c r="AR12" s="576">
        <f t="shared" si="8"/>
        <v>16</v>
      </c>
      <c r="AS12" s="644"/>
      <c r="AT12" s="577">
        <v>4</v>
      </c>
      <c r="AU12" s="510">
        <v>3345.7142857142917</v>
      </c>
      <c r="AV12" s="510">
        <v>836.42857142857292</v>
      </c>
      <c r="AW12" s="576">
        <f t="shared" si="9"/>
        <v>15</v>
      </c>
      <c r="AX12" s="644"/>
      <c r="AZ12" s="372" t="e">
        <f t="shared" si="10"/>
        <v>#N/A</v>
      </c>
      <c r="BA12" s="644"/>
    </row>
    <row r="13" spans="1:53" ht="14.25">
      <c r="A13" s="81"/>
      <c r="B13" s="678"/>
      <c r="C13" s="526">
        <v>7</v>
      </c>
      <c r="D13" s="201" t="s">
        <v>751</v>
      </c>
      <c r="E13" s="201">
        <v>3</v>
      </c>
      <c r="F13" s="201">
        <v>3200</v>
      </c>
      <c r="G13" s="529">
        <v>1066.6666666666667</v>
      </c>
      <c r="H13" s="639"/>
      <c r="I13" s="529">
        <f t="shared" si="0"/>
        <v>3</v>
      </c>
      <c r="J13" s="529">
        <f t="shared" si="1"/>
        <v>3235.9040794127031</v>
      </c>
      <c r="K13" s="199">
        <f t="shared" si="2"/>
        <v>1078.6346931375679</v>
      </c>
      <c r="L13" s="659"/>
      <c r="M13" s="550">
        <f>RANK(K13, K$7:$K$36)</f>
        <v>4</v>
      </c>
      <c r="N13" s="643"/>
      <c r="O13" s="643"/>
      <c r="P13" s="577">
        <v>3</v>
      </c>
      <c r="Q13" s="510">
        <v>3159.4736842105308</v>
      </c>
      <c r="R13" s="510">
        <v>1053.1578947368437</v>
      </c>
      <c r="S13" s="576">
        <f t="shared" si="3"/>
        <v>3</v>
      </c>
      <c r="T13" s="644"/>
      <c r="U13" s="577">
        <v>3</v>
      </c>
      <c r="V13" s="510">
        <v>3312.3529411764666</v>
      </c>
      <c r="W13" s="510">
        <v>1104.1176470588223</v>
      </c>
      <c r="X13" s="576">
        <f t="shared" si="4"/>
        <v>2</v>
      </c>
      <c r="Y13" s="644"/>
      <c r="Z13" s="577">
        <v>3</v>
      </c>
      <c r="AA13" s="510">
        <v>3219.9999999999959</v>
      </c>
      <c r="AB13" s="510">
        <v>1073.3333333333319</v>
      </c>
      <c r="AC13" s="576">
        <f t="shared" si="5"/>
        <v>6</v>
      </c>
      <c r="AD13" s="644"/>
      <c r="AE13" s="577">
        <v>3</v>
      </c>
      <c r="AF13" s="510">
        <v>3272.1428571428596</v>
      </c>
      <c r="AG13" s="510">
        <v>1090.7142857142865</v>
      </c>
      <c r="AH13" s="576">
        <f t="shared" si="6"/>
        <v>3</v>
      </c>
      <c r="AI13" s="644"/>
      <c r="AJ13" s="577">
        <v>3</v>
      </c>
      <c r="AK13" s="510">
        <v>3158.5714285714307</v>
      </c>
      <c r="AL13" s="510">
        <v>1052.8571428571436</v>
      </c>
      <c r="AM13" s="576">
        <f t="shared" si="7"/>
        <v>5</v>
      </c>
      <c r="AN13" s="644"/>
      <c r="AO13" s="577">
        <v>3</v>
      </c>
      <c r="AP13" s="510">
        <v>3256.216216216214</v>
      </c>
      <c r="AQ13" s="510">
        <v>1085.4054054054047</v>
      </c>
      <c r="AR13" s="576">
        <f t="shared" si="8"/>
        <v>6</v>
      </c>
      <c r="AS13" s="644"/>
      <c r="AT13" s="577">
        <v>3</v>
      </c>
      <c r="AU13" s="510">
        <v>3272.5714285714253</v>
      </c>
      <c r="AV13" s="510">
        <v>1090.8571428571418</v>
      </c>
      <c r="AW13" s="576">
        <f t="shared" si="9"/>
        <v>3</v>
      </c>
      <c r="AX13" s="644"/>
      <c r="AZ13" s="372" t="e">
        <f t="shared" si="10"/>
        <v>#N/A</v>
      </c>
      <c r="BA13" s="644"/>
    </row>
    <row r="14" spans="1:53" ht="14.25">
      <c r="A14" s="81"/>
      <c r="B14" s="678"/>
      <c r="C14" s="526">
        <v>8</v>
      </c>
      <c r="D14" s="201" t="s">
        <v>336</v>
      </c>
      <c r="E14" s="201">
        <v>3</v>
      </c>
      <c r="F14" s="201">
        <v>2800</v>
      </c>
      <c r="G14" s="529">
        <v>933.33333333333337</v>
      </c>
      <c r="H14" s="639"/>
      <c r="I14" s="529">
        <f t="shared" si="0"/>
        <v>3</v>
      </c>
      <c r="J14" s="529">
        <f t="shared" si="1"/>
        <v>3225.5132857447047</v>
      </c>
      <c r="K14" s="199">
        <f t="shared" si="2"/>
        <v>1075.1710952482349</v>
      </c>
      <c r="L14" s="659"/>
      <c r="M14" s="550">
        <f>RANK(K14, K$7:$K$36)</f>
        <v>6</v>
      </c>
      <c r="N14" s="643"/>
      <c r="O14" s="643"/>
      <c r="P14" s="577">
        <v>3</v>
      </c>
      <c r="Q14" s="510">
        <v>3046.7999999999961</v>
      </c>
      <c r="R14" s="510">
        <v>1015.5999999999987</v>
      </c>
      <c r="S14" s="576">
        <f t="shared" si="3"/>
        <v>7</v>
      </c>
      <c r="T14" s="644"/>
      <c r="U14" s="577">
        <v>3</v>
      </c>
      <c r="V14" s="510">
        <v>3304.2857142857197</v>
      </c>
      <c r="W14" s="510">
        <v>1101.4285714285732</v>
      </c>
      <c r="X14" s="576">
        <f t="shared" si="4"/>
        <v>3</v>
      </c>
      <c r="Y14" s="644"/>
      <c r="Z14" s="577">
        <v>3</v>
      </c>
      <c r="AA14" s="510">
        <v>3286.8292682926817</v>
      </c>
      <c r="AB14" s="510">
        <v>1095.6097560975606</v>
      </c>
      <c r="AC14" s="576">
        <f t="shared" si="5"/>
        <v>2</v>
      </c>
      <c r="AD14" s="644"/>
      <c r="AE14" s="577">
        <v>3</v>
      </c>
      <c r="AF14" s="510">
        <v>3216.9230769230753</v>
      </c>
      <c r="AG14" s="510">
        <v>1072.3076923076917</v>
      </c>
      <c r="AH14" s="576">
        <f t="shared" si="6"/>
        <v>5</v>
      </c>
      <c r="AI14" s="644"/>
      <c r="AJ14" s="577">
        <v>3</v>
      </c>
      <c r="AK14" s="510">
        <v>3256.3636363636397</v>
      </c>
      <c r="AL14" s="510">
        <v>1085.4545454545466</v>
      </c>
      <c r="AM14" s="576">
        <f t="shared" si="7"/>
        <v>3</v>
      </c>
      <c r="AN14" s="644"/>
      <c r="AO14" s="577">
        <v>3</v>
      </c>
      <c r="AP14" s="510">
        <v>3260</v>
      </c>
      <c r="AQ14" s="510">
        <v>1086.6666666666667</v>
      </c>
      <c r="AR14" s="576">
        <f t="shared" si="8"/>
        <v>5</v>
      </c>
      <c r="AS14" s="644"/>
      <c r="AT14" s="577">
        <v>3</v>
      </c>
      <c r="AU14" s="510">
        <v>3207.3913043478206</v>
      </c>
      <c r="AV14" s="510">
        <v>1069.1304347826069</v>
      </c>
      <c r="AW14" s="576">
        <f t="shared" si="9"/>
        <v>7</v>
      </c>
      <c r="AX14" s="644"/>
      <c r="AZ14" s="372" t="e">
        <f t="shared" si="10"/>
        <v>#N/A</v>
      </c>
      <c r="BA14" s="644"/>
    </row>
    <row r="15" spans="1:53" ht="14.25">
      <c r="A15" s="81"/>
      <c r="B15" s="678"/>
      <c r="C15" s="526">
        <v>9</v>
      </c>
      <c r="D15" s="201" t="s">
        <v>337</v>
      </c>
      <c r="E15" s="201">
        <v>4</v>
      </c>
      <c r="F15" s="201">
        <v>2800</v>
      </c>
      <c r="G15" s="529">
        <v>700</v>
      </c>
      <c r="H15" s="639"/>
      <c r="I15" s="529">
        <f t="shared" si="0"/>
        <v>3</v>
      </c>
      <c r="J15" s="529">
        <f t="shared" si="1"/>
        <v>2811.6492056962657</v>
      </c>
      <c r="K15" s="199">
        <f t="shared" si="2"/>
        <v>937.21640189875507</v>
      </c>
      <c r="L15" s="659"/>
      <c r="M15" s="550">
        <f>RANK(K15, K$7:$K$36)</f>
        <v>10</v>
      </c>
      <c r="N15" s="643"/>
      <c r="O15" s="643"/>
      <c r="P15" s="577">
        <v>3</v>
      </c>
      <c r="Q15" s="510">
        <v>2709.6000000000008</v>
      </c>
      <c r="R15" s="510">
        <v>903.20000000000027</v>
      </c>
      <c r="S15" s="576">
        <f t="shared" si="3"/>
        <v>10</v>
      </c>
      <c r="T15" s="644"/>
      <c r="U15" s="577">
        <v>3</v>
      </c>
      <c r="V15" s="510">
        <v>2853.3333333333335</v>
      </c>
      <c r="W15" s="510">
        <v>951.1111111111112</v>
      </c>
      <c r="X15" s="576">
        <f t="shared" si="4"/>
        <v>10</v>
      </c>
      <c r="Y15" s="644"/>
      <c r="Z15" s="577">
        <v>3</v>
      </c>
      <c r="AA15" s="510">
        <v>2855.4545454545455</v>
      </c>
      <c r="AB15" s="510">
        <v>951.81818181818187</v>
      </c>
      <c r="AC15" s="576">
        <f t="shared" si="5"/>
        <v>10</v>
      </c>
      <c r="AD15" s="644"/>
      <c r="AE15" s="577">
        <v>3</v>
      </c>
      <c r="AF15" s="510">
        <v>2844.6153846153861</v>
      </c>
      <c r="AG15" s="510">
        <v>948.20512820512874</v>
      </c>
      <c r="AH15" s="576">
        <f t="shared" si="6"/>
        <v>11</v>
      </c>
      <c r="AI15" s="644"/>
      <c r="AJ15" s="577">
        <v>3</v>
      </c>
      <c r="AK15" s="510">
        <v>2779.2000000000007</v>
      </c>
      <c r="AL15" s="510">
        <v>926.4000000000002</v>
      </c>
      <c r="AM15" s="576">
        <f t="shared" si="7"/>
        <v>8</v>
      </c>
      <c r="AN15" s="644"/>
      <c r="AO15" s="577">
        <v>3</v>
      </c>
      <c r="AP15" s="510">
        <v>2792.9411764705883</v>
      </c>
      <c r="AQ15" s="510">
        <v>930.98039215686276</v>
      </c>
      <c r="AR15" s="576">
        <f t="shared" si="8"/>
        <v>11</v>
      </c>
      <c r="AS15" s="644"/>
      <c r="AT15" s="577">
        <v>3</v>
      </c>
      <c r="AU15" s="510">
        <v>2846.4000000000005</v>
      </c>
      <c r="AV15" s="510">
        <v>948.80000000000018</v>
      </c>
      <c r="AW15" s="576">
        <f t="shared" si="9"/>
        <v>12</v>
      </c>
      <c r="AX15" s="644"/>
      <c r="AZ15" s="372" t="e">
        <f t="shared" si="10"/>
        <v>#N/A</v>
      </c>
      <c r="BA15" s="644"/>
    </row>
    <row r="16" spans="1:53" ht="14.25">
      <c r="A16" s="81"/>
      <c r="B16" s="678"/>
      <c r="C16" s="526">
        <v>10</v>
      </c>
      <c r="D16" s="201" t="s">
        <v>752</v>
      </c>
      <c r="E16" s="201">
        <v>4</v>
      </c>
      <c r="F16" s="201">
        <v>2800</v>
      </c>
      <c r="G16" s="529">
        <v>700</v>
      </c>
      <c r="H16" s="639"/>
      <c r="I16" s="529">
        <f t="shared" si="0"/>
        <v>4</v>
      </c>
      <c r="J16" s="529">
        <f t="shared" si="1"/>
        <v>2843.1452341899026</v>
      </c>
      <c r="K16" s="199">
        <f t="shared" si="2"/>
        <v>710.78630854747564</v>
      </c>
      <c r="L16" s="659"/>
      <c r="M16" s="550">
        <f>RANK(K16, K$7:$K$36)</f>
        <v>22</v>
      </c>
      <c r="N16" s="643"/>
      <c r="O16" s="643"/>
      <c r="P16" s="577">
        <v>4</v>
      </c>
      <c r="Q16" s="510">
        <v>2796.0000000000005</v>
      </c>
      <c r="R16" s="510">
        <v>699.00000000000011</v>
      </c>
      <c r="S16" s="576">
        <f t="shared" si="3"/>
        <v>20</v>
      </c>
      <c r="T16" s="644"/>
      <c r="U16" s="577">
        <v>4</v>
      </c>
      <c r="V16" s="510">
        <v>2817.966101694914</v>
      </c>
      <c r="W16" s="510">
        <v>704.49152542372849</v>
      </c>
      <c r="X16" s="576">
        <f t="shared" si="4"/>
        <v>22</v>
      </c>
      <c r="Y16" s="644"/>
      <c r="Z16" s="577">
        <v>4</v>
      </c>
      <c r="AA16" s="510">
        <v>2861.7857142857119</v>
      </c>
      <c r="AB16" s="510">
        <v>715.44642857142799</v>
      </c>
      <c r="AC16" s="576">
        <f t="shared" si="5"/>
        <v>22</v>
      </c>
      <c r="AD16" s="644"/>
      <c r="AE16" s="577">
        <v>4</v>
      </c>
      <c r="AF16" s="510">
        <v>2875.1999999999989</v>
      </c>
      <c r="AG16" s="510">
        <v>718.79999999999973</v>
      </c>
      <c r="AH16" s="576">
        <f t="shared" si="6"/>
        <v>22</v>
      </c>
      <c r="AI16" s="644"/>
      <c r="AJ16" s="577">
        <v>4</v>
      </c>
      <c r="AK16" s="510">
        <v>2833.2000000000007</v>
      </c>
      <c r="AL16" s="510">
        <v>708.30000000000018</v>
      </c>
      <c r="AM16" s="576">
        <f t="shared" si="7"/>
        <v>19</v>
      </c>
      <c r="AN16" s="644"/>
      <c r="AO16" s="577">
        <v>4</v>
      </c>
      <c r="AP16" s="510">
        <v>2852.3809523809518</v>
      </c>
      <c r="AQ16" s="510">
        <v>713.09523809523796</v>
      </c>
      <c r="AR16" s="576">
        <f t="shared" si="8"/>
        <v>21</v>
      </c>
      <c r="AS16" s="644"/>
      <c r="AT16" s="577">
        <v>4</v>
      </c>
      <c r="AU16" s="510">
        <v>2865.4838709677429</v>
      </c>
      <c r="AV16" s="510">
        <v>716.37096774193571</v>
      </c>
      <c r="AW16" s="576">
        <f t="shared" si="9"/>
        <v>21</v>
      </c>
      <c r="AX16" s="644"/>
      <c r="AZ16" s="372" t="e">
        <f t="shared" si="10"/>
        <v>#N/A</v>
      </c>
      <c r="BA16" s="644"/>
    </row>
    <row r="17" spans="2:53">
      <c r="B17" s="678"/>
      <c r="C17" s="526">
        <v>11</v>
      </c>
      <c r="D17" s="201" t="s">
        <v>753</v>
      </c>
      <c r="E17" s="201">
        <v>3</v>
      </c>
      <c r="F17" s="201">
        <v>2800</v>
      </c>
      <c r="G17" s="529">
        <v>933.33333333333337</v>
      </c>
      <c r="H17" s="639"/>
      <c r="I17" s="529">
        <f t="shared" si="0"/>
        <v>3</v>
      </c>
      <c r="J17" s="529">
        <f t="shared" si="1"/>
        <v>2808.8408163265308</v>
      </c>
      <c r="K17" s="199">
        <f t="shared" si="2"/>
        <v>936.28027210884363</v>
      </c>
      <c r="L17" s="659"/>
      <c r="M17" s="550">
        <f>RANK(K17, K$7:$K$36)</f>
        <v>11</v>
      </c>
      <c r="N17" s="643"/>
      <c r="O17" s="643"/>
      <c r="P17" s="577">
        <v>3</v>
      </c>
      <c r="Q17" s="510">
        <v>2691.5999999999985</v>
      </c>
      <c r="R17" s="510">
        <v>897.19999999999948</v>
      </c>
      <c r="S17" s="576">
        <f t="shared" si="3"/>
        <v>11</v>
      </c>
      <c r="T17" s="644"/>
      <c r="U17" s="577">
        <v>3</v>
      </c>
      <c r="V17" s="510">
        <v>2764</v>
      </c>
      <c r="W17" s="510">
        <v>921.33333333333337</v>
      </c>
      <c r="X17" s="576">
        <f t="shared" si="4"/>
        <v>11</v>
      </c>
      <c r="Y17" s="644"/>
      <c r="Z17" s="577">
        <v>3</v>
      </c>
      <c r="AA17" s="510">
        <v>2827.1428571428564</v>
      </c>
      <c r="AB17" s="510">
        <v>942.38095238095218</v>
      </c>
      <c r="AC17" s="576">
        <f t="shared" si="5"/>
        <v>11</v>
      </c>
      <c r="AD17" s="644"/>
      <c r="AE17" s="577">
        <v>3</v>
      </c>
      <c r="AF17" s="510">
        <v>2850.0000000000036</v>
      </c>
      <c r="AG17" s="510">
        <v>950.00000000000125</v>
      </c>
      <c r="AH17" s="576">
        <f t="shared" si="6"/>
        <v>10</v>
      </c>
      <c r="AI17" s="644"/>
      <c r="AJ17" s="577">
        <v>3</v>
      </c>
      <c r="AK17" s="510">
        <v>2729.1428571428578</v>
      </c>
      <c r="AL17" s="510">
        <v>909.71428571428589</v>
      </c>
      <c r="AM17" s="576">
        <f t="shared" si="7"/>
        <v>9</v>
      </c>
      <c r="AN17" s="644"/>
      <c r="AO17" s="577">
        <v>3</v>
      </c>
      <c r="AP17" s="510">
        <v>2884</v>
      </c>
      <c r="AQ17" s="510">
        <v>961.33333333333337</v>
      </c>
      <c r="AR17" s="576">
        <f t="shared" si="8"/>
        <v>10</v>
      </c>
      <c r="AS17" s="644"/>
      <c r="AT17" s="577">
        <v>3</v>
      </c>
      <c r="AU17" s="510">
        <v>2916</v>
      </c>
      <c r="AV17" s="510">
        <v>972</v>
      </c>
      <c r="AW17" s="576">
        <f t="shared" si="9"/>
        <v>9</v>
      </c>
      <c r="AX17" s="644"/>
      <c r="AZ17" s="372" t="e">
        <f t="shared" si="10"/>
        <v>#N/A</v>
      </c>
      <c r="BA17" s="644"/>
    </row>
    <row r="18" spans="2:53">
      <c r="B18" s="678"/>
      <c r="C18" s="526">
        <v>12</v>
      </c>
      <c r="D18" s="524" t="s">
        <v>681</v>
      </c>
      <c r="E18" s="201">
        <v>4</v>
      </c>
      <c r="F18" s="201">
        <v>2800</v>
      </c>
      <c r="G18" s="529">
        <v>700</v>
      </c>
      <c r="H18" s="639"/>
      <c r="I18" s="529">
        <f t="shared" si="0"/>
        <v>4</v>
      </c>
      <c r="J18" s="529">
        <f t="shared" si="1"/>
        <v>2849.6522366522377</v>
      </c>
      <c r="K18" s="199">
        <f t="shared" si="2"/>
        <v>712.41305916305942</v>
      </c>
      <c r="L18" s="659"/>
      <c r="M18" s="550">
        <f>RANK(K18, K$7:$K$36)</f>
        <v>21</v>
      </c>
      <c r="N18" s="643"/>
      <c r="O18" s="643"/>
      <c r="P18" s="577">
        <v>4</v>
      </c>
      <c r="Q18" s="510">
        <v>2623.4999999999991</v>
      </c>
      <c r="R18" s="510">
        <v>655.87499999999977</v>
      </c>
      <c r="S18" s="576">
        <f t="shared" si="3"/>
        <v>22</v>
      </c>
      <c r="T18" s="644"/>
      <c r="U18" s="577">
        <v>4</v>
      </c>
      <c r="V18" s="510">
        <v>2843.3333333333376</v>
      </c>
      <c r="W18" s="510">
        <v>710.83333333333439</v>
      </c>
      <c r="X18" s="576">
        <f t="shared" si="4"/>
        <v>21</v>
      </c>
      <c r="Y18" s="644"/>
      <c r="Z18" s="577">
        <v>4</v>
      </c>
      <c r="AA18" s="510">
        <v>2955.0000000000036</v>
      </c>
      <c r="AB18" s="510">
        <v>738.75000000000091</v>
      </c>
      <c r="AC18" s="576">
        <f t="shared" si="5"/>
        <v>20</v>
      </c>
      <c r="AD18" s="644"/>
      <c r="AE18" s="577">
        <v>4</v>
      </c>
      <c r="AF18" s="510">
        <v>2984.4444444444462</v>
      </c>
      <c r="AG18" s="510">
        <v>746.11111111111154</v>
      </c>
      <c r="AH18" s="576">
        <f t="shared" si="6"/>
        <v>21</v>
      </c>
      <c r="AI18" s="644"/>
      <c r="AJ18" s="577">
        <v>4</v>
      </c>
      <c r="AK18" s="510">
        <v>2773.3333333333348</v>
      </c>
      <c r="AL18" s="510">
        <v>693.33333333333371</v>
      </c>
      <c r="AM18" s="576">
        <f t="shared" si="7"/>
        <v>21</v>
      </c>
      <c r="AN18" s="644"/>
      <c r="AO18" s="577">
        <v>4</v>
      </c>
      <c r="AP18" s="510">
        <v>2962.5000000000036</v>
      </c>
      <c r="AQ18" s="510">
        <v>740.62500000000091</v>
      </c>
      <c r="AR18" s="576">
        <f t="shared" si="8"/>
        <v>20</v>
      </c>
      <c r="AS18" s="644"/>
      <c r="AT18" s="577">
        <v>4</v>
      </c>
      <c r="AU18" s="510">
        <v>2805.4545454545414</v>
      </c>
      <c r="AV18" s="510">
        <v>701.36363636363535</v>
      </c>
      <c r="AW18" s="576">
        <f t="shared" si="9"/>
        <v>22</v>
      </c>
      <c r="AX18" s="644"/>
      <c r="AZ18" s="372" t="e">
        <f t="shared" si="10"/>
        <v>#N/A</v>
      </c>
      <c r="BA18" s="644"/>
    </row>
    <row r="19" spans="2:53">
      <c r="B19" s="678"/>
      <c r="C19" s="526">
        <v>13</v>
      </c>
      <c r="D19" s="201" t="s">
        <v>579</v>
      </c>
      <c r="E19" s="201">
        <v>3</v>
      </c>
      <c r="F19" s="201">
        <v>3200</v>
      </c>
      <c r="G19" s="529">
        <v>1066.6666666666667</v>
      </c>
      <c r="H19" s="639"/>
      <c r="I19" s="529">
        <f t="shared" si="0"/>
        <v>3</v>
      </c>
      <c r="J19" s="529">
        <f t="shared" si="1"/>
        <v>3293.6386350491603</v>
      </c>
      <c r="K19" s="199">
        <f t="shared" si="2"/>
        <v>1097.8795450163868</v>
      </c>
      <c r="L19" s="659"/>
      <c r="M19" s="550">
        <f>RANK(K19, K$7:$K$36)</f>
        <v>1</v>
      </c>
      <c r="N19" s="643"/>
      <c r="O19" s="643"/>
      <c r="P19" s="577">
        <v>3</v>
      </c>
      <c r="Q19" s="510">
        <v>3029.9999999999945</v>
      </c>
      <c r="R19" s="510">
        <v>1009.9999999999982</v>
      </c>
      <c r="S19" s="576">
        <f t="shared" si="3"/>
        <v>8</v>
      </c>
      <c r="T19" s="644"/>
      <c r="U19" s="577">
        <v>3</v>
      </c>
      <c r="V19" s="510">
        <v>3264.4444444444366</v>
      </c>
      <c r="W19" s="510">
        <v>1088.1481481481455</v>
      </c>
      <c r="X19" s="576">
        <f t="shared" si="4"/>
        <v>4</v>
      </c>
      <c r="Y19" s="644"/>
      <c r="Z19" s="577">
        <v>3</v>
      </c>
      <c r="AA19" s="510">
        <v>3249.6000000000013</v>
      </c>
      <c r="AB19" s="510">
        <v>1083.2000000000005</v>
      </c>
      <c r="AC19" s="576">
        <f t="shared" si="5"/>
        <v>4</v>
      </c>
      <c r="AD19" s="644"/>
      <c r="AE19" s="577">
        <v>3</v>
      </c>
      <c r="AF19" s="510">
        <v>3536.8421052631552</v>
      </c>
      <c r="AG19" s="510">
        <v>1178.9473684210518</v>
      </c>
      <c r="AH19" s="576">
        <f t="shared" si="6"/>
        <v>1</v>
      </c>
      <c r="AI19" s="644"/>
      <c r="AJ19" s="577">
        <v>3</v>
      </c>
      <c r="AK19" s="510">
        <v>3262.1052631578923</v>
      </c>
      <c r="AL19" s="510">
        <v>1087.3684210526308</v>
      </c>
      <c r="AM19" s="576">
        <f t="shared" si="7"/>
        <v>2</v>
      </c>
      <c r="AN19" s="644"/>
      <c r="AO19" s="577">
        <v>3</v>
      </c>
      <c r="AP19" s="510">
        <v>3315.5555555555675</v>
      </c>
      <c r="AQ19" s="510">
        <v>1105.1851851851891</v>
      </c>
      <c r="AR19" s="576">
        <f t="shared" si="8"/>
        <v>2</v>
      </c>
      <c r="AS19" s="644"/>
      <c r="AT19" s="577">
        <v>3</v>
      </c>
      <c r="AU19" s="510">
        <v>3396.923076923079</v>
      </c>
      <c r="AV19" s="510">
        <v>1132.3076923076931</v>
      </c>
      <c r="AW19" s="576">
        <f t="shared" si="9"/>
        <v>1</v>
      </c>
      <c r="AX19" s="644"/>
      <c r="AZ19" s="372" t="e">
        <f t="shared" si="10"/>
        <v>#N/A</v>
      </c>
      <c r="BA19" s="644"/>
    </row>
    <row r="20" spans="2:53">
      <c r="B20" s="678"/>
      <c r="C20" s="526">
        <v>14</v>
      </c>
      <c r="D20" s="201" t="s">
        <v>584</v>
      </c>
      <c r="E20" s="201">
        <v>3</v>
      </c>
      <c r="F20" s="201">
        <v>3200</v>
      </c>
      <c r="G20" s="529">
        <v>1066.6666666666667</v>
      </c>
      <c r="H20" s="639"/>
      <c r="I20" s="529">
        <f t="shared" si="0"/>
        <v>3</v>
      </c>
      <c r="J20" s="529">
        <f t="shared" si="1"/>
        <v>3177.0521663210748</v>
      </c>
      <c r="K20" s="199">
        <f t="shared" si="2"/>
        <v>1059.0173887736917</v>
      </c>
      <c r="L20" s="659"/>
      <c r="M20" s="550">
        <f>RANK(K20, K$7:$K$36)</f>
        <v>7</v>
      </c>
      <c r="N20" s="643"/>
      <c r="O20" s="643"/>
      <c r="P20" s="577">
        <v>3</v>
      </c>
      <c r="Q20" s="510">
        <v>3148.2352941176582</v>
      </c>
      <c r="R20" s="510">
        <v>1049.4117647058861</v>
      </c>
      <c r="S20" s="576">
        <f t="shared" si="3"/>
        <v>5</v>
      </c>
      <c r="T20" s="644"/>
      <c r="U20" s="577">
        <v>3</v>
      </c>
      <c r="V20" s="510">
        <v>3259.9999999999941</v>
      </c>
      <c r="W20" s="510">
        <v>1086.6666666666647</v>
      </c>
      <c r="X20" s="576">
        <f t="shared" si="4"/>
        <v>5</v>
      </c>
      <c r="Y20" s="644"/>
      <c r="Z20" s="577">
        <v>3</v>
      </c>
      <c r="AA20" s="510">
        <v>3312.8571428571545</v>
      </c>
      <c r="AB20" s="510">
        <v>1104.2857142857181</v>
      </c>
      <c r="AC20" s="576">
        <f t="shared" si="5"/>
        <v>1</v>
      </c>
      <c r="AD20" s="644"/>
      <c r="AE20" s="577">
        <v>3</v>
      </c>
      <c r="AF20" s="510">
        <v>3207.2727272727388</v>
      </c>
      <c r="AG20" s="510">
        <v>1069.0909090909129</v>
      </c>
      <c r="AH20" s="576">
        <f t="shared" si="6"/>
        <v>7</v>
      </c>
      <c r="AI20" s="644"/>
      <c r="AJ20" s="577">
        <v>3</v>
      </c>
      <c r="AK20" s="510">
        <v>2694.9999999999918</v>
      </c>
      <c r="AL20" s="510">
        <v>898.33333333333064</v>
      </c>
      <c r="AM20" s="576">
        <f t="shared" si="7"/>
        <v>10</v>
      </c>
      <c r="AN20" s="644"/>
      <c r="AO20" s="577">
        <v>3</v>
      </c>
      <c r="AP20" s="510">
        <v>3347.9999999999936</v>
      </c>
      <c r="AQ20" s="510">
        <v>1115.999999999998</v>
      </c>
      <c r="AR20" s="576">
        <f t="shared" si="8"/>
        <v>1</v>
      </c>
      <c r="AS20" s="644"/>
      <c r="AT20" s="577">
        <v>3</v>
      </c>
      <c r="AU20" s="510">
        <v>3267.9999999999941</v>
      </c>
      <c r="AV20" s="510">
        <v>1089.3333333333314</v>
      </c>
      <c r="AW20" s="576">
        <f t="shared" si="9"/>
        <v>4</v>
      </c>
      <c r="AX20" s="644"/>
      <c r="AZ20" s="372" t="e">
        <f t="shared" si="10"/>
        <v>#N/A</v>
      </c>
      <c r="BA20" s="644"/>
    </row>
    <row r="21" spans="2:53">
      <c r="B21" s="678"/>
      <c r="C21" s="526">
        <v>15</v>
      </c>
      <c r="D21" s="524" t="s">
        <v>754</v>
      </c>
      <c r="E21" s="201">
        <v>3</v>
      </c>
      <c r="F21" s="201">
        <v>3200</v>
      </c>
      <c r="G21" s="529">
        <v>1066.6666666666667</v>
      </c>
      <c r="H21" s="639"/>
      <c r="I21" s="529">
        <f t="shared" si="0"/>
        <v>3.8571428571428572</v>
      </c>
      <c r="J21" s="529">
        <f t="shared" si="1"/>
        <v>2837.1106708417633</v>
      </c>
      <c r="K21" s="199">
        <f t="shared" si="2"/>
        <v>743.99195342472638</v>
      </c>
      <c r="L21" s="659"/>
      <c r="M21" s="550">
        <f>RANK(K21, K$7:$K$36)</f>
        <v>19</v>
      </c>
      <c r="N21" s="643"/>
      <c r="O21" s="643"/>
      <c r="P21" s="577">
        <v>4</v>
      </c>
      <c r="Q21" s="510">
        <v>2767.0588235294085</v>
      </c>
      <c r="R21" s="510">
        <v>691.76470588235213</v>
      </c>
      <c r="S21" s="576">
        <f t="shared" si="3"/>
        <v>21</v>
      </c>
      <c r="T21" s="644"/>
      <c r="U21" s="577">
        <v>4</v>
      </c>
      <c r="V21" s="510">
        <v>3011.9999999999945</v>
      </c>
      <c r="W21" s="510">
        <v>752.99999999999864</v>
      </c>
      <c r="X21" s="576">
        <f t="shared" si="4"/>
        <v>19</v>
      </c>
      <c r="Y21" s="644"/>
      <c r="Z21" s="577">
        <v>4</v>
      </c>
      <c r="AA21" s="510">
        <v>2987.1428571428678</v>
      </c>
      <c r="AB21" s="510">
        <v>746.78571428571695</v>
      </c>
      <c r="AC21" s="576">
        <f t="shared" si="5"/>
        <v>19</v>
      </c>
      <c r="AD21" s="644"/>
      <c r="AE21" s="577">
        <v>4</v>
      </c>
      <c r="AF21" s="510">
        <v>3043.6363636363744</v>
      </c>
      <c r="AG21" s="510">
        <v>760.90909090909361</v>
      </c>
      <c r="AH21" s="576">
        <f t="shared" si="6"/>
        <v>19</v>
      </c>
      <c r="AI21" s="644"/>
      <c r="AJ21" s="577">
        <v>4</v>
      </c>
      <c r="AK21" s="510">
        <v>2469.2307692307627</v>
      </c>
      <c r="AL21" s="510">
        <v>617.30769230769067</v>
      </c>
      <c r="AM21" s="576">
        <f t="shared" si="7"/>
        <v>22</v>
      </c>
      <c r="AN21" s="644"/>
      <c r="AO21" s="577">
        <v>4</v>
      </c>
      <c r="AP21" s="510">
        <v>2664.7058823529378</v>
      </c>
      <c r="AQ21" s="510">
        <v>666.17647058823445</v>
      </c>
      <c r="AR21" s="576">
        <f t="shared" si="8"/>
        <v>22</v>
      </c>
      <c r="AS21" s="644"/>
      <c r="AT21" s="577">
        <v>3</v>
      </c>
      <c r="AU21" s="510">
        <v>2915.999999999995</v>
      </c>
      <c r="AV21" s="510">
        <v>971.99999999999829</v>
      </c>
      <c r="AW21" s="576">
        <f t="shared" si="9"/>
        <v>10</v>
      </c>
      <c r="AX21" s="644"/>
      <c r="AZ21" s="372" t="e">
        <f t="shared" si="10"/>
        <v>#N/A</v>
      </c>
      <c r="BA21" s="644"/>
    </row>
    <row r="22" spans="2:53">
      <c r="B22" s="678"/>
      <c r="C22" s="526">
        <v>16</v>
      </c>
      <c r="D22" s="201" t="s">
        <v>755</v>
      </c>
      <c r="E22" s="201">
        <v>4</v>
      </c>
      <c r="F22" s="201">
        <v>3200</v>
      </c>
      <c r="G22" s="529">
        <v>800</v>
      </c>
      <c r="H22" s="639"/>
      <c r="I22" s="529">
        <f t="shared" si="0"/>
        <v>4</v>
      </c>
      <c r="J22" s="529">
        <f t="shared" si="1"/>
        <v>3242.9879500426573</v>
      </c>
      <c r="K22" s="199">
        <f t="shared" si="2"/>
        <v>810.74698751066433</v>
      </c>
      <c r="L22" s="659"/>
      <c r="M22" s="550">
        <f>RANK(K22, K$7:$K$36)</f>
        <v>15</v>
      </c>
      <c r="N22" s="643"/>
      <c r="O22" s="643"/>
      <c r="P22" s="577">
        <v>4</v>
      </c>
      <c r="Q22" s="510">
        <v>3063.1578947368471</v>
      </c>
      <c r="R22" s="510">
        <v>765.78947368421177</v>
      </c>
      <c r="S22" s="576">
        <f t="shared" si="3"/>
        <v>17</v>
      </c>
      <c r="T22" s="644"/>
      <c r="U22" s="577">
        <v>4</v>
      </c>
      <c r="V22" s="510">
        <v>3290.2702702702677</v>
      </c>
      <c r="W22" s="510">
        <v>822.56756756756693</v>
      </c>
      <c r="X22" s="576">
        <f t="shared" si="4"/>
        <v>15</v>
      </c>
      <c r="Y22" s="644"/>
      <c r="Z22" s="577">
        <v>4</v>
      </c>
      <c r="AA22" s="510">
        <v>3153.1034482758646</v>
      </c>
      <c r="AB22" s="510">
        <v>788.27586206896615</v>
      </c>
      <c r="AC22" s="576">
        <f t="shared" si="5"/>
        <v>17</v>
      </c>
      <c r="AD22" s="644"/>
      <c r="AE22" s="577">
        <v>4</v>
      </c>
      <c r="AF22" s="510">
        <v>3297.6923076923094</v>
      </c>
      <c r="AG22" s="510">
        <v>824.42307692307736</v>
      </c>
      <c r="AH22" s="576">
        <f t="shared" si="6"/>
        <v>13</v>
      </c>
      <c r="AI22" s="644"/>
      <c r="AJ22" s="577">
        <v>4</v>
      </c>
      <c r="AK22" s="510">
        <v>3145.2631578947344</v>
      </c>
      <c r="AL22" s="510">
        <v>786.31578947368359</v>
      </c>
      <c r="AM22" s="576">
        <f t="shared" si="7"/>
        <v>16</v>
      </c>
      <c r="AN22" s="644"/>
      <c r="AO22" s="577">
        <v>4</v>
      </c>
      <c r="AP22" s="510">
        <v>3351.4285714285738</v>
      </c>
      <c r="AQ22" s="510">
        <v>837.85714285714346</v>
      </c>
      <c r="AR22" s="576">
        <f t="shared" si="8"/>
        <v>13</v>
      </c>
      <c r="AS22" s="644"/>
      <c r="AT22" s="577">
        <v>4</v>
      </c>
      <c r="AU22" s="510">
        <v>3400.0000000000018</v>
      </c>
      <c r="AV22" s="510">
        <v>850.00000000000045</v>
      </c>
      <c r="AW22" s="576">
        <f t="shared" si="9"/>
        <v>13</v>
      </c>
      <c r="AX22" s="644"/>
      <c r="AZ22" s="372" t="e">
        <f t="shared" si="10"/>
        <v>#N/A</v>
      </c>
      <c r="BA22" s="644"/>
    </row>
    <row r="23" spans="2:53">
      <c r="B23" s="678"/>
      <c r="C23" s="526">
        <v>17</v>
      </c>
      <c r="D23" s="201" t="s">
        <v>711</v>
      </c>
      <c r="E23" s="201">
        <v>4</v>
      </c>
      <c r="F23" s="201">
        <v>2800</v>
      </c>
      <c r="G23" s="529">
        <v>700</v>
      </c>
      <c r="H23" s="639"/>
      <c r="I23" s="529">
        <f t="shared" si="0"/>
        <v>4</v>
      </c>
      <c r="J23" s="529">
        <f t="shared" si="1"/>
        <v>2987.4612549442854</v>
      </c>
      <c r="K23" s="199">
        <f t="shared" si="2"/>
        <v>746.86531373607136</v>
      </c>
      <c r="L23" s="659"/>
      <c r="M23" s="550">
        <f>RANK(K23, K$7:$K$36)</f>
        <v>18</v>
      </c>
      <c r="N23" s="643"/>
      <c r="O23" s="643"/>
      <c r="P23" s="577">
        <v>4</v>
      </c>
      <c r="Q23" s="510">
        <v>2983.3734939759061</v>
      </c>
      <c r="R23" s="510">
        <v>745.84337349397651</v>
      </c>
      <c r="S23" s="576">
        <f t="shared" si="3"/>
        <v>18</v>
      </c>
      <c r="T23" s="644"/>
      <c r="U23" s="577">
        <v>4</v>
      </c>
      <c r="V23" s="510">
        <v>3068.5714285714271</v>
      </c>
      <c r="W23" s="510">
        <v>767.14285714285677</v>
      </c>
      <c r="X23" s="576">
        <f t="shared" si="4"/>
        <v>18</v>
      </c>
      <c r="Y23" s="644"/>
      <c r="Z23" s="577">
        <v>4</v>
      </c>
      <c r="AA23" s="510">
        <v>3015.9999999999977</v>
      </c>
      <c r="AB23" s="510">
        <v>753.99999999999943</v>
      </c>
      <c r="AC23" s="576">
        <f t="shared" si="5"/>
        <v>18</v>
      </c>
      <c r="AD23" s="644"/>
      <c r="AE23" s="577">
        <v>4</v>
      </c>
      <c r="AF23" s="510">
        <v>2987.142857142861</v>
      </c>
      <c r="AG23" s="510">
        <v>746.78571428571524</v>
      </c>
      <c r="AH23" s="576">
        <f t="shared" si="6"/>
        <v>20</v>
      </c>
      <c r="AI23" s="644"/>
      <c r="AJ23" s="577">
        <v>4</v>
      </c>
      <c r="AK23" s="510">
        <v>2796.3934426229498</v>
      </c>
      <c r="AL23" s="510">
        <v>699.09836065573745</v>
      </c>
      <c r="AM23" s="576">
        <f t="shared" si="7"/>
        <v>20</v>
      </c>
      <c r="AN23" s="644"/>
      <c r="AO23" s="577">
        <v>4</v>
      </c>
      <c r="AP23" s="510">
        <v>2983.8461538461524</v>
      </c>
      <c r="AQ23" s="510">
        <v>745.96153846153811</v>
      </c>
      <c r="AR23" s="576">
        <f t="shared" si="8"/>
        <v>19</v>
      </c>
      <c r="AS23" s="644"/>
      <c r="AT23" s="577">
        <v>4</v>
      </c>
      <c r="AU23" s="510">
        <v>3076.9014084507048</v>
      </c>
      <c r="AV23" s="510">
        <v>769.22535211267621</v>
      </c>
      <c r="AW23" s="576">
        <f t="shared" si="9"/>
        <v>19</v>
      </c>
      <c r="AX23" s="644"/>
      <c r="AZ23" s="372" t="e">
        <f t="shared" si="10"/>
        <v>#N/A</v>
      </c>
      <c r="BA23" s="644"/>
    </row>
    <row r="24" spans="2:53">
      <c r="B24" s="678"/>
      <c r="C24" s="526">
        <v>18</v>
      </c>
      <c r="D24" s="524" t="s">
        <v>756</v>
      </c>
      <c r="E24" s="201">
        <v>4</v>
      </c>
      <c r="F24" s="201">
        <v>2800</v>
      </c>
      <c r="G24" s="529">
        <v>700</v>
      </c>
      <c r="H24" s="639"/>
      <c r="I24" s="529">
        <f t="shared" si="0"/>
        <v>3.1428571428571428</v>
      </c>
      <c r="J24" s="529">
        <f t="shared" si="1"/>
        <v>3014.5935681965116</v>
      </c>
      <c r="K24" s="199">
        <f t="shared" si="2"/>
        <v>968.43595130359904</v>
      </c>
      <c r="L24" s="659"/>
      <c r="M24" s="550">
        <f>RANK(K24, K$7:$K$36)</f>
        <v>9</v>
      </c>
      <c r="N24" s="643"/>
      <c r="O24" s="643"/>
      <c r="P24" s="577">
        <v>3</v>
      </c>
      <c r="Q24" s="510">
        <v>2947.0588235294226</v>
      </c>
      <c r="R24" s="510">
        <v>982.35294117647425</v>
      </c>
      <c r="S24" s="576">
        <f t="shared" si="3"/>
        <v>9</v>
      </c>
      <c r="T24" s="644"/>
      <c r="U24" s="577">
        <v>3</v>
      </c>
      <c r="V24" s="510">
        <v>2928.75000000001</v>
      </c>
      <c r="W24" s="510">
        <v>976.2500000000033</v>
      </c>
      <c r="X24" s="576">
        <f t="shared" si="4"/>
        <v>9</v>
      </c>
      <c r="Y24" s="644"/>
      <c r="Z24" s="577">
        <v>3</v>
      </c>
      <c r="AA24" s="510">
        <v>2889.9999999999945</v>
      </c>
      <c r="AB24" s="510">
        <v>963.33333333333155</v>
      </c>
      <c r="AC24" s="576">
        <f t="shared" si="5"/>
        <v>9</v>
      </c>
      <c r="AD24" s="644"/>
      <c r="AE24" s="577">
        <v>3</v>
      </c>
      <c r="AF24" s="510">
        <v>3133.8461538461652</v>
      </c>
      <c r="AG24" s="510">
        <v>1044.6153846153884</v>
      </c>
      <c r="AH24" s="576">
        <f t="shared" si="6"/>
        <v>8</v>
      </c>
      <c r="AI24" s="644"/>
      <c r="AJ24" s="577">
        <v>4</v>
      </c>
      <c r="AK24" s="510">
        <v>3059.9999999999941</v>
      </c>
      <c r="AL24" s="510">
        <v>764.99999999999852</v>
      </c>
      <c r="AM24" s="576">
        <f t="shared" si="7"/>
        <v>17</v>
      </c>
      <c r="AN24" s="644"/>
      <c r="AO24" s="577">
        <v>3</v>
      </c>
      <c r="AP24" s="510">
        <v>3142.4999999999959</v>
      </c>
      <c r="AQ24" s="510">
        <v>1047.4999999999986</v>
      </c>
      <c r="AR24" s="576">
        <f t="shared" si="8"/>
        <v>8</v>
      </c>
      <c r="AS24" s="644"/>
      <c r="AT24" s="577">
        <v>3</v>
      </c>
      <c r="AU24" s="510">
        <v>2999.9999999999964</v>
      </c>
      <c r="AV24" s="510">
        <v>999.99999999999875</v>
      </c>
      <c r="AW24" s="576">
        <f t="shared" si="9"/>
        <v>8</v>
      </c>
      <c r="AX24" s="644"/>
      <c r="AZ24" s="372" t="e">
        <f t="shared" si="10"/>
        <v>#N/A</v>
      </c>
      <c r="BA24" s="644"/>
    </row>
    <row r="25" spans="2:53">
      <c r="B25" s="678"/>
      <c r="C25" s="526">
        <v>19</v>
      </c>
      <c r="D25" s="524" t="s">
        <v>757</v>
      </c>
      <c r="E25" s="201">
        <v>3</v>
      </c>
      <c r="F25" s="201">
        <v>2800</v>
      </c>
      <c r="G25" s="529">
        <v>933.33333333333337</v>
      </c>
      <c r="H25" s="639"/>
      <c r="I25" s="529">
        <f t="shared" si="0"/>
        <v>3</v>
      </c>
      <c r="J25" s="529">
        <f t="shared" si="1"/>
        <v>3018.5824175824164</v>
      </c>
      <c r="K25" s="199">
        <f t="shared" si="2"/>
        <v>1006.1941391941389</v>
      </c>
      <c r="L25" s="659"/>
      <c r="M25" s="550">
        <f>RANK(K25, K$7:$K$36)</f>
        <v>8</v>
      </c>
      <c r="N25" s="643"/>
      <c r="O25" s="643"/>
      <c r="P25" s="577">
        <v>3</v>
      </c>
      <c r="Q25" s="510">
        <v>3109.2857142857251</v>
      </c>
      <c r="R25" s="510">
        <v>1036.428571428575</v>
      </c>
      <c r="S25" s="576">
        <f t="shared" si="3"/>
        <v>6</v>
      </c>
      <c r="T25" s="644"/>
      <c r="U25" s="577">
        <v>3</v>
      </c>
      <c r="V25" s="510">
        <v>2995.7142857142794</v>
      </c>
      <c r="W25" s="510">
        <v>998.57142857142651</v>
      </c>
      <c r="X25" s="576">
        <f t="shared" si="4"/>
        <v>8</v>
      </c>
      <c r="Y25" s="644"/>
      <c r="Z25" s="577">
        <v>3</v>
      </c>
      <c r="AA25" s="510">
        <v>2965.3846153846257</v>
      </c>
      <c r="AB25" s="510">
        <v>988.46153846154186</v>
      </c>
      <c r="AC25" s="576">
        <f t="shared" si="5"/>
        <v>8</v>
      </c>
      <c r="AD25" s="644"/>
      <c r="AE25" s="577">
        <v>3</v>
      </c>
      <c r="AF25" s="510">
        <v>2999.9999999999905</v>
      </c>
      <c r="AG25" s="510">
        <v>999.99999999999682</v>
      </c>
      <c r="AH25" s="576">
        <f t="shared" si="6"/>
        <v>9</v>
      </c>
      <c r="AI25" s="644"/>
      <c r="AJ25" s="577">
        <v>3</v>
      </c>
      <c r="AK25" s="510">
        <v>3087.6923076922994</v>
      </c>
      <c r="AL25" s="510">
        <v>1029.2307692307666</v>
      </c>
      <c r="AM25" s="576">
        <f t="shared" si="7"/>
        <v>6</v>
      </c>
      <c r="AN25" s="644"/>
      <c r="AO25" s="577">
        <v>3</v>
      </c>
      <c r="AP25" s="510">
        <v>3059.9999999999941</v>
      </c>
      <c r="AQ25" s="510">
        <v>1019.9999999999981</v>
      </c>
      <c r="AR25" s="576">
        <f t="shared" si="8"/>
        <v>9</v>
      </c>
      <c r="AS25" s="644"/>
      <c r="AT25" s="577">
        <v>3</v>
      </c>
      <c r="AU25" s="510">
        <v>2912</v>
      </c>
      <c r="AV25" s="510">
        <v>970.66666666666663</v>
      </c>
      <c r="AW25" s="576">
        <f t="shared" si="9"/>
        <v>11</v>
      </c>
      <c r="AX25" s="644"/>
      <c r="AZ25" s="372" t="e">
        <f t="shared" si="10"/>
        <v>#N/A</v>
      </c>
      <c r="BA25" s="644"/>
    </row>
    <row r="26" spans="2:53">
      <c r="B26" s="678"/>
      <c r="C26" s="526">
        <v>20</v>
      </c>
      <c r="D26" s="524" t="s">
        <v>758</v>
      </c>
      <c r="E26" s="201">
        <v>3</v>
      </c>
      <c r="F26" s="201">
        <v>2200</v>
      </c>
      <c r="G26" s="529">
        <v>733.33333333333337</v>
      </c>
      <c r="H26" s="639"/>
      <c r="I26" s="529">
        <f t="shared" si="0"/>
        <v>3</v>
      </c>
      <c r="J26" s="529">
        <f t="shared" si="1"/>
        <v>2215.8991646698223</v>
      </c>
      <c r="K26" s="199">
        <f t="shared" si="2"/>
        <v>738.63305488994058</v>
      </c>
      <c r="L26" s="659"/>
      <c r="M26" s="550">
        <f>RANK(K26, K$7:$K$36)</f>
        <v>20</v>
      </c>
      <c r="N26" s="643"/>
      <c r="O26" s="643"/>
      <c r="P26" s="577">
        <v>3</v>
      </c>
      <c r="Q26" s="510">
        <v>2121.333333333333</v>
      </c>
      <c r="R26" s="510">
        <v>707.11111111111097</v>
      </c>
      <c r="S26" s="576">
        <f t="shared" si="3"/>
        <v>19</v>
      </c>
      <c r="T26" s="644"/>
      <c r="U26" s="577">
        <v>3</v>
      </c>
      <c r="V26" s="510">
        <v>2206.4999999999991</v>
      </c>
      <c r="W26" s="510">
        <v>735.49999999999966</v>
      </c>
      <c r="X26" s="576">
        <f t="shared" si="4"/>
        <v>20</v>
      </c>
      <c r="Y26" s="644"/>
      <c r="Z26" s="577">
        <v>3</v>
      </c>
      <c r="AA26" s="510">
        <v>2166.4864864864849</v>
      </c>
      <c r="AB26" s="510">
        <v>722.16216216216162</v>
      </c>
      <c r="AC26" s="576">
        <f t="shared" si="5"/>
        <v>21</v>
      </c>
      <c r="AD26" s="644"/>
      <c r="AE26" s="577">
        <v>3</v>
      </c>
      <c r="AF26" s="510">
        <v>2382.5806451612989</v>
      </c>
      <c r="AG26" s="510">
        <v>794.19354838709967</v>
      </c>
      <c r="AH26" s="576">
        <f t="shared" si="6"/>
        <v>18</v>
      </c>
      <c r="AI26" s="644"/>
      <c r="AJ26" s="577">
        <v>3</v>
      </c>
      <c r="AK26" s="510">
        <v>2152.4999999999991</v>
      </c>
      <c r="AL26" s="510">
        <v>717.49999999999966</v>
      </c>
      <c r="AM26" s="576">
        <f t="shared" si="7"/>
        <v>18</v>
      </c>
      <c r="AN26" s="644"/>
      <c r="AO26" s="577">
        <v>3</v>
      </c>
      <c r="AP26" s="510">
        <v>2281.4285714285706</v>
      </c>
      <c r="AQ26" s="510">
        <v>760.47619047619025</v>
      </c>
      <c r="AR26" s="576">
        <f t="shared" si="8"/>
        <v>18</v>
      </c>
      <c r="AS26" s="644"/>
      <c r="AT26" s="577">
        <v>3</v>
      </c>
      <c r="AU26" s="510">
        <v>2200.4651162790697</v>
      </c>
      <c r="AV26" s="510">
        <v>733.48837209302326</v>
      </c>
      <c r="AW26" s="576">
        <f t="shared" si="9"/>
        <v>20</v>
      </c>
      <c r="AX26" s="644"/>
      <c r="AZ26" s="372" t="e">
        <f t="shared" si="10"/>
        <v>#N/A</v>
      </c>
      <c r="BA26" s="644"/>
    </row>
    <row r="27" spans="2:53">
      <c r="B27" s="678"/>
      <c r="C27" s="526">
        <v>21</v>
      </c>
      <c r="D27" s="524" t="s">
        <v>598</v>
      </c>
      <c r="E27" s="201">
        <v>4</v>
      </c>
      <c r="F27" s="201">
        <v>2200</v>
      </c>
      <c r="G27" s="529">
        <v>550</v>
      </c>
      <c r="H27" s="639"/>
      <c r="I27" s="529">
        <f t="shared" si="0"/>
        <v>4</v>
      </c>
      <c r="J27" s="529">
        <f t="shared" si="1"/>
        <v>2234.3423520923498</v>
      </c>
      <c r="K27" s="199">
        <f t="shared" si="2"/>
        <v>558.58558802308744</v>
      </c>
      <c r="L27" s="659"/>
      <c r="M27" s="550">
        <f>RANK(K27, K$7:$K$36)</f>
        <v>23</v>
      </c>
      <c r="N27" s="643"/>
      <c r="O27" s="643"/>
      <c r="P27" s="577">
        <v>4</v>
      </c>
      <c r="Q27" s="510">
        <v>2193.7499999999859</v>
      </c>
      <c r="R27" s="510">
        <v>548.43749999999648</v>
      </c>
      <c r="S27" s="576">
        <f t="shared" si="3"/>
        <v>23</v>
      </c>
      <c r="T27" s="644"/>
      <c r="U27" s="577">
        <v>4</v>
      </c>
      <c r="V27" s="510">
        <v>2174.0000000000077</v>
      </c>
      <c r="W27" s="510">
        <v>543.50000000000193</v>
      </c>
      <c r="X27" s="576">
        <f t="shared" si="4"/>
        <v>23</v>
      </c>
      <c r="Y27" s="644"/>
      <c r="Z27" s="577">
        <v>4</v>
      </c>
      <c r="AA27" s="510">
        <v>2137.7777777777601</v>
      </c>
      <c r="AB27" s="510">
        <v>534.44444444444002</v>
      </c>
      <c r="AC27" s="576">
        <f t="shared" si="5"/>
        <v>23</v>
      </c>
      <c r="AD27" s="644"/>
      <c r="AE27" s="577">
        <v>4</v>
      </c>
      <c r="AF27" s="510">
        <v>2389.0909090909176</v>
      </c>
      <c r="AG27" s="510">
        <v>597.27272727272941</v>
      </c>
      <c r="AH27" s="576">
        <f t="shared" si="6"/>
        <v>23</v>
      </c>
      <c r="AI27" s="644"/>
      <c r="AJ27" s="577">
        <v>4</v>
      </c>
      <c r="AK27" s="510">
        <v>2157.7777777777728</v>
      </c>
      <c r="AL27" s="510">
        <v>539.44444444444321</v>
      </c>
      <c r="AM27" s="576">
        <f t="shared" si="7"/>
        <v>23</v>
      </c>
      <c r="AN27" s="644"/>
      <c r="AO27" s="577">
        <v>4</v>
      </c>
      <c r="AP27" s="510">
        <v>2280.0000000000082</v>
      </c>
      <c r="AQ27" s="510">
        <v>570.00000000000205</v>
      </c>
      <c r="AR27" s="576">
        <f t="shared" si="8"/>
        <v>23</v>
      </c>
      <c r="AS27" s="644"/>
      <c r="AT27" s="577">
        <v>4</v>
      </c>
      <c r="AU27" s="510">
        <v>2307.9999999999959</v>
      </c>
      <c r="AV27" s="510">
        <v>576.99999999999898</v>
      </c>
      <c r="AW27" s="576">
        <f t="shared" si="9"/>
        <v>23</v>
      </c>
      <c r="AX27" s="644"/>
      <c r="AZ27" s="372" t="e">
        <f t="shared" si="10"/>
        <v>#N/A</v>
      </c>
      <c r="BA27" s="644"/>
    </row>
    <row r="28" spans="2:53">
      <c r="B28" s="678"/>
      <c r="C28" s="526">
        <v>22</v>
      </c>
      <c r="D28" s="524" t="s">
        <v>734</v>
      </c>
      <c r="E28" s="201">
        <v>4</v>
      </c>
      <c r="F28" s="201">
        <v>3200</v>
      </c>
      <c r="G28" s="529">
        <v>800</v>
      </c>
      <c r="H28" s="639"/>
      <c r="I28" s="529">
        <f t="shared" si="0"/>
        <v>4</v>
      </c>
      <c r="J28" s="529">
        <f t="shared" si="1"/>
        <v>3225.5907171552485</v>
      </c>
      <c r="K28" s="199">
        <f t="shared" si="2"/>
        <v>806.39767928881213</v>
      </c>
      <c r="L28" s="659"/>
      <c r="M28" s="550">
        <f>RANK(K28, K$7:$K$36)</f>
        <v>17</v>
      </c>
      <c r="N28" s="643"/>
      <c r="O28" s="643"/>
      <c r="P28" s="577">
        <v>4</v>
      </c>
      <c r="Q28" s="510">
        <v>3094.5000000000005</v>
      </c>
      <c r="R28" s="510">
        <v>773.62500000000011</v>
      </c>
      <c r="S28" s="576">
        <f t="shared" si="3"/>
        <v>16</v>
      </c>
      <c r="T28" s="644"/>
      <c r="U28" s="577">
        <v>4</v>
      </c>
      <c r="V28" s="510">
        <v>3306.3636363636401</v>
      </c>
      <c r="W28" s="510">
        <v>826.59090909091003</v>
      </c>
      <c r="X28" s="576">
        <f t="shared" si="4"/>
        <v>14</v>
      </c>
      <c r="Y28" s="644"/>
      <c r="Z28" s="577">
        <v>4</v>
      </c>
      <c r="AA28" s="510">
        <v>3270.0000000000032</v>
      </c>
      <c r="AB28" s="510">
        <v>817.5000000000008</v>
      </c>
      <c r="AC28" s="576">
        <f t="shared" si="5"/>
        <v>14</v>
      </c>
      <c r="AD28" s="644"/>
      <c r="AE28" s="577">
        <v>4</v>
      </c>
      <c r="AF28" s="510">
        <v>3224.1666666666642</v>
      </c>
      <c r="AG28" s="510">
        <v>806.04166666666606</v>
      </c>
      <c r="AH28" s="576">
        <f t="shared" si="6"/>
        <v>17</v>
      </c>
      <c r="AI28" s="644"/>
      <c r="AJ28" s="577">
        <v>4</v>
      </c>
      <c r="AK28" s="510">
        <v>3214.0298507462689</v>
      </c>
      <c r="AL28" s="510">
        <v>803.50746268656724</v>
      </c>
      <c r="AM28" s="576">
        <f t="shared" si="7"/>
        <v>13</v>
      </c>
      <c r="AN28" s="644"/>
      <c r="AO28" s="577">
        <v>4</v>
      </c>
      <c r="AP28" s="510">
        <v>3246.5454545454568</v>
      </c>
      <c r="AQ28" s="510">
        <v>811.63636363636419</v>
      </c>
      <c r="AR28" s="576">
        <f t="shared" si="8"/>
        <v>15</v>
      </c>
      <c r="AS28" s="644"/>
      <c r="AT28" s="577">
        <v>4</v>
      </c>
      <c r="AU28" s="510">
        <v>3223.5294117647045</v>
      </c>
      <c r="AV28" s="510">
        <v>805.88235294117612</v>
      </c>
      <c r="AW28" s="576">
        <f t="shared" si="9"/>
        <v>18</v>
      </c>
      <c r="AX28" s="644"/>
      <c r="AZ28" s="372" t="e">
        <f t="shared" si="10"/>
        <v>#N/A</v>
      </c>
      <c r="BA28" s="644"/>
    </row>
    <row r="29" spans="2:53">
      <c r="B29" s="678"/>
      <c r="C29" s="526">
        <v>23</v>
      </c>
      <c r="D29" s="201" t="s">
        <v>759</v>
      </c>
      <c r="E29" s="201">
        <v>4</v>
      </c>
      <c r="F29" s="201">
        <v>3200</v>
      </c>
      <c r="G29" s="529">
        <v>800</v>
      </c>
      <c r="H29" s="639"/>
      <c r="I29" s="529">
        <f t="shared" si="0"/>
        <v>4</v>
      </c>
      <c r="J29" s="529">
        <f t="shared" si="1"/>
        <v>3241.5863745613597</v>
      </c>
      <c r="K29" s="199">
        <f t="shared" si="2"/>
        <v>810.39659364033992</v>
      </c>
      <c r="L29" s="659"/>
      <c r="M29" s="550">
        <f>RANK(K29, K$7:$K$36)</f>
        <v>16</v>
      </c>
      <c r="N29" s="643"/>
      <c r="O29" s="643"/>
      <c r="P29" s="577">
        <v>4</v>
      </c>
      <c r="Q29" s="510">
        <v>3145.2100840336129</v>
      </c>
      <c r="R29" s="510">
        <v>786.30252100840323</v>
      </c>
      <c r="S29" s="576">
        <f t="shared" si="3"/>
        <v>14</v>
      </c>
      <c r="T29" s="644"/>
      <c r="U29" s="577">
        <v>4</v>
      </c>
      <c r="V29" s="510">
        <v>3290</v>
      </c>
      <c r="W29" s="510">
        <v>822.5</v>
      </c>
      <c r="X29" s="576">
        <f t="shared" si="4"/>
        <v>16</v>
      </c>
      <c r="Y29" s="644"/>
      <c r="Z29" s="577">
        <v>4</v>
      </c>
      <c r="AA29" s="510">
        <v>3269.0322580645147</v>
      </c>
      <c r="AB29" s="510">
        <v>817.25806451612868</v>
      </c>
      <c r="AC29" s="576">
        <f t="shared" si="5"/>
        <v>15</v>
      </c>
      <c r="AD29" s="644"/>
      <c r="AE29" s="577">
        <v>4</v>
      </c>
      <c r="AF29" s="510">
        <v>3268.6567164179064</v>
      </c>
      <c r="AG29" s="510">
        <v>817.1641791044766</v>
      </c>
      <c r="AH29" s="576">
        <f t="shared" si="6"/>
        <v>15</v>
      </c>
      <c r="AI29" s="644"/>
      <c r="AJ29" s="577">
        <v>4</v>
      </c>
      <c r="AK29" s="510">
        <v>3230.4761904761895</v>
      </c>
      <c r="AL29" s="510">
        <v>807.61904761904736</v>
      </c>
      <c r="AM29" s="576">
        <f t="shared" si="7"/>
        <v>12</v>
      </c>
      <c r="AN29" s="644"/>
      <c r="AO29" s="577">
        <v>4</v>
      </c>
      <c r="AP29" s="510">
        <v>3220.3960396039588</v>
      </c>
      <c r="AQ29" s="510">
        <v>805.0990099009897</v>
      </c>
      <c r="AR29" s="576">
        <f t="shared" si="8"/>
        <v>17</v>
      </c>
      <c r="AS29" s="644"/>
      <c r="AT29" s="577">
        <v>4</v>
      </c>
      <c r="AU29" s="510">
        <v>3267.3333333333335</v>
      </c>
      <c r="AV29" s="510">
        <v>816.83333333333337</v>
      </c>
      <c r="AW29" s="576">
        <f t="shared" si="9"/>
        <v>16</v>
      </c>
      <c r="AX29" s="644"/>
      <c r="AZ29" s="372" t="e">
        <f t="shared" si="10"/>
        <v>#N/A</v>
      </c>
      <c r="BA29" s="644"/>
    </row>
    <row r="30" spans="2:53">
      <c r="B30" s="678"/>
      <c r="C30" s="526">
        <v>24</v>
      </c>
      <c r="D30" s="524" t="s">
        <v>572</v>
      </c>
      <c r="E30" s="201">
        <v>8</v>
      </c>
      <c r="F30" s="201">
        <v>1500</v>
      </c>
      <c r="G30" s="529">
        <v>187.5</v>
      </c>
      <c r="H30" s="639"/>
      <c r="I30" s="529">
        <f t="shared" si="0"/>
        <v>8.2857142857142865</v>
      </c>
      <c r="J30" s="529">
        <f t="shared" si="1"/>
        <v>1491.8282943313734</v>
      </c>
      <c r="K30" s="199">
        <f t="shared" si="2"/>
        <v>180.79146196148969</v>
      </c>
      <c r="L30" s="659"/>
      <c r="M30" s="550">
        <f>RANK(K30, K$7:$K$36)</f>
        <v>24</v>
      </c>
      <c r="N30" s="643"/>
      <c r="O30" s="643"/>
      <c r="P30" s="577">
        <v>8</v>
      </c>
      <c r="Q30" s="510">
        <v>1480.5405405405393</v>
      </c>
      <c r="R30" s="510">
        <v>185.06756756756741</v>
      </c>
      <c r="S30" s="576">
        <f t="shared" si="3"/>
        <v>24</v>
      </c>
      <c r="T30" s="644"/>
      <c r="U30" s="577">
        <v>10</v>
      </c>
      <c r="V30" s="510">
        <v>1592.3809523809539</v>
      </c>
      <c r="W30" s="510">
        <v>159.23809523809538</v>
      </c>
      <c r="X30" s="576">
        <f t="shared" si="4"/>
        <v>24</v>
      </c>
      <c r="Y30" s="644"/>
      <c r="Z30" s="577">
        <v>8</v>
      </c>
      <c r="AA30" s="510">
        <v>1456.8750000000018</v>
      </c>
      <c r="AB30" s="510">
        <v>182.10937500000023</v>
      </c>
      <c r="AC30" s="576">
        <f t="shared" si="5"/>
        <v>24</v>
      </c>
      <c r="AD30" s="644"/>
      <c r="AE30" s="577">
        <v>8</v>
      </c>
      <c r="AF30" s="510">
        <v>1534.1379310344839</v>
      </c>
      <c r="AG30" s="510">
        <v>191.76724137931049</v>
      </c>
      <c r="AH30" s="576">
        <f t="shared" si="6"/>
        <v>24</v>
      </c>
      <c r="AI30" s="644"/>
      <c r="AJ30" s="577">
        <v>8</v>
      </c>
      <c r="AK30" s="510">
        <v>1416.3636363636379</v>
      </c>
      <c r="AL30" s="510">
        <v>177.04545454545473</v>
      </c>
      <c r="AM30" s="576">
        <f t="shared" si="7"/>
        <v>24</v>
      </c>
      <c r="AN30" s="644"/>
      <c r="AO30" s="577">
        <v>8</v>
      </c>
      <c r="AP30" s="510">
        <v>1486.6666666666654</v>
      </c>
      <c r="AQ30" s="510">
        <v>185.83333333333317</v>
      </c>
      <c r="AR30" s="576">
        <f t="shared" si="8"/>
        <v>24</v>
      </c>
      <c r="AS30" s="644"/>
      <c r="AT30" s="577">
        <v>8</v>
      </c>
      <c r="AU30" s="510">
        <v>1475.8333333333321</v>
      </c>
      <c r="AV30" s="510">
        <v>184.47916666666652</v>
      </c>
      <c r="AW30" s="576">
        <f t="shared" si="9"/>
        <v>24</v>
      </c>
      <c r="AX30" s="644"/>
      <c r="AZ30" s="372" t="e">
        <f t="shared" si="10"/>
        <v>#N/A</v>
      </c>
      <c r="BA30" s="644"/>
    </row>
    <row r="31" spans="2:53">
      <c r="B31" s="678"/>
      <c r="C31" s="526">
        <v>25</v>
      </c>
      <c r="D31" s="201"/>
      <c r="E31" s="201"/>
      <c r="F31" s="201"/>
      <c r="G31" s="529"/>
      <c r="H31" s="639"/>
      <c r="I31" s="529" t="str">
        <f t="shared" si="0"/>
        <v>-</v>
      </c>
      <c r="J31" s="529" t="str">
        <f t="shared" si="1"/>
        <v>-</v>
      </c>
      <c r="K31" s="199" t="str">
        <f t="shared" si="2"/>
        <v>-</v>
      </c>
      <c r="L31" s="659"/>
      <c r="M31" s="550" t="e">
        <f>RANK(K31, K$7:$K$36)</f>
        <v>#VALUE!</v>
      </c>
      <c r="N31" s="643"/>
      <c r="O31" s="643"/>
      <c r="P31" s="577"/>
      <c r="Q31" s="510"/>
      <c r="R31" s="510"/>
      <c r="S31" s="576" t="e">
        <f t="shared" si="3"/>
        <v>#N/A</v>
      </c>
      <c r="T31" s="644"/>
      <c r="U31" s="577"/>
      <c r="V31" s="510"/>
      <c r="W31" s="510"/>
      <c r="X31" s="576" t="e">
        <f t="shared" si="4"/>
        <v>#N/A</v>
      </c>
      <c r="Y31" s="644"/>
      <c r="Z31" s="577"/>
      <c r="AA31" s="510"/>
      <c r="AB31" s="510"/>
      <c r="AC31" s="576" t="e">
        <f t="shared" si="5"/>
        <v>#N/A</v>
      </c>
      <c r="AD31" s="644"/>
      <c r="AE31" s="577"/>
      <c r="AF31" s="510"/>
      <c r="AG31" s="510"/>
      <c r="AH31" s="576" t="e">
        <f t="shared" si="6"/>
        <v>#N/A</v>
      </c>
      <c r="AI31" s="644"/>
      <c r="AJ31" s="577"/>
      <c r="AK31" s="510"/>
      <c r="AL31" s="510"/>
      <c r="AM31" s="576" t="e">
        <f t="shared" si="7"/>
        <v>#N/A</v>
      </c>
      <c r="AN31" s="644"/>
      <c r="AO31" s="577"/>
      <c r="AP31" s="510"/>
      <c r="AQ31" s="510"/>
      <c r="AR31" s="576" t="e">
        <f t="shared" si="8"/>
        <v>#N/A</v>
      </c>
      <c r="AS31" s="644"/>
      <c r="AT31" s="577"/>
      <c r="AU31" s="510"/>
      <c r="AV31" s="510"/>
      <c r="AW31" s="576" t="e">
        <f t="shared" si="9"/>
        <v>#N/A</v>
      </c>
      <c r="AX31" s="644"/>
      <c r="AZ31" s="372" t="e">
        <f t="shared" si="10"/>
        <v>#N/A</v>
      </c>
      <c r="BA31" s="644"/>
    </row>
    <row r="32" spans="2:53">
      <c r="B32" s="678"/>
      <c r="C32" s="526">
        <v>26</v>
      </c>
      <c r="D32" s="201"/>
      <c r="E32" s="201"/>
      <c r="F32" s="201"/>
      <c r="G32" s="529"/>
      <c r="H32" s="639"/>
      <c r="I32" s="529" t="str">
        <f t="shared" si="0"/>
        <v>-</v>
      </c>
      <c r="J32" s="529" t="str">
        <f t="shared" si="1"/>
        <v>-</v>
      </c>
      <c r="K32" s="199" t="str">
        <f t="shared" si="2"/>
        <v>-</v>
      </c>
      <c r="L32" s="659"/>
      <c r="M32" s="550" t="e">
        <f>RANK(K32, K$7:$K$36)</f>
        <v>#VALUE!</v>
      </c>
      <c r="N32" s="643"/>
      <c r="O32" s="643"/>
      <c r="P32" s="577"/>
      <c r="Q32" s="510"/>
      <c r="R32" s="510"/>
      <c r="S32" s="576" t="e">
        <f t="shared" si="3"/>
        <v>#N/A</v>
      </c>
      <c r="T32" s="644"/>
      <c r="U32" s="577"/>
      <c r="V32" s="510"/>
      <c r="W32" s="510"/>
      <c r="X32" s="576" t="e">
        <f t="shared" si="4"/>
        <v>#N/A</v>
      </c>
      <c r="Y32" s="644"/>
      <c r="Z32" s="577"/>
      <c r="AA32" s="510"/>
      <c r="AB32" s="510"/>
      <c r="AC32" s="576" t="e">
        <f t="shared" si="5"/>
        <v>#N/A</v>
      </c>
      <c r="AD32" s="644"/>
      <c r="AE32" s="577"/>
      <c r="AF32" s="510"/>
      <c r="AG32" s="510"/>
      <c r="AH32" s="576" t="e">
        <f t="shared" si="6"/>
        <v>#N/A</v>
      </c>
      <c r="AI32" s="644"/>
      <c r="AJ32" s="577"/>
      <c r="AK32" s="510"/>
      <c r="AL32" s="510"/>
      <c r="AM32" s="576" t="e">
        <f t="shared" si="7"/>
        <v>#N/A</v>
      </c>
      <c r="AN32" s="644"/>
      <c r="AO32" s="577"/>
      <c r="AP32" s="510"/>
      <c r="AQ32" s="510"/>
      <c r="AR32" s="576" t="e">
        <f t="shared" si="8"/>
        <v>#N/A</v>
      </c>
      <c r="AS32" s="644"/>
      <c r="AT32" s="577"/>
      <c r="AU32" s="510"/>
      <c r="AV32" s="510"/>
      <c r="AW32" s="576" t="e">
        <f t="shared" si="9"/>
        <v>#N/A</v>
      </c>
      <c r="AX32" s="644"/>
      <c r="AZ32" s="372" t="e">
        <f t="shared" si="10"/>
        <v>#N/A</v>
      </c>
      <c r="BA32" s="644"/>
    </row>
    <row r="33" spans="2:53">
      <c r="B33" s="678"/>
      <c r="C33" s="526">
        <v>27</v>
      </c>
      <c r="D33" s="201"/>
      <c r="E33" s="201"/>
      <c r="F33" s="201"/>
      <c r="G33" s="529"/>
      <c r="H33" s="639"/>
      <c r="I33" s="529" t="str">
        <f t="shared" si="0"/>
        <v>-</v>
      </c>
      <c r="J33" s="529" t="str">
        <f t="shared" si="1"/>
        <v>-</v>
      </c>
      <c r="K33" s="199" t="str">
        <f t="shared" si="2"/>
        <v>-</v>
      </c>
      <c r="L33" s="659"/>
      <c r="M33" s="550" t="e">
        <f>RANK(K33, K$7:$K$36)</f>
        <v>#VALUE!</v>
      </c>
      <c r="N33" s="643"/>
      <c r="O33" s="643"/>
      <c r="P33" s="577"/>
      <c r="Q33" s="510"/>
      <c r="R33" s="510"/>
      <c r="S33" s="576" t="e">
        <f t="shared" si="3"/>
        <v>#N/A</v>
      </c>
      <c r="T33" s="644"/>
      <c r="U33" s="577"/>
      <c r="V33" s="510"/>
      <c r="W33" s="510"/>
      <c r="X33" s="576" t="e">
        <f t="shared" si="4"/>
        <v>#N/A</v>
      </c>
      <c r="Y33" s="644"/>
      <c r="Z33" s="577"/>
      <c r="AA33" s="510"/>
      <c r="AB33" s="510"/>
      <c r="AC33" s="576" t="e">
        <f t="shared" si="5"/>
        <v>#N/A</v>
      </c>
      <c r="AD33" s="644"/>
      <c r="AE33" s="577"/>
      <c r="AF33" s="510"/>
      <c r="AG33" s="510"/>
      <c r="AH33" s="576" t="e">
        <f t="shared" si="6"/>
        <v>#N/A</v>
      </c>
      <c r="AI33" s="644"/>
      <c r="AJ33" s="577"/>
      <c r="AK33" s="510"/>
      <c r="AL33" s="510"/>
      <c r="AM33" s="576" t="e">
        <f t="shared" si="7"/>
        <v>#N/A</v>
      </c>
      <c r="AN33" s="644"/>
      <c r="AO33" s="577"/>
      <c r="AP33" s="510"/>
      <c r="AQ33" s="510"/>
      <c r="AR33" s="576" t="e">
        <f t="shared" si="8"/>
        <v>#N/A</v>
      </c>
      <c r="AS33" s="644"/>
      <c r="AT33" s="577"/>
      <c r="AU33" s="510"/>
      <c r="AV33" s="510"/>
      <c r="AW33" s="576" t="e">
        <f t="shared" si="9"/>
        <v>#N/A</v>
      </c>
      <c r="AX33" s="644"/>
      <c r="AZ33" s="372" t="e">
        <f t="shared" si="10"/>
        <v>#N/A</v>
      </c>
      <c r="BA33" s="644"/>
    </row>
    <row r="34" spans="2:53">
      <c r="B34" s="678"/>
      <c r="C34" s="526">
        <v>28</v>
      </c>
      <c r="D34" s="201"/>
      <c r="E34" s="201"/>
      <c r="F34" s="201"/>
      <c r="G34" s="201"/>
      <c r="H34" s="639"/>
      <c r="I34" s="529" t="str">
        <f t="shared" si="0"/>
        <v>-</v>
      </c>
      <c r="J34" s="529" t="str">
        <f t="shared" si="1"/>
        <v>-</v>
      </c>
      <c r="K34" s="199" t="str">
        <f t="shared" si="2"/>
        <v>-</v>
      </c>
      <c r="L34" s="659"/>
      <c r="M34" s="550" t="e">
        <f>RANK(K34, K$7:$K$36)</f>
        <v>#VALUE!</v>
      </c>
      <c r="N34" s="643"/>
      <c r="O34" s="643"/>
      <c r="P34" s="577"/>
      <c r="Q34" s="510"/>
      <c r="R34" s="510"/>
      <c r="S34" s="576" t="e">
        <f t="shared" si="3"/>
        <v>#N/A</v>
      </c>
      <c r="T34" s="644"/>
      <c r="U34" s="577"/>
      <c r="V34" s="510"/>
      <c r="W34" s="510"/>
      <c r="X34" s="576" t="e">
        <f t="shared" si="4"/>
        <v>#N/A</v>
      </c>
      <c r="Y34" s="644"/>
      <c r="Z34" s="577"/>
      <c r="AA34" s="510"/>
      <c r="AB34" s="510"/>
      <c r="AC34" s="576" t="e">
        <f t="shared" si="5"/>
        <v>#N/A</v>
      </c>
      <c r="AD34" s="644"/>
      <c r="AE34" s="577"/>
      <c r="AF34" s="510"/>
      <c r="AG34" s="510"/>
      <c r="AH34" s="576" t="e">
        <f t="shared" si="6"/>
        <v>#N/A</v>
      </c>
      <c r="AI34" s="644"/>
      <c r="AJ34" s="577"/>
      <c r="AK34" s="510"/>
      <c r="AL34" s="510"/>
      <c r="AM34" s="576" t="e">
        <f t="shared" si="7"/>
        <v>#N/A</v>
      </c>
      <c r="AN34" s="644"/>
      <c r="AO34" s="577"/>
      <c r="AP34" s="510"/>
      <c r="AQ34" s="510"/>
      <c r="AR34" s="576" t="e">
        <f t="shared" si="8"/>
        <v>#N/A</v>
      </c>
      <c r="AS34" s="644"/>
      <c r="AT34" s="577"/>
      <c r="AU34" s="510"/>
      <c r="AV34" s="510"/>
      <c r="AW34" s="576" t="e">
        <f t="shared" si="9"/>
        <v>#N/A</v>
      </c>
      <c r="AX34" s="644"/>
      <c r="AZ34" s="372" t="e">
        <f t="shared" si="10"/>
        <v>#N/A</v>
      </c>
      <c r="BA34" s="644"/>
    </row>
    <row r="35" spans="2:53">
      <c r="B35" s="678"/>
      <c r="C35" s="526">
        <v>29</v>
      </c>
      <c r="D35" s="201"/>
      <c r="E35" s="201"/>
      <c r="F35" s="201"/>
      <c r="G35" s="201"/>
      <c r="H35" s="639"/>
      <c r="I35" s="529" t="str">
        <f t="shared" si="0"/>
        <v>-</v>
      </c>
      <c r="J35" s="529" t="str">
        <f t="shared" si="1"/>
        <v>-</v>
      </c>
      <c r="K35" s="199" t="str">
        <f t="shared" si="2"/>
        <v>-</v>
      </c>
      <c r="L35" s="659"/>
      <c r="M35" s="550" t="e">
        <f>RANK(K35, K$7:$K$36)</f>
        <v>#VALUE!</v>
      </c>
      <c r="N35" s="643"/>
      <c r="O35" s="643"/>
      <c r="P35" s="577"/>
      <c r="Q35" s="510"/>
      <c r="R35" s="510"/>
      <c r="S35" s="576" t="e">
        <f t="shared" si="3"/>
        <v>#N/A</v>
      </c>
      <c r="T35" s="644"/>
      <c r="U35" s="577"/>
      <c r="V35" s="510"/>
      <c r="W35" s="510"/>
      <c r="X35" s="576" t="e">
        <f t="shared" si="4"/>
        <v>#N/A</v>
      </c>
      <c r="Y35" s="644"/>
      <c r="Z35" s="577"/>
      <c r="AA35" s="510"/>
      <c r="AB35" s="510"/>
      <c r="AC35" s="576" t="e">
        <f t="shared" si="5"/>
        <v>#N/A</v>
      </c>
      <c r="AD35" s="644"/>
      <c r="AE35" s="577"/>
      <c r="AF35" s="510"/>
      <c r="AG35" s="510"/>
      <c r="AH35" s="576" t="e">
        <f t="shared" si="6"/>
        <v>#N/A</v>
      </c>
      <c r="AI35" s="644"/>
      <c r="AJ35" s="577"/>
      <c r="AK35" s="510"/>
      <c r="AL35" s="510"/>
      <c r="AM35" s="576" t="e">
        <f t="shared" si="7"/>
        <v>#N/A</v>
      </c>
      <c r="AN35" s="644"/>
      <c r="AO35" s="577"/>
      <c r="AP35" s="510"/>
      <c r="AQ35" s="510"/>
      <c r="AR35" s="576" t="e">
        <f t="shared" si="8"/>
        <v>#N/A</v>
      </c>
      <c r="AS35" s="644"/>
      <c r="AT35" s="577"/>
      <c r="AU35" s="510"/>
      <c r="AV35" s="510"/>
      <c r="AW35" s="576" t="e">
        <f t="shared" si="9"/>
        <v>#N/A</v>
      </c>
      <c r="AX35" s="644"/>
      <c r="AZ35" s="372" t="e">
        <f t="shared" si="10"/>
        <v>#N/A</v>
      </c>
      <c r="BA35" s="644"/>
    </row>
    <row r="36" spans="2:53">
      <c r="B36" s="678"/>
      <c r="C36" s="526">
        <v>30</v>
      </c>
      <c r="D36" s="201"/>
      <c r="E36" s="201"/>
      <c r="F36" s="201"/>
      <c r="G36" s="201"/>
      <c r="H36" s="640"/>
      <c r="I36" s="529" t="str">
        <f t="shared" si="0"/>
        <v>-</v>
      </c>
      <c r="J36" s="529" t="str">
        <f t="shared" si="1"/>
        <v>-</v>
      </c>
      <c r="K36" s="199" t="str">
        <f t="shared" si="2"/>
        <v>-</v>
      </c>
      <c r="L36" s="660"/>
      <c r="M36" s="550" t="e">
        <f>RANK(K36, K$7:$K$36)</f>
        <v>#VALUE!</v>
      </c>
      <c r="N36" s="643"/>
      <c r="O36" s="643"/>
      <c r="P36" s="577"/>
      <c r="Q36" s="510"/>
      <c r="R36" s="510"/>
      <c r="S36" s="576" t="e">
        <f t="shared" si="3"/>
        <v>#N/A</v>
      </c>
      <c r="T36" s="644"/>
      <c r="U36" s="577"/>
      <c r="V36" s="510"/>
      <c r="W36" s="510"/>
      <c r="X36" s="576" t="e">
        <f t="shared" si="4"/>
        <v>#N/A</v>
      </c>
      <c r="Y36" s="644"/>
      <c r="Z36" s="577"/>
      <c r="AA36" s="510"/>
      <c r="AB36" s="510"/>
      <c r="AC36" s="576" t="e">
        <f t="shared" si="5"/>
        <v>#N/A</v>
      </c>
      <c r="AD36" s="644"/>
      <c r="AE36" s="577"/>
      <c r="AF36" s="510"/>
      <c r="AG36" s="510"/>
      <c r="AH36" s="576" t="e">
        <f t="shared" si="6"/>
        <v>#N/A</v>
      </c>
      <c r="AI36" s="644"/>
      <c r="AJ36" s="577"/>
      <c r="AK36" s="510"/>
      <c r="AL36" s="510"/>
      <c r="AM36" s="576" t="e">
        <f t="shared" si="7"/>
        <v>#N/A</v>
      </c>
      <c r="AN36" s="644"/>
      <c r="AO36" s="577"/>
      <c r="AP36" s="510"/>
      <c r="AQ36" s="510"/>
      <c r="AR36" s="576" t="e">
        <f t="shared" si="8"/>
        <v>#N/A</v>
      </c>
      <c r="AS36" s="644"/>
      <c r="AT36" s="577"/>
      <c r="AU36" s="510"/>
      <c r="AV36" s="510"/>
      <c r="AW36" s="576" t="e">
        <f t="shared" si="9"/>
        <v>#N/A</v>
      </c>
      <c r="AX36" s="644"/>
      <c r="AZ36" s="372" t="e">
        <f t="shared" si="10"/>
        <v>#N/A</v>
      </c>
      <c r="BA36" s="644"/>
    </row>
    <row r="37" spans="2:53" ht="15.75">
      <c r="B37" s="682" t="s">
        <v>162</v>
      </c>
      <c r="C37" s="683"/>
      <c r="D37" s="683"/>
      <c r="E37" s="683"/>
      <c r="F37" s="683"/>
      <c r="G37" s="683"/>
      <c r="H37" s="683"/>
      <c r="I37" s="202"/>
      <c r="J37" s="202"/>
      <c r="K37" s="202"/>
      <c r="L37" s="202"/>
      <c r="M37" s="203"/>
      <c r="N37" s="645" t="s">
        <v>156</v>
      </c>
      <c r="O37" s="645" t="s">
        <v>155</v>
      </c>
      <c r="P37" s="670">
        <f>P2+7</f>
        <v>46273</v>
      </c>
      <c r="Q37" s="649"/>
      <c r="R37" s="649"/>
      <c r="S37" s="649"/>
      <c r="T37" s="649"/>
      <c r="U37" s="670">
        <f>P37+1</f>
        <v>46274</v>
      </c>
      <c r="V37" s="649"/>
      <c r="W37" s="649"/>
      <c r="X37" s="649"/>
      <c r="Y37" s="649"/>
      <c r="Z37" s="670">
        <f>U37+1</f>
        <v>46275</v>
      </c>
      <c r="AA37" s="649"/>
      <c r="AB37" s="649"/>
      <c r="AC37" s="649"/>
      <c r="AD37" s="649"/>
      <c r="AE37" s="670">
        <f>Z37+1</f>
        <v>46276</v>
      </c>
      <c r="AF37" s="649"/>
      <c r="AG37" s="649"/>
      <c r="AH37" s="649"/>
      <c r="AI37" s="649"/>
      <c r="AJ37" s="670">
        <f>AE37+1</f>
        <v>46277</v>
      </c>
      <c r="AK37" s="649"/>
      <c r="AL37" s="649"/>
      <c r="AM37" s="649"/>
      <c r="AN37" s="649"/>
      <c r="AO37" s="670">
        <f>AJ37+1</f>
        <v>46278</v>
      </c>
      <c r="AP37" s="649"/>
      <c r="AQ37" s="649"/>
      <c r="AR37" s="649"/>
      <c r="AS37" s="649"/>
      <c r="AT37" s="670">
        <f>AO37+1</f>
        <v>46279</v>
      </c>
      <c r="AU37" s="649"/>
      <c r="AV37" s="649"/>
      <c r="AW37" s="649"/>
      <c r="AX37" s="649"/>
    </row>
    <row r="38" spans="2:53" ht="15.75">
      <c r="B38" s="674"/>
      <c r="C38" s="674"/>
      <c r="D38" s="674"/>
      <c r="E38" s="674"/>
      <c r="F38" s="674"/>
      <c r="G38" s="674"/>
      <c r="H38" s="674"/>
      <c r="I38" s="204"/>
      <c r="J38" s="204"/>
      <c r="K38" s="204"/>
      <c r="L38" s="204"/>
      <c r="M38" s="205"/>
      <c r="N38" s="647"/>
      <c r="O38" s="647"/>
      <c r="P38" s="670" t="s">
        <v>317</v>
      </c>
      <c r="Q38" s="649"/>
      <c r="R38" s="649"/>
      <c r="S38" s="649"/>
      <c r="T38" s="649"/>
      <c r="U38" s="670" t="s">
        <v>318</v>
      </c>
      <c r="V38" s="649"/>
      <c r="W38" s="649"/>
      <c r="X38" s="649"/>
      <c r="Y38" s="649"/>
      <c r="Z38" s="670" t="s">
        <v>319</v>
      </c>
      <c r="AA38" s="649"/>
      <c r="AB38" s="649"/>
      <c r="AC38" s="649"/>
      <c r="AD38" s="649"/>
      <c r="AE38" s="670" t="s">
        <v>320</v>
      </c>
      <c r="AF38" s="649"/>
      <c r="AG38" s="649"/>
      <c r="AH38" s="649"/>
      <c r="AI38" s="649"/>
      <c r="AJ38" s="670" t="s">
        <v>321</v>
      </c>
      <c r="AK38" s="649"/>
      <c r="AL38" s="649"/>
      <c r="AM38" s="649"/>
      <c r="AN38" s="649"/>
      <c r="AO38" s="670" t="s">
        <v>322</v>
      </c>
      <c r="AP38" s="649"/>
      <c r="AQ38" s="649"/>
      <c r="AR38" s="649"/>
      <c r="AS38" s="649"/>
      <c r="AT38" s="670" t="s">
        <v>323</v>
      </c>
      <c r="AU38" s="649"/>
      <c r="AV38" s="649"/>
      <c r="AW38" s="649"/>
      <c r="AX38" s="649"/>
    </row>
    <row r="39" spans="2:53">
      <c r="B39" s="645" t="s">
        <v>422</v>
      </c>
      <c r="C39" s="675" t="s">
        <v>423</v>
      </c>
      <c r="D39" s="687"/>
      <c r="E39" s="661" t="s">
        <v>424</v>
      </c>
      <c r="F39" s="662"/>
      <c r="G39" s="663"/>
      <c r="H39" s="645" t="s">
        <v>359</v>
      </c>
      <c r="I39" s="694" t="s">
        <v>364</v>
      </c>
      <c r="J39" s="695"/>
      <c r="K39" s="696"/>
      <c r="L39" s="679" t="s">
        <v>359</v>
      </c>
      <c r="M39" s="679" t="s">
        <v>360</v>
      </c>
      <c r="N39" s="645"/>
      <c r="O39" s="645" t="s">
        <v>425</v>
      </c>
      <c r="P39" s="661" t="s">
        <v>426</v>
      </c>
      <c r="Q39" s="662"/>
      <c r="R39" s="662"/>
      <c r="S39" s="663"/>
      <c r="T39" s="645" t="s">
        <v>359</v>
      </c>
      <c r="U39" s="661" t="s">
        <v>361</v>
      </c>
      <c r="V39" s="662"/>
      <c r="W39" s="662"/>
      <c r="X39" s="663"/>
      <c r="Y39" s="645" t="s">
        <v>359</v>
      </c>
      <c r="Z39" s="661" t="s">
        <v>361</v>
      </c>
      <c r="AA39" s="662"/>
      <c r="AB39" s="662"/>
      <c r="AC39" s="663"/>
      <c r="AD39" s="645" t="s">
        <v>427</v>
      </c>
      <c r="AE39" s="661" t="s">
        <v>361</v>
      </c>
      <c r="AF39" s="662"/>
      <c r="AG39" s="662"/>
      <c r="AH39" s="663"/>
      <c r="AI39" s="645" t="s">
        <v>359</v>
      </c>
      <c r="AJ39" s="661" t="s">
        <v>361</v>
      </c>
      <c r="AK39" s="662"/>
      <c r="AL39" s="662"/>
      <c r="AM39" s="663"/>
      <c r="AN39" s="645" t="s">
        <v>427</v>
      </c>
      <c r="AO39" s="661" t="s">
        <v>426</v>
      </c>
      <c r="AP39" s="662"/>
      <c r="AQ39" s="662"/>
      <c r="AR39" s="663"/>
      <c r="AS39" s="645" t="s">
        <v>427</v>
      </c>
      <c r="AT39" s="661" t="s">
        <v>426</v>
      </c>
      <c r="AU39" s="662"/>
      <c r="AV39" s="662"/>
      <c r="AW39" s="663"/>
      <c r="AX39" s="645" t="s">
        <v>427</v>
      </c>
      <c r="BA39" s="645" t="s">
        <v>359</v>
      </c>
    </row>
    <row r="40" spans="2:53">
      <c r="B40" s="646"/>
      <c r="C40" s="676"/>
      <c r="D40" s="688"/>
      <c r="E40" s="661" t="s">
        <v>366</v>
      </c>
      <c r="F40" s="662"/>
      <c r="G40" s="663"/>
      <c r="H40" s="646"/>
      <c r="I40" s="694" t="s">
        <v>366</v>
      </c>
      <c r="J40" s="695"/>
      <c r="K40" s="696"/>
      <c r="L40" s="680"/>
      <c r="M40" s="680"/>
      <c r="N40" s="646"/>
      <c r="O40" s="646"/>
      <c r="P40" s="661" t="s">
        <v>367</v>
      </c>
      <c r="Q40" s="662"/>
      <c r="R40" s="662"/>
      <c r="S40" s="663"/>
      <c r="T40" s="646"/>
      <c r="U40" s="661" t="s">
        <v>428</v>
      </c>
      <c r="V40" s="662"/>
      <c r="W40" s="662"/>
      <c r="X40" s="663"/>
      <c r="Y40" s="646"/>
      <c r="Z40" s="661" t="s">
        <v>428</v>
      </c>
      <c r="AA40" s="662"/>
      <c r="AB40" s="662"/>
      <c r="AC40" s="663"/>
      <c r="AD40" s="646"/>
      <c r="AE40" s="661" t="s">
        <v>367</v>
      </c>
      <c r="AF40" s="662"/>
      <c r="AG40" s="662"/>
      <c r="AH40" s="663"/>
      <c r="AI40" s="646"/>
      <c r="AJ40" s="661" t="s">
        <v>367</v>
      </c>
      <c r="AK40" s="662"/>
      <c r="AL40" s="662"/>
      <c r="AM40" s="663"/>
      <c r="AN40" s="646"/>
      <c r="AO40" s="661" t="s">
        <v>367</v>
      </c>
      <c r="AP40" s="662"/>
      <c r="AQ40" s="662"/>
      <c r="AR40" s="663"/>
      <c r="AS40" s="646"/>
      <c r="AT40" s="661" t="s">
        <v>367</v>
      </c>
      <c r="AU40" s="662"/>
      <c r="AV40" s="662"/>
      <c r="AW40" s="663"/>
      <c r="AX40" s="646"/>
      <c r="BA40" s="646"/>
    </row>
    <row r="41" spans="2:53">
      <c r="B41" s="647"/>
      <c r="C41" s="677"/>
      <c r="D41" s="689"/>
      <c r="E41" s="291" t="s">
        <v>368</v>
      </c>
      <c r="F41" s="291" t="s">
        <v>369</v>
      </c>
      <c r="G41" s="291" t="s">
        <v>429</v>
      </c>
      <c r="H41" s="647"/>
      <c r="I41" s="290" t="s">
        <v>368</v>
      </c>
      <c r="J41" s="290" t="s">
        <v>369</v>
      </c>
      <c r="K41" s="290" t="s">
        <v>370</v>
      </c>
      <c r="L41" s="681"/>
      <c r="M41" s="681"/>
      <c r="N41" s="646"/>
      <c r="O41" s="646"/>
      <c r="P41" s="291" t="s">
        <v>368</v>
      </c>
      <c r="Q41" s="291" t="s">
        <v>430</v>
      </c>
      <c r="R41" s="291" t="s">
        <v>370</v>
      </c>
      <c r="S41" s="291" t="s">
        <v>360</v>
      </c>
      <c r="T41" s="647"/>
      <c r="U41" s="291" t="s">
        <v>368</v>
      </c>
      <c r="V41" s="291" t="s">
        <v>369</v>
      </c>
      <c r="W41" s="291" t="s">
        <v>370</v>
      </c>
      <c r="X41" s="291" t="s">
        <v>431</v>
      </c>
      <c r="Y41" s="647"/>
      <c r="Z41" s="291" t="s">
        <v>432</v>
      </c>
      <c r="AA41" s="291" t="s">
        <v>369</v>
      </c>
      <c r="AB41" s="291" t="s">
        <v>370</v>
      </c>
      <c r="AC41" s="291" t="s">
        <v>431</v>
      </c>
      <c r="AD41" s="647"/>
      <c r="AE41" s="291" t="s">
        <v>368</v>
      </c>
      <c r="AF41" s="291" t="s">
        <v>369</v>
      </c>
      <c r="AG41" s="291" t="s">
        <v>370</v>
      </c>
      <c r="AH41" s="291" t="s">
        <v>431</v>
      </c>
      <c r="AI41" s="647"/>
      <c r="AJ41" s="291" t="s">
        <v>432</v>
      </c>
      <c r="AK41" s="291" t="s">
        <v>369</v>
      </c>
      <c r="AL41" s="291" t="s">
        <v>370</v>
      </c>
      <c r="AM41" s="291" t="s">
        <v>360</v>
      </c>
      <c r="AN41" s="647"/>
      <c r="AO41" s="291" t="s">
        <v>432</v>
      </c>
      <c r="AP41" s="291" t="s">
        <v>369</v>
      </c>
      <c r="AQ41" s="291" t="s">
        <v>370</v>
      </c>
      <c r="AR41" s="291" t="s">
        <v>431</v>
      </c>
      <c r="AS41" s="647"/>
      <c r="AT41" s="291" t="s">
        <v>432</v>
      </c>
      <c r="AU41" s="291" t="s">
        <v>369</v>
      </c>
      <c r="AV41" s="291" t="s">
        <v>370</v>
      </c>
      <c r="AW41" s="291" t="s">
        <v>431</v>
      </c>
      <c r="AX41" s="647"/>
      <c r="AZ41" s="373" t="s">
        <v>360</v>
      </c>
      <c r="BA41" s="647"/>
    </row>
    <row r="42" spans="2:53">
      <c r="B42" s="684" t="s">
        <v>150</v>
      </c>
      <c r="C42" s="292">
        <v>1</v>
      </c>
      <c r="D42" s="201"/>
      <c r="E42" s="201"/>
      <c r="F42" s="201"/>
      <c r="G42" s="529"/>
      <c r="H42" s="638" t="e">
        <f>AVERAGE(G42:G71)</f>
        <v>#DIV/0!</v>
      </c>
      <c r="I42" s="363" t="str">
        <f>IFERROR(AVERAGE(P42,U42,Z42,AE42,AJ42,AO42,AT42),"-")</f>
        <v>-</v>
      </c>
      <c r="J42" s="363" t="str">
        <f>IFERROR(AVERAGE(Q42,V42,AA42,AF42,AK42,AP42,AU42),"-")</f>
        <v>-</v>
      </c>
      <c r="K42" s="199" t="str">
        <f>IFERROR(AVERAGE(R42,W42,AB42,AG42,AL42,AQ42,AV42),"-")</f>
        <v>-</v>
      </c>
      <c r="L42" s="658" t="str">
        <f>IFERROR(AVERAGE(K42:K71),"-")</f>
        <v>-</v>
      </c>
      <c r="M42" s="198" t="e">
        <f>RANK(K42, K$42:$K$71)</f>
        <v>#VALUE!</v>
      </c>
      <c r="N42" s="646"/>
      <c r="O42" s="646"/>
      <c r="P42" s="547"/>
      <c r="Q42" s="548"/>
      <c r="R42" s="548"/>
      <c r="S42" s="547"/>
      <c r="T42" s="638"/>
      <c r="U42" s="547"/>
      <c r="V42" s="548"/>
      <c r="W42" s="548"/>
      <c r="X42" s="547"/>
      <c r="Y42" s="638"/>
      <c r="Z42" s="547"/>
      <c r="AA42" s="548"/>
      <c r="AB42" s="548"/>
      <c r="AC42" s="547"/>
      <c r="AD42" s="638"/>
      <c r="AE42" s="547"/>
      <c r="AF42" s="548"/>
      <c r="AG42" s="548"/>
      <c r="AH42" s="547"/>
      <c r="AI42" s="638"/>
      <c r="AJ42" s="547"/>
      <c r="AK42" s="548"/>
      <c r="AL42" s="548"/>
      <c r="AM42" s="547"/>
      <c r="AN42" s="638"/>
      <c r="AO42" s="547"/>
      <c r="AP42" s="548"/>
      <c r="AQ42" s="548"/>
      <c r="AR42" s="547"/>
      <c r="AS42" s="638"/>
      <c r="AT42" s="547"/>
      <c r="AU42" s="548"/>
      <c r="AV42" s="548"/>
      <c r="AW42" s="547"/>
      <c r="AX42" s="638"/>
      <c r="AZ42" s="372" t="e">
        <f t="shared" ref="AZ42:AZ71" si="11">RANK(AY42, AY$42:AY$71)</f>
        <v>#N/A</v>
      </c>
      <c r="BA42" s="638" t="e">
        <f t="shared" ref="BA42" si="12">AVERAGE(AY42:AY71)</f>
        <v>#DIV/0!</v>
      </c>
    </row>
    <row r="43" spans="2:53">
      <c r="B43" s="685"/>
      <c r="C43" s="292">
        <v>2</v>
      </c>
      <c r="D43" s="524"/>
      <c r="E43" s="201"/>
      <c r="F43" s="201"/>
      <c r="G43" s="529"/>
      <c r="H43" s="639"/>
      <c r="I43" s="363" t="str">
        <f t="shared" ref="I43:I71" si="13">IFERROR(AVERAGE(P43,U43,Z43,AE43,AJ43,AO43,AT43),"-")</f>
        <v>-</v>
      </c>
      <c r="J43" s="363" t="str">
        <f t="shared" ref="J43:J71" si="14">IFERROR(AVERAGE(Q43,V43,AA43,AF43,AK43,AP43,AU43),"-")</f>
        <v>-</v>
      </c>
      <c r="K43" s="199" t="str">
        <f t="shared" ref="K43:K71" si="15">IFERROR(AVERAGE(R43,W43,AB43,AG43,AL43,AQ43,AV43),"-")</f>
        <v>-</v>
      </c>
      <c r="L43" s="659"/>
      <c r="M43" s="198" t="e">
        <f>RANK(K43, K$42:$K$71)</f>
        <v>#VALUE!</v>
      </c>
      <c r="N43" s="646"/>
      <c r="O43" s="646"/>
      <c r="P43" s="547"/>
      <c r="Q43" s="548"/>
      <c r="R43" s="548"/>
      <c r="S43" s="547"/>
      <c r="T43" s="639"/>
      <c r="U43" s="547"/>
      <c r="V43" s="548"/>
      <c r="W43" s="548"/>
      <c r="X43" s="547"/>
      <c r="Y43" s="639"/>
      <c r="Z43" s="547"/>
      <c r="AA43" s="548"/>
      <c r="AB43" s="548"/>
      <c r="AC43" s="547"/>
      <c r="AD43" s="639"/>
      <c r="AE43" s="547"/>
      <c r="AF43" s="548"/>
      <c r="AG43" s="548"/>
      <c r="AH43" s="547"/>
      <c r="AI43" s="639"/>
      <c r="AJ43" s="547"/>
      <c r="AK43" s="548"/>
      <c r="AL43" s="548"/>
      <c r="AM43" s="547"/>
      <c r="AN43" s="639"/>
      <c r="AO43" s="547"/>
      <c r="AP43" s="548"/>
      <c r="AQ43" s="548"/>
      <c r="AR43" s="547"/>
      <c r="AS43" s="639"/>
      <c r="AT43" s="547"/>
      <c r="AU43" s="548"/>
      <c r="AV43" s="548"/>
      <c r="AW43" s="547"/>
      <c r="AX43" s="639"/>
      <c r="AZ43" s="372" t="e">
        <f t="shared" si="11"/>
        <v>#N/A</v>
      </c>
      <c r="BA43" s="639"/>
    </row>
    <row r="44" spans="2:53">
      <c r="B44" s="685"/>
      <c r="C44" s="292">
        <v>3</v>
      </c>
      <c r="D44" s="201"/>
      <c r="E44" s="201"/>
      <c r="F44" s="201"/>
      <c r="G44" s="529"/>
      <c r="H44" s="639"/>
      <c r="I44" s="363" t="str">
        <f t="shared" si="13"/>
        <v>-</v>
      </c>
      <c r="J44" s="363" t="str">
        <f t="shared" si="14"/>
        <v>-</v>
      </c>
      <c r="K44" s="199" t="str">
        <f t="shared" si="15"/>
        <v>-</v>
      </c>
      <c r="L44" s="659"/>
      <c r="M44" s="198" t="e">
        <f>RANK(K44, K$42:$K$71)</f>
        <v>#VALUE!</v>
      </c>
      <c r="N44" s="646"/>
      <c r="O44" s="646"/>
      <c r="P44" s="547"/>
      <c r="Q44" s="548"/>
      <c r="R44" s="548"/>
      <c r="S44" s="547"/>
      <c r="T44" s="639"/>
      <c r="U44" s="547"/>
      <c r="V44" s="548"/>
      <c r="W44" s="548"/>
      <c r="X44" s="547"/>
      <c r="Y44" s="639"/>
      <c r="Z44" s="547"/>
      <c r="AA44" s="548"/>
      <c r="AB44" s="548"/>
      <c r="AC44" s="547"/>
      <c r="AD44" s="639"/>
      <c r="AE44" s="547"/>
      <c r="AF44" s="548"/>
      <c r="AG44" s="548"/>
      <c r="AH44" s="547"/>
      <c r="AI44" s="639"/>
      <c r="AJ44" s="547"/>
      <c r="AK44" s="548"/>
      <c r="AL44" s="548"/>
      <c r="AM44" s="547"/>
      <c r="AN44" s="639"/>
      <c r="AO44" s="547"/>
      <c r="AP44" s="548"/>
      <c r="AQ44" s="548"/>
      <c r="AR44" s="547"/>
      <c r="AS44" s="639"/>
      <c r="AT44" s="547"/>
      <c r="AU44" s="548"/>
      <c r="AV44" s="548"/>
      <c r="AW44" s="547"/>
      <c r="AX44" s="639"/>
      <c r="AZ44" s="372" t="e">
        <f t="shared" si="11"/>
        <v>#N/A</v>
      </c>
      <c r="BA44" s="639"/>
    </row>
    <row r="45" spans="2:53">
      <c r="B45" s="685"/>
      <c r="C45" s="292">
        <v>4</v>
      </c>
      <c r="D45" s="201"/>
      <c r="E45" s="201"/>
      <c r="F45" s="201"/>
      <c r="G45" s="529"/>
      <c r="H45" s="639"/>
      <c r="I45" s="363" t="str">
        <f t="shared" si="13"/>
        <v>-</v>
      </c>
      <c r="J45" s="363" t="str">
        <f t="shared" si="14"/>
        <v>-</v>
      </c>
      <c r="K45" s="199" t="str">
        <f t="shared" si="15"/>
        <v>-</v>
      </c>
      <c r="L45" s="659"/>
      <c r="M45" s="198" t="e">
        <f>RANK(K45, K$42:$K$71)</f>
        <v>#VALUE!</v>
      </c>
      <c r="N45" s="646"/>
      <c r="O45" s="646"/>
      <c r="P45" s="547"/>
      <c r="Q45" s="548"/>
      <c r="R45" s="548"/>
      <c r="S45" s="547"/>
      <c r="T45" s="639"/>
      <c r="U45" s="547"/>
      <c r="V45" s="548"/>
      <c r="W45" s="548"/>
      <c r="X45" s="547"/>
      <c r="Y45" s="639"/>
      <c r="Z45" s="547"/>
      <c r="AA45" s="548"/>
      <c r="AB45" s="548"/>
      <c r="AC45" s="547"/>
      <c r="AD45" s="639"/>
      <c r="AE45" s="547"/>
      <c r="AF45" s="548"/>
      <c r="AG45" s="548"/>
      <c r="AH45" s="547"/>
      <c r="AI45" s="639"/>
      <c r="AJ45" s="547"/>
      <c r="AK45" s="548"/>
      <c r="AL45" s="548"/>
      <c r="AM45" s="547"/>
      <c r="AN45" s="639"/>
      <c r="AO45" s="547"/>
      <c r="AP45" s="548"/>
      <c r="AQ45" s="548"/>
      <c r="AR45" s="547"/>
      <c r="AS45" s="639"/>
      <c r="AT45" s="547"/>
      <c r="AU45" s="548"/>
      <c r="AV45" s="548"/>
      <c r="AW45" s="547"/>
      <c r="AX45" s="639"/>
      <c r="AZ45" s="372" t="e">
        <f t="shared" si="11"/>
        <v>#N/A</v>
      </c>
      <c r="BA45" s="639"/>
    </row>
    <row r="46" spans="2:53">
      <c r="B46" s="685"/>
      <c r="C46" s="292">
        <v>5</v>
      </c>
      <c r="D46" s="201"/>
      <c r="E46" s="201"/>
      <c r="F46" s="201"/>
      <c r="G46" s="529"/>
      <c r="H46" s="639"/>
      <c r="I46" s="363" t="str">
        <f t="shared" si="13"/>
        <v>-</v>
      </c>
      <c r="J46" s="363" t="str">
        <f t="shared" si="14"/>
        <v>-</v>
      </c>
      <c r="K46" s="199" t="str">
        <f t="shared" si="15"/>
        <v>-</v>
      </c>
      <c r="L46" s="659"/>
      <c r="M46" s="198" t="e">
        <f>RANK(K46, K$42:$K$71)</f>
        <v>#VALUE!</v>
      </c>
      <c r="N46" s="646"/>
      <c r="O46" s="646"/>
      <c r="P46" s="547"/>
      <c r="Q46" s="548"/>
      <c r="R46" s="548"/>
      <c r="S46" s="547"/>
      <c r="T46" s="639"/>
      <c r="U46" s="547"/>
      <c r="V46" s="548"/>
      <c r="W46" s="548"/>
      <c r="X46" s="547"/>
      <c r="Y46" s="639"/>
      <c r="Z46" s="547"/>
      <c r="AA46" s="548"/>
      <c r="AB46" s="548"/>
      <c r="AC46" s="547"/>
      <c r="AD46" s="639"/>
      <c r="AE46" s="547"/>
      <c r="AF46" s="548"/>
      <c r="AG46" s="548"/>
      <c r="AH46" s="547"/>
      <c r="AI46" s="639"/>
      <c r="AJ46" s="547"/>
      <c r="AK46" s="548"/>
      <c r="AL46" s="548"/>
      <c r="AM46" s="547"/>
      <c r="AN46" s="639"/>
      <c r="AO46" s="547"/>
      <c r="AP46" s="548"/>
      <c r="AQ46" s="548"/>
      <c r="AR46" s="547"/>
      <c r="AS46" s="639"/>
      <c r="AT46" s="547"/>
      <c r="AU46" s="548"/>
      <c r="AV46" s="548"/>
      <c r="AW46" s="547"/>
      <c r="AX46" s="639"/>
      <c r="AZ46" s="372" t="e">
        <f t="shared" si="11"/>
        <v>#N/A</v>
      </c>
      <c r="BA46" s="639"/>
    </row>
    <row r="47" spans="2:53">
      <c r="B47" s="685"/>
      <c r="C47" s="292">
        <v>6</v>
      </c>
      <c r="D47" s="201"/>
      <c r="E47" s="201"/>
      <c r="F47" s="201"/>
      <c r="G47" s="529"/>
      <c r="H47" s="639"/>
      <c r="I47" s="363" t="str">
        <f t="shared" si="13"/>
        <v>-</v>
      </c>
      <c r="J47" s="363" t="str">
        <f t="shared" si="14"/>
        <v>-</v>
      </c>
      <c r="K47" s="199" t="str">
        <f t="shared" si="15"/>
        <v>-</v>
      </c>
      <c r="L47" s="659"/>
      <c r="M47" s="198" t="e">
        <f>RANK(K47, K$42:$K$71)</f>
        <v>#VALUE!</v>
      </c>
      <c r="N47" s="646"/>
      <c r="O47" s="646"/>
      <c r="P47" s="547"/>
      <c r="Q47" s="548"/>
      <c r="R47" s="548"/>
      <c r="S47" s="547"/>
      <c r="T47" s="639"/>
      <c r="U47" s="547"/>
      <c r="V47" s="548"/>
      <c r="W47" s="548"/>
      <c r="X47" s="547"/>
      <c r="Y47" s="639"/>
      <c r="Z47" s="547"/>
      <c r="AA47" s="548"/>
      <c r="AB47" s="548"/>
      <c r="AC47" s="547"/>
      <c r="AD47" s="639"/>
      <c r="AE47" s="547"/>
      <c r="AF47" s="548"/>
      <c r="AG47" s="548"/>
      <c r="AH47" s="547"/>
      <c r="AI47" s="639"/>
      <c r="AJ47" s="547"/>
      <c r="AK47" s="548"/>
      <c r="AL47" s="548"/>
      <c r="AM47" s="547"/>
      <c r="AN47" s="639"/>
      <c r="AO47" s="547"/>
      <c r="AP47" s="548"/>
      <c r="AQ47" s="548"/>
      <c r="AR47" s="547"/>
      <c r="AS47" s="639"/>
      <c r="AT47" s="547"/>
      <c r="AU47" s="548"/>
      <c r="AV47" s="548"/>
      <c r="AW47" s="547"/>
      <c r="AX47" s="639"/>
      <c r="AZ47" s="372" t="e">
        <f t="shared" si="11"/>
        <v>#N/A</v>
      </c>
      <c r="BA47" s="639"/>
    </row>
    <row r="48" spans="2:53">
      <c r="B48" s="685"/>
      <c r="C48" s="292">
        <v>7</v>
      </c>
      <c r="D48" s="201"/>
      <c r="E48" s="201"/>
      <c r="F48" s="201"/>
      <c r="G48" s="529"/>
      <c r="H48" s="639"/>
      <c r="I48" s="363" t="str">
        <f t="shared" si="13"/>
        <v>-</v>
      </c>
      <c r="J48" s="363" t="str">
        <f t="shared" si="14"/>
        <v>-</v>
      </c>
      <c r="K48" s="199" t="str">
        <f t="shared" si="15"/>
        <v>-</v>
      </c>
      <c r="L48" s="659"/>
      <c r="M48" s="198" t="e">
        <f>RANK(K48, K$42:$K$71)</f>
        <v>#VALUE!</v>
      </c>
      <c r="N48" s="646"/>
      <c r="O48" s="646"/>
      <c r="P48" s="547"/>
      <c r="Q48" s="548"/>
      <c r="R48" s="548"/>
      <c r="S48" s="547"/>
      <c r="T48" s="639"/>
      <c r="U48" s="547"/>
      <c r="V48" s="548"/>
      <c r="W48" s="548"/>
      <c r="X48" s="547"/>
      <c r="Y48" s="639"/>
      <c r="Z48" s="547"/>
      <c r="AA48" s="548"/>
      <c r="AB48" s="548"/>
      <c r="AC48" s="547"/>
      <c r="AD48" s="639"/>
      <c r="AE48" s="547"/>
      <c r="AF48" s="548"/>
      <c r="AG48" s="548"/>
      <c r="AH48" s="547"/>
      <c r="AI48" s="639"/>
      <c r="AJ48" s="547"/>
      <c r="AK48" s="548"/>
      <c r="AL48" s="548"/>
      <c r="AM48" s="547"/>
      <c r="AN48" s="639"/>
      <c r="AO48" s="547"/>
      <c r="AP48" s="548"/>
      <c r="AQ48" s="548"/>
      <c r="AR48" s="547"/>
      <c r="AS48" s="639"/>
      <c r="AT48" s="547"/>
      <c r="AU48" s="548"/>
      <c r="AV48" s="548"/>
      <c r="AW48" s="547"/>
      <c r="AX48" s="639"/>
      <c r="AZ48" s="372" t="e">
        <f t="shared" si="11"/>
        <v>#N/A</v>
      </c>
      <c r="BA48" s="639"/>
    </row>
    <row r="49" spans="2:53">
      <c r="B49" s="685"/>
      <c r="C49" s="292">
        <v>8</v>
      </c>
      <c r="D49" s="201"/>
      <c r="E49" s="201"/>
      <c r="F49" s="201"/>
      <c r="G49" s="529"/>
      <c r="H49" s="639"/>
      <c r="I49" s="363" t="str">
        <f t="shared" si="13"/>
        <v>-</v>
      </c>
      <c r="J49" s="363" t="str">
        <f t="shared" si="14"/>
        <v>-</v>
      </c>
      <c r="K49" s="199" t="str">
        <f t="shared" si="15"/>
        <v>-</v>
      </c>
      <c r="L49" s="659"/>
      <c r="M49" s="198" t="e">
        <f>RANK(K49, K$42:$K$71)</f>
        <v>#VALUE!</v>
      </c>
      <c r="N49" s="646"/>
      <c r="O49" s="646"/>
      <c r="P49" s="547"/>
      <c r="Q49" s="548"/>
      <c r="R49" s="548"/>
      <c r="S49" s="547"/>
      <c r="T49" s="639"/>
      <c r="U49" s="547"/>
      <c r="V49" s="548"/>
      <c r="W49" s="548"/>
      <c r="X49" s="547"/>
      <c r="Y49" s="639"/>
      <c r="Z49" s="547"/>
      <c r="AA49" s="548"/>
      <c r="AB49" s="548"/>
      <c r="AC49" s="547"/>
      <c r="AD49" s="639"/>
      <c r="AE49" s="547"/>
      <c r="AF49" s="548"/>
      <c r="AG49" s="548"/>
      <c r="AH49" s="547"/>
      <c r="AI49" s="639"/>
      <c r="AJ49" s="547"/>
      <c r="AK49" s="548"/>
      <c r="AL49" s="548"/>
      <c r="AM49" s="547"/>
      <c r="AN49" s="639"/>
      <c r="AO49" s="547"/>
      <c r="AP49" s="548"/>
      <c r="AQ49" s="548"/>
      <c r="AR49" s="547"/>
      <c r="AS49" s="639"/>
      <c r="AT49" s="547"/>
      <c r="AU49" s="548"/>
      <c r="AV49" s="548"/>
      <c r="AW49" s="547"/>
      <c r="AX49" s="639"/>
      <c r="AZ49" s="372" t="e">
        <f t="shared" si="11"/>
        <v>#N/A</v>
      </c>
      <c r="BA49" s="639"/>
    </row>
    <row r="50" spans="2:53">
      <c r="B50" s="685"/>
      <c r="C50" s="292">
        <v>9</v>
      </c>
      <c r="D50" s="201"/>
      <c r="E50" s="201"/>
      <c r="F50" s="201"/>
      <c r="G50" s="529"/>
      <c r="H50" s="639"/>
      <c r="I50" s="363" t="str">
        <f t="shared" si="13"/>
        <v>-</v>
      </c>
      <c r="J50" s="363" t="str">
        <f t="shared" si="14"/>
        <v>-</v>
      </c>
      <c r="K50" s="199" t="str">
        <f t="shared" si="15"/>
        <v>-</v>
      </c>
      <c r="L50" s="659"/>
      <c r="M50" s="198" t="e">
        <f>RANK(K50, K$42:$K$71)</f>
        <v>#VALUE!</v>
      </c>
      <c r="N50" s="646"/>
      <c r="O50" s="646"/>
      <c r="P50" s="547"/>
      <c r="Q50" s="548"/>
      <c r="R50" s="548"/>
      <c r="S50" s="547"/>
      <c r="T50" s="639"/>
      <c r="U50" s="547"/>
      <c r="V50" s="548"/>
      <c r="W50" s="548"/>
      <c r="X50" s="547"/>
      <c r="Y50" s="639"/>
      <c r="Z50" s="547"/>
      <c r="AA50" s="548"/>
      <c r="AB50" s="548"/>
      <c r="AC50" s="547"/>
      <c r="AD50" s="639"/>
      <c r="AE50" s="547"/>
      <c r="AF50" s="548"/>
      <c r="AG50" s="548"/>
      <c r="AH50" s="547"/>
      <c r="AI50" s="639"/>
      <c r="AJ50" s="547"/>
      <c r="AK50" s="548"/>
      <c r="AL50" s="548"/>
      <c r="AM50" s="547"/>
      <c r="AN50" s="639"/>
      <c r="AO50" s="547"/>
      <c r="AP50" s="548"/>
      <c r="AQ50" s="548"/>
      <c r="AR50" s="547"/>
      <c r="AS50" s="639"/>
      <c r="AT50" s="547"/>
      <c r="AU50" s="548"/>
      <c r="AV50" s="548"/>
      <c r="AW50" s="547"/>
      <c r="AX50" s="639"/>
      <c r="AZ50" s="372" t="e">
        <f t="shared" si="11"/>
        <v>#N/A</v>
      </c>
      <c r="BA50" s="639"/>
    </row>
    <row r="51" spans="2:53">
      <c r="B51" s="685"/>
      <c r="C51" s="292">
        <v>10</v>
      </c>
      <c r="D51" s="201"/>
      <c r="E51" s="201"/>
      <c r="F51" s="201"/>
      <c r="G51" s="529"/>
      <c r="H51" s="639"/>
      <c r="I51" s="363" t="str">
        <f t="shared" si="13"/>
        <v>-</v>
      </c>
      <c r="J51" s="363" t="str">
        <f t="shared" si="14"/>
        <v>-</v>
      </c>
      <c r="K51" s="199" t="str">
        <f t="shared" si="15"/>
        <v>-</v>
      </c>
      <c r="L51" s="659"/>
      <c r="M51" s="198" t="e">
        <f>RANK(K51, K$42:$K$71)</f>
        <v>#VALUE!</v>
      </c>
      <c r="N51" s="646"/>
      <c r="O51" s="646"/>
      <c r="P51" s="547"/>
      <c r="Q51" s="548"/>
      <c r="R51" s="548"/>
      <c r="S51" s="547"/>
      <c r="T51" s="639"/>
      <c r="U51" s="547"/>
      <c r="V51" s="548"/>
      <c r="W51" s="548"/>
      <c r="X51" s="547"/>
      <c r="Y51" s="639"/>
      <c r="Z51" s="547"/>
      <c r="AA51" s="548"/>
      <c r="AB51" s="548"/>
      <c r="AC51" s="547"/>
      <c r="AD51" s="639"/>
      <c r="AE51" s="547"/>
      <c r="AF51" s="548"/>
      <c r="AG51" s="548"/>
      <c r="AH51" s="547"/>
      <c r="AI51" s="639"/>
      <c r="AJ51" s="547"/>
      <c r="AK51" s="548"/>
      <c r="AL51" s="548"/>
      <c r="AM51" s="547"/>
      <c r="AN51" s="639"/>
      <c r="AO51" s="547"/>
      <c r="AP51" s="548"/>
      <c r="AQ51" s="548"/>
      <c r="AR51" s="547"/>
      <c r="AS51" s="639"/>
      <c r="AT51" s="547"/>
      <c r="AU51" s="548"/>
      <c r="AV51" s="548"/>
      <c r="AW51" s="547"/>
      <c r="AX51" s="639"/>
      <c r="AZ51" s="372" t="e">
        <f t="shared" si="11"/>
        <v>#N/A</v>
      </c>
      <c r="BA51" s="639"/>
    </row>
    <row r="52" spans="2:53">
      <c r="B52" s="685"/>
      <c r="C52" s="292">
        <v>11</v>
      </c>
      <c r="D52" s="201"/>
      <c r="E52" s="201"/>
      <c r="F52" s="201"/>
      <c r="G52" s="529"/>
      <c r="H52" s="639"/>
      <c r="I52" s="363" t="str">
        <f t="shared" si="13"/>
        <v>-</v>
      </c>
      <c r="J52" s="363" t="str">
        <f t="shared" si="14"/>
        <v>-</v>
      </c>
      <c r="K52" s="199" t="str">
        <f t="shared" si="15"/>
        <v>-</v>
      </c>
      <c r="L52" s="659"/>
      <c r="M52" s="198" t="e">
        <f>RANK(K52, K$42:$K$71)</f>
        <v>#VALUE!</v>
      </c>
      <c r="N52" s="646"/>
      <c r="O52" s="646"/>
      <c r="P52" s="547"/>
      <c r="Q52" s="548"/>
      <c r="R52" s="548"/>
      <c r="S52" s="547"/>
      <c r="T52" s="639"/>
      <c r="U52" s="547"/>
      <c r="V52" s="548"/>
      <c r="W52" s="548"/>
      <c r="X52" s="547"/>
      <c r="Y52" s="639"/>
      <c r="Z52" s="547"/>
      <c r="AA52" s="548"/>
      <c r="AB52" s="548"/>
      <c r="AC52" s="547"/>
      <c r="AD52" s="639"/>
      <c r="AE52" s="547"/>
      <c r="AF52" s="548"/>
      <c r="AG52" s="548"/>
      <c r="AH52" s="547"/>
      <c r="AI52" s="639"/>
      <c r="AJ52" s="547"/>
      <c r="AK52" s="548"/>
      <c r="AL52" s="548"/>
      <c r="AM52" s="547"/>
      <c r="AN52" s="639"/>
      <c r="AO52" s="547"/>
      <c r="AP52" s="548"/>
      <c r="AQ52" s="548"/>
      <c r="AR52" s="547"/>
      <c r="AS52" s="639"/>
      <c r="AT52" s="547"/>
      <c r="AU52" s="548"/>
      <c r="AV52" s="548"/>
      <c r="AW52" s="547"/>
      <c r="AX52" s="639"/>
      <c r="AZ52" s="372" t="e">
        <f t="shared" si="11"/>
        <v>#N/A</v>
      </c>
      <c r="BA52" s="639"/>
    </row>
    <row r="53" spans="2:53">
      <c r="B53" s="685"/>
      <c r="C53" s="292">
        <v>12</v>
      </c>
      <c r="D53" s="524"/>
      <c r="E53" s="201"/>
      <c r="F53" s="201"/>
      <c r="G53" s="529"/>
      <c r="H53" s="639"/>
      <c r="I53" s="363" t="str">
        <f t="shared" si="13"/>
        <v>-</v>
      </c>
      <c r="J53" s="363" t="str">
        <f t="shared" si="14"/>
        <v>-</v>
      </c>
      <c r="K53" s="199" t="str">
        <f t="shared" si="15"/>
        <v>-</v>
      </c>
      <c r="L53" s="659"/>
      <c r="M53" s="198" t="e">
        <f>RANK(K53, K$42:$K$71)</f>
        <v>#VALUE!</v>
      </c>
      <c r="N53" s="646"/>
      <c r="O53" s="646"/>
      <c r="P53" s="547"/>
      <c r="Q53" s="548"/>
      <c r="R53" s="548"/>
      <c r="S53" s="547"/>
      <c r="T53" s="639"/>
      <c r="U53" s="547"/>
      <c r="V53" s="548"/>
      <c r="W53" s="548"/>
      <c r="X53" s="547"/>
      <c r="Y53" s="639"/>
      <c r="Z53" s="547"/>
      <c r="AA53" s="548"/>
      <c r="AB53" s="548"/>
      <c r="AC53" s="547"/>
      <c r="AD53" s="639"/>
      <c r="AE53" s="547"/>
      <c r="AF53" s="548"/>
      <c r="AG53" s="548"/>
      <c r="AH53" s="547"/>
      <c r="AI53" s="639"/>
      <c r="AJ53" s="547"/>
      <c r="AK53" s="548"/>
      <c r="AL53" s="548"/>
      <c r="AM53" s="547"/>
      <c r="AN53" s="639"/>
      <c r="AO53" s="547"/>
      <c r="AP53" s="548"/>
      <c r="AQ53" s="548"/>
      <c r="AR53" s="547"/>
      <c r="AS53" s="639"/>
      <c r="AT53" s="547"/>
      <c r="AU53" s="548"/>
      <c r="AV53" s="548"/>
      <c r="AW53" s="547"/>
      <c r="AX53" s="639"/>
      <c r="AZ53" s="372" t="e">
        <f t="shared" si="11"/>
        <v>#N/A</v>
      </c>
      <c r="BA53" s="639"/>
    </row>
    <row r="54" spans="2:53">
      <c r="B54" s="685"/>
      <c r="C54" s="292">
        <v>13</v>
      </c>
      <c r="D54" s="201"/>
      <c r="E54" s="201"/>
      <c r="F54" s="201"/>
      <c r="G54" s="529"/>
      <c r="H54" s="639"/>
      <c r="I54" s="363" t="str">
        <f t="shared" si="13"/>
        <v>-</v>
      </c>
      <c r="J54" s="363" t="str">
        <f t="shared" si="14"/>
        <v>-</v>
      </c>
      <c r="K54" s="199" t="str">
        <f t="shared" si="15"/>
        <v>-</v>
      </c>
      <c r="L54" s="659"/>
      <c r="M54" s="198" t="e">
        <f>RANK(K54, K$42:$K$71)</f>
        <v>#VALUE!</v>
      </c>
      <c r="N54" s="646"/>
      <c r="O54" s="646"/>
      <c r="P54" s="547"/>
      <c r="Q54" s="548"/>
      <c r="R54" s="548"/>
      <c r="S54" s="547"/>
      <c r="T54" s="639"/>
      <c r="U54" s="547"/>
      <c r="V54" s="548"/>
      <c r="W54" s="548"/>
      <c r="X54" s="547"/>
      <c r="Y54" s="639"/>
      <c r="Z54" s="547"/>
      <c r="AA54" s="548"/>
      <c r="AB54" s="548"/>
      <c r="AC54" s="547"/>
      <c r="AD54" s="639"/>
      <c r="AE54" s="547"/>
      <c r="AF54" s="548"/>
      <c r="AG54" s="548"/>
      <c r="AH54" s="547"/>
      <c r="AI54" s="639"/>
      <c r="AJ54" s="547"/>
      <c r="AK54" s="548"/>
      <c r="AL54" s="548"/>
      <c r="AM54" s="547"/>
      <c r="AN54" s="639"/>
      <c r="AO54" s="547"/>
      <c r="AP54" s="548"/>
      <c r="AQ54" s="548"/>
      <c r="AR54" s="547"/>
      <c r="AS54" s="639"/>
      <c r="AT54" s="547"/>
      <c r="AU54" s="548"/>
      <c r="AV54" s="548"/>
      <c r="AW54" s="547"/>
      <c r="AX54" s="639"/>
      <c r="AZ54" s="372" t="e">
        <f t="shared" si="11"/>
        <v>#N/A</v>
      </c>
      <c r="BA54" s="639"/>
    </row>
    <row r="55" spans="2:53">
      <c r="B55" s="685"/>
      <c r="C55" s="292">
        <v>14</v>
      </c>
      <c r="D55" s="201"/>
      <c r="E55" s="201"/>
      <c r="F55" s="201"/>
      <c r="G55" s="529"/>
      <c r="H55" s="639"/>
      <c r="I55" s="363" t="str">
        <f t="shared" si="13"/>
        <v>-</v>
      </c>
      <c r="J55" s="363" t="str">
        <f t="shared" si="14"/>
        <v>-</v>
      </c>
      <c r="K55" s="199" t="str">
        <f t="shared" si="15"/>
        <v>-</v>
      </c>
      <c r="L55" s="659"/>
      <c r="M55" s="198" t="e">
        <f>RANK(K55, K$42:$K$71)</f>
        <v>#VALUE!</v>
      </c>
      <c r="N55" s="646"/>
      <c r="O55" s="646"/>
      <c r="P55" s="547"/>
      <c r="Q55" s="548"/>
      <c r="R55" s="548"/>
      <c r="S55" s="547"/>
      <c r="T55" s="639"/>
      <c r="U55" s="547"/>
      <c r="V55" s="548"/>
      <c r="W55" s="548"/>
      <c r="X55" s="547"/>
      <c r="Y55" s="639"/>
      <c r="Z55" s="547"/>
      <c r="AA55" s="548"/>
      <c r="AB55" s="548"/>
      <c r="AC55" s="547"/>
      <c r="AD55" s="639"/>
      <c r="AE55" s="547"/>
      <c r="AF55" s="548"/>
      <c r="AG55" s="548"/>
      <c r="AH55" s="547"/>
      <c r="AI55" s="639"/>
      <c r="AJ55" s="547"/>
      <c r="AK55" s="548"/>
      <c r="AL55" s="548"/>
      <c r="AM55" s="547"/>
      <c r="AN55" s="639"/>
      <c r="AO55" s="547"/>
      <c r="AP55" s="548"/>
      <c r="AQ55" s="548"/>
      <c r="AR55" s="547"/>
      <c r="AS55" s="639"/>
      <c r="AT55" s="547"/>
      <c r="AU55" s="548"/>
      <c r="AV55" s="548"/>
      <c r="AW55" s="547"/>
      <c r="AX55" s="639"/>
      <c r="AZ55" s="372" t="e">
        <f t="shared" si="11"/>
        <v>#N/A</v>
      </c>
      <c r="BA55" s="639"/>
    </row>
    <row r="56" spans="2:53">
      <c r="B56" s="685"/>
      <c r="C56" s="292">
        <v>15</v>
      </c>
      <c r="D56" s="524"/>
      <c r="E56" s="201"/>
      <c r="F56" s="201"/>
      <c r="G56" s="529"/>
      <c r="H56" s="639"/>
      <c r="I56" s="363" t="str">
        <f t="shared" si="13"/>
        <v>-</v>
      </c>
      <c r="J56" s="363" t="str">
        <f t="shared" si="14"/>
        <v>-</v>
      </c>
      <c r="K56" s="199" t="str">
        <f t="shared" si="15"/>
        <v>-</v>
      </c>
      <c r="L56" s="659"/>
      <c r="M56" s="198" t="e">
        <f>RANK(K56, K$42:$K$71)</f>
        <v>#VALUE!</v>
      </c>
      <c r="N56" s="646"/>
      <c r="O56" s="646"/>
      <c r="P56" s="547"/>
      <c r="Q56" s="548"/>
      <c r="R56" s="548"/>
      <c r="S56" s="547"/>
      <c r="T56" s="639"/>
      <c r="U56" s="547"/>
      <c r="V56" s="548"/>
      <c r="W56" s="548"/>
      <c r="X56" s="547"/>
      <c r="Y56" s="639"/>
      <c r="Z56" s="547"/>
      <c r="AA56" s="548"/>
      <c r="AB56" s="548"/>
      <c r="AC56" s="547"/>
      <c r="AD56" s="639"/>
      <c r="AE56" s="547"/>
      <c r="AF56" s="548"/>
      <c r="AG56" s="548"/>
      <c r="AH56" s="547"/>
      <c r="AI56" s="639"/>
      <c r="AJ56" s="547"/>
      <c r="AK56" s="548"/>
      <c r="AL56" s="548"/>
      <c r="AM56" s="547"/>
      <c r="AN56" s="639"/>
      <c r="AO56" s="547"/>
      <c r="AP56" s="548"/>
      <c r="AQ56" s="548"/>
      <c r="AR56" s="547"/>
      <c r="AS56" s="639"/>
      <c r="AT56" s="547"/>
      <c r="AU56" s="548"/>
      <c r="AV56" s="548"/>
      <c r="AW56" s="547"/>
      <c r="AX56" s="639"/>
      <c r="AZ56" s="372" t="e">
        <f t="shared" si="11"/>
        <v>#N/A</v>
      </c>
      <c r="BA56" s="639"/>
    </row>
    <row r="57" spans="2:53">
      <c r="B57" s="685"/>
      <c r="C57" s="292">
        <v>16</v>
      </c>
      <c r="D57" s="201"/>
      <c r="E57" s="201"/>
      <c r="F57" s="201"/>
      <c r="G57" s="529"/>
      <c r="H57" s="639"/>
      <c r="I57" s="363" t="str">
        <f t="shared" si="13"/>
        <v>-</v>
      </c>
      <c r="J57" s="363" t="str">
        <f t="shared" si="14"/>
        <v>-</v>
      </c>
      <c r="K57" s="199" t="str">
        <f t="shared" si="15"/>
        <v>-</v>
      </c>
      <c r="L57" s="659"/>
      <c r="M57" s="198" t="e">
        <f>RANK(K57, K$42:$K$71)</f>
        <v>#VALUE!</v>
      </c>
      <c r="N57" s="646"/>
      <c r="O57" s="646"/>
      <c r="P57" s="547"/>
      <c r="Q57" s="548"/>
      <c r="R57" s="548"/>
      <c r="S57" s="547"/>
      <c r="T57" s="639"/>
      <c r="U57" s="547"/>
      <c r="V57" s="548"/>
      <c r="W57" s="548"/>
      <c r="X57" s="547"/>
      <c r="Y57" s="639"/>
      <c r="Z57" s="547"/>
      <c r="AA57" s="548"/>
      <c r="AB57" s="548"/>
      <c r="AC57" s="547"/>
      <c r="AD57" s="639"/>
      <c r="AE57" s="547"/>
      <c r="AF57" s="548"/>
      <c r="AG57" s="548"/>
      <c r="AH57" s="547"/>
      <c r="AI57" s="639"/>
      <c r="AJ57" s="547"/>
      <c r="AK57" s="548"/>
      <c r="AL57" s="548"/>
      <c r="AM57" s="547"/>
      <c r="AN57" s="639"/>
      <c r="AO57" s="547"/>
      <c r="AP57" s="548"/>
      <c r="AQ57" s="548"/>
      <c r="AR57" s="547"/>
      <c r="AS57" s="639"/>
      <c r="AT57" s="547"/>
      <c r="AU57" s="548"/>
      <c r="AV57" s="548"/>
      <c r="AW57" s="547"/>
      <c r="AX57" s="639"/>
      <c r="AZ57" s="372" t="e">
        <f t="shared" si="11"/>
        <v>#N/A</v>
      </c>
      <c r="BA57" s="639"/>
    </row>
    <row r="58" spans="2:53">
      <c r="B58" s="685"/>
      <c r="C58" s="292">
        <v>17</v>
      </c>
      <c r="D58" s="201"/>
      <c r="E58" s="201"/>
      <c r="F58" s="201"/>
      <c r="G58" s="529"/>
      <c r="H58" s="639"/>
      <c r="I58" s="363" t="str">
        <f t="shared" si="13"/>
        <v>-</v>
      </c>
      <c r="J58" s="363" t="str">
        <f t="shared" si="14"/>
        <v>-</v>
      </c>
      <c r="K58" s="199" t="str">
        <f t="shared" si="15"/>
        <v>-</v>
      </c>
      <c r="L58" s="659"/>
      <c r="M58" s="198" t="e">
        <f>RANK(K58, K$42:$K$71)</f>
        <v>#VALUE!</v>
      </c>
      <c r="N58" s="646"/>
      <c r="O58" s="646"/>
      <c r="P58" s="547"/>
      <c r="Q58" s="548"/>
      <c r="R58" s="548"/>
      <c r="S58" s="547"/>
      <c r="T58" s="639"/>
      <c r="U58" s="547"/>
      <c r="V58" s="548"/>
      <c r="W58" s="548"/>
      <c r="X58" s="547"/>
      <c r="Y58" s="639"/>
      <c r="Z58" s="547"/>
      <c r="AA58" s="548"/>
      <c r="AB58" s="548"/>
      <c r="AC58" s="547"/>
      <c r="AD58" s="639"/>
      <c r="AE58" s="547"/>
      <c r="AF58" s="548"/>
      <c r="AG58" s="548"/>
      <c r="AH58" s="547"/>
      <c r="AI58" s="639"/>
      <c r="AJ58" s="547"/>
      <c r="AK58" s="548"/>
      <c r="AL58" s="548"/>
      <c r="AM58" s="547"/>
      <c r="AN58" s="639"/>
      <c r="AO58" s="547"/>
      <c r="AP58" s="548"/>
      <c r="AQ58" s="548"/>
      <c r="AR58" s="547"/>
      <c r="AS58" s="639"/>
      <c r="AT58" s="547"/>
      <c r="AU58" s="548"/>
      <c r="AV58" s="548"/>
      <c r="AW58" s="547"/>
      <c r="AX58" s="639"/>
      <c r="AZ58" s="372" t="e">
        <f t="shared" si="11"/>
        <v>#N/A</v>
      </c>
      <c r="BA58" s="639"/>
    </row>
    <row r="59" spans="2:53">
      <c r="B59" s="685"/>
      <c r="C59" s="292">
        <v>18</v>
      </c>
      <c r="D59" s="524"/>
      <c r="E59" s="201"/>
      <c r="F59" s="201"/>
      <c r="G59" s="529"/>
      <c r="H59" s="639"/>
      <c r="I59" s="363" t="str">
        <f t="shared" si="13"/>
        <v>-</v>
      </c>
      <c r="J59" s="363" t="str">
        <f t="shared" si="14"/>
        <v>-</v>
      </c>
      <c r="K59" s="199" t="str">
        <f t="shared" si="15"/>
        <v>-</v>
      </c>
      <c r="L59" s="659"/>
      <c r="M59" s="198" t="e">
        <f>RANK(K59, K$42:$K$71)</f>
        <v>#VALUE!</v>
      </c>
      <c r="N59" s="646"/>
      <c r="O59" s="646"/>
      <c r="P59" s="547"/>
      <c r="Q59" s="548"/>
      <c r="R59" s="548"/>
      <c r="S59" s="547"/>
      <c r="T59" s="639"/>
      <c r="U59" s="547"/>
      <c r="V59" s="548"/>
      <c r="W59" s="548"/>
      <c r="X59" s="547"/>
      <c r="Y59" s="639"/>
      <c r="Z59" s="547"/>
      <c r="AA59" s="548"/>
      <c r="AB59" s="548"/>
      <c r="AC59" s="547"/>
      <c r="AD59" s="639"/>
      <c r="AE59" s="547"/>
      <c r="AF59" s="548"/>
      <c r="AG59" s="548"/>
      <c r="AH59" s="547"/>
      <c r="AI59" s="639"/>
      <c r="AJ59" s="547"/>
      <c r="AK59" s="548"/>
      <c r="AL59" s="548"/>
      <c r="AM59" s="547"/>
      <c r="AN59" s="639"/>
      <c r="AO59" s="547"/>
      <c r="AP59" s="548"/>
      <c r="AQ59" s="548"/>
      <c r="AR59" s="547"/>
      <c r="AS59" s="639"/>
      <c r="AT59" s="547"/>
      <c r="AU59" s="548"/>
      <c r="AV59" s="548"/>
      <c r="AW59" s="547"/>
      <c r="AX59" s="639"/>
      <c r="AZ59" s="372" t="e">
        <f t="shared" si="11"/>
        <v>#N/A</v>
      </c>
      <c r="BA59" s="639"/>
    </row>
    <row r="60" spans="2:53">
      <c r="B60" s="685"/>
      <c r="C60" s="292">
        <v>19</v>
      </c>
      <c r="D60" s="524"/>
      <c r="E60" s="201"/>
      <c r="F60" s="201"/>
      <c r="G60" s="529"/>
      <c r="H60" s="639"/>
      <c r="I60" s="363" t="str">
        <f t="shared" si="13"/>
        <v>-</v>
      </c>
      <c r="J60" s="363" t="str">
        <f t="shared" si="14"/>
        <v>-</v>
      </c>
      <c r="K60" s="199" t="str">
        <f t="shared" si="15"/>
        <v>-</v>
      </c>
      <c r="L60" s="659"/>
      <c r="M60" s="198" t="e">
        <f>RANK(K60, K$42:$K$71)</f>
        <v>#VALUE!</v>
      </c>
      <c r="N60" s="646"/>
      <c r="O60" s="646"/>
      <c r="P60" s="547"/>
      <c r="Q60" s="548"/>
      <c r="R60" s="548"/>
      <c r="S60" s="547"/>
      <c r="T60" s="639"/>
      <c r="U60" s="547"/>
      <c r="V60" s="548"/>
      <c r="W60" s="548"/>
      <c r="X60" s="547"/>
      <c r="Y60" s="639"/>
      <c r="Z60" s="547"/>
      <c r="AA60" s="548"/>
      <c r="AB60" s="548"/>
      <c r="AC60" s="547"/>
      <c r="AD60" s="639"/>
      <c r="AE60" s="547"/>
      <c r="AF60" s="548"/>
      <c r="AG60" s="548"/>
      <c r="AH60" s="547"/>
      <c r="AI60" s="639"/>
      <c r="AJ60" s="547"/>
      <c r="AK60" s="548"/>
      <c r="AL60" s="548"/>
      <c r="AM60" s="547"/>
      <c r="AN60" s="639"/>
      <c r="AO60" s="547"/>
      <c r="AP60" s="548"/>
      <c r="AQ60" s="548"/>
      <c r="AR60" s="547"/>
      <c r="AS60" s="639"/>
      <c r="AT60" s="547"/>
      <c r="AU60" s="548"/>
      <c r="AV60" s="548"/>
      <c r="AW60" s="547"/>
      <c r="AX60" s="639"/>
      <c r="AZ60" s="372" t="e">
        <f t="shared" si="11"/>
        <v>#N/A</v>
      </c>
      <c r="BA60" s="639"/>
    </row>
    <row r="61" spans="2:53">
      <c r="B61" s="685"/>
      <c r="C61" s="292">
        <v>20</v>
      </c>
      <c r="D61" s="524"/>
      <c r="E61" s="201"/>
      <c r="F61" s="201"/>
      <c r="G61" s="529"/>
      <c r="H61" s="639"/>
      <c r="I61" s="363" t="str">
        <f t="shared" si="13"/>
        <v>-</v>
      </c>
      <c r="J61" s="363" t="str">
        <f t="shared" si="14"/>
        <v>-</v>
      </c>
      <c r="K61" s="199" t="str">
        <f t="shared" si="15"/>
        <v>-</v>
      </c>
      <c r="L61" s="659"/>
      <c r="M61" s="198" t="e">
        <f>RANK(K61, K$42:$K$71)</f>
        <v>#VALUE!</v>
      </c>
      <c r="N61" s="646"/>
      <c r="O61" s="646"/>
      <c r="P61" s="547"/>
      <c r="Q61" s="548"/>
      <c r="R61" s="548"/>
      <c r="S61" s="547"/>
      <c r="T61" s="639"/>
      <c r="U61" s="547"/>
      <c r="V61" s="548"/>
      <c r="W61" s="548"/>
      <c r="X61" s="547"/>
      <c r="Y61" s="639"/>
      <c r="Z61" s="547"/>
      <c r="AA61" s="548"/>
      <c r="AB61" s="548"/>
      <c r="AC61" s="547"/>
      <c r="AD61" s="639"/>
      <c r="AE61" s="547"/>
      <c r="AF61" s="548"/>
      <c r="AG61" s="548"/>
      <c r="AH61" s="547"/>
      <c r="AI61" s="639"/>
      <c r="AJ61" s="547"/>
      <c r="AK61" s="548"/>
      <c r="AL61" s="548"/>
      <c r="AM61" s="547"/>
      <c r="AN61" s="639"/>
      <c r="AO61" s="547"/>
      <c r="AP61" s="548"/>
      <c r="AQ61" s="548"/>
      <c r="AR61" s="547"/>
      <c r="AS61" s="639"/>
      <c r="AT61" s="547"/>
      <c r="AU61" s="548"/>
      <c r="AV61" s="548"/>
      <c r="AW61" s="547"/>
      <c r="AX61" s="639"/>
      <c r="AZ61" s="372" t="e">
        <f t="shared" si="11"/>
        <v>#N/A</v>
      </c>
      <c r="BA61" s="639"/>
    </row>
    <row r="62" spans="2:53">
      <c r="B62" s="685"/>
      <c r="C62" s="292">
        <v>21</v>
      </c>
      <c r="D62" s="524"/>
      <c r="E62" s="201"/>
      <c r="F62" s="201"/>
      <c r="G62" s="529"/>
      <c r="H62" s="639"/>
      <c r="I62" s="363" t="str">
        <f t="shared" si="13"/>
        <v>-</v>
      </c>
      <c r="J62" s="363" t="str">
        <f t="shared" si="14"/>
        <v>-</v>
      </c>
      <c r="K62" s="199" t="str">
        <f t="shared" si="15"/>
        <v>-</v>
      </c>
      <c r="L62" s="659"/>
      <c r="M62" s="198" t="e">
        <f>RANK(K62, K$42:$K$71)</f>
        <v>#VALUE!</v>
      </c>
      <c r="N62" s="646"/>
      <c r="O62" s="646"/>
      <c r="P62" s="547"/>
      <c r="Q62" s="548"/>
      <c r="R62" s="548"/>
      <c r="S62" s="547"/>
      <c r="T62" s="639"/>
      <c r="U62" s="547"/>
      <c r="V62" s="548"/>
      <c r="W62" s="548"/>
      <c r="X62" s="547"/>
      <c r="Y62" s="639"/>
      <c r="Z62" s="547"/>
      <c r="AA62" s="548"/>
      <c r="AB62" s="548"/>
      <c r="AC62" s="547"/>
      <c r="AD62" s="639"/>
      <c r="AE62" s="547"/>
      <c r="AF62" s="548"/>
      <c r="AG62" s="548"/>
      <c r="AH62" s="547"/>
      <c r="AI62" s="639"/>
      <c r="AJ62" s="547"/>
      <c r="AK62" s="548"/>
      <c r="AL62" s="548"/>
      <c r="AM62" s="547"/>
      <c r="AN62" s="639"/>
      <c r="AO62" s="547"/>
      <c r="AP62" s="548"/>
      <c r="AQ62" s="548"/>
      <c r="AR62" s="547"/>
      <c r="AS62" s="639"/>
      <c r="AT62" s="547"/>
      <c r="AU62" s="548"/>
      <c r="AV62" s="548"/>
      <c r="AW62" s="547"/>
      <c r="AX62" s="639"/>
      <c r="AZ62" s="372" t="e">
        <f t="shared" si="11"/>
        <v>#N/A</v>
      </c>
      <c r="BA62" s="639"/>
    </row>
    <row r="63" spans="2:53">
      <c r="B63" s="685"/>
      <c r="C63" s="292">
        <v>22</v>
      </c>
      <c r="D63" s="524"/>
      <c r="E63" s="201"/>
      <c r="F63" s="201"/>
      <c r="G63" s="529"/>
      <c r="H63" s="639"/>
      <c r="I63" s="363" t="str">
        <f t="shared" si="13"/>
        <v>-</v>
      </c>
      <c r="J63" s="363" t="str">
        <f t="shared" si="14"/>
        <v>-</v>
      </c>
      <c r="K63" s="199" t="str">
        <f t="shared" si="15"/>
        <v>-</v>
      </c>
      <c r="L63" s="659"/>
      <c r="M63" s="198" t="e">
        <f>RANK(K63, K$42:$K$71)</f>
        <v>#VALUE!</v>
      </c>
      <c r="N63" s="646"/>
      <c r="O63" s="646"/>
      <c r="P63" s="547"/>
      <c r="Q63" s="548"/>
      <c r="R63" s="548"/>
      <c r="S63" s="547"/>
      <c r="T63" s="639"/>
      <c r="U63" s="547"/>
      <c r="V63" s="548"/>
      <c r="W63" s="548"/>
      <c r="X63" s="547"/>
      <c r="Y63" s="639"/>
      <c r="Z63" s="547"/>
      <c r="AA63" s="548"/>
      <c r="AB63" s="548"/>
      <c r="AC63" s="547"/>
      <c r="AD63" s="639"/>
      <c r="AE63" s="547"/>
      <c r="AF63" s="548"/>
      <c r="AG63" s="548"/>
      <c r="AH63" s="547"/>
      <c r="AI63" s="639"/>
      <c r="AJ63" s="547"/>
      <c r="AK63" s="548"/>
      <c r="AL63" s="548"/>
      <c r="AM63" s="547"/>
      <c r="AN63" s="639"/>
      <c r="AO63" s="547"/>
      <c r="AP63" s="548"/>
      <c r="AQ63" s="548"/>
      <c r="AR63" s="547"/>
      <c r="AS63" s="639"/>
      <c r="AT63" s="547"/>
      <c r="AU63" s="548"/>
      <c r="AV63" s="548"/>
      <c r="AW63" s="547"/>
      <c r="AX63" s="639"/>
      <c r="AZ63" s="372" t="e">
        <f t="shared" si="11"/>
        <v>#N/A</v>
      </c>
      <c r="BA63" s="639"/>
    </row>
    <row r="64" spans="2:53">
      <c r="B64" s="685"/>
      <c r="C64" s="292">
        <v>23</v>
      </c>
      <c r="D64" s="201"/>
      <c r="E64" s="201"/>
      <c r="F64" s="201"/>
      <c r="G64" s="529"/>
      <c r="H64" s="639"/>
      <c r="I64" s="363" t="str">
        <f t="shared" si="13"/>
        <v>-</v>
      </c>
      <c r="J64" s="363" t="str">
        <f t="shared" si="14"/>
        <v>-</v>
      </c>
      <c r="K64" s="199" t="str">
        <f t="shared" si="15"/>
        <v>-</v>
      </c>
      <c r="L64" s="659"/>
      <c r="M64" s="198" t="e">
        <f>RANK(K64, K$42:$K$71)</f>
        <v>#VALUE!</v>
      </c>
      <c r="N64" s="646"/>
      <c r="O64" s="646"/>
      <c r="P64" s="547"/>
      <c r="Q64" s="548"/>
      <c r="R64" s="548"/>
      <c r="S64" s="547"/>
      <c r="T64" s="639"/>
      <c r="U64" s="547"/>
      <c r="V64" s="548"/>
      <c r="W64" s="548"/>
      <c r="X64" s="547"/>
      <c r="Y64" s="639"/>
      <c r="Z64" s="547"/>
      <c r="AA64" s="548"/>
      <c r="AB64" s="548"/>
      <c r="AC64" s="547"/>
      <c r="AD64" s="639"/>
      <c r="AE64" s="547"/>
      <c r="AF64" s="548"/>
      <c r="AG64" s="548"/>
      <c r="AH64" s="547"/>
      <c r="AI64" s="639"/>
      <c r="AJ64" s="547"/>
      <c r="AK64" s="548"/>
      <c r="AL64" s="548"/>
      <c r="AM64" s="547"/>
      <c r="AN64" s="639"/>
      <c r="AO64" s="547"/>
      <c r="AP64" s="548"/>
      <c r="AQ64" s="548"/>
      <c r="AR64" s="547"/>
      <c r="AS64" s="639"/>
      <c r="AT64" s="547"/>
      <c r="AU64" s="548"/>
      <c r="AV64" s="548"/>
      <c r="AW64" s="547"/>
      <c r="AX64" s="639"/>
      <c r="AZ64" s="372" t="e">
        <f t="shared" si="11"/>
        <v>#N/A</v>
      </c>
      <c r="BA64" s="639"/>
    </row>
    <row r="65" spans="2:53">
      <c r="B65" s="685"/>
      <c r="C65" s="292">
        <v>24</v>
      </c>
      <c r="D65" s="524"/>
      <c r="E65" s="201"/>
      <c r="F65" s="201"/>
      <c r="G65" s="529"/>
      <c r="H65" s="639"/>
      <c r="I65" s="363" t="str">
        <f t="shared" si="13"/>
        <v>-</v>
      </c>
      <c r="J65" s="363" t="str">
        <f t="shared" si="14"/>
        <v>-</v>
      </c>
      <c r="K65" s="199" t="str">
        <f t="shared" si="15"/>
        <v>-</v>
      </c>
      <c r="L65" s="659"/>
      <c r="M65" s="198" t="e">
        <f>RANK(K65, K$42:$K$71)</f>
        <v>#VALUE!</v>
      </c>
      <c r="N65" s="646"/>
      <c r="O65" s="646"/>
      <c r="P65" s="547"/>
      <c r="Q65" s="548"/>
      <c r="R65" s="548"/>
      <c r="S65" s="547"/>
      <c r="T65" s="639"/>
      <c r="U65" s="547"/>
      <c r="V65" s="548"/>
      <c r="W65" s="548"/>
      <c r="X65" s="547"/>
      <c r="Y65" s="639"/>
      <c r="Z65" s="547"/>
      <c r="AA65" s="548"/>
      <c r="AB65" s="548"/>
      <c r="AC65" s="547"/>
      <c r="AD65" s="639"/>
      <c r="AE65" s="547"/>
      <c r="AF65" s="548"/>
      <c r="AG65" s="548"/>
      <c r="AH65" s="547"/>
      <c r="AI65" s="639"/>
      <c r="AJ65" s="547"/>
      <c r="AK65" s="548"/>
      <c r="AL65" s="548"/>
      <c r="AM65" s="547"/>
      <c r="AN65" s="639"/>
      <c r="AO65" s="547"/>
      <c r="AP65" s="548"/>
      <c r="AQ65" s="548"/>
      <c r="AR65" s="547"/>
      <c r="AS65" s="639"/>
      <c r="AT65" s="547"/>
      <c r="AU65" s="548"/>
      <c r="AV65" s="548"/>
      <c r="AW65" s="547"/>
      <c r="AX65" s="639"/>
      <c r="AZ65" s="372" t="e">
        <f t="shared" si="11"/>
        <v>#N/A</v>
      </c>
      <c r="BA65" s="639"/>
    </row>
    <row r="66" spans="2:53">
      <c r="B66" s="685"/>
      <c r="C66" s="292">
        <v>25</v>
      </c>
      <c r="D66" s="201"/>
      <c r="E66" s="201"/>
      <c r="F66" s="201"/>
      <c r="G66" s="529"/>
      <c r="H66" s="639"/>
      <c r="I66" s="363" t="str">
        <f t="shared" si="13"/>
        <v>-</v>
      </c>
      <c r="J66" s="363" t="str">
        <f t="shared" si="14"/>
        <v>-</v>
      </c>
      <c r="K66" s="199" t="str">
        <f t="shared" si="15"/>
        <v>-</v>
      </c>
      <c r="L66" s="659"/>
      <c r="M66" s="198" t="e">
        <f>RANK(K66, K$42:$K$71)</f>
        <v>#VALUE!</v>
      </c>
      <c r="N66" s="646"/>
      <c r="O66" s="646"/>
      <c r="P66" s="547"/>
      <c r="Q66" s="548"/>
      <c r="R66" s="548"/>
      <c r="S66" s="547"/>
      <c r="T66" s="639"/>
      <c r="U66" s="547"/>
      <c r="V66" s="548"/>
      <c r="W66" s="548"/>
      <c r="X66" s="547"/>
      <c r="Y66" s="639"/>
      <c r="Z66" s="547"/>
      <c r="AA66" s="548"/>
      <c r="AB66" s="548"/>
      <c r="AC66" s="547"/>
      <c r="AD66" s="639"/>
      <c r="AE66" s="547"/>
      <c r="AF66" s="548"/>
      <c r="AG66" s="548"/>
      <c r="AH66" s="547"/>
      <c r="AI66" s="639"/>
      <c r="AJ66" s="547"/>
      <c r="AK66" s="548"/>
      <c r="AL66" s="548"/>
      <c r="AM66" s="547"/>
      <c r="AN66" s="639"/>
      <c r="AO66" s="547"/>
      <c r="AP66" s="548"/>
      <c r="AQ66" s="548"/>
      <c r="AR66" s="547"/>
      <c r="AS66" s="639"/>
      <c r="AT66" s="547"/>
      <c r="AU66" s="548"/>
      <c r="AV66" s="548"/>
      <c r="AW66" s="547"/>
      <c r="AX66" s="639"/>
      <c r="AZ66" s="372" t="e">
        <f t="shared" si="11"/>
        <v>#N/A</v>
      </c>
      <c r="BA66" s="639"/>
    </row>
    <row r="67" spans="2:53">
      <c r="B67" s="685"/>
      <c r="C67" s="292">
        <v>26</v>
      </c>
      <c r="D67" s="201"/>
      <c r="E67" s="201"/>
      <c r="F67" s="201"/>
      <c r="G67" s="529"/>
      <c r="H67" s="639"/>
      <c r="I67" s="363" t="str">
        <f t="shared" si="13"/>
        <v>-</v>
      </c>
      <c r="J67" s="363" t="str">
        <f t="shared" si="14"/>
        <v>-</v>
      </c>
      <c r="K67" s="199" t="str">
        <f t="shared" si="15"/>
        <v>-</v>
      </c>
      <c r="L67" s="659"/>
      <c r="M67" s="198" t="e">
        <f>RANK(K67, K$42:$K$71)</f>
        <v>#VALUE!</v>
      </c>
      <c r="N67" s="646"/>
      <c r="O67" s="646"/>
      <c r="P67" s="547"/>
      <c r="Q67" s="548"/>
      <c r="R67" s="548"/>
      <c r="S67" s="547"/>
      <c r="T67" s="639"/>
      <c r="U67" s="547"/>
      <c r="V67" s="548"/>
      <c r="W67" s="548"/>
      <c r="X67" s="547"/>
      <c r="Y67" s="639"/>
      <c r="Z67" s="547"/>
      <c r="AA67" s="548"/>
      <c r="AB67" s="548"/>
      <c r="AC67" s="547"/>
      <c r="AD67" s="639"/>
      <c r="AE67" s="547"/>
      <c r="AF67" s="548"/>
      <c r="AG67" s="548"/>
      <c r="AH67" s="547"/>
      <c r="AI67" s="639"/>
      <c r="AJ67" s="547"/>
      <c r="AK67" s="548"/>
      <c r="AL67" s="548"/>
      <c r="AM67" s="547"/>
      <c r="AN67" s="639"/>
      <c r="AO67" s="547"/>
      <c r="AP67" s="548"/>
      <c r="AQ67" s="548"/>
      <c r="AR67" s="547"/>
      <c r="AS67" s="639"/>
      <c r="AT67" s="547"/>
      <c r="AU67" s="548"/>
      <c r="AV67" s="548"/>
      <c r="AW67" s="547"/>
      <c r="AX67" s="639"/>
      <c r="AZ67" s="372" t="e">
        <f t="shared" si="11"/>
        <v>#N/A</v>
      </c>
      <c r="BA67" s="639"/>
    </row>
    <row r="68" spans="2:53">
      <c r="B68" s="685"/>
      <c r="C68" s="292">
        <v>27</v>
      </c>
      <c r="D68" s="201"/>
      <c r="E68" s="201"/>
      <c r="F68" s="201"/>
      <c r="G68" s="529"/>
      <c r="H68" s="639"/>
      <c r="I68" s="363" t="str">
        <f t="shared" si="13"/>
        <v>-</v>
      </c>
      <c r="J68" s="363" t="str">
        <f t="shared" si="14"/>
        <v>-</v>
      </c>
      <c r="K68" s="199" t="str">
        <f t="shared" si="15"/>
        <v>-</v>
      </c>
      <c r="L68" s="659"/>
      <c r="M68" s="198" t="e">
        <f>RANK(K68, K$42:$K$71)</f>
        <v>#VALUE!</v>
      </c>
      <c r="N68" s="646"/>
      <c r="O68" s="646"/>
      <c r="P68" s="547"/>
      <c r="Q68" s="548"/>
      <c r="R68" s="548"/>
      <c r="S68" s="547"/>
      <c r="T68" s="639"/>
      <c r="U68" s="547"/>
      <c r="V68" s="548"/>
      <c r="W68" s="548"/>
      <c r="X68" s="547"/>
      <c r="Y68" s="639"/>
      <c r="Z68" s="547"/>
      <c r="AA68" s="548"/>
      <c r="AB68" s="548"/>
      <c r="AC68" s="547"/>
      <c r="AD68" s="639"/>
      <c r="AE68" s="547"/>
      <c r="AF68" s="548"/>
      <c r="AG68" s="548"/>
      <c r="AH68" s="547"/>
      <c r="AI68" s="639"/>
      <c r="AJ68" s="547"/>
      <c r="AK68" s="548"/>
      <c r="AL68" s="548"/>
      <c r="AM68" s="547"/>
      <c r="AN68" s="639"/>
      <c r="AO68" s="547"/>
      <c r="AP68" s="548"/>
      <c r="AQ68" s="548"/>
      <c r="AR68" s="547"/>
      <c r="AS68" s="639"/>
      <c r="AT68" s="547"/>
      <c r="AU68" s="548"/>
      <c r="AV68" s="548"/>
      <c r="AW68" s="547"/>
      <c r="AX68" s="639"/>
      <c r="AZ68" s="372" t="e">
        <f t="shared" si="11"/>
        <v>#N/A</v>
      </c>
      <c r="BA68" s="639"/>
    </row>
    <row r="69" spans="2:53">
      <c r="B69" s="685"/>
      <c r="C69" s="292">
        <v>28</v>
      </c>
      <c r="D69" s="201"/>
      <c r="E69" s="201"/>
      <c r="F69" s="201"/>
      <c r="G69" s="201"/>
      <c r="H69" s="639"/>
      <c r="I69" s="363" t="str">
        <f t="shared" si="13"/>
        <v>-</v>
      </c>
      <c r="J69" s="363" t="str">
        <f t="shared" si="14"/>
        <v>-</v>
      </c>
      <c r="K69" s="199" t="str">
        <f t="shared" si="15"/>
        <v>-</v>
      </c>
      <c r="L69" s="659"/>
      <c r="M69" s="198" t="e">
        <f>RANK(K69, K$42:$K$71)</f>
        <v>#VALUE!</v>
      </c>
      <c r="N69" s="646"/>
      <c r="O69" s="646"/>
      <c r="P69" s="547"/>
      <c r="Q69" s="548"/>
      <c r="R69" s="548"/>
      <c r="S69" s="547"/>
      <c r="T69" s="639"/>
      <c r="U69" s="547"/>
      <c r="V69" s="548"/>
      <c r="W69" s="548"/>
      <c r="X69" s="547"/>
      <c r="Y69" s="639"/>
      <c r="Z69" s="547"/>
      <c r="AA69" s="548"/>
      <c r="AB69" s="548"/>
      <c r="AC69" s="547"/>
      <c r="AD69" s="639"/>
      <c r="AE69" s="547"/>
      <c r="AF69" s="548"/>
      <c r="AG69" s="548"/>
      <c r="AH69" s="547"/>
      <c r="AI69" s="639"/>
      <c r="AJ69" s="547"/>
      <c r="AK69" s="548"/>
      <c r="AL69" s="548"/>
      <c r="AM69" s="547"/>
      <c r="AN69" s="639"/>
      <c r="AO69" s="547"/>
      <c r="AP69" s="548"/>
      <c r="AQ69" s="548"/>
      <c r="AR69" s="547"/>
      <c r="AS69" s="639"/>
      <c r="AT69" s="547"/>
      <c r="AU69" s="548"/>
      <c r="AV69" s="548"/>
      <c r="AW69" s="547"/>
      <c r="AX69" s="639"/>
      <c r="AZ69" s="372" t="e">
        <f t="shared" si="11"/>
        <v>#N/A</v>
      </c>
      <c r="BA69" s="639"/>
    </row>
    <row r="70" spans="2:53">
      <c r="B70" s="685"/>
      <c r="C70" s="292">
        <v>29</v>
      </c>
      <c r="D70" s="201"/>
      <c r="E70" s="201"/>
      <c r="F70" s="201"/>
      <c r="G70" s="201"/>
      <c r="H70" s="639"/>
      <c r="I70" s="363" t="str">
        <f t="shared" si="13"/>
        <v>-</v>
      </c>
      <c r="J70" s="363" t="str">
        <f t="shared" si="14"/>
        <v>-</v>
      </c>
      <c r="K70" s="199" t="str">
        <f t="shared" si="15"/>
        <v>-</v>
      </c>
      <c r="L70" s="659"/>
      <c r="M70" s="198" t="e">
        <f>RANK(K70, K$42:$K$71)</f>
        <v>#VALUE!</v>
      </c>
      <c r="N70" s="646"/>
      <c r="O70" s="646"/>
      <c r="P70" s="547"/>
      <c r="Q70" s="548"/>
      <c r="R70" s="548"/>
      <c r="S70" s="547"/>
      <c r="T70" s="639"/>
      <c r="U70" s="547"/>
      <c r="V70" s="548"/>
      <c r="W70" s="548"/>
      <c r="X70" s="547"/>
      <c r="Y70" s="639"/>
      <c r="Z70" s="547"/>
      <c r="AA70" s="548"/>
      <c r="AB70" s="548"/>
      <c r="AC70" s="547"/>
      <c r="AD70" s="639"/>
      <c r="AE70" s="547"/>
      <c r="AF70" s="548"/>
      <c r="AG70" s="548"/>
      <c r="AH70" s="547"/>
      <c r="AI70" s="639"/>
      <c r="AJ70" s="547"/>
      <c r="AK70" s="548"/>
      <c r="AL70" s="548"/>
      <c r="AM70" s="547"/>
      <c r="AN70" s="639"/>
      <c r="AO70" s="547"/>
      <c r="AP70" s="548"/>
      <c r="AQ70" s="548"/>
      <c r="AR70" s="547"/>
      <c r="AS70" s="639"/>
      <c r="AT70" s="547"/>
      <c r="AU70" s="548"/>
      <c r="AV70" s="548"/>
      <c r="AW70" s="547"/>
      <c r="AX70" s="639"/>
      <c r="AZ70" s="372" t="e">
        <f t="shared" si="11"/>
        <v>#N/A</v>
      </c>
      <c r="BA70" s="639"/>
    </row>
    <row r="71" spans="2:53">
      <c r="B71" s="686"/>
      <c r="C71" s="292">
        <v>30</v>
      </c>
      <c r="D71" s="201"/>
      <c r="E71" s="201"/>
      <c r="F71" s="201"/>
      <c r="G71" s="201"/>
      <c r="H71" s="640"/>
      <c r="I71" s="363" t="str">
        <f t="shared" si="13"/>
        <v>-</v>
      </c>
      <c r="J71" s="363" t="str">
        <f t="shared" si="14"/>
        <v>-</v>
      </c>
      <c r="K71" s="199" t="str">
        <f t="shared" si="15"/>
        <v>-</v>
      </c>
      <c r="L71" s="660"/>
      <c r="M71" s="198" t="e">
        <f>RANK(K71, K$42:$K$71)</f>
        <v>#VALUE!</v>
      </c>
      <c r="N71" s="647"/>
      <c r="O71" s="647"/>
      <c r="P71" s="547"/>
      <c r="Q71" s="548"/>
      <c r="R71" s="548"/>
      <c r="S71" s="547"/>
      <c r="T71" s="640"/>
      <c r="U71" s="547"/>
      <c r="V71" s="548"/>
      <c r="W71" s="548"/>
      <c r="X71" s="547"/>
      <c r="Y71" s="640"/>
      <c r="Z71" s="547"/>
      <c r="AA71" s="548"/>
      <c r="AB71" s="548"/>
      <c r="AC71" s="547"/>
      <c r="AD71" s="640"/>
      <c r="AE71" s="547"/>
      <c r="AF71" s="548"/>
      <c r="AG71" s="548"/>
      <c r="AH71" s="547"/>
      <c r="AI71" s="640"/>
      <c r="AJ71" s="547"/>
      <c r="AK71" s="548"/>
      <c r="AL71" s="548"/>
      <c r="AM71" s="547"/>
      <c r="AN71" s="640"/>
      <c r="AO71" s="547"/>
      <c r="AP71" s="548"/>
      <c r="AQ71" s="548"/>
      <c r="AR71" s="547"/>
      <c r="AS71" s="640"/>
      <c r="AT71" s="547"/>
      <c r="AU71" s="548"/>
      <c r="AV71" s="548"/>
      <c r="AW71" s="547"/>
      <c r="AX71" s="640"/>
      <c r="AZ71" s="372" t="e">
        <f t="shared" si="11"/>
        <v>#N/A</v>
      </c>
      <c r="BA71" s="640"/>
    </row>
    <row r="72" spans="2:53" ht="15.75">
      <c r="B72" s="682" t="s">
        <v>162</v>
      </c>
      <c r="C72" s="683"/>
      <c r="D72" s="683"/>
      <c r="E72" s="683"/>
      <c r="F72" s="683"/>
      <c r="G72" s="683"/>
      <c r="H72" s="683"/>
      <c r="I72" s="207"/>
      <c r="J72" s="202"/>
      <c r="K72" s="207"/>
      <c r="L72" s="207"/>
      <c r="M72" s="203"/>
      <c r="N72" s="645" t="s">
        <v>156</v>
      </c>
      <c r="O72" s="645" t="s">
        <v>155</v>
      </c>
      <c r="P72" s="670">
        <f>P37+7</f>
        <v>46280</v>
      </c>
      <c r="Q72" s="649"/>
      <c r="R72" s="649"/>
      <c r="S72" s="649"/>
      <c r="T72" s="649"/>
      <c r="U72" s="667">
        <f>P72+1</f>
        <v>46281</v>
      </c>
      <c r="V72" s="668"/>
      <c r="W72" s="668"/>
      <c r="X72" s="668"/>
      <c r="Y72" s="669"/>
      <c r="Z72" s="667">
        <f>U72+1</f>
        <v>46282</v>
      </c>
      <c r="AA72" s="668"/>
      <c r="AB72" s="668"/>
      <c r="AC72" s="668"/>
      <c r="AD72" s="669"/>
      <c r="AE72" s="667">
        <f>Z72+1</f>
        <v>46283</v>
      </c>
      <c r="AF72" s="668"/>
      <c r="AG72" s="668"/>
      <c r="AH72" s="668"/>
      <c r="AI72" s="669"/>
      <c r="AJ72" s="667">
        <f>AE72+1</f>
        <v>46284</v>
      </c>
      <c r="AK72" s="668"/>
      <c r="AL72" s="668"/>
      <c r="AM72" s="668"/>
      <c r="AN72" s="669"/>
      <c r="AO72" s="667">
        <f>AJ72+1</f>
        <v>46285</v>
      </c>
      <c r="AP72" s="668"/>
      <c r="AQ72" s="668"/>
      <c r="AR72" s="668"/>
      <c r="AS72" s="669"/>
      <c r="AT72" s="667">
        <f>AO72+1</f>
        <v>46286</v>
      </c>
      <c r="AU72" s="668"/>
      <c r="AV72" s="668"/>
      <c r="AW72" s="668"/>
      <c r="AX72" s="669"/>
    </row>
    <row r="73" spans="2:53" ht="15.75">
      <c r="B73" s="674"/>
      <c r="C73" s="674"/>
      <c r="D73" s="674"/>
      <c r="E73" s="674"/>
      <c r="F73" s="674"/>
      <c r="G73" s="674"/>
      <c r="H73" s="674"/>
      <c r="I73" s="204"/>
      <c r="J73" s="204"/>
      <c r="K73" s="204"/>
      <c r="L73" s="204"/>
      <c r="M73" s="205"/>
      <c r="N73" s="647"/>
      <c r="O73" s="647"/>
      <c r="P73" s="670" t="s">
        <v>317</v>
      </c>
      <c r="Q73" s="649"/>
      <c r="R73" s="649"/>
      <c r="S73" s="649"/>
      <c r="T73" s="649"/>
      <c r="U73" s="670" t="s">
        <v>318</v>
      </c>
      <c r="V73" s="649"/>
      <c r="W73" s="649"/>
      <c r="X73" s="649"/>
      <c r="Y73" s="649"/>
      <c r="Z73" s="670" t="s">
        <v>319</v>
      </c>
      <c r="AA73" s="649"/>
      <c r="AB73" s="649"/>
      <c r="AC73" s="649"/>
      <c r="AD73" s="649"/>
      <c r="AE73" s="670" t="s">
        <v>320</v>
      </c>
      <c r="AF73" s="649"/>
      <c r="AG73" s="649"/>
      <c r="AH73" s="649"/>
      <c r="AI73" s="649"/>
      <c r="AJ73" s="670" t="s">
        <v>321</v>
      </c>
      <c r="AK73" s="649"/>
      <c r="AL73" s="649"/>
      <c r="AM73" s="649"/>
      <c r="AN73" s="649"/>
      <c r="AO73" s="670" t="s">
        <v>322</v>
      </c>
      <c r="AP73" s="649"/>
      <c r="AQ73" s="649"/>
      <c r="AR73" s="649"/>
      <c r="AS73" s="649"/>
      <c r="AT73" s="670" t="s">
        <v>323</v>
      </c>
      <c r="AU73" s="649"/>
      <c r="AV73" s="649"/>
      <c r="AW73" s="649"/>
      <c r="AX73" s="649"/>
    </row>
    <row r="74" spans="2:53">
      <c r="B74" s="645" t="s">
        <v>446</v>
      </c>
      <c r="C74" s="675" t="s">
        <v>447</v>
      </c>
      <c r="D74" s="687"/>
      <c r="E74" s="661" t="s">
        <v>448</v>
      </c>
      <c r="F74" s="662"/>
      <c r="G74" s="663"/>
      <c r="H74" s="645" t="s">
        <v>449</v>
      </c>
      <c r="I74" s="694" t="s">
        <v>450</v>
      </c>
      <c r="J74" s="695"/>
      <c r="K74" s="696"/>
      <c r="L74" s="679" t="s">
        <v>449</v>
      </c>
      <c r="M74" s="679" t="s">
        <v>451</v>
      </c>
      <c r="N74" s="645"/>
      <c r="O74" s="645" t="s">
        <v>452</v>
      </c>
      <c r="P74" s="661" t="s">
        <v>453</v>
      </c>
      <c r="Q74" s="662"/>
      <c r="R74" s="662"/>
      <c r="S74" s="663"/>
      <c r="T74" s="645" t="s">
        <v>449</v>
      </c>
      <c r="U74" s="661" t="s">
        <v>453</v>
      </c>
      <c r="V74" s="662"/>
      <c r="W74" s="662"/>
      <c r="X74" s="663"/>
      <c r="Y74" s="645" t="s">
        <v>449</v>
      </c>
      <c r="Z74" s="661" t="s">
        <v>453</v>
      </c>
      <c r="AA74" s="662"/>
      <c r="AB74" s="662"/>
      <c r="AC74" s="663"/>
      <c r="AD74" s="645" t="s">
        <v>449</v>
      </c>
      <c r="AE74" s="661" t="s">
        <v>453</v>
      </c>
      <c r="AF74" s="662"/>
      <c r="AG74" s="662"/>
      <c r="AH74" s="663"/>
      <c r="AI74" s="645" t="s">
        <v>449</v>
      </c>
      <c r="AJ74" s="661" t="s">
        <v>453</v>
      </c>
      <c r="AK74" s="662"/>
      <c r="AL74" s="662"/>
      <c r="AM74" s="663"/>
      <c r="AN74" s="645" t="s">
        <v>449</v>
      </c>
      <c r="AO74" s="661" t="s">
        <v>453</v>
      </c>
      <c r="AP74" s="662"/>
      <c r="AQ74" s="662"/>
      <c r="AR74" s="663"/>
      <c r="AS74" s="645" t="s">
        <v>449</v>
      </c>
      <c r="AT74" s="661" t="s">
        <v>453</v>
      </c>
      <c r="AU74" s="662"/>
      <c r="AV74" s="662"/>
      <c r="AW74" s="663"/>
      <c r="AX74" s="645" t="s">
        <v>449</v>
      </c>
      <c r="BA74" s="645" t="s">
        <v>359</v>
      </c>
    </row>
    <row r="75" spans="2:53">
      <c r="B75" s="646"/>
      <c r="C75" s="676"/>
      <c r="D75" s="688"/>
      <c r="E75" s="661" t="s">
        <v>454</v>
      </c>
      <c r="F75" s="662"/>
      <c r="G75" s="663"/>
      <c r="H75" s="646"/>
      <c r="I75" s="694" t="s">
        <v>454</v>
      </c>
      <c r="J75" s="695"/>
      <c r="K75" s="696"/>
      <c r="L75" s="680"/>
      <c r="M75" s="680"/>
      <c r="N75" s="646"/>
      <c r="O75" s="646"/>
      <c r="P75" s="661" t="s">
        <v>455</v>
      </c>
      <c r="Q75" s="662"/>
      <c r="R75" s="662"/>
      <c r="S75" s="663"/>
      <c r="T75" s="646"/>
      <c r="U75" s="661" t="s">
        <v>455</v>
      </c>
      <c r="V75" s="662"/>
      <c r="W75" s="662"/>
      <c r="X75" s="663"/>
      <c r="Y75" s="646"/>
      <c r="Z75" s="661" t="s">
        <v>455</v>
      </c>
      <c r="AA75" s="662"/>
      <c r="AB75" s="662"/>
      <c r="AC75" s="663"/>
      <c r="AD75" s="646"/>
      <c r="AE75" s="661" t="s">
        <v>455</v>
      </c>
      <c r="AF75" s="662"/>
      <c r="AG75" s="662"/>
      <c r="AH75" s="663"/>
      <c r="AI75" s="646"/>
      <c r="AJ75" s="661" t="s">
        <v>455</v>
      </c>
      <c r="AK75" s="662"/>
      <c r="AL75" s="662"/>
      <c r="AM75" s="663"/>
      <c r="AN75" s="646"/>
      <c r="AO75" s="661" t="s">
        <v>455</v>
      </c>
      <c r="AP75" s="662"/>
      <c r="AQ75" s="662"/>
      <c r="AR75" s="663"/>
      <c r="AS75" s="646"/>
      <c r="AT75" s="661" t="s">
        <v>455</v>
      </c>
      <c r="AU75" s="662"/>
      <c r="AV75" s="662"/>
      <c r="AW75" s="663"/>
      <c r="AX75" s="646"/>
      <c r="BA75" s="646"/>
    </row>
    <row r="76" spans="2:53">
      <c r="B76" s="647"/>
      <c r="C76" s="677"/>
      <c r="D76" s="689"/>
      <c r="E76" s="294" t="s">
        <v>456</v>
      </c>
      <c r="F76" s="294" t="s">
        <v>457</v>
      </c>
      <c r="G76" s="294" t="s">
        <v>458</v>
      </c>
      <c r="H76" s="647"/>
      <c r="I76" s="293" t="s">
        <v>456</v>
      </c>
      <c r="J76" s="293" t="s">
        <v>457</v>
      </c>
      <c r="K76" s="293" t="s">
        <v>458</v>
      </c>
      <c r="L76" s="681"/>
      <c r="M76" s="681"/>
      <c r="N76" s="646"/>
      <c r="O76" s="646"/>
      <c r="P76" s="294" t="s">
        <v>456</v>
      </c>
      <c r="Q76" s="294" t="s">
        <v>457</v>
      </c>
      <c r="R76" s="294" t="s">
        <v>458</v>
      </c>
      <c r="S76" s="294" t="s">
        <v>451</v>
      </c>
      <c r="T76" s="647"/>
      <c r="U76" s="294" t="s">
        <v>456</v>
      </c>
      <c r="V76" s="294" t="s">
        <v>457</v>
      </c>
      <c r="W76" s="294" t="s">
        <v>458</v>
      </c>
      <c r="X76" s="294" t="s">
        <v>451</v>
      </c>
      <c r="Y76" s="647"/>
      <c r="Z76" s="294" t="s">
        <v>456</v>
      </c>
      <c r="AA76" s="294" t="s">
        <v>457</v>
      </c>
      <c r="AB76" s="294" t="s">
        <v>458</v>
      </c>
      <c r="AC76" s="294" t="s">
        <v>451</v>
      </c>
      <c r="AD76" s="647"/>
      <c r="AE76" s="294" t="s">
        <v>456</v>
      </c>
      <c r="AF76" s="294" t="s">
        <v>457</v>
      </c>
      <c r="AG76" s="294" t="s">
        <v>458</v>
      </c>
      <c r="AH76" s="294" t="s">
        <v>451</v>
      </c>
      <c r="AI76" s="647"/>
      <c r="AJ76" s="294" t="s">
        <v>456</v>
      </c>
      <c r="AK76" s="294" t="s">
        <v>457</v>
      </c>
      <c r="AL76" s="294" t="s">
        <v>458</v>
      </c>
      <c r="AM76" s="294" t="s">
        <v>451</v>
      </c>
      <c r="AN76" s="647"/>
      <c r="AO76" s="294" t="s">
        <v>456</v>
      </c>
      <c r="AP76" s="294" t="s">
        <v>457</v>
      </c>
      <c r="AQ76" s="294" t="s">
        <v>458</v>
      </c>
      <c r="AR76" s="294" t="s">
        <v>451</v>
      </c>
      <c r="AS76" s="647"/>
      <c r="AT76" s="294" t="s">
        <v>456</v>
      </c>
      <c r="AU76" s="294" t="s">
        <v>457</v>
      </c>
      <c r="AV76" s="294" t="s">
        <v>458</v>
      </c>
      <c r="AW76" s="294" t="s">
        <v>451</v>
      </c>
      <c r="AX76" s="647"/>
      <c r="AZ76" s="373" t="s">
        <v>360</v>
      </c>
      <c r="BA76" s="647"/>
    </row>
    <row r="77" spans="2:53">
      <c r="B77" s="684" t="s">
        <v>150</v>
      </c>
      <c r="C77" s="295">
        <v>1</v>
      </c>
      <c r="D77" s="201"/>
      <c r="E77" s="201"/>
      <c r="F77" s="201"/>
      <c r="G77" s="529"/>
      <c r="H77" s="638" t="e">
        <f>AVERAGE(G77:G106)</f>
        <v>#DIV/0!</v>
      </c>
      <c r="I77" s="363" t="str">
        <f>IFERROR(AVERAGE(P77,U77,Z77,AE77,AJ77,AO77,AT77),"-")</f>
        <v>-</v>
      </c>
      <c r="J77" s="363" t="str">
        <f>IFERROR(AVERAGE(Q77,V77,AA77,AF77,AK77,AP77,AU77),"-")</f>
        <v>-</v>
      </c>
      <c r="K77" s="199" t="str">
        <f>IFERROR(AVERAGE(R77,W77,AB77,AG77,AL77,AQ77,AV77),"-")</f>
        <v>-</v>
      </c>
      <c r="L77" s="697" t="str">
        <f>IFERROR(AVERAGE(K77:K106),"-")</f>
        <v>-</v>
      </c>
      <c r="M77" s="198" t="e">
        <f>RANK(K77, K$77:$K$106)</f>
        <v>#VALUE!</v>
      </c>
      <c r="N77" s="646"/>
      <c r="O77" s="646"/>
      <c r="P77" s="549"/>
      <c r="Q77" s="553"/>
      <c r="R77" s="553"/>
      <c r="S77" s="549"/>
      <c r="T77" s="638"/>
      <c r="U77" s="549"/>
      <c r="V77" s="553"/>
      <c r="W77" s="553"/>
      <c r="X77" s="549"/>
      <c r="Y77" s="638"/>
      <c r="Z77" s="549"/>
      <c r="AA77" s="553"/>
      <c r="AB77" s="553"/>
      <c r="AC77" s="549"/>
      <c r="AD77" s="638"/>
      <c r="AE77" s="549"/>
      <c r="AF77" s="553"/>
      <c r="AG77" s="553"/>
      <c r="AH77" s="549"/>
      <c r="AI77" s="638"/>
      <c r="AJ77" s="549"/>
      <c r="AK77" s="553"/>
      <c r="AL77" s="553"/>
      <c r="AM77" s="549"/>
      <c r="AN77" s="638"/>
      <c r="AO77" s="549"/>
      <c r="AP77" s="553"/>
      <c r="AQ77" s="553"/>
      <c r="AR77" s="549"/>
      <c r="AS77" s="638"/>
      <c r="AT77" s="549"/>
      <c r="AU77" s="553"/>
      <c r="AV77" s="553"/>
      <c r="AW77" s="549"/>
      <c r="AX77" s="638"/>
      <c r="AZ77" s="372" t="e">
        <f t="shared" ref="AZ77:AZ106" si="16">RANK(AY77, AY$77:AY$106)</f>
        <v>#N/A</v>
      </c>
      <c r="BA77" s="638" t="e">
        <f t="shared" ref="BA77" si="17">AVERAGE(AY77:AY106)</f>
        <v>#DIV/0!</v>
      </c>
    </row>
    <row r="78" spans="2:53">
      <c r="B78" s="685"/>
      <c r="C78" s="295">
        <v>2</v>
      </c>
      <c r="D78" s="524"/>
      <c r="E78" s="201"/>
      <c r="F78" s="201"/>
      <c r="G78" s="529"/>
      <c r="H78" s="639"/>
      <c r="I78" s="363" t="str">
        <f t="shared" ref="I78:I106" si="18">IFERROR(AVERAGE(P78,U78,Z78,AE78,AJ78,AO78,AT78),"-")</f>
        <v>-</v>
      </c>
      <c r="J78" s="363" t="str">
        <f t="shared" ref="J78:J106" si="19">IFERROR(AVERAGE(Q78,V78,AA78,AF78,AK78,AP78,AU78),"-")</f>
        <v>-</v>
      </c>
      <c r="K78" s="199" t="str">
        <f t="shared" ref="K78:K106" si="20">IFERROR(AVERAGE(R78,W78,AB78,AG78,AL78,AQ78,AV78),"-")</f>
        <v>-</v>
      </c>
      <c r="L78" s="698"/>
      <c r="M78" s="198" t="e">
        <f>RANK(K78, K$77:$K$106)</f>
        <v>#VALUE!</v>
      </c>
      <c r="N78" s="646"/>
      <c r="O78" s="646"/>
      <c r="P78" s="549"/>
      <c r="Q78" s="553"/>
      <c r="R78" s="553"/>
      <c r="S78" s="549"/>
      <c r="T78" s="639"/>
      <c r="U78" s="549"/>
      <c r="V78" s="553"/>
      <c r="W78" s="553"/>
      <c r="X78" s="549"/>
      <c r="Y78" s="639"/>
      <c r="Z78" s="549"/>
      <c r="AA78" s="553"/>
      <c r="AB78" s="553"/>
      <c r="AC78" s="549"/>
      <c r="AD78" s="639"/>
      <c r="AE78" s="549"/>
      <c r="AF78" s="553"/>
      <c r="AG78" s="553"/>
      <c r="AH78" s="549"/>
      <c r="AI78" s="639"/>
      <c r="AJ78" s="549"/>
      <c r="AK78" s="553"/>
      <c r="AL78" s="553"/>
      <c r="AM78" s="549"/>
      <c r="AN78" s="639"/>
      <c r="AO78" s="549"/>
      <c r="AP78" s="553"/>
      <c r="AQ78" s="553"/>
      <c r="AR78" s="549"/>
      <c r="AS78" s="639"/>
      <c r="AT78" s="549"/>
      <c r="AU78" s="553"/>
      <c r="AV78" s="553"/>
      <c r="AW78" s="549"/>
      <c r="AX78" s="639"/>
      <c r="AZ78" s="372" t="e">
        <f t="shared" si="16"/>
        <v>#N/A</v>
      </c>
      <c r="BA78" s="639"/>
    </row>
    <row r="79" spans="2:53">
      <c r="B79" s="685"/>
      <c r="C79" s="295">
        <v>3</v>
      </c>
      <c r="D79" s="201"/>
      <c r="E79" s="201"/>
      <c r="F79" s="201"/>
      <c r="G79" s="529"/>
      <c r="H79" s="639"/>
      <c r="I79" s="363" t="str">
        <f t="shared" si="18"/>
        <v>-</v>
      </c>
      <c r="J79" s="363" t="str">
        <f t="shared" si="19"/>
        <v>-</v>
      </c>
      <c r="K79" s="199" t="str">
        <f t="shared" si="20"/>
        <v>-</v>
      </c>
      <c r="L79" s="698"/>
      <c r="M79" s="198" t="e">
        <f>RANK(K79, K$77:$K$106)</f>
        <v>#VALUE!</v>
      </c>
      <c r="N79" s="646"/>
      <c r="O79" s="646"/>
      <c r="P79" s="549"/>
      <c r="Q79" s="553"/>
      <c r="R79" s="553"/>
      <c r="S79" s="549"/>
      <c r="T79" s="639"/>
      <c r="U79" s="549"/>
      <c r="V79" s="553"/>
      <c r="W79" s="553"/>
      <c r="X79" s="549"/>
      <c r="Y79" s="639"/>
      <c r="Z79" s="549"/>
      <c r="AA79" s="553"/>
      <c r="AB79" s="553"/>
      <c r="AC79" s="549"/>
      <c r="AD79" s="639"/>
      <c r="AE79" s="549"/>
      <c r="AF79" s="553"/>
      <c r="AG79" s="553"/>
      <c r="AH79" s="549"/>
      <c r="AI79" s="639"/>
      <c r="AJ79" s="549"/>
      <c r="AK79" s="553"/>
      <c r="AL79" s="553"/>
      <c r="AM79" s="549"/>
      <c r="AN79" s="639"/>
      <c r="AO79" s="549"/>
      <c r="AP79" s="553"/>
      <c r="AQ79" s="553"/>
      <c r="AR79" s="549"/>
      <c r="AS79" s="639"/>
      <c r="AT79" s="549"/>
      <c r="AU79" s="553"/>
      <c r="AV79" s="553"/>
      <c r="AW79" s="549"/>
      <c r="AX79" s="639"/>
      <c r="AZ79" s="372" t="e">
        <f t="shared" si="16"/>
        <v>#N/A</v>
      </c>
      <c r="BA79" s="639"/>
    </row>
    <row r="80" spans="2:53">
      <c r="B80" s="685"/>
      <c r="C80" s="295">
        <v>4</v>
      </c>
      <c r="D80" s="201"/>
      <c r="E80" s="201"/>
      <c r="F80" s="201"/>
      <c r="G80" s="529"/>
      <c r="H80" s="639"/>
      <c r="I80" s="363" t="str">
        <f t="shared" si="18"/>
        <v>-</v>
      </c>
      <c r="J80" s="363" t="str">
        <f t="shared" si="19"/>
        <v>-</v>
      </c>
      <c r="K80" s="199" t="str">
        <f t="shared" si="20"/>
        <v>-</v>
      </c>
      <c r="L80" s="698"/>
      <c r="M80" s="198" t="e">
        <f>RANK(K80, K$77:$K$106)</f>
        <v>#VALUE!</v>
      </c>
      <c r="N80" s="646"/>
      <c r="O80" s="646"/>
      <c r="P80" s="549"/>
      <c r="Q80" s="553"/>
      <c r="R80" s="553"/>
      <c r="S80" s="549"/>
      <c r="T80" s="639"/>
      <c r="U80" s="549"/>
      <c r="V80" s="553"/>
      <c r="W80" s="553"/>
      <c r="X80" s="549"/>
      <c r="Y80" s="639"/>
      <c r="Z80" s="549"/>
      <c r="AA80" s="553"/>
      <c r="AB80" s="553"/>
      <c r="AC80" s="549"/>
      <c r="AD80" s="639"/>
      <c r="AE80" s="549"/>
      <c r="AF80" s="553"/>
      <c r="AG80" s="553"/>
      <c r="AH80" s="549"/>
      <c r="AI80" s="639"/>
      <c r="AJ80" s="549"/>
      <c r="AK80" s="553"/>
      <c r="AL80" s="553"/>
      <c r="AM80" s="549"/>
      <c r="AN80" s="639"/>
      <c r="AO80" s="549"/>
      <c r="AP80" s="553"/>
      <c r="AQ80" s="553"/>
      <c r="AR80" s="549"/>
      <c r="AS80" s="639"/>
      <c r="AT80" s="549"/>
      <c r="AU80" s="553"/>
      <c r="AV80" s="553"/>
      <c r="AW80" s="549"/>
      <c r="AX80" s="639"/>
      <c r="AZ80" s="372" t="e">
        <f t="shared" si="16"/>
        <v>#N/A</v>
      </c>
      <c r="BA80" s="639"/>
    </row>
    <row r="81" spans="2:53">
      <c r="B81" s="685"/>
      <c r="C81" s="295">
        <v>5</v>
      </c>
      <c r="D81" s="201"/>
      <c r="E81" s="201"/>
      <c r="F81" s="201"/>
      <c r="G81" s="529"/>
      <c r="H81" s="639"/>
      <c r="I81" s="363" t="str">
        <f t="shared" si="18"/>
        <v>-</v>
      </c>
      <c r="J81" s="363" t="str">
        <f t="shared" si="19"/>
        <v>-</v>
      </c>
      <c r="K81" s="199" t="str">
        <f t="shared" si="20"/>
        <v>-</v>
      </c>
      <c r="L81" s="698"/>
      <c r="M81" s="198" t="e">
        <f>RANK(K81, K$77:$K$106)</f>
        <v>#VALUE!</v>
      </c>
      <c r="N81" s="646"/>
      <c r="O81" s="646"/>
      <c r="P81" s="549"/>
      <c r="Q81" s="553"/>
      <c r="R81" s="553"/>
      <c r="S81" s="549"/>
      <c r="T81" s="639"/>
      <c r="U81" s="549"/>
      <c r="V81" s="553"/>
      <c r="W81" s="553"/>
      <c r="X81" s="549"/>
      <c r="Y81" s="639"/>
      <c r="Z81" s="549"/>
      <c r="AA81" s="553"/>
      <c r="AB81" s="553"/>
      <c r="AC81" s="549"/>
      <c r="AD81" s="639"/>
      <c r="AE81" s="549"/>
      <c r="AF81" s="553"/>
      <c r="AG81" s="553"/>
      <c r="AH81" s="549"/>
      <c r="AI81" s="639"/>
      <c r="AJ81" s="549"/>
      <c r="AK81" s="553"/>
      <c r="AL81" s="553"/>
      <c r="AM81" s="549"/>
      <c r="AN81" s="639"/>
      <c r="AO81" s="549"/>
      <c r="AP81" s="553"/>
      <c r="AQ81" s="553"/>
      <c r="AR81" s="549"/>
      <c r="AS81" s="639"/>
      <c r="AT81" s="549"/>
      <c r="AU81" s="553"/>
      <c r="AV81" s="553"/>
      <c r="AW81" s="549"/>
      <c r="AX81" s="639"/>
      <c r="AZ81" s="372" t="e">
        <f t="shared" si="16"/>
        <v>#N/A</v>
      </c>
      <c r="BA81" s="639"/>
    </row>
    <row r="82" spans="2:53">
      <c r="B82" s="685"/>
      <c r="C82" s="295">
        <v>6</v>
      </c>
      <c r="D82" s="201"/>
      <c r="E82" s="201"/>
      <c r="F82" s="201"/>
      <c r="G82" s="529"/>
      <c r="H82" s="639"/>
      <c r="I82" s="363" t="str">
        <f t="shared" si="18"/>
        <v>-</v>
      </c>
      <c r="J82" s="363" t="str">
        <f t="shared" si="19"/>
        <v>-</v>
      </c>
      <c r="K82" s="199" t="str">
        <f t="shared" si="20"/>
        <v>-</v>
      </c>
      <c r="L82" s="698"/>
      <c r="M82" s="198" t="e">
        <f>RANK(K82, K$77:$K$106)</f>
        <v>#VALUE!</v>
      </c>
      <c r="N82" s="646"/>
      <c r="O82" s="646"/>
      <c r="P82" s="549"/>
      <c r="Q82" s="553"/>
      <c r="R82" s="553"/>
      <c r="S82" s="549"/>
      <c r="T82" s="639"/>
      <c r="U82" s="549"/>
      <c r="V82" s="553"/>
      <c r="W82" s="553"/>
      <c r="X82" s="549"/>
      <c r="Y82" s="639"/>
      <c r="Z82" s="549"/>
      <c r="AA82" s="553"/>
      <c r="AB82" s="553"/>
      <c r="AC82" s="549"/>
      <c r="AD82" s="639"/>
      <c r="AE82" s="549"/>
      <c r="AF82" s="553"/>
      <c r="AG82" s="553"/>
      <c r="AH82" s="549"/>
      <c r="AI82" s="639"/>
      <c r="AJ82" s="549"/>
      <c r="AK82" s="553"/>
      <c r="AL82" s="553"/>
      <c r="AM82" s="549"/>
      <c r="AN82" s="639"/>
      <c r="AO82" s="549"/>
      <c r="AP82" s="553"/>
      <c r="AQ82" s="553"/>
      <c r="AR82" s="549"/>
      <c r="AS82" s="639"/>
      <c r="AT82" s="549"/>
      <c r="AU82" s="553"/>
      <c r="AV82" s="553"/>
      <c r="AW82" s="549"/>
      <c r="AX82" s="639"/>
      <c r="AZ82" s="372" t="e">
        <f t="shared" si="16"/>
        <v>#N/A</v>
      </c>
      <c r="BA82" s="639"/>
    </row>
    <row r="83" spans="2:53">
      <c r="B83" s="685"/>
      <c r="C83" s="295">
        <v>7</v>
      </c>
      <c r="D83" s="201"/>
      <c r="E83" s="201"/>
      <c r="F83" s="201"/>
      <c r="G83" s="529"/>
      <c r="H83" s="639"/>
      <c r="I83" s="363" t="str">
        <f t="shared" si="18"/>
        <v>-</v>
      </c>
      <c r="J83" s="363" t="str">
        <f t="shared" si="19"/>
        <v>-</v>
      </c>
      <c r="K83" s="199" t="str">
        <f t="shared" si="20"/>
        <v>-</v>
      </c>
      <c r="L83" s="698"/>
      <c r="M83" s="198" t="e">
        <f>RANK(K83, K$77:$K$106)</f>
        <v>#VALUE!</v>
      </c>
      <c r="N83" s="646"/>
      <c r="O83" s="646"/>
      <c r="P83" s="549"/>
      <c r="Q83" s="553"/>
      <c r="R83" s="553"/>
      <c r="S83" s="549"/>
      <c r="T83" s="639"/>
      <c r="U83" s="549"/>
      <c r="V83" s="553"/>
      <c r="W83" s="553"/>
      <c r="X83" s="549"/>
      <c r="Y83" s="639"/>
      <c r="Z83" s="549"/>
      <c r="AA83" s="553"/>
      <c r="AB83" s="553"/>
      <c r="AC83" s="549"/>
      <c r="AD83" s="639"/>
      <c r="AE83" s="549"/>
      <c r="AF83" s="553"/>
      <c r="AG83" s="553"/>
      <c r="AH83" s="549"/>
      <c r="AI83" s="639"/>
      <c r="AJ83" s="549"/>
      <c r="AK83" s="553"/>
      <c r="AL83" s="553"/>
      <c r="AM83" s="549"/>
      <c r="AN83" s="639"/>
      <c r="AO83" s="549"/>
      <c r="AP83" s="553"/>
      <c r="AQ83" s="553"/>
      <c r="AR83" s="549"/>
      <c r="AS83" s="639"/>
      <c r="AT83" s="549"/>
      <c r="AU83" s="553"/>
      <c r="AV83" s="553"/>
      <c r="AW83" s="549"/>
      <c r="AX83" s="639"/>
      <c r="AZ83" s="372" t="e">
        <f t="shared" si="16"/>
        <v>#N/A</v>
      </c>
      <c r="BA83" s="639"/>
    </row>
    <row r="84" spans="2:53">
      <c r="B84" s="685"/>
      <c r="C84" s="295">
        <v>8</v>
      </c>
      <c r="D84" s="201"/>
      <c r="E84" s="201"/>
      <c r="F84" s="201"/>
      <c r="G84" s="529"/>
      <c r="H84" s="639"/>
      <c r="I84" s="363" t="str">
        <f t="shared" si="18"/>
        <v>-</v>
      </c>
      <c r="J84" s="363" t="str">
        <f t="shared" si="19"/>
        <v>-</v>
      </c>
      <c r="K84" s="199" t="str">
        <f t="shared" si="20"/>
        <v>-</v>
      </c>
      <c r="L84" s="698"/>
      <c r="M84" s="198" t="e">
        <f>RANK(K84, K$77:$K$106)</f>
        <v>#VALUE!</v>
      </c>
      <c r="N84" s="646"/>
      <c r="O84" s="646"/>
      <c r="P84" s="549"/>
      <c r="Q84" s="553"/>
      <c r="R84" s="553"/>
      <c r="S84" s="549"/>
      <c r="T84" s="639"/>
      <c r="U84" s="549"/>
      <c r="V84" s="553"/>
      <c r="W84" s="553"/>
      <c r="X84" s="549"/>
      <c r="Y84" s="639"/>
      <c r="Z84" s="549"/>
      <c r="AA84" s="553"/>
      <c r="AB84" s="553"/>
      <c r="AC84" s="549"/>
      <c r="AD84" s="639"/>
      <c r="AE84" s="549"/>
      <c r="AF84" s="553"/>
      <c r="AG84" s="553"/>
      <c r="AH84" s="549"/>
      <c r="AI84" s="639"/>
      <c r="AJ84" s="549"/>
      <c r="AK84" s="553"/>
      <c r="AL84" s="553"/>
      <c r="AM84" s="549"/>
      <c r="AN84" s="639"/>
      <c r="AO84" s="549"/>
      <c r="AP84" s="553"/>
      <c r="AQ84" s="553"/>
      <c r="AR84" s="549"/>
      <c r="AS84" s="639"/>
      <c r="AT84" s="549"/>
      <c r="AU84" s="553"/>
      <c r="AV84" s="553"/>
      <c r="AW84" s="549"/>
      <c r="AX84" s="639"/>
      <c r="AZ84" s="372" t="e">
        <f t="shared" si="16"/>
        <v>#N/A</v>
      </c>
      <c r="BA84" s="639"/>
    </row>
    <row r="85" spans="2:53">
      <c r="B85" s="685"/>
      <c r="C85" s="295">
        <v>9</v>
      </c>
      <c r="D85" s="201"/>
      <c r="E85" s="201"/>
      <c r="F85" s="201"/>
      <c r="G85" s="529"/>
      <c r="H85" s="639"/>
      <c r="I85" s="363" t="str">
        <f t="shared" si="18"/>
        <v>-</v>
      </c>
      <c r="J85" s="363" t="str">
        <f t="shared" si="19"/>
        <v>-</v>
      </c>
      <c r="K85" s="199" t="str">
        <f t="shared" si="20"/>
        <v>-</v>
      </c>
      <c r="L85" s="698"/>
      <c r="M85" s="198" t="e">
        <f>RANK(K85, K$77:$K$106)</f>
        <v>#VALUE!</v>
      </c>
      <c r="N85" s="646"/>
      <c r="O85" s="646"/>
      <c r="P85" s="549"/>
      <c r="Q85" s="553"/>
      <c r="R85" s="553"/>
      <c r="S85" s="549"/>
      <c r="T85" s="639"/>
      <c r="U85" s="549"/>
      <c r="V85" s="553"/>
      <c r="W85" s="553"/>
      <c r="X85" s="549"/>
      <c r="Y85" s="639"/>
      <c r="Z85" s="549"/>
      <c r="AA85" s="553"/>
      <c r="AB85" s="553"/>
      <c r="AC85" s="549"/>
      <c r="AD85" s="639"/>
      <c r="AE85" s="549"/>
      <c r="AF85" s="553"/>
      <c r="AG85" s="553"/>
      <c r="AH85" s="549"/>
      <c r="AI85" s="639"/>
      <c r="AJ85" s="549"/>
      <c r="AK85" s="553"/>
      <c r="AL85" s="553"/>
      <c r="AM85" s="549"/>
      <c r="AN85" s="639"/>
      <c r="AO85" s="549"/>
      <c r="AP85" s="553"/>
      <c r="AQ85" s="553"/>
      <c r="AR85" s="549"/>
      <c r="AS85" s="639"/>
      <c r="AT85" s="549"/>
      <c r="AU85" s="553"/>
      <c r="AV85" s="553"/>
      <c r="AW85" s="549"/>
      <c r="AX85" s="639"/>
      <c r="AZ85" s="372" t="e">
        <f t="shared" si="16"/>
        <v>#N/A</v>
      </c>
      <c r="BA85" s="639"/>
    </row>
    <row r="86" spans="2:53">
      <c r="B86" s="685"/>
      <c r="C86" s="295">
        <v>10</v>
      </c>
      <c r="D86" s="201"/>
      <c r="E86" s="201"/>
      <c r="F86" s="201"/>
      <c r="G86" s="529"/>
      <c r="H86" s="639"/>
      <c r="I86" s="363" t="str">
        <f t="shared" si="18"/>
        <v>-</v>
      </c>
      <c r="J86" s="363" t="str">
        <f t="shared" si="19"/>
        <v>-</v>
      </c>
      <c r="K86" s="199" t="str">
        <f t="shared" si="20"/>
        <v>-</v>
      </c>
      <c r="L86" s="698"/>
      <c r="M86" s="198" t="e">
        <f>RANK(K86, K$77:$K$106)</f>
        <v>#VALUE!</v>
      </c>
      <c r="N86" s="646"/>
      <c r="O86" s="646"/>
      <c r="P86" s="549"/>
      <c r="Q86" s="553"/>
      <c r="R86" s="553"/>
      <c r="S86" s="549"/>
      <c r="T86" s="639"/>
      <c r="U86" s="549"/>
      <c r="V86" s="553"/>
      <c r="W86" s="553"/>
      <c r="X86" s="549"/>
      <c r="Y86" s="639"/>
      <c r="Z86" s="549"/>
      <c r="AA86" s="553"/>
      <c r="AB86" s="553"/>
      <c r="AC86" s="549"/>
      <c r="AD86" s="639"/>
      <c r="AE86" s="549"/>
      <c r="AF86" s="553"/>
      <c r="AG86" s="553"/>
      <c r="AH86" s="549"/>
      <c r="AI86" s="639"/>
      <c r="AJ86" s="549"/>
      <c r="AK86" s="553"/>
      <c r="AL86" s="553"/>
      <c r="AM86" s="549"/>
      <c r="AN86" s="639"/>
      <c r="AO86" s="549"/>
      <c r="AP86" s="553"/>
      <c r="AQ86" s="553"/>
      <c r="AR86" s="549"/>
      <c r="AS86" s="639"/>
      <c r="AT86" s="549"/>
      <c r="AU86" s="553"/>
      <c r="AV86" s="553"/>
      <c r="AW86" s="549"/>
      <c r="AX86" s="639"/>
      <c r="AZ86" s="372" t="e">
        <f t="shared" si="16"/>
        <v>#N/A</v>
      </c>
      <c r="BA86" s="639"/>
    </row>
    <row r="87" spans="2:53">
      <c r="B87" s="685"/>
      <c r="C87" s="295">
        <v>11</v>
      </c>
      <c r="D87" s="201"/>
      <c r="E87" s="201"/>
      <c r="F87" s="201"/>
      <c r="G87" s="529"/>
      <c r="H87" s="639"/>
      <c r="I87" s="363" t="str">
        <f t="shared" si="18"/>
        <v>-</v>
      </c>
      <c r="J87" s="363" t="str">
        <f t="shared" si="19"/>
        <v>-</v>
      </c>
      <c r="K87" s="199" t="str">
        <f t="shared" si="20"/>
        <v>-</v>
      </c>
      <c r="L87" s="698"/>
      <c r="M87" s="198" t="e">
        <f>RANK(K87, K$77:$K$106)</f>
        <v>#VALUE!</v>
      </c>
      <c r="N87" s="646"/>
      <c r="O87" s="646"/>
      <c r="P87" s="549"/>
      <c r="Q87" s="553"/>
      <c r="R87" s="553"/>
      <c r="S87" s="549"/>
      <c r="T87" s="639"/>
      <c r="U87" s="549"/>
      <c r="V87" s="553"/>
      <c r="W87" s="553"/>
      <c r="X87" s="549"/>
      <c r="Y87" s="639"/>
      <c r="Z87" s="549"/>
      <c r="AA87" s="553"/>
      <c r="AB87" s="553"/>
      <c r="AC87" s="549"/>
      <c r="AD87" s="639"/>
      <c r="AE87" s="549"/>
      <c r="AF87" s="553"/>
      <c r="AG87" s="553"/>
      <c r="AH87" s="549"/>
      <c r="AI87" s="639"/>
      <c r="AJ87" s="549"/>
      <c r="AK87" s="553"/>
      <c r="AL87" s="553"/>
      <c r="AM87" s="549"/>
      <c r="AN87" s="639"/>
      <c r="AO87" s="549"/>
      <c r="AP87" s="553"/>
      <c r="AQ87" s="553"/>
      <c r="AR87" s="549"/>
      <c r="AS87" s="639"/>
      <c r="AT87" s="549"/>
      <c r="AU87" s="553"/>
      <c r="AV87" s="553"/>
      <c r="AW87" s="549"/>
      <c r="AX87" s="639"/>
      <c r="AZ87" s="372" t="e">
        <f t="shared" si="16"/>
        <v>#N/A</v>
      </c>
      <c r="BA87" s="639"/>
    </row>
    <row r="88" spans="2:53">
      <c r="B88" s="685"/>
      <c r="C88" s="295">
        <v>12</v>
      </c>
      <c r="D88" s="524"/>
      <c r="E88" s="201"/>
      <c r="F88" s="201"/>
      <c r="G88" s="529"/>
      <c r="H88" s="639"/>
      <c r="I88" s="363" t="str">
        <f t="shared" si="18"/>
        <v>-</v>
      </c>
      <c r="J88" s="363" t="str">
        <f t="shared" si="19"/>
        <v>-</v>
      </c>
      <c r="K88" s="199" t="str">
        <f t="shared" si="20"/>
        <v>-</v>
      </c>
      <c r="L88" s="698"/>
      <c r="M88" s="198" t="e">
        <f>RANK(K88, K$77:$K$106)</f>
        <v>#VALUE!</v>
      </c>
      <c r="N88" s="646"/>
      <c r="O88" s="646"/>
      <c r="P88" s="549"/>
      <c r="Q88" s="553"/>
      <c r="R88" s="553"/>
      <c r="S88" s="549"/>
      <c r="T88" s="639"/>
      <c r="U88" s="549"/>
      <c r="V88" s="553"/>
      <c r="W88" s="553"/>
      <c r="X88" s="549"/>
      <c r="Y88" s="639"/>
      <c r="Z88" s="549"/>
      <c r="AA88" s="553"/>
      <c r="AB88" s="553"/>
      <c r="AC88" s="549"/>
      <c r="AD88" s="639"/>
      <c r="AE88" s="549"/>
      <c r="AF88" s="553"/>
      <c r="AG88" s="553"/>
      <c r="AH88" s="549"/>
      <c r="AI88" s="639"/>
      <c r="AJ88" s="549"/>
      <c r="AK88" s="553"/>
      <c r="AL88" s="553"/>
      <c r="AM88" s="549"/>
      <c r="AN88" s="639"/>
      <c r="AO88" s="549"/>
      <c r="AP88" s="553"/>
      <c r="AQ88" s="553"/>
      <c r="AR88" s="549"/>
      <c r="AS88" s="639"/>
      <c r="AT88" s="549"/>
      <c r="AU88" s="553"/>
      <c r="AV88" s="553"/>
      <c r="AW88" s="549"/>
      <c r="AX88" s="639"/>
      <c r="AZ88" s="372" t="e">
        <f t="shared" si="16"/>
        <v>#N/A</v>
      </c>
      <c r="BA88" s="639"/>
    </row>
    <row r="89" spans="2:53">
      <c r="B89" s="685"/>
      <c r="C89" s="295">
        <v>13</v>
      </c>
      <c r="D89" s="201"/>
      <c r="E89" s="201"/>
      <c r="F89" s="201"/>
      <c r="G89" s="529"/>
      <c r="H89" s="639"/>
      <c r="I89" s="363" t="str">
        <f t="shared" si="18"/>
        <v>-</v>
      </c>
      <c r="J89" s="363" t="str">
        <f t="shared" si="19"/>
        <v>-</v>
      </c>
      <c r="K89" s="199" t="str">
        <f t="shared" si="20"/>
        <v>-</v>
      </c>
      <c r="L89" s="698"/>
      <c r="M89" s="198" t="e">
        <f>RANK(K89, K$77:$K$106)</f>
        <v>#VALUE!</v>
      </c>
      <c r="N89" s="646"/>
      <c r="O89" s="646"/>
      <c r="P89" s="549"/>
      <c r="Q89" s="553"/>
      <c r="R89" s="553"/>
      <c r="S89" s="549"/>
      <c r="T89" s="639"/>
      <c r="U89" s="549"/>
      <c r="V89" s="553"/>
      <c r="W89" s="553"/>
      <c r="X89" s="549"/>
      <c r="Y89" s="639"/>
      <c r="Z89" s="549"/>
      <c r="AA89" s="553"/>
      <c r="AB89" s="553"/>
      <c r="AC89" s="549"/>
      <c r="AD89" s="639"/>
      <c r="AE89" s="549"/>
      <c r="AF89" s="553"/>
      <c r="AG89" s="553"/>
      <c r="AH89" s="549"/>
      <c r="AI89" s="639"/>
      <c r="AJ89" s="549"/>
      <c r="AK89" s="553"/>
      <c r="AL89" s="553"/>
      <c r="AM89" s="549"/>
      <c r="AN89" s="639"/>
      <c r="AO89" s="549"/>
      <c r="AP89" s="553"/>
      <c r="AQ89" s="553"/>
      <c r="AR89" s="549"/>
      <c r="AS89" s="639"/>
      <c r="AT89" s="549"/>
      <c r="AU89" s="553"/>
      <c r="AV89" s="553"/>
      <c r="AW89" s="549"/>
      <c r="AX89" s="639"/>
      <c r="AZ89" s="372" t="e">
        <f t="shared" si="16"/>
        <v>#N/A</v>
      </c>
      <c r="BA89" s="639"/>
    </row>
    <row r="90" spans="2:53">
      <c r="B90" s="685"/>
      <c r="C90" s="295">
        <v>14</v>
      </c>
      <c r="D90" s="201"/>
      <c r="E90" s="201"/>
      <c r="F90" s="201"/>
      <c r="G90" s="529"/>
      <c r="H90" s="639"/>
      <c r="I90" s="363" t="str">
        <f t="shared" si="18"/>
        <v>-</v>
      </c>
      <c r="J90" s="363" t="str">
        <f t="shared" si="19"/>
        <v>-</v>
      </c>
      <c r="K90" s="199" t="str">
        <f t="shared" si="20"/>
        <v>-</v>
      </c>
      <c r="L90" s="698"/>
      <c r="M90" s="198" t="e">
        <f>RANK(K90, K$77:$K$106)</f>
        <v>#VALUE!</v>
      </c>
      <c r="N90" s="646"/>
      <c r="O90" s="646"/>
      <c r="P90" s="549"/>
      <c r="Q90" s="553"/>
      <c r="R90" s="553"/>
      <c r="S90" s="549"/>
      <c r="T90" s="639"/>
      <c r="U90" s="549"/>
      <c r="V90" s="553"/>
      <c r="W90" s="553"/>
      <c r="X90" s="549"/>
      <c r="Y90" s="639"/>
      <c r="Z90" s="549"/>
      <c r="AA90" s="553"/>
      <c r="AB90" s="553"/>
      <c r="AC90" s="549"/>
      <c r="AD90" s="639"/>
      <c r="AE90" s="549"/>
      <c r="AF90" s="553"/>
      <c r="AG90" s="553"/>
      <c r="AH90" s="549"/>
      <c r="AI90" s="639"/>
      <c r="AJ90" s="549"/>
      <c r="AK90" s="553"/>
      <c r="AL90" s="553"/>
      <c r="AM90" s="549"/>
      <c r="AN90" s="639"/>
      <c r="AO90" s="549"/>
      <c r="AP90" s="553"/>
      <c r="AQ90" s="553"/>
      <c r="AR90" s="549"/>
      <c r="AS90" s="639"/>
      <c r="AT90" s="549"/>
      <c r="AU90" s="553"/>
      <c r="AV90" s="553"/>
      <c r="AW90" s="549"/>
      <c r="AX90" s="639"/>
      <c r="AZ90" s="372" t="e">
        <f t="shared" si="16"/>
        <v>#N/A</v>
      </c>
      <c r="BA90" s="639"/>
    </row>
    <row r="91" spans="2:53">
      <c r="B91" s="685"/>
      <c r="C91" s="295">
        <v>15</v>
      </c>
      <c r="D91" s="524"/>
      <c r="E91" s="201"/>
      <c r="F91" s="201"/>
      <c r="G91" s="529"/>
      <c r="H91" s="639"/>
      <c r="I91" s="363" t="str">
        <f t="shared" si="18"/>
        <v>-</v>
      </c>
      <c r="J91" s="363" t="str">
        <f t="shared" si="19"/>
        <v>-</v>
      </c>
      <c r="K91" s="199" t="str">
        <f t="shared" si="20"/>
        <v>-</v>
      </c>
      <c r="L91" s="698"/>
      <c r="M91" s="198" t="e">
        <f>RANK(K91, K$77:$K$106)</f>
        <v>#VALUE!</v>
      </c>
      <c r="N91" s="646"/>
      <c r="O91" s="646"/>
      <c r="P91" s="549"/>
      <c r="Q91" s="553"/>
      <c r="R91" s="553"/>
      <c r="S91" s="549"/>
      <c r="T91" s="639"/>
      <c r="U91" s="549"/>
      <c r="V91" s="553"/>
      <c r="W91" s="553"/>
      <c r="X91" s="549"/>
      <c r="Y91" s="639"/>
      <c r="Z91" s="549"/>
      <c r="AA91" s="553"/>
      <c r="AB91" s="553"/>
      <c r="AC91" s="549"/>
      <c r="AD91" s="639"/>
      <c r="AE91" s="549"/>
      <c r="AF91" s="553"/>
      <c r="AG91" s="553"/>
      <c r="AH91" s="549"/>
      <c r="AI91" s="639"/>
      <c r="AJ91" s="549"/>
      <c r="AK91" s="553"/>
      <c r="AL91" s="553"/>
      <c r="AM91" s="549"/>
      <c r="AN91" s="639"/>
      <c r="AO91" s="549"/>
      <c r="AP91" s="553"/>
      <c r="AQ91" s="553"/>
      <c r="AR91" s="549"/>
      <c r="AS91" s="639"/>
      <c r="AT91" s="549"/>
      <c r="AU91" s="553"/>
      <c r="AV91" s="553"/>
      <c r="AW91" s="549"/>
      <c r="AX91" s="639"/>
      <c r="AZ91" s="372" t="e">
        <f t="shared" si="16"/>
        <v>#N/A</v>
      </c>
      <c r="BA91" s="639"/>
    </row>
    <row r="92" spans="2:53">
      <c r="B92" s="685"/>
      <c r="C92" s="295">
        <v>16</v>
      </c>
      <c r="D92" s="201"/>
      <c r="E92" s="201"/>
      <c r="F92" s="201"/>
      <c r="G92" s="529"/>
      <c r="H92" s="639"/>
      <c r="I92" s="363" t="str">
        <f t="shared" si="18"/>
        <v>-</v>
      </c>
      <c r="J92" s="363" t="str">
        <f t="shared" si="19"/>
        <v>-</v>
      </c>
      <c r="K92" s="199" t="str">
        <f t="shared" si="20"/>
        <v>-</v>
      </c>
      <c r="L92" s="698"/>
      <c r="M92" s="198" t="e">
        <f>RANK(K92, K$77:$K$106)</f>
        <v>#VALUE!</v>
      </c>
      <c r="N92" s="646"/>
      <c r="O92" s="646"/>
      <c r="P92" s="549"/>
      <c r="Q92" s="553"/>
      <c r="R92" s="553"/>
      <c r="S92" s="549"/>
      <c r="T92" s="639"/>
      <c r="U92" s="549"/>
      <c r="V92" s="553"/>
      <c r="W92" s="553"/>
      <c r="X92" s="549"/>
      <c r="Y92" s="639"/>
      <c r="Z92" s="549"/>
      <c r="AA92" s="553"/>
      <c r="AB92" s="553"/>
      <c r="AC92" s="549"/>
      <c r="AD92" s="639"/>
      <c r="AE92" s="549"/>
      <c r="AF92" s="553"/>
      <c r="AG92" s="553"/>
      <c r="AH92" s="549"/>
      <c r="AI92" s="639"/>
      <c r="AJ92" s="549"/>
      <c r="AK92" s="553"/>
      <c r="AL92" s="553"/>
      <c r="AM92" s="549"/>
      <c r="AN92" s="639"/>
      <c r="AO92" s="549"/>
      <c r="AP92" s="553"/>
      <c r="AQ92" s="553"/>
      <c r="AR92" s="549"/>
      <c r="AS92" s="639"/>
      <c r="AT92" s="549"/>
      <c r="AU92" s="553"/>
      <c r="AV92" s="553"/>
      <c r="AW92" s="549"/>
      <c r="AX92" s="639"/>
      <c r="AZ92" s="372" t="e">
        <f t="shared" si="16"/>
        <v>#N/A</v>
      </c>
      <c r="BA92" s="639"/>
    </row>
    <row r="93" spans="2:53">
      <c r="B93" s="685"/>
      <c r="C93" s="295">
        <v>17</v>
      </c>
      <c r="D93" s="201"/>
      <c r="E93" s="201"/>
      <c r="F93" s="201"/>
      <c r="G93" s="529"/>
      <c r="H93" s="639"/>
      <c r="I93" s="363" t="str">
        <f t="shared" si="18"/>
        <v>-</v>
      </c>
      <c r="J93" s="363" t="str">
        <f t="shared" si="19"/>
        <v>-</v>
      </c>
      <c r="K93" s="199" t="str">
        <f t="shared" si="20"/>
        <v>-</v>
      </c>
      <c r="L93" s="698"/>
      <c r="M93" s="198" t="e">
        <f>RANK(K93, K$77:$K$106)</f>
        <v>#VALUE!</v>
      </c>
      <c r="N93" s="646"/>
      <c r="O93" s="646"/>
      <c r="P93" s="549"/>
      <c r="Q93" s="553"/>
      <c r="R93" s="553"/>
      <c r="S93" s="549"/>
      <c r="T93" s="639"/>
      <c r="U93" s="549"/>
      <c r="V93" s="553"/>
      <c r="W93" s="553"/>
      <c r="X93" s="549"/>
      <c r="Y93" s="639"/>
      <c r="Z93" s="549"/>
      <c r="AA93" s="553"/>
      <c r="AB93" s="553"/>
      <c r="AC93" s="549"/>
      <c r="AD93" s="639"/>
      <c r="AE93" s="549"/>
      <c r="AF93" s="553"/>
      <c r="AG93" s="553"/>
      <c r="AH93" s="549"/>
      <c r="AI93" s="639"/>
      <c r="AJ93" s="549"/>
      <c r="AK93" s="553"/>
      <c r="AL93" s="553"/>
      <c r="AM93" s="549"/>
      <c r="AN93" s="639"/>
      <c r="AO93" s="549"/>
      <c r="AP93" s="553"/>
      <c r="AQ93" s="553"/>
      <c r="AR93" s="549"/>
      <c r="AS93" s="639"/>
      <c r="AT93" s="549"/>
      <c r="AU93" s="553"/>
      <c r="AV93" s="553"/>
      <c r="AW93" s="549"/>
      <c r="AX93" s="639"/>
      <c r="AZ93" s="372" t="e">
        <f t="shared" si="16"/>
        <v>#N/A</v>
      </c>
      <c r="BA93" s="639"/>
    </row>
    <row r="94" spans="2:53">
      <c r="B94" s="685"/>
      <c r="C94" s="295">
        <v>18</v>
      </c>
      <c r="D94" s="524"/>
      <c r="E94" s="201"/>
      <c r="F94" s="201"/>
      <c r="G94" s="529"/>
      <c r="H94" s="639"/>
      <c r="I94" s="363" t="str">
        <f t="shared" si="18"/>
        <v>-</v>
      </c>
      <c r="J94" s="363" t="str">
        <f t="shared" si="19"/>
        <v>-</v>
      </c>
      <c r="K94" s="199" t="str">
        <f t="shared" si="20"/>
        <v>-</v>
      </c>
      <c r="L94" s="698"/>
      <c r="M94" s="198" t="e">
        <f>RANK(K94, K$77:$K$106)</f>
        <v>#VALUE!</v>
      </c>
      <c r="N94" s="646"/>
      <c r="O94" s="646"/>
      <c r="P94" s="549"/>
      <c r="Q94" s="553"/>
      <c r="R94" s="553"/>
      <c r="S94" s="549"/>
      <c r="T94" s="639"/>
      <c r="U94" s="549"/>
      <c r="V94" s="553"/>
      <c r="W94" s="553"/>
      <c r="X94" s="549"/>
      <c r="Y94" s="639"/>
      <c r="Z94" s="549"/>
      <c r="AA94" s="553"/>
      <c r="AB94" s="553"/>
      <c r="AC94" s="549"/>
      <c r="AD94" s="639"/>
      <c r="AE94" s="549"/>
      <c r="AF94" s="553"/>
      <c r="AG94" s="553"/>
      <c r="AH94" s="549"/>
      <c r="AI94" s="639"/>
      <c r="AJ94" s="549"/>
      <c r="AK94" s="553"/>
      <c r="AL94" s="553"/>
      <c r="AM94" s="549"/>
      <c r="AN94" s="639"/>
      <c r="AO94" s="549"/>
      <c r="AP94" s="553"/>
      <c r="AQ94" s="553"/>
      <c r="AR94" s="549"/>
      <c r="AS94" s="639"/>
      <c r="AT94" s="549"/>
      <c r="AU94" s="553"/>
      <c r="AV94" s="553"/>
      <c r="AW94" s="549"/>
      <c r="AX94" s="639"/>
      <c r="AZ94" s="372" t="e">
        <f t="shared" si="16"/>
        <v>#N/A</v>
      </c>
      <c r="BA94" s="639"/>
    </row>
    <row r="95" spans="2:53">
      <c r="B95" s="685"/>
      <c r="C95" s="295">
        <v>19</v>
      </c>
      <c r="D95" s="524"/>
      <c r="E95" s="201"/>
      <c r="F95" s="201"/>
      <c r="G95" s="529"/>
      <c r="H95" s="639"/>
      <c r="I95" s="363" t="str">
        <f t="shared" si="18"/>
        <v>-</v>
      </c>
      <c r="J95" s="363" t="str">
        <f t="shared" si="19"/>
        <v>-</v>
      </c>
      <c r="K95" s="199" t="str">
        <f t="shared" si="20"/>
        <v>-</v>
      </c>
      <c r="L95" s="698"/>
      <c r="M95" s="198" t="e">
        <f>RANK(K95, K$77:$K$106)</f>
        <v>#VALUE!</v>
      </c>
      <c r="N95" s="646"/>
      <c r="O95" s="646"/>
      <c r="P95" s="549"/>
      <c r="Q95" s="553"/>
      <c r="R95" s="553"/>
      <c r="S95" s="549"/>
      <c r="T95" s="639"/>
      <c r="U95" s="549"/>
      <c r="V95" s="553"/>
      <c r="W95" s="553"/>
      <c r="X95" s="549"/>
      <c r="Y95" s="639"/>
      <c r="Z95" s="549"/>
      <c r="AA95" s="553"/>
      <c r="AB95" s="553"/>
      <c r="AC95" s="549"/>
      <c r="AD95" s="639"/>
      <c r="AE95" s="549"/>
      <c r="AF95" s="553"/>
      <c r="AG95" s="553"/>
      <c r="AH95" s="549"/>
      <c r="AI95" s="639"/>
      <c r="AJ95" s="549"/>
      <c r="AK95" s="553"/>
      <c r="AL95" s="553"/>
      <c r="AM95" s="549"/>
      <c r="AN95" s="639"/>
      <c r="AO95" s="549"/>
      <c r="AP95" s="553"/>
      <c r="AQ95" s="553"/>
      <c r="AR95" s="549"/>
      <c r="AS95" s="639"/>
      <c r="AT95" s="549"/>
      <c r="AU95" s="553"/>
      <c r="AV95" s="553"/>
      <c r="AW95" s="549"/>
      <c r="AX95" s="639"/>
      <c r="AZ95" s="372" t="e">
        <f t="shared" si="16"/>
        <v>#N/A</v>
      </c>
      <c r="BA95" s="639"/>
    </row>
    <row r="96" spans="2:53">
      <c r="B96" s="685"/>
      <c r="C96" s="295">
        <v>20</v>
      </c>
      <c r="D96" s="524"/>
      <c r="E96" s="201"/>
      <c r="F96" s="201"/>
      <c r="G96" s="529"/>
      <c r="H96" s="639"/>
      <c r="I96" s="363" t="str">
        <f t="shared" si="18"/>
        <v>-</v>
      </c>
      <c r="J96" s="363" t="str">
        <f t="shared" si="19"/>
        <v>-</v>
      </c>
      <c r="K96" s="199" t="str">
        <f t="shared" si="20"/>
        <v>-</v>
      </c>
      <c r="L96" s="698"/>
      <c r="M96" s="198" t="e">
        <f>RANK(K96, K$77:$K$106)</f>
        <v>#VALUE!</v>
      </c>
      <c r="N96" s="646"/>
      <c r="O96" s="646"/>
      <c r="P96" s="549"/>
      <c r="Q96" s="553"/>
      <c r="R96" s="553"/>
      <c r="S96" s="549"/>
      <c r="T96" s="639"/>
      <c r="U96" s="549"/>
      <c r="V96" s="553"/>
      <c r="W96" s="553"/>
      <c r="X96" s="549"/>
      <c r="Y96" s="639"/>
      <c r="Z96" s="549"/>
      <c r="AA96" s="553"/>
      <c r="AB96" s="553"/>
      <c r="AC96" s="549"/>
      <c r="AD96" s="639"/>
      <c r="AE96" s="549"/>
      <c r="AF96" s="553"/>
      <c r="AG96" s="553"/>
      <c r="AH96" s="549"/>
      <c r="AI96" s="639"/>
      <c r="AJ96" s="549"/>
      <c r="AK96" s="553"/>
      <c r="AL96" s="553"/>
      <c r="AM96" s="549"/>
      <c r="AN96" s="639"/>
      <c r="AO96" s="549"/>
      <c r="AP96" s="553"/>
      <c r="AQ96" s="553"/>
      <c r="AR96" s="549"/>
      <c r="AS96" s="639"/>
      <c r="AT96" s="549"/>
      <c r="AU96" s="553"/>
      <c r="AV96" s="553"/>
      <c r="AW96" s="549"/>
      <c r="AX96" s="639"/>
      <c r="AZ96" s="372" t="e">
        <f t="shared" si="16"/>
        <v>#N/A</v>
      </c>
      <c r="BA96" s="639"/>
    </row>
    <row r="97" spans="2:53">
      <c r="B97" s="685"/>
      <c r="C97" s="295">
        <v>21</v>
      </c>
      <c r="D97" s="524"/>
      <c r="E97" s="201"/>
      <c r="F97" s="201"/>
      <c r="G97" s="529"/>
      <c r="H97" s="639"/>
      <c r="I97" s="363" t="str">
        <f t="shared" si="18"/>
        <v>-</v>
      </c>
      <c r="J97" s="363" t="str">
        <f t="shared" si="19"/>
        <v>-</v>
      </c>
      <c r="K97" s="199" t="str">
        <f t="shared" si="20"/>
        <v>-</v>
      </c>
      <c r="L97" s="698"/>
      <c r="M97" s="198" t="e">
        <f>RANK(K97, K$77:$K$106)</f>
        <v>#VALUE!</v>
      </c>
      <c r="N97" s="646"/>
      <c r="O97" s="646"/>
      <c r="P97" s="549"/>
      <c r="Q97" s="553"/>
      <c r="R97" s="553"/>
      <c r="S97" s="549"/>
      <c r="T97" s="639"/>
      <c r="U97" s="549"/>
      <c r="V97" s="553"/>
      <c r="W97" s="553"/>
      <c r="X97" s="549"/>
      <c r="Y97" s="639"/>
      <c r="Z97" s="549"/>
      <c r="AA97" s="553"/>
      <c r="AB97" s="553"/>
      <c r="AC97" s="549"/>
      <c r="AD97" s="639"/>
      <c r="AE97" s="549"/>
      <c r="AF97" s="553"/>
      <c r="AG97" s="553"/>
      <c r="AH97" s="549"/>
      <c r="AI97" s="639"/>
      <c r="AJ97" s="549"/>
      <c r="AK97" s="553"/>
      <c r="AL97" s="553"/>
      <c r="AM97" s="549"/>
      <c r="AN97" s="639"/>
      <c r="AO97" s="549"/>
      <c r="AP97" s="553"/>
      <c r="AQ97" s="553"/>
      <c r="AR97" s="549"/>
      <c r="AS97" s="639"/>
      <c r="AT97" s="549"/>
      <c r="AU97" s="553"/>
      <c r="AV97" s="553"/>
      <c r="AW97" s="549"/>
      <c r="AX97" s="639"/>
      <c r="AZ97" s="372" t="e">
        <f t="shared" si="16"/>
        <v>#N/A</v>
      </c>
      <c r="BA97" s="639"/>
    </row>
    <row r="98" spans="2:53">
      <c r="B98" s="685"/>
      <c r="C98" s="295">
        <v>22</v>
      </c>
      <c r="D98" s="524"/>
      <c r="E98" s="201"/>
      <c r="F98" s="201"/>
      <c r="G98" s="529"/>
      <c r="H98" s="639"/>
      <c r="I98" s="363" t="str">
        <f t="shared" si="18"/>
        <v>-</v>
      </c>
      <c r="J98" s="363" t="str">
        <f t="shared" si="19"/>
        <v>-</v>
      </c>
      <c r="K98" s="199" t="str">
        <f t="shared" si="20"/>
        <v>-</v>
      </c>
      <c r="L98" s="698"/>
      <c r="M98" s="198" t="e">
        <f>RANK(K98, K$77:$K$106)</f>
        <v>#VALUE!</v>
      </c>
      <c r="N98" s="646"/>
      <c r="O98" s="646"/>
      <c r="P98" s="549"/>
      <c r="Q98" s="553"/>
      <c r="R98" s="553"/>
      <c r="S98" s="549"/>
      <c r="T98" s="639"/>
      <c r="U98" s="549"/>
      <c r="V98" s="553"/>
      <c r="W98" s="553"/>
      <c r="X98" s="549"/>
      <c r="Y98" s="639"/>
      <c r="Z98" s="549"/>
      <c r="AA98" s="553"/>
      <c r="AB98" s="553"/>
      <c r="AC98" s="549"/>
      <c r="AD98" s="639"/>
      <c r="AE98" s="549"/>
      <c r="AF98" s="553"/>
      <c r="AG98" s="553"/>
      <c r="AH98" s="549"/>
      <c r="AI98" s="639"/>
      <c r="AJ98" s="549"/>
      <c r="AK98" s="553"/>
      <c r="AL98" s="553"/>
      <c r="AM98" s="549"/>
      <c r="AN98" s="639"/>
      <c r="AO98" s="549"/>
      <c r="AP98" s="553"/>
      <c r="AQ98" s="553"/>
      <c r="AR98" s="549"/>
      <c r="AS98" s="639"/>
      <c r="AT98" s="549"/>
      <c r="AU98" s="553"/>
      <c r="AV98" s="553"/>
      <c r="AW98" s="549"/>
      <c r="AX98" s="639"/>
      <c r="AZ98" s="372" t="e">
        <f t="shared" si="16"/>
        <v>#N/A</v>
      </c>
      <c r="BA98" s="639"/>
    </row>
    <row r="99" spans="2:53">
      <c r="B99" s="685"/>
      <c r="C99" s="295">
        <v>23</v>
      </c>
      <c r="D99" s="201"/>
      <c r="E99" s="201"/>
      <c r="F99" s="201"/>
      <c r="G99" s="529"/>
      <c r="H99" s="639"/>
      <c r="I99" s="363" t="str">
        <f t="shared" si="18"/>
        <v>-</v>
      </c>
      <c r="J99" s="363" t="str">
        <f t="shared" si="19"/>
        <v>-</v>
      </c>
      <c r="K99" s="199" t="str">
        <f t="shared" si="20"/>
        <v>-</v>
      </c>
      <c r="L99" s="698"/>
      <c r="M99" s="198" t="e">
        <f>RANK(K99, K$77:$K$106)</f>
        <v>#VALUE!</v>
      </c>
      <c r="N99" s="646"/>
      <c r="O99" s="646"/>
      <c r="P99" s="549"/>
      <c r="Q99" s="553"/>
      <c r="R99" s="553"/>
      <c r="S99" s="549"/>
      <c r="T99" s="639"/>
      <c r="U99" s="549"/>
      <c r="V99" s="553"/>
      <c r="W99" s="553"/>
      <c r="X99" s="549"/>
      <c r="Y99" s="639"/>
      <c r="Z99" s="549"/>
      <c r="AA99" s="553"/>
      <c r="AB99" s="553"/>
      <c r="AC99" s="549"/>
      <c r="AD99" s="639"/>
      <c r="AE99" s="549"/>
      <c r="AF99" s="553"/>
      <c r="AG99" s="553"/>
      <c r="AH99" s="549"/>
      <c r="AI99" s="639"/>
      <c r="AJ99" s="549"/>
      <c r="AK99" s="553"/>
      <c r="AL99" s="553"/>
      <c r="AM99" s="549"/>
      <c r="AN99" s="639"/>
      <c r="AO99" s="549"/>
      <c r="AP99" s="553"/>
      <c r="AQ99" s="553"/>
      <c r="AR99" s="549"/>
      <c r="AS99" s="639"/>
      <c r="AT99" s="549"/>
      <c r="AU99" s="553"/>
      <c r="AV99" s="553"/>
      <c r="AW99" s="549"/>
      <c r="AX99" s="639"/>
      <c r="AZ99" s="372" t="e">
        <f t="shared" si="16"/>
        <v>#N/A</v>
      </c>
      <c r="BA99" s="639"/>
    </row>
    <row r="100" spans="2:53">
      <c r="B100" s="685"/>
      <c r="C100" s="295">
        <v>24</v>
      </c>
      <c r="D100" s="524"/>
      <c r="E100" s="201"/>
      <c r="F100" s="201"/>
      <c r="G100" s="529"/>
      <c r="H100" s="639"/>
      <c r="I100" s="363" t="str">
        <f t="shared" si="18"/>
        <v>-</v>
      </c>
      <c r="J100" s="363" t="str">
        <f t="shared" si="19"/>
        <v>-</v>
      </c>
      <c r="K100" s="199" t="str">
        <f t="shared" si="20"/>
        <v>-</v>
      </c>
      <c r="L100" s="698"/>
      <c r="M100" s="198" t="e">
        <f>RANK(K100, K$77:$K$106)</f>
        <v>#VALUE!</v>
      </c>
      <c r="N100" s="646"/>
      <c r="O100" s="646"/>
      <c r="P100" s="549"/>
      <c r="Q100" s="553"/>
      <c r="R100" s="553"/>
      <c r="S100" s="549"/>
      <c r="T100" s="639"/>
      <c r="U100" s="549"/>
      <c r="V100" s="553"/>
      <c r="W100" s="553"/>
      <c r="X100" s="549"/>
      <c r="Y100" s="639"/>
      <c r="Z100" s="549"/>
      <c r="AA100" s="553"/>
      <c r="AB100" s="553"/>
      <c r="AC100" s="549"/>
      <c r="AD100" s="639"/>
      <c r="AE100" s="549"/>
      <c r="AF100" s="553"/>
      <c r="AG100" s="553"/>
      <c r="AH100" s="549"/>
      <c r="AI100" s="639"/>
      <c r="AJ100" s="549"/>
      <c r="AK100" s="553"/>
      <c r="AL100" s="553"/>
      <c r="AM100" s="549"/>
      <c r="AN100" s="639"/>
      <c r="AO100" s="549"/>
      <c r="AP100" s="553"/>
      <c r="AQ100" s="553"/>
      <c r="AR100" s="549"/>
      <c r="AS100" s="639"/>
      <c r="AT100" s="549"/>
      <c r="AU100" s="553"/>
      <c r="AV100" s="553"/>
      <c r="AW100" s="549"/>
      <c r="AX100" s="639"/>
      <c r="AZ100" s="372" t="e">
        <f t="shared" si="16"/>
        <v>#N/A</v>
      </c>
      <c r="BA100" s="639"/>
    </row>
    <row r="101" spans="2:53">
      <c r="B101" s="685"/>
      <c r="C101" s="295">
        <v>25</v>
      </c>
      <c r="D101" s="201"/>
      <c r="E101" s="201"/>
      <c r="F101" s="201"/>
      <c r="G101" s="529"/>
      <c r="H101" s="639"/>
      <c r="I101" s="363" t="str">
        <f t="shared" si="18"/>
        <v>-</v>
      </c>
      <c r="J101" s="363" t="str">
        <f t="shared" si="19"/>
        <v>-</v>
      </c>
      <c r="K101" s="199" t="str">
        <f t="shared" si="20"/>
        <v>-</v>
      </c>
      <c r="L101" s="698"/>
      <c r="M101" s="198" t="e">
        <f>RANK(K101, K$77:$K$106)</f>
        <v>#VALUE!</v>
      </c>
      <c r="N101" s="646"/>
      <c r="O101" s="646"/>
      <c r="P101" s="549"/>
      <c r="Q101" s="553"/>
      <c r="R101" s="553"/>
      <c r="S101" s="549"/>
      <c r="T101" s="639"/>
      <c r="U101" s="549"/>
      <c r="V101" s="553"/>
      <c r="W101" s="553"/>
      <c r="X101" s="549"/>
      <c r="Y101" s="639"/>
      <c r="Z101" s="549"/>
      <c r="AA101" s="553"/>
      <c r="AB101" s="553"/>
      <c r="AC101" s="549"/>
      <c r="AD101" s="639"/>
      <c r="AE101" s="549"/>
      <c r="AF101" s="553"/>
      <c r="AG101" s="553"/>
      <c r="AH101" s="549"/>
      <c r="AI101" s="639"/>
      <c r="AJ101" s="549"/>
      <c r="AK101" s="553"/>
      <c r="AL101" s="553"/>
      <c r="AM101" s="549"/>
      <c r="AN101" s="639"/>
      <c r="AO101" s="549"/>
      <c r="AP101" s="553"/>
      <c r="AQ101" s="553"/>
      <c r="AR101" s="549"/>
      <c r="AS101" s="639"/>
      <c r="AT101" s="549"/>
      <c r="AU101" s="553"/>
      <c r="AV101" s="553"/>
      <c r="AW101" s="549"/>
      <c r="AX101" s="639"/>
      <c r="AZ101" s="372" t="e">
        <f t="shared" si="16"/>
        <v>#N/A</v>
      </c>
      <c r="BA101" s="639"/>
    </row>
    <row r="102" spans="2:53">
      <c r="B102" s="685"/>
      <c r="C102" s="295">
        <v>26</v>
      </c>
      <c r="D102" s="201"/>
      <c r="E102" s="201"/>
      <c r="F102" s="201"/>
      <c r="G102" s="529"/>
      <c r="H102" s="639"/>
      <c r="I102" s="363" t="str">
        <f t="shared" si="18"/>
        <v>-</v>
      </c>
      <c r="J102" s="363" t="str">
        <f t="shared" si="19"/>
        <v>-</v>
      </c>
      <c r="K102" s="199" t="str">
        <f t="shared" si="20"/>
        <v>-</v>
      </c>
      <c r="L102" s="698"/>
      <c r="M102" s="198" t="e">
        <f>RANK(K102, K$77:$K$106)</f>
        <v>#VALUE!</v>
      </c>
      <c r="N102" s="646"/>
      <c r="O102" s="646"/>
      <c r="P102" s="549"/>
      <c r="Q102" s="553"/>
      <c r="R102" s="553"/>
      <c r="S102" s="549"/>
      <c r="T102" s="639"/>
      <c r="U102" s="549"/>
      <c r="V102" s="553"/>
      <c r="W102" s="553"/>
      <c r="X102" s="549"/>
      <c r="Y102" s="639"/>
      <c r="Z102" s="549"/>
      <c r="AA102" s="553"/>
      <c r="AB102" s="553"/>
      <c r="AC102" s="549"/>
      <c r="AD102" s="639"/>
      <c r="AE102" s="549"/>
      <c r="AF102" s="553"/>
      <c r="AG102" s="553"/>
      <c r="AH102" s="549"/>
      <c r="AI102" s="639"/>
      <c r="AJ102" s="549"/>
      <c r="AK102" s="553"/>
      <c r="AL102" s="553"/>
      <c r="AM102" s="549"/>
      <c r="AN102" s="639"/>
      <c r="AO102" s="549"/>
      <c r="AP102" s="553"/>
      <c r="AQ102" s="553"/>
      <c r="AR102" s="549"/>
      <c r="AS102" s="639"/>
      <c r="AT102" s="549"/>
      <c r="AU102" s="553"/>
      <c r="AV102" s="553"/>
      <c r="AW102" s="549"/>
      <c r="AX102" s="639"/>
      <c r="AZ102" s="372" t="e">
        <f t="shared" si="16"/>
        <v>#N/A</v>
      </c>
      <c r="BA102" s="639"/>
    </row>
    <row r="103" spans="2:53">
      <c r="B103" s="685"/>
      <c r="C103" s="295">
        <v>27</v>
      </c>
      <c r="D103" s="201"/>
      <c r="E103" s="201"/>
      <c r="F103" s="201"/>
      <c r="G103" s="529"/>
      <c r="H103" s="639"/>
      <c r="I103" s="363" t="str">
        <f t="shared" si="18"/>
        <v>-</v>
      </c>
      <c r="J103" s="363" t="str">
        <f t="shared" si="19"/>
        <v>-</v>
      </c>
      <c r="K103" s="199" t="str">
        <f t="shared" si="20"/>
        <v>-</v>
      </c>
      <c r="L103" s="698"/>
      <c r="M103" s="198" t="e">
        <f>RANK(K103, K$77:$K$106)</f>
        <v>#VALUE!</v>
      </c>
      <c r="N103" s="646"/>
      <c r="O103" s="646"/>
      <c r="P103" s="549"/>
      <c r="Q103" s="553"/>
      <c r="R103" s="553"/>
      <c r="S103" s="549"/>
      <c r="T103" s="639"/>
      <c r="U103" s="549"/>
      <c r="V103" s="553"/>
      <c r="W103" s="553"/>
      <c r="X103" s="549"/>
      <c r="Y103" s="639"/>
      <c r="Z103" s="549"/>
      <c r="AA103" s="553"/>
      <c r="AB103" s="553"/>
      <c r="AC103" s="549"/>
      <c r="AD103" s="639"/>
      <c r="AE103" s="549"/>
      <c r="AF103" s="553"/>
      <c r="AG103" s="553"/>
      <c r="AH103" s="549"/>
      <c r="AI103" s="639"/>
      <c r="AJ103" s="549"/>
      <c r="AK103" s="553"/>
      <c r="AL103" s="553"/>
      <c r="AM103" s="549"/>
      <c r="AN103" s="639"/>
      <c r="AO103" s="549"/>
      <c r="AP103" s="553"/>
      <c r="AQ103" s="553"/>
      <c r="AR103" s="549"/>
      <c r="AS103" s="639"/>
      <c r="AT103" s="549"/>
      <c r="AU103" s="553"/>
      <c r="AV103" s="553"/>
      <c r="AW103" s="549"/>
      <c r="AX103" s="639"/>
      <c r="AZ103" s="372" t="e">
        <f t="shared" si="16"/>
        <v>#N/A</v>
      </c>
      <c r="BA103" s="639"/>
    </row>
    <row r="104" spans="2:53">
      <c r="B104" s="685"/>
      <c r="C104" s="295">
        <v>28</v>
      </c>
      <c r="D104" s="201"/>
      <c r="E104" s="201"/>
      <c r="F104" s="201"/>
      <c r="G104" s="201"/>
      <c r="H104" s="639"/>
      <c r="I104" s="363" t="str">
        <f t="shared" si="18"/>
        <v>-</v>
      </c>
      <c r="J104" s="363" t="str">
        <f t="shared" si="19"/>
        <v>-</v>
      </c>
      <c r="K104" s="199" t="str">
        <f t="shared" si="20"/>
        <v>-</v>
      </c>
      <c r="L104" s="698"/>
      <c r="M104" s="198" t="e">
        <f>RANK(K104, K$77:$K$106)</f>
        <v>#VALUE!</v>
      </c>
      <c r="N104" s="646"/>
      <c r="O104" s="646"/>
      <c r="P104" s="549"/>
      <c r="Q104" s="553"/>
      <c r="R104" s="553"/>
      <c r="S104" s="549"/>
      <c r="T104" s="639"/>
      <c r="U104" s="549"/>
      <c r="V104" s="553"/>
      <c r="W104" s="553"/>
      <c r="X104" s="549"/>
      <c r="Y104" s="639"/>
      <c r="Z104" s="549"/>
      <c r="AA104" s="553"/>
      <c r="AB104" s="553"/>
      <c r="AC104" s="549"/>
      <c r="AD104" s="639"/>
      <c r="AE104" s="549"/>
      <c r="AF104" s="553"/>
      <c r="AG104" s="553"/>
      <c r="AH104" s="549"/>
      <c r="AI104" s="639"/>
      <c r="AJ104" s="549"/>
      <c r="AK104" s="553"/>
      <c r="AL104" s="553"/>
      <c r="AM104" s="549"/>
      <c r="AN104" s="639"/>
      <c r="AO104" s="549"/>
      <c r="AP104" s="553"/>
      <c r="AQ104" s="553"/>
      <c r="AR104" s="549"/>
      <c r="AS104" s="639"/>
      <c r="AT104" s="549"/>
      <c r="AU104" s="553"/>
      <c r="AV104" s="553"/>
      <c r="AW104" s="549"/>
      <c r="AX104" s="639"/>
      <c r="AZ104" s="372" t="e">
        <f t="shared" si="16"/>
        <v>#N/A</v>
      </c>
      <c r="BA104" s="639"/>
    </row>
    <row r="105" spans="2:53">
      <c r="B105" s="685"/>
      <c r="C105" s="295">
        <v>29</v>
      </c>
      <c r="D105" s="201"/>
      <c r="E105" s="201"/>
      <c r="F105" s="201"/>
      <c r="G105" s="201"/>
      <c r="H105" s="639"/>
      <c r="I105" s="363" t="str">
        <f t="shared" si="18"/>
        <v>-</v>
      </c>
      <c r="J105" s="363" t="str">
        <f t="shared" si="19"/>
        <v>-</v>
      </c>
      <c r="K105" s="199" t="str">
        <f t="shared" si="20"/>
        <v>-</v>
      </c>
      <c r="L105" s="698"/>
      <c r="M105" s="198" t="e">
        <f>RANK(K105, K$77:$K$106)</f>
        <v>#VALUE!</v>
      </c>
      <c r="N105" s="646"/>
      <c r="O105" s="646"/>
      <c r="P105" s="549"/>
      <c r="Q105" s="553"/>
      <c r="R105" s="553"/>
      <c r="S105" s="549"/>
      <c r="T105" s="639"/>
      <c r="U105" s="549"/>
      <c r="V105" s="553"/>
      <c r="W105" s="553"/>
      <c r="X105" s="549"/>
      <c r="Y105" s="639"/>
      <c r="Z105" s="549"/>
      <c r="AA105" s="553"/>
      <c r="AB105" s="553"/>
      <c r="AC105" s="549"/>
      <c r="AD105" s="639"/>
      <c r="AE105" s="549"/>
      <c r="AF105" s="553"/>
      <c r="AG105" s="553"/>
      <c r="AH105" s="549"/>
      <c r="AI105" s="639"/>
      <c r="AJ105" s="549"/>
      <c r="AK105" s="553"/>
      <c r="AL105" s="553"/>
      <c r="AM105" s="549"/>
      <c r="AN105" s="639"/>
      <c r="AO105" s="549"/>
      <c r="AP105" s="553"/>
      <c r="AQ105" s="553"/>
      <c r="AR105" s="549"/>
      <c r="AS105" s="639"/>
      <c r="AT105" s="549"/>
      <c r="AU105" s="553"/>
      <c r="AV105" s="553"/>
      <c r="AW105" s="549"/>
      <c r="AX105" s="639"/>
      <c r="AZ105" s="372" t="e">
        <f t="shared" si="16"/>
        <v>#N/A</v>
      </c>
      <c r="BA105" s="639"/>
    </row>
    <row r="106" spans="2:53">
      <c r="B106" s="686"/>
      <c r="C106" s="295">
        <v>30</v>
      </c>
      <c r="D106" s="201"/>
      <c r="E106" s="201"/>
      <c r="F106" s="201"/>
      <c r="G106" s="201"/>
      <c r="H106" s="640"/>
      <c r="I106" s="363" t="str">
        <f t="shared" si="18"/>
        <v>-</v>
      </c>
      <c r="J106" s="363" t="str">
        <f t="shared" si="19"/>
        <v>-</v>
      </c>
      <c r="K106" s="199" t="str">
        <f t="shared" si="20"/>
        <v>-</v>
      </c>
      <c r="L106" s="699"/>
      <c r="M106" s="198" t="e">
        <f>RANK(K106, K$77:$K$106)</f>
        <v>#VALUE!</v>
      </c>
      <c r="N106" s="647"/>
      <c r="O106" s="647"/>
      <c r="P106" s="549"/>
      <c r="Q106" s="553"/>
      <c r="R106" s="553"/>
      <c r="S106" s="549"/>
      <c r="T106" s="640"/>
      <c r="U106" s="549"/>
      <c r="V106" s="553"/>
      <c r="W106" s="553"/>
      <c r="X106" s="549"/>
      <c r="Y106" s="640"/>
      <c r="Z106" s="549"/>
      <c r="AA106" s="553"/>
      <c r="AB106" s="553"/>
      <c r="AC106" s="549"/>
      <c r="AD106" s="640"/>
      <c r="AE106" s="549"/>
      <c r="AF106" s="553"/>
      <c r="AG106" s="553"/>
      <c r="AH106" s="549"/>
      <c r="AI106" s="640"/>
      <c r="AJ106" s="549"/>
      <c r="AK106" s="553"/>
      <c r="AL106" s="553"/>
      <c r="AM106" s="549"/>
      <c r="AN106" s="640"/>
      <c r="AO106" s="549"/>
      <c r="AP106" s="553"/>
      <c r="AQ106" s="553"/>
      <c r="AR106" s="549"/>
      <c r="AS106" s="640"/>
      <c r="AT106" s="549"/>
      <c r="AU106" s="553"/>
      <c r="AV106" s="553"/>
      <c r="AW106" s="549"/>
      <c r="AX106" s="640"/>
      <c r="AZ106" s="372" t="e">
        <f t="shared" si="16"/>
        <v>#N/A</v>
      </c>
      <c r="BA106" s="640"/>
    </row>
    <row r="107" spans="2:53" ht="15.75">
      <c r="B107" s="671" t="s">
        <v>162</v>
      </c>
      <c r="C107" s="672"/>
      <c r="D107" s="672"/>
      <c r="E107" s="672"/>
      <c r="F107" s="672"/>
      <c r="G107" s="672"/>
      <c r="H107" s="673"/>
      <c r="I107" s="207"/>
      <c r="J107" s="207"/>
      <c r="K107" s="207"/>
      <c r="L107" s="207"/>
      <c r="M107" s="206"/>
      <c r="N107" s="645" t="s">
        <v>156</v>
      </c>
      <c r="O107" s="645" t="s">
        <v>155</v>
      </c>
      <c r="P107" s="670">
        <f>P72+7</f>
        <v>46287</v>
      </c>
      <c r="Q107" s="649"/>
      <c r="R107" s="649"/>
      <c r="S107" s="649"/>
      <c r="T107" s="649"/>
      <c r="U107" s="667">
        <f>P107+1</f>
        <v>46288</v>
      </c>
      <c r="V107" s="668"/>
      <c r="W107" s="668"/>
      <c r="X107" s="668"/>
      <c r="Y107" s="669"/>
      <c r="Z107" s="667">
        <f>U107+1</f>
        <v>46289</v>
      </c>
      <c r="AA107" s="668"/>
      <c r="AB107" s="668"/>
      <c r="AC107" s="668"/>
      <c r="AD107" s="669"/>
      <c r="AE107" s="667">
        <f>Z107+1</f>
        <v>46290</v>
      </c>
      <c r="AF107" s="668"/>
      <c r="AG107" s="668"/>
      <c r="AH107" s="668"/>
      <c r="AI107" s="669"/>
      <c r="AJ107" s="667">
        <f>AE107+1</f>
        <v>46291</v>
      </c>
      <c r="AK107" s="668"/>
      <c r="AL107" s="668"/>
      <c r="AM107" s="668"/>
      <c r="AN107" s="669"/>
      <c r="AO107" s="667">
        <f>AJ107+1</f>
        <v>46292</v>
      </c>
      <c r="AP107" s="668"/>
      <c r="AQ107" s="668"/>
      <c r="AR107" s="668"/>
      <c r="AS107" s="669"/>
      <c r="AT107" s="667">
        <f>AO107+1</f>
        <v>46293</v>
      </c>
      <c r="AU107" s="668"/>
      <c r="AV107" s="668"/>
      <c r="AW107" s="668"/>
      <c r="AX107" s="669"/>
    </row>
    <row r="108" spans="2:53" ht="15.75">
      <c r="B108" s="674"/>
      <c r="C108" s="674"/>
      <c r="D108" s="674"/>
      <c r="E108" s="674"/>
      <c r="F108" s="674"/>
      <c r="G108" s="674"/>
      <c r="H108" s="674"/>
      <c r="I108" s="204"/>
      <c r="J108" s="204"/>
      <c r="K108" s="204"/>
      <c r="L108" s="204"/>
      <c r="M108" s="205"/>
      <c r="N108" s="647"/>
      <c r="O108" s="647"/>
      <c r="P108" s="670" t="s">
        <v>317</v>
      </c>
      <c r="Q108" s="649"/>
      <c r="R108" s="649"/>
      <c r="S108" s="649"/>
      <c r="T108" s="649"/>
      <c r="U108" s="670" t="s">
        <v>318</v>
      </c>
      <c r="V108" s="649"/>
      <c r="W108" s="649"/>
      <c r="X108" s="649"/>
      <c r="Y108" s="649"/>
      <c r="Z108" s="670" t="s">
        <v>319</v>
      </c>
      <c r="AA108" s="649"/>
      <c r="AB108" s="649"/>
      <c r="AC108" s="649"/>
      <c r="AD108" s="649"/>
      <c r="AE108" s="670" t="s">
        <v>320</v>
      </c>
      <c r="AF108" s="649"/>
      <c r="AG108" s="649"/>
      <c r="AH108" s="649"/>
      <c r="AI108" s="649"/>
      <c r="AJ108" s="670" t="s">
        <v>321</v>
      </c>
      <c r="AK108" s="649"/>
      <c r="AL108" s="649"/>
      <c r="AM108" s="649"/>
      <c r="AN108" s="649"/>
      <c r="AO108" s="670" t="s">
        <v>322</v>
      </c>
      <c r="AP108" s="649"/>
      <c r="AQ108" s="649"/>
      <c r="AR108" s="649"/>
      <c r="AS108" s="649"/>
      <c r="AT108" s="670" t="s">
        <v>323</v>
      </c>
      <c r="AU108" s="649"/>
      <c r="AV108" s="649"/>
      <c r="AW108" s="649"/>
      <c r="AX108" s="649"/>
    </row>
    <row r="109" spans="2:53">
      <c r="B109" s="643" t="s">
        <v>362</v>
      </c>
      <c r="C109" s="643" t="s">
        <v>372</v>
      </c>
      <c r="D109" s="643"/>
      <c r="E109" s="643" t="s">
        <v>363</v>
      </c>
      <c r="F109" s="643"/>
      <c r="G109" s="643"/>
      <c r="H109" s="675" t="s">
        <v>359</v>
      </c>
      <c r="I109" s="690" t="s">
        <v>364</v>
      </c>
      <c r="J109" s="690"/>
      <c r="K109" s="690"/>
      <c r="L109" s="691" t="s">
        <v>359</v>
      </c>
      <c r="M109" s="679" t="s">
        <v>360</v>
      </c>
      <c r="N109" s="643"/>
      <c r="O109" s="643" t="s">
        <v>365</v>
      </c>
      <c r="P109" s="661" t="s">
        <v>361</v>
      </c>
      <c r="Q109" s="662"/>
      <c r="R109" s="662"/>
      <c r="S109" s="663"/>
      <c r="T109" s="643" t="s">
        <v>359</v>
      </c>
      <c r="U109" s="661" t="s">
        <v>361</v>
      </c>
      <c r="V109" s="662"/>
      <c r="W109" s="662"/>
      <c r="X109" s="663"/>
      <c r="Y109" s="643" t="s">
        <v>359</v>
      </c>
      <c r="Z109" s="661" t="s">
        <v>361</v>
      </c>
      <c r="AA109" s="662"/>
      <c r="AB109" s="662"/>
      <c r="AC109" s="663"/>
      <c r="AD109" s="643" t="s">
        <v>359</v>
      </c>
      <c r="AE109" s="661" t="s">
        <v>361</v>
      </c>
      <c r="AF109" s="662"/>
      <c r="AG109" s="662"/>
      <c r="AH109" s="663"/>
      <c r="AI109" s="643" t="s">
        <v>359</v>
      </c>
      <c r="AJ109" s="661" t="s">
        <v>361</v>
      </c>
      <c r="AK109" s="662"/>
      <c r="AL109" s="662"/>
      <c r="AM109" s="663"/>
      <c r="AN109" s="643" t="s">
        <v>359</v>
      </c>
      <c r="AO109" s="661" t="s">
        <v>361</v>
      </c>
      <c r="AP109" s="662"/>
      <c r="AQ109" s="662"/>
      <c r="AR109" s="663"/>
      <c r="AS109" s="643" t="s">
        <v>359</v>
      </c>
      <c r="AT109" s="661" t="s">
        <v>361</v>
      </c>
      <c r="AU109" s="662"/>
      <c r="AV109" s="662"/>
      <c r="AW109" s="663"/>
      <c r="AX109" s="643" t="s">
        <v>359</v>
      </c>
      <c r="BA109" s="643" t="s">
        <v>359</v>
      </c>
    </row>
    <row r="110" spans="2:53">
      <c r="B110" s="643"/>
      <c r="C110" s="643"/>
      <c r="D110" s="643"/>
      <c r="E110" s="643" t="s">
        <v>366</v>
      </c>
      <c r="F110" s="643"/>
      <c r="G110" s="643"/>
      <c r="H110" s="676"/>
      <c r="I110" s="690" t="s">
        <v>366</v>
      </c>
      <c r="J110" s="690"/>
      <c r="K110" s="690"/>
      <c r="L110" s="692"/>
      <c r="M110" s="680"/>
      <c r="N110" s="643"/>
      <c r="O110" s="643"/>
      <c r="P110" s="661" t="s">
        <v>367</v>
      </c>
      <c r="Q110" s="662"/>
      <c r="R110" s="662"/>
      <c r="S110" s="663"/>
      <c r="T110" s="643"/>
      <c r="U110" s="661" t="s">
        <v>367</v>
      </c>
      <c r="V110" s="662"/>
      <c r="W110" s="662"/>
      <c r="X110" s="663"/>
      <c r="Y110" s="643"/>
      <c r="Z110" s="661" t="s">
        <v>367</v>
      </c>
      <c r="AA110" s="662"/>
      <c r="AB110" s="662"/>
      <c r="AC110" s="663"/>
      <c r="AD110" s="643"/>
      <c r="AE110" s="661" t="s">
        <v>367</v>
      </c>
      <c r="AF110" s="662"/>
      <c r="AG110" s="662"/>
      <c r="AH110" s="663"/>
      <c r="AI110" s="643"/>
      <c r="AJ110" s="661" t="s">
        <v>367</v>
      </c>
      <c r="AK110" s="662"/>
      <c r="AL110" s="662"/>
      <c r="AM110" s="663"/>
      <c r="AN110" s="643"/>
      <c r="AO110" s="661" t="s">
        <v>367</v>
      </c>
      <c r="AP110" s="662"/>
      <c r="AQ110" s="662"/>
      <c r="AR110" s="663"/>
      <c r="AS110" s="643"/>
      <c r="AT110" s="661" t="s">
        <v>367</v>
      </c>
      <c r="AU110" s="662"/>
      <c r="AV110" s="662"/>
      <c r="AW110" s="663"/>
      <c r="AX110" s="643"/>
      <c r="BA110" s="643"/>
    </row>
    <row r="111" spans="2:53">
      <c r="B111" s="643"/>
      <c r="C111" s="643"/>
      <c r="D111" s="643"/>
      <c r="E111" s="282" t="s">
        <v>368</v>
      </c>
      <c r="F111" s="282" t="s">
        <v>369</v>
      </c>
      <c r="G111" s="282" t="s">
        <v>370</v>
      </c>
      <c r="H111" s="677"/>
      <c r="I111" s="281" t="s">
        <v>368</v>
      </c>
      <c r="J111" s="281" t="s">
        <v>369</v>
      </c>
      <c r="K111" s="281" t="s">
        <v>370</v>
      </c>
      <c r="L111" s="693"/>
      <c r="M111" s="681"/>
      <c r="N111" s="643"/>
      <c r="O111" s="643"/>
      <c r="P111" s="282" t="s">
        <v>368</v>
      </c>
      <c r="Q111" s="282" t="s">
        <v>369</v>
      </c>
      <c r="R111" s="282" t="s">
        <v>370</v>
      </c>
      <c r="S111" s="282" t="s">
        <v>360</v>
      </c>
      <c r="T111" s="643"/>
      <c r="U111" s="282" t="s">
        <v>368</v>
      </c>
      <c r="V111" s="282" t="s">
        <v>369</v>
      </c>
      <c r="W111" s="282" t="s">
        <v>370</v>
      </c>
      <c r="X111" s="282" t="s">
        <v>360</v>
      </c>
      <c r="Y111" s="643"/>
      <c r="Z111" s="282" t="s">
        <v>368</v>
      </c>
      <c r="AA111" s="282" t="s">
        <v>369</v>
      </c>
      <c r="AB111" s="282" t="s">
        <v>370</v>
      </c>
      <c r="AC111" s="282" t="s">
        <v>360</v>
      </c>
      <c r="AD111" s="643"/>
      <c r="AE111" s="282" t="s">
        <v>368</v>
      </c>
      <c r="AF111" s="282" t="s">
        <v>369</v>
      </c>
      <c r="AG111" s="282" t="s">
        <v>370</v>
      </c>
      <c r="AH111" s="282" t="s">
        <v>360</v>
      </c>
      <c r="AI111" s="643"/>
      <c r="AJ111" s="282" t="s">
        <v>368</v>
      </c>
      <c r="AK111" s="282" t="s">
        <v>369</v>
      </c>
      <c r="AL111" s="282" t="s">
        <v>370</v>
      </c>
      <c r="AM111" s="282" t="s">
        <v>360</v>
      </c>
      <c r="AN111" s="643"/>
      <c r="AO111" s="282" t="s">
        <v>368</v>
      </c>
      <c r="AP111" s="282" t="s">
        <v>369</v>
      </c>
      <c r="AQ111" s="282" t="s">
        <v>370</v>
      </c>
      <c r="AR111" s="282" t="s">
        <v>360</v>
      </c>
      <c r="AS111" s="643"/>
      <c r="AT111" s="282" t="s">
        <v>368</v>
      </c>
      <c r="AU111" s="282" t="s">
        <v>369</v>
      </c>
      <c r="AV111" s="282" t="s">
        <v>370</v>
      </c>
      <c r="AW111" s="282" t="s">
        <v>360</v>
      </c>
      <c r="AX111" s="643"/>
      <c r="AZ111" s="373" t="s">
        <v>360</v>
      </c>
      <c r="BA111" s="643"/>
    </row>
    <row r="112" spans="2:53">
      <c r="B112" s="649" t="s">
        <v>150</v>
      </c>
      <c r="C112" s="283">
        <v>1</v>
      </c>
      <c r="D112" s="201"/>
      <c r="E112" s="201"/>
      <c r="F112" s="201"/>
      <c r="G112" s="514"/>
      <c r="H112" s="638" t="e">
        <f>AVERAGE(G112:G141)</f>
        <v>#DIV/0!</v>
      </c>
      <c r="I112" s="363" t="str">
        <f>IFERROR(AVERAGE(P112,U112,Z112,AE112,AJ112,AO112,AT112),"-")</f>
        <v>-</v>
      </c>
      <c r="J112" s="363" t="str">
        <f>IFERROR(AVERAGE(Q112,V112,AA112,AF112,AK112,AP112,AU112),"-")</f>
        <v>-</v>
      </c>
      <c r="K112" s="199" t="str">
        <f>IFERROR(AVERAGE(R112,W112,AB112,AG112,AL112,AQ112,AV112),"-")</f>
        <v>-</v>
      </c>
      <c r="L112" s="658" t="str">
        <f>IFERROR(AVERAGE(K112:K141),"-")</f>
        <v>-</v>
      </c>
      <c r="M112" s="198" t="e">
        <f>RANK(K112, K$112:$K$141)</f>
        <v>#VALUE!</v>
      </c>
      <c r="N112" s="643"/>
      <c r="O112" s="643"/>
      <c r="P112" s="554"/>
      <c r="Q112" s="555"/>
      <c r="R112" s="555"/>
      <c r="S112" s="554"/>
      <c r="T112" s="638"/>
      <c r="U112" s="554"/>
      <c r="V112" s="555"/>
      <c r="W112" s="555"/>
      <c r="X112" s="554"/>
      <c r="Y112" s="638"/>
      <c r="Z112" s="554"/>
      <c r="AA112" s="555"/>
      <c r="AB112" s="555"/>
      <c r="AC112" s="554"/>
      <c r="AD112" s="638"/>
      <c r="AE112" s="554"/>
      <c r="AF112" s="555"/>
      <c r="AG112" s="555"/>
      <c r="AH112" s="554"/>
      <c r="AI112" s="638"/>
      <c r="AJ112" s="554"/>
      <c r="AK112" s="555"/>
      <c r="AL112" s="555"/>
      <c r="AM112" s="554"/>
      <c r="AN112" s="638"/>
      <c r="AO112" s="554"/>
      <c r="AP112" s="555"/>
      <c r="AQ112" s="555"/>
      <c r="AR112" s="554"/>
      <c r="AS112" s="638"/>
      <c r="AT112" s="554"/>
      <c r="AU112" s="555"/>
      <c r="AV112" s="555"/>
      <c r="AW112" s="554"/>
      <c r="AX112" s="638"/>
      <c r="AZ112" s="372" t="e">
        <f t="shared" ref="AZ112:AZ141" si="21">RANK(AY112, AY$112:AY$141)</f>
        <v>#N/A</v>
      </c>
      <c r="BA112" s="638" t="e">
        <f t="shared" ref="BA112" si="22">AVERAGE(AY112:AY141)</f>
        <v>#DIV/0!</v>
      </c>
    </row>
    <row r="113" spans="2:53">
      <c r="B113" s="649"/>
      <c r="C113" s="283">
        <v>2</v>
      </c>
      <c r="D113" s="515"/>
      <c r="E113" s="201"/>
      <c r="F113" s="201"/>
      <c r="G113" s="514"/>
      <c r="H113" s="639"/>
      <c r="I113" s="363" t="str">
        <f t="shared" ref="I113:I141" si="23">IFERROR(AVERAGE(P113,U113,Z113,AE113,AJ113,AO113,AT113),"-")</f>
        <v>-</v>
      </c>
      <c r="J113" s="363" t="str">
        <f t="shared" ref="J113:J141" si="24">IFERROR(AVERAGE(Q113,V113,AA113,AF113,AK113,AP113,AU113),"-")</f>
        <v>-</v>
      </c>
      <c r="K113" s="199" t="str">
        <f t="shared" ref="K113:K141" si="25">IFERROR(AVERAGE(R113,W113,AB113,AG113,AL113,AQ113,AV113),"-")</f>
        <v>-</v>
      </c>
      <c r="L113" s="659"/>
      <c r="M113" s="198" t="e">
        <f>RANK(K113, K$112:$K$141)</f>
        <v>#VALUE!</v>
      </c>
      <c r="N113" s="643"/>
      <c r="O113" s="643"/>
      <c r="P113" s="554"/>
      <c r="Q113" s="555"/>
      <c r="R113" s="555"/>
      <c r="S113" s="554"/>
      <c r="T113" s="639"/>
      <c r="U113" s="554"/>
      <c r="V113" s="555"/>
      <c r="W113" s="555"/>
      <c r="X113" s="554"/>
      <c r="Y113" s="639"/>
      <c r="Z113" s="554"/>
      <c r="AA113" s="555"/>
      <c r="AB113" s="555"/>
      <c r="AC113" s="554"/>
      <c r="AD113" s="639"/>
      <c r="AE113" s="554"/>
      <c r="AF113" s="555"/>
      <c r="AG113" s="555"/>
      <c r="AH113" s="554"/>
      <c r="AI113" s="639"/>
      <c r="AJ113" s="554"/>
      <c r="AK113" s="555"/>
      <c r="AL113" s="555"/>
      <c r="AM113" s="554"/>
      <c r="AN113" s="639"/>
      <c r="AO113" s="554"/>
      <c r="AP113" s="555"/>
      <c r="AQ113" s="555"/>
      <c r="AR113" s="554"/>
      <c r="AS113" s="639"/>
      <c r="AT113" s="554"/>
      <c r="AU113" s="555"/>
      <c r="AV113" s="555"/>
      <c r="AW113" s="554"/>
      <c r="AX113" s="639"/>
      <c r="AZ113" s="372" t="e">
        <f t="shared" si="21"/>
        <v>#N/A</v>
      </c>
      <c r="BA113" s="639"/>
    </row>
    <row r="114" spans="2:53">
      <c r="B114" s="649"/>
      <c r="C114" s="283">
        <v>3</v>
      </c>
      <c r="D114" s="201"/>
      <c r="E114" s="201"/>
      <c r="F114" s="201"/>
      <c r="G114" s="514"/>
      <c r="H114" s="639"/>
      <c r="I114" s="363" t="str">
        <f t="shared" si="23"/>
        <v>-</v>
      </c>
      <c r="J114" s="363" t="str">
        <f t="shared" si="24"/>
        <v>-</v>
      </c>
      <c r="K114" s="199" t="str">
        <f t="shared" si="25"/>
        <v>-</v>
      </c>
      <c r="L114" s="659"/>
      <c r="M114" s="198" t="e">
        <f>RANK(K114, K$112:$K$141)</f>
        <v>#VALUE!</v>
      </c>
      <c r="N114" s="643"/>
      <c r="O114" s="643"/>
      <c r="P114" s="554"/>
      <c r="Q114" s="555"/>
      <c r="R114" s="555"/>
      <c r="S114" s="554"/>
      <c r="T114" s="639"/>
      <c r="U114" s="554"/>
      <c r="V114" s="555"/>
      <c r="W114" s="555"/>
      <c r="X114" s="554"/>
      <c r="Y114" s="639"/>
      <c r="Z114" s="554"/>
      <c r="AA114" s="555"/>
      <c r="AB114" s="555"/>
      <c r="AC114" s="554"/>
      <c r="AD114" s="639"/>
      <c r="AE114" s="554"/>
      <c r="AF114" s="555"/>
      <c r="AG114" s="555"/>
      <c r="AH114" s="554"/>
      <c r="AI114" s="639"/>
      <c r="AJ114" s="554"/>
      <c r="AK114" s="555"/>
      <c r="AL114" s="555"/>
      <c r="AM114" s="554"/>
      <c r="AN114" s="639"/>
      <c r="AO114" s="554"/>
      <c r="AP114" s="555"/>
      <c r="AQ114" s="555"/>
      <c r="AR114" s="554"/>
      <c r="AS114" s="639"/>
      <c r="AT114" s="554"/>
      <c r="AU114" s="555"/>
      <c r="AV114" s="555"/>
      <c r="AW114" s="554"/>
      <c r="AX114" s="639"/>
      <c r="AZ114" s="372" t="e">
        <f t="shared" si="21"/>
        <v>#N/A</v>
      </c>
      <c r="BA114" s="639"/>
    </row>
    <row r="115" spans="2:53">
      <c r="B115" s="649"/>
      <c r="C115" s="283">
        <v>4</v>
      </c>
      <c r="D115" s="201"/>
      <c r="E115" s="201"/>
      <c r="F115" s="201"/>
      <c r="G115" s="514"/>
      <c r="H115" s="639"/>
      <c r="I115" s="363" t="str">
        <f t="shared" si="23"/>
        <v>-</v>
      </c>
      <c r="J115" s="363" t="str">
        <f t="shared" si="24"/>
        <v>-</v>
      </c>
      <c r="K115" s="199" t="str">
        <f t="shared" si="25"/>
        <v>-</v>
      </c>
      <c r="L115" s="659"/>
      <c r="M115" s="198" t="e">
        <f>RANK(K115, K$112:$K$141)</f>
        <v>#VALUE!</v>
      </c>
      <c r="N115" s="643"/>
      <c r="O115" s="643"/>
      <c r="P115" s="554"/>
      <c r="Q115" s="555"/>
      <c r="R115" s="555"/>
      <c r="S115" s="554"/>
      <c r="T115" s="639"/>
      <c r="U115" s="554"/>
      <c r="V115" s="555"/>
      <c r="W115" s="555"/>
      <c r="X115" s="554"/>
      <c r="Y115" s="639"/>
      <c r="Z115" s="554"/>
      <c r="AA115" s="555"/>
      <c r="AB115" s="555"/>
      <c r="AC115" s="554"/>
      <c r="AD115" s="639"/>
      <c r="AE115" s="554"/>
      <c r="AF115" s="555"/>
      <c r="AG115" s="555"/>
      <c r="AH115" s="554"/>
      <c r="AI115" s="639"/>
      <c r="AJ115" s="554"/>
      <c r="AK115" s="555"/>
      <c r="AL115" s="555"/>
      <c r="AM115" s="554"/>
      <c r="AN115" s="639"/>
      <c r="AO115" s="554"/>
      <c r="AP115" s="555"/>
      <c r="AQ115" s="555"/>
      <c r="AR115" s="554"/>
      <c r="AS115" s="639"/>
      <c r="AT115" s="554"/>
      <c r="AU115" s="555"/>
      <c r="AV115" s="555"/>
      <c r="AW115" s="554"/>
      <c r="AX115" s="639"/>
      <c r="AZ115" s="372" t="e">
        <f t="shared" si="21"/>
        <v>#N/A</v>
      </c>
      <c r="BA115" s="639"/>
    </row>
    <row r="116" spans="2:53">
      <c r="B116" s="649"/>
      <c r="C116" s="283">
        <v>5</v>
      </c>
      <c r="D116" s="201"/>
      <c r="E116" s="201"/>
      <c r="F116" s="201"/>
      <c r="G116" s="514"/>
      <c r="H116" s="639"/>
      <c r="I116" s="363" t="str">
        <f t="shared" si="23"/>
        <v>-</v>
      </c>
      <c r="J116" s="363" t="str">
        <f t="shared" si="24"/>
        <v>-</v>
      </c>
      <c r="K116" s="199" t="str">
        <f t="shared" si="25"/>
        <v>-</v>
      </c>
      <c r="L116" s="659"/>
      <c r="M116" s="198" t="e">
        <f>RANK(K116, K$112:$K$141)</f>
        <v>#VALUE!</v>
      </c>
      <c r="N116" s="643"/>
      <c r="O116" s="643"/>
      <c r="P116" s="554"/>
      <c r="Q116" s="555"/>
      <c r="R116" s="555"/>
      <c r="S116" s="554"/>
      <c r="T116" s="639"/>
      <c r="U116" s="554"/>
      <c r="V116" s="555"/>
      <c r="W116" s="555"/>
      <c r="X116" s="554"/>
      <c r="Y116" s="639"/>
      <c r="Z116" s="554"/>
      <c r="AA116" s="555"/>
      <c r="AB116" s="555"/>
      <c r="AC116" s="554"/>
      <c r="AD116" s="639"/>
      <c r="AE116" s="554"/>
      <c r="AF116" s="555"/>
      <c r="AG116" s="555"/>
      <c r="AH116" s="554"/>
      <c r="AI116" s="639"/>
      <c r="AJ116" s="554"/>
      <c r="AK116" s="555"/>
      <c r="AL116" s="555"/>
      <c r="AM116" s="554"/>
      <c r="AN116" s="639"/>
      <c r="AO116" s="554"/>
      <c r="AP116" s="555"/>
      <c r="AQ116" s="555"/>
      <c r="AR116" s="554"/>
      <c r="AS116" s="639"/>
      <c r="AT116" s="554"/>
      <c r="AU116" s="555"/>
      <c r="AV116" s="555"/>
      <c r="AW116" s="554"/>
      <c r="AX116" s="639"/>
      <c r="AZ116" s="372" t="e">
        <f t="shared" si="21"/>
        <v>#N/A</v>
      </c>
      <c r="BA116" s="639"/>
    </row>
    <row r="117" spans="2:53">
      <c r="B117" s="649"/>
      <c r="C117" s="283">
        <v>6</v>
      </c>
      <c r="D117" s="201"/>
      <c r="E117" s="201"/>
      <c r="F117" s="201"/>
      <c r="G117" s="514"/>
      <c r="H117" s="639"/>
      <c r="I117" s="363" t="str">
        <f t="shared" si="23"/>
        <v>-</v>
      </c>
      <c r="J117" s="363" t="str">
        <f t="shared" si="24"/>
        <v>-</v>
      </c>
      <c r="K117" s="199" t="str">
        <f t="shared" si="25"/>
        <v>-</v>
      </c>
      <c r="L117" s="659"/>
      <c r="M117" s="198" t="e">
        <f>RANK(K117, K$112:$K$141)</f>
        <v>#VALUE!</v>
      </c>
      <c r="N117" s="643"/>
      <c r="O117" s="643"/>
      <c r="P117" s="554"/>
      <c r="Q117" s="555"/>
      <c r="R117" s="555"/>
      <c r="S117" s="554"/>
      <c r="T117" s="639"/>
      <c r="U117" s="554"/>
      <c r="V117" s="555"/>
      <c r="W117" s="555"/>
      <c r="X117" s="554"/>
      <c r="Y117" s="639"/>
      <c r="Z117" s="554"/>
      <c r="AA117" s="555"/>
      <c r="AB117" s="555"/>
      <c r="AC117" s="554"/>
      <c r="AD117" s="639"/>
      <c r="AE117" s="554"/>
      <c r="AF117" s="555"/>
      <c r="AG117" s="555"/>
      <c r="AH117" s="554"/>
      <c r="AI117" s="639"/>
      <c r="AJ117" s="554"/>
      <c r="AK117" s="555"/>
      <c r="AL117" s="555"/>
      <c r="AM117" s="554"/>
      <c r="AN117" s="639"/>
      <c r="AO117" s="554"/>
      <c r="AP117" s="555"/>
      <c r="AQ117" s="555"/>
      <c r="AR117" s="554"/>
      <c r="AS117" s="639"/>
      <c r="AT117" s="554"/>
      <c r="AU117" s="555"/>
      <c r="AV117" s="555"/>
      <c r="AW117" s="554"/>
      <c r="AX117" s="639"/>
      <c r="AZ117" s="372" t="e">
        <f t="shared" si="21"/>
        <v>#N/A</v>
      </c>
      <c r="BA117" s="639"/>
    </row>
    <row r="118" spans="2:53">
      <c r="B118" s="649"/>
      <c r="C118" s="283">
        <v>7</v>
      </c>
      <c r="D118" s="201"/>
      <c r="E118" s="201"/>
      <c r="F118" s="201"/>
      <c r="G118" s="514"/>
      <c r="H118" s="639"/>
      <c r="I118" s="363" t="str">
        <f t="shared" si="23"/>
        <v>-</v>
      </c>
      <c r="J118" s="363" t="str">
        <f t="shared" si="24"/>
        <v>-</v>
      </c>
      <c r="K118" s="199" t="str">
        <f t="shared" si="25"/>
        <v>-</v>
      </c>
      <c r="L118" s="659"/>
      <c r="M118" s="198" t="e">
        <f>RANK(K118, K$112:$K$141)</f>
        <v>#VALUE!</v>
      </c>
      <c r="N118" s="643"/>
      <c r="O118" s="643"/>
      <c r="P118" s="554"/>
      <c r="Q118" s="555"/>
      <c r="R118" s="555"/>
      <c r="S118" s="554"/>
      <c r="T118" s="639"/>
      <c r="U118" s="554"/>
      <c r="V118" s="555"/>
      <c r="W118" s="555"/>
      <c r="X118" s="554"/>
      <c r="Y118" s="639"/>
      <c r="Z118" s="554"/>
      <c r="AA118" s="555"/>
      <c r="AB118" s="555"/>
      <c r="AC118" s="554"/>
      <c r="AD118" s="639"/>
      <c r="AE118" s="554"/>
      <c r="AF118" s="555"/>
      <c r="AG118" s="555"/>
      <c r="AH118" s="554"/>
      <c r="AI118" s="639"/>
      <c r="AJ118" s="554"/>
      <c r="AK118" s="555"/>
      <c r="AL118" s="555"/>
      <c r="AM118" s="554"/>
      <c r="AN118" s="639"/>
      <c r="AO118" s="554"/>
      <c r="AP118" s="555"/>
      <c r="AQ118" s="555"/>
      <c r="AR118" s="554"/>
      <c r="AS118" s="639"/>
      <c r="AT118" s="554"/>
      <c r="AU118" s="555"/>
      <c r="AV118" s="555"/>
      <c r="AW118" s="554"/>
      <c r="AX118" s="639"/>
      <c r="AZ118" s="372" t="e">
        <f t="shared" si="21"/>
        <v>#N/A</v>
      </c>
      <c r="BA118" s="639"/>
    </row>
    <row r="119" spans="2:53">
      <c r="B119" s="649"/>
      <c r="C119" s="283">
        <v>8</v>
      </c>
      <c r="D119" s="201"/>
      <c r="E119" s="201"/>
      <c r="F119" s="201"/>
      <c r="G119" s="514"/>
      <c r="H119" s="639"/>
      <c r="I119" s="363" t="str">
        <f t="shared" si="23"/>
        <v>-</v>
      </c>
      <c r="J119" s="363" t="str">
        <f t="shared" si="24"/>
        <v>-</v>
      </c>
      <c r="K119" s="199" t="str">
        <f t="shared" si="25"/>
        <v>-</v>
      </c>
      <c r="L119" s="659"/>
      <c r="M119" s="198" t="e">
        <f>RANK(K119, K$112:$K$141)</f>
        <v>#VALUE!</v>
      </c>
      <c r="N119" s="643"/>
      <c r="O119" s="643"/>
      <c r="P119" s="554"/>
      <c r="Q119" s="555"/>
      <c r="R119" s="555"/>
      <c r="S119" s="554"/>
      <c r="T119" s="639"/>
      <c r="U119" s="554"/>
      <c r="V119" s="555"/>
      <c r="W119" s="555"/>
      <c r="X119" s="554"/>
      <c r="Y119" s="639"/>
      <c r="Z119" s="554"/>
      <c r="AA119" s="555"/>
      <c r="AB119" s="555"/>
      <c r="AC119" s="554"/>
      <c r="AD119" s="639"/>
      <c r="AE119" s="554"/>
      <c r="AF119" s="555"/>
      <c r="AG119" s="555"/>
      <c r="AH119" s="554"/>
      <c r="AI119" s="639"/>
      <c r="AJ119" s="554"/>
      <c r="AK119" s="555"/>
      <c r="AL119" s="555"/>
      <c r="AM119" s="554"/>
      <c r="AN119" s="639"/>
      <c r="AO119" s="554"/>
      <c r="AP119" s="555"/>
      <c r="AQ119" s="555"/>
      <c r="AR119" s="554"/>
      <c r="AS119" s="639"/>
      <c r="AT119" s="554"/>
      <c r="AU119" s="555"/>
      <c r="AV119" s="555"/>
      <c r="AW119" s="554"/>
      <c r="AX119" s="639"/>
      <c r="AZ119" s="372" t="e">
        <f t="shared" si="21"/>
        <v>#N/A</v>
      </c>
      <c r="BA119" s="639"/>
    </row>
    <row r="120" spans="2:53">
      <c r="B120" s="649"/>
      <c r="C120" s="283">
        <v>9</v>
      </c>
      <c r="D120" s="201"/>
      <c r="E120" s="201"/>
      <c r="F120" s="201"/>
      <c r="G120" s="514"/>
      <c r="H120" s="639"/>
      <c r="I120" s="363" t="str">
        <f t="shared" si="23"/>
        <v>-</v>
      </c>
      <c r="J120" s="363" t="str">
        <f t="shared" si="24"/>
        <v>-</v>
      </c>
      <c r="K120" s="199" t="str">
        <f t="shared" si="25"/>
        <v>-</v>
      </c>
      <c r="L120" s="659"/>
      <c r="M120" s="198" t="e">
        <f>RANK(K120, K$112:$K$141)</f>
        <v>#VALUE!</v>
      </c>
      <c r="N120" s="643"/>
      <c r="O120" s="643"/>
      <c r="P120" s="554"/>
      <c r="Q120" s="555"/>
      <c r="R120" s="555"/>
      <c r="S120" s="554"/>
      <c r="T120" s="639"/>
      <c r="U120" s="554"/>
      <c r="V120" s="555"/>
      <c r="W120" s="555"/>
      <c r="X120" s="554"/>
      <c r="Y120" s="639"/>
      <c r="Z120" s="554"/>
      <c r="AA120" s="555"/>
      <c r="AB120" s="555"/>
      <c r="AC120" s="554"/>
      <c r="AD120" s="639"/>
      <c r="AE120" s="554"/>
      <c r="AF120" s="555"/>
      <c r="AG120" s="555"/>
      <c r="AH120" s="554"/>
      <c r="AI120" s="639"/>
      <c r="AJ120" s="554"/>
      <c r="AK120" s="555"/>
      <c r="AL120" s="555"/>
      <c r="AM120" s="554"/>
      <c r="AN120" s="639"/>
      <c r="AO120" s="554"/>
      <c r="AP120" s="555"/>
      <c r="AQ120" s="555"/>
      <c r="AR120" s="554"/>
      <c r="AS120" s="639"/>
      <c r="AT120" s="554"/>
      <c r="AU120" s="555"/>
      <c r="AV120" s="555"/>
      <c r="AW120" s="554"/>
      <c r="AX120" s="639"/>
      <c r="AZ120" s="372" t="e">
        <f t="shared" si="21"/>
        <v>#N/A</v>
      </c>
      <c r="BA120" s="639"/>
    </row>
    <row r="121" spans="2:53">
      <c r="B121" s="649"/>
      <c r="C121" s="283">
        <v>10</v>
      </c>
      <c r="D121" s="201"/>
      <c r="E121" s="201"/>
      <c r="F121" s="201"/>
      <c r="G121" s="514"/>
      <c r="H121" s="639"/>
      <c r="I121" s="363" t="str">
        <f t="shared" si="23"/>
        <v>-</v>
      </c>
      <c r="J121" s="363" t="str">
        <f t="shared" si="24"/>
        <v>-</v>
      </c>
      <c r="K121" s="199" t="str">
        <f t="shared" si="25"/>
        <v>-</v>
      </c>
      <c r="L121" s="659"/>
      <c r="M121" s="198" t="e">
        <f>RANK(K121, K$112:$K$141)</f>
        <v>#VALUE!</v>
      </c>
      <c r="N121" s="643"/>
      <c r="O121" s="643"/>
      <c r="P121" s="554"/>
      <c r="Q121" s="555"/>
      <c r="R121" s="555"/>
      <c r="S121" s="554"/>
      <c r="T121" s="639"/>
      <c r="U121" s="554"/>
      <c r="V121" s="555"/>
      <c r="W121" s="555"/>
      <c r="X121" s="554"/>
      <c r="Y121" s="639"/>
      <c r="Z121" s="554"/>
      <c r="AA121" s="555"/>
      <c r="AB121" s="555"/>
      <c r="AC121" s="554"/>
      <c r="AD121" s="639"/>
      <c r="AE121" s="554"/>
      <c r="AF121" s="555"/>
      <c r="AG121" s="555"/>
      <c r="AH121" s="554"/>
      <c r="AI121" s="639"/>
      <c r="AJ121" s="554"/>
      <c r="AK121" s="555"/>
      <c r="AL121" s="555"/>
      <c r="AM121" s="554"/>
      <c r="AN121" s="639"/>
      <c r="AO121" s="554"/>
      <c r="AP121" s="555"/>
      <c r="AQ121" s="555"/>
      <c r="AR121" s="554"/>
      <c r="AS121" s="639"/>
      <c r="AT121" s="554"/>
      <c r="AU121" s="555"/>
      <c r="AV121" s="555"/>
      <c r="AW121" s="554"/>
      <c r="AX121" s="639"/>
      <c r="AZ121" s="372" t="e">
        <f t="shared" si="21"/>
        <v>#N/A</v>
      </c>
      <c r="BA121" s="639"/>
    </row>
    <row r="122" spans="2:53">
      <c r="B122" s="649"/>
      <c r="C122" s="283">
        <v>11</v>
      </c>
      <c r="D122" s="201"/>
      <c r="E122" s="201"/>
      <c r="F122" s="201"/>
      <c r="G122" s="514"/>
      <c r="H122" s="639"/>
      <c r="I122" s="363" t="str">
        <f t="shared" si="23"/>
        <v>-</v>
      </c>
      <c r="J122" s="363" t="str">
        <f t="shared" si="24"/>
        <v>-</v>
      </c>
      <c r="K122" s="199" t="str">
        <f t="shared" si="25"/>
        <v>-</v>
      </c>
      <c r="L122" s="659"/>
      <c r="M122" s="198" t="e">
        <f>RANK(K122, K$112:$K$141)</f>
        <v>#VALUE!</v>
      </c>
      <c r="N122" s="643"/>
      <c r="O122" s="643"/>
      <c r="P122" s="554"/>
      <c r="Q122" s="555"/>
      <c r="R122" s="555"/>
      <c r="S122" s="554"/>
      <c r="T122" s="639"/>
      <c r="U122" s="554"/>
      <c r="V122" s="555"/>
      <c r="W122" s="555"/>
      <c r="X122" s="554"/>
      <c r="Y122" s="639"/>
      <c r="Z122" s="554"/>
      <c r="AA122" s="555"/>
      <c r="AB122" s="555"/>
      <c r="AC122" s="554"/>
      <c r="AD122" s="639"/>
      <c r="AE122" s="554"/>
      <c r="AF122" s="555"/>
      <c r="AG122" s="555"/>
      <c r="AH122" s="554"/>
      <c r="AI122" s="639"/>
      <c r="AJ122" s="554"/>
      <c r="AK122" s="555"/>
      <c r="AL122" s="555"/>
      <c r="AM122" s="554"/>
      <c r="AN122" s="639"/>
      <c r="AO122" s="554"/>
      <c r="AP122" s="555"/>
      <c r="AQ122" s="555"/>
      <c r="AR122" s="554"/>
      <c r="AS122" s="639"/>
      <c r="AT122" s="554"/>
      <c r="AU122" s="555"/>
      <c r="AV122" s="555"/>
      <c r="AW122" s="554"/>
      <c r="AX122" s="639"/>
      <c r="AZ122" s="372" t="e">
        <f t="shared" si="21"/>
        <v>#N/A</v>
      </c>
      <c r="BA122" s="639"/>
    </row>
    <row r="123" spans="2:53">
      <c r="B123" s="649"/>
      <c r="C123" s="283">
        <v>12</v>
      </c>
      <c r="D123" s="515"/>
      <c r="E123" s="201"/>
      <c r="F123" s="201"/>
      <c r="G123" s="514"/>
      <c r="H123" s="639"/>
      <c r="I123" s="363" t="str">
        <f t="shared" si="23"/>
        <v>-</v>
      </c>
      <c r="J123" s="363" t="str">
        <f t="shared" si="24"/>
        <v>-</v>
      </c>
      <c r="K123" s="199" t="str">
        <f t="shared" si="25"/>
        <v>-</v>
      </c>
      <c r="L123" s="659"/>
      <c r="M123" s="198" t="e">
        <f>RANK(K123, K$112:$K$141)</f>
        <v>#VALUE!</v>
      </c>
      <c r="N123" s="643"/>
      <c r="O123" s="643"/>
      <c r="P123" s="554"/>
      <c r="Q123" s="555"/>
      <c r="R123" s="555"/>
      <c r="S123" s="554"/>
      <c r="T123" s="639"/>
      <c r="U123" s="554"/>
      <c r="V123" s="555"/>
      <c r="W123" s="555"/>
      <c r="X123" s="554"/>
      <c r="Y123" s="639"/>
      <c r="Z123" s="554"/>
      <c r="AA123" s="555"/>
      <c r="AB123" s="555"/>
      <c r="AC123" s="554"/>
      <c r="AD123" s="639"/>
      <c r="AE123" s="554"/>
      <c r="AF123" s="555"/>
      <c r="AG123" s="555"/>
      <c r="AH123" s="554"/>
      <c r="AI123" s="639"/>
      <c r="AJ123" s="554"/>
      <c r="AK123" s="555"/>
      <c r="AL123" s="555"/>
      <c r="AM123" s="554"/>
      <c r="AN123" s="639"/>
      <c r="AO123" s="554"/>
      <c r="AP123" s="555"/>
      <c r="AQ123" s="555"/>
      <c r="AR123" s="554"/>
      <c r="AS123" s="639"/>
      <c r="AT123" s="554"/>
      <c r="AU123" s="555"/>
      <c r="AV123" s="555"/>
      <c r="AW123" s="554"/>
      <c r="AX123" s="639"/>
      <c r="AZ123" s="372" t="e">
        <f t="shared" si="21"/>
        <v>#N/A</v>
      </c>
      <c r="BA123" s="639"/>
    </row>
    <row r="124" spans="2:53">
      <c r="B124" s="649"/>
      <c r="C124" s="283">
        <v>13</v>
      </c>
      <c r="D124" s="201"/>
      <c r="E124" s="201"/>
      <c r="F124" s="201"/>
      <c r="G124" s="514"/>
      <c r="H124" s="639"/>
      <c r="I124" s="363" t="str">
        <f t="shared" si="23"/>
        <v>-</v>
      </c>
      <c r="J124" s="363" t="str">
        <f t="shared" si="24"/>
        <v>-</v>
      </c>
      <c r="K124" s="199" t="str">
        <f t="shared" si="25"/>
        <v>-</v>
      </c>
      <c r="L124" s="659"/>
      <c r="M124" s="198" t="e">
        <f>RANK(K124, K$112:$K$141)</f>
        <v>#VALUE!</v>
      </c>
      <c r="N124" s="643"/>
      <c r="O124" s="643"/>
      <c r="P124" s="554"/>
      <c r="Q124" s="555"/>
      <c r="R124" s="555"/>
      <c r="S124" s="554"/>
      <c r="T124" s="639"/>
      <c r="U124" s="554"/>
      <c r="V124" s="555"/>
      <c r="W124" s="555"/>
      <c r="X124" s="554"/>
      <c r="Y124" s="639"/>
      <c r="Z124" s="554"/>
      <c r="AA124" s="555"/>
      <c r="AB124" s="555"/>
      <c r="AC124" s="554"/>
      <c r="AD124" s="639"/>
      <c r="AE124" s="554"/>
      <c r="AF124" s="555"/>
      <c r="AG124" s="555"/>
      <c r="AH124" s="554"/>
      <c r="AI124" s="639"/>
      <c r="AJ124" s="554"/>
      <c r="AK124" s="555"/>
      <c r="AL124" s="555"/>
      <c r="AM124" s="554"/>
      <c r="AN124" s="639"/>
      <c r="AO124" s="554"/>
      <c r="AP124" s="555"/>
      <c r="AQ124" s="555"/>
      <c r="AR124" s="554"/>
      <c r="AS124" s="639"/>
      <c r="AT124" s="554"/>
      <c r="AU124" s="555"/>
      <c r="AV124" s="555"/>
      <c r="AW124" s="554"/>
      <c r="AX124" s="639"/>
      <c r="AZ124" s="372" t="e">
        <f t="shared" si="21"/>
        <v>#N/A</v>
      </c>
      <c r="BA124" s="639"/>
    </row>
    <row r="125" spans="2:53">
      <c r="B125" s="649"/>
      <c r="C125" s="283">
        <v>14</v>
      </c>
      <c r="D125" s="201"/>
      <c r="E125" s="201"/>
      <c r="F125" s="201"/>
      <c r="G125" s="514"/>
      <c r="H125" s="639"/>
      <c r="I125" s="363" t="str">
        <f t="shared" si="23"/>
        <v>-</v>
      </c>
      <c r="J125" s="363" t="str">
        <f t="shared" si="24"/>
        <v>-</v>
      </c>
      <c r="K125" s="199" t="str">
        <f t="shared" si="25"/>
        <v>-</v>
      </c>
      <c r="L125" s="659"/>
      <c r="M125" s="198" t="e">
        <f>RANK(K125, K$112:$K$141)</f>
        <v>#VALUE!</v>
      </c>
      <c r="N125" s="643"/>
      <c r="O125" s="643"/>
      <c r="P125" s="554"/>
      <c r="Q125" s="555"/>
      <c r="R125" s="555"/>
      <c r="S125" s="554"/>
      <c r="T125" s="639"/>
      <c r="U125" s="554"/>
      <c r="V125" s="555"/>
      <c r="W125" s="555"/>
      <c r="X125" s="554"/>
      <c r="Y125" s="639"/>
      <c r="Z125" s="554"/>
      <c r="AA125" s="555"/>
      <c r="AB125" s="555"/>
      <c r="AC125" s="554"/>
      <c r="AD125" s="639"/>
      <c r="AE125" s="554"/>
      <c r="AF125" s="555"/>
      <c r="AG125" s="555"/>
      <c r="AH125" s="554"/>
      <c r="AI125" s="639"/>
      <c r="AJ125" s="554"/>
      <c r="AK125" s="555"/>
      <c r="AL125" s="555"/>
      <c r="AM125" s="554"/>
      <c r="AN125" s="639"/>
      <c r="AO125" s="554"/>
      <c r="AP125" s="555"/>
      <c r="AQ125" s="555"/>
      <c r="AR125" s="554"/>
      <c r="AS125" s="639"/>
      <c r="AT125" s="554"/>
      <c r="AU125" s="555"/>
      <c r="AV125" s="555"/>
      <c r="AW125" s="554"/>
      <c r="AX125" s="639"/>
      <c r="AZ125" s="372" t="e">
        <f t="shared" si="21"/>
        <v>#N/A</v>
      </c>
      <c r="BA125" s="639"/>
    </row>
    <row r="126" spans="2:53">
      <c r="B126" s="649"/>
      <c r="C126" s="283">
        <v>15</v>
      </c>
      <c r="D126" s="515"/>
      <c r="E126" s="201"/>
      <c r="F126" s="201"/>
      <c r="G126" s="514"/>
      <c r="H126" s="639"/>
      <c r="I126" s="363" t="str">
        <f t="shared" si="23"/>
        <v>-</v>
      </c>
      <c r="J126" s="363" t="str">
        <f t="shared" si="24"/>
        <v>-</v>
      </c>
      <c r="K126" s="199" t="str">
        <f t="shared" si="25"/>
        <v>-</v>
      </c>
      <c r="L126" s="659"/>
      <c r="M126" s="198" t="e">
        <f>RANK(K126, K$112:$K$141)</f>
        <v>#VALUE!</v>
      </c>
      <c r="N126" s="643"/>
      <c r="O126" s="643"/>
      <c r="P126" s="554"/>
      <c r="Q126" s="555"/>
      <c r="R126" s="555"/>
      <c r="S126" s="554"/>
      <c r="T126" s="639"/>
      <c r="U126" s="554"/>
      <c r="V126" s="555"/>
      <c r="W126" s="555"/>
      <c r="X126" s="554"/>
      <c r="Y126" s="639"/>
      <c r="Z126" s="554"/>
      <c r="AA126" s="555"/>
      <c r="AB126" s="555"/>
      <c r="AC126" s="554"/>
      <c r="AD126" s="639"/>
      <c r="AE126" s="554"/>
      <c r="AF126" s="555"/>
      <c r="AG126" s="555"/>
      <c r="AH126" s="554"/>
      <c r="AI126" s="639"/>
      <c r="AJ126" s="554"/>
      <c r="AK126" s="555"/>
      <c r="AL126" s="555"/>
      <c r="AM126" s="554"/>
      <c r="AN126" s="639"/>
      <c r="AO126" s="554"/>
      <c r="AP126" s="555"/>
      <c r="AQ126" s="555"/>
      <c r="AR126" s="554"/>
      <c r="AS126" s="639"/>
      <c r="AT126" s="554"/>
      <c r="AU126" s="555"/>
      <c r="AV126" s="555"/>
      <c r="AW126" s="554"/>
      <c r="AX126" s="639"/>
      <c r="AZ126" s="372" t="e">
        <f t="shared" si="21"/>
        <v>#N/A</v>
      </c>
      <c r="BA126" s="639"/>
    </row>
    <row r="127" spans="2:53">
      <c r="B127" s="649"/>
      <c r="C127" s="283">
        <v>16</v>
      </c>
      <c r="D127" s="201"/>
      <c r="E127" s="201"/>
      <c r="F127" s="201"/>
      <c r="G127" s="514"/>
      <c r="H127" s="639"/>
      <c r="I127" s="363" t="str">
        <f t="shared" si="23"/>
        <v>-</v>
      </c>
      <c r="J127" s="363" t="str">
        <f t="shared" si="24"/>
        <v>-</v>
      </c>
      <c r="K127" s="199" t="str">
        <f t="shared" si="25"/>
        <v>-</v>
      </c>
      <c r="L127" s="659"/>
      <c r="M127" s="198" t="e">
        <f>RANK(K127, K$112:$K$141)</f>
        <v>#VALUE!</v>
      </c>
      <c r="N127" s="643"/>
      <c r="O127" s="643"/>
      <c r="P127" s="554"/>
      <c r="Q127" s="555"/>
      <c r="R127" s="555"/>
      <c r="S127" s="554"/>
      <c r="T127" s="639"/>
      <c r="U127" s="554"/>
      <c r="V127" s="555"/>
      <c r="W127" s="555"/>
      <c r="X127" s="554"/>
      <c r="Y127" s="639"/>
      <c r="Z127" s="554"/>
      <c r="AA127" s="555"/>
      <c r="AB127" s="555"/>
      <c r="AC127" s="554"/>
      <c r="AD127" s="639"/>
      <c r="AE127" s="554"/>
      <c r="AF127" s="555"/>
      <c r="AG127" s="555"/>
      <c r="AH127" s="554"/>
      <c r="AI127" s="639"/>
      <c r="AJ127" s="554"/>
      <c r="AK127" s="555"/>
      <c r="AL127" s="555"/>
      <c r="AM127" s="554"/>
      <c r="AN127" s="639"/>
      <c r="AO127" s="554"/>
      <c r="AP127" s="555"/>
      <c r="AQ127" s="555"/>
      <c r="AR127" s="554"/>
      <c r="AS127" s="639"/>
      <c r="AT127" s="554"/>
      <c r="AU127" s="555"/>
      <c r="AV127" s="555"/>
      <c r="AW127" s="554"/>
      <c r="AX127" s="639"/>
      <c r="AZ127" s="372" t="e">
        <f t="shared" si="21"/>
        <v>#N/A</v>
      </c>
      <c r="BA127" s="639"/>
    </row>
    <row r="128" spans="2:53">
      <c r="B128" s="649"/>
      <c r="C128" s="283">
        <v>17</v>
      </c>
      <c r="D128" s="201"/>
      <c r="E128" s="201"/>
      <c r="F128" s="201"/>
      <c r="G128" s="514"/>
      <c r="H128" s="639"/>
      <c r="I128" s="363" t="str">
        <f t="shared" si="23"/>
        <v>-</v>
      </c>
      <c r="J128" s="363" t="str">
        <f t="shared" si="24"/>
        <v>-</v>
      </c>
      <c r="K128" s="199" t="str">
        <f t="shared" si="25"/>
        <v>-</v>
      </c>
      <c r="L128" s="659"/>
      <c r="M128" s="198" t="e">
        <f>RANK(K128, K$112:$K$141)</f>
        <v>#VALUE!</v>
      </c>
      <c r="N128" s="643"/>
      <c r="O128" s="643"/>
      <c r="P128" s="554"/>
      <c r="Q128" s="555"/>
      <c r="R128" s="555"/>
      <c r="S128" s="554"/>
      <c r="T128" s="639"/>
      <c r="U128" s="554"/>
      <c r="V128" s="555"/>
      <c r="W128" s="555"/>
      <c r="X128" s="554"/>
      <c r="Y128" s="639"/>
      <c r="Z128" s="554"/>
      <c r="AA128" s="555"/>
      <c r="AB128" s="555"/>
      <c r="AC128" s="554"/>
      <c r="AD128" s="639"/>
      <c r="AE128" s="554"/>
      <c r="AF128" s="555"/>
      <c r="AG128" s="555"/>
      <c r="AH128" s="554"/>
      <c r="AI128" s="639"/>
      <c r="AJ128" s="554"/>
      <c r="AK128" s="555"/>
      <c r="AL128" s="555"/>
      <c r="AM128" s="554"/>
      <c r="AN128" s="639"/>
      <c r="AO128" s="554"/>
      <c r="AP128" s="555"/>
      <c r="AQ128" s="555"/>
      <c r="AR128" s="554"/>
      <c r="AS128" s="639"/>
      <c r="AT128" s="554"/>
      <c r="AU128" s="555"/>
      <c r="AV128" s="555"/>
      <c r="AW128" s="554"/>
      <c r="AX128" s="639"/>
      <c r="AZ128" s="372" t="e">
        <f t="shared" si="21"/>
        <v>#N/A</v>
      </c>
      <c r="BA128" s="639"/>
    </row>
    <row r="129" spans="2:53">
      <c r="B129" s="649"/>
      <c r="C129" s="283">
        <v>18</v>
      </c>
      <c r="D129" s="515"/>
      <c r="E129" s="201"/>
      <c r="F129" s="201"/>
      <c r="G129" s="514"/>
      <c r="H129" s="639"/>
      <c r="I129" s="363" t="str">
        <f t="shared" si="23"/>
        <v>-</v>
      </c>
      <c r="J129" s="363" t="str">
        <f t="shared" si="24"/>
        <v>-</v>
      </c>
      <c r="K129" s="199" t="str">
        <f t="shared" si="25"/>
        <v>-</v>
      </c>
      <c r="L129" s="659"/>
      <c r="M129" s="198" t="e">
        <f>RANK(K129, K$112:$K$141)</f>
        <v>#VALUE!</v>
      </c>
      <c r="N129" s="643"/>
      <c r="O129" s="643"/>
      <c r="P129" s="554"/>
      <c r="Q129" s="555"/>
      <c r="R129" s="555"/>
      <c r="S129" s="554"/>
      <c r="T129" s="639"/>
      <c r="U129" s="554"/>
      <c r="V129" s="555"/>
      <c r="W129" s="555"/>
      <c r="X129" s="554"/>
      <c r="Y129" s="639"/>
      <c r="Z129" s="554"/>
      <c r="AA129" s="555"/>
      <c r="AB129" s="555"/>
      <c r="AC129" s="554"/>
      <c r="AD129" s="639"/>
      <c r="AE129" s="554"/>
      <c r="AF129" s="555"/>
      <c r="AG129" s="555"/>
      <c r="AH129" s="554"/>
      <c r="AI129" s="639"/>
      <c r="AJ129" s="554"/>
      <c r="AK129" s="555"/>
      <c r="AL129" s="555"/>
      <c r="AM129" s="554"/>
      <c r="AN129" s="639"/>
      <c r="AO129" s="554"/>
      <c r="AP129" s="555"/>
      <c r="AQ129" s="555"/>
      <c r="AR129" s="554"/>
      <c r="AS129" s="639"/>
      <c r="AT129" s="554"/>
      <c r="AU129" s="555"/>
      <c r="AV129" s="555"/>
      <c r="AW129" s="554"/>
      <c r="AX129" s="639"/>
      <c r="AZ129" s="372" t="e">
        <f t="shared" si="21"/>
        <v>#N/A</v>
      </c>
      <c r="BA129" s="639"/>
    </row>
    <row r="130" spans="2:53">
      <c r="B130" s="649"/>
      <c r="C130" s="283">
        <v>19</v>
      </c>
      <c r="D130" s="515"/>
      <c r="E130" s="201"/>
      <c r="F130" s="201"/>
      <c r="G130" s="514"/>
      <c r="H130" s="639"/>
      <c r="I130" s="363" t="str">
        <f t="shared" si="23"/>
        <v>-</v>
      </c>
      <c r="J130" s="363" t="str">
        <f t="shared" si="24"/>
        <v>-</v>
      </c>
      <c r="K130" s="199" t="str">
        <f t="shared" si="25"/>
        <v>-</v>
      </c>
      <c r="L130" s="659"/>
      <c r="M130" s="198" t="e">
        <f>RANK(K130, K$112:$K$141)</f>
        <v>#VALUE!</v>
      </c>
      <c r="N130" s="643"/>
      <c r="O130" s="643"/>
      <c r="P130" s="554"/>
      <c r="Q130" s="555"/>
      <c r="R130" s="555"/>
      <c r="S130" s="554"/>
      <c r="T130" s="639"/>
      <c r="U130" s="554"/>
      <c r="V130" s="555"/>
      <c r="W130" s="555"/>
      <c r="X130" s="554"/>
      <c r="Y130" s="639"/>
      <c r="Z130" s="554"/>
      <c r="AA130" s="555"/>
      <c r="AB130" s="555"/>
      <c r="AC130" s="554"/>
      <c r="AD130" s="639"/>
      <c r="AE130" s="554"/>
      <c r="AF130" s="555"/>
      <c r="AG130" s="555"/>
      <c r="AH130" s="554"/>
      <c r="AI130" s="639"/>
      <c r="AJ130" s="554"/>
      <c r="AK130" s="555"/>
      <c r="AL130" s="555"/>
      <c r="AM130" s="554"/>
      <c r="AN130" s="639"/>
      <c r="AO130" s="554"/>
      <c r="AP130" s="555"/>
      <c r="AQ130" s="555"/>
      <c r="AR130" s="554"/>
      <c r="AS130" s="639"/>
      <c r="AT130" s="554"/>
      <c r="AU130" s="555"/>
      <c r="AV130" s="555"/>
      <c r="AW130" s="554"/>
      <c r="AX130" s="639"/>
      <c r="AZ130" s="372" t="e">
        <f t="shared" si="21"/>
        <v>#N/A</v>
      </c>
      <c r="BA130" s="639"/>
    </row>
    <row r="131" spans="2:53">
      <c r="B131" s="649"/>
      <c r="C131" s="283">
        <v>20</v>
      </c>
      <c r="D131" s="515"/>
      <c r="E131" s="201"/>
      <c r="F131" s="201"/>
      <c r="G131" s="514"/>
      <c r="H131" s="639"/>
      <c r="I131" s="363" t="str">
        <f t="shared" si="23"/>
        <v>-</v>
      </c>
      <c r="J131" s="363" t="str">
        <f t="shared" si="24"/>
        <v>-</v>
      </c>
      <c r="K131" s="199" t="str">
        <f t="shared" si="25"/>
        <v>-</v>
      </c>
      <c r="L131" s="659"/>
      <c r="M131" s="198" t="e">
        <f>RANK(K131, K$112:$K$141)</f>
        <v>#VALUE!</v>
      </c>
      <c r="N131" s="643"/>
      <c r="O131" s="643"/>
      <c r="P131" s="554"/>
      <c r="Q131" s="555"/>
      <c r="R131" s="555"/>
      <c r="S131" s="554"/>
      <c r="T131" s="639"/>
      <c r="U131" s="554"/>
      <c r="V131" s="555"/>
      <c r="W131" s="555"/>
      <c r="X131" s="554"/>
      <c r="Y131" s="639"/>
      <c r="Z131" s="554"/>
      <c r="AA131" s="555"/>
      <c r="AB131" s="555"/>
      <c r="AC131" s="554"/>
      <c r="AD131" s="639"/>
      <c r="AE131" s="554"/>
      <c r="AF131" s="555"/>
      <c r="AG131" s="555"/>
      <c r="AH131" s="554"/>
      <c r="AI131" s="639"/>
      <c r="AJ131" s="554"/>
      <c r="AK131" s="555"/>
      <c r="AL131" s="555"/>
      <c r="AM131" s="554"/>
      <c r="AN131" s="639"/>
      <c r="AO131" s="554"/>
      <c r="AP131" s="555"/>
      <c r="AQ131" s="555"/>
      <c r="AR131" s="554"/>
      <c r="AS131" s="639"/>
      <c r="AT131" s="554"/>
      <c r="AU131" s="555"/>
      <c r="AV131" s="555"/>
      <c r="AW131" s="554"/>
      <c r="AX131" s="639"/>
      <c r="AZ131" s="372" t="e">
        <f t="shared" si="21"/>
        <v>#N/A</v>
      </c>
      <c r="BA131" s="639"/>
    </row>
    <row r="132" spans="2:53">
      <c r="B132" s="649"/>
      <c r="C132" s="283">
        <v>21</v>
      </c>
      <c r="D132" s="515"/>
      <c r="E132" s="201"/>
      <c r="F132" s="201"/>
      <c r="G132" s="514"/>
      <c r="H132" s="639"/>
      <c r="I132" s="363" t="str">
        <f t="shared" si="23"/>
        <v>-</v>
      </c>
      <c r="J132" s="363" t="str">
        <f t="shared" si="24"/>
        <v>-</v>
      </c>
      <c r="K132" s="199" t="str">
        <f t="shared" si="25"/>
        <v>-</v>
      </c>
      <c r="L132" s="659"/>
      <c r="M132" s="198" t="e">
        <f>RANK(K132, K$112:$K$141)</f>
        <v>#VALUE!</v>
      </c>
      <c r="N132" s="643"/>
      <c r="O132" s="643"/>
      <c r="P132" s="554"/>
      <c r="Q132" s="555"/>
      <c r="R132" s="555"/>
      <c r="S132" s="554"/>
      <c r="T132" s="639"/>
      <c r="U132" s="554"/>
      <c r="V132" s="555"/>
      <c r="W132" s="555"/>
      <c r="X132" s="554"/>
      <c r="Y132" s="639"/>
      <c r="Z132" s="554"/>
      <c r="AA132" s="555"/>
      <c r="AB132" s="555"/>
      <c r="AC132" s="554"/>
      <c r="AD132" s="639"/>
      <c r="AE132" s="554"/>
      <c r="AF132" s="555"/>
      <c r="AG132" s="555"/>
      <c r="AH132" s="554"/>
      <c r="AI132" s="639"/>
      <c r="AJ132" s="554"/>
      <c r="AK132" s="555"/>
      <c r="AL132" s="555"/>
      <c r="AM132" s="554"/>
      <c r="AN132" s="639"/>
      <c r="AO132" s="554"/>
      <c r="AP132" s="555"/>
      <c r="AQ132" s="555"/>
      <c r="AR132" s="554"/>
      <c r="AS132" s="639"/>
      <c r="AT132" s="554"/>
      <c r="AU132" s="555"/>
      <c r="AV132" s="555"/>
      <c r="AW132" s="554"/>
      <c r="AX132" s="639"/>
      <c r="AZ132" s="372" t="e">
        <f t="shared" si="21"/>
        <v>#N/A</v>
      </c>
      <c r="BA132" s="639"/>
    </row>
    <row r="133" spans="2:53">
      <c r="B133" s="649"/>
      <c r="C133" s="283">
        <v>22</v>
      </c>
      <c r="D133" s="515"/>
      <c r="E133" s="201"/>
      <c r="F133" s="201"/>
      <c r="G133" s="514"/>
      <c r="H133" s="639"/>
      <c r="I133" s="363" t="str">
        <f t="shared" si="23"/>
        <v>-</v>
      </c>
      <c r="J133" s="363" t="str">
        <f t="shared" si="24"/>
        <v>-</v>
      </c>
      <c r="K133" s="199" t="str">
        <f t="shared" si="25"/>
        <v>-</v>
      </c>
      <c r="L133" s="659"/>
      <c r="M133" s="198" t="e">
        <f>RANK(K133, K$112:$K$141)</f>
        <v>#VALUE!</v>
      </c>
      <c r="N133" s="643"/>
      <c r="O133" s="643"/>
      <c r="P133" s="554"/>
      <c r="Q133" s="555"/>
      <c r="R133" s="555"/>
      <c r="S133" s="554"/>
      <c r="T133" s="639"/>
      <c r="U133" s="554"/>
      <c r="V133" s="555"/>
      <c r="W133" s="555"/>
      <c r="X133" s="554"/>
      <c r="Y133" s="639"/>
      <c r="Z133" s="554"/>
      <c r="AA133" s="555"/>
      <c r="AB133" s="555"/>
      <c r="AC133" s="554"/>
      <c r="AD133" s="639"/>
      <c r="AE133" s="554"/>
      <c r="AF133" s="555"/>
      <c r="AG133" s="555"/>
      <c r="AH133" s="554"/>
      <c r="AI133" s="639"/>
      <c r="AJ133" s="554"/>
      <c r="AK133" s="555"/>
      <c r="AL133" s="555"/>
      <c r="AM133" s="554"/>
      <c r="AN133" s="639"/>
      <c r="AO133" s="554"/>
      <c r="AP133" s="555"/>
      <c r="AQ133" s="555"/>
      <c r="AR133" s="554"/>
      <c r="AS133" s="639"/>
      <c r="AT133" s="554"/>
      <c r="AU133" s="555"/>
      <c r="AV133" s="555"/>
      <c r="AW133" s="554"/>
      <c r="AX133" s="639"/>
      <c r="AZ133" s="372" t="e">
        <f t="shared" si="21"/>
        <v>#N/A</v>
      </c>
      <c r="BA133" s="639"/>
    </row>
    <row r="134" spans="2:53">
      <c r="B134" s="649"/>
      <c r="C134" s="283">
        <v>23</v>
      </c>
      <c r="D134" s="201"/>
      <c r="E134" s="201"/>
      <c r="F134" s="201"/>
      <c r="G134" s="514"/>
      <c r="H134" s="639"/>
      <c r="I134" s="363" t="str">
        <f t="shared" si="23"/>
        <v>-</v>
      </c>
      <c r="J134" s="363" t="str">
        <f t="shared" si="24"/>
        <v>-</v>
      </c>
      <c r="K134" s="199" t="str">
        <f t="shared" si="25"/>
        <v>-</v>
      </c>
      <c r="L134" s="659"/>
      <c r="M134" s="198" t="e">
        <f>RANK(K134, K$112:$K$141)</f>
        <v>#VALUE!</v>
      </c>
      <c r="N134" s="643"/>
      <c r="O134" s="643"/>
      <c r="P134" s="554"/>
      <c r="Q134" s="555"/>
      <c r="R134" s="555"/>
      <c r="S134" s="554"/>
      <c r="T134" s="639"/>
      <c r="U134" s="554"/>
      <c r="V134" s="555"/>
      <c r="W134" s="555"/>
      <c r="X134" s="554"/>
      <c r="Y134" s="639"/>
      <c r="Z134" s="554"/>
      <c r="AA134" s="555"/>
      <c r="AB134" s="555"/>
      <c r="AC134" s="554"/>
      <c r="AD134" s="639"/>
      <c r="AE134" s="554"/>
      <c r="AF134" s="555"/>
      <c r="AG134" s="555"/>
      <c r="AH134" s="554"/>
      <c r="AI134" s="639"/>
      <c r="AJ134" s="554"/>
      <c r="AK134" s="555"/>
      <c r="AL134" s="555"/>
      <c r="AM134" s="554"/>
      <c r="AN134" s="639"/>
      <c r="AO134" s="554"/>
      <c r="AP134" s="555"/>
      <c r="AQ134" s="555"/>
      <c r="AR134" s="554"/>
      <c r="AS134" s="639"/>
      <c r="AT134" s="554"/>
      <c r="AU134" s="555"/>
      <c r="AV134" s="555"/>
      <c r="AW134" s="554"/>
      <c r="AX134" s="639"/>
      <c r="AZ134" s="372" t="e">
        <f t="shared" si="21"/>
        <v>#N/A</v>
      </c>
      <c r="BA134" s="639"/>
    </row>
    <row r="135" spans="2:53">
      <c r="B135" s="649"/>
      <c r="C135" s="283">
        <v>24</v>
      </c>
      <c r="D135" s="515"/>
      <c r="E135" s="201"/>
      <c r="F135" s="201"/>
      <c r="G135" s="514"/>
      <c r="H135" s="639"/>
      <c r="I135" s="363" t="str">
        <f t="shared" si="23"/>
        <v>-</v>
      </c>
      <c r="J135" s="363" t="str">
        <f t="shared" si="24"/>
        <v>-</v>
      </c>
      <c r="K135" s="199" t="str">
        <f t="shared" si="25"/>
        <v>-</v>
      </c>
      <c r="L135" s="659"/>
      <c r="M135" s="198" t="e">
        <f>RANK(K135, K$112:$K$141)</f>
        <v>#VALUE!</v>
      </c>
      <c r="N135" s="643"/>
      <c r="O135" s="643"/>
      <c r="P135" s="554"/>
      <c r="Q135" s="555"/>
      <c r="R135" s="555"/>
      <c r="S135" s="554"/>
      <c r="T135" s="639"/>
      <c r="U135" s="554"/>
      <c r="V135" s="555"/>
      <c r="W135" s="555"/>
      <c r="X135" s="554"/>
      <c r="Y135" s="639"/>
      <c r="Z135" s="554"/>
      <c r="AA135" s="555"/>
      <c r="AB135" s="555"/>
      <c r="AC135" s="554"/>
      <c r="AD135" s="639"/>
      <c r="AE135" s="554"/>
      <c r="AF135" s="555"/>
      <c r="AG135" s="555"/>
      <c r="AH135" s="554"/>
      <c r="AI135" s="639"/>
      <c r="AJ135" s="554"/>
      <c r="AK135" s="555"/>
      <c r="AL135" s="555"/>
      <c r="AM135" s="554"/>
      <c r="AN135" s="639"/>
      <c r="AO135" s="554"/>
      <c r="AP135" s="555"/>
      <c r="AQ135" s="555"/>
      <c r="AR135" s="554"/>
      <c r="AS135" s="639"/>
      <c r="AT135" s="554"/>
      <c r="AU135" s="555"/>
      <c r="AV135" s="555"/>
      <c r="AW135" s="554"/>
      <c r="AX135" s="639"/>
      <c r="AZ135" s="372" t="e">
        <f t="shared" si="21"/>
        <v>#N/A</v>
      </c>
      <c r="BA135" s="639"/>
    </row>
    <row r="136" spans="2:53">
      <c r="B136" s="649"/>
      <c r="C136" s="283">
        <v>25</v>
      </c>
      <c r="D136" s="201"/>
      <c r="E136" s="201"/>
      <c r="F136" s="201"/>
      <c r="G136" s="514"/>
      <c r="H136" s="639"/>
      <c r="I136" s="363" t="str">
        <f t="shared" si="23"/>
        <v>-</v>
      </c>
      <c r="J136" s="363" t="str">
        <f t="shared" si="24"/>
        <v>-</v>
      </c>
      <c r="K136" s="199" t="str">
        <f t="shared" si="25"/>
        <v>-</v>
      </c>
      <c r="L136" s="659"/>
      <c r="M136" s="198" t="e">
        <f>RANK(K136, K$112:$K$141)</f>
        <v>#VALUE!</v>
      </c>
      <c r="N136" s="643"/>
      <c r="O136" s="643"/>
      <c r="P136" s="554"/>
      <c r="Q136" s="555"/>
      <c r="R136" s="555"/>
      <c r="S136" s="554"/>
      <c r="T136" s="639"/>
      <c r="U136" s="554"/>
      <c r="V136" s="555"/>
      <c r="W136" s="555"/>
      <c r="X136" s="554"/>
      <c r="Y136" s="639"/>
      <c r="Z136" s="554"/>
      <c r="AA136" s="555"/>
      <c r="AB136" s="555"/>
      <c r="AC136" s="554"/>
      <c r="AD136" s="639"/>
      <c r="AE136" s="554"/>
      <c r="AF136" s="555"/>
      <c r="AG136" s="555"/>
      <c r="AH136" s="554"/>
      <c r="AI136" s="639"/>
      <c r="AJ136" s="554"/>
      <c r="AK136" s="555"/>
      <c r="AL136" s="555"/>
      <c r="AM136" s="554"/>
      <c r="AN136" s="639"/>
      <c r="AO136" s="554"/>
      <c r="AP136" s="555"/>
      <c r="AQ136" s="555"/>
      <c r="AR136" s="554"/>
      <c r="AS136" s="639"/>
      <c r="AT136" s="554"/>
      <c r="AU136" s="555"/>
      <c r="AV136" s="555"/>
      <c r="AW136" s="554"/>
      <c r="AX136" s="639"/>
      <c r="AZ136" s="372" t="e">
        <f t="shared" si="21"/>
        <v>#N/A</v>
      </c>
      <c r="BA136" s="639"/>
    </row>
    <row r="137" spans="2:53">
      <c r="B137" s="649"/>
      <c r="C137" s="283">
        <v>26</v>
      </c>
      <c r="D137" s="201"/>
      <c r="E137" s="201"/>
      <c r="F137" s="201"/>
      <c r="G137" s="514"/>
      <c r="H137" s="639"/>
      <c r="I137" s="363" t="str">
        <f t="shared" si="23"/>
        <v>-</v>
      </c>
      <c r="J137" s="363" t="str">
        <f t="shared" si="24"/>
        <v>-</v>
      </c>
      <c r="K137" s="199" t="str">
        <f t="shared" si="25"/>
        <v>-</v>
      </c>
      <c r="L137" s="659"/>
      <c r="M137" s="198" t="e">
        <f>RANK(K137, K$112:$K$141)</f>
        <v>#VALUE!</v>
      </c>
      <c r="N137" s="643"/>
      <c r="O137" s="643"/>
      <c r="P137" s="554"/>
      <c r="Q137" s="555"/>
      <c r="R137" s="555"/>
      <c r="S137" s="554"/>
      <c r="T137" s="639"/>
      <c r="U137" s="554"/>
      <c r="V137" s="555"/>
      <c r="W137" s="555"/>
      <c r="X137" s="554"/>
      <c r="Y137" s="639"/>
      <c r="Z137" s="554"/>
      <c r="AA137" s="555"/>
      <c r="AB137" s="555"/>
      <c r="AC137" s="554"/>
      <c r="AD137" s="639"/>
      <c r="AE137" s="554"/>
      <c r="AF137" s="555"/>
      <c r="AG137" s="555"/>
      <c r="AH137" s="554"/>
      <c r="AI137" s="639"/>
      <c r="AJ137" s="554"/>
      <c r="AK137" s="555"/>
      <c r="AL137" s="555"/>
      <c r="AM137" s="554"/>
      <c r="AN137" s="639"/>
      <c r="AO137" s="554"/>
      <c r="AP137" s="555"/>
      <c r="AQ137" s="555"/>
      <c r="AR137" s="554"/>
      <c r="AS137" s="639"/>
      <c r="AT137" s="554"/>
      <c r="AU137" s="555"/>
      <c r="AV137" s="555"/>
      <c r="AW137" s="554"/>
      <c r="AX137" s="639"/>
      <c r="AZ137" s="372" t="e">
        <f t="shared" si="21"/>
        <v>#N/A</v>
      </c>
      <c r="BA137" s="639"/>
    </row>
    <row r="138" spans="2:53">
      <c r="B138" s="649"/>
      <c r="C138" s="283">
        <v>27</v>
      </c>
      <c r="D138" s="201"/>
      <c r="E138" s="201"/>
      <c r="F138" s="201"/>
      <c r="G138" s="514"/>
      <c r="H138" s="639"/>
      <c r="I138" s="363" t="str">
        <f t="shared" si="23"/>
        <v>-</v>
      </c>
      <c r="J138" s="363" t="str">
        <f t="shared" si="24"/>
        <v>-</v>
      </c>
      <c r="K138" s="199" t="str">
        <f t="shared" si="25"/>
        <v>-</v>
      </c>
      <c r="L138" s="659"/>
      <c r="M138" s="198" t="e">
        <f>RANK(K138, K$112:$K$141)</f>
        <v>#VALUE!</v>
      </c>
      <c r="N138" s="643"/>
      <c r="O138" s="643"/>
      <c r="P138" s="554"/>
      <c r="Q138" s="555"/>
      <c r="R138" s="555"/>
      <c r="S138" s="554"/>
      <c r="T138" s="639"/>
      <c r="U138" s="554"/>
      <c r="V138" s="555"/>
      <c r="W138" s="555"/>
      <c r="X138" s="554"/>
      <c r="Y138" s="639"/>
      <c r="Z138" s="554"/>
      <c r="AA138" s="555"/>
      <c r="AB138" s="555"/>
      <c r="AC138" s="554"/>
      <c r="AD138" s="639"/>
      <c r="AE138" s="554"/>
      <c r="AF138" s="555"/>
      <c r="AG138" s="555"/>
      <c r="AH138" s="554"/>
      <c r="AI138" s="639"/>
      <c r="AJ138" s="554"/>
      <c r="AK138" s="555"/>
      <c r="AL138" s="555"/>
      <c r="AM138" s="554"/>
      <c r="AN138" s="639"/>
      <c r="AO138" s="554"/>
      <c r="AP138" s="555"/>
      <c r="AQ138" s="555"/>
      <c r="AR138" s="554"/>
      <c r="AS138" s="639"/>
      <c r="AT138" s="554"/>
      <c r="AU138" s="555"/>
      <c r="AV138" s="555"/>
      <c r="AW138" s="554"/>
      <c r="AX138" s="639"/>
      <c r="AZ138" s="372" t="e">
        <f t="shared" si="21"/>
        <v>#N/A</v>
      </c>
      <c r="BA138" s="639"/>
    </row>
    <row r="139" spans="2:53">
      <c r="B139" s="649"/>
      <c r="C139" s="283">
        <v>28</v>
      </c>
      <c r="D139" s="201"/>
      <c r="E139" s="201"/>
      <c r="F139" s="201"/>
      <c r="G139" s="201"/>
      <c r="H139" s="639"/>
      <c r="I139" s="363" t="str">
        <f t="shared" si="23"/>
        <v>-</v>
      </c>
      <c r="J139" s="363" t="str">
        <f t="shared" si="24"/>
        <v>-</v>
      </c>
      <c r="K139" s="199" t="str">
        <f t="shared" si="25"/>
        <v>-</v>
      </c>
      <c r="L139" s="659"/>
      <c r="M139" s="198" t="e">
        <f>RANK(K139, K$112:$K$141)</f>
        <v>#VALUE!</v>
      </c>
      <c r="N139" s="643"/>
      <c r="O139" s="643"/>
      <c r="P139" s="554"/>
      <c r="Q139" s="555"/>
      <c r="R139" s="555"/>
      <c r="S139" s="554"/>
      <c r="T139" s="639"/>
      <c r="U139" s="554"/>
      <c r="V139" s="555"/>
      <c r="W139" s="555"/>
      <c r="X139" s="554"/>
      <c r="Y139" s="639"/>
      <c r="Z139" s="554"/>
      <c r="AA139" s="555"/>
      <c r="AB139" s="555"/>
      <c r="AC139" s="554"/>
      <c r="AD139" s="639"/>
      <c r="AE139" s="554"/>
      <c r="AF139" s="555"/>
      <c r="AG139" s="555"/>
      <c r="AH139" s="554"/>
      <c r="AI139" s="639"/>
      <c r="AJ139" s="554"/>
      <c r="AK139" s="555"/>
      <c r="AL139" s="555"/>
      <c r="AM139" s="554"/>
      <c r="AN139" s="639"/>
      <c r="AO139" s="554"/>
      <c r="AP139" s="555"/>
      <c r="AQ139" s="555"/>
      <c r="AR139" s="554"/>
      <c r="AS139" s="639"/>
      <c r="AT139" s="554"/>
      <c r="AU139" s="555"/>
      <c r="AV139" s="555"/>
      <c r="AW139" s="554"/>
      <c r="AX139" s="639"/>
      <c r="AZ139" s="372" t="e">
        <f t="shared" si="21"/>
        <v>#N/A</v>
      </c>
      <c r="BA139" s="639"/>
    </row>
    <row r="140" spans="2:53">
      <c r="B140" s="649"/>
      <c r="C140" s="283">
        <v>29</v>
      </c>
      <c r="D140" s="201"/>
      <c r="E140" s="201"/>
      <c r="F140" s="201"/>
      <c r="G140" s="201"/>
      <c r="H140" s="639"/>
      <c r="I140" s="363" t="str">
        <f t="shared" si="23"/>
        <v>-</v>
      </c>
      <c r="J140" s="363" t="str">
        <f t="shared" si="24"/>
        <v>-</v>
      </c>
      <c r="K140" s="199" t="str">
        <f t="shared" si="25"/>
        <v>-</v>
      </c>
      <c r="L140" s="659"/>
      <c r="M140" s="198" t="e">
        <f>RANK(K140, K$112:$K$141)</f>
        <v>#VALUE!</v>
      </c>
      <c r="N140" s="643"/>
      <c r="O140" s="643"/>
      <c r="P140" s="554"/>
      <c r="Q140" s="555"/>
      <c r="R140" s="555"/>
      <c r="S140" s="554"/>
      <c r="T140" s="639"/>
      <c r="U140" s="554"/>
      <c r="V140" s="555"/>
      <c r="W140" s="555"/>
      <c r="X140" s="554"/>
      <c r="Y140" s="639"/>
      <c r="Z140" s="554"/>
      <c r="AA140" s="555"/>
      <c r="AB140" s="555"/>
      <c r="AC140" s="554"/>
      <c r="AD140" s="639"/>
      <c r="AE140" s="554"/>
      <c r="AF140" s="555"/>
      <c r="AG140" s="555"/>
      <c r="AH140" s="554"/>
      <c r="AI140" s="639"/>
      <c r="AJ140" s="554"/>
      <c r="AK140" s="555"/>
      <c r="AL140" s="555"/>
      <c r="AM140" s="554"/>
      <c r="AN140" s="639"/>
      <c r="AO140" s="554"/>
      <c r="AP140" s="555"/>
      <c r="AQ140" s="555"/>
      <c r="AR140" s="554"/>
      <c r="AS140" s="639"/>
      <c r="AT140" s="554"/>
      <c r="AU140" s="555"/>
      <c r="AV140" s="555"/>
      <c r="AW140" s="554"/>
      <c r="AX140" s="639"/>
      <c r="AZ140" s="372" t="e">
        <f t="shared" si="21"/>
        <v>#N/A</v>
      </c>
      <c r="BA140" s="639"/>
    </row>
    <row r="141" spans="2:53">
      <c r="B141" s="649"/>
      <c r="C141" s="283">
        <v>30</v>
      </c>
      <c r="D141" s="201"/>
      <c r="E141" s="201"/>
      <c r="F141" s="201"/>
      <c r="G141" s="201"/>
      <c r="H141" s="640"/>
      <c r="I141" s="363" t="str">
        <f t="shared" si="23"/>
        <v>-</v>
      </c>
      <c r="J141" s="363" t="str">
        <f t="shared" si="24"/>
        <v>-</v>
      </c>
      <c r="K141" s="199" t="str">
        <f t="shared" si="25"/>
        <v>-</v>
      </c>
      <c r="L141" s="660"/>
      <c r="M141" s="198" t="e">
        <f>RANK(K141, K$112:$K$141)</f>
        <v>#VALUE!</v>
      </c>
      <c r="N141" s="643"/>
      <c r="O141" s="643"/>
      <c r="P141" s="554"/>
      <c r="Q141" s="555"/>
      <c r="R141" s="555"/>
      <c r="S141" s="554"/>
      <c r="T141" s="640"/>
      <c r="U141" s="554"/>
      <c r="V141" s="555"/>
      <c r="W141" s="555"/>
      <c r="X141" s="554"/>
      <c r="Y141" s="640"/>
      <c r="Z141" s="554"/>
      <c r="AA141" s="555"/>
      <c r="AB141" s="555"/>
      <c r="AC141" s="554"/>
      <c r="AD141" s="640"/>
      <c r="AE141" s="554"/>
      <c r="AF141" s="555"/>
      <c r="AG141" s="555"/>
      <c r="AH141" s="554"/>
      <c r="AI141" s="640"/>
      <c r="AJ141" s="554"/>
      <c r="AK141" s="555"/>
      <c r="AL141" s="555"/>
      <c r="AM141" s="554"/>
      <c r="AN141" s="640"/>
      <c r="AO141" s="554"/>
      <c r="AP141" s="555"/>
      <c r="AQ141" s="555"/>
      <c r="AR141" s="554"/>
      <c r="AS141" s="640"/>
      <c r="AT141" s="554"/>
      <c r="AU141" s="555"/>
      <c r="AV141" s="555"/>
      <c r="AW141" s="554"/>
      <c r="AX141" s="640"/>
      <c r="AZ141" s="372" t="e">
        <f t="shared" si="21"/>
        <v>#N/A</v>
      </c>
      <c r="BA141" s="640"/>
    </row>
    <row r="142" spans="2:53" ht="15.75">
      <c r="B142" s="671" t="s">
        <v>162</v>
      </c>
      <c r="C142" s="672"/>
      <c r="D142" s="672"/>
      <c r="E142" s="672"/>
      <c r="F142" s="672"/>
      <c r="G142" s="672"/>
      <c r="H142" s="673"/>
      <c r="I142" s="207"/>
      <c r="J142" s="207"/>
      <c r="K142" s="207"/>
      <c r="L142" s="207"/>
      <c r="M142" s="206"/>
      <c r="N142" s="645" t="s">
        <v>156</v>
      </c>
      <c r="O142" s="645" t="s">
        <v>155</v>
      </c>
      <c r="P142" s="670">
        <f>P107+7</f>
        <v>46294</v>
      </c>
      <c r="Q142" s="649"/>
      <c r="R142" s="649"/>
      <c r="S142" s="649"/>
      <c r="T142" s="649"/>
      <c r="U142" s="667">
        <f>P142+1</f>
        <v>46295</v>
      </c>
      <c r="V142" s="668"/>
      <c r="W142" s="668"/>
      <c r="X142" s="668"/>
      <c r="Y142" s="669"/>
      <c r="Z142" s="667">
        <f>U142+1</f>
        <v>46296</v>
      </c>
      <c r="AA142" s="668"/>
      <c r="AB142" s="668"/>
      <c r="AC142" s="668"/>
      <c r="AD142" s="669"/>
      <c r="AE142" s="667">
        <f>Z142+1</f>
        <v>46297</v>
      </c>
      <c r="AF142" s="668"/>
      <c r="AG142" s="668"/>
      <c r="AH142" s="668"/>
      <c r="AI142" s="669"/>
      <c r="AJ142" s="667">
        <f>AE142+1</f>
        <v>46298</v>
      </c>
      <c r="AK142" s="668"/>
      <c r="AL142" s="668"/>
      <c r="AM142" s="668"/>
      <c r="AN142" s="669"/>
      <c r="AO142" s="667">
        <f>AJ142+1</f>
        <v>46299</v>
      </c>
      <c r="AP142" s="668"/>
      <c r="AQ142" s="668"/>
      <c r="AR142" s="668"/>
      <c r="AS142" s="669"/>
      <c r="AT142" s="667">
        <f>AO142+1</f>
        <v>46300</v>
      </c>
      <c r="AU142" s="668"/>
      <c r="AV142" s="668"/>
      <c r="AW142" s="668"/>
      <c r="AX142" s="669"/>
    </row>
    <row r="143" spans="2:53" ht="15.75">
      <c r="B143" s="674"/>
      <c r="C143" s="674"/>
      <c r="D143" s="674"/>
      <c r="E143" s="674"/>
      <c r="F143" s="674"/>
      <c r="G143" s="674"/>
      <c r="H143" s="674"/>
      <c r="I143" s="204"/>
      <c r="J143" s="204"/>
      <c r="K143" s="204"/>
      <c r="L143" s="204"/>
      <c r="M143" s="205"/>
      <c r="N143" s="647"/>
      <c r="O143" s="647"/>
      <c r="P143" s="670" t="s">
        <v>317</v>
      </c>
      <c r="Q143" s="649"/>
      <c r="R143" s="649"/>
      <c r="S143" s="649"/>
      <c r="T143" s="649"/>
      <c r="U143" s="670" t="s">
        <v>318</v>
      </c>
      <c r="V143" s="649"/>
      <c r="W143" s="649"/>
      <c r="X143" s="649"/>
      <c r="Y143" s="649"/>
      <c r="Z143" s="670" t="s">
        <v>319</v>
      </c>
      <c r="AA143" s="649"/>
      <c r="AB143" s="649"/>
      <c r="AC143" s="649"/>
      <c r="AD143" s="649"/>
      <c r="AE143" s="670" t="s">
        <v>320</v>
      </c>
      <c r="AF143" s="649"/>
      <c r="AG143" s="649"/>
      <c r="AH143" s="649"/>
      <c r="AI143" s="649"/>
      <c r="AJ143" s="670" t="s">
        <v>321</v>
      </c>
      <c r="AK143" s="649"/>
      <c r="AL143" s="649"/>
      <c r="AM143" s="649"/>
      <c r="AN143" s="649"/>
      <c r="AO143" s="670" t="s">
        <v>322</v>
      </c>
      <c r="AP143" s="649"/>
      <c r="AQ143" s="649"/>
      <c r="AR143" s="649"/>
      <c r="AS143" s="649"/>
      <c r="AT143" s="670" t="s">
        <v>323</v>
      </c>
      <c r="AU143" s="649"/>
      <c r="AV143" s="649"/>
      <c r="AW143" s="649"/>
      <c r="AX143" s="649"/>
    </row>
    <row r="144" spans="2:53">
      <c r="B144" s="643" t="s">
        <v>382</v>
      </c>
      <c r="C144" s="643" t="s">
        <v>383</v>
      </c>
      <c r="D144" s="643"/>
      <c r="E144" s="643" t="s">
        <v>384</v>
      </c>
      <c r="F144" s="643"/>
      <c r="G144" s="643"/>
      <c r="H144" s="675" t="s">
        <v>385</v>
      </c>
      <c r="I144" s="690" t="s">
        <v>386</v>
      </c>
      <c r="J144" s="690"/>
      <c r="K144" s="690"/>
      <c r="L144" s="691" t="s">
        <v>385</v>
      </c>
      <c r="M144" s="679" t="s">
        <v>387</v>
      </c>
      <c r="N144" s="643"/>
      <c r="O144" s="643" t="s">
        <v>388</v>
      </c>
      <c r="P144" s="661" t="s">
        <v>389</v>
      </c>
      <c r="Q144" s="662"/>
      <c r="R144" s="662"/>
      <c r="S144" s="663"/>
      <c r="T144" s="643" t="s">
        <v>385</v>
      </c>
      <c r="U144" s="661" t="s">
        <v>389</v>
      </c>
      <c r="V144" s="662"/>
      <c r="W144" s="662"/>
      <c r="X144" s="663"/>
      <c r="Y144" s="643" t="s">
        <v>385</v>
      </c>
      <c r="Z144" s="661" t="s">
        <v>389</v>
      </c>
      <c r="AA144" s="662"/>
      <c r="AB144" s="662"/>
      <c r="AC144" s="663"/>
      <c r="AD144" s="643" t="s">
        <v>385</v>
      </c>
      <c r="AE144" s="661" t="s">
        <v>389</v>
      </c>
      <c r="AF144" s="662"/>
      <c r="AG144" s="662"/>
      <c r="AH144" s="663"/>
      <c r="AI144" s="643" t="s">
        <v>385</v>
      </c>
      <c r="AJ144" s="661" t="s">
        <v>389</v>
      </c>
      <c r="AK144" s="662"/>
      <c r="AL144" s="662"/>
      <c r="AM144" s="663"/>
      <c r="AN144" s="643" t="s">
        <v>385</v>
      </c>
      <c r="AO144" s="661" t="s">
        <v>389</v>
      </c>
      <c r="AP144" s="662"/>
      <c r="AQ144" s="662"/>
      <c r="AR144" s="663"/>
      <c r="AS144" s="643" t="s">
        <v>385</v>
      </c>
      <c r="AT144" s="661" t="s">
        <v>389</v>
      </c>
      <c r="AU144" s="662"/>
      <c r="AV144" s="662"/>
      <c r="AW144" s="663"/>
      <c r="AX144" s="643" t="s">
        <v>385</v>
      </c>
      <c r="BA144" s="643" t="s">
        <v>359</v>
      </c>
    </row>
    <row r="145" spans="2:53">
      <c r="B145" s="643"/>
      <c r="C145" s="643"/>
      <c r="D145" s="643"/>
      <c r="E145" s="643" t="s">
        <v>390</v>
      </c>
      <c r="F145" s="643"/>
      <c r="G145" s="643"/>
      <c r="H145" s="676"/>
      <c r="I145" s="690" t="s">
        <v>390</v>
      </c>
      <c r="J145" s="690"/>
      <c r="K145" s="690"/>
      <c r="L145" s="692"/>
      <c r="M145" s="680"/>
      <c r="N145" s="643"/>
      <c r="O145" s="643"/>
      <c r="P145" s="661" t="s">
        <v>391</v>
      </c>
      <c r="Q145" s="662"/>
      <c r="R145" s="662"/>
      <c r="S145" s="663"/>
      <c r="T145" s="643"/>
      <c r="U145" s="661" t="s">
        <v>391</v>
      </c>
      <c r="V145" s="662"/>
      <c r="W145" s="662"/>
      <c r="X145" s="663"/>
      <c r="Y145" s="643"/>
      <c r="Z145" s="661" t="s">
        <v>391</v>
      </c>
      <c r="AA145" s="662"/>
      <c r="AB145" s="662"/>
      <c r="AC145" s="663"/>
      <c r="AD145" s="643"/>
      <c r="AE145" s="661" t="s">
        <v>391</v>
      </c>
      <c r="AF145" s="662"/>
      <c r="AG145" s="662"/>
      <c r="AH145" s="663"/>
      <c r="AI145" s="643"/>
      <c r="AJ145" s="661" t="s">
        <v>391</v>
      </c>
      <c r="AK145" s="662"/>
      <c r="AL145" s="662"/>
      <c r="AM145" s="663"/>
      <c r="AN145" s="643"/>
      <c r="AO145" s="661" t="s">
        <v>391</v>
      </c>
      <c r="AP145" s="662"/>
      <c r="AQ145" s="662"/>
      <c r="AR145" s="663"/>
      <c r="AS145" s="643"/>
      <c r="AT145" s="661" t="s">
        <v>391</v>
      </c>
      <c r="AU145" s="662"/>
      <c r="AV145" s="662"/>
      <c r="AW145" s="663"/>
      <c r="AX145" s="643"/>
      <c r="BA145" s="643"/>
    </row>
    <row r="146" spans="2:53">
      <c r="B146" s="643"/>
      <c r="C146" s="643"/>
      <c r="D146" s="643"/>
      <c r="E146" s="276" t="s">
        <v>392</v>
      </c>
      <c r="F146" s="276" t="s">
        <v>393</v>
      </c>
      <c r="G146" s="276" t="s">
        <v>394</v>
      </c>
      <c r="H146" s="677"/>
      <c r="I146" s="277" t="s">
        <v>392</v>
      </c>
      <c r="J146" s="277" t="s">
        <v>393</v>
      </c>
      <c r="K146" s="277" t="s">
        <v>394</v>
      </c>
      <c r="L146" s="693"/>
      <c r="M146" s="681"/>
      <c r="N146" s="643"/>
      <c r="O146" s="643"/>
      <c r="P146" s="276" t="s">
        <v>392</v>
      </c>
      <c r="Q146" s="276" t="s">
        <v>393</v>
      </c>
      <c r="R146" s="276" t="s">
        <v>394</v>
      </c>
      <c r="S146" s="276" t="s">
        <v>387</v>
      </c>
      <c r="T146" s="643"/>
      <c r="U146" s="276" t="s">
        <v>392</v>
      </c>
      <c r="V146" s="276" t="s">
        <v>393</v>
      </c>
      <c r="W146" s="276" t="s">
        <v>394</v>
      </c>
      <c r="X146" s="276" t="s">
        <v>387</v>
      </c>
      <c r="Y146" s="643"/>
      <c r="Z146" s="276" t="s">
        <v>392</v>
      </c>
      <c r="AA146" s="276" t="s">
        <v>393</v>
      </c>
      <c r="AB146" s="276" t="s">
        <v>394</v>
      </c>
      <c r="AC146" s="276" t="s">
        <v>387</v>
      </c>
      <c r="AD146" s="643"/>
      <c r="AE146" s="276" t="s">
        <v>392</v>
      </c>
      <c r="AF146" s="276" t="s">
        <v>393</v>
      </c>
      <c r="AG146" s="276" t="s">
        <v>394</v>
      </c>
      <c r="AH146" s="276" t="s">
        <v>387</v>
      </c>
      <c r="AI146" s="643"/>
      <c r="AJ146" s="276" t="s">
        <v>392</v>
      </c>
      <c r="AK146" s="276" t="s">
        <v>393</v>
      </c>
      <c r="AL146" s="276" t="s">
        <v>394</v>
      </c>
      <c r="AM146" s="276" t="s">
        <v>387</v>
      </c>
      <c r="AN146" s="643"/>
      <c r="AO146" s="276" t="s">
        <v>392</v>
      </c>
      <c r="AP146" s="276" t="s">
        <v>393</v>
      </c>
      <c r="AQ146" s="276" t="s">
        <v>394</v>
      </c>
      <c r="AR146" s="276" t="s">
        <v>387</v>
      </c>
      <c r="AS146" s="643"/>
      <c r="AT146" s="276" t="s">
        <v>392</v>
      </c>
      <c r="AU146" s="276" t="s">
        <v>393</v>
      </c>
      <c r="AV146" s="276" t="s">
        <v>394</v>
      </c>
      <c r="AW146" s="276" t="s">
        <v>387</v>
      </c>
      <c r="AX146" s="643"/>
      <c r="AZ146" s="373" t="s">
        <v>360</v>
      </c>
      <c r="BA146" s="643"/>
    </row>
    <row r="147" spans="2:53">
      <c r="B147" s="649" t="s">
        <v>150</v>
      </c>
      <c r="C147" s="275">
        <v>1</v>
      </c>
      <c r="D147" s="201"/>
      <c r="E147" s="201"/>
      <c r="F147" s="201"/>
      <c r="G147" s="514"/>
      <c r="H147" s="638" t="e">
        <f>AVERAGE(G147:G176)</f>
        <v>#DIV/0!</v>
      </c>
      <c r="I147" s="363" t="str">
        <f>IFERROR(AVERAGE(P147,U147,Z147,AE147,AJ147,AO147,AT147),"-")</f>
        <v>-</v>
      </c>
      <c r="J147" s="363" t="str">
        <f>IFERROR(AVERAGE(Q147,V147,AA147,AF147,AK147,AP147,AU147),"-")</f>
        <v>-</v>
      </c>
      <c r="K147" s="199" t="str">
        <f>IFERROR(AVERAGE(R147,W147,AB147,AG147,AL147,AQ147,AV147),"-")</f>
        <v>-</v>
      </c>
      <c r="L147" s="658" t="str">
        <f>IFERROR(AVERAGE(K147:K176),"-")</f>
        <v>-</v>
      </c>
      <c r="M147" s="198" t="e">
        <f>RANK(K147, K$147:$K$176)</f>
        <v>#VALUE!</v>
      </c>
      <c r="N147" s="643"/>
      <c r="O147" s="643"/>
      <c r="P147" s="556"/>
      <c r="Q147" s="557"/>
      <c r="R147" s="557"/>
      <c r="S147" s="556"/>
      <c r="T147" s="638"/>
      <c r="U147" s="556"/>
      <c r="V147" s="557"/>
      <c r="W147" s="557"/>
      <c r="X147" s="556"/>
      <c r="Y147" s="638"/>
      <c r="Z147" s="556"/>
      <c r="AA147" s="557"/>
      <c r="AB147" s="557"/>
      <c r="AC147" s="556"/>
      <c r="AD147" s="638"/>
      <c r="AE147" s="556"/>
      <c r="AF147" s="557"/>
      <c r="AG147" s="557"/>
      <c r="AH147" s="556"/>
      <c r="AI147" s="638"/>
      <c r="AJ147" s="556"/>
      <c r="AK147" s="557"/>
      <c r="AL147" s="557"/>
      <c r="AM147" s="556"/>
      <c r="AN147" s="638"/>
      <c r="AO147" s="556"/>
      <c r="AP147" s="557"/>
      <c r="AQ147" s="557"/>
      <c r="AR147" s="556"/>
      <c r="AS147" s="638"/>
      <c r="AT147" s="556"/>
      <c r="AU147" s="557"/>
      <c r="AV147" s="557"/>
      <c r="AW147" s="556"/>
      <c r="AX147" s="638"/>
      <c r="AZ147" s="372" t="e">
        <f t="shared" ref="AZ147:AZ176" si="26">RANK(AY147, AY$147:AY$176)</f>
        <v>#N/A</v>
      </c>
      <c r="BA147" s="638" t="e">
        <f t="shared" ref="BA147" si="27">AVERAGE(AY147:AY176)</f>
        <v>#DIV/0!</v>
      </c>
    </row>
    <row r="148" spans="2:53">
      <c r="B148" s="649"/>
      <c r="C148" s="275">
        <v>2</v>
      </c>
      <c r="D148" s="515"/>
      <c r="E148" s="201"/>
      <c r="F148" s="201"/>
      <c r="G148" s="514"/>
      <c r="H148" s="639"/>
      <c r="I148" s="363" t="str">
        <f t="shared" ref="I148:I176" si="28">IFERROR(AVERAGE(P148,U148,Z148,AE148,AJ148,AO148,AT148),"-")</f>
        <v>-</v>
      </c>
      <c r="J148" s="363" t="str">
        <f t="shared" ref="J148:J176" si="29">IFERROR(AVERAGE(Q148,V148,AA148,AF148,AK148,AP148,AU148),"-")</f>
        <v>-</v>
      </c>
      <c r="K148" s="199" t="str">
        <f t="shared" ref="K148:K176" si="30">IFERROR(AVERAGE(R148,W148,AB148,AG148,AL148,AQ148,AV148),"-")</f>
        <v>-</v>
      </c>
      <c r="L148" s="659"/>
      <c r="M148" s="198" t="e">
        <f>RANK(K148, K$147:$K$176)</f>
        <v>#VALUE!</v>
      </c>
      <c r="N148" s="643"/>
      <c r="O148" s="643"/>
      <c r="P148" s="556"/>
      <c r="Q148" s="557"/>
      <c r="R148" s="557"/>
      <c r="S148" s="556"/>
      <c r="T148" s="639"/>
      <c r="U148" s="556"/>
      <c r="V148" s="557"/>
      <c r="W148" s="557"/>
      <c r="X148" s="556"/>
      <c r="Y148" s="639"/>
      <c r="Z148" s="556"/>
      <c r="AA148" s="557"/>
      <c r="AB148" s="557"/>
      <c r="AC148" s="556"/>
      <c r="AD148" s="639"/>
      <c r="AE148" s="556"/>
      <c r="AF148" s="557"/>
      <c r="AG148" s="557"/>
      <c r="AH148" s="556"/>
      <c r="AI148" s="639"/>
      <c r="AJ148" s="556"/>
      <c r="AK148" s="557"/>
      <c r="AL148" s="557"/>
      <c r="AM148" s="556"/>
      <c r="AN148" s="639"/>
      <c r="AO148" s="556"/>
      <c r="AP148" s="557"/>
      <c r="AQ148" s="557"/>
      <c r="AR148" s="556"/>
      <c r="AS148" s="639"/>
      <c r="AT148" s="556"/>
      <c r="AU148" s="557"/>
      <c r="AV148" s="557"/>
      <c r="AW148" s="556"/>
      <c r="AX148" s="639"/>
      <c r="AZ148" s="372" t="e">
        <f t="shared" si="26"/>
        <v>#N/A</v>
      </c>
      <c r="BA148" s="639"/>
    </row>
    <row r="149" spans="2:53">
      <c r="B149" s="649"/>
      <c r="C149" s="275">
        <v>3</v>
      </c>
      <c r="D149" s="201"/>
      <c r="E149" s="201"/>
      <c r="F149" s="201"/>
      <c r="G149" s="514"/>
      <c r="H149" s="639"/>
      <c r="I149" s="363" t="str">
        <f t="shared" si="28"/>
        <v>-</v>
      </c>
      <c r="J149" s="363" t="str">
        <f t="shared" si="29"/>
        <v>-</v>
      </c>
      <c r="K149" s="199" t="str">
        <f t="shared" si="30"/>
        <v>-</v>
      </c>
      <c r="L149" s="659"/>
      <c r="M149" s="198" t="e">
        <f>RANK(K149, K$147:$K$176)</f>
        <v>#VALUE!</v>
      </c>
      <c r="N149" s="643"/>
      <c r="O149" s="643"/>
      <c r="P149" s="556"/>
      <c r="Q149" s="557"/>
      <c r="R149" s="557"/>
      <c r="S149" s="556"/>
      <c r="T149" s="639"/>
      <c r="U149" s="556"/>
      <c r="V149" s="557"/>
      <c r="W149" s="557"/>
      <c r="X149" s="556"/>
      <c r="Y149" s="639"/>
      <c r="Z149" s="556"/>
      <c r="AA149" s="557"/>
      <c r="AB149" s="557"/>
      <c r="AC149" s="556"/>
      <c r="AD149" s="639"/>
      <c r="AE149" s="556"/>
      <c r="AF149" s="557"/>
      <c r="AG149" s="557"/>
      <c r="AH149" s="556"/>
      <c r="AI149" s="639"/>
      <c r="AJ149" s="556"/>
      <c r="AK149" s="557"/>
      <c r="AL149" s="557"/>
      <c r="AM149" s="556"/>
      <c r="AN149" s="639"/>
      <c r="AO149" s="556"/>
      <c r="AP149" s="557"/>
      <c r="AQ149" s="557"/>
      <c r="AR149" s="556"/>
      <c r="AS149" s="639"/>
      <c r="AT149" s="556"/>
      <c r="AU149" s="557"/>
      <c r="AV149" s="557"/>
      <c r="AW149" s="556"/>
      <c r="AX149" s="639"/>
      <c r="AZ149" s="372" t="e">
        <f t="shared" si="26"/>
        <v>#N/A</v>
      </c>
      <c r="BA149" s="639"/>
    </row>
    <row r="150" spans="2:53">
      <c r="B150" s="649"/>
      <c r="C150" s="275">
        <v>4</v>
      </c>
      <c r="D150" s="201"/>
      <c r="E150" s="201"/>
      <c r="F150" s="201"/>
      <c r="G150" s="514"/>
      <c r="H150" s="639"/>
      <c r="I150" s="363" t="str">
        <f t="shared" si="28"/>
        <v>-</v>
      </c>
      <c r="J150" s="363" t="str">
        <f t="shared" si="29"/>
        <v>-</v>
      </c>
      <c r="K150" s="199" t="str">
        <f t="shared" si="30"/>
        <v>-</v>
      </c>
      <c r="L150" s="659"/>
      <c r="M150" s="198" t="e">
        <f>RANK(K150, K$147:$K$176)</f>
        <v>#VALUE!</v>
      </c>
      <c r="N150" s="643"/>
      <c r="O150" s="643"/>
      <c r="P150" s="556"/>
      <c r="Q150" s="557"/>
      <c r="R150" s="557"/>
      <c r="S150" s="556"/>
      <c r="T150" s="639"/>
      <c r="U150" s="556"/>
      <c r="V150" s="557"/>
      <c r="W150" s="557"/>
      <c r="X150" s="556"/>
      <c r="Y150" s="639"/>
      <c r="Z150" s="556"/>
      <c r="AA150" s="557"/>
      <c r="AB150" s="557"/>
      <c r="AC150" s="556"/>
      <c r="AD150" s="639"/>
      <c r="AE150" s="556"/>
      <c r="AF150" s="557"/>
      <c r="AG150" s="557"/>
      <c r="AH150" s="556"/>
      <c r="AI150" s="639"/>
      <c r="AJ150" s="556"/>
      <c r="AK150" s="557"/>
      <c r="AL150" s="557"/>
      <c r="AM150" s="556"/>
      <c r="AN150" s="639"/>
      <c r="AO150" s="556"/>
      <c r="AP150" s="557"/>
      <c r="AQ150" s="557"/>
      <c r="AR150" s="556"/>
      <c r="AS150" s="639"/>
      <c r="AT150" s="556"/>
      <c r="AU150" s="557"/>
      <c r="AV150" s="557"/>
      <c r="AW150" s="556"/>
      <c r="AX150" s="639"/>
      <c r="AZ150" s="372" t="e">
        <f t="shared" si="26"/>
        <v>#N/A</v>
      </c>
      <c r="BA150" s="639"/>
    </row>
    <row r="151" spans="2:53">
      <c r="B151" s="649"/>
      <c r="C151" s="275">
        <v>5</v>
      </c>
      <c r="D151" s="201"/>
      <c r="E151" s="201"/>
      <c r="F151" s="201"/>
      <c r="G151" s="514"/>
      <c r="H151" s="639"/>
      <c r="I151" s="363" t="str">
        <f t="shared" si="28"/>
        <v>-</v>
      </c>
      <c r="J151" s="363" t="str">
        <f t="shared" si="29"/>
        <v>-</v>
      </c>
      <c r="K151" s="199" t="str">
        <f t="shared" si="30"/>
        <v>-</v>
      </c>
      <c r="L151" s="659"/>
      <c r="M151" s="198" t="e">
        <f>RANK(K151, K$147:$K$176)</f>
        <v>#VALUE!</v>
      </c>
      <c r="N151" s="643"/>
      <c r="O151" s="643"/>
      <c r="P151" s="556"/>
      <c r="Q151" s="557"/>
      <c r="R151" s="557"/>
      <c r="S151" s="556"/>
      <c r="T151" s="639"/>
      <c r="U151" s="556"/>
      <c r="V151" s="557"/>
      <c r="W151" s="557"/>
      <c r="X151" s="556"/>
      <c r="Y151" s="639"/>
      <c r="Z151" s="556"/>
      <c r="AA151" s="557"/>
      <c r="AB151" s="557"/>
      <c r="AC151" s="556"/>
      <c r="AD151" s="639"/>
      <c r="AE151" s="556"/>
      <c r="AF151" s="557"/>
      <c r="AG151" s="557"/>
      <c r="AH151" s="556"/>
      <c r="AI151" s="639"/>
      <c r="AJ151" s="556"/>
      <c r="AK151" s="557"/>
      <c r="AL151" s="557"/>
      <c r="AM151" s="556"/>
      <c r="AN151" s="639"/>
      <c r="AO151" s="556"/>
      <c r="AP151" s="557"/>
      <c r="AQ151" s="557"/>
      <c r="AR151" s="556"/>
      <c r="AS151" s="639"/>
      <c r="AT151" s="556"/>
      <c r="AU151" s="557"/>
      <c r="AV151" s="557"/>
      <c r="AW151" s="556"/>
      <c r="AX151" s="639"/>
      <c r="AZ151" s="372" t="e">
        <f t="shared" si="26"/>
        <v>#N/A</v>
      </c>
      <c r="BA151" s="639"/>
    </row>
    <row r="152" spans="2:53">
      <c r="B152" s="649"/>
      <c r="C152" s="275">
        <v>6</v>
      </c>
      <c r="D152" s="201"/>
      <c r="E152" s="201"/>
      <c r="F152" s="201"/>
      <c r="G152" s="514"/>
      <c r="H152" s="639"/>
      <c r="I152" s="363" t="str">
        <f t="shared" si="28"/>
        <v>-</v>
      </c>
      <c r="J152" s="363" t="str">
        <f t="shared" si="29"/>
        <v>-</v>
      </c>
      <c r="K152" s="199" t="str">
        <f t="shared" si="30"/>
        <v>-</v>
      </c>
      <c r="L152" s="659"/>
      <c r="M152" s="198" t="e">
        <f>RANK(K152, K$147:$K$176)</f>
        <v>#VALUE!</v>
      </c>
      <c r="N152" s="643"/>
      <c r="O152" s="643"/>
      <c r="P152" s="556"/>
      <c r="Q152" s="557"/>
      <c r="R152" s="557"/>
      <c r="S152" s="556"/>
      <c r="T152" s="639"/>
      <c r="U152" s="556"/>
      <c r="V152" s="557"/>
      <c r="W152" s="557"/>
      <c r="X152" s="556"/>
      <c r="Y152" s="639"/>
      <c r="Z152" s="556"/>
      <c r="AA152" s="557"/>
      <c r="AB152" s="557"/>
      <c r="AC152" s="556"/>
      <c r="AD152" s="639"/>
      <c r="AE152" s="556"/>
      <c r="AF152" s="557"/>
      <c r="AG152" s="557"/>
      <c r="AH152" s="556"/>
      <c r="AI152" s="639"/>
      <c r="AJ152" s="556"/>
      <c r="AK152" s="557"/>
      <c r="AL152" s="557"/>
      <c r="AM152" s="556"/>
      <c r="AN152" s="639"/>
      <c r="AO152" s="556"/>
      <c r="AP152" s="557"/>
      <c r="AQ152" s="557"/>
      <c r="AR152" s="556"/>
      <c r="AS152" s="639"/>
      <c r="AT152" s="556"/>
      <c r="AU152" s="557"/>
      <c r="AV152" s="557"/>
      <c r="AW152" s="556"/>
      <c r="AX152" s="639"/>
      <c r="AZ152" s="372" t="e">
        <f t="shared" si="26"/>
        <v>#N/A</v>
      </c>
      <c r="BA152" s="639"/>
    </row>
    <row r="153" spans="2:53">
      <c r="B153" s="649"/>
      <c r="C153" s="275">
        <v>7</v>
      </c>
      <c r="D153" s="201"/>
      <c r="E153" s="201"/>
      <c r="F153" s="201"/>
      <c r="G153" s="514"/>
      <c r="H153" s="639"/>
      <c r="I153" s="363" t="str">
        <f t="shared" si="28"/>
        <v>-</v>
      </c>
      <c r="J153" s="363" t="str">
        <f t="shared" si="29"/>
        <v>-</v>
      </c>
      <c r="K153" s="199" t="str">
        <f t="shared" si="30"/>
        <v>-</v>
      </c>
      <c r="L153" s="659"/>
      <c r="M153" s="198" t="e">
        <f>RANK(K153, K$147:$K$176)</f>
        <v>#VALUE!</v>
      </c>
      <c r="N153" s="643"/>
      <c r="O153" s="643"/>
      <c r="P153" s="556"/>
      <c r="Q153" s="557"/>
      <c r="R153" s="557"/>
      <c r="S153" s="556"/>
      <c r="T153" s="639"/>
      <c r="U153" s="556"/>
      <c r="V153" s="557"/>
      <c r="W153" s="557"/>
      <c r="X153" s="556"/>
      <c r="Y153" s="639"/>
      <c r="Z153" s="556"/>
      <c r="AA153" s="557"/>
      <c r="AB153" s="557"/>
      <c r="AC153" s="556"/>
      <c r="AD153" s="639"/>
      <c r="AE153" s="556"/>
      <c r="AF153" s="557"/>
      <c r="AG153" s="557"/>
      <c r="AH153" s="556"/>
      <c r="AI153" s="639"/>
      <c r="AJ153" s="556"/>
      <c r="AK153" s="557"/>
      <c r="AL153" s="557"/>
      <c r="AM153" s="556"/>
      <c r="AN153" s="639"/>
      <c r="AO153" s="556"/>
      <c r="AP153" s="557"/>
      <c r="AQ153" s="557"/>
      <c r="AR153" s="556"/>
      <c r="AS153" s="639"/>
      <c r="AT153" s="556"/>
      <c r="AU153" s="557"/>
      <c r="AV153" s="557"/>
      <c r="AW153" s="556"/>
      <c r="AX153" s="639"/>
      <c r="AZ153" s="372" t="e">
        <f t="shared" si="26"/>
        <v>#N/A</v>
      </c>
      <c r="BA153" s="639"/>
    </row>
    <row r="154" spans="2:53">
      <c r="B154" s="649"/>
      <c r="C154" s="275">
        <v>8</v>
      </c>
      <c r="D154" s="201"/>
      <c r="E154" s="201"/>
      <c r="F154" s="201"/>
      <c r="G154" s="514"/>
      <c r="H154" s="639"/>
      <c r="I154" s="363" t="str">
        <f t="shared" si="28"/>
        <v>-</v>
      </c>
      <c r="J154" s="363" t="str">
        <f t="shared" si="29"/>
        <v>-</v>
      </c>
      <c r="K154" s="199" t="str">
        <f t="shared" si="30"/>
        <v>-</v>
      </c>
      <c r="L154" s="659"/>
      <c r="M154" s="198" t="e">
        <f>RANK(K154, K$147:$K$176)</f>
        <v>#VALUE!</v>
      </c>
      <c r="N154" s="643"/>
      <c r="O154" s="643"/>
      <c r="P154" s="556"/>
      <c r="Q154" s="557"/>
      <c r="R154" s="557"/>
      <c r="S154" s="556"/>
      <c r="T154" s="639"/>
      <c r="U154" s="556"/>
      <c r="V154" s="557"/>
      <c r="W154" s="557"/>
      <c r="X154" s="556"/>
      <c r="Y154" s="639"/>
      <c r="Z154" s="556"/>
      <c r="AA154" s="557"/>
      <c r="AB154" s="557"/>
      <c r="AC154" s="556"/>
      <c r="AD154" s="639"/>
      <c r="AE154" s="556"/>
      <c r="AF154" s="557"/>
      <c r="AG154" s="557"/>
      <c r="AH154" s="556"/>
      <c r="AI154" s="639"/>
      <c r="AJ154" s="556"/>
      <c r="AK154" s="557"/>
      <c r="AL154" s="557"/>
      <c r="AM154" s="556"/>
      <c r="AN154" s="639"/>
      <c r="AO154" s="556"/>
      <c r="AP154" s="557"/>
      <c r="AQ154" s="557"/>
      <c r="AR154" s="556"/>
      <c r="AS154" s="639"/>
      <c r="AT154" s="556"/>
      <c r="AU154" s="557"/>
      <c r="AV154" s="557"/>
      <c r="AW154" s="556"/>
      <c r="AX154" s="639"/>
      <c r="AZ154" s="372" t="e">
        <f t="shared" si="26"/>
        <v>#N/A</v>
      </c>
      <c r="BA154" s="639"/>
    </row>
    <row r="155" spans="2:53">
      <c r="B155" s="649"/>
      <c r="C155" s="275">
        <v>9</v>
      </c>
      <c r="D155" s="201"/>
      <c r="E155" s="201"/>
      <c r="F155" s="201"/>
      <c r="G155" s="514"/>
      <c r="H155" s="639"/>
      <c r="I155" s="363" t="str">
        <f t="shared" si="28"/>
        <v>-</v>
      </c>
      <c r="J155" s="363" t="str">
        <f t="shared" si="29"/>
        <v>-</v>
      </c>
      <c r="K155" s="199" t="str">
        <f t="shared" si="30"/>
        <v>-</v>
      </c>
      <c r="L155" s="659"/>
      <c r="M155" s="198" t="e">
        <f>RANK(K155, K$147:$K$176)</f>
        <v>#VALUE!</v>
      </c>
      <c r="N155" s="643"/>
      <c r="O155" s="643"/>
      <c r="P155" s="556"/>
      <c r="Q155" s="557"/>
      <c r="R155" s="557"/>
      <c r="S155" s="556"/>
      <c r="T155" s="639"/>
      <c r="U155" s="556"/>
      <c r="V155" s="557"/>
      <c r="W155" s="557"/>
      <c r="X155" s="556"/>
      <c r="Y155" s="639"/>
      <c r="Z155" s="556"/>
      <c r="AA155" s="557"/>
      <c r="AB155" s="557"/>
      <c r="AC155" s="556"/>
      <c r="AD155" s="639"/>
      <c r="AE155" s="556"/>
      <c r="AF155" s="557"/>
      <c r="AG155" s="557"/>
      <c r="AH155" s="556"/>
      <c r="AI155" s="639"/>
      <c r="AJ155" s="556"/>
      <c r="AK155" s="557"/>
      <c r="AL155" s="557"/>
      <c r="AM155" s="556"/>
      <c r="AN155" s="639"/>
      <c r="AO155" s="556"/>
      <c r="AP155" s="557"/>
      <c r="AQ155" s="557"/>
      <c r="AR155" s="556"/>
      <c r="AS155" s="639"/>
      <c r="AT155" s="556"/>
      <c r="AU155" s="557"/>
      <c r="AV155" s="557"/>
      <c r="AW155" s="556"/>
      <c r="AX155" s="639"/>
      <c r="AZ155" s="372" t="e">
        <f t="shared" si="26"/>
        <v>#N/A</v>
      </c>
      <c r="BA155" s="639"/>
    </row>
    <row r="156" spans="2:53">
      <c r="B156" s="649"/>
      <c r="C156" s="275">
        <v>10</v>
      </c>
      <c r="D156" s="201"/>
      <c r="E156" s="201"/>
      <c r="F156" s="201"/>
      <c r="G156" s="514"/>
      <c r="H156" s="639"/>
      <c r="I156" s="363" t="str">
        <f t="shared" si="28"/>
        <v>-</v>
      </c>
      <c r="J156" s="363" t="str">
        <f t="shared" si="29"/>
        <v>-</v>
      </c>
      <c r="K156" s="199" t="str">
        <f t="shared" si="30"/>
        <v>-</v>
      </c>
      <c r="L156" s="659"/>
      <c r="M156" s="198" t="e">
        <f>RANK(K156, K$147:$K$176)</f>
        <v>#VALUE!</v>
      </c>
      <c r="N156" s="643"/>
      <c r="O156" s="643"/>
      <c r="P156" s="556"/>
      <c r="Q156" s="557"/>
      <c r="R156" s="557"/>
      <c r="S156" s="556"/>
      <c r="T156" s="639"/>
      <c r="U156" s="556"/>
      <c r="V156" s="557"/>
      <c r="W156" s="557"/>
      <c r="X156" s="556"/>
      <c r="Y156" s="639"/>
      <c r="Z156" s="556"/>
      <c r="AA156" s="557"/>
      <c r="AB156" s="557"/>
      <c r="AC156" s="556"/>
      <c r="AD156" s="639"/>
      <c r="AE156" s="556"/>
      <c r="AF156" s="557"/>
      <c r="AG156" s="557"/>
      <c r="AH156" s="556"/>
      <c r="AI156" s="639"/>
      <c r="AJ156" s="556"/>
      <c r="AK156" s="557"/>
      <c r="AL156" s="557"/>
      <c r="AM156" s="556"/>
      <c r="AN156" s="639"/>
      <c r="AO156" s="556"/>
      <c r="AP156" s="557"/>
      <c r="AQ156" s="557"/>
      <c r="AR156" s="556"/>
      <c r="AS156" s="639"/>
      <c r="AT156" s="556"/>
      <c r="AU156" s="557"/>
      <c r="AV156" s="557"/>
      <c r="AW156" s="556"/>
      <c r="AX156" s="639"/>
      <c r="AZ156" s="372" t="e">
        <f t="shared" si="26"/>
        <v>#N/A</v>
      </c>
      <c r="BA156" s="639"/>
    </row>
    <row r="157" spans="2:53">
      <c r="B157" s="649"/>
      <c r="C157" s="275">
        <v>11</v>
      </c>
      <c r="D157" s="201"/>
      <c r="E157" s="201"/>
      <c r="F157" s="201"/>
      <c r="G157" s="514"/>
      <c r="H157" s="639"/>
      <c r="I157" s="363" t="str">
        <f t="shared" si="28"/>
        <v>-</v>
      </c>
      <c r="J157" s="363" t="str">
        <f t="shared" si="29"/>
        <v>-</v>
      </c>
      <c r="K157" s="199" t="str">
        <f t="shared" si="30"/>
        <v>-</v>
      </c>
      <c r="L157" s="659"/>
      <c r="M157" s="198" t="e">
        <f>RANK(K157, K$147:$K$176)</f>
        <v>#VALUE!</v>
      </c>
      <c r="N157" s="643"/>
      <c r="O157" s="643"/>
      <c r="P157" s="556"/>
      <c r="Q157" s="557"/>
      <c r="R157" s="557"/>
      <c r="S157" s="556"/>
      <c r="T157" s="639"/>
      <c r="U157" s="556"/>
      <c r="V157" s="557"/>
      <c r="W157" s="557"/>
      <c r="X157" s="556"/>
      <c r="Y157" s="639"/>
      <c r="Z157" s="556"/>
      <c r="AA157" s="557"/>
      <c r="AB157" s="557"/>
      <c r="AC157" s="556"/>
      <c r="AD157" s="639"/>
      <c r="AE157" s="556"/>
      <c r="AF157" s="557"/>
      <c r="AG157" s="557"/>
      <c r="AH157" s="556"/>
      <c r="AI157" s="639"/>
      <c r="AJ157" s="556"/>
      <c r="AK157" s="557"/>
      <c r="AL157" s="557"/>
      <c r="AM157" s="556"/>
      <c r="AN157" s="639"/>
      <c r="AO157" s="556"/>
      <c r="AP157" s="557"/>
      <c r="AQ157" s="557"/>
      <c r="AR157" s="556"/>
      <c r="AS157" s="639"/>
      <c r="AT157" s="556"/>
      <c r="AU157" s="557"/>
      <c r="AV157" s="557"/>
      <c r="AW157" s="556"/>
      <c r="AX157" s="639"/>
      <c r="AZ157" s="372" t="e">
        <f t="shared" si="26"/>
        <v>#N/A</v>
      </c>
      <c r="BA157" s="639"/>
    </row>
    <row r="158" spans="2:53">
      <c r="B158" s="649"/>
      <c r="C158" s="275">
        <v>12</v>
      </c>
      <c r="D158" s="515"/>
      <c r="E158" s="201"/>
      <c r="F158" s="201"/>
      <c r="G158" s="514"/>
      <c r="H158" s="639"/>
      <c r="I158" s="363" t="str">
        <f t="shared" si="28"/>
        <v>-</v>
      </c>
      <c r="J158" s="363" t="str">
        <f t="shared" si="29"/>
        <v>-</v>
      </c>
      <c r="K158" s="199" t="str">
        <f t="shared" si="30"/>
        <v>-</v>
      </c>
      <c r="L158" s="659"/>
      <c r="M158" s="198" t="e">
        <f>RANK(K158, K$147:$K$176)</f>
        <v>#VALUE!</v>
      </c>
      <c r="N158" s="643"/>
      <c r="O158" s="643"/>
      <c r="P158" s="556"/>
      <c r="Q158" s="557"/>
      <c r="R158" s="557"/>
      <c r="S158" s="556"/>
      <c r="T158" s="639"/>
      <c r="U158" s="556"/>
      <c r="V158" s="557"/>
      <c r="W158" s="557"/>
      <c r="X158" s="556"/>
      <c r="Y158" s="639"/>
      <c r="Z158" s="556"/>
      <c r="AA158" s="557"/>
      <c r="AB158" s="557"/>
      <c r="AC158" s="556"/>
      <c r="AD158" s="639"/>
      <c r="AE158" s="556"/>
      <c r="AF158" s="557"/>
      <c r="AG158" s="557"/>
      <c r="AH158" s="556"/>
      <c r="AI158" s="639"/>
      <c r="AJ158" s="556"/>
      <c r="AK158" s="557"/>
      <c r="AL158" s="557"/>
      <c r="AM158" s="556"/>
      <c r="AN158" s="639"/>
      <c r="AO158" s="556"/>
      <c r="AP158" s="557"/>
      <c r="AQ158" s="557"/>
      <c r="AR158" s="556"/>
      <c r="AS158" s="639"/>
      <c r="AT158" s="556"/>
      <c r="AU158" s="557"/>
      <c r="AV158" s="557"/>
      <c r="AW158" s="556"/>
      <c r="AX158" s="639"/>
      <c r="AZ158" s="372" t="e">
        <f t="shared" si="26"/>
        <v>#N/A</v>
      </c>
      <c r="BA158" s="639"/>
    </row>
    <row r="159" spans="2:53">
      <c r="B159" s="649"/>
      <c r="C159" s="275">
        <v>13</v>
      </c>
      <c r="D159" s="201"/>
      <c r="E159" s="201"/>
      <c r="F159" s="201"/>
      <c r="G159" s="514"/>
      <c r="H159" s="639"/>
      <c r="I159" s="363" t="str">
        <f t="shared" si="28"/>
        <v>-</v>
      </c>
      <c r="J159" s="363" t="str">
        <f t="shared" si="29"/>
        <v>-</v>
      </c>
      <c r="K159" s="199" t="str">
        <f t="shared" si="30"/>
        <v>-</v>
      </c>
      <c r="L159" s="659"/>
      <c r="M159" s="198" t="e">
        <f>RANK(K159, K$147:$K$176)</f>
        <v>#VALUE!</v>
      </c>
      <c r="N159" s="643"/>
      <c r="O159" s="643"/>
      <c r="P159" s="556"/>
      <c r="Q159" s="557"/>
      <c r="R159" s="557"/>
      <c r="S159" s="556"/>
      <c r="T159" s="639"/>
      <c r="U159" s="556"/>
      <c r="V159" s="557"/>
      <c r="W159" s="557"/>
      <c r="X159" s="556"/>
      <c r="Y159" s="639"/>
      <c r="Z159" s="556"/>
      <c r="AA159" s="557"/>
      <c r="AB159" s="557"/>
      <c r="AC159" s="556"/>
      <c r="AD159" s="639"/>
      <c r="AE159" s="556"/>
      <c r="AF159" s="557"/>
      <c r="AG159" s="557"/>
      <c r="AH159" s="556"/>
      <c r="AI159" s="639"/>
      <c r="AJ159" s="556"/>
      <c r="AK159" s="557"/>
      <c r="AL159" s="557"/>
      <c r="AM159" s="556"/>
      <c r="AN159" s="639"/>
      <c r="AO159" s="556"/>
      <c r="AP159" s="557"/>
      <c r="AQ159" s="557"/>
      <c r="AR159" s="556"/>
      <c r="AS159" s="639"/>
      <c r="AT159" s="556"/>
      <c r="AU159" s="557"/>
      <c r="AV159" s="557"/>
      <c r="AW159" s="556"/>
      <c r="AX159" s="639"/>
      <c r="AZ159" s="372" t="e">
        <f t="shared" si="26"/>
        <v>#N/A</v>
      </c>
      <c r="BA159" s="639"/>
    </row>
    <row r="160" spans="2:53">
      <c r="B160" s="649"/>
      <c r="C160" s="275">
        <v>14</v>
      </c>
      <c r="D160" s="201"/>
      <c r="E160" s="201"/>
      <c r="F160" s="201"/>
      <c r="G160" s="514"/>
      <c r="H160" s="639"/>
      <c r="I160" s="363" t="str">
        <f t="shared" si="28"/>
        <v>-</v>
      </c>
      <c r="J160" s="363" t="str">
        <f t="shared" si="29"/>
        <v>-</v>
      </c>
      <c r="K160" s="199" t="str">
        <f t="shared" si="30"/>
        <v>-</v>
      </c>
      <c r="L160" s="659"/>
      <c r="M160" s="198" t="e">
        <f>RANK(K160, K$147:$K$176)</f>
        <v>#VALUE!</v>
      </c>
      <c r="N160" s="643"/>
      <c r="O160" s="643"/>
      <c r="P160" s="556"/>
      <c r="Q160" s="557"/>
      <c r="R160" s="557"/>
      <c r="S160" s="556"/>
      <c r="T160" s="639"/>
      <c r="U160" s="556"/>
      <c r="V160" s="557"/>
      <c r="W160" s="557"/>
      <c r="X160" s="556"/>
      <c r="Y160" s="639"/>
      <c r="Z160" s="556"/>
      <c r="AA160" s="557"/>
      <c r="AB160" s="557"/>
      <c r="AC160" s="556"/>
      <c r="AD160" s="639"/>
      <c r="AE160" s="556"/>
      <c r="AF160" s="557"/>
      <c r="AG160" s="557"/>
      <c r="AH160" s="556"/>
      <c r="AI160" s="639"/>
      <c r="AJ160" s="556"/>
      <c r="AK160" s="557"/>
      <c r="AL160" s="557"/>
      <c r="AM160" s="556"/>
      <c r="AN160" s="639"/>
      <c r="AO160" s="556"/>
      <c r="AP160" s="557"/>
      <c r="AQ160" s="557"/>
      <c r="AR160" s="556"/>
      <c r="AS160" s="639"/>
      <c r="AT160" s="556"/>
      <c r="AU160" s="557"/>
      <c r="AV160" s="557"/>
      <c r="AW160" s="556"/>
      <c r="AX160" s="639"/>
      <c r="AZ160" s="372" t="e">
        <f t="shared" si="26"/>
        <v>#N/A</v>
      </c>
      <c r="BA160" s="639"/>
    </row>
    <row r="161" spans="2:53">
      <c r="B161" s="649"/>
      <c r="C161" s="275">
        <v>15</v>
      </c>
      <c r="D161" s="515"/>
      <c r="E161" s="201"/>
      <c r="F161" s="201"/>
      <c r="G161" s="514"/>
      <c r="H161" s="639"/>
      <c r="I161" s="363" t="str">
        <f t="shared" si="28"/>
        <v>-</v>
      </c>
      <c r="J161" s="363" t="str">
        <f t="shared" si="29"/>
        <v>-</v>
      </c>
      <c r="K161" s="199" t="str">
        <f t="shared" si="30"/>
        <v>-</v>
      </c>
      <c r="L161" s="659"/>
      <c r="M161" s="198" t="e">
        <f>RANK(K161, K$147:$K$176)</f>
        <v>#VALUE!</v>
      </c>
      <c r="N161" s="643"/>
      <c r="O161" s="643"/>
      <c r="P161" s="556"/>
      <c r="Q161" s="557"/>
      <c r="R161" s="557"/>
      <c r="S161" s="556"/>
      <c r="T161" s="639"/>
      <c r="U161" s="556"/>
      <c r="V161" s="557"/>
      <c r="W161" s="557"/>
      <c r="X161" s="556"/>
      <c r="Y161" s="639"/>
      <c r="Z161" s="556"/>
      <c r="AA161" s="557"/>
      <c r="AB161" s="557"/>
      <c r="AC161" s="556"/>
      <c r="AD161" s="639"/>
      <c r="AE161" s="556"/>
      <c r="AF161" s="557"/>
      <c r="AG161" s="557"/>
      <c r="AH161" s="556"/>
      <c r="AI161" s="639"/>
      <c r="AJ161" s="556"/>
      <c r="AK161" s="557"/>
      <c r="AL161" s="557"/>
      <c r="AM161" s="556"/>
      <c r="AN161" s="639"/>
      <c r="AO161" s="556"/>
      <c r="AP161" s="557"/>
      <c r="AQ161" s="557"/>
      <c r="AR161" s="556"/>
      <c r="AS161" s="639"/>
      <c r="AT161" s="556"/>
      <c r="AU161" s="557"/>
      <c r="AV161" s="557"/>
      <c r="AW161" s="556"/>
      <c r="AX161" s="639"/>
      <c r="AZ161" s="372" t="e">
        <f t="shared" si="26"/>
        <v>#N/A</v>
      </c>
      <c r="BA161" s="639"/>
    </row>
    <row r="162" spans="2:53">
      <c r="B162" s="649"/>
      <c r="C162" s="275">
        <v>16</v>
      </c>
      <c r="D162" s="201"/>
      <c r="E162" s="201"/>
      <c r="F162" s="201"/>
      <c r="G162" s="514"/>
      <c r="H162" s="639"/>
      <c r="I162" s="363" t="str">
        <f t="shared" si="28"/>
        <v>-</v>
      </c>
      <c r="J162" s="363" t="str">
        <f t="shared" si="29"/>
        <v>-</v>
      </c>
      <c r="K162" s="199" t="str">
        <f t="shared" si="30"/>
        <v>-</v>
      </c>
      <c r="L162" s="659"/>
      <c r="M162" s="198" t="e">
        <f>RANK(K162, K$147:$K$176)</f>
        <v>#VALUE!</v>
      </c>
      <c r="N162" s="643"/>
      <c r="O162" s="643"/>
      <c r="P162" s="556"/>
      <c r="Q162" s="557"/>
      <c r="R162" s="557"/>
      <c r="S162" s="556"/>
      <c r="T162" s="639"/>
      <c r="U162" s="556"/>
      <c r="V162" s="557"/>
      <c r="W162" s="557"/>
      <c r="X162" s="556"/>
      <c r="Y162" s="639"/>
      <c r="Z162" s="556"/>
      <c r="AA162" s="557"/>
      <c r="AB162" s="557"/>
      <c r="AC162" s="556"/>
      <c r="AD162" s="639"/>
      <c r="AE162" s="556"/>
      <c r="AF162" s="557"/>
      <c r="AG162" s="557"/>
      <c r="AH162" s="556"/>
      <c r="AI162" s="639"/>
      <c r="AJ162" s="556"/>
      <c r="AK162" s="557"/>
      <c r="AL162" s="557"/>
      <c r="AM162" s="556"/>
      <c r="AN162" s="639"/>
      <c r="AO162" s="556"/>
      <c r="AP162" s="557"/>
      <c r="AQ162" s="557"/>
      <c r="AR162" s="556"/>
      <c r="AS162" s="639"/>
      <c r="AT162" s="556"/>
      <c r="AU162" s="557"/>
      <c r="AV162" s="557"/>
      <c r="AW162" s="556"/>
      <c r="AX162" s="639"/>
      <c r="AZ162" s="372" t="e">
        <f t="shared" si="26"/>
        <v>#N/A</v>
      </c>
      <c r="BA162" s="639"/>
    </row>
    <row r="163" spans="2:53">
      <c r="B163" s="649"/>
      <c r="C163" s="275">
        <v>17</v>
      </c>
      <c r="D163" s="201"/>
      <c r="E163" s="201"/>
      <c r="F163" s="201"/>
      <c r="G163" s="514"/>
      <c r="H163" s="639"/>
      <c r="I163" s="363" t="str">
        <f t="shared" si="28"/>
        <v>-</v>
      </c>
      <c r="J163" s="363" t="str">
        <f t="shared" si="29"/>
        <v>-</v>
      </c>
      <c r="K163" s="199" t="str">
        <f t="shared" si="30"/>
        <v>-</v>
      </c>
      <c r="L163" s="659"/>
      <c r="M163" s="198" t="e">
        <f>RANK(K163, K$147:$K$176)</f>
        <v>#VALUE!</v>
      </c>
      <c r="N163" s="643"/>
      <c r="O163" s="643"/>
      <c r="P163" s="556"/>
      <c r="Q163" s="557"/>
      <c r="R163" s="557"/>
      <c r="S163" s="556"/>
      <c r="T163" s="639"/>
      <c r="U163" s="556"/>
      <c r="V163" s="557"/>
      <c r="W163" s="557"/>
      <c r="X163" s="556"/>
      <c r="Y163" s="639"/>
      <c r="Z163" s="556"/>
      <c r="AA163" s="557"/>
      <c r="AB163" s="557"/>
      <c r="AC163" s="556"/>
      <c r="AD163" s="639"/>
      <c r="AE163" s="556"/>
      <c r="AF163" s="557"/>
      <c r="AG163" s="557"/>
      <c r="AH163" s="556"/>
      <c r="AI163" s="639"/>
      <c r="AJ163" s="556"/>
      <c r="AK163" s="557"/>
      <c r="AL163" s="557"/>
      <c r="AM163" s="556"/>
      <c r="AN163" s="639"/>
      <c r="AO163" s="556"/>
      <c r="AP163" s="557"/>
      <c r="AQ163" s="557"/>
      <c r="AR163" s="556"/>
      <c r="AS163" s="639"/>
      <c r="AT163" s="556"/>
      <c r="AU163" s="557"/>
      <c r="AV163" s="557"/>
      <c r="AW163" s="556"/>
      <c r="AX163" s="639"/>
      <c r="AZ163" s="372" t="e">
        <f t="shared" si="26"/>
        <v>#N/A</v>
      </c>
      <c r="BA163" s="639"/>
    </row>
    <row r="164" spans="2:53">
      <c r="B164" s="649"/>
      <c r="C164" s="275">
        <v>18</v>
      </c>
      <c r="D164" s="515"/>
      <c r="E164" s="201"/>
      <c r="F164" s="201"/>
      <c r="G164" s="514"/>
      <c r="H164" s="639"/>
      <c r="I164" s="363" t="str">
        <f t="shared" si="28"/>
        <v>-</v>
      </c>
      <c r="J164" s="363" t="str">
        <f t="shared" si="29"/>
        <v>-</v>
      </c>
      <c r="K164" s="199" t="str">
        <f t="shared" si="30"/>
        <v>-</v>
      </c>
      <c r="L164" s="659"/>
      <c r="M164" s="198" t="e">
        <f>RANK(K164, K$147:$K$176)</f>
        <v>#VALUE!</v>
      </c>
      <c r="N164" s="643"/>
      <c r="O164" s="643"/>
      <c r="P164" s="556"/>
      <c r="Q164" s="557"/>
      <c r="R164" s="557"/>
      <c r="S164" s="556"/>
      <c r="T164" s="639"/>
      <c r="U164" s="556"/>
      <c r="V164" s="557"/>
      <c r="W164" s="557"/>
      <c r="X164" s="556"/>
      <c r="Y164" s="639"/>
      <c r="Z164" s="556"/>
      <c r="AA164" s="557"/>
      <c r="AB164" s="557"/>
      <c r="AC164" s="556"/>
      <c r="AD164" s="639"/>
      <c r="AE164" s="556"/>
      <c r="AF164" s="557"/>
      <c r="AG164" s="557"/>
      <c r="AH164" s="556"/>
      <c r="AI164" s="639"/>
      <c r="AJ164" s="556"/>
      <c r="AK164" s="557"/>
      <c r="AL164" s="557"/>
      <c r="AM164" s="556"/>
      <c r="AN164" s="639"/>
      <c r="AO164" s="556"/>
      <c r="AP164" s="557"/>
      <c r="AQ164" s="557"/>
      <c r="AR164" s="556"/>
      <c r="AS164" s="639"/>
      <c r="AT164" s="556"/>
      <c r="AU164" s="557"/>
      <c r="AV164" s="557"/>
      <c r="AW164" s="556"/>
      <c r="AX164" s="639"/>
      <c r="AZ164" s="372" t="e">
        <f t="shared" si="26"/>
        <v>#N/A</v>
      </c>
      <c r="BA164" s="639"/>
    </row>
    <row r="165" spans="2:53">
      <c r="B165" s="649"/>
      <c r="C165" s="275">
        <v>19</v>
      </c>
      <c r="D165" s="515"/>
      <c r="E165" s="201"/>
      <c r="F165" s="201"/>
      <c r="G165" s="514"/>
      <c r="H165" s="639"/>
      <c r="I165" s="363" t="str">
        <f t="shared" si="28"/>
        <v>-</v>
      </c>
      <c r="J165" s="363" t="str">
        <f t="shared" si="29"/>
        <v>-</v>
      </c>
      <c r="K165" s="199" t="str">
        <f t="shared" si="30"/>
        <v>-</v>
      </c>
      <c r="L165" s="659"/>
      <c r="M165" s="198" t="e">
        <f>RANK(K165, K$147:$K$176)</f>
        <v>#VALUE!</v>
      </c>
      <c r="N165" s="643"/>
      <c r="O165" s="643"/>
      <c r="P165" s="556"/>
      <c r="Q165" s="557"/>
      <c r="R165" s="557"/>
      <c r="S165" s="556"/>
      <c r="T165" s="639"/>
      <c r="U165" s="556"/>
      <c r="V165" s="557"/>
      <c r="W165" s="557"/>
      <c r="X165" s="556"/>
      <c r="Y165" s="639"/>
      <c r="Z165" s="556"/>
      <c r="AA165" s="557"/>
      <c r="AB165" s="557"/>
      <c r="AC165" s="556"/>
      <c r="AD165" s="639"/>
      <c r="AE165" s="556"/>
      <c r="AF165" s="557"/>
      <c r="AG165" s="557"/>
      <c r="AH165" s="556"/>
      <c r="AI165" s="639"/>
      <c r="AJ165" s="556"/>
      <c r="AK165" s="557"/>
      <c r="AL165" s="557"/>
      <c r="AM165" s="556"/>
      <c r="AN165" s="639"/>
      <c r="AO165" s="556"/>
      <c r="AP165" s="557"/>
      <c r="AQ165" s="557"/>
      <c r="AR165" s="556"/>
      <c r="AS165" s="639"/>
      <c r="AT165" s="556"/>
      <c r="AU165" s="557"/>
      <c r="AV165" s="557"/>
      <c r="AW165" s="556"/>
      <c r="AX165" s="639"/>
      <c r="AZ165" s="372" t="e">
        <f t="shared" si="26"/>
        <v>#N/A</v>
      </c>
      <c r="BA165" s="639"/>
    </row>
    <row r="166" spans="2:53">
      <c r="B166" s="649"/>
      <c r="C166" s="275">
        <v>20</v>
      </c>
      <c r="D166" s="515"/>
      <c r="E166" s="201"/>
      <c r="F166" s="201"/>
      <c r="G166" s="514"/>
      <c r="H166" s="639"/>
      <c r="I166" s="363" t="str">
        <f t="shared" si="28"/>
        <v>-</v>
      </c>
      <c r="J166" s="363" t="str">
        <f t="shared" si="29"/>
        <v>-</v>
      </c>
      <c r="K166" s="199" t="str">
        <f t="shared" si="30"/>
        <v>-</v>
      </c>
      <c r="L166" s="659"/>
      <c r="M166" s="198" t="e">
        <f>RANK(K166, K$147:$K$176)</f>
        <v>#VALUE!</v>
      </c>
      <c r="N166" s="643"/>
      <c r="O166" s="643"/>
      <c r="P166" s="556"/>
      <c r="Q166" s="557"/>
      <c r="R166" s="557"/>
      <c r="S166" s="556"/>
      <c r="T166" s="639"/>
      <c r="U166" s="556"/>
      <c r="V166" s="557"/>
      <c r="W166" s="557"/>
      <c r="X166" s="556"/>
      <c r="Y166" s="639"/>
      <c r="Z166" s="556"/>
      <c r="AA166" s="557"/>
      <c r="AB166" s="557"/>
      <c r="AC166" s="556"/>
      <c r="AD166" s="639"/>
      <c r="AE166" s="556"/>
      <c r="AF166" s="557"/>
      <c r="AG166" s="557"/>
      <c r="AH166" s="556"/>
      <c r="AI166" s="639"/>
      <c r="AJ166" s="556"/>
      <c r="AK166" s="557"/>
      <c r="AL166" s="557"/>
      <c r="AM166" s="556"/>
      <c r="AN166" s="639"/>
      <c r="AO166" s="556"/>
      <c r="AP166" s="557"/>
      <c r="AQ166" s="557"/>
      <c r="AR166" s="556"/>
      <c r="AS166" s="639"/>
      <c r="AT166" s="556"/>
      <c r="AU166" s="557"/>
      <c r="AV166" s="557"/>
      <c r="AW166" s="556"/>
      <c r="AX166" s="639"/>
      <c r="AZ166" s="372" t="e">
        <f t="shared" si="26"/>
        <v>#N/A</v>
      </c>
      <c r="BA166" s="639"/>
    </row>
    <row r="167" spans="2:53">
      <c r="B167" s="649"/>
      <c r="C167" s="275">
        <v>21</v>
      </c>
      <c r="D167" s="515"/>
      <c r="E167" s="201"/>
      <c r="F167" s="201"/>
      <c r="G167" s="514"/>
      <c r="H167" s="639"/>
      <c r="I167" s="363" t="str">
        <f t="shared" si="28"/>
        <v>-</v>
      </c>
      <c r="J167" s="363" t="str">
        <f t="shared" si="29"/>
        <v>-</v>
      </c>
      <c r="K167" s="199" t="str">
        <f t="shared" si="30"/>
        <v>-</v>
      </c>
      <c r="L167" s="659"/>
      <c r="M167" s="198" t="e">
        <f>RANK(K167, K$147:$K$176)</f>
        <v>#VALUE!</v>
      </c>
      <c r="N167" s="643"/>
      <c r="O167" s="643"/>
      <c r="P167" s="556"/>
      <c r="Q167" s="557"/>
      <c r="R167" s="557"/>
      <c r="S167" s="556"/>
      <c r="T167" s="639"/>
      <c r="U167" s="556"/>
      <c r="V167" s="557"/>
      <c r="W167" s="557"/>
      <c r="X167" s="556"/>
      <c r="Y167" s="639"/>
      <c r="Z167" s="556"/>
      <c r="AA167" s="557"/>
      <c r="AB167" s="557"/>
      <c r="AC167" s="556"/>
      <c r="AD167" s="639"/>
      <c r="AE167" s="556"/>
      <c r="AF167" s="557"/>
      <c r="AG167" s="557"/>
      <c r="AH167" s="556"/>
      <c r="AI167" s="639"/>
      <c r="AJ167" s="556"/>
      <c r="AK167" s="557"/>
      <c r="AL167" s="557"/>
      <c r="AM167" s="556"/>
      <c r="AN167" s="639"/>
      <c r="AO167" s="556"/>
      <c r="AP167" s="557"/>
      <c r="AQ167" s="557"/>
      <c r="AR167" s="556"/>
      <c r="AS167" s="639"/>
      <c r="AT167" s="556"/>
      <c r="AU167" s="557"/>
      <c r="AV167" s="557"/>
      <c r="AW167" s="556"/>
      <c r="AX167" s="639"/>
      <c r="AZ167" s="372" t="e">
        <f t="shared" si="26"/>
        <v>#N/A</v>
      </c>
      <c r="BA167" s="639"/>
    </row>
    <row r="168" spans="2:53">
      <c r="B168" s="649"/>
      <c r="C168" s="275">
        <v>22</v>
      </c>
      <c r="D168" s="515"/>
      <c r="E168" s="201"/>
      <c r="F168" s="201"/>
      <c r="G168" s="514"/>
      <c r="H168" s="639"/>
      <c r="I168" s="363" t="str">
        <f t="shared" si="28"/>
        <v>-</v>
      </c>
      <c r="J168" s="363" t="str">
        <f t="shared" si="29"/>
        <v>-</v>
      </c>
      <c r="K168" s="199" t="str">
        <f t="shared" si="30"/>
        <v>-</v>
      </c>
      <c r="L168" s="659"/>
      <c r="M168" s="198" t="e">
        <f>RANK(K168, K$147:$K$176)</f>
        <v>#VALUE!</v>
      </c>
      <c r="N168" s="643"/>
      <c r="O168" s="643"/>
      <c r="P168" s="556"/>
      <c r="Q168" s="557"/>
      <c r="R168" s="557"/>
      <c r="S168" s="556"/>
      <c r="T168" s="639"/>
      <c r="U168" s="556"/>
      <c r="V168" s="557"/>
      <c r="W168" s="557"/>
      <c r="X168" s="556"/>
      <c r="Y168" s="639"/>
      <c r="Z168" s="556"/>
      <c r="AA168" s="557"/>
      <c r="AB168" s="557"/>
      <c r="AC168" s="556"/>
      <c r="AD168" s="639"/>
      <c r="AE168" s="556"/>
      <c r="AF168" s="557"/>
      <c r="AG168" s="557"/>
      <c r="AH168" s="556"/>
      <c r="AI168" s="639"/>
      <c r="AJ168" s="556"/>
      <c r="AK168" s="557"/>
      <c r="AL168" s="557"/>
      <c r="AM168" s="556"/>
      <c r="AN168" s="639"/>
      <c r="AO168" s="556"/>
      <c r="AP168" s="557"/>
      <c r="AQ168" s="557"/>
      <c r="AR168" s="556"/>
      <c r="AS168" s="639"/>
      <c r="AT168" s="556"/>
      <c r="AU168" s="557"/>
      <c r="AV168" s="557"/>
      <c r="AW168" s="556"/>
      <c r="AX168" s="639"/>
      <c r="AZ168" s="372" t="e">
        <f t="shared" si="26"/>
        <v>#N/A</v>
      </c>
      <c r="BA168" s="639"/>
    </row>
    <row r="169" spans="2:53">
      <c r="B169" s="649"/>
      <c r="C169" s="275">
        <v>23</v>
      </c>
      <c r="D169" s="201"/>
      <c r="E169" s="201"/>
      <c r="F169" s="201"/>
      <c r="G169" s="514"/>
      <c r="H169" s="639"/>
      <c r="I169" s="363" t="str">
        <f t="shared" si="28"/>
        <v>-</v>
      </c>
      <c r="J169" s="363" t="str">
        <f t="shared" si="29"/>
        <v>-</v>
      </c>
      <c r="K169" s="199" t="str">
        <f t="shared" si="30"/>
        <v>-</v>
      </c>
      <c r="L169" s="659"/>
      <c r="M169" s="198" t="e">
        <f>RANK(K169, K$147:$K$176)</f>
        <v>#VALUE!</v>
      </c>
      <c r="N169" s="643"/>
      <c r="O169" s="643"/>
      <c r="P169" s="556"/>
      <c r="Q169" s="557"/>
      <c r="R169" s="557"/>
      <c r="S169" s="556"/>
      <c r="T169" s="639"/>
      <c r="U169" s="556"/>
      <c r="V169" s="557"/>
      <c r="W169" s="557"/>
      <c r="X169" s="556"/>
      <c r="Y169" s="639"/>
      <c r="Z169" s="556"/>
      <c r="AA169" s="557"/>
      <c r="AB169" s="557"/>
      <c r="AC169" s="556"/>
      <c r="AD169" s="639"/>
      <c r="AE169" s="556"/>
      <c r="AF169" s="557"/>
      <c r="AG169" s="557"/>
      <c r="AH169" s="556"/>
      <c r="AI169" s="639"/>
      <c r="AJ169" s="556"/>
      <c r="AK169" s="557"/>
      <c r="AL169" s="557"/>
      <c r="AM169" s="556"/>
      <c r="AN169" s="639"/>
      <c r="AO169" s="556"/>
      <c r="AP169" s="557"/>
      <c r="AQ169" s="557"/>
      <c r="AR169" s="556"/>
      <c r="AS169" s="639"/>
      <c r="AT169" s="556"/>
      <c r="AU169" s="557"/>
      <c r="AV169" s="557"/>
      <c r="AW169" s="556"/>
      <c r="AX169" s="639"/>
      <c r="AZ169" s="372" t="e">
        <f t="shared" si="26"/>
        <v>#N/A</v>
      </c>
      <c r="BA169" s="639"/>
    </row>
    <row r="170" spans="2:53">
      <c r="B170" s="649"/>
      <c r="C170" s="275">
        <v>24</v>
      </c>
      <c r="D170" s="515"/>
      <c r="E170" s="201"/>
      <c r="F170" s="201"/>
      <c r="G170" s="514"/>
      <c r="H170" s="639"/>
      <c r="I170" s="363" t="str">
        <f t="shared" si="28"/>
        <v>-</v>
      </c>
      <c r="J170" s="363" t="str">
        <f t="shared" si="29"/>
        <v>-</v>
      </c>
      <c r="K170" s="199" t="str">
        <f t="shared" si="30"/>
        <v>-</v>
      </c>
      <c r="L170" s="659"/>
      <c r="M170" s="198" t="e">
        <f>RANK(K170, K$147:$K$176)</f>
        <v>#VALUE!</v>
      </c>
      <c r="N170" s="643"/>
      <c r="O170" s="643"/>
      <c r="P170" s="556"/>
      <c r="Q170" s="557"/>
      <c r="R170" s="557"/>
      <c r="S170" s="556"/>
      <c r="T170" s="639"/>
      <c r="U170" s="556"/>
      <c r="V170" s="557"/>
      <c r="W170" s="557"/>
      <c r="X170" s="556"/>
      <c r="Y170" s="639"/>
      <c r="Z170" s="556"/>
      <c r="AA170" s="557"/>
      <c r="AB170" s="557"/>
      <c r="AC170" s="556"/>
      <c r="AD170" s="639"/>
      <c r="AE170" s="556"/>
      <c r="AF170" s="557"/>
      <c r="AG170" s="557"/>
      <c r="AH170" s="556"/>
      <c r="AI170" s="639"/>
      <c r="AJ170" s="556"/>
      <c r="AK170" s="557"/>
      <c r="AL170" s="557"/>
      <c r="AM170" s="556"/>
      <c r="AN170" s="639"/>
      <c r="AO170" s="556"/>
      <c r="AP170" s="557"/>
      <c r="AQ170" s="557"/>
      <c r="AR170" s="556"/>
      <c r="AS170" s="639"/>
      <c r="AT170" s="556"/>
      <c r="AU170" s="557"/>
      <c r="AV170" s="557"/>
      <c r="AW170" s="556"/>
      <c r="AX170" s="639"/>
      <c r="AZ170" s="372" t="e">
        <f t="shared" si="26"/>
        <v>#N/A</v>
      </c>
      <c r="BA170" s="639"/>
    </row>
    <row r="171" spans="2:53">
      <c r="B171" s="649"/>
      <c r="C171" s="275">
        <v>25</v>
      </c>
      <c r="D171" s="201"/>
      <c r="E171" s="201"/>
      <c r="F171" s="201"/>
      <c r="G171" s="514"/>
      <c r="H171" s="639"/>
      <c r="I171" s="363" t="str">
        <f t="shared" si="28"/>
        <v>-</v>
      </c>
      <c r="J171" s="363" t="str">
        <f t="shared" si="29"/>
        <v>-</v>
      </c>
      <c r="K171" s="199" t="str">
        <f t="shared" si="30"/>
        <v>-</v>
      </c>
      <c r="L171" s="659"/>
      <c r="M171" s="198" t="e">
        <f>RANK(K171, K$147:$K$176)</f>
        <v>#VALUE!</v>
      </c>
      <c r="N171" s="643"/>
      <c r="O171" s="643"/>
      <c r="P171" s="556"/>
      <c r="Q171" s="557"/>
      <c r="R171" s="557"/>
      <c r="S171" s="556"/>
      <c r="T171" s="639"/>
      <c r="U171" s="556"/>
      <c r="V171" s="557"/>
      <c r="W171" s="557"/>
      <c r="X171" s="556"/>
      <c r="Y171" s="639"/>
      <c r="Z171" s="556"/>
      <c r="AA171" s="557"/>
      <c r="AB171" s="557"/>
      <c r="AC171" s="556"/>
      <c r="AD171" s="639"/>
      <c r="AE171" s="556"/>
      <c r="AF171" s="557"/>
      <c r="AG171" s="557"/>
      <c r="AH171" s="556"/>
      <c r="AI171" s="639"/>
      <c r="AJ171" s="556"/>
      <c r="AK171" s="557"/>
      <c r="AL171" s="557"/>
      <c r="AM171" s="556"/>
      <c r="AN171" s="639"/>
      <c r="AO171" s="556"/>
      <c r="AP171" s="557"/>
      <c r="AQ171" s="557"/>
      <c r="AR171" s="556"/>
      <c r="AS171" s="639"/>
      <c r="AT171" s="556"/>
      <c r="AU171" s="557"/>
      <c r="AV171" s="557"/>
      <c r="AW171" s="556"/>
      <c r="AX171" s="639"/>
      <c r="AZ171" s="372" t="e">
        <f t="shared" si="26"/>
        <v>#N/A</v>
      </c>
      <c r="BA171" s="639"/>
    </row>
    <row r="172" spans="2:53">
      <c r="B172" s="649"/>
      <c r="C172" s="275">
        <v>26</v>
      </c>
      <c r="D172" s="201"/>
      <c r="E172" s="201"/>
      <c r="F172" s="201"/>
      <c r="G172" s="514"/>
      <c r="H172" s="639"/>
      <c r="I172" s="363" t="str">
        <f t="shared" si="28"/>
        <v>-</v>
      </c>
      <c r="J172" s="363" t="str">
        <f t="shared" si="29"/>
        <v>-</v>
      </c>
      <c r="K172" s="199" t="str">
        <f t="shared" si="30"/>
        <v>-</v>
      </c>
      <c r="L172" s="659"/>
      <c r="M172" s="198" t="e">
        <f>RANK(K172, K$147:$K$176)</f>
        <v>#VALUE!</v>
      </c>
      <c r="N172" s="643"/>
      <c r="O172" s="643"/>
      <c r="P172" s="556"/>
      <c r="Q172" s="557"/>
      <c r="R172" s="557"/>
      <c r="S172" s="556"/>
      <c r="T172" s="639"/>
      <c r="U172" s="556"/>
      <c r="V172" s="557"/>
      <c r="W172" s="557"/>
      <c r="X172" s="556"/>
      <c r="Y172" s="639"/>
      <c r="Z172" s="556"/>
      <c r="AA172" s="557"/>
      <c r="AB172" s="557"/>
      <c r="AC172" s="556"/>
      <c r="AD172" s="639"/>
      <c r="AE172" s="556"/>
      <c r="AF172" s="557"/>
      <c r="AG172" s="557"/>
      <c r="AH172" s="556"/>
      <c r="AI172" s="639"/>
      <c r="AJ172" s="556"/>
      <c r="AK172" s="557"/>
      <c r="AL172" s="557"/>
      <c r="AM172" s="556"/>
      <c r="AN172" s="639"/>
      <c r="AO172" s="556"/>
      <c r="AP172" s="557"/>
      <c r="AQ172" s="557"/>
      <c r="AR172" s="556"/>
      <c r="AS172" s="639"/>
      <c r="AT172" s="556"/>
      <c r="AU172" s="557"/>
      <c r="AV172" s="557"/>
      <c r="AW172" s="556"/>
      <c r="AX172" s="639"/>
      <c r="AZ172" s="372" t="e">
        <f t="shared" si="26"/>
        <v>#N/A</v>
      </c>
      <c r="BA172" s="639"/>
    </row>
    <row r="173" spans="2:53">
      <c r="B173" s="649"/>
      <c r="C173" s="275">
        <v>27</v>
      </c>
      <c r="D173" s="201"/>
      <c r="E173" s="201"/>
      <c r="F173" s="201"/>
      <c r="G173" s="514"/>
      <c r="H173" s="639"/>
      <c r="I173" s="363" t="str">
        <f t="shared" si="28"/>
        <v>-</v>
      </c>
      <c r="J173" s="363" t="str">
        <f t="shared" si="29"/>
        <v>-</v>
      </c>
      <c r="K173" s="199" t="str">
        <f t="shared" si="30"/>
        <v>-</v>
      </c>
      <c r="L173" s="659"/>
      <c r="M173" s="198" t="e">
        <f>RANK(K173, K$147:$K$176)</f>
        <v>#VALUE!</v>
      </c>
      <c r="N173" s="643"/>
      <c r="O173" s="643"/>
      <c r="P173" s="556"/>
      <c r="Q173" s="557"/>
      <c r="R173" s="557"/>
      <c r="S173" s="556"/>
      <c r="T173" s="639"/>
      <c r="U173" s="556"/>
      <c r="V173" s="557"/>
      <c r="W173" s="557"/>
      <c r="X173" s="556"/>
      <c r="Y173" s="639"/>
      <c r="Z173" s="556"/>
      <c r="AA173" s="557"/>
      <c r="AB173" s="557"/>
      <c r="AC173" s="556"/>
      <c r="AD173" s="639"/>
      <c r="AE173" s="556"/>
      <c r="AF173" s="557"/>
      <c r="AG173" s="557"/>
      <c r="AH173" s="556"/>
      <c r="AI173" s="639"/>
      <c r="AJ173" s="556"/>
      <c r="AK173" s="557"/>
      <c r="AL173" s="557"/>
      <c r="AM173" s="556"/>
      <c r="AN173" s="639"/>
      <c r="AO173" s="556"/>
      <c r="AP173" s="557"/>
      <c r="AQ173" s="557"/>
      <c r="AR173" s="556"/>
      <c r="AS173" s="639"/>
      <c r="AT173" s="556"/>
      <c r="AU173" s="557"/>
      <c r="AV173" s="557"/>
      <c r="AW173" s="556"/>
      <c r="AX173" s="639"/>
      <c r="AZ173" s="372" t="e">
        <f t="shared" si="26"/>
        <v>#N/A</v>
      </c>
      <c r="BA173" s="639"/>
    </row>
    <row r="174" spans="2:53">
      <c r="B174" s="649"/>
      <c r="C174" s="275">
        <v>28</v>
      </c>
      <c r="D174" s="201"/>
      <c r="E174" s="201"/>
      <c r="F174" s="201"/>
      <c r="G174" s="201"/>
      <c r="H174" s="639"/>
      <c r="I174" s="363" t="str">
        <f t="shared" si="28"/>
        <v>-</v>
      </c>
      <c r="J174" s="363" t="str">
        <f t="shared" si="29"/>
        <v>-</v>
      </c>
      <c r="K174" s="199" t="str">
        <f t="shared" si="30"/>
        <v>-</v>
      </c>
      <c r="L174" s="659"/>
      <c r="M174" s="198" t="e">
        <f>RANK(K174, K$147:$K$176)</f>
        <v>#VALUE!</v>
      </c>
      <c r="N174" s="643"/>
      <c r="O174" s="643"/>
      <c r="P174" s="556"/>
      <c r="Q174" s="557"/>
      <c r="R174" s="557"/>
      <c r="S174" s="556"/>
      <c r="T174" s="639"/>
      <c r="U174" s="556"/>
      <c r="V174" s="557"/>
      <c r="W174" s="557"/>
      <c r="X174" s="556"/>
      <c r="Y174" s="639"/>
      <c r="Z174" s="556"/>
      <c r="AA174" s="557"/>
      <c r="AB174" s="557"/>
      <c r="AC174" s="556"/>
      <c r="AD174" s="639"/>
      <c r="AE174" s="556"/>
      <c r="AF174" s="557"/>
      <c r="AG174" s="557"/>
      <c r="AH174" s="556"/>
      <c r="AI174" s="639"/>
      <c r="AJ174" s="556"/>
      <c r="AK174" s="557"/>
      <c r="AL174" s="557"/>
      <c r="AM174" s="556"/>
      <c r="AN174" s="639"/>
      <c r="AO174" s="556"/>
      <c r="AP174" s="557"/>
      <c r="AQ174" s="557"/>
      <c r="AR174" s="556"/>
      <c r="AS174" s="639"/>
      <c r="AT174" s="556"/>
      <c r="AU174" s="557"/>
      <c r="AV174" s="557"/>
      <c r="AW174" s="556"/>
      <c r="AX174" s="639"/>
      <c r="AZ174" s="372" t="e">
        <f t="shared" si="26"/>
        <v>#N/A</v>
      </c>
      <c r="BA174" s="639"/>
    </row>
    <row r="175" spans="2:53">
      <c r="B175" s="649"/>
      <c r="C175" s="275">
        <v>29</v>
      </c>
      <c r="D175" s="201"/>
      <c r="E175" s="201"/>
      <c r="F175" s="201"/>
      <c r="G175" s="201"/>
      <c r="H175" s="639"/>
      <c r="I175" s="363" t="str">
        <f t="shared" si="28"/>
        <v>-</v>
      </c>
      <c r="J175" s="363" t="str">
        <f t="shared" si="29"/>
        <v>-</v>
      </c>
      <c r="K175" s="199" t="str">
        <f t="shared" si="30"/>
        <v>-</v>
      </c>
      <c r="L175" s="659"/>
      <c r="M175" s="198" t="e">
        <f>RANK(K175, K$147:$K$176)</f>
        <v>#VALUE!</v>
      </c>
      <c r="N175" s="643"/>
      <c r="O175" s="643"/>
      <c r="P175" s="556"/>
      <c r="Q175" s="557"/>
      <c r="R175" s="557"/>
      <c r="S175" s="556"/>
      <c r="T175" s="639"/>
      <c r="U175" s="556"/>
      <c r="V175" s="557"/>
      <c r="W175" s="557"/>
      <c r="X175" s="556"/>
      <c r="Y175" s="639"/>
      <c r="Z175" s="556"/>
      <c r="AA175" s="557"/>
      <c r="AB175" s="557"/>
      <c r="AC175" s="556"/>
      <c r="AD175" s="639"/>
      <c r="AE175" s="556"/>
      <c r="AF175" s="557"/>
      <c r="AG175" s="557"/>
      <c r="AH175" s="556"/>
      <c r="AI175" s="639"/>
      <c r="AJ175" s="556"/>
      <c r="AK175" s="557"/>
      <c r="AL175" s="557"/>
      <c r="AM175" s="556"/>
      <c r="AN175" s="639"/>
      <c r="AO175" s="556"/>
      <c r="AP175" s="557"/>
      <c r="AQ175" s="557"/>
      <c r="AR175" s="556"/>
      <c r="AS175" s="639"/>
      <c r="AT175" s="556"/>
      <c r="AU175" s="557"/>
      <c r="AV175" s="557"/>
      <c r="AW175" s="556"/>
      <c r="AX175" s="639"/>
      <c r="AZ175" s="372" t="e">
        <f t="shared" si="26"/>
        <v>#N/A</v>
      </c>
      <c r="BA175" s="639"/>
    </row>
    <row r="176" spans="2:53">
      <c r="B176" s="649"/>
      <c r="C176" s="275">
        <v>30</v>
      </c>
      <c r="D176" s="201"/>
      <c r="E176" s="201"/>
      <c r="F176" s="201"/>
      <c r="G176" s="201"/>
      <c r="H176" s="640"/>
      <c r="I176" s="363" t="str">
        <f t="shared" si="28"/>
        <v>-</v>
      </c>
      <c r="J176" s="363" t="str">
        <f t="shared" si="29"/>
        <v>-</v>
      </c>
      <c r="K176" s="199" t="str">
        <f t="shared" si="30"/>
        <v>-</v>
      </c>
      <c r="L176" s="660"/>
      <c r="M176" s="198" t="e">
        <f>RANK(K176, K$147:$K$176)</f>
        <v>#VALUE!</v>
      </c>
      <c r="N176" s="643"/>
      <c r="O176" s="643"/>
      <c r="P176" s="556"/>
      <c r="Q176" s="557"/>
      <c r="R176" s="557"/>
      <c r="S176" s="556"/>
      <c r="T176" s="640"/>
      <c r="U176" s="556"/>
      <c r="V176" s="557"/>
      <c r="W176" s="557"/>
      <c r="X176" s="556"/>
      <c r="Y176" s="640"/>
      <c r="Z176" s="556"/>
      <c r="AA176" s="557"/>
      <c r="AB176" s="557"/>
      <c r="AC176" s="556"/>
      <c r="AD176" s="640"/>
      <c r="AE176" s="556"/>
      <c r="AF176" s="557"/>
      <c r="AG176" s="557"/>
      <c r="AH176" s="556"/>
      <c r="AI176" s="640"/>
      <c r="AJ176" s="556"/>
      <c r="AK176" s="557"/>
      <c r="AL176" s="557"/>
      <c r="AM176" s="556"/>
      <c r="AN176" s="640"/>
      <c r="AO176" s="556"/>
      <c r="AP176" s="557"/>
      <c r="AQ176" s="557"/>
      <c r="AR176" s="556"/>
      <c r="AS176" s="640"/>
      <c r="AT176" s="556"/>
      <c r="AU176" s="557"/>
      <c r="AV176" s="557"/>
      <c r="AW176" s="556"/>
      <c r="AX176" s="640"/>
      <c r="AZ176" s="372" t="e">
        <f t="shared" si="26"/>
        <v>#N/A</v>
      </c>
      <c r="BA176" s="640"/>
    </row>
    <row r="177" spans="2:53" ht="15.75">
      <c r="B177" s="671" t="s">
        <v>162</v>
      </c>
      <c r="C177" s="672"/>
      <c r="D177" s="672"/>
      <c r="E177" s="672"/>
      <c r="F177" s="672"/>
      <c r="G177" s="672"/>
      <c r="H177" s="673"/>
      <c r="I177" s="207"/>
      <c r="J177" s="207"/>
      <c r="K177" s="207"/>
      <c r="L177" s="207"/>
      <c r="M177" s="206"/>
      <c r="N177" s="645" t="s">
        <v>156</v>
      </c>
      <c r="O177" s="645" t="s">
        <v>105</v>
      </c>
      <c r="P177" s="670">
        <f>P142+7</f>
        <v>46301</v>
      </c>
      <c r="Q177" s="649"/>
      <c r="R177" s="649"/>
      <c r="S177" s="649"/>
      <c r="T177" s="649"/>
      <c r="U177" s="667">
        <f>P177+1</f>
        <v>46302</v>
      </c>
      <c r="V177" s="668"/>
      <c r="W177" s="668"/>
      <c r="X177" s="668"/>
      <c r="Y177" s="669"/>
      <c r="Z177" s="667">
        <f>U177+1</f>
        <v>46303</v>
      </c>
      <c r="AA177" s="668"/>
      <c r="AB177" s="668"/>
      <c r="AC177" s="668"/>
      <c r="AD177" s="669"/>
      <c r="AE177" s="667">
        <f>Z177+1</f>
        <v>46304</v>
      </c>
      <c r="AF177" s="668"/>
      <c r="AG177" s="668"/>
      <c r="AH177" s="668"/>
      <c r="AI177" s="669"/>
      <c r="AJ177" s="667">
        <f>AE177+1</f>
        <v>46305</v>
      </c>
      <c r="AK177" s="668"/>
      <c r="AL177" s="668"/>
      <c r="AM177" s="668"/>
      <c r="AN177" s="669"/>
      <c r="AO177" s="667">
        <f>AJ177+1</f>
        <v>46306</v>
      </c>
      <c r="AP177" s="668"/>
      <c r="AQ177" s="668"/>
      <c r="AR177" s="668"/>
      <c r="AS177" s="669"/>
      <c r="AT177" s="667">
        <f>AO177+1</f>
        <v>46307</v>
      </c>
      <c r="AU177" s="668"/>
      <c r="AV177" s="668"/>
      <c r="AW177" s="668"/>
      <c r="AX177" s="669"/>
    </row>
    <row r="178" spans="2:53" ht="15.75">
      <c r="B178" s="674"/>
      <c r="C178" s="674"/>
      <c r="D178" s="674"/>
      <c r="E178" s="674"/>
      <c r="F178" s="674"/>
      <c r="G178" s="674"/>
      <c r="H178" s="674"/>
      <c r="I178" s="204"/>
      <c r="J178" s="204"/>
      <c r="K178" s="204"/>
      <c r="L178" s="204"/>
      <c r="M178" s="205"/>
      <c r="N178" s="647"/>
      <c r="O178" s="647"/>
      <c r="P178" s="670" t="s">
        <v>158</v>
      </c>
      <c r="Q178" s="649"/>
      <c r="R178" s="649"/>
      <c r="S178" s="649"/>
      <c r="T178" s="649"/>
      <c r="U178" s="670" t="s">
        <v>114</v>
      </c>
      <c r="V178" s="649"/>
      <c r="W178" s="649"/>
      <c r="X178" s="649"/>
      <c r="Y178" s="649"/>
      <c r="Z178" s="670" t="s">
        <v>159</v>
      </c>
      <c r="AA178" s="649"/>
      <c r="AB178" s="649"/>
      <c r="AC178" s="649"/>
      <c r="AD178" s="649"/>
      <c r="AE178" s="670" t="s">
        <v>157</v>
      </c>
      <c r="AF178" s="649"/>
      <c r="AG178" s="649"/>
      <c r="AH178" s="649"/>
      <c r="AI178" s="649"/>
      <c r="AJ178" s="670" t="s">
        <v>160</v>
      </c>
      <c r="AK178" s="649"/>
      <c r="AL178" s="649"/>
      <c r="AM178" s="649"/>
      <c r="AN178" s="649"/>
      <c r="AO178" s="670" t="s">
        <v>115</v>
      </c>
      <c r="AP178" s="649"/>
      <c r="AQ178" s="649"/>
      <c r="AR178" s="649"/>
      <c r="AS178" s="649"/>
      <c r="AT178" s="670" t="s">
        <v>161</v>
      </c>
      <c r="AU178" s="649"/>
      <c r="AV178" s="649"/>
      <c r="AW178" s="649"/>
      <c r="AX178" s="649"/>
    </row>
    <row r="179" spans="2:53">
      <c r="B179" s="643" t="s">
        <v>154</v>
      </c>
      <c r="C179" s="643" t="s">
        <v>372</v>
      </c>
      <c r="D179" s="643"/>
      <c r="E179" s="643" t="s">
        <v>363</v>
      </c>
      <c r="F179" s="643"/>
      <c r="G179" s="643"/>
      <c r="H179" s="675" t="s">
        <v>359</v>
      </c>
      <c r="I179" s="643" t="s">
        <v>364</v>
      </c>
      <c r="J179" s="643"/>
      <c r="K179" s="643"/>
      <c r="L179" s="675" t="s">
        <v>359</v>
      </c>
      <c r="M179" s="645" t="s">
        <v>360</v>
      </c>
      <c r="N179" s="643"/>
      <c r="O179" s="643" t="s">
        <v>365</v>
      </c>
      <c r="P179" s="661" t="s">
        <v>361</v>
      </c>
      <c r="Q179" s="662"/>
      <c r="R179" s="662"/>
      <c r="S179" s="663"/>
      <c r="T179" s="643" t="s">
        <v>359</v>
      </c>
      <c r="U179" s="661" t="s">
        <v>361</v>
      </c>
      <c r="V179" s="662"/>
      <c r="W179" s="662"/>
      <c r="X179" s="663"/>
      <c r="Y179" s="643" t="s">
        <v>359</v>
      </c>
      <c r="Z179" s="661" t="s">
        <v>361</v>
      </c>
      <c r="AA179" s="662"/>
      <c r="AB179" s="662"/>
      <c r="AC179" s="663"/>
      <c r="AD179" s="643" t="s">
        <v>359</v>
      </c>
      <c r="AE179" s="661" t="s">
        <v>361</v>
      </c>
      <c r="AF179" s="662"/>
      <c r="AG179" s="662"/>
      <c r="AH179" s="663"/>
      <c r="AI179" s="643" t="s">
        <v>359</v>
      </c>
      <c r="AJ179" s="661" t="s">
        <v>361</v>
      </c>
      <c r="AK179" s="662"/>
      <c r="AL179" s="662"/>
      <c r="AM179" s="663"/>
      <c r="AN179" s="643" t="s">
        <v>359</v>
      </c>
      <c r="AO179" s="661" t="s">
        <v>361</v>
      </c>
      <c r="AP179" s="662"/>
      <c r="AQ179" s="662"/>
      <c r="AR179" s="663"/>
      <c r="AS179" s="643" t="s">
        <v>359</v>
      </c>
      <c r="AT179" s="664" t="s">
        <v>361</v>
      </c>
      <c r="AU179" s="665"/>
      <c r="AV179" s="665"/>
      <c r="AW179" s="666"/>
      <c r="AX179" s="641" t="s">
        <v>359</v>
      </c>
      <c r="BA179" s="641" t="s">
        <v>359</v>
      </c>
    </row>
    <row r="180" spans="2:53">
      <c r="B180" s="643"/>
      <c r="C180" s="643"/>
      <c r="D180" s="643"/>
      <c r="E180" s="643" t="s">
        <v>366</v>
      </c>
      <c r="F180" s="643"/>
      <c r="G180" s="643"/>
      <c r="H180" s="676"/>
      <c r="I180" s="643" t="s">
        <v>366</v>
      </c>
      <c r="J180" s="643"/>
      <c r="K180" s="643"/>
      <c r="L180" s="676"/>
      <c r="M180" s="646"/>
      <c r="N180" s="643"/>
      <c r="O180" s="643"/>
      <c r="P180" s="661" t="s">
        <v>367</v>
      </c>
      <c r="Q180" s="662"/>
      <c r="R180" s="662"/>
      <c r="S180" s="663"/>
      <c r="T180" s="643"/>
      <c r="U180" s="661" t="s">
        <v>367</v>
      </c>
      <c r="V180" s="662"/>
      <c r="W180" s="662"/>
      <c r="X180" s="663"/>
      <c r="Y180" s="643"/>
      <c r="Z180" s="661" t="s">
        <v>367</v>
      </c>
      <c r="AA180" s="662"/>
      <c r="AB180" s="662"/>
      <c r="AC180" s="663"/>
      <c r="AD180" s="643"/>
      <c r="AE180" s="661" t="s">
        <v>367</v>
      </c>
      <c r="AF180" s="662"/>
      <c r="AG180" s="662"/>
      <c r="AH180" s="663"/>
      <c r="AI180" s="643"/>
      <c r="AJ180" s="661" t="s">
        <v>367</v>
      </c>
      <c r="AK180" s="662"/>
      <c r="AL180" s="662"/>
      <c r="AM180" s="663"/>
      <c r="AN180" s="643"/>
      <c r="AO180" s="661" t="s">
        <v>367</v>
      </c>
      <c r="AP180" s="662"/>
      <c r="AQ180" s="662"/>
      <c r="AR180" s="663"/>
      <c r="AS180" s="643"/>
      <c r="AT180" s="664" t="s">
        <v>367</v>
      </c>
      <c r="AU180" s="665"/>
      <c r="AV180" s="665"/>
      <c r="AW180" s="666"/>
      <c r="AX180" s="641"/>
      <c r="BA180" s="641"/>
    </row>
    <row r="181" spans="2:53">
      <c r="B181" s="643"/>
      <c r="C181" s="643"/>
      <c r="D181" s="643"/>
      <c r="E181" s="345" t="s">
        <v>368</v>
      </c>
      <c r="F181" s="345" t="s">
        <v>369</v>
      </c>
      <c r="G181" s="345" t="s">
        <v>370</v>
      </c>
      <c r="H181" s="677"/>
      <c r="I181" s="345" t="s">
        <v>368</v>
      </c>
      <c r="J181" s="345" t="s">
        <v>369</v>
      </c>
      <c r="K181" s="345" t="s">
        <v>370</v>
      </c>
      <c r="L181" s="677"/>
      <c r="M181" s="647"/>
      <c r="N181" s="643"/>
      <c r="O181" s="643"/>
      <c r="P181" s="345" t="s">
        <v>368</v>
      </c>
      <c r="Q181" s="345" t="s">
        <v>369</v>
      </c>
      <c r="R181" s="345" t="s">
        <v>370</v>
      </c>
      <c r="S181" s="345" t="s">
        <v>360</v>
      </c>
      <c r="T181" s="643"/>
      <c r="U181" s="345" t="s">
        <v>368</v>
      </c>
      <c r="V181" s="345" t="s">
        <v>369</v>
      </c>
      <c r="W181" s="345" t="s">
        <v>370</v>
      </c>
      <c r="X181" s="345" t="s">
        <v>360</v>
      </c>
      <c r="Y181" s="643"/>
      <c r="Z181" s="345" t="s">
        <v>368</v>
      </c>
      <c r="AA181" s="345" t="s">
        <v>369</v>
      </c>
      <c r="AB181" s="345" t="s">
        <v>370</v>
      </c>
      <c r="AC181" s="345" t="s">
        <v>360</v>
      </c>
      <c r="AD181" s="643"/>
      <c r="AE181" s="345" t="s">
        <v>368</v>
      </c>
      <c r="AF181" s="345" t="s">
        <v>369</v>
      </c>
      <c r="AG181" s="345" t="s">
        <v>370</v>
      </c>
      <c r="AH181" s="345" t="s">
        <v>360</v>
      </c>
      <c r="AI181" s="643"/>
      <c r="AJ181" s="345" t="s">
        <v>368</v>
      </c>
      <c r="AK181" s="345" t="s">
        <v>369</v>
      </c>
      <c r="AL181" s="345" t="s">
        <v>370</v>
      </c>
      <c r="AM181" s="345" t="s">
        <v>360</v>
      </c>
      <c r="AN181" s="643"/>
      <c r="AO181" s="345" t="s">
        <v>368</v>
      </c>
      <c r="AP181" s="345" t="s">
        <v>369</v>
      </c>
      <c r="AQ181" s="345" t="s">
        <v>370</v>
      </c>
      <c r="AR181" s="345" t="s">
        <v>360</v>
      </c>
      <c r="AS181" s="643"/>
      <c r="AT181" s="347" t="s">
        <v>368</v>
      </c>
      <c r="AU181" s="347" t="s">
        <v>369</v>
      </c>
      <c r="AV181" s="347" t="s">
        <v>370</v>
      </c>
      <c r="AW181" s="347" t="s">
        <v>360</v>
      </c>
      <c r="AX181" s="641"/>
      <c r="AZ181" s="374" t="s">
        <v>360</v>
      </c>
      <c r="BA181" s="641"/>
    </row>
    <row r="182" spans="2:53">
      <c r="B182" s="648" t="s">
        <v>476</v>
      </c>
      <c r="C182" s="348">
        <v>1</v>
      </c>
      <c r="D182" s="201"/>
      <c r="E182" s="201"/>
      <c r="F182" s="201"/>
      <c r="G182" s="514"/>
      <c r="H182" s="656" t="e">
        <f>AVERAGE(G182:G211)</f>
        <v>#DIV/0!</v>
      </c>
      <c r="I182" s="363" t="str">
        <f>IFERROR(AVERAGE(P182,U182,Z182,AE182,AJ182,AO182,AT182),"-")</f>
        <v>-</v>
      </c>
      <c r="J182" s="363" t="str">
        <f>IFERROR(AVERAGE(Q182,V182,AA182,AF182,AK182,AP182,AU182),"-")</f>
        <v>-</v>
      </c>
      <c r="K182" s="199" t="str">
        <f>IFERROR(AVERAGE(R182,W182,AB182,AG182,AL182,AQ182,AV182),"-")</f>
        <v>-</v>
      </c>
      <c r="L182" s="658" t="str">
        <f>IFERROR(AVERAGE(K182:K211),"-")</f>
        <v>-</v>
      </c>
      <c r="M182" s="349" t="e">
        <f>RANK(K182, K$182:$K$211)</f>
        <v>#VALUE!</v>
      </c>
      <c r="N182" s="643"/>
      <c r="O182" s="643"/>
      <c r="P182" s="507"/>
      <c r="Q182" s="509"/>
      <c r="R182" s="509"/>
      <c r="S182" s="508"/>
      <c r="T182" s="644"/>
      <c r="U182" s="507"/>
      <c r="V182" s="509"/>
      <c r="W182" s="509"/>
      <c r="X182" s="508"/>
      <c r="Y182" s="644"/>
      <c r="Z182" s="507"/>
      <c r="AA182" s="509"/>
      <c r="AB182" s="509"/>
      <c r="AC182" s="508"/>
      <c r="AD182" s="644"/>
      <c r="AE182" s="507"/>
      <c r="AF182" s="509"/>
      <c r="AG182" s="509"/>
      <c r="AH182" s="508"/>
      <c r="AI182" s="644"/>
      <c r="AJ182" s="507"/>
      <c r="AK182" s="509"/>
      <c r="AL182" s="509"/>
      <c r="AM182" s="508"/>
      <c r="AN182" s="644"/>
      <c r="AO182" s="507"/>
      <c r="AP182" s="509"/>
      <c r="AQ182" s="509"/>
      <c r="AR182" s="508"/>
      <c r="AS182" s="644"/>
      <c r="AT182" s="507"/>
      <c r="AU182" s="509"/>
      <c r="AV182" s="509"/>
      <c r="AW182" s="508"/>
      <c r="AX182" s="644"/>
      <c r="AZ182" s="350" t="e">
        <f>RANK(AY182, AY$112:AY$141)</f>
        <v>#N/A</v>
      </c>
      <c r="BA182" s="642" t="e">
        <f>AVERAGE(AY182:AY211)</f>
        <v>#DIV/0!</v>
      </c>
    </row>
    <row r="183" spans="2:53">
      <c r="B183" s="678"/>
      <c r="C183" s="348">
        <v>2</v>
      </c>
      <c r="D183" s="515"/>
      <c r="E183" s="201"/>
      <c r="F183" s="201"/>
      <c r="G183" s="514"/>
      <c r="H183" s="657"/>
      <c r="I183" s="363" t="str">
        <f t="shared" ref="I183:I211" si="31">IFERROR(AVERAGE(P183,U183,Z183,AE183,AJ183,AO183,AT183),"-")</f>
        <v>-</v>
      </c>
      <c r="J183" s="363" t="str">
        <f t="shared" ref="J183:J211" si="32">IFERROR(AVERAGE(Q183,V183,AA183,AF183,AK183,AP183,AU183),"-")</f>
        <v>-</v>
      </c>
      <c r="K183" s="199" t="str">
        <f t="shared" ref="K183:K211" si="33">IFERROR(AVERAGE(R183,W183,AB183,AG183,AL183,AQ183,AV183),"-")</f>
        <v>-</v>
      </c>
      <c r="L183" s="659"/>
      <c r="M183" s="349" t="e">
        <f>RANK(K183, K$182:$K$211)</f>
        <v>#VALUE!</v>
      </c>
      <c r="N183" s="643"/>
      <c r="O183" s="643"/>
      <c r="P183" s="507"/>
      <c r="Q183" s="509"/>
      <c r="R183" s="509"/>
      <c r="S183" s="508"/>
      <c r="T183" s="644"/>
      <c r="U183" s="507"/>
      <c r="V183" s="509"/>
      <c r="W183" s="509"/>
      <c r="X183" s="508"/>
      <c r="Y183" s="644"/>
      <c r="Z183" s="507"/>
      <c r="AA183" s="509"/>
      <c r="AB183" s="509"/>
      <c r="AC183" s="508"/>
      <c r="AD183" s="644"/>
      <c r="AE183" s="507"/>
      <c r="AF183" s="509"/>
      <c r="AG183" s="509"/>
      <c r="AH183" s="508"/>
      <c r="AI183" s="644"/>
      <c r="AJ183" s="507"/>
      <c r="AK183" s="509"/>
      <c r="AL183" s="509"/>
      <c r="AM183" s="508"/>
      <c r="AN183" s="644"/>
      <c r="AO183" s="507"/>
      <c r="AP183" s="509"/>
      <c r="AQ183" s="509"/>
      <c r="AR183" s="508"/>
      <c r="AS183" s="644"/>
      <c r="AT183" s="507"/>
      <c r="AU183" s="509"/>
      <c r="AV183" s="509"/>
      <c r="AW183" s="508"/>
      <c r="AX183" s="644"/>
      <c r="AZ183" s="350" t="e">
        <f t="shared" ref="AZ183:AZ211" si="34">RANK(AY183, AY$112:AY$141)</f>
        <v>#N/A</v>
      </c>
      <c r="BA183" s="642"/>
    </row>
    <row r="184" spans="2:53">
      <c r="B184" s="678"/>
      <c r="C184" s="348">
        <v>3</v>
      </c>
      <c r="D184" s="201"/>
      <c r="E184" s="201"/>
      <c r="F184" s="201"/>
      <c r="G184" s="514"/>
      <c r="H184" s="657"/>
      <c r="I184" s="363" t="str">
        <f t="shared" si="31"/>
        <v>-</v>
      </c>
      <c r="J184" s="363" t="str">
        <f t="shared" si="32"/>
        <v>-</v>
      </c>
      <c r="K184" s="199" t="str">
        <f t="shared" si="33"/>
        <v>-</v>
      </c>
      <c r="L184" s="659"/>
      <c r="M184" s="349" t="e">
        <f>RANK(K184, K$182:$K$211)</f>
        <v>#VALUE!</v>
      </c>
      <c r="N184" s="643"/>
      <c r="O184" s="643"/>
      <c r="P184" s="507"/>
      <c r="Q184" s="509"/>
      <c r="R184" s="509"/>
      <c r="S184" s="508"/>
      <c r="T184" s="644"/>
      <c r="U184" s="507"/>
      <c r="V184" s="509"/>
      <c r="W184" s="509"/>
      <c r="X184" s="508"/>
      <c r="Y184" s="644"/>
      <c r="Z184" s="507"/>
      <c r="AA184" s="509"/>
      <c r="AB184" s="509"/>
      <c r="AC184" s="508"/>
      <c r="AD184" s="644"/>
      <c r="AE184" s="507"/>
      <c r="AF184" s="509"/>
      <c r="AG184" s="509"/>
      <c r="AH184" s="508"/>
      <c r="AI184" s="644"/>
      <c r="AJ184" s="507"/>
      <c r="AK184" s="509"/>
      <c r="AL184" s="509"/>
      <c r="AM184" s="508"/>
      <c r="AN184" s="644"/>
      <c r="AO184" s="507"/>
      <c r="AP184" s="509"/>
      <c r="AQ184" s="509"/>
      <c r="AR184" s="508"/>
      <c r="AS184" s="644"/>
      <c r="AT184" s="507"/>
      <c r="AU184" s="509"/>
      <c r="AV184" s="509"/>
      <c r="AW184" s="508"/>
      <c r="AX184" s="644"/>
      <c r="AZ184" s="350" t="e">
        <f t="shared" si="34"/>
        <v>#N/A</v>
      </c>
      <c r="BA184" s="642"/>
    </row>
    <row r="185" spans="2:53">
      <c r="B185" s="678"/>
      <c r="C185" s="348">
        <v>4</v>
      </c>
      <c r="D185" s="201"/>
      <c r="E185" s="201"/>
      <c r="F185" s="201"/>
      <c r="G185" s="514"/>
      <c r="H185" s="657"/>
      <c r="I185" s="363" t="str">
        <f t="shared" si="31"/>
        <v>-</v>
      </c>
      <c r="J185" s="363" t="str">
        <f t="shared" si="32"/>
        <v>-</v>
      </c>
      <c r="K185" s="199" t="str">
        <f t="shared" si="33"/>
        <v>-</v>
      </c>
      <c r="L185" s="659"/>
      <c r="M185" s="349" t="e">
        <f>RANK(K185, K$182:$K$211)</f>
        <v>#VALUE!</v>
      </c>
      <c r="N185" s="643"/>
      <c r="O185" s="643"/>
      <c r="P185" s="507"/>
      <c r="Q185" s="509"/>
      <c r="R185" s="509"/>
      <c r="S185" s="508"/>
      <c r="T185" s="644"/>
      <c r="U185" s="507"/>
      <c r="V185" s="509"/>
      <c r="W185" s="509"/>
      <c r="X185" s="508"/>
      <c r="Y185" s="644"/>
      <c r="Z185" s="507"/>
      <c r="AA185" s="509"/>
      <c r="AB185" s="509"/>
      <c r="AC185" s="508"/>
      <c r="AD185" s="644"/>
      <c r="AE185" s="507"/>
      <c r="AF185" s="509"/>
      <c r="AG185" s="509"/>
      <c r="AH185" s="508"/>
      <c r="AI185" s="644"/>
      <c r="AJ185" s="507"/>
      <c r="AK185" s="509"/>
      <c r="AL185" s="509"/>
      <c r="AM185" s="508"/>
      <c r="AN185" s="644"/>
      <c r="AO185" s="507"/>
      <c r="AP185" s="509"/>
      <c r="AQ185" s="509"/>
      <c r="AR185" s="508"/>
      <c r="AS185" s="644"/>
      <c r="AT185" s="507"/>
      <c r="AU185" s="509"/>
      <c r="AV185" s="509"/>
      <c r="AW185" s="508"/>
      <c r="AX185" s="644"/>
      <c r="AZ185" s="350" t="e">
        <f t="shared" si="34"/>
        <v>#N/A</v>
      </c>
      <c r="BA185" s="642"/>
    </row>
    <row r="186" spans="2:53">
      <c r="B186" s="678"/>
      <c r="C186" s="348">
        <v>5</v>
      </c>
      <c r="D186" s="201"/>
      <c r="E186" s="201"/>
      <c r="F186" s="201"/>
      <c r="G186" s="514"/>
      <c r="H186" s="657"/>
      <c r="I186" s="363" t="str">
        <f t="shared" si="31"/>
        <v>-</v>
      </c>
      <c r="J186" s="363" t="str">
        <f t="shared" si="32"/>
        <v>-</v>
      </c>
      <c r="K186" s="199" t="str">
        <f t="shared" si="33"/>
        <v>-</v>
      </c>
      <c r="L186" s="659"/>
      <c r="M186" s="349" t="e">
        <f>RANK(K186, K$182:$K$211)</f>
        <v>#VALUE!</v>
      </c>
      <c r="N186" s="643"/>
      <c r="O186" s="643"/>
      <c r="P186" s="507"/>
      <c r="Q186" s="509"/>
      <c r="R186" s="509"/>
      <c r="S186" s="508"/>
      <c r="T186" s="644"/>
      <c r="U186" s="507"/>
      <c r="V186" s="509"/>
      <c r="W186" s="509"/>
      <c r="X186" s="508"/>
      <c r="Y186" s="644"/>
      <c r="Z186" s="507"/>
      <c r="AA186" s="509"/>
      <c r="AB186" s="509"/>
      <c r="AC186" s="508"/>
      <c r="AD186" s="644"/>
      <c r="AE186" s="507"/>
      <c r="AF186" s="509"/>
      <c r="AG186" s="509"/>
      <c r="AH186" s="508"/>
      <c r="AI186" s="644"/>
      <c r="AJ186" s="507"/>
      <c r="AK186" s="509"/>
      <c r="AL186" s="509"/>
      <c r="AM186" s="508"/>
      <c r="AN186" s="644"/>
      <c r="AO186" s="507"/>
      <c r="AP186" s="509"/>
      <c r="AQ186" s="509"/>
      <c r="AR186" s="508"/>
      <c r="AS186" s="644"/>
      <c r="AT186" s="507"/>
      <c r="AU186" s="509"/>
      <c r="AV186" s="509"/>
      <c r="AW186" s="508"/>
      <c r="AX186" s="644"/>
      <c r="AZ186" s="350" t="e">
        <f t="shared" si="34"/>
        <v>#N/A</v>
      </c>
      <c r="BA186" s="642"/>
    </row>
    <row r="187" spans="2:53">
      <c r="B187" s="678"/>
      <c r="C187" s="348">
        <v>6</v>
      </c>
      <c r="D187" s="201"/>
      <c r="E187" s="201"/>
      <c r="F187" s="201"/>
      <c r="G187" s="514"/>
      <c r="H187" s="657"/>
      <c r="I187" s="363" t="str">
        <f t="shared" si="31"/>
        <v>-</v>
      </c>
      <c r="J187" s="363" t="str">
        <f t="shared" si="32"/>
        <v>-</v>
      </c>
      <c r="K187" s="199" t="str">
        <f t="shared" si="33"/>
        <v>-</v>
      </c>
      <c r="L187" s="659"/>
      <c r="M187" s="349" t="e">
        <f>RANK(K187, K$182:$K$211)</f>
        <v>#VALUE!</v>
      </c>
      <c r="N187" s="643"/>
      <c r="O187" s="643"/>
      <c r="P187" s="507"/>
      <c r="Q187" s="509"/>
      <c r="R187" s="509"/>
      <c r="S187" s="508"/>
      <c r="T187" s="644"/>
      <c r="U187" s="507"/>
      <c r="V187" s="509"/>
      <c r="W187" s="509"/>
      <c r="X187" s="508"/>
      <c r="Y187" s="644"/>
      <c r="Z187" s="507"/>
      <c r="AA187" s="509"/>
      <c r="AB187" s="509"/>
      <c r="AC187" s="508"/>
      <c r="AD187" s="644"/>
      <c r="AE187" s="507"/>
      <c r="AF187" s="509"/>
      <c r="AG187" s="509"/>
      <c r="AH187" s="508"/>
      <c r="AI187" s="644"/>
      <c r="AJ187" s="507"/>
      <c r="AK187" s="509"/>
      <c r="AL187" s="509"/>
      <c r="AM187" s="508"/>
      <c r="AN187" s="644"/>
      <c r="AO187" s="507"/>
      <c r="AP187" s="509"/>
      <c r="AQ187" s="509"/>
      <c r="AR187" s="508"/>
      <c r="AS187" s="644"/>
      <c r="AT187" s="507"/>
      <c r="AU187" s="509"/>
      <c r="AV187" s="509"/>
      <c r="AW187" s="508"/>
      <c r="AX187" s="644"/>
      <c r="AZ187" s="350" t="e">
        <f t="shared" si="34"/>
        <v>#N/A</v>
      </c>
      <c r="BA187" s="642"/>
    </row>
    <row r="188" spans="2:53">
      <c r="B188" s="678"/>
      <c r="C188" s="348">
        <v>7</v>
      </c>
      <c r="D188" s="201"/>
      <c r="E188" s="201"/>
      <c r="F188" s="201"/>
      <c r="G188" s="514"/>
      <c r="H188" s="657"/>
      <c r="I188" s="363" t="str">
        <f t="shared" si="31"/>
        <v>-</v>
      </c>
      <c r="J188" s="363" t="str">
        <f t="shared" si="32"/>
        <v>-</v>
      </c>
      <c r="K188" s="199" t="str">
        <f t="shared" si="33"/>
        <v>-</v>
      </c>
      <c r="L188" s="659"/>
      <c r="M188" s="349" t="e">
        <f>RANK(K188, K$182:$K$211)</f>
        <v>#VALUE!</v>
      </c>
      <c r="N188" s="643"/>
      <c r="O188" s="643"/>
      <c r="P188" s="507"/>
      <c r="Q188" s="509"/>
      <c r="R188" s="509"/>
      <c r="S188" s="508"/>
      <c r="T188" s="644"/>
      <c r="U188" s="507"/>
      <c r="V188" s="509"/>
      <c r="W188" s="509"/>
      <c r="X188" s="508"/>
      <c r="Y188" s="644"/>
      <c r="Z188" s="507"/>
      <c r="AA188" s="509"/>
      <c r="AB188" s="509"/>
      <c r="AC188" s="508"/>
      <c r="AD188" s="644"/>
      <c r="AE188" s="507"/>
      <c r="AF188" s="509"/>
      <c r="AG188" s="509"/>
      <c r="AH188" s="508"/>
      <c r="AI188" s="644"/>
      <c r="AJ188" s="507"/>
      <c r="AK188" s="509"/>
      <c r="AL188" s="509"/>
      <c r="AM188" s="508"/>
      <c r="AN188" s="644"/>
      <c r="AO188" s="507"/>
      <c r="AP188" s="509"/>
      <c r="AQ188" s="509"/>
      <c r="AR188" s="508"/>
      <c r="AS188" s="644"/>
      <c r="AT188" s="507"/>
      <c r="AU188" s="509"/>
      <c r="AV188" s="509"/>
      <c r="AW188" s="508"/>
      <c r="AX188" s="644"/>
      <c r="AZ188" s="350" t="e">
        <f t="shared" si="34"/>
        <v>#N/A</v>
      </c>
      <c r="BA188" s="642"/>
    </row>
    <row r="189" spans="2:53">
      <c r="B189" s="678"/>
      <c r="C189" s="348">
        <v>8</v>
      </c>
      <c r="D189" s="201"/>
      <c r="E189" s="201"/>
      <c r="F189" s="201"/>
      <c r="G189" s="514"/>
      <c r="H189" s="657"/>
      <c r="I189" s="363" t="str">
        <f t="shared" si="31"/>
        <v>-</v>
      </c>
      <c r="J189" s="363" t="str">
        <f t="shared" si="32"/>
        <v>-</v>
      </c>
      <c r="K189" s="199" t="str">
        <f t="shared" si="33"/>
        <v>-</v>
      </c>
      <c r="L189" s="659"/>
      <c r="M189" s="349" t="e">
        <f>RANK(K189, K$182:$K$211)</f>
        <v>#VALUE!</v>
      </c>
      <c r="N189" s="643"/>
      <c r="O189" s="643"/>
      <c r="P189" s="507"/>
      <c r="Q189" s="509"/>
      <c r="R189" s="509"/>
      <c r="S189" s="508"/>
      <c r="T189" s="644"/>
      <c r="U189" s="507"/>
      <c r="V189" s="509"/>
      <c r="W189" s="509"/>
      <c r="X189" s="508"/>
      <c r="Y189" s="644"/>
      <c r="Z189" s="507"/>
      <c r="AA189" s="509"/>
      <c r="AB189" s="509"/>
      <c r="AC189" s="508"/>
      <c r="AD189" s="644"/>
      <c r="AE189" s="507"/>
      <c r="AF189" s="509"/>
      <c r="AG189" s="509"/>
      <c r="AH189" s="508"/>
      <c r="AI189" s="644"/>
      <c r="AJ189" s="507"/>
      <c r="AK189" s="509"/>
      <c r="AL189" s="509"/>
      <c r="AM189" s="508"/>
      <c r="AN189" s="644"/>
      <c r="AO189" s="507"/>
      <c r="AP189" s="509"/>
      <c r="AQ189" s="509"/>
      <c r="AR189" s="508"/>
      <c r="AS189" s="644"/>
      <c r="AT189" s="507"/>
      <c r="AU189" s="509"/>
      <c r="AV189" s="509"/>
      <c r="AW189" s="508"/>
      <c r="AX189" s="644"/>
      <c r="AZ189" s="350" t="e">
        <f t="shared" si="34"/>
        <v>#N/A</v>
      </c>
      <c r="BA189" s="642"/>
    </row>
    <row r="190" spans="2:53">
      <c r="B190" s="678"/>
      <c r="C190" s="348">
        <v>9</v>
      </c>
      <c r="D190" s="201"/>
      <c r="E190" s="201"/>
      <c r="F190" s="201"/>
      <c r="G190" s="514"/>
      <c r="H190" s="657"/>
      <c r="I190" s="363" t="str">
        <f t="shared" si="31"/>
        <v>-</v>
      </c>
      <c r="J190" s="363" t="str">
        <f t="shared" si="32"/>
        <v>-</v>
      </c>
      <c r="K190" s="199" t="str">
        <f t="shared" si="33"/>
        <v>-</v>
      </c>
      <c r="L190" s="659"/>
      <c r="M190" s="349" t="e">
        <f>RANK(K190, K$182:$K$211)</f>
        <v>#VALUE!</v>
      </c>
      <c r="N190" s="643"/>
      <c r="O190" s="643"/>
      <c r="P190" s="507"/>
      <c r="Q190" s="509"/>
      <c r="R190" s="509"/>
      <c r="S190" s="508"/>
      <c r="T190" s="644"/>
      <c r="U190" s="507"/>
      <c r="V190" s="509"/>
      <c r="W190" s="509"/>
      <c r="X190" s="508"/>
      <c r="Y190" s="644"/>
      <c r="Z190" s="507"/>
      <c r="AA190" s="509"/>
      <c r="AB190" s="509"/>
      <c r="AC190" s="508"/>
      <c r="AD190" s="644"/>
      <c r="AE190" s="507"/>
      <c r="AF190" s="509"/>
      <c r="AG190" s="509"/>
      <c r="AH190" s="508"/>
      <c r="AI190" s="644"/>
      <c r="AJ190" s="507"/>
      <c r="AK190" s="509"/>
      <c r="AL190" s="509"/>
      <c r="AM190" s="508"/>
      <c r="AN190" s="644"/>
      <c r="AO190" s="507"/>
      <c r="AP190" s="509"/>
      <c r="AQ190" s="509"/>
      <c r="AR190" s="508"/>
      <c r="AS190" s="644"/>
      <c r="AT190" s="507"/>
      <c r="AU190" s="509"/>
      <c r="AV190" s="509"/>
      <c r="AW190" s="508"/>
      <c r="AX190" s="644"/>
      <c r="AZ190" s="350" t="e">
        <f t="shared" si="34"/>
        <v>#N/A</v>
      </c>
      <c r="BA190" s="642"/>
    </row>
    <row r="191" spans="2:53">
      <c r="B191" s="678"/>
      <c r="C191" s="348">
        <v>10</v>
      </c>
      <c r="D191" s="201"/>
      <c r="E191" s="201"/>
      <c r="F191" s="201"/>
      <c r="G191" s="514"/>
      <c r="H191" s="657"/>
      <c r="I191" s="363" t="str">
        <f t="shared" si="31"/>
        <v>-</v>
      </c>
      <c r="J191" s="363" t="str">
        <f t="shared" si="32"/>
        <v>-</v>
      </c>
      <c r="K191" s="199" t="str">
        <f t="shared" si="33"/>
        <v>-</v>
      </c>
      <c r="L191" s="659"/>
      <c r="M191" s="349" t="e">
        <f>RANK(K191, K$182:$K$211)</f>
        <v>#VALUE!</v>
      </c>
      <c r="N191" s="643"/>
      <c r="O191" s="643"/>
      <c r="P191" s="507"/>
      <c r="Q191" s="509"/>
      <c r="R191" s="509"/>
      <c r="S191" s="508"/>
      <c r="T191" s="644"/>
      <c r="U191" s="507"/>
      <c r="V191" s="509"/>
      <c r="W191" s="509"/>
      <c r="X191" s="508"/>
      <c r="Y191" s="644"/>
      <c r="Z191" s="507"/>
      <c r="AA191" s="509"/>
      <c r="AB191" s="509"/>
      <c r="AC191" s="508"/>
      <c r="AD191" s="644"/>
      <c r="AE191" s="507"/>
      <c r="AF191" s="509"/>
      <c r="AG191" s="509"/>
      <c r="AH191" s="508"/>
      <c r="AI191" s="644"/>
      <c r="AJ191" s="507"/>
      <c r="AK191" s="509"/>
      <c r="AL191" s="509"/>
      <c r="AM191" s="508"/>
      <c r="AN191" s="644"/>
      <c r="AO191" s="507"/>
      <c r="AP191" s="509"/>
      <c r="AQ191" s="509"/>
      <c r="AR191" s="508"/>
      <c r="AS191" s="644"/>
      <c r="AT191" s="507"/>
      <c r="AU191" s="509"/>
      <c r="AV191" s="509"/>
      <c r="AW191" s="508"/>
      <c r="AX191" s="644"/>
      <c r="AZ191" s="350" t="e">
        <f t="shared" si="34"/>
        <v>#N/A</v>
      </c>
      <c r="BA191" s="642"/>
    </row>
    <row r="192" spans="2:53">
      <c r="B192" s="678"/>
      <c r="C192" s="348">
        <v>11</v>
      </c>
      <c r="D192" s="201"/>
      <c r="E192" s="201"/>
      <c r="F192" s="201"/>
      <c r="G192" s="514"/>
      <c r="H192" s="657"/>
      <c r="I192" s="363" t="str">
        <f t="shared" si="31"/>
        <v>-</v>
      </c>
      <c r="J192" s="363" t="str">
        <f t="shared" si="32"/>
        <v>-</v>
      </c>
      <c r="K192" s="199" t="str">
        <f t="shared" si="33"/>
        <v>-</v>
      </c>
      <c r="L192" s="659"/>
      <c r="M192" s="349" t="e">
        <f>RANK(K192, K$182:$K$211)</f>
        <v>#VALUE!</v>
      </c>
      <c r="N192" s="643"/>
      <c r="O192" s="643"/>
      <c r="P192" s="507"/>
      <c r="Q192" s="509"/>
      <c r="R192" s="509"/>
      <c r="S192" s="508"/>
      <c r="T192" s="644"/>
      <c r="U192" s="507"/>
      <c r="V192" s="509"/>
      <c r="W192" s="509"/>
      <c r="X192" s="508"/>
      <c r="Y192" s="644"/>
      <c r="Z192" s="507"/>
      <c r="AA192" s="509"/>
      <c r="AB192" s="509"/>
      <c r="AC192" s="508"/>
      <c r="AD192" s="644"/>
      <c r="AE192" s="507"/>
      <c r="AF192" s="509"/>
      <c r="AG192" s="509"/>
      <c r="AH192" s="508"/>
      <c r="AI192" s="644"/>
      <c r="AJ192" s="507"/>
      <c r="AK192" s="509"/>
      <c r="AL192" s="509"/>
      <c r="AM192" s="508"/>
      <c r="AN192" s="644"/>
      <c r="AO192" s="507"/>
      <c r="AP192" s="509"/>
      <c r="AQ192" s="509"/>
      <c r="AR192" s="508"/>
      <c r="AS192" s="644"/>
      <c r="AT192" s="507"/>
      <c r="AU192" s="509"/>
      <c r="AV192" s="509"/>
      <c r="AW192" s="508"/>
      <c r="AX192" s="644"/>
      <c r="AZ192" s="350" t="e">
        <f t="shared" si="34"/>
        <v>#N/A</v>
      </c>
      <c r="BA192" s="642"/>
    </row>
    <row r="193" spans="2:53">
      <c r="B193" s="678"/>
      <c r="C193" s="348">
        <v>12</v>
      </c>
      <c r="D193" s="515"/>
      <c r="E193" s="201"/>
      <c r="F193" s="201"/>
      <c r="G193" s="514"/>
      <c r="H193" s="657"/>
      <c r="I193" s="363" t="str">
        <f t="shared" si="31"/>
        <v>-</v>
      </c>
      <c r="J193" s="363" t="str">
        <f t="shared" si="32"/>
        <v>-</v>
      </c>
      <c r="K193" s="199" t="str">
        <f t="shared" si="33"/>
        <v>-</v>
      </c>
      <c r="L193" s="659"/>
      <c r="M193" s="349" t="e">
        <f>RANK(K193, K$182:$K$211)</f>
        <v>#VALUE!</v>
      </c>
      <c r="N193" s="643"/>
      <c r="O193" s="643"/>
      <c r="P193" s="507"/>
      <c r="Q193" s="509"/>
      <c r="R193" s="509"/>
      <c r="S193" s="508"/>
      <c r="T193" s="644"/>
      <c r="U193" s="507"/>
      <c r="V193" s="509"/>
      <c r="W193" s="509"/>
      <c r="X193" s="508"/>
      <c r="Y193" s="644"/>
      <c r="Z193" s="507"/>
      <c r="AA193" s="509"/>
      <c r="AB193" s="509"/>
      <c r="AC193" s="508"/>
      <c r="AD193" s="644"/>
      <c r="AE193" s="507"/>
      <c r="AF193" s="509"/>
      <c r="AG193" s="509"/>
      <c r="AH193" s="508"/>
      <c r="AI193" s="644"/>
      <c r="AJ193" s="507"/>
      <c r="AK193" s="509"/>
      <c r="AL193" s="509"/>
      <c r="AM193" s="508"/>
      <c r="AN193" s="644"/>
      <c r="AO193" s="507"/>
      <c r="AP193" s="509"/>
      <c r="AQ193" s="509"/>
      <c r="AR193" s="508"/>
      <c r="AS193" s="644"/>
      <c r="AT193" s="507"/>
      <c r="AU193" s="509"/>
      <c r="AV193" s="509"/>
      <c r="AW193" s="508"/>
      <c r="AX193" s="644"/>
      <c r="AZ193" s="350" t="e">
        <f t="shared" si="34"/>
        <v>#N/A</v>
      </c>
      <c r="BA193" s="642"/>
    </row>
    <row r="194" spans="2:53">
      <c r="B194" s="678"/>
      <c r="C194" s="348">
        <v>13</v>
      </c>
      <c r="D194" s="201"/>
      <c r="E194" s="201"/>
      <c r="F194" s="201"/>
      <c r="G194" s="514"/>
      <c r="H194" s="657"/>
      <c r="I194" s="363" t="str">
        <f t="shared" si="31"/>
        <v>-</v>
      </c>
      <c r="J194" s="363" t="str">
        <f t="shared" si="32"/>
        <v>-</v>
      </c>
      <c r="K194" s="199" t="str">
        <f t="shared" si="33"/>
        <v>-</v>
      </c>
      <c r="L194" s="659"/>
      <c r="M194" s="349" t="e">
        <f>RANK(K194, K$182:$K$211)</f>
        <v>#VALUE!</v>
      </c>
      <c r="N194" s="643"/>
      <c r="O194" s="643"/>
      <c r="P194" s="507"/>
      <c r="Q194" s="509"/>
      <c r="R194" s="509"/>
      <c r="S194" s="508"/>
      <c r="T194" s="644"/>
      <c r="U194" s="507"/>
      <c r="V194" s="509"/>
      <c r="W194" s="509"/>
      <c r="X194" s="508"/>
      <c r="Y194" s="644"/>
      <c r="Z194" s="507"/>
      <c r="AA194" s="509"/>
      <c r="AB194" s="509"/>
      <c r="AC194" s="508"/>
      <c r="AD194" s="644"/>
      <c r="AE194" s="507"/>
      <c r="AF194" s="509"/>
      <c r="AG194" s="509"/>
      <c r="AH194" s="508"/>
      <c r="AI194" s="644"/>
      <c r="AJ194" s="507"/>
      <c r="AK194" s="509"/>
      <c r="AL194" s="509"/>
      <c r="AM194" s="508"/>
      <c r="AN194" s="644"/>
      <c r="AO194" s="507"/>
      <c r="AP194" s="509"/>
      <c r="AQ194" s="509"/>
      <c r="AR194" s="508"/>
      <c r="AS194" s="644"/>
      <c r="AT194" s="507"/>
      <c r="AU194" s="509"/>
      <c r="AV194" s="509"/>
      <c r="AW194" s="508"/>
      <c r="AX194" s="644"/>
      <c r="AZ194" s="350" t="e">
        <f t="shared" si="34"/>
        <v>#N/A</v>
      </c>
      <c r="BA194" s="642"/>
    </row>
    <row r="195" spans="2:53">
      <c r="B195" s="678"/>
      <c r="C195" s="348">
        <v>14</v>
      </c>
      <c r="D195" s="201"/>
      <c r="E195" s="201"/>
      <c r="F195" s="201"/>
      <c r="G195" s="514"/>
      <c r="H195" s="657"/>
      <c r="I195" s="363" t="str">
        <f t="shared" si="31"/>
        <v>-</v>
      </c>
      <c r="J195" s="363" t="str">
        <f t="shared" si="32"/>
        <v>-</v>
      </c>
      <c r="K195" s="199" t="str">
        <f t="shared" si="33"/>
        <v>-</v>
      </c>
      <c r="L195" s="659"/>
      <c r="M195" s="349" t="e">
        <f>RANK(K195, K$182:$K$211)</f>
        <v>#VALUE!</v>
      </c>
      <c r="N195" s="643"/>
      <c r="O195" s="643"/>
      <c r="P195" s="507"/>
      <c r="Q195" s="509"/>
      <c r="R195" s="509"/>
      <c r="S195" s="508"/>
      <c r="T195" s="644"/>
      <c r="U195" s="507"/>
      <c r="V195" s="509"/>
      <c r="W195" s="509"/>
      <c r="X195" s="508"/>
      <c r="Y195" s="644"/>
      <c r="Z195" s="507"/>
      <c r="AA195" s="509"/>
      <c r="AB195" s="509"/>
      <c r="AC195" s="508"/>
      <c r="AD195" s="644"/>
      <c r="AE195" s="507"/>
      <c r="AF195" s="509"/>
      <c r="AG195" s="509"/>
      <c r="AH195" s="508"/>
      <c r="AI195" s="644"/>
      <c r="AJ195" s="507"/>
      <c r="AK195" s="509"/>
      <c r="AL195" s="509"/>
      <c r="AM195" s="508"/>
      <c r="AN195" s="644"/>
      <c r="AO195" s="507"/>
      <c r="AP195" s="509"/>
      <c r="AQ195" s="509"/>
      <c r="AR195" s="508"/>
      <c r="AS195" s="644"/>
      <c r="AT195" s="507"/>
      <c r="AU195" s="509"/>
      <c r="AV195" s="509"/>
      <c r="AW195" s="508"/>
      <c r="AX195" s="644"/>
      <c r="AZ195" s="350" t="e">
        <f t="shared" si="34"/>
        <v>#N/A</v>
      </c>
      <c r="BA195" s="642"/>
    </row>
    <row r="196" spans="2:53">
      <c r="B196" s="678"/>
      <c r="C196" s="348">
        <v>15</v>
      </c>
      <c r="D196" s="515"/>
      <c r="E196" s="201"/>
      <c r="F196" s="201"/>
      <c r="G196" s="514"/>
      <c r="H196" s="657"/>
      <c r="I196" s="363" t="str">
        <f t="shared" si="31"/>
        <v>-</v>
      </c>
      <c r="J196" s="363" t="str">
        <f t="shared" si="32"/>
        <v>-</v>
      </c>
      <c r="K196" s="199" t="str">
        <f t="shared" si="33"/>
        <v>-</v>
      </c>
      <c r="L196" s="659"/>
      <c r="M196" s="349" t="e">
        <f>RANK(K196, K$182:$K$211)</f>
        <v>#VALUE!</v>
      </c>
      <c r="N196" s="643"/>
      <c r="O196" s="643"/>
      <c r="P196" s="507"/>
      <c r="Q196" s="509"/>
      <c r="R196" s="509"/>
      <c r="S196" s="508"/>
      <c r="T196" s="644"/>
      <c r="U196" s="507"/>
      <c r="V196" s="509"/>
      <c r="W196" s="509"/>
      <c r="X196" s="508"/>
      <c r="Y196" s="644"/>
      <c r="Z196" s="507"/>
      <c r="AA196" s="509"/>
      <c r="AB196" s="509"/>
      <c r="AC196" s="508"/>
      <c r="AD196" s="644"/>
      <c r="AE196" s="507"/>
      <c r="AF196" s="509"/>
      <c r="AG196" s="509"/>
      <c r="AH196" s="508"/>
      <c r="AI196" s="644"/>
      <c r="AJ196" s="507"/>
      <c r="AK196" s="509"/>
      <c r="AL196" s="509"/>
      <c r="AM196" s="508"/>
      <c r="AN196" s="644"/>
      <c r="AO196" s="507"/>
      <c r="AP196" s="509"/>
      <c r="AQ196" s="509"/>
      <c r="AR196" s="508"/>
      <c r="AS196" s="644"/>
      <c r="AT196" s="507"/>
      <c r="AU196" s="509"/>
      <c r="AV196" s="509"/>
      <c r="AW196" s="508"/>
      <c r="AX196" s="644"/>
      <c r="AZ196" s="350" t="e">
        <f t="shared" si="34"/>
        <v>#N/A</v>
      </c>
      <c r="BA196" s="642"/>
    </row>
    <row r="197" spans="2:53">
      <c r="B197" s="678"/>
      <c r="C197" s="348">
        <v>16</v>
      </c>
      <c r="D197" s="201"/>
      <c r="E197" s="201"/>
      <c r="F197" s="201"/>
      <c r="G197" s="514"/>
      <c r="H197" s="657"/>
      <c r="I197" s="363" t="str">
        <f t="shared" si="31"/>
        <v>-</v>
      </c>
      <c r="J197" s="363" t="str">
        <f t="shared" si="32"/>
        <v>-</v>
      </c>
      <c r="K197" s="199" t="str">
        <f t="shared" si="33"/>
        <v>-</v>
      </c>
      <c r="L197" s="659"/>
      <c r="M197" s="349" t="e">
        <f>RANK(K197, K$182:$K$211)</f>
        <v>#VALUE!</v>
      </c>
      <c r="N197" s="643"/>
      <c r="O197" s="643"/>
      <c r="P197" s="507"/>
      <c r="Q197" s="509"/>
      <c r="R197" s="509"/>
      <c r="S197" s="508"/>
      <c r="T197" s="644"/>
      <c r="U197" s="507"/>
      <c r="V197" s="509"/>
      <c r="W197" s="509"/>
      <c r="X197" s="508"/>
      <c r="Y197" s="644"/>
      <c r="Z197" s="507"/>
      <c r="AA197" s="509"/>
      <c r="AB197" s="509"/>
      <c r="AC197" s="508"/>
      <c r="AD197" s="644"/>
      <c r="AE197" s="507"/>
      <c r="AF197" s="509"/>
      <c r="AG197" s="509"/>
      <c r="AH197" s="508"/>
      <c r="AI197" s="644"/>
      <c r="AJ197" s="507"/>
      <c r="AK197" s="509"/>
      <c r="AL197" s="509"/>
      <c r="AM197" s="508"/>
      <c r="AN197" s="644"/>
      <c r="AO197" s="507"/>
      <c r="AP197" s="509"/>
      <c r="AQ197" s="509"/>
      <c r="AR197" s="508"/>
      <c r="AS197" s="644"/>
      <c r="AT197" s="507"/>
      <c r="AU197" s="509"/>
      <c r="AV197" s="509"/>
      <c r="AW197" s="508"/>
      <c r="AX197" s="644"/>
      <c r="AZ197" s="350" t="e">
        <f t="shared" si="34"/>
        <v>#N/A</v>
      </c>
      <c r="BA197" s="642"/>
    </row>
    <row r="198" spans="2:53">
      <c r="B198" s="678"/>
      <c r="C198" s="348">
        <v>17</v>
      </c>
      <c r="D198" s="201"/>
      <c r="E198" s="201"/>
      <c r="F198" s="201"/>
      <c r="G198" s="514"/>
      <c r="H198" s="657"/>
      <c r="I198" s="363" t="str">
        <f t="shared" si="31"/>
        <v>-</v>
      </c>
      <c r="J198" s="363" t="str">
        <f t="shared" si="32"/>
        <v>-</v>
      </c>
      <c r="K198" s="199" t="str">
        <f t="shared" si="33"/>
        <v>-</v>
      </c>
      <c r="L198" s="659"/>
      <c r="M198" s="349" t="e">
        <f>RANK(K198, K$182:$K$211)</f>
        <v>#VALUE!</v>
      </c>
      <c r="N198" s="643"/>
      <c r="O198" s="643"/>
      <c r="P198" s="507"/>
      <c r="Q198" s="509"/>
      <c r="R198" s="509"/>
      <c r="S198" s="508"/>
      <c r="T198" s="644"/>
      <c r="U198" s="507"/>
      <c r="V198" s="509"/>
      <c r="W198" s="509"/>
      <c r="X198" s="508"/>
      <c r="Y198" s="644"/>
      <c r="Z198" s="507"/>
      <c r="AA198" s="509"/>
      <c r="AB198" s="509"/>
      <c r="AC198" s="508"/>
      <c r="AD198" s="644"/>
      <c r="AE198" s="507"/>
      <c r="AF198" s="509"/>
      <c r="AG198" s="509"/>
      <c r="AH198" s="508"/>
      <c r="AI198" s="644"/>
      <c r="AJ198" s="507"/>
      <c r="AK198" s="509"/>
      <c r="AL198" s="509"/>
      <c r="AM198" s="508"/>
      <c r="AN198" s="644"/>
      <c r="AO198" s="507"/>
      <c r="AP198" s="509"/>
      <c r="AQ198" s="509"/>
      <c r="AR198" s="508"/>
      <c r="AS198" s="644"/>
      <c r="AT198" s="507"/>
      <c r="AU198" s="509"/>
      <c r="AV198" s="509"/>
      <c r="AW198" s="508"/>
      <c r="AX198" s="644"/>
      <c r="AZ198" s="350" t="e">
        <f t="shared" si="34"/>
        <v>#N/A</v>
      </c>
      <c r="BA198" s="642"/>
    </row>
    <row r="199" spans="2:53">
      <c r="B199" s="678"/>
      <c r="C199" s="348">
        <v>18</v>
      </c>
      <c r="D199" s="515"/>
      <c r="E199" s="201"/>
      <c r="F199" s="201"/>
      <c r="G199" s="514"/>
      <c r="H199" s="657"/>
      <c r="I199" s="363" t="str">
        <f t="shared" si="31"/>
        <v>-</v>
      </c>
      <c r="J199" s="363" t="str">
        <f t="shared" si="32"/>
        <v>-</v>
      </c>
      <c r="K199" s="199" t="str">
        <f t="shared" si="33"/>
        <v>-</v>
      </c>
      <c r="L199" s="659"/>
      <c r="M199" s="349" t="e">
        <f>RANK(K199, K$182:$K$211)</f>
        <v>#VALUE!</v>
      </c>
      <c r="N199" s="643"/>
      <c r="O199" s="643"/>
      <c r="P199" s="507"/>
      <c r="Q199" s="509"/>
      <c r="R199" s="509"/>
      <c r="S199" s="508"/>
      <c r="T199" s="644"/>
      <c r="U199" s="507"/>
      <c r="V199" s="509"/>
      <c r="W199" s="509"/>
      <c r="X199" s="508"/>
      <c r="Y199" s="644"/>
      <c r="Z199" s="507"/>
      <c r="AA199" s="509"/>
      <c r="AB199" s="509"/>
      <c r="AC199" s="508"/>
      <c r="AD199" s="644"/>
      <c r="AE199" s="507"/>
      <c r="AF199" s="509"/>
      <c r="AG199" s="509"/>
      <c r="AH199" s="508"/>
      <c r="AI199" s="644"/>
      <c r="AJ199" s="507"/>
      <c r="AK199" s="509"/>
      <c r="AL199" s="509"/>
      <c r="AM199" s="508"/>
      <c r="AN199" s="644"/>
      <c r="AO199" s="507"/>
      <c r="AP199" s="509"/>
      <c r="AQ199" s="509"/>
      <c r="AR199" s="508"/>
      <c r="AS199" s="644"/>
      <c r="AT199" s="507"/>
      <c r="AU199" s="509"/>
      <c r="AV199" s="509"/>
      <c r="AW199" s="508"/>
      <c r="AX199" s="644"/>
      <c r="AZ199" s="350" t="e">
        <f t="shared" si="34"/>
        <v>#N/A</v>
      </c>
      <c r="BA199" s="642"/>
    </row>
    <row r="200" spans="2:53">
      <c r="B200" s="678"/>
      <c r="C200" s="348">
        <v>19</v>
      </c>
      <c r="D200" s="515"/>
      <c r="E200" s="201"/>
      <c r="F200" s="201"/>
      <c r="G200" s="514"/>
      <c r="H200" s="657"/>
      <c r="I200" s="363" t="str">
        <f t="shared" si="31"/>
        <v>-</v>
      </c>
      <c r="J200" s="363" t="str">
        <f t="shared" si="32"/>
        <v>-</v>
      </c>
      <c r="K200" s="199" t="str">
        <f t="shared" si="33"/>
        <v>-</v>
      </c>
      <c r="L200" s="659"/>
      <c r="M200" s="349" t="e">
        <f>RANK(K200, K$182:$K$211)</f>
        <v>#VALUE!</v>
      </c>
      <c r="N200" s="643"/>
      <c r="O200" s="643"/>
      <c r="P200" s="507"/>
      <c r="Q200" s="509"/>
      <c r="R200" s="509"/>
      <c r="S200" s="508"/>
      <c r="T200" s="644"/>
      <c r="U200" s="507"/>
      <c r="V200" s="509"/>
      <c r="W200" s="509"/>
      <c r="X200" s="508"/>
      <c r="Y200" s="644"/>
      <c r="Z200" s="507"/>
      <c r="AA200" s="509"/>
      <c r="AB200" s="509"/>
      <c r="AC200" s="508"/>
      <c r="AD200" s="644"/>
      <c r="AE200" s="507"/>
      <c r="AF200" s="509"/>
      <c r="AG200" s="509"/>
      <c r="AH200" s="508"/>
      <c r="AI200" s="644"/>
      <c r="AJ200" s="507"/>
      <c r="AK200" s="509"/>
      <c r="AL200" s="509"/>
      <c r="AM200" s="508"/>
      <c r="AN200" s="644"/>
      <c r="AO200" s="507"/>
      <c r="AP200" s="509"/>
      <c r="AQ200" s="509"/>
      <c r="AR200" s="508"/>
      <c r="AS200" s="644"/>
      <c r="AT200" s="507"/>
      <c r="AU200" s="509"/>
      <c r="AV200" s="509"/>
      <c r="AW200" s="508"/>
      <c r="AX200" s="644"/>
      <c r="AZ200" s="350" t="e">
        <f t="shared" si="34"/>
        <v>#N/A</v>
      </c>
      <c r="BA200" s="642"/>
    </row>
    <row r="201" spans="2:53">
      <c r="B201" s="678"/>
      <c r="C201" s="348">
        <v>20</v>
      </c>
      <c r="D201" s="515"/>
      <c r="E201" s="201"/>
      <c r="F201" s="201"/>
      <c r="G201" s="514"/>
      <c r="H201" s="657"/>
      <c r="I201" s="363" t="str">
        <f t="shared" si="31"/>
        <v>-</v>
      </c>
      <c r="J201" s="363" t="str">
        <f t="shared" si="32"/>
        <v>-</v>
      </c>
      <c r="K201" s="199" t="str">
        <f t="shared" si="33"/>
        <v>-</v>
      </c>
      <c r="L201" s="659"/>
      <c r="M201" s="349" t="e">
        <f>RANK(K201, K$182:$K$211)</f>
        <v>#VALUE!</v>
      </c>
      <c r="N201" s="643"/>
      <c r="O201" s="643"/>
      <c r="P201" s="507"/>
      <c r="Q201" s="509"/>
      <c r="R201" s="509"/>
      <c r="S201" s="508"/>
      <c r="T201" s="644"/>
      <c r="U201" s="507"/>
      <c r="V201" s="509"/>
      <c r="W201" s="509"/>
      <c r="X201" s="508"/>
      <c r="Y201" s="644"/>
      <c r="Z201" s="507"/>
      <c r="AA201" s="509"/>
      <c r="AB201" s="509"/>
      <c r="AC201" s="508"/>
      <c r="AD201" s="644"/>
      <c r="AE201" s="507"/>
      <c r="AF201" s="509"/>
      <c r="AG201" s="509"/>
      <c r="AH201" s="508"/>
      <c r="AI201" s="644"/>
      <c r="AJ201" s="507"/>
      <c r="AK201" s="509"/>
      <c r="AL201" s="509"/>
      <c r="AM201" s="508"/>
      <c r="AN201" s="644"/>
      <c r="AO201" s="507"/>
      <c r="AP201" s="509"/>
      <c r="AQ201" s="509"/>
      <c r="AR201" s="508"/>
      <c r="AS201" s="644"/>
      <c r="AT201" s="507"/>
      <c r="AU201" s="509"/>
      <c r="AV201" s="509"/>
      <c r="AW201" s="508"/>
      <c r="AX201" s="644"/>
      <c r="AZ201" s="350" t="e">
        <f t="shared" si="34"/>
        <v>#N/A</v>
      </c>
      <c r="BA201" s="642"/>
    </row>
    <row r="202" spans="2:53">
      <c r="B202" s="678"/>
      <c r="C202" s="348">
        <v>21</v>
      </c>
      <c r="D202" s="515"/>
      <c r="E202" s="201"/>
      <c r="F202" s="201"/>
      <c r="G202" s="514"/>
      <c r="H202" s="657"/>
      <c r="I202" s="363" t="str">
        <f t="shared" si="31"/>
        <v>-</v>
      </c>
      <c r="J202" s="363" t="str">
        <f t="shared" si="32"/>
        <v>-</v>
      </c>
      <c r="K202" s="199" t="str">
        <f t="shared" si="33"/>
        <v>-</v>
      </c>
      <c r="L202" s="659"/>
      <c r="M202" s="349" t="e">
        <f>RANK(K202, K$182:$K$211)</f>
        <v>#VALUE!</v>
      </c>
      <c r="N202" s="643"/>
      <c r="O202" s="643"/>
      <c r="P202" s="507"/>
      <c r="Q202" s="509"/>
      <c r="R202" s="509"/>
      <c r="S202" s="508"/>
      <c r="T202" s="644"/>
      <c r="U202" s="507"/>
      <c r="V202" s="509"/>
      <c r="W202" s="509"/>
      <c r="X202" s="508"/>
      <c r="Y202" s="644"/>
      <c r="Z202" s="507"/>
      <c r="AA202" s="509"/>
      <c r="AB202" s="509"/>
      <c r="AC202" s="508"/>
      <c r="AD202" s="644"/>
      <c r="AE202" s="507"/>
      <c r="AF202" s="509"/>
      <c r="AG202" s="509"/>
      <c r="AH202" s="508"/>
      <c r="AI202" s="644"/>
      <c r="AJ202" s="507"/>
      <c r="AK202" s="509"/>
      <c r="AL202" s="509"/>
      <c r="AM202" s="508"/>
      <c r="AN202" s="644"/>
      <c r="AO202" s="507"/>
      <c r="AP202" s="509"/>
      <c r="AQ202" s="509"/>
      <c r="AR202" s="508"/>
      <c r="AS202" s="644"/>
      <c r="AT202" s="507"/>
      <c r="AU202" s="509"/>
      <c r="AV202" s="509"/>
      <c r="AW202" s="508"/>
      <c r="AX202" s="644"/>
      <c r="AZ202" s="350" t="e">
        <f t="shared" si="34"/>
        <v>#N/A</v>
      </c>
      <c r="BA202" s="642"/>
    </row>
    <row r="203" spans="2:53">
      <c r="B203" s="678"/>
      <c r="C203" s="348">
        <v>22</v>
      </c>
      <c r="D203" s="515"/>
      <c r="E203" s="201"/>
      <c r="F203" s="201"/>
      <c r="G203" s="514"/>
      <c r="H203" s="657"/>
      <c r="I203" s="363" t="str">
        <f t="shared" si="31"/>
        <v>-</v>
      </c>
      <c r="J203" s="363" t="str">
        <f t="shared" si="32"/>
        <v>-</v>
      </c>
      <c r="K203" s="199" t="str">
        <f t="shared" si="33"/>
        <v>-</v>
      </c>
      <c r="L203" s="659"/>
      <c r="M203" s="349" t="e">
        <f>RANK(K203, K$182:$K$211)</f>
        <v>#VALUE!</v>
      </c>
      <c r="N203" s="643"/>
      <c r="O203" s="643"/>
      <c r="P203" s="507"/>
      <c r="Q203" s="509"/>
      <c r="R203" s="509"/>
      <c r="S203" s="508"/>
      <c r="T203" s="644"/>
      <c r="U203" s="507"/>
      <c r="V203" s="509"/>
      <c r="W203" s="509"/>
      <c r="X203" s="508"/>
      <c r="Y203" s="644"/>
      <c r="Z203" s="507"/>
      <c r="AA203" s="509"/>
      <c r="AB203" s="509"/>
      <c r="AC203" s="508"/>
      <c r="AD203" s="644"/>
      <c r="AE203" s="507"/>
      <c r="AF203" s="509"/>
      <c r="AG203" s="509"/>
      <c r="AH203" s="508"/>
      <c r="AI203" s="644"/>
      <c r="AJ203" s="507"/>
      <c r="AK203" s="509"/>
      <c r="AL203" s="509"/>
      <c r="AM203" s="508"/>
      <c r="AN203" s="644"/>
      <c r="AO203" s="507"/>
      <c r="AP203" s="509"/>
      <c r="AQ203" s="509"/>
      <c r="AR203" s="508"/>
      <c r="AS203" s="644"/>
      <c r="AT203" s="507"/>
      <c r="AU203" s="509"/>
      <c r="AV203" s="509"/>
      <c r="AW203" s="508"/>
      <c r="AX203" s="644"/>
      <c r="AZ203" s="350" t="e">
        <f t="shared" si="34"/>
        <v>#N/A</v>
      </c>
      <c r="BA203" s="642"/>
    </row>
    <row r="204" spans="2:53">
      <c r="B204" s="678"/>
      <c r="C204" s="348">
        <v>23</v>
      </c>
      <c r="D204" s="201"/>
      <c r="E204" s="201"/>
      <c r="F204" s="201"/>
      <c r="G204" s="514"/>
      <c r="H204" s="657"/>
      <c r="I204" s="363" t="str">
        <f t="shared" si="31"/>
        <v>-</v>
      </c>
      <c r="J204" s="363" t="str">
        <f t="shared" si="32"/>
        <v>-</v>
      </c>
      <c r="K204" s="199" t="str">
        <f t="shared" si="33"/>
        <v>-</v>
      </c>
      <c r="L204" s="659"/>
      <c r="M204" s="349" t="e">
        <f>RANK(K204, K$182:$K$211)</f>
        <v>#VALUE!</v>
      </c>
      <c r="N204" s="643"/>
      <c r="O204" s="643"/>
      <c r="P204" s="507"/>
      <c r="Q204" s="509"/>
      <c r="R204" s="509"/>
      <c r="S204" s="508"/>
      <c r="T204" s="644"/>
      <c r="U204" s="507"/>
      <c r="V204" s="509"/>
      <c r="W204" s="509"/>
      <c r="X204" s="508"/>
      <c r="Y204" s="644"/>
      <c r="Z204" s="507"/>
      <c r="AA204" s="509"/>
      <c r="AB204" s="509"/>
      <c r="AC204" s="508"/>
      <c r="AD204" s="644"/>
      <c r="AE204" s="507"/>
      <c r="AF204" s="509"/>
      <c r="AG204" s="509"/>
      <c r="AH204" s="508"/>
      <c r="AI204" s="644"/>
      <c r="AJ204" s="507"/>
      <c r="AK204" s="509"/>
      <c r="AL204" s="509"/>
      <c r="AM204" s="508"/>
      <c r="AN204" s="644"/>
      <c r="AO204" s="507"/>
      <c r="AP204" s="509"/>
      <c r="AQ204" s="509"/>
      <c r="AR204" s="508"/>
      <c r="AS204" s="644"/>
      <c r="AT204" s="507"/>
      <c r="AU204" s="509"/>
      <c r="AV204" s="509"/>
      <c r="AW204" s="508"/>
      <c r="AX204" s="644"/>
      <c r="AZ204" s="350" t="e">
        <f t="shared" si="34"/>
        <v>#N/A</v>
      </c>
      <c r="BA204" s="642"/>
    </row>
    <row r="205" spans="2:53">
      <c r="B205" s="678"/>
      <c r="C205" s="348">
        <v>24</v>
      </c>
      <c r="D205" s="515"/>
      <c r="E205" s="201"/>
      <c r="F205" s="201"/>
      <c r="G205" s="514"/>
      <c r="H205" s="657"/>
      <c r="I205" s="363" t="str">
        <f t="shared" si="31"/>
        <v>-</v>
      </c>
      <c r="J205" s="363" t="str">
        <f t="shared" si="32"/>
        <v>-</v>
      </c>
      <c r="K205" s="199" t="str">
        <f t="shared" si="33"/>
        <v>-</v>
      </c>
      <c r="L205" s="659"/>
      <c r="M205" s="349" t="e">
        <f>RANK(K205, K$182:$K$211)</f>
        <v>#VALUE!</v>
      </c>
      <c r="N205" s="643"/>
      <c r="O205" s="643"/>
      <c r="P205" s="507"/>
      <c r="Q205" s="509"/>
      <c r="R205" s="509"/>
      <c r="S205" s="508"/>
      <c r="T205" s="644"/>
      <c r="U205" s="507"/>
      <c r="V205" s="509"/>
      <c r="W205" s="509"/>
      <c r="X205" s="508"/>
      <c r="Y205" s="644"/>
      <c r="Z205" s="507"/>
      <c r="AA205" s="509"/>
      <c r="AB205" s="509"/>
      <c r="AC205" s="508"/>
      <c r="AD205" s="644"/>
      <c r="AE205" s="507"/>
      <c r="AF205" s="509"/>
      <c r="AG205" s="509"/>
      <c r="AH205" s="508"/>
      <c r="AI205" s="644"/>
      <c r="AJ205" s="507"/>
      <c r="AK205" s="509"/>
      <c r="AL205" s="509"/>
      <c r="AM205" s="508"/>
      <c r="AN205" s="644"/>
      <c r="AO205" s="507"/>
      <c r="AP205" s="509"/>
      <c r="AQ205" s="509"/>
      <c r="AR205" s="508"/>
      <c r="AS205" s="644"/>
      <c r="AT205" s="507"/>
      <c r="AU205" s="509"/>
      <c r="AV205" s="509"/>
      <c r="AW205" s="508"/>
      <c r="AX205" s="644"/>
      <c r="AZ205" s="350" t="e">
        <f t="shared" si="34"/>
        <v>#N/A</v>
      </c>
      <c r="BA205" s="642"/>
    </row>
    <row r="206" spans="2:53">
      <c r="B206" s="678"/>
      <c r="C206" s="348">
        <v>25</v>
      </c>
      <c r="D206" s="201"/>
      <c r="E206" s="201"/>
      <c r="F206" s="201"/>
      <c r="G206" s="514"/>
      <c r="H206" s="657"/>
      <c r="I206" s="363" t="str">
        <f t="shared" si="31"/>
        <v>-</v>
      </c>
      <c r="J206" s="363" t="str">
        <f t="shared" si="32"/>
        <v>-</v>
      </c>
      <c r="K206" s="199" t="str">
        <f t="shared" si="33"/>
        <v>-</v>
      </c>
      <c r="L206" s="659"/>
      <c r="M206" s="349" t="e">
        <f>RANK(K206, K$182:$K$211)</f>
        <v>#VALUE!</v>
      </c>
      <c r="N206" s="643"/>
      <c r="O206" s="643"/>
      <c r="P206" s="507"/>
      <c r="Q206" s="509"/>
      <c r="R206" s="509"/>
      <c r="S206" s="508"/>
      <c r="T206" s="644"/>
      <c r="U206" s="507"/>
      <c r="V206" s="509"/>
      <c r="W206" s="509"/>
      <c r="X206" s="508"/>
      <c r="Y206" s="644"/>
      <c r="Z206" s="507"/>
      <c r="AA206" s="509"/>
      <c r="AB206" s="509"/>
      <c r="AC206" s="508"/>
      <c r="AD206" s="644"/>
      <c r="AE206" s="507"/>
      <c r="AF206" s="509"/>
      <c r="AG206" s="509"/>
      <c r="AH206" s="508"/>
      <c r="AI206" s="644"/>
      <c r="AJ206" s="507"/>
      <c r="AK206" s="509"/>
      <c r="AL206" s="509"/>
      <c r="AM206" s="508"/>
      <c r="AN206" s="644"/>
      <c r="AO206" s="507"/>
      <c r="AP206" s="509"/>
      <c r="AQ206" s="509"/>
      <c r="AR206" s="508"/>
      <c r="AS206" s="644"/>
      <c r="AT206" s="507"/>
      <c r="AU206" s="509"/>
      <c r="AV206" s="509"/>
      <c r="AW206" s="508"/>
      <c r="AX206" s="644"/>
      <c r="AZ206" s="350" t="e">
        <f t="shared" si="34"/>
        <v>#N/A</v>
      </c>
      <c r="BA206" s="642"/>
    </row>
    <row r="207" spans="2:53">
      <c r="B207" s="678"/>
      <c r="C207" s="348">
        <v>26</v>
      </c>
      <c r="D207" s="201"/>
      <c r="E207" s="201"/>
      <c r="F207" s="201"/>
      <c r="G207" s="514"/>
      <c r="H207" s="657"/>
      <c r="I207" s="363" t="str">
        <f t="shared" si="31"/>
        <v>-</v>
      </c>
      <c r="J207" s="363" t="str">
        <f t="shared" si="32"/>
        <v>-</v>
      </c>
      <c r="K207" s="199" t="str">
        <f t="shared" si="33"/>
        <v>-</v>
      </c>
      <c r="L207" s="659"/>
      <c r="M207" s="349" t="e">
        <f>RANK(K207, K$182:$K$211)</f>
        <v>#VALUE!</v>
      </c>
      <c r="N207" s="643"/>
      <c r="O207" s="643"/>
      <c r="P207" s="507"/>
      <c r="Q207" s="509"/>
      <c r="R207" s="509"/>
      <c r="S207" s="508"/>
      <c r="T207" s="644"/>
      <c r="U207" s="507"/>
      <c r="V207" s="509"/>
      <c r="W207" s="509"/>
      <c r="X207" s="508"/>
      <c r="Y207" s="644"/>
      <c r="Z207" s="507"/>
      <c r="AA207" s="509"/>
      <c r="AB207" s="509"/>
      <c r="AC207" s="508"/>
      <c r="AD207" s="644"/>
      <c r="AE207" s="507"/>
      <c r="AF207" s="509"/>
      <c r="AG207" s="509"/>
      <c r="AH207" s="508"/>
      <c r="AI207" s="644"/>
      <c r="AJ207" s="507"/>
      <c r="AK207" s="509"/>
      <c r="AL207" s="509"/>
      <c r="AM207" s="508"/>
      <c r="AN207" s="644"/>
      <c r="AO207" s="507"/>
      <c r="AP207" s="509"/>
      <c r="AQ207" s="509"/>
      <c r="AR207" s="508"/>
      <c r="AS207" s="644"/>
      <c r="AT207" s="507"/>
      <c r="AU207" s="509"/>
      <c r="AV207" s="509"/>
      <c r="AW207" s="508"/>
      <c r="AX207" s="644"/>
      <c r="AZ207" s="350" t="e">
        <f t="shared" si="34"/>
        <v>#N/A</v>
      </c>
      <c r="BA207" s="642"/>
    </row>
    <row r="208" spans="2:53">
      <c r="B208" s="678"/>
      <c r="C208" s="348">
        <v>27</v>
      </c>
      <c r="D208" s="201"/>
      <c r="E208" s="201"/>
      <c r="F208" s="201"/>
      <c r="G208" s="514"/>
      <c r="H208" s="657"/>
      <c r="I208" s="363" t="str">
        <f t="shared" si="31"/>
        <v>-</v>
      </c>
      <c r="J208" s="363" t="str">
        <f t="shared" si="32"/>
        <v>-</v>
      </c>
      <c r="K208" s="199" t="str">
        <f t="shared" si="33"/>
        <v>-</v>
      </c>
      <c r="L208" s="659"/>
      <c r="M208" s="349" t="e">
        <f>RANK(K208, K$182:$K$211)</f>
        <v>#VALUE!</v>
      </c>
      <c r="N208" s="643"/>
      <c r="O208" s="643"/>
      <c r="P208" s="507"/>
      <c r="Q208" s="509"/>
      <c r="R208" s="509"/>
      <c r="S208" s="508"/>
      <c r="T208" s="644"/>
      <c r="U208" s="507"/>
      <c r="V208" s="509"/>
      <c r="W208" s="509"/>
      <c r="X208" s="508"/>
      <c r="Y208" s="644"/>
      <c r="Z208" s="507"/>
      <c r="AA208" s="509"/>
      <c r="AB208" s="509"/>
      <c r="AC208" s="508"/>
      <c r="AD208" s="644"/>
      <c r="AE208" s="507"/>
      <c r="AF208" s="509"/>
      <c r="AG208" s="509"/>
      <c r="AH208" s="508"/>
      <c r="AI208" s="644"/>
      <c r="AJ208" s="507"/>
      <c r="AK208" s="509"/>
      <c r="AL208" s="509"/>
      <c r="AM208" s="508"/>
      <c r="AN208" s="644"/>
      <c r="AO208" s="507"/>
      <c r="AP208" s="509"/>
      <c r="AQ208" s="509"/>
      <c r="AR208" s="508"/>
      <c r="AS208" s="644"/>
      <c r="AT208" s="507"/>
      <c r="AU208" s="509"/>
      <c r="AV208" s="509"/>
      <c r="AW208" s="508"/>
      <c r="AX208" s="644"/>
      <c r="AZ208" s="350" t="e">
        <f t="shared" si="34"/>
        <v>#N/A</v>
      </c>
      <c r="BA208" s="642"/>
    </row>
    <row r="209" spans="2:53">
      <c r="B209" s="678"/>
      <c r="C209" s="348">
        <v>28</v>
      </c>
      <c r="D209" s="201"/>
      <c r="E209" s="201"/>
      <c r="F209" s="201"/>
      <c r="G209" s="201"/>
      <c r="H209" s="657"/>
      <c r="I209" s="363" t="str">
        <f t="shared" si="31"/>
        <v>-</v>
      </c>
      <c r="J209" s="363" t="str">
        <f t="shared" si="32"/>
        <v>-</v>
      </c>
      <c r="K209" s="199" t="str">
        <f t="shared" si="33"/>
        <v>-</v>
      </c>
      <c r="L209" s="659"/>
      <c r="M209" s="349" t="e">
        <f>RANK(K209, K$182:$K$211)</f>
        <v>#VALUE!</v>
      </c>
      <c r="N209" s="643"/>
      <c r="O209" s="643"/>
      <c r="P209" s="507"/>
      <c r="Q209" s="509"/>
      <c r="R209" s="509"/>
      <c r="S209" s="508"/>
      <c r="T209" s="644"/>
      <c r="U209" s="507"/>
      <c r="V209" s="509"/>
      <c r="W209" s="509"/>
      <c r="X209" s="508"/>
      <c r="Y209" s="644"/>
      <c r="Z209" s="507"/>
      <c r="AA209" s="509"/>
      <c r="AB209" s="509"/>
      <c r="AC209" s="508"/>
      <c r="AD209" s="644"/>
      <c r="AE209" s="507"/>
      <c r="AF209" s="509"/>
      <c r="AG209" s="509"/>
      <c r="AH209" s="508"/>
      <c r="AI209" s="644"/>
      <c r="AJ209" s="507"/>
      <c r="AK209" s="509"/>
      <c r="AL209" s="509"/>
      <c r="AM209" s="508"/>
      <c r="AN209" s="644"/>
      <c r="AO209" s="507"/>
      <c r="AP209" s="509"/>
      <c r="AQ209" s="509"/>
      <c r="AR209" s="508"/>
      <c r="AS209" s="644"/>
      <c r="AT209" s="507"/>
      <c r="AU209" s="509"/>
      <c r="AV209" s="509"/>
      <c r="AW209" s="508"/>
      <c r="AX209" s="644"/>
      <c r="AZ209" s="350" t="e">
        <f t="shared" si="34"/>
        <v>#N/A</v>
      </c>
      <c r="BA209" s="642"/>
    </row>
    <row r="210" spans="2:53">
      <c r="B210" s="678"/>
      <c r="C210" s="348">
        <v>29</v>
      </c>
      <c r="D210" s="201"/>
      <c r="E210" s="201"/>
      <c r="F210" s="201"/>
      <c r="G210" s="201"/>
      <c r="H210" s="657"/>
      <c r="I210" s="363" t="str">
        <f t="shared" si="31"/>
        <v>-</v>
      </c>
      <c r="J210" s="363" t="str">
        <f t="shared" si="32"/>
        <v>-</v>
      </c>
      <c r="K210" s="199" t="str">
        <f t="shared" si="33"/>
        <v>-</v>
      </c>
      <c r="L210" s="659"/>
      <c r="M210" s="349" t="e">
        <f>RANK(K210, K$182:$K$211)</f>
        <v>#VALUE!</v>
      </c>
      <c r="N210" s="643"/>
      <c r="O210" s="643"/>
      <c r="P210" s="507"/>
      <c r="Q210" s="509"/>
      <c r="R210" s="509"/>
      <c r="S210" s="508"/>
      <c r="T210" s="644"/>
      <c r="U210" s="507"/>
      <c r="V210" s="509"/>
      <c r="W210" s="509"/>
      <c r="X210" s="508"/>
      <c r="Y210" s="644"/>
      <c r="Z210" s="507"/>
      <c r="AA210" s="509"/>
      <c r="AB210" s="509"/>
      <c r="AC210" s="508"/>
      <c r="AD210" s="644"/>
      <c r="AE210" s="507"/>
      <c r="AF210" s="509"/>
      <c r="AG210" s="509"/>
      <c r="AH210" s="508"/>
      <c r="AI210" s="644"/>
      <c r="AJ210" s="507"/>
      <c r="AK210" s="509"/>
      <c r="AL210" s="509"/>
      <c r="AM210" s="508"/>
      <c r="AN210" s="644"/>
      <c r="AO210" s="507"/>
      <c r="AP210" s="509"/>
      <c r="AQ210" s="509"/>
      <c r="AR210" s="508"/>
      <c r="AS210" s="644"/>
      <c r="AT210" s="507"/>
      <c r="AU210" s="509"/>
      <c r="AV210" s="509"/>
      <c r="AW210" s="508"/>
      <c r="AX210" s="644"/>
      <c r="AZ210" s="350" t="e">
        <f t="shared" si="34"/>
        <v>#N/A</v>
      </c>
      <c r="BA210" s="642"/>
    </row>
    <row r="211" spans="2:53">
      <c r="B211" s="678"/>
      <c r="C211" s="348">
        <v>30</v>
      </c>
      <c r="D211" s="201"/>
      <c r="E211" s="201"/>
      <c r="F211" s="201"/>
      <c r="G211" s="201"/>
      <c r="H211" s="657"/>
      <c r="I211" s="363" t="str">
        <f t="shared" si="31"/>
        <v>-</v>
      </c>
      <c r="J211" s="363" t="str">
        <f t="shared" si="32"/>
        <v>-</v>
      </c>
      <c r="K211" s="199" t="str">
        <f t="shared" si="33"/>
        <v>-</v>
      </c>
      <c r="L211" s="660"/>
      <c r="M211" s="349" t="e">
        <f>RANK(K211, K$182:$K$211)</f>
        <v>#VALUE!</v>
      </c>
      <c r="N211" s="643"/>
      <c r="O211" s="643"/>
      <c r="P211" s="507"/>
      <c r="Q211" s="509"/>
      <c r="R211" s="509"/>
      <c r="S211" s="508"/>
      <c r="T211" s="644"/>
      <c r="U211" s="507"/>
      <c r="V211" s="509"/>
      <c r="W211" s="509"/>
      <c r="X211" s="508"/>
      <c r="Y211" s="644"/>
      <c r="Z211" s="507"/>
      <c r="AA211" s="509"/>
      <c r="AB211" s="509"/>
      <c r="AC211" s="508"/>
      <c r="AD211" s="644"/>
      <c r="AE211" s="507"/>
      <c r="AF211" s="509"/>
      <c r="AG211" s="509"/>
      <c r="AH211" s="508"/>
      <c r="AI211" s="644"/>
      <c r="AJ211" s="507"/>
      <c r="AK211" s="509"/>
      <c r="AL211" s="509"/>
      <c r="AM211" s="508"/>
      <c r="AN211" s="644"/>
      <c r="AO211" s="507"/>
      <c r="AP211" s="509"/>
      <c r="AQ211" s="509"/>
      <c r="AR211" s="508"/>
      <c r="AS211" s="644"/>
      <c r="AT211" s="507"/>
      <c r="AU211" s="509"/>
      <c r="AV211" s="509"/>
      <c r="AW211" s="508"/>
      <c r="AX211" s="644"/>
      <c r="AZ211" s="350" t="e">
        <f t="shared" si="34"/>
        <v>#N/A</v>
      </c>
      <c r="BA211" s="642"/>
    </row>
    <row r="213" spans="2:53" ht="15.75">
      <c r="B213" s="651" t="s">
        <v>465</v>
      </c>
      <c r="C213" s="652"/>
      <c r="D213" s="652"/>
      <c r="E213" s="652"/>
      <c r="F213" s="652"/>
      <c r="G213" s="652"/>
      <c r="H213" s="653"/>
      <c r="I213" s="307"/>
      <c r="J213" s="307"/>
      <c r="K213" s="307"/>
      <c r="L213" s="307"/>
      <c r="M213" s="308"/>
    </row>
    <row r="214" spans="2:53" ht="15.75">
      <c r="B214" s="654"/>
      <c r="C214" s="654"/>
      <c r="D214" s="654"/>
      <c r="E214" s="654"/>
      <c r="F214" s="654"/>
      <c r="G214" s="654"/>
      <c r="H214" s="654"/>
      <c r="I214" s="309"/>
      <c r="J214" s="309"/>
      <c r="K214" s="309"/>
      <c r="L214" s="309"/>
      <c r="M214" s="310"/>
    </row>
    <row r="215" spans="2:53">
      <c r="B215" s="643" t="s">
        <v>466</v>
      </c>
      <c r="C215" s="643" t="s">
        <v>467</v>
      </c>
      <c r="D215" s="643"/>
      <c r="E215" s="643" t="s">
        <v>468</v>
      </c>
      <c r="F215" s="643"/>
      <c r="G215" s="643"/>
      <c r="H215" s="643" t="s">
        <v>469</v>
      </c>
      <c r="I215" s="655" t="s">
        <v>470</v>
      </c>
      <c r="J215" s="655"/>
      <c r="K215" s="655"/>
      <c r="L215" s="655" t="s">
        <v>469</v>
      </c>
      <c r="M215" s="655" t="s">
        <v>471</v>
      </c>
    </row>
    <row r="216" spans="2:53">
      <c r="B216" s="643"/>
      <c r="C216" s="643"/>
      <c r="D216" s="643"/>
      <c r="E216" s="643" t="s">
        <v>472</v>
      </c>
      <c r="F216" s="643"/>
      <c r="G216" s="643"/>
      <c r="H216" s="643"/>
      <c r="I216" s="655" t="s">
        <v>472</v>
      </c>
      <c r="J216" s="655"/>
      <c r="K216" s="655"/>
      <c r="L216" s="655"/>
      <c r="M216" s="655"/>
    </row>
    <row r="217" spans="2:53">
      <c r="B217" s="643"/>
      <c r="C217" s="643"/>
      <c r="D217" s="643"/>
      <c r="E217" s="304" t="s">
        <v>473</v>
      </c>
      <c r="F217" s="304" t="s">
        <v>474</v>
      </c>
      <c r="G217" s="304" t="s">
        <v>475</v>
      </c>
      <c r="H217" s="643"/>
      <c r="I217" s="311" t="s">
        <v>473</v>
      </c>
      <c r="J217" s="311" t="s">
        <v>474</v>
      </c>
      <c r="K217" s="311" t="s">
        <v>475</v>
      </c>
      <c r="L217" s="655"/>
      <c r="M217" s="655"/>
    </row>
    <row r="218" spans="2:53">
      <c r="B218" s="648" t="s">
        <v>476</v>
      </c>
      <c r="C218" s="303">
        <v>1</v>
      </c>
      <c r="D218" s="303"/>
      <c r="E218" s="303"/>
      <c r="F218" s="303"/>
      <c r="G218" s="303"/>
      <c r="H218" s="644" t="e">
        <f>AVERAGE(G218:G247)</f>
        <v>#DIV/0!</v>
      </c>
      <c r="I218" s="198" t="e">
        <f t="shared" ref="I218:K240" si="35">AVERAGEIF($D$7:$D$211,$D218,I$7:I$211)</f>
        <v>#DIV/0!</v>
      </c>
      <c r="J218" s="198" t="e">
        <f t="shared" si="35"/>
        <v>#DIV/0!</v>
      </c>
      <c r="K218" s="198" t="e">
        <f>AVERAGEIF($D$7:$D$211,$D218,K$7:K$211)</f>
        <v>#DIV/0!</v>
      </c>
      <c r="L218" s="650" t="e">
        <f>AVERAGE(K218:K247)</f>
        <v>#DIV/0!</v>
      </c>
      <c r="M218" s="198" t="e">
        <f>RANK(K218, K$218:$K$247)</f>
        <v>#DIV/0!</v>
      </c>
    </row>
    <row r="219" spans="2:53">
      <c r="B219" s="649"/>
      <c r="C219" s="303">
        <v>2</v>
      </c>
      <c r="D219" s="303"/>
      <c r="E219" s="303"/>
      <c r="F219" s="303"/>
      <c r="G219" s="360"/>
      <c r="H219" s="644"/>
      <c r="I219" s="198" t="e">
        <f t="shared" si="35"/>
        <v>#DIV/0!</v>
      </c>
      <c r="J219" s="198" t="e">
        <f t="shared" si="35"/>
        <v>#DIV/0!</v>
      </c>
      <c r="K219" s="198" t="e">
        <f t="shared" si="35"/>
        <v>#DIV/0!</v>
      </c>
      <c r="L219" s="650"/>
      <c r="M219" s="198" t="e">
        <f>RANK(K219, K$218:$K$247)</f>
        <v>#DIV/0!</v>
      </c>
    </row>
    <row r="220" spans="2:53">
      <c r="B220" s="649"/>
      <c r="C220" s="303">
        <v>3</v>
      </c>
      <c r="D220" s="303"/>
      <c r="E220" s="303"/>
      <c r="F220" s="360"/>
      <c r="G220" s="303"/>
      <c r="H220" s="644"/>
      <c r="I220" s="198" t="e">
        <f t="shared" si="35"/>
        <v>#DIV/0!</v>
      </c>
      <c r="J220" s="198" t="e">
        <f t="shared" si="35"/>
        <v>#DIV/0!</v>
      </c>
      <c r="K220" s="198" t="e">
        <f t="shared" si="35"/>
        <v>#DIV/0!</v>
      </c>
      <c r="L220" s="650"/>
      <c r="M220" s="198" t="e">
        <f>RANK(K220, K$218:$K$247)</f>
        <v>#DIV/0!</v>
      </c>
    </row>
    <row r="221" spans="2:53">
      <c r="B221" s="649"/>
      <c r="C221" s="303">
        <v>4</v>
      </c>
      <c r="D221" s="303"/>
      <c r="E221" s="303"/>
      <c r="F221" s="360"/>
      <c r="G221" s="360"/>
      <c r="H221" s="644"/>
      <c r="I221" s="198" t="e">
        <f t="shared" si="35"/>
        <v>#DIV/0!</v>
      </c>
      <c r="J221" s="198" t="e">
        <f t="shared" si="35"/>
        <v>#DIV/0!</v>
      </c>
      <c r="K221" s="198" t="e">
        <f t="shared" si="35"/>
        <v>#DIV/0!</v>
      </c>
      <c r="L221" s="650"/>
      <c r="M221" s="198" t="e">
        <f>RANK(K221, K$218:$K$247)</f>
        <v>#DIV/0!</v>
      </c>
    </row>
    <row r="222" spans="2:53">
      <c r="B222" s="649"/>
      <c r="C222" s="303">
        <v>5</v>
      </c>
      <c r="D222" s="303"/>
      <c r="E222" s="303"/>
      <c r="F222" s="360"/>
      <c r="G222" s="360"/>
      <c r="H222" s="644"/>
      <c r="I222" s="198" t="e">
        <f t="shared" si="35"/>
        <v>#DIV/0!</v>
      </c>
      <c r="J222" s="198" t="e">
        <f t="shared" si="35"/>
        <v>#DIV/0!</v>
      </c>
      <c r="K222" s="198" t="e">
        <f t="shared" si="35"/>
        <v>#DIV/0!</v>
      </c>
      <c r="L222" s="650"/>
      <c r="M222" s="198" t="e">
        <f>RANK(K222, K$218:$K$247)</f>
        <v>#DIV/0!</v>
      </c>
    </row>
    <row r="223" spans="2:53">
      <c r="B223" s="649"/>
      <c r="C223" s="303">
        <v>6</v>
      </c>
      <c r="D223" s="303"/>
      <c r="E223" s="303"/>
      <c r="F223" s="360"/>
      <c r="G223" s="360"/>
      <c r="H223" s="644"/>
      <c r="I223" s="198" t="e">
        <f t="shared" si="35"/>
        <v>#DIV/0!</v>
      </c>
      <c r="J223" s="198" t="e">
        <f t="shared" si="35"/>
        <v>#DIV/0!</v>
      </c>
      <c r="K223" s="198" t="e">
        <f t="shared" si="35"/>
        <v>#DIV/0!</v>
      </c>
      <c r="L223" s="650"/>
      <c r="M223" s="198" t="e">
        <f>RANK(K223, K$218:$K$247)</f>
        <v>#DIV/0!</v>
      </c>
    </row>
    <row r="224" spans="2:53">
      <c r="B224" s="649"/>
      <c r="C224" s="303">
        <v>7</v>
      </c>
      <c r="D224" s="359"/>
      <c r="E224" s="303"/>
      <c r="F224" s="360"/>
      <c r="G224" s="360"/>
      <c r="H224" s="644"/>
      <c r="I224" s="198" t="e">
        <f t="shared" si="35"/>
        <v>#DIV/0!</v>
      </c>
      <c r="J224" s="198" t="e">
        <f t="shared" si="35"/>
        <v>#DIV/0!</v>
      </c>
      <c r="K224" s="198" t="e">
        <f t="shared" si="35"/>
        <v>#DIV/0!</v>
      </c>
      <c r="L224" s="650"/>
      <c r="M224" s="198" t="e">
        <f>RANK(K224, K$218:$K$247)</f>
        <v>#DIV/0!</v>
      </c>
    </row>
    <row r="225" spans="2:39">
      <c r="B225" s="649"/>
      <c r="C225" s="303">
        <v>8</v>
      </c>
      <c r="D225" s="359"/>
      <c r="E225" s="303"/>
      <c r="F225" s="360"/>
      <c r="G225" s="360"/>
      <c r="H225" s="644"/>
      <c r="I225" s="198" t="e">
        <f t="shared" si="35"/>
        <v>#DIV/0!</v>
      </c>
      <c r="J225" s="198" t="e">
        <f t="shared" si="35"/>
        <v>#DIV/0!</v>
      </c>
      <c r="K225" s="198" t="e">
        <f t="shared" si="35"/>
        <v>#DIV/0!</v>
      </c>
      <c r="L225" s="650"/>
      <c r="M225" s="198" t="e">
        <f>RANK(K225, K$218:$K$247)</f>
        <v>#DIV/0!</v>
      </c>
      <c r="N225" s="107"/>
      <c r="O225" s="107"/>
      <c r="P225" s="107"/>
      <c r="Q225" s="107"/>
      <c r="R225" s="107"/>
      <c r="S225" s="107"/>
      <c r="T225" s="107"/>
      <c r="X225" s="107"/>
      <c r="AC225" s="107"/>
      <c r="AH225" s="107"/>
      <c r="AM225" s="107"/>
    </row>
    <row r="226" spans="2:39">
      <c r="B226" s="649"/>
      <c r="C226" s="303">
        <v>9</v>
      </c>
      <c r="D226" s="303"/>
      <c r="E226" s="303"/>
      <c r="F226" s="303"/>
      <c r="G226" s="303"/>
      <c r="H226" s="644"/>
      <c r="I226" s="198" t="e">
        <f t="shared" si="35"/>
        <v>#DIV/0!</v>
      </c>
      <c r="J226" s="198" t="e">
        <f t="shared" si="35"/>
        <v>#DIV/0!</v>
      </c>
      <c r="K226" s="198" t="e">
        <f t="shared" si="35"/>
        <v>#DIV/0!</v>
      </c>
      <c r="L226" s="650"/>
      <c r="M226" s="198" t="e">
        <f>RANK(K226, K$218:$K$247)</f>
        <v>#DIV/0!</v>
      </c>
      <c r="N226" s="107"/>
      <c r="O226" s="107"/>
      <c r="P226" s="107"/>
      <c r="Q226" s="107"/>
      <c r="R226" s="107"/>
      <c r="S226" s="107"/>
      <c r="T226" s="107"/>
      <c r="X226" s="107"/>
      <c r="AC226" s="107"/>
      <c r="AH226" s="107"/>
      <c r="AM226" s="107"/>
    </row>
    <row r="227" spans="2:39">
      <c r="B227" s="649"/>
      <c r="C227" s="303">
        <v>10</v>
      </c>
      <c r="D227" s="303"/>
      <c r="E227" s="303"/>
      <c r="F227" s="303"/>
      <c r="G227" s="303"/>
      <c r="H227" s="644"/>
      <c r="I227" s="198" t="e">
        <f t="shared" si="35"/>
        <v>#DIV/0!</v>
      </c>
      <c r="J227" s="198" t="e">
        <f t="shared" si="35"/>
        <v>#DIV/0!</v>
      </c>
      <c r="K227" s="198" t="e">
        <f t="shared" si="35"/>
        <v>#DIV/0!</v>
      </c>
      <c r="L227" s="650"/>
      <c r="M227" s="198" t="e">
        <f>RANK(K227, K$218:$K$247)</f>
        <v>#DIV/0!</v>
      </c>
      <c r="N227" s="107"/>
      <c r="O227" s="107"/>
      <c r="P227" s="107"/>
      <c r="Q227" s="107"/>
      <c r="R227" s="107"/>
      <c r="S227" s="107"/>
      <c r="T227" s="107"/>
      <c r="X227" s="107"/>
      <c r="AC227" s="107"/>
      <c r="AH227" s="107"/>
      <c r="AM227" s="107"/>
    </row>
    <row r="228" spans="2:39">
      <c r="B228" s="649"/>
      <c r="C228" s="303">
        <v>11</v>
      </c>
      <c r="D228" s="303"/>
      <c r="E228" s="303"/>
      <c r="F228" s="303"/>
      <c r="G228" s="303"/>
      <c r="H228" s="644"/>
      <c r="I228" s="198" t="e">
        <f t="shared" si="35"/>
        <v>#DIV/0!</v>
      </c>
      <c r="J228" s="198" t="e">
        <f t="shared" si="35"/>
        <v>#DIV/0!</v>
      </c>
      <c r="K228" s="198" t="e">
        <f t="shared" si="35"/>
        <v>#DIV/0!</v>
      </c>
      <c r="L228" s="650"/>
      <c r="M228" s="198" t="e">
        <f>RANK(K228, K$218:$K$247)</f>
        <v>#DIV/0!</v>
      </c>
      <c r="N228" s="107"/>
      <c r="O228" s="107"/>
      <c r="P228" s="107"/>
      <c r="Q228" s="107"/>
      <c r="R228" s="107"/>
      <c r="S228" s="107"/>
      <c r="T228" s="107"/>
      <c r="X228" s="107"/>
      <c r="AC228" s="107"/>
      <c r="AH228" s="107"/>
      <c r="AM228" s="107"/>
    </row>
    <row r="229" spans="2:39">
      <c r="B229" s="649"/>
      <c r="C229" s="303">
        <v>12</v>
      </c>
      <c r="D229" s="303"/>
      <c r="E229" s="303"/>
      <c r="F229" s="303"/>
      <c r="G229" s="303"/>
      <c r="H229" s="644"/>
      <c r="I229" s="198" t="e">
        <f t="shared" si="35"/>
        <v>#DIV/0!</v>
      </c>
      <c r="J229" s="198" t="e">
        <f t="shared" si="35"/>
        <v>#DIV/0!</v>
      </c>
      <c r="K229" s="198" t="e">
        <f t="shared" si="35"/>
        <v>#DIV/0!</v>
      </c>
      <c r="L229" s="650"/>
      <c r="M229" s="198" t="e">
        <f>RANK(K229, K$218:$K$247)</f>
        <v>#DIV/0!</v>
      </c>
      <c r="N229" s="107"/>
      <c r="O229" s="107"/>
      <c r="P229" s="107"/>
      <c r="Q229" s="107"/>
      <c r="R229" s="107"/>
      <c r="S229" s="107"/>
      <c r="T229" s="107"/>
      <c r="X229" s="107"/>
      <c r="AC229" s="107"/>
      <c r="AH229" s="107"/>
      <c r="AM229" s="107"/>
    </row>
    <row r="230" spans="2:39">
      <c r="B230" s="649"/>
      <c r="C230" s="303">
        <v>13</v>
      </c>
      <c r="D230" s="303"/>
      <c r="E230" s="303"/>
      <c r="F230" s="303"/>
      <c r="G230" s="303"/>
      <c r="H230" s="644"/>
      <c r="I230" s="198" t="e">
        <f t="shared" si="35"/>
        <v>#DIV/0!</v>
      </c>
      <c r="J230" s="198" t="e">
        <f t="shared" si="35"/>
        <v>#DIV/0!</v>
      </c>
      <c r="K230" s="198" t="e">
        <f t="shared" si="35"/>
        <v>#DIV/0!</v>
      </c>
      <c r="L230" s="650"/>
      <c r="M230" s="198" t="e">
        <f>RANK(K230, K$218:$K$247)</f>
        <v>#DIV/0!</v>
      </c>
      <c r="N230" s="107"/>
      <c r="O230" s="107"/>
      <c r="P230" s="107"/>
      <c r="Q230" s="107"/>
      <c r="R230" s="107"/>
      <c r="S230" s="107"/>
      <c r="T230" s="107"/>
      <c r="X230" s="107"/>
      <c r="AC230" s="107"/>
      <c r="AH230" s="107"/>
      <c r="AM230" s="107"/>
    </row>
    <row r="231" spans="2:39">
      <c r="B231" s="649"/>
      <c r="C231" s="303">
        <v>14</v>
      </c>
      <c r="D231" s="303"/>
      <c r="E231" s="303"/>
      <c r="F231" s="303"/>
      <c r="G231" s="303"/>
      <c r="H231" s="644"/>
      <c r="I231" s="198" t="e">
        <f t="shared" si="35"/>
        <v>#DIV/0!</v>
      </c>
      <c r="J231" s="198" t="e">
        <f t="shared" si="35"/>
        <v>#DIV/0!</v>
      </c>
      <c r="K231" s="198" t="e">
        <f t="shared" si="35"/>
        <v>#DIV/0!</v>
      </c>
      <c r="L231" s="650"/>
      <c r="M231" s="198" t="e">
        <f>RANK(K231, K$218:$K$247)</f>
        <v>#DIV/0!</v>
      </c>
      <c r="N231" s="107"/>
      <c r="O231" s="107"/>
      <c r="P231" s="107"/>
      <c r="Q231" s="107"/>
      <c r="R231" s="107"/>
      <c r="S231" s="107"/>
      <c r="T231" s="107"/>
      <c r="X231" s="107"/>
      <c r="AC231" s="107"/>
      <c r="AH231" s="107"/>
      <c r="AM231" s="107"/>
    </row>
    <row r="232" spans="2:39">
      <c r="B232" s="649"/>
      <c r="C232" s="303">
        <v>15</v>
      </c>
      <c r="D232" s="303"/>
      <c r="E232" s="303"/>
      <c r="F232" s="303"/>
      <c r="G232" s="303"/>
      <c r="H232" s="644"/>
      <c r="I232" s="198" t="e">
        <f t="shared" si="35"/>
        <v>#DIV/0!</v>
      </c>
      <c r="J232" s="198" t="e">
        <f t="shared" si="35"/>
        <v>#DIV/0!</v>
      </c>
      <c r="K232" s="198" t="e">
        <f t="shared" si="35"/>
        <v>#DIV/0!</v>
      </c>
      <c r="L232" s="650"/>
      <c r="M232" s="198" t="e">
        <f>RANK(K232, K$218:$K$247)</f>
        <v>#DIV/0!</v>
      </c>
      <c r="N232" s="107"/>
      <c r="O232" s="107"/>
      <c r="P232" s="107"/>
      <c r="Q232" s="107"/>
      <c r="R232" s="107"/>
      <c r="S232" s="107"/>
      <c r="T232" s="107"/>
      <c r="X232" s="107"/>
      <c r="AC232" s="107"/>
      <c r="AH232" s="107"/>
      <c r="AM232" s="107"/>
    </row>
    <row r="233" spans="2:39">
      <c r="B233" s="649"/>
      <c r="C233" s="303">
        <v>16</v>
      </c>
      <c r="D233" s="303"/>
      <c r="E233" s="303"/>
      <c r="F233" s="303"/>
      <c r="G233" s="303"/>
      <c r="H233" s="644"/>
      <c r="I233" s="198" t="e">
        <f t="shared" si="35"/>
        <v>#DIV/0!</v>
      </c>
      <c r="J233" s="198" t="e">
        <f t="shared" si="35"/>
        <v>#DIV/0!</v>
      </c>
      <c r="K233" s="198" t="e">
        <f t="shared" si="35"/>
        <v>#DIV/0!</v>
      </c>
      <c r="L233" s="650"/>
      <c r="M233" s="198" t="e">
        <f>RANK(K233, K$218:$K$247)</f>
        <v>#DIV/0!</v>
      </c>
      <c r="N233" s="107"/>
      <c r="O233" s="107"/>
      <c r="P233" s="107"/>
      <c r="Q233" s="107"/>
      <c r="R233" s="107"/>
      <c r="S233" s="107"/>
      <c r="T233" s="107"/>
      <c r="X233" s="107"/>
      <c r="AC233" s="107"/>
      <c r="AH233" s="107"/>
      <c r="AM233" s="107"/>
    </row>
    <row r="234" spans="2:39">
      <c r="B234" s="649"/>
      <c r="C234" s="303">
        <v>17</v>
      </c>
      <c r="D234" s="303"/>
      <c r="E234" s="303"/>
      <c r="F234" s="303"/>
      <c r="G234" s="303"/>
      <c r="H234" s="644"/>
      <c r="I234" s="198" t="e">
        <f t="shared" si="35"/>
        <v>#DIV/0!</v>
      </c>
      <c r="J234" s="198" t="e">
        <f t="shared" si="35"/>
        <v>#DIV/0!</v>
      </c>
      <c r="K234" s="198" t="e">
        <f t="shared" si="35"/>
        <v>#DIV/0!</v>
      </c>
      <c r="L234" s="650"/>
      <c r="M234" s="198" t="e">
        <f>RANK(K234, K$218:$K$247)</f>
        <v>#DIV/0!</v>
      </c>
      <c r="N234" s="107"/>
      <c r="O234" s="107"/>
      <c r="P234" s="107"/>
      <c r="Q234" s="107"/>
      <c r="R234" s="107"/>
      <c r="S234" s="107"/>
      <c r="T234" s="107"/>
      <c r="X234" s="107"/>
      <c r="AC234" s="107"/>
      <c r="AH234" s="107"/>
      <c r="AM234" s="107"/>
    </row>
    <row r="235" spans="2:39">
      <c r="B235" s="649"/>
      <c r="C235" s="303">
        <v>18</v>
      </c>
      <c r="D235" s="303"/>
      <c r="E235" s="303"/>
      <c r="F235" s="303"/>
      <c r="G235" s="303"/>
      <c r="H235" s="644"/>
      <c r="I235" s="198" t="e">
        <f t="shared" si="35"/>
        <v>#DIV/0!</v>
      </c>
      <c r="J235" s="198" t="e">
        <f t="shared" si="35"/>
        <v>#DIV/0!</v>
      </c>
      <c r="K235" s="198" t="e">
        <f t="shared" si="35"/>
        <v>#DIV/0!</v>
      </c>
      <c r="L235" s="650"/>
      <c r="M235" s="198" t="e">
        <f>RANK(K235, K$218:$K$247)</f>
        <v>#DIV/0!</v>
      </c>
      <c r="N235" s="107"/>
      <c r="O235" s="107"/>
      <c r="P235" s="107"/>
      <c r="Q235" s="107"/>
      <c r="R235" s="107"/>
      <c r="S235" s="107"/>
      <c r="T235" s="107"/>
      <c r="X235" s="107"/>
      <c r="AC235" s="107"/>
      <c r="AH235" s="107"/>
      <c r="AM235" s="107"/>
    </row>
    <row r="236" spans="2:39">
      <c r="B236" s="649"/>
      <c r="C236" s="303">
        <v>19</v>
      </c>
      <c r="D236" s="303"/>
      <c r="E236" s="303"/>
      <c r="F236" s="303"/>
      <c r="G236" s="303"/>
      <c r="H236" s="644"/>
      <c r="I236" s="198" t="e">
        <f t="shared" si="35"/>
        <v>#DIV/0!</v>
      </c>
      <c r="J236" s="198" t="e">
        <f t="shared" si="35"/>
        <v>#DIV/0!</v>
      </c>
      <c r="K236" s="198" t="e">
        <f t="shared" si="35"/>
        <v>#DIV/0!</v>
      </c>
      <c r="L236" s="650"/>
      <c r="M236" s="198" t="e">
        <f>RANK(K236, K$218:$K$247)</f>
        <v>#DIV/0!</v>
      </c>
      <c r="N236" s="107"/>
      <c r="O236" s="107"/>
      <c r="P236" s="107"/>
      <c r="Q236" s="107"/>
      <c r="R236" s="107"/>
      <c r="S236" s="107"/>
      <c r="T236" s="107"/>
      <c r="X236" s="107"/>
      <c r="AC236" s="107"/>
      <c r="AH236" s="107"/>
      <c r="AM236" s="107"/>
    </row>
    <row r="237" spans="2:39">
      <c r="B237" s="649"/>
      <c r="C237" s="303">
        <v>20</v>
      </c>
      <c r="D237" s="303"/>
      <c r="E237" s="303"/>
      <c r="F237" s="303"/>
      <c r="G237" s="303"/>
      <c r="H237" s="644"/>
      <c r="I237" s="198" t="e">
        <f t="shared" si="35"/>
        <v>#DIV/0!</v>
      </c>
      <c r="J237" s="198" t="e">
        <f t="shared" si="35"/>
        <v>#DIV/0!</v>
      </c>
      <c r="K237" s="198" t="e">
        <f t="shared" si="35"/>
        <v>#DIV/0!</v>
      </c>
      <c r="L237" s="650"/>
      <c r="M237" s="198" t="e">
        <f>RANK(K237, K$218:$K$247)</f>
        <v>#DIV/0!</v>
      </c>
      <c r="N237" s="107"/>
      <c r="O237" s="107"/>
      <c r="P237" s="107"/>
      <c r="Q237" s="107"/>
      <c r="R237" s="107"/>
      <c r="S237" s="107"/>
      <c r="T237" s="107"/>
      <c r="X237" s="107"/>
      <c r="AC237" s="107"/>
      <c r="AH237" s="107"/>
      <c r="AM237" s="107"/>
    </row>
    <row r="238" spans="2:39">
      <c r="B238" s="649"/>
      <c r="C238" s="303">
        <v>21</v>
      </c>
      <c r="D238" s="303"/>
      <c r="E238" s="303"/>
      <c r="F238" s="303"/>
      <c r="G238" s="303"/>
      <c r="H238" s="644"/>
      <c r="I238" s="198" t="e">
        <f t="shared" si="35"/>
        <v>#DIV/0!</v>
      </c>
      <c r="J238" s="198" t="e">
        <f t="shared" si="35"/>
        <v>#DIV/0!</v>
      </c>
      <c r="K238" s="198" t="e">
        <f t="shared" si="35"/>
        <v>#DIV/0!</v>
      </c>
      <c r="L238" s="650"/>
      <c r="M238" s="198" t="e">
        <f>RANK(K238, K$218:$K$247)</f>
        <v>#DIV/0!</v>
      </c>
      <c r="N238" s="107"/>
      <c r="O238" s="107"/>
      <c r="P238" s="107"/>
      <c r="Q238" s="107"/>
      <c r="R238" s="107"/>
      <c r="S238" s="107"/>
      <c r="T238" s="107"/>
      <c r="X238" s="107"/>
      <c r="AC238" s="107"/>
      <c r="AH238" s="107"/>
      <c r="AM238" s="107"/>
    </row>
    <row r="239" spans="2:39">
      <c r="B239" s="649"/>
      <c r="C239" s="303">
        <v>22</v>
      </c>
      <c r="D239" s="303"/>
      <c r="E239" s="303"/>
      <c r="F239" s="303"/>
      <c r="G239" s="303"/>
      <c r="H239" s="644"/>
      <c r="I239" s="198" t="e">
        <f t="shared" si="35"/>
        <v>#DIV/0!</v>
      </c>
      <c r="J239" s="198" t="e">
        <f t="shared" si="35"/>
        <v>#DIV/0!</v>
      </c>
      <c r="K239" s="198" t="e">
        <f t="shared" si="35"/>
        <v>#DIV/0!</v>
      </c>
      <c r="L239" s="650"/>
      <c r="M239" s="198" t="e">
        <f>RANK(K239, K$218:$K$247)</f>
        <v>#DIV/0!</v>
      </c>
      <c r="N239" s="107"/>
      <c r="O239" s="107"/>
      <c r="P239" s="107"/>
      <c r="Q239" s="107"/>
      <c r="R239" s="107"/>
      <c r="S239" s="107"/>
      <c r="T239" s="107"/>
      <c r="X239" s="107"/>
      <c r="AC239" s="107"/>
      <c r="AH239" s="107"/>
      <c r="AM239" s="107"/>
    </row>
    <row r="240" spans="2:39">
      <c r="B240" s="649"/>
      <c r="C240" s="303">
        <v>23</v>
      </c>
      <c r="D240" s="303"/>
      <c r="E240" s="303"/>
      <c r="F240" s="303"/>
      <c r="G240" s="303"/>
      <c r="H240" s="644"/>
      <c r="I240" s="198" t="e">
        <f t="shared" si="35"/>
        <v>#DIV/0!</v>
      </c>
      <c r="J240" s="198" t="e">
        <f t="shared" si="35"/>
        <v>#DIV/0!</v>
      </c>
      <c r="K240" s="198" t="e">
        <f t="shared" si="35"/>
        <v>#DIV/0!</v>
      </c>
      <c r="L240" s="650"/>
      <c r="M240" s="198" t="e">
        <f>RANK(K240, K$218:$K$247)</f>
        <v>#DIV/0!</v>
      </c>
      <c r="N240" s="107"/>
      <c r="O240" s="107"/>
      <c r="P240" s="107"/>
      <c r="Q240" s="107"/>
      <c r="R240" s="107"/>
      <c r="S240" s="107"/>
      <c r="T240" s="107"/>
      <c r="X240" s="107"/>
      <c r="AC240" s="107"/>
      <c r="AH240" s="107"/>
      <c r="AM240" s="107"/>
    </row>
    <row r="241" spans="2:39">
      <c r="B241" s="649"/>
      <c r="C241" s="303">
        <v>24</v>
      </c>
      <c r="D241" s="303"/>
      <c r="E241" s="303"/>
      <c r="F241" s="303"/>
      <c r="G241" s="303"/>
      <c r="H241" s="644"/>
      <c r="I241" s="198"/>
      <c r="J241" s="198"/>
      <c r="K241" s="198"/>
      <c r="L241" s="650"/>
      <c r="M241" s="198" t="e">
        <f>RANK(K241, K$218:$K$247)</f>
        <v>#DIV/0!</v>
      </c>
      <c r="N241" s="107"/>
      <c r="O241" s="107"/>
      <c r="P241" s="107"/>
      <c r="Q241" s="107"/>
      <c r="R241" s="107"/>
      <c r="S241" s="107"/>
      <c r="T241" s="107"/>
      <c r="X241" s="107"/>
      <c r="AC241" s="107"/>
      <c r="AH241" s="107"/>
      <c r="AM241" s="107"/>
    </row>
    <row r="242" spans="2:39">
      <c r="B242" s="649"/>
      <c r="C242" s="303">
        <v>25</v>
      </c>
      <c r="D242" s="303"/>
      <c r="E242" s="303"/>
      <c r="F242" s="303"/>
      <c r="G242" s="303"/>
      <c r="H242" s="644"/>
      <c r="I242" s="198"/>
      <c r="J242" s="198"/>
      <c r="K242" s="198"/>
      <c r="L242" s="650"/>
      <c r="M242" s="198" t="e">
        <f>RANK(K242, K$218:$K$247)</f>
        <v>#DIV/0!</v>
      </c>
      <c r="N242" s="107"/>
      <c r="O242" s="107"/>
      <c r="P242" s="107"/>
      <c r="Q242" s="107"/>
      <c r="R242" s="107"/>
      <c r="S242" s="107"/>
      <c r="T242" s="107"/>
      <c r="X242" s="107"/>
      <c r="AC242" s="107"/>
      <c r="AH242" s="107"/>
      <c r="AM242" s="107"/>
    </row>
    <row r="243" spans="2:39">
      <c r="B243" s="649"/>
      <c r="C243" s="303">
        <v>26</v>
      </c>
      <c r="D243" s="303"/>
      <c r="E243" s="303"/>
      <c r="F243" s="303"/>
      <c r="G243" s="303"/>
      <c r="H243" s="644"/>
      <c r="I243" s="198"/>
      <c r="J243" s="198"/>
      <c r="K243" s="198"/>
      <c r="L243" s="650"/>
      <c r="M243" s="198" t="e">
        <f>RANK(K243, K$218:$K$247)</f>
        <v>#DIV/0!</v>
      </c>
      <c r="N243" s="107"/>
      <c r="O243" s="107"/>
      <c r="P243" s="107"/>
      <c r="Q243" s="107"/>
      <c r="R243" s="107"/>
      <c r="S243" s="107"/>
      <c r="T243" s="107"/>
      <c r="X243" s="107"/>
      <c r="AC243" s="107"/>
      <c r="AH243" s="107"/>
      <c r="AM243" s="107"/>
    </row>
    <row r="244" spans="2:39">
      <c r="B244" s="649"/>
      <c r="C244" s="303">
        <v>27</v>
      </c>
      <c r="D244" s="303"/>
      <c r="E244" s="303"/>
      <c r="F244" s="303"/>
      <c r="G244" s="303"/>
      <c r="H244" s="644"/>
      <c r="I244" s="198"/>
      <c r="J244" s="198"/>
      <c r="K244" s="198"/>
      <c r="L244" s="650"/>
      <c r="M244" s="198" t="e">
        <f>RANK(K244, K$218:$K$247)</f>
        <v>#DIV/0!</v>
      </c>
      <c r="N244" s="107"/>
      <c r="O244" s="107"/>
      <c r="P244" s="107"/>
      <c r="Q244" s="107"/>
      <c r="R244" s="107"/>
      <c r="S244" s="107"/>
      <c r="T244" s="107"/>
      <c r="X244" s="107"/>
      <c r="AC244" s="107"/>
      <c r="AH244" s="107"/>
      <c r="AM244" s="107"/>
    </row>
    <row r="245" spans="2:39">
      <c r="B245" s="649"/>
      <c r="C245" s="303">
        <v>28</v>
      </c>
      <c r="D245" s="303"/>
      <c r="E245" s="303"/>
      <c r="F245" s="303"/>
      <c r="G245" s="303"/>
      <c r="H245" s="644"/>
      <c r="I245" s="198"/>
      <c r="J245" s="198"/>
      <c r="K245" s="198"/>
      <c r="L245" s="650"/>
      <c r="M245" s="198" t="e">
        <f>RANK(K245, K$218:$K$247)</f>
        <v>#DIV/0!</v>
      </c>
      <c r="N245" s="107"/>
      <c r="O245" s="107"/>
      <c r="P245" s="107"/>
      <c r="Q245" s="107"/>
      <c r="R245" s="107"/>
      <c r="S245" s="107"/>
      <c r="T245" s="107"/>
      <c r="X245" s="107"/>
      <c r="AC245" s="107"/>
      <c r="AH245" s="107"/>
      <c r="AM245" s="107"/>
    </row>
    <row r="246" spans="2:39">
      <c r="B246" s="649"/>
      <c r="C246" s="303">
        <v>29</v>
      </c>
      <c r="D246" s="303"/>
      <c r="E246" s="303"/>
      <c r="F246" s="303"/>
      <c r="G246" s="303"/>
      <c r="H246" s="644"/>
      <c r="I246" s="198"/>
      <c r="J246" s="198"/>
      <c r="K246" s="198"/>
      <c r="L246" s="650"/>
      <c r="M246" s="198" t="e">
        <f>RANK(K246, K$218:$K$247)</f>
        <v>#DIV/0!</v>
      </c>
      <c r="N246" s="107"/>
      <c r="O246" s="107"/>
      <c r="P246" s="107"/>
      <c r="Q246" s="107"/>
      <c r="R246" s="107"/>
      <c r="S246" s="107"/>
      <c r="T246" s="107"/>
      <c r="X246" s="107"/>
      <c r="AC246" s="107"/>
      <c r="AH246" s="107"/>
      <c r="AM246" s="107"/>
    </row>
    <row r="247" spans="2:39">
      <c r="B247" s="649"/>
      <c r="C247" s="303">
        <v>30</v>
      </c>
      <c r="D247" s="303"/>
      <c r="E247" s="303"/>
      <c r="F247" s="303"/>
      <c r="G247" s="303"/>
      <c r="H247" s="644"/>
      <c r="I247" s="198"/>
      <c r="J247" s="198"/>
      <c r="K247" s="198"/>
      <c r="L247" s="650"/>
      <c r="M247" s="198" t="e">
        <f>RANK(K247, K$218:$K$247)</f>
        <v>#DIV/0!</v>
      </c>
      <c r="N247" s="107"/>
      <c r="O247" s="107"/>
      <c r="P247" s="107"/>
      <c r="Q247" s="107"/>
      <c r="R247" s="107"/>
      <c r="S247" s="107"/>
      <c r="T247" s="107"/>
      <c r="X247" s="107"/>
      <c r="AC247" s="107"/>
      <c r="AH247" s="107"/>
      <c r="AM247" s="107"/>
    </row>
    <row r="250" spans="2:39">
      <c r="D250" s="360" t="s">
        <v>335</v>
      </c>
      <c r="E250" s="360">
        <v>4</v>
      </c>
      <c r="F250" s="360">
        <v>2700</v>
      </c>
      <c r="G250" s="360">
        <f>F250/E250</f>
        <v>675</v>
      </c>
      <c r="H250" s="106">
        <v>704.2</v>
      </c>
      <c r="N250" s="107"/>
      <c r="O250" s="107"/>
      <c r="P250" s="107"/>
      <c r="Q250" s="107"/>
      <c r="R250" s="107"/>
      <c r="S250" s="107"/>
      <c r="T250" s="107"/>
      <c r="X250" s="107"/>
      <c r="AC250" s="107"/>
      <c r="AH250" s="107"/>
      <c r="AM250" s="107"/>
    </row>
    <row r="251" spans="2:39">
      <c r="D251" s="360" t="s">
        <v>336</v>
      </c>
      <c r="E251" s="360">
        <v>3</v>
      </c>
      <c r="F251" s="360">
        <v>2700</v>
      </c>
      <c r="G251" s="360">
        <f t="shared" ref="G251:G255" si="36">F251/E251</f>
        <v>900</v>
      </c>
      <c r="N251" s="107"/>
      <c r="O251" s="107"/>
      <c r="P251" s="107"/>
      <c r="Q251" s="107"/>
      <c r="R251" s="107"/>
      <c r="S251" s="107"/>
      <c r="T251" s="107"/>
      <c r="X251" s="107"/>
      <c r="AC251" s="107"/>
      <c r="AH251" s="107"/>
      <c r="AM251" s="107"/>
    </row>
    <row r="252" spans="2:39">
      <c r="D252" s="360" t="s">
        <v>337</v>
      </c>
      <c r="E252" s="360">
        <v>4</v>
      </c>
      <c r="F252" s="360">
        <v>2700</v>
      </c>
      <c r="G252" s="360">
        <f t="shared" si="36"/>
        <v>675</v>
      </c>
      <c r="N252" s="107"/>
      <c r="O252" s="107"/>
      <c r="P252" s="107"/>
      <c r="Q252" s="107"/>
      <c r="R252" s="107"/>
      <c r="S252" s="107"/>
      <c r="T252" s="107"/>
      <c r="X252" s="107"/>
      <c r="AC252" s="107"/>
      <c r="AH252" s="107"/>
      <c r="AM252" s="107"/>
    </row>
    <row r="253" spans="2:39">
      <c r="D253" s="360" t="s">
        <v>500</v>
      </c>
      <c r="E253" s="360">
        <v>4</v>
      </c>
      <c r="F253" s="360">
        <v>2700</v>
      </c>
      <c r="G253" s="360">
        <f t="shared" si="36"/>
        <v>675</v>
      </c>
      <c r="N253" s="107"/>
      <c r="O253" s="107"/>
      <c r="P253" s="107"/>
      <c r="Q253" s="107"/>
      <c r="R253" s="107"/>
      <c r="S253" s="107"/>
      <c r="T253" s="107"/>
      <c r="X253" s="107"/>
      <c r="AC253" s="107"/>
      <c r="AH253" s="107"/>
      <c r="AM253" s="107"/>
    </row>
    <row r="254" spans="2:39">
      <c r="D254" s="359" t="s">
        <v>541</v>
      </c>
      <c r="E254" s="360">
        <v>4</v>
      </c>
      <c r="F254" s="360">
        <v>2600</v>
      </c>
      <c r="G254" s="360">
        <f t="shared" si="36"/>
        <v>650</v>
      </c>
      <c r="N254" s="107"/>
      <c r="O254" s="107"/>
      <c r="P254" s="107"/>
      <c r="Q254" s="107"/>
      <c r="R254" s="107"/>
      <c r="S254" s="107"/>
      <c r="T254" s="107"/>
      <c r="X254" s="107"/>
      <c r="AC254" s="107"/>
      <c r="AH254" s="107"/>
      <c r="AM254" s="107"/>
    </row>
    <row r="255" spans="2:39">
      <c r="D255" s="359" t="s">
        <v>542</v>
      </c>
      <c r="E255" s="360">
        <v>4</v>
      </c>
      <c r="F255" s="360">
        <v>2600</v>
      </c>
      <c r="G255" s="360">
        <f t="shared" si="36"/>
        <v>650</v>
      </c>
      <c r="N255" s="107"/>
      <c r="O255" s="107"/>
      <c r="P255" s="107"/>
      <c r="Q255" s="107"/>
      <c r="R255" s="107"/>
      <c r="S255" s="107"/>
      <c r="T255" s="107"/>
      <c r="X255" s="107"/>
      <c r="AC255" s="107"/>
      <c r="AH255" s="107"/>
      <c r="AM255" s="107"/>
    </row>
    <row r="257" spans="4:8" s="107" customFormat="1">
      <c r="D257" s="360" t="s">
        <v>335</v>
      </c>
      <c r="E257" s="360">
        <v>4</v>
      </c>
      <c r="F257" s="360">
        <v>3300</v>
      </c>
      <c r="G257" s="360">
        <f>F257/E257</f>
        <v>825</v>
      </c>
      <c r="H257" s="106">
        <v>845.8</v>
      </c>
    </row>
    <row r="258" spans="4:8" s="107" customFormat="1">
      <c r="D258" s="360" t="s">
        <v>336</v>
      </c>
      <c r="E258" s="360">
        <v>3</v>
      </c>
      <c r="F258" s="360">
        <v>3300</v>
      </c>
      <c r="G258" s="360">
        <f t="shared" ref="G258:G262" si="37">F258/E258</f>
        <v>1100</v>
      </c>
      <c r="H258" s="106"/>
    </row>
    <row r="259" spans="4:8" s="107" customFormat="1">
      <c r="D259" s="360" t="s">
        <v>337</v>
      </c>
      <c r="E259" s="360">
        <v>4</v>
      </c>
      <c r="F259" s="360">
        <v>3300</v>
      </c>
      <c r="G259" s="360">
        <f t="shared" si="37"/>
        <v>825</v>
      </c>
      <c r="H259" s="106"/>
    </row>
    <row r="260" spans="4:8" s="107" customFormat="1">
      <c r="D260" s="360" t="s">
        <v>500</v>
      </c>
      <c r="E260" s="360">
        <v>4</v>
      </c>
      <c r="F260" s="360">
        <v>3100</v>
      </c>
      <c r="G260" s="360">
        <f t="shared" si="37"/>
        <v>775</v>
      </c>
      <c r="H260" s="106"/>
    </row>
    <row r="261" spans="4:8" s="107" customFormat="1">
      <c r="D261" s="359" t="s">
        <v>541</v>
      </c>
      <c r="E261" s="360">
        <v>4</v>
      </c>
      <c r="F261" s="360">
        <v>3100</v>
      </c>
      <c r="G261" s="360">
        <f t="shared" si="37"/>
        <v>775</v>
      </c>
      <c r="H261" s="106"/>
    </row>
    <row r="262" spans="4:8" s="107" customFormat="1">
      <c r="D262" s="359" t="s">
        <v>542</v>
      </c>
      <c r="E262" s="360">
        <v>4</v>
      </c>
      <c r="F262" s="360">
        <v>3100</v>
      </c>
      <c r="G262" s="360">
        <f t="shared" si="37"/>
        <v>775</v>
      </c>
      <c r="H262" s="106"/>
    </row>
  </sheetData>
  <mergeCells count="379">
    <mergeCell ref="L112:L141"/>
    <mergeCell ref="I144:K144"/>
    <mergeCell ref="L144:L146"/>
    <mergeCell ref="I145:K145"/>
    <mergeCell ref="L147:L176"/>
    <mergeCell ref="I39:K39"/>
    <mergeCell ref="L39:L41"/>
    <mergeCell ref="I40:K40"/>
    <mergeCell ref="L42:L71"/>
    <mergeCell ref="I74:K74"/>
    <mergeCell ref="L74:L76"/>
    <mergeCell ref="I75:K75"/>
    <mergeCell ref="L77:L106"/>
    <mergeCell ref="I109:K109"/>
    <mergeCell ref="L109:L111"/>
    <mergeCell ref="I110:K110"/>
    <mergeCell ref="AJ110:AM110"/>
    <mergeCell ref="AO110:AR110"/>
    <mergeCell ref="AT110:AW110"/>
    <mergeCell ref="T109:T111"/>
    <mergeCell ref="Y109:Y111"/>
    <mergeCell ref="I4:K4"/>
    <mergeCell ref="L4:L6"/>
    <mergeCell ref="I5:K5"/>
    <mergeCell ref="L7:L36"/>
    <mergeCell ref="AN39:AN41"/>
    <mergeCell ref="AO109:AR109"/>
    <mergeCell ref="AT109:AW109"/>
    <mergeCell ref="P110:S110"/>
    <mergeCell ref="U110:X110"/>
    <mergeCell ref="Z110:AC110"/>
    <mergeCell ref="AE110:AH110"/>
    <mergeCell ref="AE72:AI72"/>
    <mergeCell ref="AE107:AI107"/>
    <mergeCell ref="AS74:AS76"/>
    <mergeCell ref="AE74:AH74"/>
    <mergeCell ref="AI74:AI76"/>
    <mergeCell ref="AN74:AN76"/>
    <mergeCell ref="AJ74:AM74"/>
    <mergeCell ref="AE108:AI108"/>
    <mergeCell ref="AO144:AR144"/>
    <mergeCell ref="AT144:AW144"/>
    <mergeCell ref="P145:S145"/>
    <mergeCell ref="U145:X145"/>
    <mergeCell ref="Z145:AC145"/>
    <mergeCell ref="AE145:AH145"/>
    <mergeCell ref="AJ145:AM145"/>
    <mergeCell ref="AO145:AR145"/>
    <mergeCell ref="AT145:AW145"/>
    <mergeCell ref="P144:S144"/>
    <mergeCell ref="U144:X144"/>
    <mergeCell ref="AD144:AD146"/>
    <mergeCell ref="AI144:AI146"/>
    <mergeCell ref="AN144:AN146"/>
    <mergeCell ref="Z144:AC144"/>
    <mergeCell ref="AE144:AH144"/>
    <mergeCell ref="AJ144:AM144"/>
    <mergeCell ref="M144:M146"/>
    <mergeCell ref="AO75:AR75"/>
    <mergeCell ref="AT75:AW75"/>
    <mergeCell ref="AE39:AH39"/>
    <mergeCell ref="AJ39:AM39"/>
    <mergeCell ref="AO39:AR39"/>
    <mergeCell ref="AT39:AW39"/>
    <mergeCell ref="P40:S40"/>
    <mergeCell ref="U40:X40"/>
    <mergeCell ref="Z40:AC40"/>
    <mergeCell ref="AE40:AH40"/>
    <mergeCell ref="AJ40:AM40"/>
    <mergeCell ref="AO40:AR40"/>
    <mergeCell ref="P73:T73"/>
    <mergeCell ref="U73:Y73"/>
    <mergeCell ref="AO74:AR74"/>
    <mergeCell ref="AT74:AW74"/>
    <mergeCell ref="AS39:AS41"/>
    <mergeCell ref="AN42:AN71"/>
    <mergeCell ref="AS42:AS71"/>
    <mergeCell ref="T42:T71"/>
    <mergeCell ref="Y42:Y71"/>
    <mergeCell ref="AD42:AD71"/>
    <mergeCell ref="AI42:AI71"/>
    <mergeCell ref="B147:B176"/>
    <mergeCell ref="H147:H176"/>
    <mergeCell ref="P5:S5"/>
    <mergeCell ref="P4:S4"/>
    <mergeCell ref="U4:X4"/>
    <mergeCell ref="U5:X5"/>
    <mergeCell ref="P39:S39"/>
    <mergeCell ref="U39:X39"/>
    <mergeCell ref="P74:S74"/>
    <mergeCell ref="U74:X74"/>
    <mergeCell ref="B112:B141"/>
    <mergeCell ref="H112:H141"/>
    <mergeCell ref="B142:H143"/>
    <mergeCell ref="B144:B146"/>
    <mergeCell ref="C144:D146"/>
    <mergeCell ref="E144:G144"/>
    <mergeCell ref="H144:H146"/>
    <mergeCell ref="E145:G145"/>
    <mergeCell ref="P75:S75"/>
    <mergeCell ref="U75:X75"/>
    <mergeCell ref="M39:M41"/>
    <mergeCell ref="M74:M76"/>
    <mergeCell ref="M109:M111"/>
    <mergeCell ref="C39:D41"/>
    <mergeCell ref="E39:G39"/>
    <mergeCell ref="H39:H41"/>
    <mergeCell ref="E40:G40"/>
    <mergeCell ref="N72:N73"/>
    <mergeCell ref="O72:O73"/>
    <mergeCell ref="P72:T72"/>
    <mergeCell ref="U72:Y72"/>
    <mergeCell ref="Z72:AD72"/>
    <mergeCell ref="Z143:AD143"/>
    <mergeCell ref="Z75:AC75"/>
    <mergeCell ref="Z107:AD107"/>
    <mergeCell ref="Z74:AC74"/>
    <mergeCell ref="AD74:AD76"/>
    <mergeCell ref="N74:N106"/>
    <mergeCell ref="O74:O106"/>
    <mergeCell ref="T74:T76"/>
    <mergeCell ref="Y74:Y76"/>
    <mergeCell ref="T77:T106"/>
    <mergeCell ref="Y77:Y106"/>
    <mergeCell ref="P108:T108"/>
    <mergeCell ref="U108:Y108"/>
    <mergeCell ref="Z108:AD108"/>
    <mergeCell ref="N39:N71"/>
    <mergeCell ref="O39:O71"/>
    <mergeCell ref="AE143:AI143"/>
    <mergeCell ref="AJ143:AN143"/>
    <mergeCell ref="AO143:AS143"/>
    <mergeCell ref="AD112:AD141"/>
    <mergeCell ref="AI112:AI141"/>
    <mergeCell ref="AT2:AX2"/>
    <mergeCell ref="AT3:AX3"/>
    <mergeCell ref="AX4:AX6"/>
    <mergeCell ref="AX7:AX36"/>
    <mergeCell ref="AT4:AW4"/>
    <mergeCell ref="AT5:AW5"/>
    <mergeCell ref="AO2:AS2"/>
    <mergeCell ref="AO3:AS3"/>
    <mergeCell ref="AS4:AS6"/>
    <mergeCell ref="AS7:AS36"/>
    <mergeCell ref="AO4:AR4"/>
    <mergeCell ref="AO5:AR5"/>
    <mergeCell ref="AE4:AH4"/>
    <mergeCell ref="AE5:AH5"/>
    <mergeCell ref="AJ4:AM4"/>
    <mergeCell ref="AJ5:AM5"/>
    <mergeCell ref="AE75:AH75"/>
    <mergeCell ref="AT37:AX37"/>
    <mergeCell ref="AT38:AX38"/>
    <mergeCell ref="AX39:AX41"/>
    <mergeCell ref="AX42:AX71"/>
    <mergeCell ref="AT40:AW40"/>
    <mergeCell ref="B77:B106"/>
    <mergeCell ref="H77:H106"/>
    <mergeCell ref="B107:H108"/>
    <mergeCell ref="B109:B111"/>
    <mergeCell ref="C109:D111"/>
    <mergeCell ref="E109:G109"/>
    <mergeCell ref="H109:H111"/>
    <mergeCell ref="E110:G110"/>
    <mergeCell ref="B42:B71"/>
    <mergeCell ref="H42:H71"/>
    <mergeCell ref="B72:H73"/>
    <mergeCell ref="B74:B76"/>
    <mergeCell ref="C74:D76"/>
    <mergeCell ref="E74:G74"/>
    <mergeCell ref="H74:H76"/>
    <mergeCell ref="E75:G75"/>
    <mergeCell ref="AJ75:AM75"/>
    <mergeCell ref="N107:N108"/>
    <mergeCell ref="O107:O108"/>
    <mergeCell ref="P107:T107"/>
    <mergeCell ref="U107:Y107"/>
    <mergeCell ref="B37:H38"/>
    <mergeCell ref="B39:B41"/>
    <mergeCell ref="AX144:AX146"/>
    <mergeCell ref="AX147:AX176"/>
    <mergeCell ref="AT107:AX107"/>
    <mergeCell ref="AT108:AX108"/>
    <mergeCell ref="AX109:AX111"/>
    <mergeCell ref="AX112:AX141"/>
    <mergeCell ref="AT72:AX72"/>
    <mergeCell ref="AT73:AX73"/>
    <mergeCell ref="AX74:AX76"/>
    <mergeCell ref="AX77:AX106"/>
    <mergeCell ref="AT142:AX142"/>
    <mergeCell ref="AT143:AX143"/>
    <mergeCell ref="N144:N176"/>
    <mergeCell ref="O144:O176"/>
    <mergeCell ref="T144:T146"/>
    <mergeCell ref="Y144:Y146"/>
    <mergeCell ref="T147:T176"/>
    <mergeCell ref="Y147:Y176"/>
    <mergeCell ref="T112:T141"/>
    <mergeCell ref="Y112:Y141"/>
    <mergeCell ref="P143:T143"/>
    <mergeCell ref="U143:Y143"/>
    <mergeCell ref="AJ2:AN2"/>
    <mergeCell ref="AJ3:AN3"/>
    <mergeCell ref="AN4:AN6"/>
    <mergeCell ref="AN7:AN36"/>
    <mergeCell ref="AD147:AD176"/>
    <mergeCell ref="AI147:AI176"/>
    <mergeCell ref="AN147:AN176"/>
    <mergeCell ref="AS147:AS176"/>
    <mergeCell ref="AS144:AS146"/>
    <mergeCell ref="AJ142:AN142"/>
    <mergeCell ref="AO142:AS142"/>
    <mergeCell ref="AJ107:AN107"/>
    <mergeCell ref="AO107:AS107"/>
    <mergeCell ref="AJ72:AN72"/>
    <mergeCell ref="AO72:AS72"/>
    <mergeCell ref="Z73:AD73"/>
    <mergeCell ref="AE73:AI73"/>
    <mergeCell ref="AJ73:AN73"/>
    <mergeCell ref="AO73:AS73"/>
    <mergeCell ref="AJ37:AN37"/>
    <mergeCell ref="AO37:AS37"/>
    <mergeCell ref="AJ38:AN38"/>
    <mergeCell ref="AO38:AS38"/>
    <mergeCell ref="AE37:AI37"/>
    <mergeCell ref="AN112:AN141"/>
    <mergeCell ref="AS112:AS141"/>
    <mergeCell ref="AO108:AS108"/>
    <mergeCell ref="AD77:AD106"/>
    <mergeCell ref="AI77:AI106"/>
    <mergeCell ref="AN77:AN106"/>
    <mergeCell ref="AS77:AS106"/>
    <mergeCell ref="N142:N143"/>
    <mergeCell ref="O142:O143"/>
    <mergeCell ref="P142:T142"/>
    <mergeCell ref="U142:Y142"/>
    <mergeCell ref="Z142:AD142"/>
    <mergeCell ref="AE142:AI142"/>
    <mergeCell ref="AS109:AS111"/>
    <mergeCell ref="P109:S109"/>
    <mergeCell ref="U109:X109"/>
    <mergeCell ref="AD109:AD111"/>
    <mergeCell ref="AI109:AI111"/>
    <mergeCell ref="AN109:AN111"/>
    <mergeCell ref="Z109:AC109"/>
    <mergeCell ref="AE109:AH109"/>
    <mergeCell ref="AJ109:AM109"/>
    <mergeCell ref="N109:N141"/>
    <mergeCell ref="O109:O141"/>
    <mergeCell ref="AJ108:AN108"/>
    <mergeCell ref="Y39:Y41"/>
    <mergeCell ref="AD39:AD41"/>
    <mergeCell ref="AI39:AI41"/>
    <mergeCell ref="Z39:AC39"/>
    <mergeCell ref="P38:T38"/>
    <mergeCell ref="U38:Y38"/>
    <mergeCell ref="Z38:AD38"/>
    <mergeCell ref="AE38:AI38"/>
    <mergeCell ref="T39:T41"/>
    <mergeCell ref="U3:Y3"/>
    <mergeCell ref="Z3:AD3"/>
    <mergeCell ref="AE3:AI3"/>
    <mergeCell ref="N37:N38"/>
    <mergeCell ref="O37:O38"/>
    <mergeCell ref="P37:T37"/>
    <mergeCell ref="U37:Y37"/>
    <mergeCell ref="Z37:AD37"/>
    <mergeCell ref="Z2:AD2"/>
    <mergeCell ref="AD4:AD6"/>
    <mergeCell ref="AD7:AD36"/>
    <mergeCell ref="AE2:AI2"/>
    <mergeCell ref="AI4:AI6"/>
    <mergeCell ref="AI7:AI36"/>
    <mergeCell ref="P2:T2"/>
    <mergeCell ref="Z4:AC4"/>
    <mergeCell ref="Z5:AC5"/>
    <mergeCell ref="U2:Y2"/>
    <mergeCell ref="Y4:Y6"/>
    <mergeCell ref="Y7:Y36"/>
    <mergeCell ref="N2:N3"/>
    <mergeCell ref="B2:H3"/>
    <mergeCell ref="B7:B36"/>
    <mergeCell ref="B4:B6"/>
    <mergeCell ref="C4:D6"/>
    <mergeCell ref="H4:H6"/>
    <mergeCell ref="H7:H36"/>
    <mergeCell ref="E5:G5"/>
    <mergeCell ref="M4:M6"/>
    <mergeCell ref="T4:T6"/>
    <mergeCell ref="T7:T36"/>
    <mergeCell ref="N4:N36"/>
    <mergeCell ref="O4:O36"/>
    <mergeCell ref="E4:G4"/>
    <mergeCell ref="O2:O3"/>
    <mergeCell ref="P3:T3"/>
    <mergeCell ref="B177:H178"/>
    <mergeCell ref="N177:N178"/>
    <mergeCell ref="O177:O178"/>
    <mergeCell ref="P177:T177"/>
    <mergeCell ref="U177:Y177"/>
    <mergeCell ref="Z177:AD177"/>
    <mergeCell ref="B179:B181"/>
    <mergeCell ref="C179:D181"/>
    <mergeCell ref="E179:G179"/>
    <mergeCell ref="H179:H181"/>
    <mergeCell ref="I179:K179"/>
    <mergeCell ref="L179:L181"/>
    <mergeCell ref="M179:M181"/>
    <mergeCell ref="N179:N211"/>
    <mergeCell ref="O179:O211"/>
    <mergeCell ref="P179:S179"/>
    <mergeCell ref="T179:T181"/>
    <mergeCell ref="U179:X179"/>
    <mergeCell ref="Y179:Y181"/>
    <mergeCell ref="Z179:AC179"/>
    <mergeCell ref="AD179:AD181"/>
    <mergeCell ref="E180:G180"/>
    <mergeCell ref="I180:K180"/>
    <mergeCell ref="B182:B211"/>
    <mergeCell ref="AE177:AI177"/>
    <mergeCell ref="AJ177:AN177"/>
    <mergeCell ref="AO177:AS177"/>
    <mergeCell ref="AT177:AX177"/>
    <mergeCell ref="P178:T178"/>
    <mergeCell ref="U178:Y178"/>
    <mergeCell ref="Z178:AD178"/>
    <mergeCell ref="AE178:AI178"/>
    <mergeCell ref="AJ178:AN178"/>
    <mergeCell ref="AO178:AS178"/>
    <mergeCell ref="AT178:AX178"/>
    <mergeCell ref="AE179:AH179"/>
    <mergeCell ref="AI179:AI181"/>
    <mergeCell ref="AJ179:AM179"/>
    <mergeCell ref="AN179:AN181"/>
    <mergeCell ref="AO179:AR179"/>
    <mergeCell ref="AS179:AS181"/>
    <mergeCell ref="AT179:AW179"/>
    <mergeCell ref="AX179:AX181"/>
    <mergeCell ref="P180:S180"/>
    <mergeCell ref="U180:X180"/>
    <mergeCell ref="Z180:AC180"/>
    <mergeCell ref="AE180:AH180"/>
    <mergeCell ref="AJ180:AM180"/>
    <mergeCell ref="AO180:AR180"/>
    <mergeCell ref="AT180:AW180"/>
    <mergeCell ref="AX182:AX211"/>
    <mergeCell ref="B213:H214"/>
    <mergeCell ref="B215:B217"/>
    <mergeCell ref="C215:D217"/>
    <mergeCell ref="E215:G215"/>
    <mergeCell ref="H215:H217"/>
    <mergeCell ref="I215:K215"/>
    <mergeCell ref="L215:L217"/>
    <mergeCell ref="M215:M217"/>
    <mergeCell ref="E216:G216"/>
    <mergeCell ref="I216:K216"/>
    <mergeCell ref="H182:H211"/>
    <mergeCell ref="L182:L211"/>
    <mergeCell ref="B218:B247"/>
    <mergeCell ref="H218:H247"/>
    <mergeCell ref="L218:L247"/>
    <mergeCell ref="T182:T211"/>
    <mergeCell ref="Y182:Y211"/>
    <mergeCell ref="AD182:AD211"/>
    <mergeCell ref="AI182:AI211"/>
    <mergeCell ref="AN182:AN211"/>
    <mergeCell ref="AS182:AS211"/>
    <mergeCell ref="BA147:BA176"/>
    <mergeCell ref="BA179:BA181"/>
    <mergeCell ref="BA182:BA211"/>
    <mergeCell ref="BA4:BA6"/>
    <mergeCell ref="BA7:BA36"/>
    <mergeCell ref="BA39:BA41"/>
    <mergeCell ref="BA42:BA71"/>
    <mergeCell ref="BA74:BA76"/>
    <mergeCell ref="BA77:BA106"/>
    <mergeCell ref="BA109:BA111"/>
    <mergeCell ref="BA112:BA141"/>
    <mergeCell ref="BA144:BA146"/>
  </mergeCells>
  <phoneticPr fontId="13" type="noConversion"/>
  <pageMargins left="0.7" right="0.7" top="0.75" bottom="0.75" header="0.3" footer="0.3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A1:BA142"/>
  <sheetViews>
    <sheetView zoomScale="55" zoomScaleNormal="55" workbookViewId="0">
      <pane xSplit="15" topLeftCell="P1" activePane="topRight" state="frozen"/>
      <selection activeCell="T7" activeCellId="4" sqref="AM7:AN36 AH7:AI36 AC7:AD36 X7:Y36 S7:T36"/>
      <selection pane="topRight" activeCell="T7" sqref="S7:T21"/>
    </sheetView>
  </sheetViews>
  <sheetFormatPr defaultColWidth="8.85546875" defaultRowHeight="12.75"/>
  <cols>
    <col min="1" max="1" width="5.5703125" style="107" customWidth="1"/>
    <col min="2" max="2" width="12.42578125" style="107" customWidth="1"/>
    <col min="3" max="3" width="8.85546875" style="106"/>
    <col min="4" max="4" width="26.42578125" style="106" customWidth="1"/>
    <col min="5" max="7" width="8.42578125" style="106" customWidth="1"/>
    <col min="8" max="8" width="11.140625" style="106" bestFit="1" customWidth="1"/>
    <col min="9" max="12" width="11.140625" style="106" customWidth="1"/>
    <col min="13" max="13" width="13.5703125" style="106" customWidth="1"/>
    <col min="14" max="14" width="9.85546875" style="106" customWidth="1"/>
    <col min="15" max="15" width="7.140625" style="106" customWidth="1"/>
    <col min="16" max="18" width="12.85546875" style="106" customWidth="1"/>
    <col min="19" max="19" width="5.42578125" style="106" customWidth="1"/>
    <col min="20" max="20" width="12.85546875" style="106" customWidth="1"/>
    <col min="21" max="23" width="12.85546875" style="107" customWidth="1"/>
    <col min="24" max="24" width="5.42578125" style="106" customWidth="1"/>
    <col min="25" max="28" width="12.85546875" style="107" customWidth="1"/>
    <col min="29" max="29" width="5.42578125" style="106" customWidth="1"/>
    <col min="30" max="30" width="12.85546875" style="107" customWidth="1"/>
    <col min="31" max="33" width="12.5703125" style="107" customWidth="1"/>
    <col min="34" max="34" width="5.42578125" style="106" customWidth="1"/>
    <col min="35" max="35" width="13" style="107" customWidth="1"/>
    <col min="36" max="38" width="12.5703125" style="107" customWidth="1"/>
    <col min="39" max="39" width="5.42578125" style="106" customWidth="1"/>
    <col min="40" max="40" width="13" style="107" customWidth="1"/>
    <col min="41" max="43" width="13.140625" style="107" customWidth="1"/>
    <col min="44" max="44" width="5.42578125" style="107" customWidth="1"/>
    <col min="45" max="48" width="13.140625" style="107" customWidth="1"/>
    <col min="49" max="49" width="5.42578125" style="107" customWidth="1"/>
    <col min="50" max="50" width="13.140625" style="107" customWidth="1"/>
    <col min="51" max="51" width="8.85546875" style="107"/>
    <col min="52" max="52" width="5.42578125" style="107" customWidth="1"/>
    <col min="53" max="53" width="13.140625" style="107" customWidth="1"/>
    <col min="54" max="16384" width="8.85546875" style="107"/>
  </cols>
  <sheetData>
    <row r="1" spans="1:53" ht="24">
      <c r="A1" s="75"/>
      <c r="B1" s="220" t="s">
        <v>313</v>
      </c>
      <c r="C1" s="219">
        <f>AVERAGE(L7,L27,L47,L87,L87,L107)</f>
        <v>136.67199863974548</v>
      </c>
    </row>
    <row r="2" spans="1:53" ht="15.75">
      <c r="A2" s="81"/>
      <c r="B2" s="671" t="s">
        <v>162</v>
      </c>
      <c r="C2" s="671"/>
      <c r="D2" s="671"/>
      <c r="E2" s="671"/>
      <c r="F2" s="671"/>
      <c r="G2" s="671"/>
      <c r="H2" s="671"/>
      <c r="I2" s="284"/>
      <c r="J2" s="284"/>
      <c r="K2" s="284"/>
      <c r="L2" s="284"/>
      <c r="M2" s="196"/>
      <c r="N2" s="645" t="s">
        <v>156</v>
      </c>
      <c r="O2" s="645" t="s">
        <v>155</v>
      </c>
      <c r="P2" s="670">
        <v>46266</v>
      </c>
      <c r="Q2" s="649"/>
      <c r="R2" s="649"/>
      <c r="S2" s="649"/>
      <c r="T2" s="649"/>
      <c r="U2" s="667">
        <f>P2+1</f>
        <v>46267</v>
      </c>
      <c r="V2" s="668"/>
      <c r="W2" s="668"/>
      <c r="X2" s="668"/>
      <c r="Y2" s="669"/>
      <c r="Z2" s="667">
        <f>U2+1</f>
        <v>46268</v>
      </c>
      <c r="AA2" s="668"/>
      <c r="AB2" s="668"/>
      <c r="AC2" s="668"/>
      <c r="AD2" s="669"/>
      <c r="AE2" s="667">
        <f>Z2+1</f>
        <v>46269</v>
      </c>
      <c r="AF2" s="668"/>
      <c r="AG2" s="668"/>
      <c r="AH2" s="668"/>
      <c r="AI2" s="669"/>
      <c r="AJ2" s="667">
        <f>AE2+1</f>
        <v>46270</v>
      </c>
      <c r="AK2" s="668"/>
      <c r="AL2" s="668"/>
      <c r="AM2" s="668"/>
      <c r="AN2" s="669"/>
      <c r="AO2" s="667">
        <f>AJ2+1</f>
        <v>46271</v>
      </c>
      <c r="AP2" s="668"/>
      <c r="AQ2" s="668"/>
      <c r="AR2" s="668"/>
      <c r="AS2" s="669"/>
      <c r="AT2" s="667">
        <f>AO2+1</f>
        <v>46272</v>
      </c>
      <c r="AU2" s="668"/>
      <c r="AV2" s="668"/>
      <c r="AW2" s="668"/>
      <c r="AX2" s="669"/>
    </row>
    <row r="3" spans="1:53" ht="15.75">
      <c r="A3" s="81"/>
      <c r="B3" s="715"/>
      <c r="C3" s="715"/>
      <c r="D3" s="715"/>
      <c r="E3" s="715"/>
      <c r="F3" s="715"/>
      <c r="G3" s="715"/>
      <c r="H3" s="715"/>
      <c r="I3" s="285"/>
      <c r="J3" s="285"/>
      <c r="K3" s="285"/>
      <c r="L3" s="285"/>
      <c r="M3" s="197"/>
      <c r="N3" s="647"/>
      <c r="O3" s="647"/>
      <c r="P3" s="670" t="s">
        <v>158</v>
      </c>
      <c r="Q3" s="649"/>
      <c r="R3" s="649"/>
      <c r="S3" s="649"/>
      <c r="T3" s="649"/>
      <c r="U3" s="670" t="s">
        <v>114</v>
      </c>
      <c r="V3" s="649"/>
      <c r="W3" s="649"/>
      <c r="X3" s="649"/>
      <c r="Y3" s="649"/>
      <c r="Z3" s="670" t="s">
        <v>159</v>
      </c>
      <c r="AA3" s="649"/>
      <c r="AB3" s="649"/>
      <c r="AC3" s="649"/>
      <c r="AD3" s="649"/>
      <c r="AE3" s="670" t="s">
        <v>157</v>
      </c>
      <c r="AF3" s="649"/>
      <c r="AG3" s="649"/>
      <c r="AH3" s="649"/>
      <c r="AI3" s="649"/>
      <c r="AJ3" s="670" t="s">
        <v>160</v>
      </c>
      <c r="AK3" s="649"/>
      <c r="AL3" s="649"/>
      <c r="AM3" s="649"/>
      <c r="AN3" s="649"/>
      <c r="AO3" s="670" t="s">
        <v>115</v>
      </c>
      <c r="AP3" s="649"/>
      <c r="AQ3" s="649"/>
      <c r="AR3" s="649"/>
      <c r="AS3" s="649"/>
      <c r="AT3" s="670" t="s">
        <v>161</v>
      </c>
      <c r="AU3" s="649"/>
      <c r="AV3" s="649"/>
      <c r="AW3" s="649"/>
      <c r="AX3" s="649"/>
    </row>
    <row r="4" spans="1:53" ht="14.25">
      <c r="A4" s="81"/>
      <c r="B4" s="643" t="s">
        <v>535</v>
      </c>
      <c r="C4" s="643" t="s">
        <v>372</v>
      </c>
      <c r="D4" s="643"/>
      <c r="E4" s="643" t="s">
        <v>363</v>
      </c>
      <c r="F4" s="643"/>
      <c r="G4" s="643"/>
      <c r="H4" s="675" t="s">
        <v>359</v>
      </c>
      <c r="I4" s="643" t="s">
        <v>364</v>
      </c>
      <c r="J4" s="643"/>
      <c r="K4" s="643"/>
      <c r="L4" s="675" t="s">
        <v>359</v>
      </c>
      <c r="M4" s="645" t="s">
        <v>360</v>
      </c>
      <c r="N4" s="643"/>
      <c r="O4" s="643" t="s">
        <v>365</v>
      </c>
      <c r="P4" s="661" t="s">
        <v>361</v>
      </c>
      <c r="Q4" s="662"/>
      <c r="R4" s="662"/>
      <c r="S4" s="663"/>
      <c r="T4" s="645" t="s">
        <v>359</v>
      </c>
      <c r="U4" s="661" t="s">
        <v>361</v>
      </c>
      <c r="V4" s="662"/>
      <c r="W4" s="662"/>
      <c r="X4" s="663"/>
      <c r="Y4" s="645" t="s">
        <v>359</v>
      </c>
      <c r="Z4" s="661" t="s">
        <v>361</v>
      </c>
      <c r="AA4" s="662"/>
      <c r="AB4" s="662"/>
      <c r="AC4" s="663"/>
      <c r="AD4" s="645" t="s">
        <v>359</v>
      </c>
      <c r="AE4" s="661" t="s">
        <v>361</v>
      </c>
      <c r="AF4" s="662"/>
      <c r="AG4" s="662"/>
      <c r="AH4" s="663"/>
      <c r="AI4" s="643" t="s">
        <v>359</v>
      </c>
      <c r="AJ4" s="661" t="s">
        <v>361</v>
      </c>
      <c r="AK4" s="662"/>
      <c r="AL4" s="662"/>
      <c r="AM4" s="663"/>
      <c r="AN4" s="643" t="s">
        <v>359</v>
      </c>
      <c r="AO4" s="661" t="s">
        <v>361</v>
      </c>
      <c r="AP4" s="662"/>
      <c r="AQ4" s="662"/>
      <c r="AR4" s="663"/>
      <c r="AS4" s="643" t="s">
        <v>359</v>
      </c>
      <c r="AT4" s="661" t="s">
        <v>361</v>
      </c>
      <c r="AU4" s="662"/>
      <c r="AV4" s="662"/>
      <c r="AW4" s="663"/>
      <c r="AX4" s="643" t="s">
        <v>359</v>
      </c>
      <c r="BA4" s="643" t="s">
        <v>359</v>
      </c>
    </row>
    <row r="5" spans="1:53" ht="14.25">
      <c r="A5" s="81"/>
      <c r="B5" s="643"/>
      <c r="C5" s="643"/>
      <c r="D5" s="643"/>
      <c r="E5" s="643" t="s">
        <v>366</v>
      </c>
      <c r="F5" s="643"/>
      <c r="G5" s="643"/>
      <c r="H5" s="676"/>
      <c r="I5" s="643" t="s">
        <v>366</v>
      </c>
      <c r="J5" s="643"/>
      <c r="K5" s="643"/>
      <c r="L5" s="676"/>
      <c r="M5" s="646"/>
      <c r="N5" s="643"/>
      <c r="O5" s="643"/>
      <c r="P5" s="661" t="s">
        <v>367</v>
      </c>
      <c r="Q5" s="662"/>
      <c r="R5" s="662"/>
      <c r="S5" s="663"/>
      <c r="T5" s="646"/>
      <c r="U5" s="661" t="s">
        <v>367</v>
      </c>
      <c r="V5" s="662"/>
      <c r="W5" s="662"/>
      <c r="X5" s="663"/>
      <c r="Y5" s="646"/>
      <c r="Z5" s="661" t="s">
        <v>367</v>
      </c>
      <c r="AA5" s="662"/>
      <c r="AB5" s="662"/>
      <c r="AC5" s="663"/>
      <c r="AD5" s="646"/>
      <c r="AE5" s="661" t="s">
        <v>367</v>
      </c>
      <c r="AF5" s="662"/>
      <c r="AG5" s="662"/>
      <c r="AH5" s="663"/>
      <c r="AI5" s="643"/>
      <c r="AJ5" s="661" t="s">
        <v>367</v>
      </c>
      <c r="AK5" s="662"/>
      <c r="AL5" s="662"/>
      <c r="AM5" s="663"/>
      <c r="AN5" s="643"/>
      <c r="AO5" s="661" t="s">
        <v>367</v>
      </c>
      <c r="AP5" s="662"/>
      <c r="AQ5" s="662"/>
      <c r="AR5" s="663"/>
      <c r="AS5" s="643"/>
      <c r="AT5" s="661" t="s">
        <v>367</v>
      </c>
      <c r="AU5" s="662"/>
      <c r="AV5" s="662"/>
      <c r="AW5" s="663"/>
      <c r="AX5" s="643"/>
      <c r="BA5" s="643"/>
    </row>
    <row r="6" spans="1:53" ht="14.25">
      <c r="A6" s="79"/>
      <c r="B6" s="643"/>
      <c r="C6" s="643"/>
      <c r="D6" s="643"/>
      <c r="E6" s="525" t="s">
        <v>368</v>
      </c>
      <c r="F6" s="525" t="s">
        <v>369</v>
      </c>
      <c r="G6" s="525" t="s">
        <v>370</v>
      </c>
      <c r="H6" s="677"/>
      <c r="I6" s="525" t="s">
        <v>368</v>
      </c>
      <c r="J6" s="525" t="s">
        <v>369</v>
      </c>
      <c r="K6" s="525" t="s">
        <v>370</v>
      </c>
      <c r="L6" s="677"/>
      <c r="M6" s="647"/>
      <c r="N6" s="643"/>
      <c r="O6" s="643"/>
      <c r="P6" s="525" t="s">
        <v>368</v>
      </c>
      <c r="Q6" s="525" t="s">
        <v>369</v>
      </c>
      <c r="R6" s="525" t="s">
        <v>370</v>
      </c>
      <c r="S6" s="525" t="s">
        <v>360</v>
      </c>
      <c r="T6" s="647"/>
      <c r="U6" s="525" t="s">
        <v>368</v>
      </c>
      <c r="V6" s="525" t="s">
        <v>369</v>
      </c>
      <c r="W6" s="525" t="s">
        <v>370</v>
      </c>
      <c r="X6" s="525" t="s">
        <v>360</v>
      </c>
      <c r="Y6" s="647"/>
      <c r="Z6" s="525" t="s">
        <v>368</v>
      </c>
      <c r="AA6" s="525" t="s">
        <v>369</v>
      </c>
      <c r="AB6" s="525" t="s">
        <v>370</v>
      </c>
      <c r="AC6" s="525" t="s">
        <v>360</v>
      </c>
      <c r="AD6" s="647"/>
      <c r="AE6" s="525" t="s">
        <v>368</v>
      </c>
      <c r="AF6" s="525" t="s">
        <v>369</v>
      </c>
      <c r="AG6" s="525" t="s">
        <v>370</v>
      </c>
      <c r="AH6" s="525" t="s">
        <v>360</v>
      </c>
      <c r="AI6" s="643"/>
      <c r="AJ6" s="525" t="s">
        <v>368</v>
      </c>
      <c r="AK6" s="525" t="s">
        <v>369</v>
      </c>
      <c r="AL6" s="525" t="s">
        <v>370</v>
      </c>
      <c r="AM6" s="525" t="s">
        <v>360</v>
      </c>
      <c r="AN6" s="643"/>
      <c r="AO6" s="525" t="s">
        <v>368</v>
      </c>
      <c r="AP6" s="525" t="s">
        <v>369</v>
      </c>
      <c r="AQ6" s="525" t="s">
        <v>370</v>
      </c>
      <c r="AR6" s="525" t="s">
        <v>360</v>
      </c>
      <c r="AS6" s="643"/>
      <c r="AT6" s="525" t="s">
        <v>368</v>
      </c>
      <c r="AU6" s="525" t="s">
        <v>369</v>
      </c>
      <c r="AV6" s="525" t="s">
        <v>370</v>
      </c>
      <c r="AW6" s="525" t="s">
        <v>360</v>
      </c>
      <c r="AX6" s="643"/>
      <c r="AZ6" s="373" t="s">
        <v>360</v>
      </c>
      <c r="BA6" s="643"/>
    </row>
    <row r="7" spans="1:53" ht="14.25">
      <c r="A7" s="81"/>
      <c r="B7" s="701" t="s">
        <v>536</v>
      </c>
      <c r="C7" s="528">
        <v>1</v>
      </c>
      <c r="D7" s="562" t="s">
        <v>554</v>
      </c>
      <c r="E7" s="563">
        <v>10</v>
      </c>
      <c r="F7" s="563">
        <v>1500</v>
      </c>
      <c r="G7" s="565">
        <v>150</v>
      </c>
      <c r="H7" s="656">
        <f>AVERAGE(G7:G21)</f>
        <v>127.5</v>
      </c>
      <c r="I7" s="529">
        <f t="shared" ref="I7:I21" si="0">IFERROR(AVERAGE(P7,U7,Z7,AE7,AJ7,AO7,AT7),"-")</f>
        <v>10</v>
      </c>
      <c r="J7" s="529">
        <f t="shared" ref="J7:J21" si="1">IFERROR(AVERAGE(Q7,V7,AA7,AF7,AK7,AP7,AU7),"-")</f>
        <v>1410.2337662337652</v>
      </c>
      <c r="K7" s="199">
        <f t="shared" ref="K7:K21" si="2">IFERROR(AVERAGE(R7,W7,AB7,AG7,AL7,AQ7,AV7),"-")</f>
        <v>141.02337662337655</v>
      </c>
      <c r="L7" s="658">
        <f>IFERROR(AVERAGE(K7:K21),"-")</f>
        <v>136.67199863974548</v>
      </c>
      <c r="M7" s="510">
        <f>RANK(K7, K$7:$K$21)</f>
        <v>1</v>
      </c>
      <c r="N7" s="643"/>
      <c r="O7" s="643"/>
      <c r="P7" s="576">
        <v>10</v>
      </c>
      <c r="Q7" s="578">
        <v>1423.6363636363626</v>
      </c>
      <c r="R7" s="578">
        <v>142.36363636363626</v>
      </c>
      <c r="S7" s="576">
        <f t="shared" ref="S7:S21" si="3">RANK(R7, R$7:R$21)</f>
        <v>2</v>
      </c>
      <c r="T7" s="700">
        <f t="shared" ref="T7" si="4">AVERAGE(R7:R21)</f>
        <v>139.36468531468543</v>
      </c>
      <c r="U7" s="576">
        <v>10</v>
      </c>
      <c r="V7" s="578">
        <v>1519.2000000000005</v>
      </c>
      <c r="W7" s="578">
        <v>151.92000000000004</v>
      </c>
      <c r="X7" s="576">
        <f t="shared" ref="X7:X21" si="5">RANK(W7, W$7:W$21)</f>
        <v>1</v>
      </c>
      <c r="Y7" s="700">
        <f t="shared" ref="Y7" si="6">AVERAGE(W7:W21)</f>
        <v>141.70182554287831</v>
      </c>
      <c r="Z7" s="576">
        <v>10</v>
      </c>
      <c r="AA7" s="578">
        <v>1468.7999999999981</v>
      </c>
      <c r="AB7" s="578">
        <v>146.87999999999982</v>
      </c>
      <c r="AC7" s="576">
        <f t="shared" ref="AC7:AC21" si="7">RANK(AB7, AB$7:AB$21)</f>
        <v>1</v>
      </c>
      <c r="AD7" s="700">
        <f t="shared" ref="AD7" si="8">AVERAGE(AB7:AB21)</f>
        <v>133.00962701183997</v>
      </c>
      <c r="AE7" s="576">
        <v>10</v>
      </c>
      <c r="AF7" s="578">
        <v>1372</v>
      </c>
      <c r="AG7" s="578">
        <v>137.19999999999999</v>
      </c>
      <c r="AH7" s="576">
        <f t="shared" ref="AH7:AH21" si="9">RANK(AG7, AG$7:AG$21)</f>
        <v>1</v>
      </c>
      <c r="AI7" s="700">
        <f t="shared" ref="AI7" si="10">AVERAGE(AG7:AG21)</f>
        <v>129.63272058823532</v>
      </c>
      <c r="AJ7" s="576">
        <v>10</v>
      </c>
      <c r="AK7" s="578">
        <v>1484.9999999999964</v>
      </c>
      <c r="AL7" s="578">
        <v>148.49999999999963</v>
      </c>
      <c r="AM7" s="576">
        <f t="shared" ref="AM7:AM21" si="11">RANK(AL7, AL$7:AL$21)</f>
        <v>1</v>
      </c>
      <c r="AN7" s="700">
        <f t="shared" ref="AN7" si="12">AVERAGE(AL7:AL21)</f>
        <v>134.36708144796356</v>
      </c>
      <c r="AO7" s="576">
        <v>10</v>
      </c>
      <c r="AP7" s="578">
        <v>1319.9999999999993</v>
      </c>
      <c r="AQ7" s="578">
        <v>131.99999999999994</v>
      </c>
      <c r="AR7" s="576">
        <f t="shared" ref="AR7:AR21" si="13">RANK(AQ7, AQ$7:AQ$21)</f>
        <v>3</v>
      </c>
      <c r="AS7" s="700">
        <f t="shared" ref="AS7" si="14">AVERAGE(AQ7:AQ21)</f>
        <v>133.94698996655507</v>
      </c>
      <c r="AT7" s="576">
        <v>10</v>
      </c>
      <c r="AU7" s="578">
        <v>1282.9999999999993</v>
      </c>
      <c r="AV7" s="578">
        <v>128.29999999999993</v>
      </c>
      <c r="AW7" s="576">
        <f t="shared" ref="AW7:AW21" si="15">RANK(AV7, AV$7:AV$21)</f>
        <v>4</v>
      </c>
      <c r="AX7" s="700">
        <f t="shared" ref="AX7" si="16">AVERAGE(AV7:AV21)</f>
        <v>144.6810606060607</v>
      </c>
      <c r="AZ7" s="372" t="e">
        <f t="shared" ref="AZ7:AZ21" si="17">RANK(AY7, AY$7:AY$21)</f>
        <v>#N/A</v>
      </c>
      <c r="BA7" s="700" t="e">
        <f t="shared" ref="BA7" si="18">AVERAGE(AY7:AY21)</f>
        <v>#DIV/0!</v>
      </c>
    </row>
    <row r="8" spans="1:53" ht="15" customHeight="1">
      <c r="A8" s="81"/>
      <c r="B8" s="678"/>
      <c r="C8" s="528">
        <v>2</v>
      </c>
      <c r="D8" s="563" t="s">
        <v>569</v>
      </c>
      <c r="E8" s="563">
        <v>15</v>
      </c>
      <c r="F8" s="563">
        <v>1800</v>
      </c>
      <c r="G8" s="565">
        <v>120</v>
      </c>
      <c r="H8" s="657"/>
      <c r="I8" s="529">
        <f t="shared" si="0"/>
        <v>13.285714285714286</v>
      </c>
      <c r="J8" s="529">
        <f t="shared" si="1"/>
        <v>1798.2627457395718</v>
      </c>
      <c r="K8" s="199">
        <f t="shared" si="2"/>
        <v>135.49600095150677</v>
      </c>
      <c r="L8" s="659"/>
      <c r="M8" s="510">
        <f>RANK(K8, K$7:$K$21)</f>
        <v>2</v>
      </c>
      <c r="N8" s="643"/>
      <c r="O8" s="643"/>
      <c r="P8" s="576">
        <v>13</v>
      </c>
      <c r="Q8" s="578">
        <v>1783.6363636363633</v>
      </c>
      <c r="R8" s="578">
        <v>137.20279720279717</v>
      </c>
      <c r="S8" s="576">
        <f t="shared" si="3"/>
        <v>3</v>
      </c>
      <c r="T8" s="700"/>
      <c r="U8" s="576">
        <v>13</v>
      </c>
      <c r="V8" s="578">
        <v>1782.5454545454543</v>
      </c>
      <c r="W8" s="578">
        <v>137.11888111888109</v>
      </c>
      <c r="X8" s="576">
        <f t="shared" si="5"/>
        <v>3</v>
      </c>
      <c r="Y8" s="700"/>
      <c r="Z8" s="576">
        <v>14</v>
      </c>
      <c r="AA8" s="578">
        <v>1788.7850467289718</v>
      </c>
      <c r="AB8" s="578">
        <v>127.77036048064085</v>
      </c>
      <c r="AC8" s="576">
        <f t="shared" si="7"/>
        <v>4</v>
      </c>
      <c r="AD8" s="700"/>
      <c r="AE8" s="576">
        <v>14</v>
      </c>
      <c r="AF8" s="578">
        <v>1819.0588235294097</v>
      </c>
      <c r="AG8" s="578">
        <v>129.93277310924356</v>
      </c>
      <c r="AH8" s="576">
        <f t="shared" si="9"/>
        <v>2</v>
      </c>
      <c r="AI8" s="700"/>
      <c r="AJ8" s="576">
        <v>13</v>
      </c>
      <c r="AK8" s="578">
        <v>1774.5882352941155</v>
      </c>
      <c r="AL8" s="578">
        <v>136.50678733031657</v>
      </c>
      <c r="AM8" s="576">
        <f t="shared" si="11"/>
        <v>3</v>
      </c>
      <c r="AN8" s="700"/>
      <c r="AO8" s="576">
        <v>13</v>
      </c>
      <c r="AP8" s="578">
        <v>1789.0434782608697</v>
      </c>
      <c r="AQ8" s="578">
        <v>137.61872909698997</v>
      </c>
      <c r="AR8" s="576">
        <f t="shared" si="13"/>
        <v>2</v>
      </c>
      <c r="AS8" s="700"/>
      <c r="AT8" s="576">
        <v>13</v>
      </c>
      <c r="AU8" s="578">
        <v>1850.1818181818167</v>
      </c>
      <c r="AV8" s="578">
        <v>142.32167832167821</v>
      </c>
      <c r="AW8" s="576">
        <f t="shared" si="15"/>
        <v>3</v>
      </c>
      <c r="AX8" s="700"/>
      <c r="AZ8" s="372" t="e">
        <f t="shared" si="17"/>
        <v>#N/A</v>
      </c>
      <c r="BA8" s="700"/>
    </row>
    <row r="9" spans="1:53" ht="14.25">
      <c r="A9" s="81"/>
      <c r="B9" s="678"/>
      <c r="C9" s="528">
        <v>3</v>
      </c>
      <c r="D9" s="563" t="s">
        <v>570</v>
      </c>
      <c r="E9" s="563">
        <v>15</v>
      </c>
      <c r="F9" s="563">
        <v>1800</v>
      </c>
      <c r="G9" s="565">
        <v>120</v>
      </c>
      <c r="H9" s="657"/>
      <c r="I9" s="529">
        <f t="shared" si="0"/>
        <v>13.285714285714286</v>
      </c>
      <c r="J9" s="529">
        <f t="shared" si="1"/>
        <v>1792.3152675645154</v>
      </c>
      <c r="K9" s="199">
        <f t="shared" si="2"/>
        <v>135.08650875619185</v>
      </c>
      <c r="L9" s="659"/>
      <c r="M9" s="510">
        <f>RANK(K9, K$7:$K$21)</f>
        <v>3</v>
      </c>
      <c r="N9" s="643"/>
      <c r="O9" s="643"/>
      <c r="P9" s="576">
        <v>13</v>
      </c>
      <c r="Q9" s="578">
        <v>1699.8000000000006</v>
      </c>
      <c r="R9" s="578">
        <v>130.75384615384621</v>
      </c>
      <c r="S9" s="576">
        <f t="shared" si="3"/>
        <v>4</v>
      </c>
      <c r="T9" s="700"/>
      <c r="U9" s="576">
        <v>13</v>
      </c>
      <c r="V9" s="578">
        <v>1779.7894736842109</v>
      </c>
      <c r="W9" s="578">
        <v>136.90688259109314</v>
      </c>
      <c r="X9" s="576">
        <f t="shared" si="5"/>
        <v>4</v>
      </c>
      <c r="Y9" s="700"/>
      <c r="Z9" s="576">
        <v>14</v>
      </c>
      <c r="AA9" s="578">
        <v>1805.934065934063</v>
      </c>
      <c r="AB9" s="578">
        <v>128.99529042386163</v>
      </c>
      <c r="AC9" s="576">
        <f t="shared" si="7"/>
        <v>2</v>
      </c>
      <c r="AD9" s="700"/>
      <c r="AE9" s="576">
        <v>14</v>
      </c>
      <c r="AF9" s="578">
        <v>1740.7499999999977</v>
      </c>
      <c r="AG9" s="578">
        <v>124.33928571428555</v>
      </c>
      <c r="AH9" s="576">
        <f t="shared" si="9"/>
        <v>4</v>
      </c>
      <c r="AI9" s="700"/>
      <c r="AJ9" s="576">
        <v>13</v>
      </c>
      <c r="AK9" s="578">
        <v>1800.0000000000007</v>
      </c>
      <c r="AL9" s="578">
        <v>138.46153846153851</v>
      </c>
      <c r="AM9" s="576">
        <f t="shared" si="11"/>
        <v>2</v>
      </c>
      <c r="AN9" s="700"/>
      <c r="AO9" s="576">
        <v>13</v>
      </c>
      <c r="AP9" s="578">
        <v>1794.6000000000004</v>
      </c>
      <c r="AQ9" s="578">
        <v>138.04615384615389</v>
      </c>
      <c r="AR9" s="576">
        <f t="shared" si="13"/>
        <v>1</v>
      </c>
      <c r="AS9" s="700"/>
      <c r="AT9" s="576">
        <v>13</v>
      </c>
      <c r="AU9" s="578">
        <v>1925.3333333333333</v>
      </c>
      <c r="AV9" s="578">
        <v>148.10256410256409</v>
      </c>
      <c r="AW9" s="576">
        <f t="shared" si="15"/>
        <v>2</v>
      </c>
      <c r="AX9" s="700"/>
      <c r="AZ9" s="372" t="e">
        <f t="shared" si="17"/>
        <v>#N/A</v>
      </c>
      <c r="BA9" s="700"/>
    </row>
    <row r="10" spans="1:53" ht="14.25">
      <c r="A10" s="81"/>
      <c r="B10" s="678"/>
      <c r="C10" s="528">
        <v>4</v>
      </c>
      <c r="D10" s="563" t="s">
        <v>663</v>
      </c>
      <c r="E10" s="563">
        <v>18</v>
      </c>
      <c r="F10" s="563">
        <v>1800</v>
      </c>
      <c r="G10" s="565">
        <v>120</v>
      </c>
      <c r="H10" s="657"/>
      <c r="I10" s="529">
        <f t="shared" si="0"/>
        <v>13.285714285714286</v>
      </c>
      <c r="J10" s="529">
        <f t="shared" si="1"/>
        <v>1792.5605042016837</v>
      </c>
      <c r="K10" s="199">
        <f t="shared" si="2"/>
        <v>135.08210822790676</v>
      </c>
      <c r="L10" s="659"/>
      <c r="M10" s="510">
        <f>RANK(K10, K$7:$K$21)</f>
        <v>4</v>
      </c>
      <c r="N10" s="643"/>
      <c r="O10" s="643"/>
      <c r="P10" s="576">
        <v>13</v>
      </c>
      <c r="Q10" s="578">
        <v>1912.8000000000068</v>
      </c>
      <c r="R10" s="578">
        <v>147.13846153846205</v>
      </c>
      <c r="S10" s="576">
        <f t="shared" si="3"/>
        <v>1</v>
      </c>
      <c r="T10" s="700"/>
      <c r="U10" s="576">
        <v>13</v>
      </c>
      <c r="V10" s="578">
        <v>1831.2000000000066</v>
      </c>
      <c r="W10" s="578">
        <v>140.86153846153897</v>
      </c>
      <c r="X10" s="576">
        <f t="shared" si="5"/>
        <v>2</v>
      </c>
      <c r="Y10" s="700"/>
      <c r="Z10" s="576">
        <v>14</v>
      </c>
      <c r="AA10" s="578">
        <v>1797.5000000000064</v>
      </c>
      <c r="AB10" s="578">
        <v>128.39285714285759</v>
      </c>
      <c r="AC10" s="576">
        <f t="shared" si="7"/>
        <v>3</v>
      </c>
      <c r="AD10" s="700"/>
      <c r="AE10" s="576">
        <v>14</v>
      </c>
      <c r="AF10" s="578">
        <v>1778.823529411771</v>
      </c>
      <c r="AG10" s="578">
        <v>127.05882352941221</v>
      </c>
      <c r="AH10" s="576">
        <f t="shared" si="9"/>
        <v>3</v>
      </c>
      <c r="AI10" s="700"/>
      <c r="AJ10" s="576">
        <v>13</v>
      </c>
      <c r="AK10" s="578">
        <v>1481.9999999999934</v>
      </c>
      <c r="AL10" s="578">
        <v>113.99999999999949</v>
      </c>
      <c r="AM10" s="576">
        <f t="shared" si="11"/>
        <v>4</v>
      </c>
      <c r="AN10" s="700"/>
      <c r="AO10" s="576">
        <v>13</v>
      </c>
      <c r="AP10" s="578">
        <v>1665.5999999999951</v>
      </c>
      <c r="AQ10" s="578">
        <v>128.12307692307655</v>
      </c>
      <c r="AR10" s="576">
        <f t="shared" si="13"/>
        <v>4</v>
      </c>
      <c r="AS10" s="700"/>
      <c r="AT10" s="576">
        <v>13</v>
      </c>
      <c r="AU10" s="578">
        <v>2080.0000000000077</v>
      </c>
      <c r="AV10" s="578">
        <v>160.0000000000006</v>
      </c>
      <c r="AW10" s="576">
        <f t="shared" si="15"/>
        <v>1</v>
      </c>
      <c r="AX10" s="700"/>
      <c r="AZ10" s="372" t="e">
        <f t="shared" si="17"/>
        <v>#N/A</v>
      </c>
      <c r="BA10" s="700"/>
    </row>
    <row r="11" spans="1:53" ht="14.25">
      <c r="A11" s="81"/>
      <c r="B11" s="678"/>
      <c r="C11" s="528">
        <v>5</v>
      </c>
      <c r="D11" s="563"/>
      <c r="E11" s="563"/>
      <c r="F11" s="563"/>
      <c r="G11" s="565"/>
      <c r="H11" s="657"/>
      <c r="I11" s="529" t="str">
        <f t="shared" si="0"/>
        <v>-</v>
      </c>
      <c r="J11" s="529" t="str">
        <f t="shared" si="1"/>
        <v>-</v>
      </c>
      <c r="K11" s="199" t="str">
        <f t="shared" si="2"/>
        <v>-</v>
      </c>
      <c r="L11" s="659"/>
      <c r="M11" s="510" t="e">
        <f>RANK(K11, K$7:$K$21)</f>
        <v>#VALUE!</v>
      </c>
      <c r="N11" s="643"/>
      <c r="O11" s="643"/>
      <c r="P11" s="576" t="s">
        <v>564</v>
      </c>
      <c r="Q11" s="578" t="s">
        <v>564</v>
      </c>
      <c r="R11" s="578" t="s">
        <v>564</v>
      </c>
      <c r="S11" s="576" t="e">
        <f t="shared" si="3"/>
        <v>#VALUE!</v>
      </c>
      <c r="T11" s="700"/>
      <c r="U11" s="576" t="s">
        <v>564</v>
      </c>
      <c r="V11" s="578" t="s">
        <v>564</v>
      </c>
      <c r="W11" s="578" t="s">
        <v>564</v>
      </c>
      <c r="X11" s="576" t="e">
        <f t="shared" si="5"/>
        <v>#VALUE!</v>
      </c>
      <c r="Y11" s="700"/>
      <c r="Z11" s="576" t="s">
        <v>564</v>
      </c>
      <c r="AA11" s="578" t="s">
        <v>564</v>
      </c>
      <c r="AB11" s="578" t="s">
        <v>564</v>
      </c>
      <c r="AC11" s="576" t="e">
        <f t="shared" si="7"/>
        <v>#VALUE!</v>
      </c>
      <c r="AD11" s="700"/>
      <c r="AE11" s="576" t="s">
        <v>564</v>
      </c>
      <c r="AF11" s="578" t="s">
        <v>564</v>
      </c>
      <c r="AG11" s="578" t="s">
        <v>564</v>
      </c>
      <c r="AH11" s="576" t="e">
        <f t="shared" si="9"/>
        <v>#VALUE!</v>
      </c>
      <c r="AI11" s="700"/>
      <c r="AJ11" s="576" t="s">
        <v>564</v>
      </c>
      <c r="AK11" s="578" t="s">
        <v>564</v>
      </c>
      <c r="AL11" s="578" t="s">
        <v>564</v>
      </c>
      <c r="AM11" s="576" t="e">
        <f t="shared" si="11"/>
        <v>#VALUE!</v>
      </c>
      <c r="AN11" s="700"/>
      <c r="AO11" s="576" t="s">
        <v>564</v>
      </c>
      <c r="AP11" s="578" t="s">
        <v>564</v>
      </c>
      <c r="AQ11" s="578" t="s">
        <v>564</v>
      </c>
      <c r="AR11" s="576" t="e">
        <f t="shared" si="13"/>
        <v>#VALUE!</v>
      </c>
      <c r="AS11" s="700"/>
      <c r="AT11" s="576" t="s">
        <v>564</v>
      </c>
      <c r="AU11" s="578" t="s">
        <v>564</v>
      </c>
      <c r="AV11" s="578" t="s">
        <v>564</v>
      </c>
      <c r="AW11" s="576" t="e">
        <f t="shared" si="15"/>
        <v>#VALUE!</v>
      </c>
      <c r="AX11" s="700"/>
      <c r="AZ11" s="372" t="e">
        <f t="shared" si="17"/>
        <v>#N/A</v>
      </c>
      <c r="BA11" s="700"/>
    </row>
    <row r="12" spans="1:53" ht="14.25">
      <c r="A12" s="81"/>
      <c r="B12" s="678"/>
      <c r="C12" s="528">
        <v>6</v>
      </c>
      <c r="D12" s="563"/>
      <c r="E12" s="563"/>
      <c r="F12" s="563"/>
      <c r="G12" s="565"/>
      <c r="H12" s="657"/>
      <c r="I12" s="529" t="str">
        <f t="shared" si="0"/>
        <v>-</v>
      </c>
      <c r="J12" s="529" t="str">
        <f t="shared" si="1"/>
        <v>-</v>
      </c>
      <c r="K12" s="199" t="str">
        <f t="shared" si="2"/>
        <v>-</v>
      </c>
      <c r="L12" s="659"/>
      <c r="M12" s="510" t="e">
        <f>RANK(K12, K$7:$K$21)</f>
        <v>#VALUE!</v>
      </c>
      <c r="N12" s="643"/>
      <c r="O12" s="643"/>
      <c r="P12" s="576" t="s">
        <v>564</v>
      </c>
      <c r="Q12" s="578" t="s">
        <v>564</v>
      </c>
      <c r="R12" s="578" t="s">
        <v>564</v>
      </c>
      <c r="S12" s="576" t="e">
        <f t="shared" si="3"/>
        <v>#VALUE!</v>
      </c>
      <c r="T12" s="700"/>
      <c r="U12" s="576" t="s">
        <v>564</v>
      </c>
      <c r="V12" s="578" t="s">
        <v>564</v>
      </c>
      <c r="W12" s="578" t="s">
        <v>564</v>
      </c>
      <c r="X12" s="576" t="e">
        <f t="shared" si="5"/>
        <v>#VALUE!</v>
      </c>
      <c r="Y12" s="700"/>
      <c r="Z12" s="576" t="s">
        <v>564</v>
      </c>
      <c r="AA12" s="578" t="s">
        <v>564</v>
      </c>
      <c r="AB12" s="578" t="s">
        <v>564</v>
      </c>
      <c r="AC12" s="576" t="e">
        <f t="shared" si="7"/>
        <v>#VALUE!</v>
      </c>
      <c r="AD12" s="700"/>
      <c r="AE12" s="576" t="s">
        <v>564</v>
      </c>
      <c r="AF12" s="578" t="s">
        <v>564</v>
      </c>
      <c r="AG12" s="578" t="s">
        <v>564</v>
      </c>
      <c r="AH12" s="576" t="e">
        <f t="shared" si="9"/>
        <v>#VALUE!</v>
      </c>
      <c r="AI12" s="700"/>
      <c r="AJ12" s="576" t="s">
        <v>564</v>
      </c>
      <c r="AK12" s="578" t="s">
        <v>564</v>
      </c>
      <c r="AL12" s="578" t="s">
        <v>564</v>
      </c>
      <c r="AM12" s="576" t="e">
        <f t="shared" si="11"/>
        <v>#VALUE!</v>
      </c>
      <c r="AN12" s="700"/>
      <c r="AO12" s="576" t="s">
        <v>564</v>
      </c>
      <c r="AP12" s="578" t="s">
        <v>564</v>
      </c>
      <c r="AQ12" s="578" t="s">
        <v>564</v>
      </c>
      <c r="AR12" s="576" t="e">
        <f t="shared" si="13"/>
        <v>#VALUE!</v>
      </c>
      <c r="AS12" s="700"/>
      <c r="AT12" s="576" t="s">
        <v>564</v>
      </c>
      <c r="AU12" s="578" t="s">
        <v>564</v>
      </c>
      <c r="AV12" s="578" t="s">
        <v>564</v>
      </c>
      <c r="AW12" s="576" t="e">
        <f t="shared" si="15"/>
        <v>#VALUE!</v>
      </c>
      <c r="AX12" s="700"/>
      <c r="AZ12" s="372" t="e">
        <f t="shared" si="17"/>
        <v>#N/A</v>
      </c>
      <c r="BA12" s="700"/>
    </row>
    <row r="13" spans="1:53" ht="14.25">
      <c r="A13" s="81"/>
      <c r="B13" s="678"/>
      <c r="C13" s="528">
        <v>7</v>
      </c>
      <c r="D13" s="563"/>
      <c r="E13" s="563"/>
      <c r="F13" s="563"/>
      <c r="G13" s="565"/>
      <c r="H13" s="657"/>
      <c r="I13" s="529" t="str">
        <f t="shared" si="0"/>
        <v>-</v>
      </c>
      <c r="J13" s="529" t="str">
        <f t="shared" si="1"/>
        <v>-</v>
      </c>
      <c r="K13" s="199" t="str">
        <f t="shared" si="2"/>
        <v>-</v>
      </c>
      <c r="L13" s="659"/>
      <c r="M13" s="510" t="e">
        <f>RANK(K13, K$7:$K$21)</f>
        <v>#VALUE!</v>
      </c>
      <c r="N13" s="643"/>
      <c r="O13" s="643"/>
      <c r="P13" s="576" t="s">
        <v>564</v>
      </c>
      <c r="Q13" s="578" t="s">
        <v>564</v>
      </c>
      <c r="R13" s="578" t="s">
        <v>564</v>
      </c>
      <c r="S13" s="576" t="e">
        <f t="shared" si="3"/>
        <v>#VALUE!</v>
      </c>
      <c r="T13" s="700"/>
      <c r="U13" s="576" t="s">
        <v>564</v>
      </c>
      <c r="V13" s="578" t="s">
        <v>564</v>
      </c>
      <c r="W13" s="578" t="s">
        <v>564</v>
      </c>
      <c r="X13" s="576" t="e">
        <f t="shared" si="5"/>
        <v>#VALUE!</v>
      </c>
      <c r="Y13" s="700"/>
      <c r="Z13" s="576" t="s">
        <v>564</v>
      </c>
      <c r="AA13" s="578" t="s">
        <v>564</v>
      </c>
      <c r="AB13" s="578" t="s">
        <v>564</v>
      </c>
      <c r="AC13" s="576" t="e">
        <f t="shared" si="7"/>
        <v>#VALUE!</v>
      </c>
      <c r="AD13" s="700"/>
      <c r="AE13" s="576" t="s">
        <v>564</v>
      </c>
      <c r="AF13" s="578" t="s">
        <v>564</v>
      </c>
      <c r="AG13" s="578" t="s">
        <v>564</v>
      </c>
      <c r="AH13" s="576" t="e">
        <f t="shared" si="9"/>
        <v>#VALUE!</v>
      </c>
      <c r="AI13" s="700"/>
      <c r="AJ13" s="576" t="s">
        <v>564</v>
      </c>
      <c r="AK13" s="578" t="s">
        <v>564</v>
      </c>
      <c r="AL13" s="578" t="s">
        <v>564</v>
      </c>
      <c r="AM13" s="576" t="e">
        <f t="shared" si="11"/>
        <v>#VALUE!</v>
      </c>
      <c r="AN13" s="700"/>
      <c r="AO13" s="576" t="s">
        <v>564</v>
      </c>
      <c r="AP13" s="578" t="s">
        <v>564</v>
      </c>
      <c r="AQ13" s="578" t="s">
        <v>564</v>
      </c>
      <c r="AR13" s="576" t="e">
        <f t="shared" si="13"/>
        <v>#VALUE!</v>
      </c>
      <c r="AS13" s="700"/>
      <c r="AT13" s="576" t="s">
        <v>564</v>
      </c>
      <c r="AU13" s="578" t="s">
        <v>564</v>
      </c>
      <c r="AV13" s="578" t="s">
        <v>564</v>
      </c>
      <c r="AW13" s="576" t="e">
        <f t="shared" si="15"/>
        <v>#VALUE!</v>
      </c>
      <c r="AX13" s="700"/>
      <c r="AZ13" s="372" t="e">
        <f t="shared" si="17"/>
        <v>#N/A</v>
      </c>
      <c r="BA13" s="700"/>
    </row>
    <row r="14" spans="1:53" ht="14.25">
      <c r="A14" s="81"/>
      <c r="B14" s="678"/>
      <c r="C14" s="528">
        <v>8</v>
      </c>
      <c r="D14" s="563"/>
      <c r="E14" s="563"/>
      <c r="F14" s="563"/>
      <c r="G14" s="565"/>
      <c r="H14" s="657"/>
      <c r="I14" s="529" t="str">
        <f t="shared" si="0"/>
        <v>-</v>
      </c>
      <c r="J14" s="529" t="str">
        <f t="shared" si="1"/>
        <v>-</v>
      </c>
      <c r="K14" s="199" t="str">
        <f t="shared" si="2"/>
        <v>-</v>
      </c>
      <c r="L14" s="659"/>
      <c r="M14" s="510" t="e">
        <f>RANK(K14, K$7:$K$21)</f>
        <v>#VALUE!</v>
      </c>
      <c r="N14" s="643"/>
      <c r="O14" s="643"/>
      <c r="P14" s="576" t="s">
        <v>564</v>
      </c>
      <c r="Q14" s="578" t="s">
        <v>564</v>
      </c>
      <c r="R14" s="578" t="s">
        <v>564</v>
      </c>
      <c r="S14" s="576" t="e">
        <f t="shared" si="3"/>
        <v>#VALUE!</v>
      </c>
      <c r="T14" s="700"/>
      <c r="U14" s="576" t="s">
        <v>564</v>
      </c>
      <c r="V14" s="578" t="s">
        <v>564</v>
      </c>
      <c r="W14" s="578" t="s">
        <v>564</v>
      </c>
      <c r="X14" s="576" t="e">
        <f t="shared" si="5"/>
        <v>#VALUE!</v>
      </c>
      <c r="Y14" s="700"/>
      <c r="Z14" s="576" t="s">
        <v>564</v>
      </c>
      <c r="AA14" s="578" t="s">
        <v>564</v>
      </c>
      <c r="AB14" s="578" t="s">
        <v>564</v>
      </c>
      <c r="AC14" s="576" t="e">
        <f t="shared" si="7"/>
        <v>#VALUE!</v>
      </c>
      <c r="AD14" s="700"/>
      <c r="AE14" s="576" t="s">
        <v>564</v>
      </c>
      <c r="AF14" s="578" t="s">
        <v>564</v>
      </c>
      <c r="AG14" s="578" t="s">
        <v>564</v>
      </c>
      <c r="AH14" s="576" t="e">
        <f t="shared" si="9"/>
        <v>#VALUE!</v>
      </c>
      <c r="AI14" s="700"/>
      <c r="AJ14" s="576" t="s">
        <v>564</v>
      </c>
      <c r="AK14" s="578" t="s">
        <v>564</v>
      </c>
      <c r="AL14" s="578" t="s">
        <v>564</v>
      </c>
      <c r="AM14" s="576" t="e">
        <f t="shared" si="11"/>
        <v>#VALUE!</v>
      </c>
      <c r="AN14" s="700"/>
      <c r="AO14" s="576" t="s">
        <v>564</v>
      </c>
      <c r="AP14" s="578" t="s">
        <v>564</v>
      </c>
      <c r="AQ14" s="578" t="s">
        <v>564</v>
      </c>
      <c r="AR14" s="576" t="e">
        <f t="shared" si="13"/>
        <v>#VALUE!</v>
      </c>
      <c r="AS14" s="700"/>
      <c r="AT14" s="576" t="s">
        <v>564</v>
      </c>
      <c r="AU14" s="578" t="s">
        <v>564</v>
      </c>
      <c r="AV14" s="578" t="s">
        <v>564</v>
      </c>
      <c r="AW14" s="576" t="e">
        <f t="shared" si="15"/>
        <v>#VALUE!</v>
      </c>
      <c r="AX14" s="700"/>
      <c r="AZ14" s="372" t="e">
        <f t="shared" si="17"/>
        <v>#N/A</v>
      </c>
      <c r="BA14" s="700"/>
    </row>
    <row r="15" spans="1:53" ht="14.25">
      <c r="A15" s="81"/>
      <c r="B15" s="678"/>
      <c r="C15" s="528">
        <v>9</v>
      </c>
      <c r="D15" s="563"/>
      <c r="E15" s="563"/>
      <c r="F15" s="563"/>
      <c r="G15" s="565"/>
      <c r="H15" s="657"/>
      <c r="I15" s="529" t="str">
        <f t="shared" si="0"/>
        <v>-</v>
      </c>
      <c r="J15" s="529" t="str">
        <f t="shared" si="1"/>
        <v>-</v>
      </c>
      <c r="K15" s="199" t="str">
        <f t="shared" si="2"/>
        <v>-</v>
      </c>
      <c r="L15" s="659"/>
      <c r="M15" s="510" t="e">
        <f>RANK(K15, K$7:$K$21)</f>
        <v>#VALUE!</v>
      </c>
      <c r="N15" s="643"/>
      <c r="O15" s="643"/>
      <c r="P15" s="576" t="s">
        <v>564</v>
      </c>
      <c r="Q15" s="578" t="s">
        <v>564</v>
      </c>
      <c r="R15" s="578" t="s">
        <v>564</v>
      </c>
      <c r="S15" s="576" t="e">
        <f t="shared" si="3"/>
        <v>#VALUE!</v>
      </c>
      <c r="T15" s="700"/>
      <c r="U15" s="576" t="s">
        <v>564</v>
      </c>
      <c r="V15" s="578" t="s">
        <v>564</v>
      </c>
      <c r="W15" s="578" t="s">
        <v>564</v>
      </c>
      <c r="X15" s="576" t="e">
        <f t="shared" si="5"/>
        <v>#VALUE!</v>
      </c>
      <c r="Y15" s="700"/>
      <c r="Z15" s="576" t="s">
        <v>564</v>
      </c>
      <c r="AA15" s="578" t="s">
        <v>564</v>
      </c>
      <c r="AB15" s="578" t="s">
        <v>564</v>
      </c>
      <c r="AC15" s="576" t="e">
        <f t="shared" si="7"/>
        <v>#VALUE!</v>
      </c>
      <c r="AD15" s="700"/>
      <c r="AE15" s="576" t="s">
        <v>564</v>
      </c>
      <c r="AF15" s="578" t="s">
        <v>564</v>
      </c>
      <c r="AG15" s="578" t="s">
        <v>564</v>
      </c>
      <c r="AH15" s="576" t="e">
        <f t="shared" si="9"/>
        <v>#VALUE!</v>
      </c>
      <c r="AI15" s="700"/>
      <c r="AJ15" s="576" t="s">
        <v>564</v>
      </c>
      <c r="AK15" s="578" t="s">
        <v>564</v>
      </c>
      <c r="AL15" s="578" t="s">
        <v>564</v>
      </c>
      <c r="AM15" s="576" t="e">
        <f t="shared" si="11"/>
        <v>#VALUE!</v>
      </c>
      <c r="AN15" s="700"/>
      <c r="AO15" s="576" t="s">
        <v>564</v>
      </c>
      <c r="AP15" s="578" t="s">
        <v>564</v>
      </c>
      <c r="AQ15" s="578" t="s">
        <v>564</v>
      </c>
      <c r="AR15" s="576" t="e">
        <f t="shared" si="13"/>
        <v>#VALUE!</v>
      </c>
      <c r="AS15" s="700"/>
      <c r="AT15" s="576" t="s">
        <v>564</v>
      </c>
      <c r="AU15" s="578" t="s">
        <v>564</v>
      </c>
      <c r="AV15" s="578" t="s">
        <v>564</v>
      </c>
      <c r="AW15" s="576" t="e">
        <f t="shared" si="15"/>
        <v>#VALUE!</v>
      </c>
      <c r="AX15" s="700"/>
      <c r="AZ15" s="372" t="e">
        <f t="shared" si="17"/>
        <v>#N/A</v>
      </c>
      <c r="BA15" s="700"/>
    </row>
    <row r="16" spans="1:53" ht="14.25">
      <c r="A16" s="81"/>
      <c r="B16" s="678"/>
      <c r="C16" s="528">
        <v>10</v>
      </c>
      <c r="D16" s="563"/>
      <c r="E16" s="563"/>
      <c r="F16" s="563"/>
      <c r="G16" s="565"/>
      <c r="H16" s="657"/>
      <c r="I16" s="529" t="str">
        <f t="shared" si="0"/>
        <v>-</v>
      </c>
      <c r="J16" s="529" t="str">
        <f t="shared" si="1"/>
        <v>-</v>
      </c>
      <c r="K16" s="199" t="str">
        <f t="shared" si="2"/>
        <v>-</v>
      </c>
      <c r="L16" s="659"/>
      <c r="M16" s="510" t="e">
        <f>RANK(K16, K$7:$K$21)</f>
        <v>#VALUE!</v>
      </c>
      <c r="N16" s="643"/>
      <c r="O16" s="643"/>
      <c r="P16" s="576" t="s">
        <v>564</v>
      </c>
      <c r="Q16" s="578" t="s">
        <v>564</v>
      </c>
      <c r="R16" s="578" t="s">
        <v>564</v>
      </c>
      <c r="S16" s="576" t="e">
        <f t="shared" si="3"/>
        <v>#VALUE!</v>
      </c>
      <c r="T16" s="700"/>
      <c r="U16" s="576" t="s">
        <v>564</v>
      </c>
      <c r="V16" s="578" t="s">
        <v>564</v>
      </c>
      <c r="W16" s="578" t="s">
        <v>564</v>
      </c>
      <c r="X16" s="576" t="e">
        <f t="shared" si="5"/>
        <v>#VALUE!</v>
      </c>
      <c r="Y16" s="700"/>
      <c r="Z16" s="576" t="s">
        <v>564</v>
      </c>
      <c r="AA16" s="578" t="s">
        <v>564</v>
      </c>
      <c r="AB16" s="578" t="s">
        <v>564</v>
      </c>
      <c r="AC16" s="576" t="e">
        <f t="shared" si="7"/>
        <v>#VALUE!</v>
      </c>
      <c r="AD16" s="700"/>
      <c r="AE16" s="576" t="s">
        <v>564</v>
      </c>
      <c r="AF16" s="578" t="s">
        <v>564</v>
      </c>
      <c r="AG16" s="578" t="s">
        <v>564</v>
      </c>
      <c r="AH16" s="576" t="e">
        <f t="shared" si="9"/>
        <v>#VALUE!</v>
      </c>
      <c r="AI16" s="700"/>
      <c r="AJ16" s="576" t="s">
        <v>564</v>
      </c>
      <c r="AK16" s="578" t="s">
        <v>564</v>
      </c>
      <c r="AL16" s="578" t="s">
        <v>564</v>
      </c>
      <c r="AM16" s="576" t="e">
        <f t="shared" si="11"/>
        <v>#VALUE!</v>
      </c>
      <c r="AN16" s="700"/>
      <c r="AO16" s="576" t="s">
        <v>564</v>
      </c>
      <c r="AP16" s="578" t="s">
        <v>564</v>
      </c>
      <c r="AQ16" s="578" t="s">
        <v>564</v>
      </c>
      <c r="AR16" s="576" t="e">
        <f t="shared" si="13"/>
        <v>#VALUE!</v>
      </c>
      <c r="AS16" s="700"/>
      <c r="AT16" s="576" t="s">
        <v>564</v>
      </c>
      <c r="AU16" s="578" t="s">
        <v>564</v>
      </c>
      <c r="AV16" s="578" t="s">
        <v>564</v>
      </c>
      <c r="AW16" s="576" t="e">
        <f t="shared" si="15"/>
        <v>#VALUE!</v>
      </c>
      <c r="AX16" s="700"/>
      <c r="AZ16" s="372" t="e">
        <f t="shared" si="17"/>
        <v>#N/A</v>
      </c>
      <c r="BA16" s="700"/>
    </row>
    <row r="17" spans="2:53">
      <c r="B17" s="678"/>
      <c r="C17" s="528">
        <v>11</v>
      </c>
      <c r="D17" s="563"/>
      <c r="E17" s="563"/>
      <c r="F17" s="563"/>
      <c r="G17" s="565"/>
      <c r="H17" s="657"/>
      <c r="I17" s="529" t="str">
        <f t="shared" si="0"/>
        <v>-</v>
      </c>
      <c r="J17" s="529" t="str">
        <f t="shared" si="1"/>
        <v>-</v>
      </c>
      <c r="K17" s="199" t="str">
        <f t="shared" si="2"/>
        <v>-</v>
      </c>
      <c r="L17" s="659"/>
      <c r="M17" s="510" t="e">
        <f>RANK(K17, K$7:$K$21)</f>
        <v>#VALUE!</v>
      </c>
      <c r="N17" s="643"/>
      <c r="O17" s="643"/>
      <c r="P17" s="576" t="s">
        <v>564</v>
      </c>
      <c r="Q17" s="578" t="s">
        <v>564</v>
      </c>
      <c r="R17" s="578" t="s">
        <v>564</v>
      </c>
      <c r="S17" s="576" t="e">
        <f t="shared" si="3"/>
        <v>#VALUE!</v>
      </c>
      <c r="T17" s="700"/>
      <c r="U17" s="576" t="s">
        <v>564</v>
      </c>
      <c r="V17" s="578" t="s">
        <v>564</v>
      </c>
      <c r="W17" s="578" t="s">
        <v>564</v>
      </c>
      <c r="X17" s="576" t="e">
        <f t="shared" si="5"/>
        <v>#VALUE!</v>
      </c>
      <c r="Y17" s="700"/>
      <c r="Z17" s="576" t="s">
        <v>564</v>
      </c>
      <c r="AA17" s="578" t="s">
        <v>564</v>
      </c>
      <c r="AB17" s="578" t="s">
        <v>564</v>
      </c>
      <c r="AC17" s="576" t="e">
        <f t="shared" si="7"/>
        <v>#VALUE!</v>
      </c>
      <c r="AD17" s="700"/>
      <c r="AE17" s="576" t="s">
        <v>564</v>
      </c>
      <c r="AF17" s="578" t="s">
        <v>564</v>
      </c>
      <c r="AG17" s="578" t="s">
        <v>564</v>
      </c>
      <c r="AH17" s="576" t="e">
        <f t="shared" si="9"/>
        <v>#VALUE!</v>
      </c>
      <c r="AI17" s="700"/>
      <c r="AJ17" s="576" t="s">
        <v>564</v>
      </c>
      <c r="AK17" s="578" t="s">
        <v>564</v>
      </c>
      <c r="AL17" s="578" t="s">
        <v>564</v>
      </c>
      <c r="AM17" s="576" t="e">
        <f t="shared" si="11"/>
        <v>#VALUE!</v>
      </c>
      <c r="AN17" s="700"/>
      <c r="AO17" s="576" t="s">
        <v>564</v>
      </c>
      <c r="AP17" s="578" t="s">
        <v>564</v>
      </c>
      <c r="AQ17" s="578" t="s">
        <v>564</v>
      </c>
      <c r="AR17" s="576" t="e">
        <f t="shared" si="13"/>
        <v>#VALUE!</v>
      </c>
      <c r="AS17" s="700"/>
      <c r="AT17" s="576" t="s">
        <v>564</v>
      </c>
      <c r="AU17" s="578" t="s">
        <v>564</v>
      </c>
      <c r="AV17" s="578" t="s">
        <v>564</v>
      </c>
      <c r="AW17" s="576" t="e">
        <f t="shared" si="15"/>
        <v>#VALUE!</v>
      </c>
      <c r="AX17" s="700"/>
      <c r="AZ17" s="372" t="e">
        <f t="shared" si="17"/>
        <v>#N/A</v>
      </c>
      <c r="BA17" s="700"/>
    </row>
    <row r="18" spans="2:53">
      <c r="B18" s="678"/>
      <c r="C18" s="528">
        <v>12</v>
      </c>
      <c r="D18" s="563"/>
      <c r="E18" s="563"/>
      <c r="F18" s="563"/>
      <c r="G18" s="565"/>
      <c r="H18" s="657"/>
      <c r="I18" s="529" t="str">
        <f t="shared" si="0"/>
        <v>-</v>
      </c>
      <c r="J18" s="529" t="str">
        <f t="shared" si="1"/>
        <v>-</v>
      </c>
      <c r="K18" s="199" t="str">
        <f t="shared" si="2"/>
        <v>-</v>
      </c>
      <c r="L18" s="659"/>
      <c r="M18" s="510" t="e">
        <f>RANK(K18, K$7:$K$21)</f>
        <v>#VALUE!</v>
      </c>
      <c r="N18" s="643"/>
      <c r="O18" s="643"/>
      <c r="P18" s="576" t="s">
        <v>564</v>
      </c>
      <c r="Q18" s="578" t="s">
        <v>564</v>
      </c>
      <c r="R18" s="578" t="s">
        <v>564</v>
      </c>
      <c r="S18" s="576" t="e">
        <f t="shared" si="3"/>
        <v>#VALUE!</v>
      </c>
      <c r="T18" s="700"/>
      <c r="U18" s="576" t="s">
        <v>564</v>
      </c>
      <c r="V18" s="578" t="s">
        <v>564</v>
      </c>
      <c r="W18" s="578" t="s">
        <v>564</v>
      </c>
      <c r="X18" s="576" t="e">
        <f t="shared" si="5"/>
        <v>#VALUE!</v>
      </c>
      <c r="Y18" s="700"/>
      <c r="Z18" s="576" t="s">
        <v>564</v>
      </c>
      <c r="AA18" s="578" t="s">
        <v>564</v>
      </c>
      <c r="AB18" s="578" t="s">
        <v>564</v>
      </c>
      <c r="AC18" s="576" t="e">
        <f t="shared" si="7"/>
        <v>#VALUE!</v>
      </c>
      <c r="AD18" s="700"/>
      <c r="AE18" s="576" t="s">
        <v>564</v>
      </c>
      <c r="AF18" s="578" t="s">
        <v>564</v>
      </c>
      <c r="AG18" s="578" t="s">
        <v>564</v>
      </c>
      <c r="AH18" s="576" t="e">
        <f t="shared" si="9"/>
        <v>#VALUE!</v>
      </c>
      <c r="AI18" s="700"/>
      <c r="AJ18" s="576" t="s">
        <v>564</v>
      </c>
      <c r="AK18" s="578" t="s">
        <v>564</v>
      </c>
      <c r="AL18" s="578" t="s">
        <v>564</v>
      </c>
      <c r="AM18" s="576" t="e">
        <f t="shared" si="11"/>
        <v>#VALUE!</v>
      </c>
      <c r="AN18" s="700"/>
      <c r="AO18" s="576" t="s">
        <v>564</v>
      </c>
      <c r="AP18" s="578" t="s">
        <v>564</v>
      </c>
      <c r="AQ18" s="578" t="s">
        <v>564</v>
      </c>
      <c r="AR18" s="576" t="e">
        <f t="shared" si="13"/>
        <v>#VALUE!</v>
      </c>
      <c r="AS18" s="700"/>
      <c r="AT18" s="576" t="s">
        <v>564</v>
      </c>
      <c r="AU18" s="578" t="s">
        <v>564</v>
      </c>
      <c r="AV18" s="578" t="s">
        <v>564</v>
      </c>
      <c r="AW18" s="576" t="e">
        <f t="shared" si="15"/>
        <v>#VALUE!</v>
      </c>
      <c r="AX18" s="700"/>
      <c r="AZ18" s="372" t="e">
        <f t="shared" si="17"/>
        <v>#N/A</v>
      </c>
      <c r="BA18" s="700"/>
    </row>
    <row r="19" spans="2:53">
      <c r="B19" s="678"/>
      <c r="C19" s="528">
        <v>13</v>
      </c>
      <c r="D19" s="563"/>
      <c r="E19" s="563"/>
      <c r="F19" s="563"/>
      <c r="G19" s="565"/>
      <c r="H19" s="657"/>
      <c r="I19" s="529" t="str">
        <f t="shared" si="0"/>
        <v>-</v>
      </c>
      <c r="J19" s="529" t="str">
        <f t="shared" si="1"/>
        <v>-</v>
      </c>
      <c r="K19" s="199" t="str">
        <f t="shared" si="2"/>
        <v>-</v>
      </c>
      <c r="L19" s="659"/>
      <c r="M19" s="510" t="e">
        <f>RANK(K19, K$7:$K$21)</f>
        <v>#VALUE!</v>
      </c>
      <c r="N19" s="643"/>
      <c r="O19" s="643"/>
      <c r="P19" s="576" t="s">
        <v>564</v>
      </c>
      <c r="Q19" s="578" t="s">
        <v>564</v>
      </c>
      <c r="R19" s="578" t="s">
        <v>564</v>
      </c>
      <c r="S19" s="576" t="e">
        <f t="shared" si="3"/>
        <v>#VALUE!</v>
      </c>
      <c r="T19" s="700"/>
      <c r="U19" s="576" t="s">
        <v>564</v>
      </c>
      <c r="V19" s="578" t="s">
        <v>564</v>
      </c>
      <c r="W19" s="578" t="s">
        <v>564</v>
      </c>
      <c r="X19" s="576" t="e">
        <f t="shared" si="5"/>
        <v>#VALUE!</v>
      </c>
      <c r="Y19" s="700"/>
      <c r="Z19" s="576" t="s">
        <v>564</v>
      </c>
      <c r="AA19" s="578" t="s">
        <v>564</v>
      </c>
      <c r="AB19" s="578" t="s">
        <v>564</v>
      </c>
      <c r="AC19" s="576" t="e">
        <f t="shared" si="7"/>
        <v>#VALUE!</v>
      </c>
      <c r="AD19" s="700"/>
      <c r="AE19" s="576" t="s">
        <v>564</v>
      </c>
      <c r="AF19" s="578" t="s">
        <v>564</v>
      </c>
      <c r="AG19" s="578" t="s">
        <v>564</v>
      </c>
      <c r="AH19" s="576" t="e">
        <f t="shared" si="9"/>
        <v>#VALUE!</v>
      </c>
      <c r="AI19" s="700"/>
      <c r="AJ19" s="576" t="s">
        <v>564</v>
      </c>
      <c r="AK19" s="578" t="s">
        <v>564</v>
      </c>
      <c r="AL19" s="578" t="s">
        <v>564</v>
      </c>
      <c r="AM19" s="576" t="e">
        <f t="shared" si="11"/>
        <v>#VALUE!</v>
      </c>
      <c r="AN19" s="700"/>
      <c r="AO19" s="576" t="s">
        <v>564</v>
      </c>
      <c r="AP19" s="578" t="s">
        <v>564</v>
      </c>
      <c r="AQ19" s="578" t="s">
        <v>564</v>
      </c>
      <c r="AR19" s="576" t="e">
        <f t="shared" si="13"/>
        <v>#VALUE!</v>
      </c>
      <c r="AS19" s="700"/>
      <c r="AT19" s="576" t="s">
        <v>564</v>
      </c>
      <c r="AU19" s="578" t="s">
        <v>564</v>
      </c>
      <c r="AV19" s="578" t="s">
        <v>564</v>
      </c>
      <c r="AW19" s="576" t="e">
        <f t="shared" si="15"/>
        <v>#VALUE!</v>
      </c>
      <c r="AX19" s="700"/>
      <c r="AZ19" s="372" t="e">
        <f t="shared" si="17"/>
        <v>#N/A</v>
      </c>
      <c r="BA19" s="700"/>
    </row>
    <row r="20" spans="2:53">
      <c r="B20" s="678"/>
      <c r="C20" s="528">
        <v>14</v>
      </c>
      <c r="D20" s="563"/>
      <c r="E20" s="563"/>
      <c r="F20" s="563"/>
      <c r="G20" s="565"/>
      <c r="H20" s="657"/>
      <c r="I20" s="529" t="str">
        <f t="shared" si="0"/>
        <v>-</v>
      </c>
      <c r="J20" s="529" t="str">
        <f t="shared" si="1"/>
        <v>-</v>
      </c>
      <c r="K20" s="199" t="str">
        <f t="shared" si="2"/>
        <v>-</v>
      </c>
      <c r="L20" s="659"/>
      <c r="M20" s="510" t="e">
        <f>RANK(K20, K$7:$K$21)</f>
        <v>#VALUE!</v>
      </c>
      <c r="N20" s="643"/>
      <c r="O20" s="643"/>
      <c r="P20" s="576" t="s">
        <v>564</v>
      </c>
      <c r="Q20" s="578" t="s">
        <v>564</v>
      </c>
      <c r="R20" s="578" t="s">
        <v>564</v>
      </c>
      <c r="S20" s="576" t="e">
        <f t="shared" si="3"/>
        <v>#VALUE!</v>
      </c>
      <c r="T20" s="700"/>
      <c r="U20" s="576" t="s">
        <v>564</v>
      </c>
      <c r="V20" s="578" t="s">
        <v>564</v>
      </c>
      <c r="W20" s="578" t="s">
        <v>564</v>
      </c>
      <c r="X20" s="576" t="e">
        <f t="shared" si="5"/>
        <v>#VALUE!</v>
      </c>
      <c r="Y20" s="700"/>
      <c r="Z20" s="576" t="s">
        <v>564</v>
      </c>
      <c r="AA20" s="578" t="s">
        <v>564</v>
      </c>
      <c r="AB20" s="578" t="s">
        <v>564</v>
      </c>
      <c r="AC20" s="576" t="e">
        <f t="shared" si="7"/>
        <v>#VALUE!</v>
      </c>
      <c r="AD20" s="700"/>
      <c r="AE20" s="576" t="s">
        <v>564</v>
      </c>
      <c r="AF20" s="578" t="s">
        <v>564</v>
      </c>
      <c r="AG20" s="578" t="s">
        <v>564</v>
      </c>
      <c r="AH20" s="576" t="e">
        <f t="shared" si="9"/>
        <v>#VALUE!</v>
      </c>
      <c r="AI20" s="700"/>
      <c r="AJ20" s="576" t="s">
        <v>564</v>
      </c>
      <c r="AK20" s="578" t="s">
        <v>564</v>
      </c>
      <c r="AL20" s="578" t="s">
        <v>564</v>
      </c>
      <c r="AM20" s="576" t="e">
        <f t="shared" si="11"/>
        <v>#VALUE!</v>
      </c>
      <c r="AN20" s="700"/>
      <c r="AO20" s="576" t="s">
        <v>564</v>
      </c>
      <c r="AP20" s="578" t="s">
        <v>564</v>
      </c>
      <c r="AQ20" s="578" t="s">
        <v>564</v>
      </c>
      <c r="AR20" s="576" t="e">
        <f t="shared" si="13"/>
        <v>#VALUE!</v>
      </c>
      <c r="AS20" s="700"/>
      <c r="AT20" s="576" t="s">
        <v>564</v>
      </c>
      <c r="AU20" s="578" t="s">
        <v>564</v>
      </c>
      <c r="AV20" s="578" t="s">
        <v>564</v>
      </c>
      <c r="AW20" s="576" t="e">
        <f t="shared" si="15"/>
        <v>#VALUE!</v>
      </c>
      <c r="AX20" s="700"/>
      <c r="AZ20" s="372" t="e">
        <f t="shared" si="17"/>
        <v>#N/A</v>
      </c>
      <c r="BA20" s="700"/>
    </row>
    <row r="21" spans="2:53">
      <c r="B21" s="678"/>
      <c r="C21" s="528">
        <v>15</v>
      </c>
      <c r="D21" s="563"/>
      <c r="E21" s="563"/>
      <c r="F21" s="563"/>
      <c r="G21" s="563"/>
      <c r="H21" s="714"/>
      <c r="I21" s="529" t="str">
        <f t="shared" si="0"/>
        <v>-</v>
      </c>
      <c r="J21" s="529" t="str">
        <f t="shared" si="1"/>
        <v>-</v>
      </c>
      <c r="K21" s="199" t="str">
        <f t="shared" si="2"/>
        <v>-</v>
      </c>
      <c r="L21" s="660"/>
      <c r="M21" s="510" t="e">
        <f>RANK(K21, K$7:$K$21)</f>
        <v>#VALUE!</v>
      </c>
      <c r="N21" s="643"/>
      <c r="O21" s="643"/>
      <c r="P21" s="577" t="s">
        <v>564</v>
      </c>
      <c r="Q21" s="510" t="s">
        <v>564</v>
      </c>
      <c r="R21" s="510" t="s">
        <v>564</v>
      </c>
      <c r="S21" s="576" t="e">
        <f t="shared" si="3"/>
        <v>#VALUE!</v>
      </c>
      <c r="T21" s="700"/>
      <c r="U21" s="577" t="s">
        <v>564</v>
      </c>
      <c r="V21" s="510" t="s">
        <v>564</v>
      </c>
      <c r="W21" s="510" t="s">
        <v>564</v>
      </c>
      <c r="X21" s="576" t="e">
        <f t="shared" si="5"/>
        <v>#VALUE!</v>
      </c>
      <c r="Y21" s="700"/>
      <c r="Z21" s="577" t="s">
        <v>564</v>
      </c>
      <c r="AA21" s="510" t="s">
        <v>564</v>
      </c>
      <c r="AB21" s="510" t="s">
        <v>564</v>
      </c>
      <c r="AC21" s="576" t="e">
        <f t="shared" si="7"/>
        <v>#VALUE!</v>
      </c>
      <c r="AD21" s="700"/>
      <c r="AE21" s="577" t="s">
        <v>564</v>
      </c>
      <c r="AF21" s="510" t="s">
        <v>564</v>
      </c>
      <c r="AG21" s="510" t="s">
        <v>564</v>
      </c>
      <c r="AH21" s="576" t="e">
        <f t="shared" si="9"/>
        <v>#VALUE!</v>
      </c>
      <c r="AI21" s="700"/>
      <c r="AJ21" s="577" t="s">
        <v>564</v>
      </c>
      <c r="AK21" s="510" t="s">
        <v>564</v>
      </c>
      <c r="AL21" s="510" t="s">
        <v>564</v>
      </c>
      <c r="AM21" s="576" t="e">
        <f t="shared" si="11"/>
        <v>#VALUE!</v>
      </c>
      <c r="AN21" s="700"/>
      <c r="AO21" s="577" t="s">
        <v>564</v>
      </c>
      <c r="AP21" s="510" t="s">
        <v>564</v>
      </c>
      <c r="AQ21" s="510" t="s">
        <v>564</v>
      </c>
      <c r="AR21" s="576" t="e">
        <f t="shared" si="13"/>
        <v>#VALUE!</v>
      </c>
      <c r="AS21" s="700"/>
      <c r="AT21" s="577" t="s">
        <v>564</v>
      </c>
      <c r="AU21" s="510" t="s">
        <v>564</v>
      </c>
      <c r="AV21" s="510" t="s">
        <v>564</v>
      </c>
      <c r="AW21" s="576" t="e">
        <f t="shared" si="15"/>
        <v>#VALUE!</v>
      </c>
      <c r="AX21" s="700"/>
      <c r="AZ21" s="372" t="e">
        <f t="shared" si="17"/>
        <v>#N/A</v>
      </c>
      <c r="BA21" s="700"/>
    </row>
    <row r="22" spans="2:53" ht="15.75">
      <c r="B22" s="682" t="s">
        <v>162</v>
      </c>
      <c r="C22" s="683"/>
      <c r="D22" s="683"/>
      <c r="E22" s="683"/>
      <c r="F22" s="683"/>
      <c r="G22" s="683"/>
      <c r="H22" s="683"/>
      <c r="I22" s="202"/>
      <c r="J22" s="202"/>
      <c r="K22" s="202"/>
      <c r="L22" s="202"/>
      <c r="M22" s="203"/>
      <c r="N22" s="645" t="s">
        <v>156</v>
      </c>
      <c r="O22" s="645" t="s">
        <v>105</v>
      </c>
      <c r="P22" s="670">
        <f>P2+7</f>
        <v>46273</v>
      </c>
      <c r="Q22" s="649"/>
      <c r="R22" s="649"/>
      <c r="S22" s="649"/>
      <c r="T22" s="649"/>
      <c r="U22" s="667">
        <f>P22+1</f>
        <v>46274</v>
      </c>
      <c r="V22" s="668"/>
      <c r="W22" s="668"/>
      <c r="X22" s="668"/>
      <c r="Y22" s="669"/>
      <c r="Z22" s="667">
        <f>U22+1</f>
        <v>46275</v>
      </c>
      <c r="AA22" s="668"/>
      <c r="AB22" s="668"/>
      <c r="AC22" s="668"/>
      <c r="AD22" s="669"/>
      <c r="AE22" s="667">
        <f>Z22+1</f>
        <v>46276</v>
      </c>
      <c r="AF22" s="668"/>
      <c r="AG22" s="668"/>
      <c r="AH22" s="668"/>
      <c r="AI22" s="669"/>
      <c r="AJ22" s="667">
        <f>AE22+1</f>
        <v>46277</v>
      </c>
      <c r="AK22" s="668"/>
      <c r="AL22" s="668"/>
      <c r="AM22" s="668"/>
      <c r="AN22" s="669"/>
      <c r="AO22" s="667">
        <f>AJ22+1</f>
        <v>46278</v>
      </c>
      <c r="AP22" s="668"/>
      <c r="AQ22" s="668"/>
      <c r="AR22" s="668"/>
      <c r="AS22" s="669"/>
      <c r="AT22" s="667">
        <f>AO22+1</f>
        <v>46279</v>
      </c>
      <c r="AU22" s="668"/>
      <c r="AV22" s="668"/>
      <c r="AW22" s="668"/>
      <c r="AX22" s="669"/>
    </row>
    <row r="23" spans="2:53" ht="15.75">
      <c r="B23" s="674"/>
      <c r="C23" s="674"/>
      <c r="D23" s="674"/>
      <c r="E23" s="674"/>
      <c r="F23" s="674"/>
      <c r="G23" s="674"/>
      <c r="H23" s="674"/>
      <c r="I23" s="204"/>
      <c r="J23" s="204"/>
      <c r="K23" s="204"/>
      <c r="L23" s="204"/>
      <c r="M23" s="205"/>
      <c r="N23" s="647"/>
      <c r="O23" s="647"/>
      <c r="P23" s="670" t="s">
        <v>317</v>
      </c>
      <c r="Q23" s="649"/>
      <c r="R23" s="649"/>
      <c r="S23" s="649"/>
      <c r="T23" s="649"/>
      <c r="U23" s="670" t="s">
        <v>318</v>
      </c>
      <c r="V23" s="649"/>
      <c r="W23" s="649"/>
      <c r="X23" s="649"/>
      <c r="Y23" s="649"/>
      <c r="Z23" s="670" t="s">
        <v>319</v>
      </c>
      <c r="AA23" s="649"/>
      <c r="AB23" s="649"/>
      <c r="AC23" s="649"/>
      <c r="AD23" s="649"/>
      <c r="AE23" s="670" t="s">
        <v>320</v>
      </c>
      <c r="AF23" s="649"/>
      <c r="AG23" s="649"/>
      <c r="AH23" s="649"/>
      <c r="AI23" s="649"/>
      <c r="AJ23" s="670" t="s">
        <v>321</v>
      </c>
      <c r="AK23" s="649"/>
      <c r="AL23" s="649"/>
      <c r="AM23" s="649"/>
      <c r="AN23" s="649"/>
      <c r="AO23" s="670" t="s">
        <v>322</v>
      </c>
      <c r="AP23" s="649"/>
      <c r="AQ23" s="649"/>
      <c r="AR23" s="649"/>
      <c r="AS23" s="649"/>
      <c r="AT23" s="670" t="s">
        <v>323</v>
      </c>
      <c r="AU23" s="649"/>
      <c r="AV23" s="649"/>
      <c r="AW23" s="649"/>
      <c r="AX23" s="649"/>
    </row>
    <row r="24" spans="2:53">
      <c r="B24" s="643" t="s">
        <v>537</v>
      </c>
      <c r="C24" s="643" t="s">
        <v>372</v>
      </c>
      <c r="D24" s="643"/>
      <c r="E24" s="643" t="s">
        <v>363</v>
      </c>
      <c r="F24" s="643"/>
      <c r="G24" s="643"/>
      <c r="H24" s="675" t="s">
        <v>359</v>
      </c>
      <c r="I24" s="643" t="s">
        <v>364</v>
      </c>
      <c r="J24" s="643"/>
      <c r="K24" s="643"/>
      <c r="L24" s="675" t="s">
        <v>359</v>
      </c>
      <c r="M24" s="645" t="s">
        <v>360</v>
      </c>
      <c r="N24" s="643"/>
      <c r="O24" s="643" t="s">
        <v>365</v>
      </c>
      <c r="P24" s="661" t="s">
        <v>361</v>
      </c>
      <c r="Q24" s="662"/>
      <c r="R24" s="662"/>
      <c r="S24" s="663"/>
      <c r="T24" s="643" t="s">
        <v>359</v>
      </c>
      <c r="U24" s="661" t="s">
        <v>361</v>
      </c>
      <c r="V24" s="662"/>
      <c r="W24" s="662"/>
      <c r="X24" s="663"/>
      <c r="Y24" s="643" t="s">
        <v>359</v>
      </c>
      <c r="Z24" s="661" t="s">
        <v>361</v>
      </c>
      <c r="AA24" s="662"/>
      <c r="AB24" s="662"/>
      <c r="AC24" s="663"/>
      <c r="AD24" s="643" t="s">
        <v>359</v>
      </c>
      <c r="AE24" s="661" t="s">
        <v>361</v>
      </c>
      <c r="AF24" s="662"/>
      <c r="AG24" s="662"/>
      <c r="AH24" s="663"/>
      <c r="AI24" s="643" t="s">
        <v>359</v>
      </c>
      <c r="AJ24" s="661" t="s">
        <v>361</v>
      </c>
      <c r="AK24" s="662"/>
      <c r="AL24" s="662"/>
      <c r="AM24" s="663"/>
      <c r="AN24" s="643" t="s">
        <v>359</v>
      </c>
      <c r="AO24" s="661" t="s">
        <v>361</v>
      </c>
      <c r="AP24" s="662"/>
      <c r="AQ24" s="662"/>
      <c r="AR24" s="663"/>
      <c r="AS24" s="643" t="s">
        <v>359</v>
      </c>
      <c r="AT24" s="661" t="s">
        <v>361</v>
      </c>
      <c r="AU24" s="662"/>
      <c r="AV24" s="662"/>
      <c r="AW24" s="663"/>
      <c r="AX24" s="643" t="s">
        <v>359</v>
      </c>
      <c r="BA24" s="643" t="s">
        <v>359</v>
      </c>
    </row>
    <row r="25" spans="2:53">
      <c r="B25" s="643"/>
      <c r="C25" s="643"/>
      <c r="D25" s="643"/>
      <c r="E25" s="643" t="s">
        <v>366</v>
      </c>
      <c r="F25" s="643"/>
      <c r="G25" s="643"/>
      <c r="H25" s="676"/>
      <c r="I25" s="643" t="s">
        <v>366</v>
      </c>
      <c r="J25" s="643"/>
      <c r="K25" s="643"/>
      <c r="L25" s="676"/>
      <c r="M25" s="646"/>
      <c r="N25" s="643"/>
      <c r="O25" s="643"/>
      <c r="P25" s="661" t="s">
        <v>367</v>
      </c>
      <c r="Q25" s="662"/>
      <c r="R25" s="662"/>
      <c r="S25" s="663"/>
      <c r="T25" s="643"/>
      <c r="U25" s="661" t="s">
        <v>367</v>
      </c>
      <c r="V25" s="662"/>
      <c r="W25" s="662"/>
      <c r="X25" s="663"/>
      <c r="Y25" s="643"/>
      <c r="Z25" s="661" t="s">
        <v>367</v>
      </c>
      <c r="AA25" s="662"/>
      <c r="AB25" s="662"/>
      <c r="AC25" s="663"/>
      <c r="AD25" s="643"/>
      <c r="AE25" s="661" t="s">
        <v>367</v>
      </c>
      <c r="AF25" s="662"/>
      <c r="AG25" s="662"/>
      <c r="AH25" s="663"/>
      <c r="AI25" s="643"/>
      <c r="AJ25" s="661" t="s">
        <v>367</v>
      </c>
      <c r="AK25" s="662"/>
      <c r="AL25" s="662"/>
      <c r="AM25" s="663"/>
      <c r="AN25" s="643"/>
      <c r="AO25" s="661" t="s">
        <v>367</v>
      </c>
      <c r="AP25" s="662"/>
      <c r="AQ25" s="662"/>
      <c r="AR25" s="663"/>
      <c r="AS25" s="643"/>
      <c r="AT25" s="661" t="s">
        <v>367</v>
      </c>
      <c r="AU25" s="662"/>
      <c r="AV25" s="662"/>
      <c r="AW25" s="663"/>
      <c r="AX25" s="643"/>
      <c r="BA25" s="643"/>
    </row>
    <row r="26" spans="2:53">
      <c r="B26" s="643"/>
      <c r="C26" s="643"/>
      <c r="D26" s="643"/>
      <c r="E26" s="378" t="s">
        <v>368</v>
      </c>
      <c r="F26" s="378" t="s">
        <v>369</v>
      </c>
      <c r="G26" s="378" t="s">
        <v>370</v>
      </c>
      <c r="H26" s="677"/>
      <c r="I26" s="378" t="s">
        <v>368</v>
      </c>
      <c r="J26" s="378" t="s">
        <v>369</v>
      </c>
      <c r="K26" s="378" t="s">
        <v>370</v>
      </c>
      <c r="L26" s="677"/>
      <c r="M26" s="647"/>
      <c r="N26" s="643"/>
      <c r="O26" s="643"/>
      <c r="P26" s="378" t="s">
        <v>368</v>
      </c>
      <c r="Q26" s="378" t="s">
        <v>369</v>
      </c>
      <c r="R26" s="378" t="s">
        <v>370</v>
      </c>
      <c r="S26" s="378" t="s">
        <v>360</v>
      </c>
      <c r="T26" s="643"/>
      <c r="U26" s="378" t="s">
        <v>368</v>
      </c>
      <c r="V26" s="378" t="s">
        <v>369</v>
      </c>
      <c r="W26" s="378" t="s">
        <v>370</v>
      </c>
      <c r="X26" s="378" t="s">
        <v>360</v>
      </c>
      <c r="Y26" s="643"/>
      <c r="Z26" s="378" t="s">
        <v>368</v>
      </c>
      <c r="AA26" s="378" t="s">
        <v>369</v>
      </c>
      <c r="AB26" s="378" t="s">
        <v>370</v>
      </c>
      <c r="AC26" s="378" t="s">
        <v>360</v>
      </c>
      <c r="AD26" s="643"/>
      <c r="AE26" s="378" t="s">
        <v>368</v>
      </c>
      <c r="AF26" s="378" t="s">
        <v>369</v>
      </c>
      <c r="AG26" s="378" t="s">
        <v>370</v>
      </c>
      <c r="AH26" s="378" t="s">
        <v>360</v>
      </c>
      <c r="AI26" s="643"/>
      <c r="AJ26" s="378" t="s">
        <v>368</v>
      </c>
      <c r="AK26" s="378" t="s">
        <v>369</v>
      </c>
      <c r="AL26" s="378" t="s">
        <v>370</v>
      </c>
      <c r="AM26" s="378" t="s">
        <v>360</v>
      </c>
      <c r="AN26" s="643"/>
      <c r="AO26" s="378" t="s">
        <v>368</v>
      </c>
      <c r="AP26" s="378" t="s">
        <v>369</v>
      </c>
      <c r="AQ26" s="378" t="s">
        <v>370</v>
      </c>
      <c r="AR26" s="378" t="s">
        <v>360</v>
      </c>
      <c r="AS26" s="643"/>
      <c r="AT26" s="378" t="s">
        <v>368</v>
      </c>
      <c r="AU26" s="378" t="s">
        <v>369</v>
      </c>
      <c r="AV26" s="378" t="s">
        <v>370</v>
      </c>
      <c r="AW26" s="378" t="s">
        <v>360</v>
      </c>
      <c r="AX26" s="643"/>
      <c r="AZ26" s="373" t="s">
        <v>360</v>
      </c>
      <c r="BA26" s="643"/>
    </row>
    <row r="27" spans="2:53">
      <c r="B27" s="701" t="s">
        <v>539</v>
      </c>
      <c r="C27" s="380">
        <v>1</v>
      </c>
      <c r="D27" s="562"/>
      <c r="E27" s="563"/>
      <c r="F27" s="563"/>
      <c r="G27" s="565"/>
      <c r="H27" s="656" t="e">
        <f>AVERAGE(G27:G41)</f>
        <v>#DIV/0!</v>
      </c>
      <c r="I27" s="381" t="str">
        <f t="shared" ref="I27:I41" si="19">IFERROR(AVERAGE(P27,U27,Z27,AE27,AJ27,AO27,AT27),"-")</f>
        <v>-</v>
      </c>
      <c r="J27" s="381" t="str">
        <f t="shared" ref="J27:J41" si="20">IFERROR(AVERAGE(Q27,V27,AA27,AF27,AK27,AP27,AU27),"-")</f>
        <v>-</v>
      </c>
      <c r="K27" s="199" t="str">
        <f t="shared" ref="K27:K41" si="21">IFERROR(AVERAGE(R27,W27,AB27,AG27,AL27,AQ27,AV27),"-")</f>
        <v>-</v>
      </c>
      <c r="L27" s="658" t="str">
        <f>IFERROR(AVERAGE(K27:K41),"-")</f>
        <v>-</v>
      </c>
      <c r="M27" s="384" t="e">
        <f>RANK(K27, K$27:$K$41)</f>
        <v>#VALUE!</v>
      </c>
      <c r="N27" s="643"/>
      <c r="O27" s="643"/>
      <c r="P27" s="547"/>
      <c r="Q27" s="548"/>
      <c r="R27" s="548"/>
      <c r="S27" s="547"/>
      <c r="T27" s="638"/>
      <c r="U27" s="547"/>
      <c r="V27" s="548"/>
      <c r="W27" s="548"/>
      <c r="X27" s="547"/>
      <c r="Y27" s="638"/>
      <c r="Z27" s="547"/>
      <c r="AA27" s="548"/>
      <c r="AB27" s="548"/>
      <c r="AC27" s="547"/>
      <c r="AD27" s="638"/>
      <c r="AE27" s="547"/>
      <c r="AF27" s="548"/>
      <c r="AG27" s="548"/>
      <c r="AH27" s="547"/>
      <c r="AI27" s="638"/>
      <c r="AJ27" s="547"/>
      <c r="AK27" s="548"/>
      <c r="AL27" s="548"/>
      <c r="AM27" s="547"/>
      <c r="AN27" s="638"/>
      <c r="AO27" s="547"/>
      <c r="AP27" s="548"/>
      <c r="AQ27" s="548"/>
      <c r="AR27" s="547"/>
      <c r="AS27" s="638"/>
      <c r="AT27" s="547"/>
      <c r="AU27" s="548"/>
      <c r="AV27" s="548"/>
      <c r="AW27" s="547"/>
      <c r="AX27" s="638"/>
      <c r="AY27" s="638"/>
      <c r="AZ27" s="372" t="e">
        <f t="shared" ref="AZ27:AZ41" si="22">RANK(AY27, AY$27:AY$41)</f>
        <v>#N/A</v>
      </c>
      <c r="BA27" s="638" t="e">
        <f t="shared" ref="BA27" si="23">AVERAGE(AY27:AY41)</f>
        <v>#DIV/0!</v>
      </c>
    </row>
    <row r="28" spans="2:53">
      <c r="B28" s="649"/>
      <c r="C28" s="380">
        <v>2</v>
      </c>
      <c r="D28" s="563"/>
      <c r="E28" s="563"/>
      <c r="F28" s="563"/>
      <c r="G28" s="565"/>
      <c r="H28" s="657"/>
      <c r="I28" s="381" t="str">
        <f t="shared" si="19"/>
        <v>-</v>
      </c>
      <c r="J28" s="381" t="str">
        <f t="shared" si="20"/>
        <v>-</v>
      </c>
      <c r="K28" s="199" t="str">
        <f t="shared" si="21"/>
        <v>-</v>
      </c>
      <c r="L28" s="659"/>
      <c r="M28" s="387" t="e">
        <f>RANK(K28, K$27:$K$41)</f>
        <v>#VALUE!</v>
      </c>
      <c r="N28" s="643"/>
      <c r="O28" s="643"/>
      <c r="P28" s="547"/>
      <c r="Q28" s="548"/>
      <c r="R28" s="548"/>
      <c r="S28" s="547"/>
      <c r="T28" s="639"/>
      <c r="U28" s="547"/>
      <c r="V28" s="548"/>
      <c r="W28" s="548"/>
      <c r="X28" s="547"/>
      <c r="Y28" s="639"/>
      <c r="Z28" s="547"/>
      <c r="AA28" s="548"/>
      <c r="AB28" s="548"/>
      <c r="AC28" s="547"/>
      <c r="AD28" s="639"/>
      <c r="AE28" s="547"/>
      <c r="AF28" s="548"/>
      <c r="AG28" s="548"/>
      <c r="AH28" s="547"/>
      <c r="AI28" s="639"/>
      <c r="AJ28" s="547"/>
      <c r="AK28" s="548"/>
      <c r="AL28" s="548"/>
      <c r="AM28" s="547"/>
      <c r="AN28" s="639"/>
      <c r="AO28" s="547"/>
      <c r="AP28" s="548"/>
      <c r="AQ28" s="548"/>
      <c r="AR28" s="547"/>
      <c r="AS28" s="639"/>
      <c r="AT28" s="547"/>
      <c r="AU28" s="548"/>
      <c r="AV28" s="548"/>
      <c r="AW28" s="547"/>
      <c r="AX28" s="639"/>
      <c r="AY28" s="639"/>
      <c r="AZ28" s="372" t="e">
        <f t="shared" si="22"/>
        <v>#N/A</v>
      </c>
      <c r="BA28" s="639"/>
    </row>
    <row r="29" spans="2:53">
      <c r="B29" s="649"/>
      <c r="C29" s="380">
        <v>3</v>
      </c>
      <c r="D29" s="563"/>
      <c r="E29" s="563"/>
      <c r="F29" s="563"/>
      <c r="G29" s="565"/>
      <c r="H29" s="657"/>
      <c r="I29" s="381" t="str">
        <f t="shared" si="19"/>
        <v>-</v>
      </c>
      <c r="J29" s="381" t="str">
        <f t="shared" si="20"/>
        <v>-</v>
      </c>
      <c r="K29" s="199" t="str">
        <f t="shared" si="21"/>
        <v>-</v>
      </c>
      <c r="L29" s="659"/>
      <c r="M29" s="387" t="e">
        <f>RANK(K29, K$27:$K$41)</f>
        <v>#VALUE!</v>
      </c>
      <c r="N29" s="643"/>
      <c r="O29" s="643"/>
      <c r="P29" s="547"/>
      <c r="Q29" s="548"/>
      <c r="R29" s="548"/>
      <c r="S29" s="547"/>
      <c r="T29" s="639"/>
      <c r="U29" s="547"/>
      <c r="V29" s="548"/>
      <c r="W29" s="548"/>
      <c r="X29" s="547"/>
      <c r="Y29" s="639"/>
      <c r="Z29" s="547"/>
      <c r="AA29" s="548"/>
      <c r="AB29" s="548"/>
      <c r="AC29" s="547"/>
      <c r="AD29" s="639"/>
      <c r="AE29" s="547"/>
      <c r="AF29" s="548"/>
      <c r="AG29" s="548"/>
      <c r="AH29" s="547"/>
      <c r="AI29" s="639"/>
      <c r="AJ29" s="547"/>
      <c r="AK29" s="548"/>
      <c r="AL29" s="548"/>
      <c r="AM29" s="547"/>
      <c r="AN29" s="639"/>
      <c r="AO29" s="547"/>
      <c r="AP29" s="548"/>
      <c r="AQ29" s="548"/>
      <c r="AR29" s="547"/>
      <c r="AS29" s="639"/>
      <c r="AT29" s="547"/>
      <c r="AU29" s="548"/>
      <c r="AV29" s="548"/>
      <c r="AW29" s="547"/>
      <c r="AX29" s="639"/>
      <c r="AY29" s="639"/>
      <c r="AZ29" s="372" t="e">
        <f t="shared" si="22"/>
        <v>#N/A</v>
      </c>
      <c r="BA29" s="639"/>
    </row>
    <row r="30" spans="2:53">
      <c r="B30" s="649"/>
      <c r="C30" s="380">
        <v>4</v>
      </c>
      <c r="D30" s="563"/>
      <c r="E30" s="563"/>
      <c r="F30" s="563"/>
      <c r="G30" s="565"/>
      <c r="H30" s="657"/>
      <c r="I30" s="381" t="str">
        <f t="shared" si="19"/>
        <v>-</v>
      </c>
      <c r="J30" s="381" t="str">
        <f t="shared" si="20"/>
        <v>-</v>
      </c>
      <c r="K30" s="199" t="str">
        <f t="shared" si="21"/>
        <v>-</v>
      </c>
      <c r="L30" s="659"/>
      <c r="M30" s="387" t="e">
        <f>RANK(K30, K$27:$K$41)</f>
        <v>#VALUE!</v>
      </c>
      <c r="N30" s="643"/>
      <c r="O30" s="643"/>
      <c r="P30" s="547"/>
      <c r="Q30" s="548"/>
      <c r="R30" s="548"/>
      <c r="S30" s="547"/>
      <c r="T30" s="639"/>
      <c r="U30" s="547"/>
      <c r="V30" s="548"/>
      <c r="W30" s="548"/>
      <c r="X30" s="547"/>
      <c r="Y30" s="639"/>
      <c r="Z30" s="547"/>
      <c r="AA30" s="548"/>
      <c r="AB30" s="548"/>
      <c r="AC30" s="547"/>
      <c r="AD30" s="639"/>
      <c r="AE30" s="547"/>
      <c r="AF30" s="548"/>
      <c r="AG30" s="548"/>
      <c r="AH30" s="547"/>
      <c r="AI30" s="639"/>
      <c r="AJ30" s="547"/>
      <c r="AK30" s="548"/>
      <c r="AL30" s="548"/>
      <c r="AM30" s="547"/>
      <c r="AN30" s="639"/>
      <c r="AO30" s="547"/>
      <c r="AP30" s="548"/>
      <c r="AQ30" s="548"/>
      <c r="AR30" s="547"/>
      <c r="AS30" s="639"/>
      <c r="AT30" s="547"/>
      <c r="AU30" s="548"/>
      <c r="AV30" s="548"/>
      <c r="AW30" s="547"/>
      <c r="AX30" s="639"/>
      <c r="AY30" s="639"/>
      <c r="AZ30" s="372" t="e">
        <f t="shared" si="22"/>
        <v>#N/A</v>
      </c>
      <c r="BA30" s="639"/>
    </row>
    <row r="31" spans="2:53">
      <c r="B31" s="649"/>
      <c r="C31" s="380">
        <v>5</v>
      </c>
      <c r="D31" s="563"/>
      <c r="E31" s="563"/>
      <c r="F31" s="563"/>
      <c r="G31" s="565"/>
      <c r="H31" s="657"/>
      <c r="I31" s="381" t="str">
        <f t="shared" si="19"/>
        <v>-</v>
      </c>
      <c r="J31" s="381" t="str">
        <f t="shared" si="20"/>
        <v>-</v>
      </c>
      <c r="K31" s="199" t="str">
        <f t="shared" si="21"/>
        <v>-</v>
      </c>
      <c r="L31" s="659"/>
      <c r="M31" s="387" t="e">
        <f>RANK(K31, K$27:$K$41)</f>
        <v>#VALUE!</v>
      </c>
      <c r="N31" s="643"/>
      <c r="O31" s="643"/>
      <c r="P31" s="547"/>
      <c r="Q31" s="548"/>
      <c r="R31" s="548"/>
      <c r="S31" s="547"/>
      <c r="T31" s="639"/>
      <c r="U31" s="547"/>
      <c r="V31" s="548"/>
      <c r="W31" s="548"/>
      <c r="X31" s="547"/>
      <c r="Y31" s="639"/>
      <c r="Z31" s="547"/>
      <c r="AA31" s="548"/>
      <c r="AB31" s="548"/>
      <c r="AC31" s="547"/>
      <c r="AD31" s="639"/>
      <c r="AE31" s="547"/>
      <c r="AF31" s="548"/>
      <c r="AG31" s="548"/>
      <c r="AH31" s="547"/>
      <c r="AI31" s="639"/>
      <c r="AJ31" s="547"/>
      <c r="AK31" s="548"/>
      <c r="AL31" s="548"/>
      <c r="AM31" s="547"/>
      <c r="AN31" s="639"/>
      <c r="AO31" s="547"/>
      <c r="AP31" s="548"/>
      <c r="AQ31" s="548"/>
      <c r="AR31" s="547"/>
      <c r="AS31" s="639"/>
      <c r="AT31" s="547"/>
      <c r="AU31" s="548"/>
      <c r="AV31" s="548"/>
      <c r="AW31" s="547"/>
      <c r="AX31" s="639"/>
      <c r="AY31" s="639"/>
      <c r="AZ31" s="372" t="e">
        <f t="shared" si="22"/>
        <v>#N/A</v>
      </c>
      <c r="BA31" s="639"/>
    </row>
    <row r="32" spans="2:53">
      <c r="B32" s="649"/>
      <c r="C32" s="380">
        <v>6</v>
      </c>
      <c r="D32" s="563"/>
      <c r="E32" s="563"/>
      <c r="F32" s="563"/>
      <c r="G32" s="565"/>
      <c r="H32" s="657"/>
      <c r="I32" s="381" t="str">
        <f t="shared" si="19"/>
        <v>-</v>
      </c>
      <c r="J32" s="381" t="str">
        <f t="shared" si="20"/>
        <v>-</v>
      </c>
      <c r="K32" s="199" t="str">
        <f t="shared" si="21"/>
        <v>-</v>
      </c>
      <c r="L32" s="659"/>
      <c r="M32" s="387" t="e">
        <f>RANK(K32, K$27:$K$41)</f>
        <v>#VALUE!</v>
      </c>
      <c r="N32" s="643"/>
      <c r="O32" s="643"/>
      <c r="P32" s="547"/>
      <c r="Q32" s="548"/>
      <c r="R32" s="548"/>
      <c r="S32" s="547"/>
      <c r="T32" s="639"/>
      <c r="U32" s="547"/>
      <c r="V32" s="548"/>
      <c r="W32" s="548"/>
      <c r="X32" s="547"/>
      <c r="Y32" s="639"/>
      <c r="Z32" s="547"/>
      <c r="AA32" s="548"/>
      <c r="AB32" s="548"/>
      <c r="AC32" s="547"/>
      <c r="AD32" s="639"/>
      <c r="AE32" s="547"/>
      <c r="AF32" s="548"/>
      <c r="AG32" s="548"/>
      <c r="AH32" s="547"/>
      <c r="AI32" s="639"/>
      <c r="AJ32" s="547"/>
      <c r="AK32" s="548"/>
      <c r="AL32" s="548"/>
      <c r="AM32" s="547"/>
      <c r="AN32" s="639"/>
      <c r="AO32" s="547"/>
      <c r="AP32" s="548"/>
      <c r="AQ32" s="548"/>
      <c r="AR32" s="547"/>
      <c r="AS32" s="639"/>
      <c r="AT32" s="547"/>
      <c r="AU32" s="548"/>
      <c r="AV32" s="548"/>
      <c r="AW32" s="547"/>
      <c r="AX32" s="639"/>
      <c r="AY32" s="639"/>
      <c r="AZ32" s="372" t="e">
        <f t="shared" si="22"/>
        <v>#N/A</v>
      </c>
      <c r="BA32" s="639"/>
    </row>
    <row r="33" spans="2:53">
      <c r="B33" s="649"/>
      <c r="C33" s="380">
        <v>7</v>
      </c>
      <c r="D33" s="563"/>
      <c r="E33" s="563"/>
      <c r="F33" s="563"/>
      <c r="G33" s="565"/>
      <c r="H33" s="657"/>
      <c r="I33" s="381" t="str">
        <f t="shared" si="19"/>
        <v>-</v>
      </c>
      <c r="J33" s="381" t="str">
        <f t="shared" si="20"/>
        <v>-</v>
      </c>
      <c r="K33" s="199" t="str">
        <f t="shared" si="21"/>
        <v>-</v>
      </c>
      <c r="L33" s="659"/>
      <c r="M33" s="387" t="e">
        <f>RANK(K33, K$27:$K$41)</f>
        <v>#VALUE!</v>
      </c>
      <c r="N33" s="643"/>
      <c r="O33" s="643"/>
      <c r="P33" s="547"/>
      <c r="Q33" s="548"/>
      <c r="R33" s="548"/>
      <c r="S33" s="547"/>
      <c r="T33" s="639"/>
      <c r="U33" s="547"/>
      <c r="V33" s="548"/>
      <c r="W33" s="548"/>
      <c r="X33" s="547"/>
      <c r="Y33" s="639"/>
      <c r="Z33" s="547"/>
      <c r="AA33" s="548"/>
      <c r="AB33" s="548"/>
      <c r="AC33" s="547"/>
      <c r="AD33" s="639"/>
      <c r="AE33" s="547"/>
      <c r="AF33" s="548"/>
      <c r="AG33" s="548"/>
      <c r="AH33" s="547"/>
      <c r="AI33" s="639"/>
      <c r="AJ33" s="547"/>
      <c r="AK33" s="548"/>
      <c r="AL33" s="548"/>
      <c r="AM33" s="547"/>
      <c r="AN33" s="639"/>
      <c r="AO33" s="547"/>
      <c r="AP33" s="548"/>
      <c r="AQ33" s="548"/>
      <c r="AR33" s="547"/>
      <c r="AS33" s="639"/>
      <c r="AT33" s="547"/>
      <c r="AU33" s="548"/>
      <c r="AV33" s="548"/>
      <c r="AW33" s="547"/>
      <c r="AX33" s="639"/>
      <c r="AY33" s="639"/>
      <c r="AZ33" s="372" t="e">
        <f t="shared" si="22"/>
        <v>#N/A</v>
      </c>
      <c r="BA33" s="639"/>
    </row>
    <row r="34" spans="2:53">
      <c r="B34" s="649"/>
      <c r="C34" s="380">
        <v>8</v>
      </c>
      <c r="D34" s="563"/>
      <c r="E34" s="563"/>
      <c r="F34" s="563"/>
      <c r="G34" s="565"/>
      <c r="H34" s="657"/>
      <c r="I34" s="381" t="str">
        <f t="shared" si="19"/>
        <v>-</v>
      </c>
      <c r="J34" s="381" t="str">
        <f t="shared" si="20"/>
        <v>-</v>
      </c>
      <c r="K34" s="199" t="str">
        <f t="shared" si="21"/>
        <v>-</v>
      </c>
      <c r="L34" s="659"/>
      <c r="M34" s="387" t="e">
        <f>RANK(K34, K$27:$K$41)</f>
        <v>#VALUE!</v>
      </c>
      <c r="N34" s="643"/>
      <c r="O34" s="643"/>
      <c r="P34" s="547"/>
      <c r="Q34" s="548"/>
      <c r="R34" s="548"/>
      <c r="S34" s="547"/>
      <c r="T34" s="639"/>
      <c r="U34" s="547"/>
      <c r="V34" s="548"/>
      <c r="W34" s="548"/>
      <c r="X34" s="547"/>
      <c r="Y34" s="639"/>
      <c r="Z34" s="547"/>
      <c r="AA34" s="548"/>
      <c r="AB34" s="548"/>
      <c r="AC34" s="547"/>
      <c r="AD34" s="639"/>
      <c r="AE34" s="547"/>
      <c r="AF34" s="548"/>
      <c r="AG34" s="548"/>
      <c r="AH34" s="547"/>
      <c r="AI34" s="639"/>
      <c r="AJ34" s="547"/>
      <c r="AK34" s="548"/>
      <c r="AL34" s="548"/>
      <c r="AM34" s="547"/>
      <c r="AN34" s="639"/>
      <c r="AO34" s="547"/>
      <c r="AP34" s="548"/>
      <c r="AQ34" s="548"/>
      <c r="AR34" s="547"/>
      <c r="AS34" s="639"/>
      <c r="AT34" s="547"/>
      <c r="AU34" s="548"/>
      <c r="AV34" s="548"/>
      <c r="AW34" s="547"/>
      <c r="AX34" s="639"/>
      <c r="AY34" s="639"/>
      <c r="AZ34" s="372" t="e">
        <f t="shared" si="22"/>
        <v>#N/A</v>
      </c>
      <c r="BA34" s="639"/>
    </row>
    <row r="35" spans="2:53">
      <c r="B35" s="649"/>
      <c r="C35" s="380">
        <v>9</v>
      </c>
      <c r="D35" s="563"/>
      <c r="E35" s="563"/>
      <c r="F35" s="563"/>
      <c r="G35" s="565"/>
      <c r="H35" s="657"/>
      <c r="I35" s="381" t="str">
        <f t="shared" si="19"/>
        <v>-</v>
      </c>
      <c r="J35" s="381" t="str">
        <f t="shared" si="20"/>
        <v>-</v>
      </c>
      <c r="K35" s="199" t="str">
        <f t="shared" si="21"/>
        <v>-</v>
      </c>
      <c r="L35" s="659"/>
      <c r="M35" s="387" t="e">
        <f>RANK(K35, K$27:$K$41)</f>
        <v>#VALUE!</v>
      </c>
      <c r="N35" s="643"/>
      <c r="O35" s="643"/>
      <c r="P35" s="547"/>
      <c r="Q35" s="548"/>
      <c r="R35" s="548"/>
      <c r="S35" s="547"/>
      <c r="T35" s="639"/>
      <c r="U35" s="547"/>
      <c r="V35" s="548"/>
      <c r="W35" s="548"/>
      <c r="X35" s="547"/>
      <c r="Y35" s="639"/>
      <c r="Z35" s="547"/>
      <c r="AA35" s="548"/>
      <c r="AB35" s="548"/>
      <c r="AC35" s="547"/>
      <c r="AD35" s="639"/>
      <c r="AE35" s="547"/>
      <c r="AF35" s="548"/>
      <c r="AG35" s="548"/>
      <c r="AH35" s="547"/>
      <c r="AI35" s="639"/>
      <c r="AJ35" s="547"/>
      <c r="AK35" s="548"/>
      <c r="AL35" s="548"/>
      <c r="AM35" s="547"/>
      <c r="AN35" s="639"/>
      <c r="AO35" s="547"/>
      <c r="AP35" s="548"/>
      <c r="AQ35" s="548"/>
      <c r="AR35" s="547"/>
      <c r="AS35" s="639"/>
      <c r="AT35" s="547"/>
      <c r="AU35" s="548"/>
      <c r="AV35" s="548"/>
      <c r="AW35" s="547"/>
      <c r="AX35" s="639"/>
      <c r="AY35" s="639"/>
      <c r="AZ35" s="372" t="e">
        <f t="shared" si="22"/>
        <v>#N/A</v>
      </c>
      <c r="BA35" s="639"/>
    </row>
    <row r="36" spans="2:53">
      <c r="B36" s="649"/>
      <c r="C36" s="380">
        <v>10</v>
      </c>
      <c r="D36" s="563"/>
      <c r="E36" s="563"/>
      <c r="F36" s="563"/>
      <c r="G36" s="565"/>
      <c r="H36" s="657"/>
      <c r="I36" s="381" t="str">
        <f t="shared" si="19"/>
        <v>-</v>
      </c>
      <c r="J36" s="381" t="str">
        <f t="shared" si="20"/>
        <v>-</v>
      </c>
      <c r="K36" s="199" t="str">
        <f t="shared" si="21"/>
        <v>-</v>
      </c>
      <c r="L36" s="659"/>
      <c r="M36" s="387" t="e">
        <f>RANK(K36, K$27:$K$41)</f>
        <v>#VALUE!</v>
      </c>
      <c r="N36" s="643"/>
      <c r="O36" s="643"/>
      <c r="P36" s="547"/>
      <c r="Q36" s="548"/>
      <c r="R36" s="548"/>
      <c r="S36" s="547"/>
      <c r="T36" s="639"/>
      <c r="U36" s="547"/>
      <c r="V36" s="548"/>
      <c r="W36" s="548"/>
      <c r="X36" s="547"/>
      <c r="Y36" s="639"/>
      <c r="Z36" s="547"/>
      <c r="AA36" s="548"/>
      <c r="AB36" s="548"/>
      <c r="AC36" s="547"/>
      <c r="AD36" s="639"/>
      <c r="AE36" s="547"/>
      <c r="AF36" s="548"/>
      <c r="AG36" s="548"/>
      <c r="AH36" s="547"/>
      <c r="AI36" s="639"/>
      <c r="AJ36" s="547"/>
      <c r="AK36" s="548"/>
      <c r="AL36" s="548"/>
      <c r="AM36" s="547"/>
      <c r="AN36" s="639"/>
      <c r="AO36" s="547"/>
      <c r="AP36" s="548"/>
      <c r="AQ36" s="548"/>
      <c r="AR36" s="547"/>
      <c r="AS36" s="639"/>
      <c r="AT36" s="547"/>
      <c r="AU36" s="548"/>
      <c r="AV36" s="548"/>
      <c r="AW36" s="547"/>
      <c r="AX36" s="639"/>
      <c r="AY36" s="639"/>
      <c r="AZ36" s="372" t="e">
        <f t="shared" si="22"/>
        <v>#N/A</v>
      </c>
      <c r="BA36" s="639"/>
    </row>
    <row r="37" spans="2:53">
      <c r="B37" s="649"/>
      <c r="C37" s="380">
        <v>11</v>
      </c>
      <c r="D37" s="563"/>
      <c r="E37" s="563"/>
      <c r="F37" s="563"/>
      <c r="G37" s="565"/>
      <c r="H37" s="657"/>
      <c r="I37" s="381" t="str">
        <f t="shared" si="19"/>
        <v>-</v>
      </c>
      <c r="J37" s="381" t="str">
        <f t="shared" si="20"/>
        <v>-</v>
      </c>
      <c r="K37" s="199" t="str">
        <f t="shared" si="21"/>
        <v>-</v>
      </c>
      <c r="L37" s="659"/>
      <c r="M37" s="387" t="e">
        <f>RANK(K37, K$27:$K$41)</f>
        <v>#VALUE!</v>
      </c>
      <c r="N37" s="643"/>
      <c r="O37" s="643"/>
      <c r="P37" s="547"/>
      <c r="Q37" s="548"/>
      <c r="R37" s="548"/>
      <c r="S37" s="547"/>
      <c r="T37" s="639"/>
      <c r="U37" s="547"/>
      <c r="V37" s="548"/>
      <c r="W37" s="548"/>
      <c r="X37" s="547"/>
      <c r="Y37" s="639"/>
      <c r="Z37" s="547"/>
      <c r="AA37" s="548"/>
      <c r="AB37" s="548"/>
      <c r="AC37" s="547"/>
      <c r="AD37" s="639"/>
      <c r="AE37" s="547"/>
      <c r="AF37" s="548"/>
      <c r="AG37" s="548"/>
      <c r="AH37" s="547"/>
      <c r="AI37" s="639"/>
      <c r="AJ37" s="547"/>
      <c r="AK37" s="548"/>
      <c r="AL37" s="548"/>
      <c r="AM37" s="547"/>
      <c r="AN37" s="639"/>
      <c r="AO37" s="547"/>
      <c r="AP37" s="548"/>
      <c r="AQ37" s="548"/>
      <c r="AR37" s="547"/>
      <c r="AS37" s="639"/>
      <c r="AT37" s="547"/>
      <c r="AU37" s="548"/>
      <c r="AV37" s="548"/>
      <c r="AW37" s="547"/>
      <c r="AX37" s="639"/>
      <c r="AY37" s="639"/>
      <c r="AZ37" s="372" t="e">
        <f t="shared" si="22"/>
        <v>#N/A</v>
      </c>
      <c r="BA37" s="639"/>
    </row>
    <row r="38" spans="2:53">
      <c r="B38" s="649"/>
      <c r="C38" s="380">
        <v>12</v>
      </c>
      <c r="D38" s="563"/>
      <c r="E38" s="563"/>
      <c r="F38" s="563"/>
      <c r="G38" s="565"/>
      <c r="H38" s="657"/>
      <c r="I38" s="381" t="str">
        <f t="shared" si="19"/>
        <v>-</v>
      </c>
      <c r="J38" s="381" t="str">
        <f t="shared" si="20"/>
        <v>-</v>
      </c>
      <c r="K38" s="199" t="str">
        <f t="shared" si="21"/>
        <v>-</v>
      </c>
      <c r="L38" s="659"/>
      <c r="M38" s="387" t="e">
        <f>RANK(K38, K$27:$K$41)</f>
        <v>#VALUE!</v>
      </c>
      <c r="N38" s="643"/>
      <c r="O38" s="643"/>
      <c r="P38" s="547"/>
      <c r="Q38" s="548"/>
      <c r="R38" s="548"/>
      <c r="S38" s="547"/>
      <c r="T38" s="639"/>
      <c r="U38" s="547"/>
      <c r="V38" s="548"/>
      <c r="W38" s="548"/>
      <c r="X38" s="547"/>
      <c r="Y38" s="639"/>
      <c r="Z38" s="547"/>
      <c r="AA38" s="548"/>
      <c r="AB38" s="548"/>
      <c r="AC38" s="547"/>
      <c r="AD38" s="639"/>
      <c r="AE38" s="547"/>
      <c r="AF38" s="548"/>
      <c r="AG38" s="548"/>
      <c r="AH38" s="547"/>
      <c r="AI38" s="639"/>
      <c r="AJ38" s="547"/>
      <c r="AK38" s="548"/>
      <c r="AL38" s="548"/>
      <c r="AM38" s="547"/>
      <c r="AN38" s="639"/>
      <c r="AO38" s="547"/>
      <c r="AP38" s="548"/>
      <c r="AQ38" s="548"/>
      <c r="AR38" s="547"/>
      <c r="AS38" s="639"/>
      <c r="AT38" s="547"/>
      <c r="AU38" s="548"/>
      <c r="AV38" s="548"/>
      <c r="AW38" s="547"/>
      <c r="AX38" s="639"/>
      <c r="AY38" s="639"/>
      <c r="AZ38" s="372" t="e">
        <f t="shared" si="22"/>
        <v>#N/A</v>
      </c>
      <c r="BA38" s="639"/>
    </row>
    <row r="39" spans="2:53">
      <c r="B39" s="649"/>
      <c r="C39" s="380">
        <v>13</v>
      </c>
      <c r="D39" s="563"/>
      <c r="E39" s="563"/>
      <c r="F39" s="563"/>
      <c r="G39" s="565"/>
      <c r="H39" s="657"/>
      <c r="I39" s="381" t="str">
        <f t="shared" si="19"/>
        <v>-</v>
      </c>
      <c r="J39" s="381" t="str">
        <f t="shared" si="20"/>
        <v>-</v>
      </c>
      <c r="K39" s="199" t="str">
        <f t="shared" si="21"/>
        <v>-</v>
      </c>
      <c r="L39" s="659"/>
      <c r="M39" s="387" t="e">
        <f>RANK(K39, K$27:$K$41)</f>
        <v>#VALUE!</v>
      </c>
      <c r="N39" s="643"/>
      <c r="O39" s="643"/>
      <c r="P39" s="547"/>
      <c r="Q39" s="548"/>
      <c r="R39" s="548"/>
      <c r="S39" s="547"/>
      <c r="T39" s="639"/>
      <c r="U39" s="547"/>
      <c r="V39" s="548"/>
      <c r="W39" s="548"/>
      <c r="X39" s="547"/>
      <c r="Y39" s="639"/>
      <c r="Z39" s="547"/>
      <c r="AA39" s="548"/>
      <c r="AB39" s="548"/>
      <c r="AC39" s="547"/>
      <c r="AD39" s="639"/>
      <c r="AE39" s="547"/>
      <c r="AF39" s="548"/>
      <c r="AG39" s="548"/>
      <c r="AH39" s="547"/>
      <c r="AI39" s="639"/>
      <c r="AJ39" s="547"/>
      <c r="AK39" s="548"/>
      <c r="AL39" s="548"/>
      <c r="AM39" s="547"/>
      <c r="AN39" s="639"/>
      <c r="AO39" s="547"/>
      <c r="AP39" s="548"/>
      <c r="AQ39" s="548"/>
      <c r="AR39" s="547"/>
      <c r="AS39" s="639"/>
      <c r="AT39" s="547"/>
      <c r="AU39" s="548"/>
      <c r="AV39" s="548"/>
      <c r="AW39" s="547"/>
      <c r="AX39" s="639"/>
      <c r="AY39" s="639"/>
      <c r="AZ39" s="372" t="e">
        <f t="shared" si="22"/>
        <v>#N/A</v>
      </c>
      <c r="BA39" s="639"/>
    </row>
    <row r="40" spans="2:53">
      <c r="B40" s="649"/>
      <c r="C40" s="380">
        <v>14</v>
      </c>
      <c r="D40" s="563"/>
      <c r="E40" s="563"/>
      <c r="F40" s="563"/>
      <c r="G40" s="565"/>
      <c r="H40" s="657"/>
      <c r="I40" s="381" t="str">
        <f t="shared" si="19"/>
        <v>-</v>
      </c>
      <c r="J40" s="381" t="str">
        <f t="shared" si="20"/>
        <v>-</v>
      </c>
      <c r="K40" s="199" t="str">
        <f t="shared" si="21"/>
        <v>-</v>
      </c>
      <c r="L40" s="659"/>
      <c r="M40" s="387" t="e">
        <f>RANK(K40, K$27:$K$41)</f>
        <v>#VALUE!</v>
      </c>
      <c r="N40" s="643"/>
      <c r="O40" s="643"/>
      <c r="P40" s="547"/>
      <c r="Q40" s="548"/>
      <c r="R40" s="548"/>
      <c r="S40" s="547"/>
      <c r="T40" s="639"/>
      <c r="U40" s="547"/>
      <c r="V40" s="548"/>
      <c r="W40" s="548"/>
      <c r="X40" s="547"/>
      <c r="Y40" s="639"/>
      <c r="Z40" s="547"/>
      <c r="AA40" s="548"/>
      <c r="AB40" s="548"/>
      <c r="AC40" s="547"/>
      <c r="AD40" s="639"/>
      <c r="AE40" s="547"/>
      <c r="AF40" s="548"/>
      <c r="AG40" s="548"/>
      <c r="AH40" s="547"/>
      <c r="AI40" s="639"/>
      <c r="AJ40" s="547"/>
      <c r="AK40" s="548"/>
      <c r="AL40" s="548"/>
      <c r="AM40" s="547"/>
      <c r="AN40" s="639"/>
      <c r="AO40" s="547"/>
      <c r="AP40" s="548"/>
      <c r="AQ40" s="548"/>
      <c r="AR40" s="547"/>
      <c r="AS40" s="639"/>
      <c r="AT40" s="547"/>
      <c r="AU40" s="548"/>
      <c r="AV40" s="548"/>
      <c r="AW40" s="547"/>
      <c r="AX40" s="639"/>
      <c r="AY40" s="639"/>
      <c r="AZ40" s="372" t="e">
        <f t="shared" si="22"/>
        <v>#N/A</v>
      </c>
      <c r="BA40" s="639"/>
    </row>
    <row r="41" spans="2:53">
      <c r="B41" s="649"/>
      <c r="C41" s="380">
        <v>15</v>
      </c>
      <c r="D41" s="563"/>
      <c r="E41" s="563"/>
      <c r="F41" s="563"/>
      <c r="G41" s="563"/>
      <c r="H41" s="714"/>
      <c r="I41" s="381" t="str">
        <f t="shared" si="19"/>
        <v>-</v>
      </c>
      <c r="J41" s="381" t="str">
        <f t="shared" si="20"/>
        <v>-</v>
      </c>
      <c r="K41" s="199" t="str">
        <f t="shared" si="21"/>
        <v>-</v>
      </c>
      <c r="L41" s="660"/>
      <c r="M41" s="387" t="e">
        <f>RANK(K41, K$27:$K$41)</f>
        <v>#VALUE!</v>
      </c>
      <c r="N41" s="643"/>
      <c r="O41" s="643"/>
      <c r="P41" s="547"/>
      <c r="Q41" s="548"/>
      <c r="R41" s="548"/>
      <c r="S41" s="547"/>
      <c r="T41" s="640"/>
      <c r="U41" s="547"/>
      <c r="V41" s="548"/>
      <c r="W41" s="548"/>
      <c r="X41" s="547"/>
      <c r="Y41" s="640"/>
      <c r="Z41" s="547"/>
      <c r="AA41" s="548"/>
      <c r="AB41" s="548"/>
      <c r="AC41" s="547"/>
      <c r="AD41" s="640"/>
      <c r="AE41" s="547"/>
      <c r="AF41" s="548"/>
      <c r="AG41" s="548"/>
      <c r="AH41" s="547"/>
      <c r="AI41" s="640"/>
      <c r="AJ41" s="547"/>
      <c r="AK41" s="548"/>
      <c r="AL41" s="548"/>
      <c r="AM41" s="547"/>
      <c r="AN41" s="640"/>
      <c r="AO41" s="547"/>
      <c r="AP41" s="548"/>
      <c r="AQ41" s="548"/>
      <c r="AR41" s="547"/>
      <c r="AS41" s="640"/>
      <c r="AT41" s="547"/>
      <c r="AU41" s="548"/>
      <c r="AV41" s="548"/>
      <c r="AW41" s="547"/>
      <c r="AX41" s="640"/>
      <c r="AY41" s="640"/>
      <c r="AZ41" s="372" t="e">
        <f t="shared" si="22"/>
        <v>#N/A</v>
      </c>
      <c r="BA41" s="640"/>
    </row>
    <row r="42" spans="2:53" ht="15.75">
      <c r="B42" s="682" t="s">
        <v>162</v>
      </c>
      <c r="C42" s="683"/>
      <c r="D42" s="683"/>
      <c r="E42" s="683"/>
      <c r="F42" s="683"/>
      <c r="G42" s="683"/>
      <c r="H42" s="683"/>
      <c r="I42" s="207"/>
      <c r="J42" s="202"/>
      <c r="K42" s="207"/>
      <c r="L42" s="207"/>
      <c r="M42" s="203"/>
      <c r="N42" s="645" t="s">
        <v>156</v>
      </c>
      <c r="O42" s="645" t="s">
        <v>105</v>
      </c>
      <c r="P42" s="670">
        <f>P22+7</f>
        <v>46280</v>
      </c>
      <c r="Q42" s="649"/>
      <c r="R42" s="649"/>
      <c r="S42" s="649"/>
      <c r="T42" s="649"/>
      <c r="U42" s="667">
        <f>P42+1</f>
        <v>46281</v>
      </c>
      <c r="V42" s="668"/>
      <c r="W42" s="668"/>
      <c r="X42" s="668"/>
      <c r="Y42" s="669"/>
      <c r="Z42" s="667">
        <f>U42+1</f>
        <v>46282</v>
      </c>
      <c r="AA42" s="668"/>
      <c r="AB42" s="668"/>
      <c r="AC42" s="668"/>
      <c r="AD42" s="669"/>
      <c r="AE42" s="667">
        <f>Z42+1</f>
        <v>46283</v>
      </c>
      <c r="AF42" s="668"/>
      <c r="AG42" s="668"/>
      <c r="AH42" s="668"/>
      <c r="AI42" s="669"/>
      <c r="AJ42" s="667">
        <f>AE42+1</f>
        <v>46284</v>
      </c>
      <c r="AK42" s="668"/>
      <c r="AL42" s="668"/>
      <c r="AM42" s="668"/>
      <c r="AN42" s="669"/>
      <c r="AO42" s="667">
        <f>AJ42+1</f>
        <v>46285</v>
      </c>
      <c r="AP42" s="668"/>
      <c r="AQ42" s="668"/>
      <c r="AR42" s="668"/>
      <c r="AS42" s="669"/>
      <c r="AT42" s="667">
        <f>AO42+1</f>
        <v>46286</v>
      </c>
      <c r="AU42" s="668"/>
      <c r="AV42" s="668"/>
      <c r="AW42" s="668"/>
      <c r="AX42" s="669"/>
    </row>
    <row r="43" spans="2:53" ht="15.75">
      <c r="B43" s="674"/>
      <c r="C43" s="674"/>
      <c r="D43" s="674"/>
      <c r="E43" s="674"/>
      <c r="F43" s="674"/>
      <c r="G43" s="674"/>
      <c r="H43" s="674"/>
      <c r="I43" s="204"/>
      <c r="J43" s="204"/>
      <c r="K43" s="204"/>
      <c r="L43" s="204"/>
      <c r="M43" s="205"/>
      <c r="N43" s="647"/>
      <c r="O43" s="647"/>
      <c r="P43" s="670" t="s">
        <v>317</v>
      </c>
      <c r="Q43" s="649"/>
      <c r="R43" s="649"/>
      <c r="S43" s="649"/>
      <c r="T43" s="649"/>
      <c r="U43" s="670" t="s">
        <v>318</v>
      </c>
      <c r="V43" s="649"/>
      <c r="W43" s="649"/>
      <c r="X43" s="649"/>
      <c r="Y43" s="649"/>
      <c r="Z43" s="670" t="s">
        <v>319</v>
      </c>
      <c r="AA43" s="649"/>
      <c r="AB43" s="649"/>
      <c r="AC43" s="649"/>
      <c r="AD43" s="649"/>
      <c r="AE43" s="670" t="s">
        <v>320</v>
      </c>
      <c r="AF43" s="649"/>
      <c r="AG43" s="649"/>
      <c r="AH43" s="649"/>
      <c r="AI43" s="649"/>
      <c r="AJ43" s="670" t="s">
        <v>321</v>
      </c>
      <c r="AK43" s="649"/>
      <c r="AL43" s="649"/>
      <c r="AM43" s="649"/>
      <c r="AN43" s="649"/>
      <c r="AO43" s="670" t="s">
        <v>322</v>
      </c>
      <c r="AP43" s="649"/>
      <c r="AQ43" s="649"/>
      <c r="AR43" s="649"/>
      <c r="AS43" s="649"/>
      <c r="AT43" s="670" t="s">
        <v>323</v>
      </c>
      <c r="AU43" s="649"/>
      <c r="AV43" s="649"/>
      <c r="AW43" s="649"/>
      <c r="AX43" s="649"/>
    </row>
    <row r="44" spans="2:53">
      <c r="B44" s="643" t="s">
        <v>463</v>
      </c>
      <c r="C44" s="643" t="s">
        <v>372</v>
      </c>
      <c r="D44" s="643"/>
      <c r="E44" s="643" t="s">
        <v>363</v>
      </c>
      <c r="F44" s="643"/>
      <c r="G44" s="643"/>
      <c r="H44" s="675" t="s">
        <v>359</v>
      </c>
      <c r="I44" s="643" t="s">
        <v>364</v>
      </c>
      <c r="J44" s="643"/>
      <c r="K44" s="643"/>
      <c r="L44" s="675" t="s">
        <v>359</v>
      </c>
      <c r="M44" s="645" t="s">
        <v>360</v>
      </c>
      <c r="N44" s="643"/>
      <c r="O44" s="643" t="s">
        <v>365</v>
      </c>
      <c r="P44" s="661" t="s">
        <v>361</v>
      </c>
      <c r="Q44" s="662"/>
      <c r="R44" s="662"/>
      <c r="S44" s="663"/>
      <c r="T44" s="643" t="s">
        <v>359</v>
      </c>
      <c r="U44" s="661" t="s">
        <v>361</v>
      </c>
      <c r="V44" s="662"/>
      <c r="W44" s="662"/>
      <c r="X44" s="663"/>
      <c r="Y44" s="643" t="s">
        <v>359</v>
      </c>
      <c r="Z44" s="661" t="s">
        <v>361</v>
      </c>
      <c r="AA44" s="662"/>
      <c r="AB44" s="662"/>
      <c r="AC44" s="663"/>
      <c r="AD44" s="643" t="s">
        <v>359</v>
      </c>
      <c r="AE44" s="661" t="s">
        <v>361</v>
      </c>
      <c r="AF44" s="662"/>
      <c r="AG44" s="662"/>
      <c r="AH44" s="663"/>
      <c r="AI44" s="643" t="s">
        <v>359</v>
      </c>
      <c r="AJ44" s="661" t="s">
        <v>361</v>
      </c>
      <c r="AK44" s="662"/>
      <c r="AL44" s="662"/>
      <c r="AM44" s="663"/>
      <c r="AN44" s="643" t="s">
        <v>359</v>
      </c>
      <c r="AO44" s="661" t="s">
        <v>361</v>
      </c>
      <c r="AP44" s="662"/>
      <c r="AQ44" s="662"/>
      <c r="AR44" s="663"/>
      <c r="AS44" s="643" t="s">
        <v>359</v>
      </c>
      <c r="AT44" s="661" t="s">
        <v>361</v>
      </c>
      <c r="AU44" s="662"/>
      <c r="AV44" s="662"/>
      <c r="AW44" s="663"/>
      <c r="AX44" s="643" t="s">
        <v>359</v>
      </c>
      <c r="BA44" s="643" t="s">
        <v>359</v>
      </c>
    </row>
    <row r="45" spans="2:53">
      <c r="B45" s="643"/>
      <c r="C45" s="643"/>
      <c r="D45" s="643"/>
      <c r="E45" s="643" t="s">
        <v>366</v>
      </c>
      <c r="F45" s="643"/>
      <c r="G45" s="643"/>
      <c r="H45" s="676"/>
      <c r="I45" s="643" t="s">
        <v>366</v>
      </c>
      <c r="J45" s="643"/>
      <c r="K45" s="643"/>
      <c r="L45" s="676"/>
      <c r="M45" s="646"/>
      <c r="N45" s="643"/>
      <c r="O45" s="643"/>
      <c r="P45" s="661" t="s">
        <v>367</v>
      </c>
      <c r="Q45" s="662"/>
      <c r="R45" s="662"/>
      <c r="S45" s="663"/>
      <c r="T45" s="643"/>
      <c r="U45" s="661" t="s">
        <v>367</v>
      </c>
      <c r="V45" s="662"/>
      <c r="W45" s="662"/>
      <c r="X45" s="663"/>
      <c r="Y45" s="643"/>
      <c r="Z45" s="661" t="s">
        <v>367</v>
      </c>
      <c r="AA45" s="662"/>
      <c r="AB45" s="662"/>
      <c r="AC45" s="663"/>
      <c r="AD45" s="643"/>
      <c r="AE45" s="661" t="s">
        <v>367</v>
      </c>
      <c r="AF45" s="662"/>
      <c r="AG45" s="662"/>
      <c r="AH45" s="663"/>
      <c r="AI45" s="643"/>
      <c r="AJ45" s="661" t="s">
        <v>367</v>
      </c>
      <c r="AK45" s="662"/>
      <c r="AL45" s="662"/>
      <c r="AM45" s="663"/>
      <c r="AN45" s="643"/>
      <c r="AO45" s="661" t="s">
        <v>367</v>
      </c>
      <c r="AP45" s="662"/>
      <c r="AQ45" s="662"/>
      <c r="AR45" s="663"/>
      <c r="AS45" s="643"/>
      <c r="AT45" s="661" t="s">
        <v>367</v>
      </c>
      <c r="AU45" s="662"/>
      <c r="AV45" s="662"/>
      <c r="AW45" s="663"/>
      <c r="AX45" s="643"/>
      <c r="BA45" s="643"/>
    </row>
    <row r="46" spans="2:53">
      <c r="B46" s="643"/>
      <c r="C46" s="643"/>
      <c r="D46" s="643"/>
      <c r="E46" s="378" t="s">
        <v>368</v>
      </c>
      <c r="F46" s="378" t="s">
        <v>369</v>
      </c>
      <c r="G46" s="378" t="s">
        <v>370</v>
      </c>
      <c r="H46" s="677"/>
      <c r="I46" s="378" t="s">
        <v>368</v>
      </c>
      <c r="J46" s="378" t="s">
        <v>369</v>
      </c>
      <c r="K46" s="378" t="s">
        <v>370</v>
      </c>
      <c r="L46" s="677"/>
      <c r="M46" s="647"/>
      <c r="N46" s="643"/>
      <c r="O46" s="643"/>
      <c r="P46" s="378" t="s">
        <v>368</v>
      </c>
      <c r="Q46" s="378" t="s">
        <v>369</v>
      </c>
      <c r="R46" s="378" t="s">
        <v>370</v>
      </c>
      <c r="S46" s="378" t="s">
        <v>360</v>
      </c>
      <c r="T46" s="643"/>
      <c r="U46" s="378" t="s">
        <v>368</v>
      </c>
      <c r="V46" s="378" t="s">
        <v>369</v>
      </c>
      <c r="W46" s="378" t="s">
        <v>370</v>
      </c>
      <c r="X46" s="378" t="s">
        <v>360</v>
      </c>
      <c r="Y46" s="643"/>
      <c r="Z46" s="378" t="s">
        <v>368</v>
      </c>
      <c r="AA46" s="378" t="s">
        <v>369</v>
      </c>
      <c r="AB46" s="378" t="s">
        <v>370</v>
      </c>
      <c r="AC46" s="378" t="s">
        <v>360</v>
      </c>
      <c r="AD46" s="643"/>
      <c r="AE46" s="378" t="s">
        <v>368</v>
      </c>
      <c r="AF46" s="378" t="s">
        <v>369</v>
      </c>
      <c r="AG46" s="378" t="s">
        <v>370</v>
      </c>
      <c r="AH46" s="378" t="s">
        <v>360</v>
      </c>
      <c r="AI46" s="643"/>
      <c r="AJ46" s="378" t="s">
        <v>368</v>
      </c>
      <c r="AK46" s="378" t="s">
        <v>369</v>
      </c>
      <c r="AL46" s="378" t="s">
        <v>370</v>
      </c>
      <c r="AM46" s="378" t="s">
        <v>360</v>
      </c>
      <c r="AN46" s="643"/>
      <c r="AO46" s="378" t="s">
        <v>368</v>
      </c>
      <c r="AP46" s="378" t="s">
        <v>369</v>
      </c>
      <c r="AQ46" s="378" t="s">
        <v>370</v>
      </c>
      <c r="AR46" s="378" t="s">
        <v>360</v>
      </c>
      <c r="AS46" s="643"/>
      <c r="AT46" s="378" t="s">
        <v>368</v>
      </c>
      <c r="AU46" s="378" t="s">
        <v>369</v>
      </c>
      <c r="AV46" s="378" t="s">
        <v>370</v>
      </c>
      <c r="AW46" s="378" t="s">
        <v>360</v>
      </c>
      <c r="AX46" s="643"/>
      <c r="AZ46" s="373" t="s">
        <v>360</v>
      </c>
      <c r="BA46" s="643"/>
    </row>
    <row r="47" spans="2:53">
      <c r="B47" s="701" t="s">
        <v>464</v>
      </c>
      <c r="C47" s="380">
        <v>1</v>
      </c>
      <c r="D47" s="562"/>
      <c r="E47" s="563"/>
      <c r="F47" s="563"/>
      <c r="G47" s="565"/>
      <c r="H47" s="656" t="e">
        <f>AVERAGE(G47:G61)</f>
        <v>#DIV/0!</v>
      </c>
      <c r="I47" s="381" t="str">
        <f t="shared" ref="I47:I61" si="24">IFERROR(AVERAGE(P47,U47,Z47,AE47,AJ47,AO47,AT47),"-")</f>
        <v>-</v>
      </c>
      <c r="J47" s="381" t="str">
        <f t="shared" ref="J47:J61" si="25">IFERROR(AVERAGE(Q47,V47,AA47,AF47,AK47,AP47,AU47),"-")</f>
        <v>-</v>
      </c>
      <c r="K47" s="199" t="str">
        <f t="shared" ref="K47:K61" si="26">IFERROR(AVERAGE(R47,W47,AB47,AG47,AL47,AQ47,AV47),"-")</f>
        <v>-</v>
      </c>
      <c r="L47" s="658" t="str">
        <f>IFERROR(AVERAGE(K47:K61),"-")</f>
        <v>-</v>
      </c>
      <c r="M47" s="418" t="e">
        <f>RANK(K47, K$47:$K$61)</f>
        <v>#VALUE!</v>
      </c>
      <c r="N47" s="643"/>
      <c r="O47" s="643"/>
      <c r="P47" s="563"/>
      <c r="Q47" s="565"/>
      <c r="R47" s="565"/>
      <c r="S47" s="563"/>
      <c r="T47" s="638"/>
      <c r="U47" s="563"/>
      <c r="V47" s="565"/>
      <c r="W47" s="565"/>
      <c r="X47" s="563"/>
      <c r="Y47" s="638"/>
      <c r="Z47" s="563"/>
      <c r="AA47" s="565"/>
      <c r="AB47" s="565"/>
      <c r="AC47" s="563"/>
      <c r="AD47" s="638"/>
      <c r="AE47" s="563"/>
      <c r="AF47" s="565"/>
      <c r="AG47" s="565"/>
      <c r="AH47" s="563"/>
      <c r="AI47" s="638"/>
      <c r="AJ47" s="563"/>
      <c r="AK47" s="565"/>
      <c r="AL47" s="565"/>
      <c r="AM47" s="563"/>
      <c r="AN47" s="638"/>
      <c r="AO47" s="563"/>
      <c r="AP47" s="565"/>
      <c r="AQ47" s="565"/>
      <c r="AR47" s="563"/>
      <c r="AS47" s="638"/>
      <c r="AT47" s="563"/>
      <c r="AU47" s="565"/>
      <c r="AV47" s="565"/>
      <c r="AW47" s="563"/>
      <c r="AX47" s="638"/>
      <c r="AZ47" s="375" t="e">
        <f t="shared" ref="AZ47:AZ61" si="27">RANK(AY47, AY$47:AY$61)</f>
        <v>#N/A</v>
      </c>
      <c r="BA47" s="638" t="e">
        <f t="shared" ref="BA47" si="28">AVERAGE(AY47:AY61)</f>
        <v>#DIV/0!</v>
      </c>
    </row>
    <row r="48" spans="2:53">
      <c r="B48" s="649"/>
      <c r="C48" s="380">
        <v>2</v>
      </c>
      <c r="D48" s="563"/>
      <c r="E48" s="563"/>
      <c r="F48" s="563"/>
      <c r="G48" s="565"/>
      <c r="H48" s="657"/>
      <c r="I48" s="381" t="str">
        <f t="shared" si="24"/>
        <v>-</v>
      </c>
      <c r="J48" s="381" t="str">
        <f t="shared" si="25"/>
        <v>-</v>
      </c>
      <c r="K48" s="199" t="str">
        <f t="shared" si="26"/>
        <v>-</v>
      </c>
      <c r="L48" s="659"/>
      <c r="M48" s="418" t="e">
        <f>RANK(K48, K$47:$K$61)</f>
        <v>#VALUE!</v>
      </c>
      <c r="N48" s="643"/>
      <c r="O48" s="643"/>
      <c r="P48" s="563"/>
      <c r="Q48" s="565"/>
      <c r="R48" s="565"/>
      <c r="S48" s="563"/>
      <c r="T48" s="639"/>
      <c r="U48" s="563"/>
      <c r="V48" s="565"/>
      <c r="W48" s="565"/>
      <c r="X48" s="563"/>
      <c r="Y48" s="639"/>
      <c r="Z48" s="563"/>
      <c r="AA48" s="565"/>
      <c r="AB48" s="565"/>
      <c r="AC48" s="563"/>
      <c r="AD48" s="639"/>
      <c r="AE48" s="563"/>
      <c r="AF48" s="565"/>
      <c r="AG48" s="565"/>
      <c r="AH48" s="563"/>
      <c r="AI48" s="639"/>
      <c r="AJ48" s="563"/>
      <c r="AK48" s="565"/>
      <c r="AL48" s="565"/>
      <c r="AM48" s="563"/>
      <c r="AN48" s="639"/>
      <c r="AO48" s="563"/>
      <c r="AP48" s="565"/>
      <c r="AQ48" s="565"/>
      <c r="AR48" s="563"/>
      <c r="AS48" s="639"/>
      <c r="AT48" s="563"/>
      <c r="AU48" s="565"/>
      <c r="AV48" s="565"/>
      <c r="AW48" s="563"/>
      <c r="AX48" s="639"/>
      <c r="AZ48" s="551" t="e">
        <f t="shared" si="27"/>
        <v>#N/A</v>
      </c>
      <c r="BA48" s="639"/>
    </row>
    <row r="49" spans="2:53">
      <c r="B49" s="649"/>
      <c r="C49" s="380">
        <v>3</v>
      </c>
      <c r="D49" s="563"/>
      <c r="E49" s="563"/>
      <c r="F49" s="563"/>
      <c r="G49" s="565"/>
      <c r="H49" s="657"/>
      <c r="I49" s="381" t="str">
        <f t="shared" si="24"/>
        <v>-</v>
      </c>
      <c r="J49" s="381" t="str">
        <f t="shared" si="25"/>
        <v>-</v>
      </c>
      <c r="K49" s="199" t="str">
        <f t="shared" si="26"/>
        <v>-</v>
      </c>
      <c r="L49" s="659"/>
      <c r="M49" s="418" t="e">
        <f>RANK(K49, K$47:$K$61)</f>
        <v>#VALUE!</v>
      </c>
      <c r="N49" s="643"/>
      <c r="O49" s="643"/>
      <c r="P49" s="563"/>
      <c r="Q49" s="565"/>
      <c r="R49" s="565"/>
      <c r="S49" s="563"/>
      <c r="T49" s="639"/>
      <c r="U49" s="563"/>
      <c r="V49" s="565"/>
      <c r="W49" s="565"/>
      <c r="X49" s="563"/>
      <c r="Y49" s="639"/>
      <c r="Z49" s="563"/>
      <c r="AA49" s="565"/>
      <c r="AB49" s="565"/>
      <c r="AC49" s="563"/>
      <c r="AD49" s="639"/>
      <c r="AE49" s="563"/>
      <c r="AF49" s="565"/>
      <c r="AG49" s="565"/>
      <c r="AH49" s="563"/>
      <c r="AI49" s="639"/>
      <c r="AJ49" s="563"/>
      <c r="AK49" s="565"/>
      <c r="AL49" s="565"/>
      <c r="AM49" s="563"/>
      <c r="AN49" s="639"/>
      <c r="AO49" s="563"/>
      <c r="AP49" s="565"/>
      <c r="AQ49" s="565"/>
      <c r="AR49" s="563"/>
      <c r="AS49" s="639"/>
      <c r="AT49" s="563"/>
      <c r="AU49" s="565"/>
      <c r="AV49" s="565"/>
      <c r="AW49" s="563"/>
      <c r="AX49" s="639"/>
      <c r="AZ49" s="551" t="e">
        <f t="shared" si="27"/>
        <v>#N/A</v>
      </c>
      <c r="BA49" s="639"/>
    </row>
    <row r="50" spans="2:53">
      <c r="B50" s="649"/>
      <c r="C50" s="380">
        <v>4</v>
      </c>
      <c r="D50" s="563"/>
      <c r="E50" s="563"/>
      <c r="F50" s="563"/>
      <c r="G50" s="565"/>
      <c r="H50" s="657"/>
      <c r="I50" s="381" t="str">
        <f t="shared" si="24"/>
        <v>-</v>
      </c>
      <c r="J50" s="381" t="str">
        <f t="shared" si="25"/>
        <v>-</v>
      </c>
      <c r="K50" s="199" t="str">
        <f t="shared" si="26"/>
        <v>-</v>
      </c>
      <c r="L50" s="659"/>
      <c r="M50" s="418" t="e">
        <f>RANK(K50, K$47:$K$61)</f>
        <v>#VALUE!</v>
      </c>
      <c r="N50" s="643"/>
      <c r="O50" s="643"/>
      <c r="P50" s="563"/>
      <c r="Q50" s="565"/>
      <c r="R50" s="565"/>
      <c r="S50" s="563"/>
      <c r="T50" s="639"/>
      <c r="U50" s="563"/>
      <c r="V50" s="565"/>
      <c r="W50" s="565"/>
      <c r="X50" s="563"/>
      <c r="Y50" s="639"/>
      <c r="Z50" s="563"/>
      <c r="AA50" s="565"/>
      <c r="AB50" s="565"/>
      <c r="AC50" s="563"/>
      <c r="AD50" s="639"/>
      <c r="AE50" s="563"/>
      <c r="AF50" s="565"/>
      <c r="AG50" s="565"/>
      <c r="AH50" s="563"/>
      <c r="AI50" s="639"/>
      <c r="AJ50" s="563"/>
      <c r="AK50" s="565"/>
      <c r="AL50" s="565"/>
      <c r="AM50" s="563"/>
      <c r="AN50" s="639"/>
      <c r="AO50" s="563"/>
      <c r="AP50" s="565"/>
      <c r="AQ50" s="565"/>
      <c r="AR50" s="563"/>
      <c r="AS50" s="639"/>
      <c r="AT50" s="563"/>
      <c r="AU50" s="565"/>
      <c r="AV50" s="565"/>
      <c r="AW50" s="563"/>
      <c r="AX50" s="639"/>
      <c r="AZ50" s="551" t="e">
        <f t="shared" si="27"/>
        <v>#N/A</v>
      </c>
      <c r="BA50" s="639"/>
    </row>
    <row r="51" spans="2:53">
      <c r="B51" s="649"/>
      <c r="C51" s="380">
        <v>5</v>
      </c>
      <c r="D51" s="563"/>
      <c r="E51" s="563"/>
      <c r="F51" s="563"/>
      <c r="G51" s="565"/>
      <c r="H51" s="657"/>
      <c r="I51" s="381" t="str">
        <f t="shared" si="24"/>
        <v>-</v>
      </c>
      <c r="J51" s="381" t="str">
        <f t="shared" si="25"/>
        <v>-</v>
      </c>
      <c r="K51" s="199" t="str">
        <f t="shared" si="26"/>
        <v>-</v>
      </c>
      <c r="L51" s="659"/>
      <c r="M51" s="418" t="e">
        <f>RANK(K51, K$47:$K$61)</f>
        <v>#VALUE!</v>
      </c>
      <c r="N51" s="643"/>
      <c r="O51" s="643"/>
      <c r="P51" s="563"/>
      <c r="Q51" s="565"/>
      <c r="R51" s="565"/>
      <c r="S51" s="563"/>
      <c r="T51" s="639"/>
      <c r="U51" s="563"/>
      <c r="V51" s="565"/>
      <c r="W51" s="565"/>
      <c r="X51" s="563"/>
      <c r="Y51" s="639"/>
      <c r="Z51" s="563"/>
      <c r="AA51" s="565"/>
      <c r="AB51" s="565"/>
      <c r="AC51" s="563"/>
      <c r="AD51" s="639"/>
      <c r="AE51" s="563"/>
      <c r="AF51" s="565"/>
      <c r="AG51" s="565"/>
      <c r="AH51" s="563"/>
      <c r="AI51" s="639"/>
      <c r="AJ51" s="563"/>
      <c r="AK51" s="565"/>
      <c r="AL51" s="565"/>
      <c r="AM51" s="563"/>
      <c r="AN51" s="639"/>
      <c r="AO51" s="563"/>
      <c r="AP51" s="565"/>
      <c r="AQ51" s="565"/>
      <c r="AR51" s="563"/>
      <c r="AS51" s="639"/>
      <c r="AT51" s="563"/>
      <c r="AU51" s="565"/>
      <c r="AV51" s="565"/>
      <c r="AW51" s="563"/>
      <c r="AX51" s="639"/>
      <c r="AZ51" s="551" t="e">
        <f t="shared" si="27"/>
        <v>#N/A</v>
      </c>
      <c r="BA51" s="639"/>
    </row>
    <row r="52" spans="2:53">
      <c r="B52" s="649"/>
      <c r="C52" s="380">
        <v>6</v>
      </c>
      <c r="D52" s="563"/>
      <c r="E52" s="563"/>
      <c r="F52" s="563"/>
      <c r="G52" s="565"/>
      <c r="H52" s="657"/>
      <c r="I52" s="381" t="str">
        <f t="shared" si="24"/>
        <v>-</v>
      </c>
      <c r="J52" s="381" t="str">
        <f t="shared" si="25"/>
        <v>-</v>
      </c>
      <c r="K52" s="199" t="str">
        <f t="shared" si="26"/>
        <v>-</v>
      </c>
      <c r="L52" s="659"/>
      <c r="M52" s="418" t="e">
        <f>RANK(K52, K$47:$K$61)</f>
        <v>#VALUE!</v>
      </c>
      <c r="N52" s="643"/>
      <c r="O52" s="643"/>
      <c r="P52" s="563"/>
      <c r="Q52" s="565"/>
      <c r="R52" s="565"/>
      <c r="S52" s="563"/>
      <c r="T52" s="639"/>
      <c r="U52" s="563"/>
      <c r="V52" s="565"/>
      <c r="W52" s="565"/>
      <c r="X52" s="563"/>
      <c r="Y52" s="639"/>
      <c r="Z52" s="563"/>
      <c r="AA52" s="565"/>
      <c r="AB52" s="565"/>
      <c r="AC52" s="563"/>
      <c r="AD52" s="639"/>
      <c r="AE52" s="563"/>
      <c r="AF52" s="565"/>
      <c r="AG52" s="565"/>
      <c r="AH52" s="563"/>
      <c r="AI52" s="639"/>
      <c r="AJ52" s="563"/>
      <c r="AK52" s="565"/>
      <c r="AL52" s="565"/>
      <c r="AM52" s="563"/>
      <c r="AN52" s="639"/>
      <c r="AO52" s="563"/>
      <c r="AP52" s="565"/>
      <c r="AQ52" s="565"/>
      <c r="AR52" s="563"/>
      <c r="AS52" s="639"/>
      <c r="AT52" s="563"/>
      <c r="AU52" s="565"/>
      <c r="AV52" s="565"/>
      <c r="AW52" s="563"/>
      <c r="AX52" s="639"/>
      <c r="AZ52" s="551" t="e">
        <f t="shared" si="27"/>
        <v>#N/A</v>
      </c>
      <c r="BA52" s="639"/>
    </row>
    <row r="53" spans="2:53">
      <c r="B53" s="649"/>
      <c r="C53" s="380">
        <v>7</v>
      </c>
      <c r="D53" s="563"/>
      <c r="E53" s="563"/>
      <c r="F53" s="563"/>
      <c r="G53" s="565"/>
      <c r="H53" s="657"/>
      <c r="I53" s="381" t="str">
        <f t="shared" si="24"/>
        <v>-</v>
      </c>
      <c r="J53" s="381" t="str">
        <f t="shared" si="25"/>
        <v>-</v>
      </c>
      <c r="K53" s="199" t="str">
        <f t="shared" si="26"/>
        <v>-</v>
      </c>
      <c r="L53" s="659"/>
      <c r="M53" s="418" t="e">
        <f>RANK(K53, K$47:$K$61)</f>
        <v>#VALUE!</v>
      </c>
      <c r="N53" s="643"/>
      <c r="O53" s="643"/>
      <c r="P53" s="563"/>
      <c r="Q53" s="565"/>
      <c r="R53" s="565"/>
      <c r="S53" s="563"/>
      <c r="T53" s="639"/>
      <c r="U53" s="563"/>
      <c r="V53" s="565"/>
      <c r="W53" s="565"/>
      <c r="X53" s="563"/>
      <c r="Y53" s="639"/>
      <c r="Z53" s="563"/>
      <c r="AA53" s="565"/>
      <c r="AB53" s="565"/>
      <c r="AC53" s="563"/>
      <c r="AD53" s="639"/>
      <c r="AE53" s="563"/>
      <c r="AF53" s="565"/>
      <c r="AG53" s="565"/>
      <c r="AH53" s="563"/>
      <c r="AI53" s="639"/>
      <c r="AJ53" s="563"/>
      <c r="AK53" s="565"/>
      <c r="AL53" s="565"/>
      <c r="AM53" s="563"/>
      <c r="AN53" s="639"/>
      <c r="AO53" s="563"/>
      <c r="AP53" s="565"/>
      <c r="AQ53" s="565"/>
      <c r="AR53" s="563"/>
      <c r="AS53" s="639"/>
      <c r="AT53" s="563"/>
      <c r="AU53" s="565"/>
      <c r="AV53" s="565"/>
      <c r="AW53" s="563"/>
      <c r="AX53" s="639"/>
      <c r="AZ53" s="551" t="e">
        <f t="shared" si="27"/>
        <v>#N/A</v>
      </c>
      <c r="BA53" s="639"/>
    </row>
    <row r="54" spans="2:53">
      <c r="B54" s="649"/>
      <c r="C54" s="380">
        <v>8</v>
      </c>
      <c r="D54" s="563"/>
      <c r="E54" s="563"/>
      <c r="F54" s="563"/>
      <c r="G54" s="565"/>
      <c r="H54" s="657"/>
      <c r="I54" s="381" t="str">
        <f t="shared" si="24"/>
        <v>-</v>
      </c>
      <c r="J54" s="381" t="str">
        <f t="shared" si="25"/>
        <v>-</v>
      </c>
      <c r="K54" s="199" t="str">
        <f t="shared" si="26"/>
        <v>-</v>
      </c>
      <c r="L54" s="659"/>
      <c r="M54" s="418" t="e">
        <f>RANK(K54, K$47:$K$61)</f>
        <v>#VALUE!</v>
      </c>
      <c r="N54" s="643"/>
      <c r="O54" s="643"/>
      <c r="P54" s="563"/>
      <c r="Q54" s="565"/>
      <c r="R54" s="565"/>
      <c r="S54" s="563"/>
      <c r="T54" s="639"/>
      <c r="U54" s="563"/>
      <c r="V54" s="565"/>
      <c r="W54" s="565"/>
      <c r="X54" s="563"/>
      <c r="Y54" s="639"/>
      <c r="Z54" s="563"/>
      <c r="AA54" s="565"/>
      <c r="AB54" s="565"/>
      <c r="AC54" s="563"/>
      <c r="AD54" s="639"/>
      <c r="AE54" s="563"/>
      <c r="AF54" s="565"/>
      <c r="AG54" s="565"/>
      <c r="AH54" s="563"/>
      <c r="AI54" s="639"/>
      <c r="AJ54" s="563"/>
      <c r="AK54" s="565"/>
      <c r="AL54" s="565"/>
      <c r="AM54" s="563"/>
      <c r="AN54" s="639"/>
      <c r="AO54" s="563"/>
      <c r="AP54" s="565"/>
      <c r="AQ54" s="565"/>
      <c r="AR54" s="563"/>
      <c r="AS54" s="639"/>
      <c r="AT54" s="563"/>
      <c r="AU54" s="565"/>
      <c r="AV54" s="565"/>
      <c r="AW54" s="563"/>
      <c r="AX54" s="639"/>
      <c r="AZ54" s="551" t="e">
        <f t="shared" si="27"/>
        <v>#N/A</v>
      </c>
      <c r="BA54" s="639"/>
    </row>
    <row r="55" spans="2:53">
      <c r="B55" s="649"/>
      <c r="C55" s="380">
        <v>9</v>
      </c>
      <c r="D55" s="563"/>
      <c r="E55" s="563"/>
      <c r="F55" s="563"/>
      <c r="G55" s="565"/>
      <c r="H55" s="657"/>
      <c r="I55" s="381" t="str">
        <f t="shared" si="24"/>
        <v>-</v>
      </c>
      <c r="J55" s="381" t="str">
        <f t="shared" si="25"/>
        <v>-</v>
      </c>
      <c r="K55" s="199" t="str">
        <f t="shared" si="26"/>
        <v>-</v>
      </c>
      <c r="L55" s="659"/>
      <c r="M55" s="418" t="e">
        <f>RANK(K55, K$47:$K$61)</f>
        <v>#VALUE!</v>
      </c>
      <c r="N55" s="643"/>
      <c r="O55" s="643"/>
      <c r="P55" s="563"/>
      <c r="Q55" s="565"/>
      <c r="R55" s="565"/>
      <c r="S55" s="563"/>
      <c r="T55" s="639"/>
      <c r="U55" s="563"/>
      <c r="V55" s="565"/>
      <c r="W55" s="565"/>
      <c r="X55" s="563"/>
      <c r="Y55" s="639"/>
      <c r="Z55" s="563"/>
      <c r="AA55" s="565"/>
      <c r="AB55" s="565"/>
      <c r="AC55" s="563"/>
      <c r="AD55" s="639"/>
      <c r="AE55" s="563"/>
      <c r="AF55" s="565"/>
      <c r="AG55" s="565"/>
      <c r="AH55" s="563"/>
      <c r="AI55" s="639"/>
      <c r="AJ55" s="563"/>
      <c r="AK55" s="565"/>
      <c r="AL55" s="565"/>
      <c r="AM55" s="563"/>
      <c r="AN55" s="639"/>
      <c r="AO55" s="563"/>
      <c r="AP55" s="565"/>
      <c r="AQ55" s="565"/>
      <c r="AR55" s="563"/>
      <c r="AS55" s="639"/>
      <c r="AT55" s="563"/>
      <c r="AU55" s="565"/>
      <c r="AV55" s="565"/>
      <c r="AW55" s="563"/>
      <c r="AX55" s="639"/>
      <c r="AZ55" s="551" t="e">
        <f t="shared" si="27"/>
        <v>#N/A</v>
      </c>
      <c r="BA55" s="639"/>
    </row>
    <row r="56" spans="2:53">
      <c r="B56" s="649"/>
      <c r="C56" s="380">
        <v>10</v>
      </c>
      <c r="D56" s="563"/>
      <c r="E56" s="563"/>
      <c r="F56" s="563"/>
      <c r="G56" s="565"/>
      <c r="H56" s="657"/>
      <c r="I56" s="381" t="str">
        <f t="shared" si="24"/>
        <v>-</v>
      </c>
      <c r="J56" s="381" t="str">
        <f t="shared" si="25"/>
        <v>-</v>
      </c>
      <c r="K56" s="199" t="str">
        <f t="shared" si="26"/>
        <v>-</v>
      </c>
      <c r="L56" s="659"/>
      <c r="M56" s="418" t="e">
        <f>RANK(K56, K$47:$K$61)</f>
        <v>#VALUE!</v>
      </c>
      <c r="N56" s="643"/>
      <c r="O56" s="643"/>
      <c r="P56" s="563"/>
      <c r="Q56" s="565"/>
      <c r="R56" s="565"/>
      <c r="S56" s="563"/>
      <c r="T56" s="639"/>
      <c r="U56" s="563"/>
      <c r="V56" s="565"/>
      <c r="W56" s="565"/>
      <c r="X56" s="563"/>
      <c r="Y56" s="639"/>
      <c r="Z56" s="563"/>
      <c r="AA56" s="565"/>
      <c r="AB56" s="565"/>
      <c r="AC56" s="563"/>
      <c r="AD56" s="639"/>
      <c r="AE56" s="563"/>
      <c r="AF56" s="565"/>
      <c r="AG56" s="565"/>
      <c r="AH56" s="563"/>
      <c r="AI56" s="639"/>
      <c r="AJ56" s="563"/>
      <c r="AK56" s="565"/>
      <c r="AL56" s="565"/>
      <c r="AM56" s="563"/>
      <c r="AN56" s="639"/>
      <c r="AO56" s="563"/>
      <c r="AP56" s="565"/>
      <c r="AQ56" s="565"/>
      <c r="AR56" s="563"/>
      <c r="AS56" s="639"/>
      <c r="AT56" s="563"/>
      <c r="AU56" s="565"/>
      <c r="AV56" s="565"/>
      <c r="AW56" s="563"/>
      <c r="AX56" s="639"/>
      <c r="AZ56" s="551" t="e">
        <f t="shared" si="27"/>
        <v>#N/A</v>
      </c>
      <c r="BA56" s="639"/>
    </row>
    <row r="57" spans="2:53">
      <c r="B57" s="649"/>
      <c r="C57" s="380">
        <v>11</v>
      </c>
      <c r="D57" s="563"/>
      <c r="E57" s="563"/>
      <c r="F57" s="563"/>
      <c r="G57" s="565"/>
      <c r="H57" s="657"/>
      <c r="I57" s="381" t="str">
        <f t="shared" si="24"/>
        <v>-</v>
      </c>
      <c r="J57" s="381" t="str">
        <f t="shared" si="25"/>
        <v>-</v>
      </c>
      <c r="K57" s="199" t="str">
        <f t="shared" si="26"/>
        <v>-</v>
      </c>
      <c r="L57" s="659"/>
      <c r="M57" s="418" t="e">
        <f>RANK(K57, K$47:$K$61)</f>
        <v>#VALUE!</v>
      </c>
      <c r="N57" s="643"/>
      <c r="O57" s="643"/>
      <c r="P57" s="563"/>
      <c r="Q57" s="565"/>
      <c r="R57" s="565"/>
      <c r="S57" s="563"/>
      <c r="T57" s="639"/>
      <c r="U57" s="563"/>
      <c r="V57" s="565"/>
      <c r="W57" s="565"/>
      <c r="X57" s="563"/>
      <c r="Y57" s="639"/>
      <c r="Z57" s="563"/>
      <c r="AA57" s="565"/>
      <c r="AB57" s="565"/>
      <c r="AC57" s="563"/>
      <c r="AD57" s="639"/>
      <c r="AE57" s="563"/>
      <c r="AF57" s="565"/>
      <c r="AG57" s="565"/>
      <c r="AH57" s="563"/>
      <c r="AI57" s="639"/>
      <c r="AJ57" s="563"/>
      <c r="AK57" s="565"/>
      <c r="AL57" s="565"/>
      <c r="AM57" s="563"/>
      <c r="AN57" s="639"/>
      <c r="AO57" s="563"/>
      <c r="AP57" s="565"/>
      <c r="AQ57" s="565"/>
      <c r="AR57" s="563"/>
      <c r="AS57" s="639"/>
      <c r="AT57" s="563"/>
      <c r="AU57" s="565"/>
      <c r="AV57" s="565"/>
      <c r="AW57" s="563"/>
      <c r="AX57" s="639"/>
      <c r="AZ57" s="551" t="e">
        <f t="shared" si="27"/>
        <v>#N/A</v>
      </c>
      <c r="BA57" s="639"/>
    </row>
    <row r="58" spans="2:53">
      <c r="B58" s="649"/>
      <c r="C58" s="380">
        <v>12</v>
      </c>
      <c r="D58" s="563"/>
      <c r="E58" s="563"/>
      <c r="F58" s="563"/>
      <c r="G58" s="565"/>
      <c r="H58" s="657"/>
      <c r="I58" s="381" t="str">
        <f t="shared" si="24"/>
        <v>-</v>
      </c>
      <c r="J58" s="381" t="str">
        <f t="shared" si="25"/>
        <v>-</v>
      </c>
      <c r="K58" s="199" t="str">
        <f t="shared" si="26"/>
        <v>-</v>
      </c>
      <c r="L58" s="659"/>
      <c r="M58" s="418" t="e">
        <f>RANK(K58, K$47:$K$61)</f>
        <v>#VALUE!</v>
      </c>
      <c r="N58" s="643"/>
      <c r="O58" s="643"/>
      <c r="P58" s="563"/>
      <c r="Q58" s="565"/>
      <c r="R58" s="565"/>
      <c r="S58" s="563"/>
      <c r="T58" s="639"/>
      <c r="U58" s="563"/>
      <c r="V58" s="565"/>
      <c r="W58" s="565"/>
      <c r="X58" s="563"/>
      <c r="Y58" s="639"/>
      <c r="Z58" s="563"/>
      <c r="AA58" s="565"/>
      <c r="AB58" s="565"/>
      <c r="AC58" s="563"/>
      <c r="AD58" s="639"/>
      <c r="AE58" s="563"/>
      <c r="AF58" s="565"/>
      <c r="AG58" s="565"/>
      <c r="AH58" s="563"/>
      <c r="AI58" s="639"/>
      <c r="AJ58" s="563"/>
      <c r="AK58" s="565"/>
      <c r="AL58" s="565"/>
      <c r="AM58" s="563"/>
      <c r="AN58" s="639"/>
      <c r="AO58" s="563"/>
      <c r="AP58" s="565"/>
      <c r="AQ58" s="565"/>
      <c r="AR58" s="563"/>
      <c r="AS58" s="639"/>
      <c r="AT58" s="563"/>
      <c r="AU58" s="565"/>
      <c r="AV58" s="565"/>
      <c r="AW58" s="563"/>
      <c r="AX58" s="639"/>
      <c r="AZ58" s="551" t="e">
        <f t="shared" si="27"/>
        <v>#N/A</v>
      </c>
      <c r="BA58" s="639"/>
    </row>
    <row r="59" spans="2:53">
      <c r="B59" s="649"/>
      <c r="C59" s="380">
        <v>13</v>
      </c>
      <c r="D59" s="563"/>
      <c r="E59" s="563"/>
      <c r="F59" s="563"/>
      <c r="G59" s="565"/>
      <c r="H59" s="657"/>
      <c r="I59" s="381" t="str">
        <f t="shared" si="24"/>
        <v>-</v>
      </c>
      <c r="J59" s="381" t="str">
        <f t="shared" si="25"/>
        <v>-</v>
      </c>
      <c r="K59" s="199" t="str">
        <f t="shared" si="26"/>
        <v>-</v>
      </c>
      <c r="L59" s="659"/>
      <c r="M59" s="418" t="e">
        <f>RANK(K59, K$47:$K$61)</f>
        <v>#VALUE!</v>
      </c>
      <c r="N59" s="643"/>
      <c r="O59" s="643"/>
      <c r="P59" s="563"/>
      <c r="Q59" s="565"/>
      <c r="R59" s="565"/>
      <c r="S59" s="563"/>
      <c r="T59" s="639"/>
      <c r="U59" s="563"/>
      <c r="V59" s="565"/>
      <c r="W59" s="565"/>
      <c r="X59" s="563"/>
      <c r="Y59" s="639"/>
      <c r="Z59" s="563"/>
      <c r="AA59" s="565"/>
      <c r="AB59" s="565"/>
      <c r="AC59" s="563"/>
      <c r="AD59" s="639"/>
      <c r="AE59" s="563"/>
      <c r="AF59" s="565"/>
      <c r="AG59" s="565"/>
      <c r="AH59" s="563"/>
      <c r="AI59" s="639"/>
      <c r="AJ59" s="563"/>
      <c r="AK59" s="565"/>
      <c r="AL59" s="565"/>
      <c r="AM59" s="563"/>
      <c r="AN59" s="639"/>
      <c r="AO59" s="563"/>
      <c r="AP59" s="565"/>
      <c r="AQ59" s="565"/>
      <c r="AR59" s="563"/>
      <c r="AS59" s="639"/>
      <c r="AT59" s="563"/>
      <c r="AU59" s="565"/>
      <c r="AV59" s="565"/>
      <c r="AW59" s="563"/>
      <c r="AX59" s="639"/>
      <c r="AZ59" s="551" t="e">
        <f t="shared" si="27"/>
        <v>#N/A</v>
      </c>
      <c r="BA59" s="639"/>
    </row>
    <row r="60" spans="2:53">
      <c r="B60" s="649"/>
      <c r="C60" s="380">
        <v>14</v>
      </c>
      <c r="D60" s="563"/>
      <c r="E60" s="563"/>
      <c r="F60" s="563"/>
      <c r="G60" s="565"/>
      <c r="H60" s="657"/>
      <c r="I60" s="381" t="str">
        <f t="shared" si="24"/>
        <v>-</v>
      </c>
      <c r="J60" s="381" t="str">
        <f t="shared" si="25"/>
        <v>-</v>
      </c>
      <c r="K60" s="199" t="str">
        <f t="shared" si="26"/>
        <v>-</v>
      </c>
      <c r="L60" s="659"/>
      <c r="M60" s="418" t="e">
        <f>RANK(K60, K$47:$K$61)</f>
        <v>#VALUE!</v>
      </c>
      <c r="N60" s="643"/>
      <c r="O60" s="643"/>
      <c r="P60" s="563"/>
      <c r="Q60" s="565"/>
      <c r="R60" s="565"/>
      <c r="S60" s="563"/>
      <c r="T60" s="639"/>
      <c r="U60" s="563"/>
      <c r="V60" s="565"/>
      <c r="W60" s="565"/>
      <c r="X60" s="563"/>
      <c r="Y60" s="639"/>
      <c r="Z60" s="563"/>
      <c r="AA60" s="565"/>
      <c r="AB60" s="565"/>
      <c r="AC60" s="563"/>
      <c r="AD60" s="639"/>
      <c r="AE60" s="563"/>
      <c r="AF60" s="565"/>
      <c r="AG60" s="565"/>
      <c r="AH60" s="563"/>
      <c r="AI60" s="639"/>
      <c r="AJ60" s="563"/>
      <c r="AK60" s="565"/>
      <c r="AL60" s="565"/>
      <c r="AM60" s="563"/>
      <c r="AN60" s="639"/>
      <c r="AO60" s="563"/>
      <c r="AP60" s="565"/>
      <c r="AQ60" s="565"/>
      <c r="AR60" s="563"/>
      <c r="AS60" s="639"/>
      <c r="AT60" s="563"/>
      <c r="AU60" s="565"/>
      <c r="AV60" s="565"/>
      <c r="AW60" s="563"/>
      <c r="AX60" s="639"/>
      <c r="AZ60" s="551" t="e">
        <f t="shared" si="27"/>
        <v>#N/A</v>
      </c>
      <c r="BA60" s="639"/>
    </row>
    <row r="61" spans="2:53">
      <c r="B61" s="649"/>
      <c r="C61" s="380">
        <v>15</v>
      </c>
      <c r="D61" s="563"/>
      <c r="E61" s="563"/>
      <c r="F61" s="563"/>
      <c r="G61" s="563"/>
      <c r="H61" s="714"/>
      <c r="I61" s="381" t="str">
        <f t="shared" si="24"/>
        <v>-</v>
      </c>
      <c r="J61" s="381" t="str">
        <f t="shared" si="25"/>
        <v>-</v>
      </c>
      <c r="K61" s="199" t="str">
        <f t="shared" si="26"/>
        <v>-</v>
      </c>
      <c r="L61" s="660"/>
      <c r="M61" s="418" t="e">
        <f>RANK(K61, K$47:$K$61)</f>
        <v>#VALUE!</v>
      </c>
      <c r="N61" s="643"/>
      <c r="O61" s="643"/>
      <c r="P61" s="563"/>
      <c r="Q61" s="565"/>
      <c r="R61" s="565"/>
      <c r="S61" s="563"/>
      <c r="T61" s="640"/>
      <c r="U61" s="563"/>
      <c r="V61" s="565"/>
      <c r="W61" s="565"/>
      <c r="X61" s="563"/>
      <c r="Y61" s="640"/>
      <c r="Z61" s="563"/>
      <c r="AA61" s="565"/>
      <c r="AB61" s="565"/>
      <c r="AC61" s="563"/>
      <c r="AD61" s="640"/>
      <c r="AE61" s="563"/>
      <c r="AF61" s="565"/>
      <c r="AG61" s="565"/>
      <c r="AH61" s="563"/>
      <c r="AI61" s="640"/>
      <c r="AJ61" s="563"/>
      <c r="AK61" s="565"/>
      <c r="AL61" s="565"/>
      <c r="AM61" s="563"/>
      <c r="AN61" s="640"/>
      <c r="AO61" s="563"/>
      <c r="AP61" s="565"/>
      <c r="AQ61" s="565"/>
      <c r="AR61" s="563"/>
      <c r="AS61" s="640"/>
      <c r="AT61" s="563"/>
      <c r="AU61" s="565"/>
      <c r="AV61" s="565"/>
      <c r="AW61" s="563"/>
      <c r="AX61" s="640"/>
      <c r="AZ61" s="551" t="e">
        <f t="shared" si="27"/>
        <v>#N/A</v>
      </c>
      <c r="BA61" s="640"/>
    </row>
    <row r="62" spans="2:53" ht="15.75">
      <c r="B62" s="671" t="s">
        <v>162</v>
      </c>
      <c r="C62" s="672"/>
      <c r="D62" s="672"/>
      <c r="E62" s="672"/>
      <c r="F62" s="672"/>
      <c r="G62" s="672"/>
      <c r="H62" s="673"/>
      <c r="I62" s="207"/>
      <c r="J62" s="207"/>
      <c r="K62" s="207"/>
      <c r="L62" s="207"/>
      <c r="M62" s="206"/>
      <c r="N62" s="645" t="s">
        <v>156</v>
      </c>
      <c r="O62" s="645" t="s">
        <v>105</v>
      </c>
      <c r="P62" s="670">
        <f>P42+7</f>
        <v>46287</v>
      </c>
      <c r="Q62" s="649"/>
      <c r="R62" s="649"/>
      <c r="S62" s="649"/>
      <c r="T62" s="649"/>
      <c r="U62" s="667">
        <f>P62+1</f>
        <v>46288</v>
      </c>
      <c r="V62" s="668"/>
      <c r="W62" s="668"/>
      <c r="X62" s="668"/>
      <c r="Y62" s="669"/>
      <c r="Z62" s="667">
        <f>U62+1</f>
        <v>46289</v>
      </c>
      <c r="AA62" s="668"/>
      <c r="AB62" s="668"/>
      <c r="AC62" s="668"/>
      <c r="AD62" s="669"/>
      <c r="AE62" s="667">
        <f>Z62+1</f>
        <v>46290</v>
      </c>
      <c r="AF62" s="668"/>
      <c r="AG62" s="668"/>
      <c r="AH62" s="668"/>
      <c r="AI62" s="669"/>
      <c r="AJ62" s="667">
        <f>AE62+1</f>
        <v>46291</v>
      </c>
      <c r="AK62" s="668"/>
      <c r="AL62" s="668"/>
      <c r="AM62" s="668"/>
      <c r="AN62" s="669"/>
      <c r="AO62" s="667">
        <f>AJ62+1</f>
        <v>46292</v>
      </c>
      <c r="AP62" s="668"/>
      <c r="AQ62" s="668"/>
      <c r="AR62" s="668"/>
      <c r="AS62" s="669"/>
      <c r="AT62" s="667">
        <f>AO62+1</f>
        <v>46293</v>
      </c>
      <c r="AU62" s="668"/>
      <c r="AV62" s="668"/>
      <c r="AW62" s="668"/>
      <c r="AX62" s="669"/>
    </row>
    <row r="63" spans="2:53" ht="15.75">
      <c r="B63" s="674"/>
      <c r="C63" s="674"/>
      <c r="D63" s="674"/>
      <c r="E63" s="674"/>
      <c r="F63" s="674"/>
      <c r="G63" s="674"/>
      <c r="H63" s="674"/>
      <c r="I63" s="204"/>
      <c r="J63" s="204"/>
      <c r="K63" s="204"/>
      <c r="L63" s="204"/>
      <c r="M63" s="205"/>
      <c r="N63" s="647"/>
      <c r="O63" s="647"/>
      <c r="P63" s="670" t="s">
        <v>317</v>
      </c>
      <c r="Q63" s="649"/>
      <c r="R63" s="649"/>
      <c r="S63" s="649"/>
      <c r="T63" s="649"/>
      <c r="U63" s="670" t="s">
        <v>318</v>
      </c>
      <c r="V63" s="649"/>
      <c r="W63" s="649"/>
      <c r="X63" s="649"/>
      <c r="Y63" s="649"/>
      <c r="Z63" s="670" t="s">
        <v>319</v>
      </c>
      <c r="AA63" s="649"/>
      <c r="AB63" s="649"/>
      <c r="AC63" s="649"/>
      <c r="AD63" s="649"/>
      <c r="AE63" s="670" t="s">
        <v>320</v>
      </c>
      <c r="AF63" s="649"/>
      <c r="AG63" s="649"/>
      <c r="AH63" s="649"/>
      <c r="AI63" s="649"/>
      <c r="AJ63" s="670" t="s">
        <v>321</v>
      </c>
      <c r="AK63" s="649"/>
      <c r="AL63" s="649"/>
      <c r="AM63" s="649"/>
      <c r="AN63" s="649"/>
      <c r="AO63" s="670" t="s">
        <v>322</v>
      </c>
      <c r="AP63" s="649"/>
      <c r="AQ63" s="649"/>
      <c r="AR63" s="649"/>
      <c r="AS63" s="649"/>
      <c r="AT63" s="670" t="s">
        <v>323</v>
      </c>
      <c r="AU63" s="649"/>
      <c r="AV63" s="649"/>
      <c r="AW63" s="649"/>
      <c r="AX63" s="649"/>
    </row>
    <row r="64" spans="2:53">
      <c r="B64" s="643" t="s">
        <v>362</v>
      </c>
      <c r="C64" s="643" t="s">
        <v>372</v>
      </c>
      <c r="D64" s="643"/>
      <c r="E64" s="643" t="s">
        <v>363</v>
      </c>
      <c r="F64" s="643"/>
      <c r="G64" s="643"/>
      <c r="H64" s="675" t="s">
        <v>359</v>
      </c>
      <c r="I64" s="643" t="s">
        <v>364</v>
      </c>
      <c r="J64" s="643"/>
      <c r="K64" s="643"/>
      <c r="L64" s="675" t="s">
        <v>359</v>
      </c>
      <c r="M64" s="645" t="s">
        <v>360</v>
      </c>
      <c r="N64" s="643"/>
      <c r="O64" s="643" t="s">
        <v>365</v>
      </c>
      <c r="P64" s="661" t="s">
        <v>361</v>
      </c>
      <c r="Q64" s="662"/>
      <c r="R64" s="662"/>
      <c r="S64" s="663"/>
      <c r="T64" s="643" t="s">
        <v>359</v>
      </c>
      <c r="U64" s="661" t="s">
        <v>361</v>
      </c>
      <c r="V64" s="662"/>
      <c r="W64" s="662"/>
      <c r="X64" s="663"/>
      <c r="Y64" s="643" t="s">
        <v>359</v>
      </c>
      <c r="Z64" s="661" t="s">
        <v>361</v>
      </c>
      <c r="AA64" s="662"/>
      <c r="AB64" s="662"/>
      <c r="AC64" s="663"/>
      <c r="AD64" s="643" t="s">
        <v>359</v>
      </c>
      <c r="AE64" s="661" t="s">
        <v>361</v>
      </c>
      <c r="AF64" s="662"/>
      <c r="AG64" s="662"/>
      <c r="AH64" s="663"/>
      <c r="AI64" s="643" t="s">
        <v>359</v>
      </c>
      <c r="AJ64" s="661" t="s">
        <v>361</v>
      </c>
      <c r="AK64" s="662"/>
      <c r="AL64" s="662"/>
      <c r="AM64" s="663"/>
      <c r="AN64" s="643" t="s">
        <v>359</v>
      </c>
      <c r="AO64" s="661" t="s">
        <v>361</v>
      </c>
      <c r="AP64" s="662"/>
      <c r="AQ64" s="662"/>
      <c r="AR64" s="663"/>
      <c r="AS64" s="643" t="s">
        <v>359</v>
      </c>
      <c r="AT64" s="661" t="s">
        <v>361</v>
      </c>
      <c r="AU64" s="662"/>
      <c r="AV64" s="662"/>
      <c r="AW64" s="663"/>
      <c r="AX64" s="643" t="s">
        <v>359</v>
      </c>
      <c r="BA64" s="643" t="s">
        <v>359</v>
      </c>
    </row>
    <row r="65" spans="2:53">
      <c r="B65" s="643"/>
      <c r="C65" s="643"/>
      <c r="D65" s="643"/>
      <c r="E65" s="643" t="s">
        <v>366</v>
      </c>
      <c r="F65" s="643"/>
      <c r="G65" s="643"/>
      <c r="H65" s="676"/>
      <c r="I65" s="643" t="s">
        <v>366</v>
      </c>
      <c r="J65" s="643"/>
      <c r="K65" s="643"/>
      <c r="L65" s="676"/>
      <c r="M65" s="646"/>
      <c r="N65" s="643"/>
      <c r="O65" s="643"/>
      <c r="P65" s="661" t="s">
        <v>367</v>
      </c>
      <c r="Q65" s="662"/>
      <c r="R65" s="662"/>
      <c r="S65" s="663"/>
      <c r="T65" s="643"/>
      <c r="U65" s="661" t="s">
        <v>367</v>
      </c>
      <c r="V65" s="662"/>
      <c r="W65" s="662"/>
      <c r="X65" s="663"/>
      <c r="Y65" s="643"/>
      <c r="Z65" s="661" t="s">
        <v>367</v>
      </c>
      <c r="AA65" s="662"/>
      <c r="AB65" s="662"/>
      <c r="AC65" s="663"/>
      <c r="AD65" s="643"/>
      <c r="AE65" s="661" t="s">
        <v>367</v>
      </c>
      <c r="AF65" s="662"/>
      <c r="AG65" s="662"/>
      <c r="AH65" s="663"/>
      <c r="AI65" s="643"/>
      <c r="AJ65" s="661" t="s">
        <v>367</v>
      </c>
      <c r="AK65" s="662"/>
      <c r="AL65" s="662"/>
      <c r="AM65" s="663"/>
      <c r="AN65" s="643"/>
      <c r="AO65" s="661" t="s">
        <v>367</v>
      </c>
      <c r="AP65" s="662"/>
      <c r="AQ65" s="662"/>
      <c r="AR65" s="663"/>
      <c r="AS65" s="643"/>
      <c r="AT65" s="661" t="s">
        <v>367</v>
      </c>
      <c r="AU65" s="662"/>
      <c r="AV65" s="662"/>
      <c r="AW65" s="663"/>
      <c r="AX65" s="643"/>
      <c r="BA65" s="643"/>
    </row>
    <row r="66" spans="2:53">
      <c r="B66" s="643"/>
      <c r="C66" s="643"/>
      <c r="D66" s="643"/>
      <c r="E66" s="378" t="s">
        <v>368</v>
      </c>
      <c r="F66" s="378" t="s">
        <v>369</v>
      </c>
      <c r="G66" s="378" t="s">
        <v>370</v>
      </c>
      <c r="H66" s="677"/>
      <c r="I66" s="378" t="s">
        <v>368</v>
      </c>
      <c r="J66" s="378" t="s">
        <v>369</v>
      </c>
      <c r="K66" s="378" t="s">
        <v>370</v>
      </c>
      <c r="L66" s="677"/>
      <c r="M66" s="647"/>
      <c r="N66" s="643"/>
      <c r="O66" s="643"/>
      <c r="P66" s="378" t="s">
        <v>368</v>
      </c>
      <c r="Q66" s="378" t="s">
        <v>369</v>
      </c>
      <c r="R66" s="378" t="s">
        <v>370</v>
      </c>
      <c r="S66" s="378" t="s">
        <v>360</v>
      </c>
      <c r="T66" s="643"/>
      <c r="U66" s="378" t="s">
        <v>368</v>
      </c>
      <c r="V66" s="378" t="s">
        <v>369</v>
      </c>
      <c r="W66" s="378" t="s">
        <v>370</v>
      </c>
      <c r="X66" s="378" t="s">
        <v>360</v>
      </c>
      <c r="Y66" s="643"/>
      <c r="Z66" s="378" t="s">
        <v>368</v>
      </c>
      <c r="AA66" s="378" t="s">
        <v>369</v>
      </c>
      <c r="AB66" s="378" t="s">
        <v>370</v>
      </c>
      <c r="AC66" s="378" t="s">
        <v>360</v>
      </c>
      <c r="AD66" s="643"/>
      <c r="AE66" s="378" t="s">
        <v>368</v>
      </c>
      <c r="AF66" s="378" t="s">
        <v>369</v>
      </c>
      <c r="AG66" s="378" t="s">
        <v>370</v>
      </c>
      <c r="AH66" s="378" t="s">
        <v>360</v>
      </c>
      <c r="AI66" s="643"/>
      <c r="AJ66" s="378" t="s">
        <v>368</v>
      </c>
      <c r="AK66" s="378" t="s">
        <v>369</v>
      </c>
      <c r="AL66" s="378" t="s">
        <v>370</v>
      </c>
      <c r="AM66" s="378" t="s">
        <v>360</v>
      </c>
      <c r="AN66" s="643"/>
      <c r="AO66" s="378" t="s">
        <v>368</v>
      </c>
      <c r="AP66" s="378" t="s">
        <v>369</v>
      </c>
      <c r="AQ66" s="378" t="s">
        <v>370</v>
      </c>
      <c r="AR66" s="378" t="s">
        <v>360</v>
      </c>
      <c r="AS66" s="643"/>
      <c r="AT66" s="378" t="s">
        <v>368</v>
      </c>
      <c r="AU66" s="378" t="s">
        <v>369</v>
      </c>
      <c r="AV66" s="378" t="s">
        <v>370</v>
      </c>
      <c r="AW66" s="378" t="s">
        <v>360</v>
      </c>
      <c r="AX66" s="643"/>
      <c r="AZ66" s="373" t="s">
        <v>360</v>
      </c>
      <c r="BA66" s="643"/>
    </row>
    <row r="67" spans="2:53">
      <c r="B67" s="701" t="s">
        <v>379</v>
      </c>
      <c r="C67" s="380">
        <v>1</v>
      </c>
      <c r="D67" s="562"/>
      <c r="E67" s="563"/>
      <c r="F67" s="563"/>
      <c r="G67" s="565"/>
      <c r="H67" s="656" t="e">
        <f>AVERAGE(G67:G81)</f>
        <v>#DIV/0!</v>
      </c>
      <c r="I67" s="381" t="str">
        <f t="shared" ref="I67:I81" si="29">IFERROR(AVERAGE(P67,U67,Z67,AE67,AJ67,AO67,AT67),"-")</f>
        <v>-</v>
      </c>
      <c r="J67" s="381" t="str">
        <f t="shared" ref="J67:J81" si="30">IFERROR(AVERAGE(Q67,V67,AA67,AF67,AK67,AP67,AU67),"-")</f>
        <v>-</v>
      </c>
      <c r="K67" s="199" t="str">
        <f t="shared" ref="K67:K81" si="31">IFERROR(AVERAGE(R67,W67,AB67,AG67,AL67,AQ67,AV67),"-")</f>
        <v>-</v>
      </c>
      <c r="L67" s="658" t="str">
        <f>IFERROR(AVERAGE(K67:K81),"-")</f>
        <v>-</v>
      </c>
      <c r="M67" s="384" t="e">
        <f>RANK(K67, K$67:$K$81)</f>
        <v>#VALUE!</v>
      </c>
      <c r="N67" s="643"/>
      <c r="O67" s="643"/>
      <c r="P67" s="563"/>
      <c r="Q67" s="565"/>
      <c r="R67" s="565"/>
      <c r="S67" s="563"/>
      <c r="T67" s="638"/>
      <c r="U67" s="563"/>
      <c r="V67" s="565"/>
      <c r="W67" s="565"/>
      <c r="X67" s="563"/>
      <c r="Y67" s="638"/>
      <c r="Z67" s="563"/>
      <c r="AA67" s="565"/>
      <c r="AB67" s="565"/>
      <c r="AC67" s="563"/>
      <c r="AD67" s="638"/>
      <c r="AE67" s="563"/>
      <c r="AF67" s="565"/>
      <c r="AG67" s="565"/>
      <c r="AH67" s="563"/>
      <c r="AI67" s="638"/>
      <c r="AJ67" s="563"/>
      <c r="AK67" s="565"/>
      <c r="AL67" s="565"/>
      <c r="AM67" s="563"/>
      <c r="AN67" s="638"/>
      <c r="AO67" s="563"/>
      <c r="AP67" s="565"/>
      <c r="AQ67" s="565"/>
      <c r="AR67" s="563"/>
      <c r="AS67" s="638"/>
      <c r="AT67" s="563"/>
      <c r="AU67" s="565"/>
      <c r="AV67" s="565"/>
      <c r="AW67" s="563"/>
      <c r="AX67" s="638"/>
      <c r="AZ67" s="375" t="e">
        <f t="shared" ref="AZ67:AZ81" si="32">RANK(AY67, AY$67:AY$81)</f>
        <v>#N/A</v>
      </c>
      <c r="BA67" s="638" t="e">
        <f t="shared" ref="BA67" si="33">AVERAGE(AY67:AY81)</f>
        <v>#DIV/0!</v>
      </c>
    </row>
    <row r="68" spans="2:53">
      <c r="B68" s="649"/>
      <c r="C68" s="380">
        <v>2</v>
      </c>
      <c r="D68" s="563"/>
      <c r="E68" s="563"/>
      <c r="F68" s="563"/>
      <c r="G68" s="565"/>
      <c r="H68" s="657"/>
      <c r="I68" s="381" t="str">
        <f t="shared" si="29"/>
        <v>-</v>
      </c>
      <c r="J68" s="381" t="str">
        <f t="shared" si="30"/>
        <v>-</v>
      </c>
      <c r="K68" s="199" t="str">
        <f t="shared" si="31"/>
        <v>-</v>
      </c>
      <c r="L68" s="659"/>
      <c r="M68" s="421" t="e">
        <f>RANK(K68, K$67:$K$81)</f>
        <v>#VALUE!</v>
      </c>
      <c r="N68" s="643"/>
      <c r="O68" s="643"/>
      <c r="P68" s="563"/>
      <c r="Q68" s="565"/>
      <c r="R68" s="565"/>
      <c r="S68" s="563"/>
      <c r="T68" s="639"/>
      <c r="U68" s="563"/>
      <c r="V68" s="565"/>
      <c r="W68" s="565"/>
      <c r="X68" s="563"/>
      <c r="Y68" s="639"/>
      <c r="Z68" s="563"/>
      <c r="AA68" s="565"/>
      <c r="AB68" s="565"/>
      <c r="AC68" s="563"/>
      <c r="AD68" s="639"/>
      <c r="AE68" s="563"/>
      <c r="AF68" s="565"/>
      <c r="AG68" s="565"/>
      <c r="AH68" s="563"/>
      <c r="AI68" s="639"/>
      <c r="AJ68" s="563"/>
      <c r="AK68" s="565"/>
      <c r="AL68" s="565"/>
      <c r="AM68" s="563"/>
      <c r="AN68" s="639"/>
      <c r="AO68" s="563"/>
      <c r="AP68" s="565"/>
      <c r="AQ68" s="565"/>
      <c r="AR68" s="563"/>
      <c r="AS68" s="639"/>
      <c r="AT68" s="563"/>
      <c r="AU68" s="565"/>
      <c r="AV68" s="565"/>
      <c r="AW68" s="563"/>
      <c r="AX68" s="639"/>
      <c r="AZ68" s="375" t="e">
        <f t="shared" si="32"/>
        <v>#N/A</v>
      </c>
      <c r="BA68" s="639"/>
    </row>
    <row r="69" spans="2:53">
      <c r="B69" s="649"/>
      <c r="C69" s="380">
        <v>3</v>
      </c>
      <c r="D69" s="563"/>
      <c r="E69" s="563"/>
      <c r="F69" s="563"/>
      <c r="G69" s="565"/>
      <c r="H69" s="657"/>
      <c r="I69" s="381" t="str">
        <f t="shared" si="29"/>
        <v>-</v>
      </c>
      <c r="J69" s="381" t="str">
        <f t="shared" si="30"/>
        <v>-</v>
      </c>
      <c r="K69" s="199" t="str">
        <f t="shared" si="31"/>
        <v>-</v>
      </c>
      <c r="L69" s="659"/>
      <c r="M69" s="421" t="e">
        <f>RANK(K69, K$67:$K$81)</f>
        <v>#VALUE!</v>
      </c>
      <c r="N69" s="643"/>
      <c r="O69" s="643"/>
      <c r="P69" s="563"/>
      <c r="Q69" s="565"/>
      <c r="R69" s="565"/>
      <c r="S69" s="563"/>
      <c r="T69" s="639"/>
      <c r="U69" s="563"/>
      <c r="V69" s="565"/>
      <c r="W69" s="565"/>
      <c r="X69" s="563"/>
      <c r="Y69" s="639"/>
      <c r="Z69" s="563"/>
      <c r="AA69" s="565"/>
      <c r="AB69" s="565"/>
      <c r="AC69" s="563"/>
      <c r="AD69" s="639"/>
      <c r="AE69" s="563"/>
      <c r="AF69" s="565"/>
      <c r="AG69" s="565"/>
      <c r="AH69" s="563"/>
      <c r="AI69" s="639"/>
      <c r="AJ69" s="563"/>
      <c r="AK69" s="565"/>
      <c r="AL69" s="565"/>
      <c r="AM69" s="563"/>
      <c r="AN69" s="639"/>
      <c r="AO69" s="563"/>
      <c r="AP69" s="565"/>
      <c r="AQ69" s="565"/>
      <c r="AR69" s="563"/>
      <c r="AS69" s="639"/>
      <c r="AT69" s="563"/>
      <c r="AU69" s="565"/>
      <c r="AV69" s="565"/>
      <c r="AW69" s="563"/>
      <c r="AX69" s="639"/>
      <c r="AZ69" s="375" t="e">
        <f t="shared" si="32"/>
        <v>#N/A</v>
      </c>
      <c r="BA69" s="639"/>
    </row>
    <row r="70" spans="2:53">
      <c r="B70" s="649"/>
      <c r="C70" s="380">
        <v>4</v>
      </c>
      <c r="D70" s="563"/>
      <c r="E70" s="563"/>
      <c r="F70" s="563"/>
      <c r="G70" s="565"/>
      <c r="H70" s="657"/>
      <c r="I70" s="381" t="str">
        <f t="shared" si="29"/>
        <v>-</v>
      </c>
      <c r="J70" s="381" t="str">
        <f t="shared" si="30"/>
        <v>-</v>
      </c>
      <c r="K70" s="199" t="str">
        <f t="shared" si="31"/>
        <v>-</v>
      </c>
      <c r="L70" s="659"/>
      <c r="M70" s="421" t="e">
        <f>RANK(K70, K$67:$K$81)</f>
        <v>#VALUE!</v>
      </c>
      <c r="N70" s="643"/>
      <c r="O70" s="643"/>
      <c r="P70" s="563"/>
      <c r="Q70" s="565"/>
      <c r="R70" s="565"/>
      <c r="S70" s="563"/>
      <c r="T70" s="639"/>
      <c r="U70" s="563"/>
      <c r="V70" s="565"/>
      <c r="W70" s="565"/>
      <c r="X70" s="563"/>
      <c r="Y70" s="639"/>
      <c r="Z70" s="563"/>
      <c r="AA70" s="565"/>
      <c r="AB70" s="565"/>
      <c r="AC70" s="563"/>
      <c r="AD70" s="639"/>
      <c r="AE70" s="563"/>
      <c r="AF70" s="565"/>
      <c r="AG70" s="565"/>
      <c r="AH70" s="563"/>
      <c r="AI70" s="639"/>
      <c r="AJ70" s="563"/>
      <c r="AK70" s="565"/>
      <c r="AL70" s="565"/>
      <c r="AM70" s="563"/>
      <c r="AN70" s="639"/>
      <c r="AO70" s="563"/>
      <c r="AP70" s="565"/>
      <c r="AQ70" s="565"/>
      <c r="AR70" s="563"/>
      <c r="AS70" s="639"/>
      <c r="AT70" s="563"/>
      <c r="AU70" s="565"/>
      <c r="AV70" s="565"/>
      <c r="AW70" s="563"/>
      <c r="AX70" s="639"/>
      <c r="AZ70" s="375" t="e">
        <f t="shared" si="32"/>
        <v>#N/A</v>
      </c>
      <c r="BA70" s="639"/>
    </row>
    <row r="71" spans="2:53">
      <c r="B71" s="649"/>
      <c r="C71" s="380">
        <v>5</v>
      </c>
      <c r="D71" s="563"/>
      <c r="E71" s="563"/>
      <c r="F71" s="563"/>
      <c r="G71" s="565"/>
      <c r="H71" s="657"/>
      <c r="I71" s="381" t="str">
        <f t="shared" si="29"/>
        <v>-</v>
      </c>
      <c r="J71" s="381" t="str">
        <f t="shared" si="30"/>
        <v>-</v>
      </c>
      <c r="K71" s="199" t="str">
        <f t="shared" si="31"/>
        <v>-</v>
      </c>
      <c r="L71" s="659"/>
      <c r="M71" s="421" t="e">
        <f>RANK(K71, K$67:$K$81)</f>
        <v>#VALUE!</v>
      </c>
      <c r="N71" s="643"/>
      <c r="O71" s="643"/>
      <c r="P71" s="563"/>
      <c r="Q71" s="565"/>
      <c r="R71" s="565"/>
      <c r="S71" s="563"/>
      <c r="T71" s="639"/>
      <c r="U71" s="563"/>
      <c r="V71" s="565"/>
      <c r="W71" s="565"/>
      <c r="X71" s="563"/>
      <c r="Y71" s="639"/>
      <c r="Z71" s="563"/>
      <c r="AA71" s="565"/>
      <c r="AB71" s="565"/>
      <c r="AC71" s="563"/>
      <c r="AD71" s="639"/>
      <c r="AE71" s="563"/>
      <c r="AF71" s="565"/>
      <c r="AG71" s="565"/>
      <c r="AH71" s="563"/>
      <c r="AI71" s="639"/>
      <c r="AJ71" s="563"/>
      <c r="AK71" s="565"/>
      <c r="AL71" s="565"/>
      <c r="AM71" s="563"/>
      <c r="AN71" s="639"/>
      <c r="AO71" s="563"/>
      <c r="AP71" s="565"/>
      <c r="AQ71" s="565"/>
      <c r="AR71" s="563"/>
      <c r="AS71" s="639"/>
      <c r="AT71" s="563"/>
      <c r="AU71" s="565"/>
      <c r="AV71" s="565"/>
      <c r="AW71" s="563"/>
      <c r="AX71" s="639"/>
      <c r="AZ71" s="375" t="e">
        <f t="shared" si="32"/>
        <v>#N/A</v>
      </c>
      <c r="BA71" s="639"/>
    </row>
    <row r="72" spans="2:53">
      <c r="B72" s="649"/>
      <c r="C72" s="380">
        <v>6</v>
      </c>
      <c r="D72" s="563"/>
      <c r="E72" s="563"/>
      <c r="F72" s="563"/>
      <c r="G72" s="565"/>
      <c r="H72" s="657"/>
      <c r="I72" s="381" t="str">
        <f t="shared" si="29"/>
        <v>-</v>
      </c>
      <c r="J72" s="381" t="str">
        <f t="shared" si="30"/>
        <v>-</v>
      </c>
      <c r="K72" s="199" t="str">
        <f t="shared" si="31"/>
        <v>-</v>
      </c>
      <c r="L72" s="659"/>
      <c r="M72" s="421" t="e">
        <f>RANK(K72, K$67:$K$81)</f>
        <v>#VALUE!</v>
      </c>
      <c r="N72" s="643"/>
      <c r="O72" s="643"/>
      <c r="P72" s="563"/>
      <c r="Q72" s="565"/>
      <c r="R72" s="565"/>
      <c r="S72" s="563"/>
      <c r="T72" s="639"/>
      <c r="U72" s="563"/>
      <c r="V72" s="565"/>
      <c r="W72" s="565"/>
      <c r="X72" s="563"/>
      <c r="Y72" s="639"/>
      <c r="Z72" s="563"/>
      <c r="AA72" s="565"/>
      <c r="AB72" s="565"/>
      <c r="AC72" s="563"/>
      <c r="AD72" s="639"/>
      <c r="AE72" s="563"/>
      <c r="AF72" s="565"/>
      <c r="AG72" s="565"/>
      <c r="AH72" s="563"/>
      <c r="AI72" s="639"/>
      <c r="AJ72" s="563"/>
      <c r="AK72" s="565"/>
      <c r="AL72" s="565"/>
      <c r="AM72" s="563"/>
      <c r="AN72" s="639"/>
      <c r="AO72" s="563"/>
      <c r="AP72" s="565"/>
      <c r="AQ72" s="565"/>
      <c r="AR72" s="563"/>
      <c r="AS72" s="639"/>
      <c r="AT72" s="563"/>
      <c r="AU72" s="565"/>
      <c r="AV72" s="565"/>
      <c r="AW72" s="563"/>
      <c r="AX72" s="639"/>
      <c r="AZ72" s="375" t="e">
        <f t="shared" si="32"/>
        <v>#N/A</v>
      </c>
      <c r="BA72" s="639"/>
    </row>
    <row r="73" spans="2:53">
      <c r="B73" s="649"/>
      <c r="C73" s="380">
        <v>7</v>
      </c>
      <c r="D73" s="563"/>
      <c r="E73" s="563"/>
      <c r="F73" s="563"/>
      <c r="G73" s="565"/>
      <c r="H73" s="657"/>
      <c r="I73" s="381" t="str">
        <f t="shared" si="29"/>
        <v>-</v>
      </c>
      <c r="J73" s="381" t="str">
        <f t="shared" si="30"/>
        <v>-</v>
      </c>
      <c r="K73" s="199" t="str">
        <f t="shared" si="31"/>
        <v>-</v>
      </c>
      <c r="L73" s="659"/>
      <c r="M73" s="421" t="e">
        <f>RANK(K73, K$67:$K$81)</f>
        <v>#VALUE!</v>
      </c>
      <c r="N73" s="643"/>
      <c r="O73" s="643"/>
      <c r="P73" s="563"/>
      <c r="Q73" s="565"/>
      <c r="R73" s="565"/>
      <c r="S73" s="563"/>
      <c r="T73" s="639"/>
      <c r="U73" s="563"/>
      <c r="V73" s="565"/>
      <c r="W73" s="565"/>
      <c r="X73" s="563"/>
      <c r="Y73" s="639"/>
      <c r="Z73" s="563"/>
      <c r="AA73" s="565"/>
      <c r="AB73" s="565"/>
      <c r="AC73" s="563"/>
      <c r="AD73" s="639"/>
      <c r="AE73" s="563"/>
      <c r="AF73" s="565"/>
      <c r="AG73" s="565"/>
      <c r="AH73" s="563"/>
      <c r="AI73" s="639"/>
      <c r="AJ73" s="563"/>
      <c r="AK73" s="565"/>
      <c r="AL73" s="565"/>
      <c r="AM73" s="563"/>
      <c r="AN73" s="639"/>
      <c r="AO73" s="563"/>
      <c r="AP73" s="565"/>
      <c r="AQ73" s="565"/>
      <c r="AR73" s="563"/>
      <c r="AS73" s="639"/>
      <c r="AT73" s="563"/>
      <c r="AU73" s="565"/>
      <c r="AV73" s="565"/>
      <c r="AW73" s="563"/>
      <c r="AX73" s="639"/>
      <c r="AZ73" s="375" t="e">
        <f t="shared" si="32"/>
        <v>#N/A</v>
      </c>
      <c r="BA73" s="639"/>
    </row>
    <row r="74" spans="2:53">
      <c r="B74" s="649"/>
      <c r="C74" s="380">
        <v>8</v>
      </c>
      <c r="D74" s="563"/>
      <c r="E74" s="563"/>
      <c r="F74" s="563"/>
      <c r="G74" s="565"/>
      <c r="H74" s="657"/>
      <c r="I74" s="381" t="str">
        <f t="shared" si="29"/>
        <v>-</v>
      </c>
      <c r="J74" s="381" t="str">
        <f t="shared" si="30"/>
        <v>-</v>
      </c>
      <c r="K74" s="199" t="str">
        <f t="shared" si="31"/>
        <v>-</v>
      </c>
      <c r="L74" s="659"/>
      <c r="M74" s="421" t="e">
        <f>RANK(K74, K$67:$K$81)</f>
        <v>#VALUE!</v>
      </c>
      <c r="N74" s="643"/>
      <c r="O74" s="643"/>
      <c r="P74" s="563"/>
      <c r="Q74" s="565"/>
      <c r="R74" s="565"/>
      <c r="S74" s="563"/>
      <c r="T74" s="639"/>
      <c r="U74" s="563"/>
      <c r="V74" s="565"/>
      <c r="W74" s="565"/>
      <c r="X74" s="563"/>
      <c r="Y74" s="639"/>
      <c r="Z74" s="563"/>
      <c r="AA74" s="565"/>
      <c r="AB74" s="565"/>
      <c r="AC74" s="563"/>
      <c r="AD74" s="639"/>
      <c r="AE74" s="563"/>
      <c r="AF74" s="565"/>
      <c r="AG74" s="565"/>
      <c r="AH74" s="563"/>
      <c r="AI74" s="639"/>
      <c r="AJ74" s="563"/>
      <c r="AK74" s="565"/>
      <c r="AL74" s="565"/>
      <c r="AM74" s="563"/>
      <c r="AN74" s="639"/>
      <c r="AO74" s="563"/>
      <c r="AP74" s="565"/>
      <c r="AQ74" s="565"/>
      <c r="AR74" s="563"/>
      <c r="AS74" s="639"/>
      <c r="AT74" s="563"/>
      <c r="AU74" s="565"/>
      <c r="AV74" s="565"/>
      <c r="AW74" s="563"/>
      <c r="AX74" s="639"/>
      <c r="AZ74" s="375" t="e">
        <f t="shared" si="32"/>
        <v>#N/A</v>
      </c>
      <c r="BA74" s="639"/>
    </row>
    <row r="75" spans="2:53">
      <c r="B75" s="649"/>
      <c r="C75" s="380">
        <v>9</v>
      </c>
      <c r="D75" s="563"/>
      <c r="E75" s="563"/>
      <c r="F75" s="563"/>
      <c r="G75" s="565"/>
      <c r="H75" s="657"/>
      <c r="I75" s="381" t="str">
        <f t="shared" si="29"/>
        <v>-</v>
      </c>
      <c r="J75" s="381" t="str">
        <f t="shared" si="30"/>
        <v>-</v>
      </c>
      <c r="K75" s="199" t="str">
        <f t="shared" si="31"/>
        <v>-</v>
      </c>
      <c r="L75" s="659"/>
      <c r="M75" s="421" t="e">
        <f>RANK(K75, K$67:$K$81)</f>
        <v>#VALUE!</v>
      </c>
      <c r="N75" s="643"/>
      <c r="O75" s="643"/>
      <c r="P75" s="563"/>
      <c r="Q75" s="565"/>
      <c r="R75" s="565"/>
      <c r="S75" s="563"/>
      <c r="T75" s="639"/>
      <c r="U75" s="563"/>
      <c r="V75" s="565"/>
      <c r="W75" s="565"/>
      <c r="X75" s="563"/>
      <c r="Y75" s="639"/>
      <c r="Z75" s="563"/>
      <c r="AA75" s="565"/>
      <c r="AB75" s="565"/>
      <c r="AC75" s="563"/>
      <c r="AD75" s="639"/>
      <c r="AE75" s="563"/>
      <c r="AF75" s="565"/>
      <c r="AG75" s="565"/>
      <c r="AH75" s="563"/>
      <c r="AI75" s="639"/>
      <c r="AJ75" s="563"/>
      <c r="AK75" s="565"/>
      <c r="AL75" s="565"/>
      <c r="AM75" s="563"/>
      <c r="AN75" s="639"/>
      <c r="AO75" s="563"/>
      <c r="AP75" s="565"/>
      <c r="AQ75" s="565"/>
      <c r="AR75" s="563"/>
      <c r="AS75" s="639"/>
      <c r="AT75" s="563"/>
      <c r="AU75" s="565"/>
      <c r="AV75" s="565"/>
      <c r="AW75" s="563"/>
      <c r="AX75" s="639"/>
      <c r="AZ75" s="375" t="e">
        <f t="shared" si="32"/>
        <v>#N/A</v>
      </c>
      <c r="BA75" s="639"/>
    </row>
    <row r="76" spans="2:53">
      <c r="B76" s="649"/>
      <c r="C76" s="380">
        <v>10</v>
      </c>
      <c r="D76" s="563"/>
      <c r="E76" s="563"/>
      <c r="F76" s="563"/>
      <c r="G76" s="565"/>
      <c r="H76" s="657"/>
      <c r="I76" s="381" t="str">
        <f t="shared" si="29"/>
        <v>-</v>
      </c>
      <c r="J76" s="381" t="str">
        <f t="shared" si="30"/>
        <v>-</v>
      </c>
      <c r="K76" s="199" t="str">
        <f t="shared" si="31"/>
        <v>-</v>
      </c>
      <c r="L76" s="659"/>
      <c r="M76" s="421" t="e">
        <f>RANK(K76, K$67:$K$81)</f>
        <v>#VALUE!</v>
      </c>
      <c r="N76" s="643"/>
      <c r="O76" s="643"/>
      <c r="P76" s="563"/>
      <c r="Q76" s="565"/>
      <c r="R76" s="565"/>
      <c r="S76" s="563"/>
      <c r="T76" s="639"/>
      <c r="U76" s="563"/>
      <c r="V76" s="565"/>
      <c r="W76" s="565"/>
      <c r="X76" s="563"/>
      <c r="Y76" s="639"/>
      <c r="Z76" s="563"/>
      <c r="AA76" s="565"/>
      <c r="AB76" s="565"/>
      <c r="AC76" s="563"/>
      <c r="AD76" s="639"/>
      <c r="AE76" s="563"/>
      <c r="AF76" s="565"/>
      <c r="AG76" s="565"/>
      <c r="AH76" s="563"/>
      <c r="AI76" s="639"/>
      <c r="AJ76" s="563"/>
      <c r="AK76" s="565"/>
      <c r="AL76" s="565"/>
      <c r="AM76" s="563"/>
      <c r="AN76" s="639"/>
      <c r="AO76" s="563"/>
      <c r="AP76" s="565"/>
      <c r="AQ76" s="565"/>
      <c r="AR76" s="563"/>
      <c r="AS76" s="639"/>
      <c r="AT76" s="563"/>
      <c r="AU76" s="565"/>
      <c r="AV76" s="565"/>
      <c r="AW76" s="563"/>
      <c r="AX76" s="639"/>
      <c r="AZ76" s="375" t="e">
        <f t="shared" si="32"/>
        <v>#N/A</v>
      </c>
      <c r="BA76" s="639"/>
    </row>
    <row r="77" spans="2:53">
      <c r="B77" s="649"/>
      <c r="C77" s="380">
        <v>11</v>
      </c>
      <c r="D77" s="563"/>
      <c r="E77" s="563"/>
      <c r="F77" s="563"/>
      <c r="G77" s="565"/>
      <c r="H77" s="657"/>
      <c r="I77" s="381" t="str">
        <f t="shared" si="29"/>
        <v>-</v>
      </c>
      <c r="J77" s="381" t="str">
        <f t="shared" si="30"/>
        <v>-</v>
      </c>
      <c r="K77" s="199" t="str">
        <f t="shared" si="31"/>
        <v>-</v>
      </c>
      <c r="L77" s="659"/>
      <c r="M77" s="421" t="e">
        <f>RANK(K77, K$67:$K$81)</f>
        <v>#VALUE!</v>
      </c>
      <c r="N77" s="643"/>
      <c r="O77" s="643"/>
      <c r="P77" s="563"/>
      <c r="Q77" s="565"/>
      <c r="R77" s="565"/>
      <c r="S77" s="563"/>
      <c r="T77" s="639"/>
      <c r="U77" s="563"/>
      <c r="V77" s="565"/>
      <c r="W77" s="565"/>
      <c r="X77" s="563"/>
      <c r="Y77" s="639"/>
      <c r="Z77" s="563"/>
      <c r="AA77" s="565"/>
      <c r="AB77" s="565"/>
      <c r="AC77" s="563"/>
      <c r="AD77" s="639"/>
      <c r="AE77" s="563"/>
      <c r="AF77" s="565"/>
      <c r="AG77" s="565"/>
      <c r="AH77" s="563"/>
      <c r="AI77" s="639"/>
      <c r="AJ77" s="563"/>
      <c r="AK77" s="565"/>
      <c r="AL77" s="565"/>
      <c r="AM77" s="563"/>
      <c r="AN77" s="639"/>
      <c r="AO77" s="563"/>
      <c r="AP77" s="565"/>
      <c r="AQ77" s="565"/>
      <c r="AR77" s="563"/>
      <c r="AS77" s="639"/>
      <c r="AT77" s="563"/>
      <c r="AU77" s="565"/>
      <c r="AV77" s="565"/>
      <c r="AW77" s="563"/>
      <c r="AX77" s="639"/>
      <c r="AZ77" s="375" t="e">
        <f t="shared" si="32"/>
        <v>#N/A</v>
      </c>
      <c r="BA77" s="639"/>
    </row>
    <row r="78" spans="2:53">
      <c r="B78" s="649"/>
      <c r="C78" s="380">
        <v>12</v>
      </c>
      <c r="D78" s="563"/>
      <c r="E78" s="563"/>
      <c r="F78" s="563"/>
      <c r="G78" s="565"/>
      <c r="H78" s="657"/>
      <c r="I78" s="381" t="str">
        <f t="shared" si="29"/>
        <v>-</v>
      </c>
      <c r="J78" s="381" t="str">
        <f t="shared" si="30"/>
        <v>-</v>
      </c>
      <c r="K78" s="199" t="str">
        <f t="shared" si="31"/>
        <v>-</v>
      </c>
      <c r="L78" s="659"/>
      <c r="M78" s="421" t="e">
        <f>RANK(K78, K$67:$K$81)</f>
        <v>#VALUE!</v>
      </c>
      <c r="N78" s="643"/>
      <c r="O78" s="643"/>
      <c r="P78" s="563"/>
      <c r="Q78" s="565"/>
      <c r="R78" s="565"/>
      <c r="S78" s="563"/>
      <c r="T78" s="639"/>
      <c r="U78" s="563"/>
      <c r="V78" s="565"/>
      <c r="W78" s="565"/>
      <c r="X78" s="563"/>
      <c r="Y78" s="639"/>
      <c r="Z78" s="563"/>
      <c r="AA78" s="565"/>
      <c r="AB78" s="565"/>
      <c r="AC78" s="563"/>
      <c r="AD78" s="639"/>
      <c r="AE78" s="563"/>
      <c r="AF78" s="565"/>
      <c r="AG78" s="565"/>
      <c r="AH78" s="563"/>
      <c r="AI78" s="639"/>
      <c r="AJ78" s="563"/>
      <c r="AK78" s="565"/>
      <c r="AL78" s="565"/>
      <c r="AM78" s="563"/>
      <c r="AN78" s="639"/>
      <c r="AO78" s="563"/>
      <c r="AP78" s="565"/>
      <c r="AQ78" s="565"/>
      <c r="AR78" s="563"/>
      <c r="AS78" s="639"/>
      <c r="AT78" s="563"/>
      <c r="AU78" s="565"/>
      <c r="AV78" s="565"/>
      <c r="AW78" s="563"/>
      <c r="AX78" s="639"/>
      <c r="AZ78" s="375" t="e">
        <f t="shared" si="32"/>
        <v>#N/A</v>
      </c>
      <c r="BA78" s="639"/>
    </row>
    <row r="79" spans="2:53">
      <c r="B79" s="649"/>
      <c r="C79" s="380">
        <v>13</v>
      </c>
      <c r="D79" s="563"/>
      <c r="E79" s="563"/>
      <c r="F79" s="563"/>
      <c r="G79" s="565"/>
      <c r="H79" s="657"/>
      <c r="I79" s="381" t="str">
        <f t="shared" si="29"/>
        <v>-</v>
      </c>
      <c r="J79" s="381" t="str">
        <f t="shared" si="30"/>
        <v>-</v>
      </c>
      <c r="K79" s="199" t="str">
        <f t="shared" si="31"/>
        <v>-</v>
      </c>
      <c r="L79" s="659"/>
      <c r="M79" s="421" t="e">
        <f>RANK(K79, K$67:$K$81)</f>
        <v>#VALUE!</v>
      </c>
      <c r="N79" s="643"/>
      <c r="O79" s="643"/>
      <c r="P79" s="563"/>
      <c r="Q79" s="565"/>
      <c r="R79" s="565"/>
      <c r="S79" s="563"/>
      <c r="T79" s="639"/>
      <c r="U79" s="563"/>
      <c r="V79" s="565"/>
      <c r="W79" s="565"/>
      <c r="X79" s="563"/>
      <c r="Y79" s="639"/>
      <c r="Z79" s="563"/>
      <c r="AA79" s="565"/>
      <c r="AB79" s="565"/>
      <c r="AC79" s="563"/>
      <c r="AD79" s="639"/>
      <c r="AE79" s="563"/>
      <c r="AF79" s="565"/>
      <c r="AG79" s="565"/>
      <c r="AH79" s="563"/>
      <c r="AI79" s="639"/>
      <c r="AJ79" s="563"/>
      <c r="AK79" s="565"/>
      <c r="AL79" s="565"/>
      <c r="AM79" s="563"/>
      <c r="AN79" s="639"/>
      <c r="AO79" s="563"/>
      <c r="AP79" s="565"/>
      <c r="AQ79" s="565"/>
      <c r="AR79" s="563"/>
      <c r="AS79" s="639"/>
      <c r="AT79" s="563"/>
      <c r="AU79" s="565"/>
      <c r="AV79" s="565"/>
      <c r="AW79" s="563"/>
      <c r="AX79" s="639"/>
      <c r="AZ79" s="375" t="e">
        <f t="shared" si="32"/>
        <v>#N/A</v>
      </c>
      <c r="BA79" s="639"/>
    </row>
    <row r="80" spans="2:53">
      <c r="B80" s="649"/>
      <c r="C80" s="380">
        <v>14</v>
      </c>
      <c r="D80" s="563"/>
      <c r="E80" s="563"/>
      <c r="F80" s="563"/>
      <c r="G80" s="565"/>
      <c r="H80" s="657"/>
      <c r="I80" s="381" t="str">
        <f t="shared" si="29"/>
        <v>-</v>
      </c>
      <c r="J80" s="381" t="str">
        <f t="shared" si="30"/>
        <v>-</v>
      </c>
      <c r="K80" s="199" t="str">
        <f t="shared" si="31"/>
        <v>-</v>
      </c>
      <c r="L80" s="659"/>
      <c r="M80" s="421" t="e">
        <f>RANK(K80, K$67:$K$81)</f>
        <v>#VALUE!</v>
      </c>
      <c r="N80" s="643"/>
      <c r="O80" s="643"/>
      <c r="P80" s="563"/>
      <c r="Q80" s="565"/>
      <c r="R80" s="565"/>
      <c r="S80" s="563"/>
      <c r="T80" s="639"/>
      <c r="U80" s="563"/>
      <c r="V80" s="565"/>
      <c r="W80" s="565"/>
      <c r="X80" s="563"/>
      <c r="Y80" s="639"/>
      <c r="Z80" s="563"/>
      <c r="AA80" s="565"/>
      <c r="AB80" s="565"/>
      <c r="AC80" s="563"/>
      <c r="AD80" s="639"/>
      <c r="AE80" s="563"/>
      <c r="AF80" s="565"/>
      <c r="AG80" s="565"/>
      <c r="AH80" s="563"/>
      <c r="AI80" s="639"/>
      <c r="AJ80" s="563"/>
      <c r="AK80" s="565"/>
      <c r="AL80" s="565"/>
      <c r="AM80" s="563"/>
      <c r="AN80" s="639"/>
      <c r="AO80" s="563"/>
      <c r="AP80" s="565"/>
      <c r="AQ80" s="565"/>
      <c r="AR80" s="563"/>
      <c r="AS80" s="639"/>
      <c r="AT80" s="563"/>
      <c r="AU80" s="565"/>
      <c r="AV80" s="565"/>
      <c r="AW80" s="563"/>
      <c r="AX80" s="639"/>
      <c r="AZ80" s="375" t="e">
        <f t="shared" si="32"/>
        <v>#N/A</v>
      </c>
      <c r="BA80" s="639"/>
    </row>
    <row r="81" spans="2:53">
      <c r="B81" s="649"/>
      <c r="C81" s="380">
        <v>15</v>
      </c>
      <c r="D81" s="563"/>
      <c r="E81" s="563"/>
      <c r="F81" s="563"/>
      <c r="G81" s="563"/>
      <c r="H81" s="714"/>
      <c r="I81" s="381" t="str">
        <f t="shared" si="29"/>
        <v>-</v>
      </c>
      <c r="J81" s="381" t="str">
        <f t="shared" si="30"/>
        <v>-</v>
      </c>
      <c r="K81" s="199" t="str">
        <f t="shared" si="31"/>
        <v>-</v>
      </c>
      <c r="L81" s="660"/>
      <c r="M81" s="421" t="e">
        <f>RANK(K81, K$67:$K$81)</f>
        <v>#VALUE!</v>
      </c>
      <c r="N81" s="643"/>
      <c r="O81" s="643"/>
      <c r="P81" s="563"/>
      <c r="Q81" s="565"/>
      <c r="R81" s="565"/>
      <c r="S81" s="563"/>
      <c r="T81" s="640"/>
      <c r="U81" s="563"/>
      <c r="V81" s="565"/>
      <c r="W81" s="565"/>
      <c r="X81" s="563"/>
      <c r="Y81" s="640"/>
      <c r="Z81" s="563"/>
      <c r="AA81" s="565"/>
      <c r="AB81" s="565"/>
      <c r="AC81" s="563"/>
      <c r="AD81" s="640"/>
      <c r="AE81" s="563"/>
      <c r="AF81" s="565"/>
      <c r="AG81" s="565"/>
      <c r="AH81" s="563"/>
      <c r="AI81" s="640"/>
      <c r="AJ81" s="563"/>
      <c r="AK81" s="565"/>
      <c r="AL81" s="565"/>
      <c r="AM81" s="563"/>
      <c r="AN81" s="640"/>
      <c r="AO81" s="563"/>
      <c r="AP81" s="565"/>
      <c r="AQ81" s="565"/>
      <c r="AR81" s="563"/>
      <c r="AS81" s="640"/>
      <c r="AT81" s="563"/>
      <c r="AU81" s="565"/>
      <c r="AV81" s="565"/>
      <c r="AW81" s="563"/>
      <c r="AX81" s="640"/>
      <c r="AZ81" s="375" t="e">
        <f t="shared" si="32"/>
        <v>#N/A</v>
      </c>
      <c r="BA81" s="640"/>
    </row>
    <row r="82" spans="2:53" ht="15.75">
      <c r="B82" s="671" t="s">
        <v>162</v>
      </c>
      <c r="C82" s="672"/>
      <c r="D82" s="672"/>
      <c r="E82" s="672"/>
      <c r="F82" s="672"/>
      <c r="G82" s="672"/>
      <c r="H82" s="673"/>
      <c r="I82" s="207"/>
      <c r="J82" s="207"/>
      <c r="K82" s="207"/>
      <c r="L82" s="207"/>
      <c r="M82" s="206"/>
      <c r="N82" s="645" t="s">
        <v>156</v>
      </c>
      <c r="O82" s="645" t="s">
        <v>105</v>
      </c>
      <c r="P82" s="667">
        <f>P62+7</f>
        <v>46294</v>
      </c>
      <c r="Q82" s="668"/>
      <c r="R82" s="668"/>
      <c r="S82" s="668"/>
      <c r="T82" s="669"/>
      <c r="U82" s="667">
        <f>P82+1</f>
        <v>46295</v>
      </c>
      <c r="V82" s="668"/>
      <c r="W82" s="668"/>
      <c r="X82" s="668"/>
      <c r="Y82" s="669"/>
      <c r="Z82" s="667">
        <f>U82+1</f>
        <v>46296</v>
      </c>
      <c r="AA82" s="668"/>
      <c r="AB82" s="668"/>
      <c r="AC82" s="668"/>
      <c r="AD82" s="669"/>
      <c r="AE82" s="667">
        <f>Z82+1</f>
        <v>46297</v>
      </c>
      <c r="AF82" s="668"/>
      <c r="AG82" s="668"/>
      <c r="AH82" s="668"/>
      <c r="AI82" s="669"/>
      <c r="AJ82" s="667">
        <f>AE82+1</f>
        <v>46298</v>
      </c>
      <c r="AK82" s="668"/>
      <c r="AL82" s="668"/>
      <c r="AM82" s="668"/>
      <c r="AN82" s="669"/>
      <c r="AO82" s="667">
        <f>AJ82+1</f>
        <v>46299</v>
      </c>
      <c r="AP82" s="668"/>
      <c r="AQ82" s="668"/>
      <c r="AR82" s="668"/>
      <c r="AS82" s="669"/>
      <c r="AT82" s="667">
        <f>AO82+1</f>
        <v>46300</v>
      </c>
      <c r="AU82" s="668"/>
      <c r="AV82" s="668"/>
      <c r="AW82" s="668"/>
      <c r="AX82" s="669"/>
    </row>
    <row r="83" spans="2:53" ht="15.75">
      <c r="B83" s="674"/>
      <c r="C83" s="674"/>
      <c r="D83" s="674"/>
      <c r="E83" s="674"/>
      <c r="F83" s="674"/>
      <c r="G83" s="674"/>
      <c r="H83" s="674"/>
      <c r="I83" s="204"/>
      <c r="J83" s="204"/>
      <c r="K83" s="204"/>
      <c r="L83" s="204"/>
      <c r="M83" s="205"/>
      <c r="N83" s="647"/>
      <c r="O83" s="647"/>
      <c r="P83" s="667" t="s">
        <v>317</v>
      </c>
      <c r="Q83" s="668"/>
      <c r="R83" s="668"/>
      <c r="S83" s="668"/>
      <c r="T83" s="669"/>
      <c r="U83" s="667" t="s">
        <v>318</v>
      </c>
      <c r="V83" s="668"/>
      <c r="W83" s="668"/>
      <c r="X83" s="668"/>
      <c r="Y83" s="669"/>
      <c r="Z83" s="667" t="s">
        <v>319</v>
      </c>
      <c r="AA83" s="668"/>
      <c r="AB83" s="668"/>
      <c r="AC83" s="668"/>
      <c r="AD83" s="669"/>
      <c r="AE83" s="670" t="s">
        <v>320</v>
      </c>
      <c r="AF83" s="649"/>
      <c r="AG83" s="649"/>
      <c r="AH83" s="649"/>
      <c r="AI83" s="649"/>
      <c r="AJ83" s="670" t="s">
        <v>321</v>
      </c>
      <c r="AK83" s="649"/>
      <c r="AL83" s="649"/>
      <c r="AM83" s="649"/>
      <c r="AN83" s="649"/>
      <c r="AO83" s="670" t="s">
        <v>322</v>
      </c>
      <c r="AP83" s="649"/>
      <c r="AQ83" s="649"/>
      <c r="AR83" s="649"/>
      <c r="AS83" s="649"/>
      <c r="AT83" s="670" t="s">
        <v>323</v>
      </c>
      <c r="AU83" s="649"/>
      <c r="AV83" s="649"/>
      <c r="AW83" s="649"/>
      <c r="AX83" s="649"/>
    </row>
    <row r="84" spans="2:53">
      <c r="B84" s="643" t="s">
        <v>382</v>
      </c>
      <c r="C84" s="643" t="s">
        <v>372</v>
      </c>
      <c r="D84" s="643"/>
      <c r="E84" s="643" t="s">
        <v>363</v>
      </c>
      <c r="F84" s="643"/>
      <c r="G84" s="643"/>
      <c r="H84" s="675" t="s">
        <v>359</v>
      </c>
      <c r="I84" s="643" t="s">
        <v>364</v>
      </c>
      <c r="J84" s="643"/>
      <c r="K84" s="643"/>
      <c r="L84" s="675" t="s">
        <v>359</v>
      </c>
      <c r="M84" s="645" t="s">
        <v>360</v>
      </c>
      <c r="N84" s="643"/>
      <c r="O84" s="643" t="s">
        <v>365</v>
      </c>
      <c r="P84" s="661" t="s">
        <v>361</v>
      </c>
      <c r="Q84" s="662"/>
      <c r="R84" s="662"/>
      <c r="S84" s="663"/>
      <c r="T84" s="645" t="s">
        <v>359</v>
      </c>
      <c r="U84" s="661" t="s">
        <v>361</v>
      </c>
      <c r="V84" s="662"/>
      <c r="W84" s="662"/>
      <c r="X84" s="663"/>
      <c r="Y84" s="645" t="s">
        <v>359</v>
      </c>
      <c r="Z84" s="661" t="s">
        <v>361</v>
      </c>
      <c r="AA84" s="662"/>
      <c r="AB84" s="662"/>
      <c r="AC84" s="663"/>
      <c r="AD84" s="645" t="s">
        <v>359</v>
      </c>
      <c r="AE84" s="661" t="s">
        <v>361</v>
      </c>
      <c r="AF84" s="662"/>
      <c r="AG84" s="662"/>
      <c r="AH84" s="663"/>
      <c r="AI84" s="643" t="s">
        <v>359</v>
      </c>
      <c r="AJ84" s="661" t="s">
        <v>361</v>
      </c>
      <c r="AK84" s="662"/>
      <c r="AL84" s="662"/>
      <c r="AM84" s="663"/>
      <c r="AN84" s="643" t="s">
        <v>359</v>
      </c>
      <c r="AO84" s="661" t="s">
        <v>361</v>
      </c>
      <c r="AP84" s="662"/>
      <c r="AQ84" s="662"/>
      <c r="AR84" s="663"/>
      <c r="AS84" s="643" t="s">
        <v>359</v>
      </c>
      <c r="AT84" s="661" t="s">
        <v>361</v>
      </c>
      <c r="AU84" s="662"/>
      <c r="AV84" s="662"/>
      <c r="AW84" s="663"/>
      <c r="AX84" s="643" t="s">
        <v>359</v>
      </c>
      <c r="BA84" s="643" t="s">
        <v>359</v>
      </c>
    </row>
    <row r="85" spans="2:53">
      <c r="B85" s="643"/>
      <c r="C85" s="643"/>
      <c r="D85" s="643"/>
      <c r="E85" s="643" t="s">
        <v>366</v>
      </c>
      <c r="F85" s="643"/>
      <c r="G85" s="643"/>
      <c r="H85" s="676"/>
      <c r="I85" s="643" t="s">
        <v>366</v>
      </c>
      <c r="J85" s="643"/>
      <c r="K85" s="643"/>
      <c r="L85" s="676"/>
      <c r="M85" s="646"/>
      <c r="N85" s="643"/>
      <c r="O85" s="643"/>
      <c r="P85" s="661" t="s">
        <v>367</v>
      </c>
      <c r="Q85" s="662"/>
      <c r="R85" s="662"/>
      <c r="S85" s="663"/>
      <c r="T85" s="646"/>
      <c r="U85" s="661" t="s">
        <v>367</v>
      </c>
      <c r="V85" s="662"/>
      <c r="W85" s="662"/>
      <c r="X85" s="663"/>
      <c r="Y85" s="646"/>
      <c r="Z85" s="661" t="s">
        <v>367</v>
      </c>
      <c r="AA85" s="662"/>
      <c r="AB85" s="662"/>
      <c r="AC85" s="663"/>
      <c r="AD85" s="646"/>
      <c r="AE85" s="661" t="s">
        <v>367</v>
      </c>
      <c r="AF85" s="662"/>
      <c r="AG85" s="662"/>
      <c r="AH85" s="663"/>
      <c r="AI85" s="643"/>
      <c r="AJ85" s="661" t="s">
        <v>367</v>
      </c>
      <c r="AK85" s="662"/>
      <c r="AL85" s="662"/>
      <c r="AM85" s="663"/>
      <c r="AN85" s="643"/>
      <c r="AO85" s="661" t="s">
        <v>367</v>
      </c>
      <c r="AP85" s="662"/>
      <c r="AQ85" s="662"/>
      <c r="AR85" s="663"/>
      <c r="AS85" s="643"/>
      <c r="AT85" s="661" t="s">
        <v>367</v>
      </c>
      <c r="AU85" s="662"/>
      <c r="AV85" s="662"/>
      <c r="AW85" s="663"/>
      <c r="AX85" s="643"/>
      <c r="BA85" s="643"/>
    </row>
    <row r="86" spans="2:53">
      <c r="B86" s="643"/>
      <c r="C86" s="643"/>
      <c r="D86" s="643"/>
      <c r="E86" s="378" t="s">
        <v>368</v>
      </c>
      <c r="F86" s="378" t="s">
        <v>369</v>
      </c>
      <c r="G86" s="378" t="s">
        <v>370</v>
      </c>
      <c r="H86" s="677"/>
      <c r="I86" s="378" t="s">
        <v>368</v>
      </c>
      <c r="J86" s="378" t="s">
        <v>369</v>
      </c>
      <c r="K86" s="378" t="s">
        <v>370</v>
      </c>
      <c r="L86" s="677"/>
      <c r="M86" s="647"/>
      <c r="N86" s="643"/>
      <c r="O86" s="643"/>
      <c r="P86" s="517" t="s">
        <v>368</v>
      </c>
      <c r="Q86" s="517" t="s">
        <v>369</v>
      </c>
      <c r="R86" s="517" t="s">
        <v>370</v>
      </c>
      <c r="S86" s="517" t="s">
        <v>360</v>
      </c>
      <c r="T86" s="647"/>
      <c r="U86" s="517" t="s">
        <v>368</v>
      </c>
      <c r="V86" s="517" t="s">
        <v>369</v>
      </c>
      <c r="W86" s="517" t="s">
        <v>370</v>
      </c>
      <c r="X86" s="517" t="s">
        <v>360</v>
      </c>
      <c r="Y86" s="647"/>
      <c r="Z86" s="517" t="s">
        <v>368</v>
      </c>
      <c r="AA86" s="517" t="s">
        <v>369</v>
      </c>
      <c r="AB86" s="517" t="s">
        <v>370</v>
      </c>
      <c r="AC86" s="517" t="s">
        <v>360</v>
      </c>
      <c r="AD86" s="647"/>
      <c r="AE86" s="378" t="s">
        <v>368</v>
      </c>
      <c r="AF86" s="378" t="s">
        <v>369</v>
      </c>
      <c r="AG86" s="378" t="s">
        <v>370</v>
      </c>
      <c r="AH86" s="378" t="s">
        <v>360</v>
      </c>
      <c r="AI86" s="643"/>
      <c r="AJ86" s="378" t="s">
        <v>368</v>
      </c>
      <c r="AK86" s="378" t="s">
        <v>369</v>
      </c>
      <c r="AL86" s="378" t="s">
        <v>370</v>
      </c>
      <c r="AM86" s="378" t="s">
        <v>360</v>
      </c>
      <c r="AN86" s="643"/>
      <c r="AO86" s="378" t="s">
        <v>368</v>
      </c>
      <c r="AP86" s="378" t="s">
        <v>369</v>
      </c>
      <c r="AQ86" s="378" t="s">
        <v>370</v>
      </c>
      <c r="AR86" s="378" t="s">
        <v>360</v>
      </c>
      <c r="AS86" s="643"/>
      <c r="AT86" s="378" t="s">
        <v>368</v>
      </c>
      <c r="AU86" s="378" t="s">
        <v>369</v>
      </c>
      <c r="AV86" s="378" t="s">
        <v>370</v>
      </c>
      <c r="AW86" s="378" t="s">
        <v>360</v>
      </c>
      <c r="AX86" s="643"/>
      <c r="AZ86" s="373" t="s">
        <v>360</v>
      </c>
      <c r="BA86" s="643"/>
    </row>
    <row r="87" spans="2:53">
      <c r="B87" s="701" t="s">
        <v>395</v>
      </c>
      <c r="C87" s="380">
        <v>1</v>
      </c>
      <c r="D87" s="511"/>
      <c r="E87" s="513"/>
      <c r="F87" s="513"/>
      <c r="G87" s="516"/>
      <c r="H87" s="656" t="e">
        <f>AVERAGE(G87:G101)</f>
        <v>#DIV/0!</v>
      </c>
      <c r="I87" s="381" t="str">
        <f t="shared" ref="I87:I101" si="34">IFERROR(AVERAGE(P87,U87,Z87,AE87,AJ87,AO87,AT87),"-")</f>
        <v>-</v>
      </c>
      <c r="J87" s="381" t="str">
        <f t="shared" ref="J87:J101" si="35">IFERROR(AVERAGE(Q87,V87,AA87,AF87,AK87,AP87,AU87),"-")</f>
        <v>-</v>
      </c>
      <c r="K87" s="199" t="str">
        <f t="shared" ref="K87:K101" si="36">IFERROR(AVERAGE(R87,W87,AB87,AG87,AL87,AQ87,AV87),"-")</f>
        <v>-</v>
      </c>
      <c r="L87" s="658" t="str">
        <f>IFERROR(AVERAGE(K87:K101),"-")</f>
        <v>-</v>
      </c>
      <c r="M87" s="384" t="e">
        <f>RANK(K87, K$87:$K$101)</f>
        <v>#VALUE!</v>
      </c>
      <c r="N87" s="643"/>
      <c r="O87" s="643"/>
      <c r="P87" s="563"/>
      <c r="Q87" s="565"/>
      <c r="R87" s="565"/>
      <c r="S87" s="563"/>
      <c r="T87" s="638"/>
      <c r="U87" s="563"/>
      <c r="V87" s="565"/>
      <c r="W87" s="565"/>
      <c r="X87" s="563"/>
      <c r="Y87" s="638"/>
      <c r="Z87" s="563"/>
      <c r="AA87" s="565"/>
      <c r="AB87" s="565"/>
      <c r="AC87" s="563"/>
      <c r="AD87" s="638"/>
      <c r="AE87" s="563"/>
      <c r="AF87" s="565"/>
      <c r="AG87" s="565"/>
      <c r="AH87" s="563"/>
      <c r="AI87" s="638"/>
      <c r="AJ87" s="563"/>
      <c r="AK87" s="565"/>
      <c r="AL87" s="565"/>
      <c r="AM87" s="563"/>
      <c r="AN87" s="638"/>
      <c r="AO87" s="563"/>
      <c r="AP87" s="565"/>
      <c r="AQ87" s="565"/>
      <c r="AR87" s="563"/>
      <c r="AS87" s="638"/>
      <c r="AT87" s="563"/>
      <c r="AU87" s="565"/>
      <c r="AV87" s="565"/>
      <c r="AW87" s="563"/>
      <c r="AX87" s="638"/>
      <c r="AZ87" s="372" t="e">
        <f t="shared" ref="AZ87:AZ101" si="37">RANK(AY87, AY$87:AY$101)</f>
        <v>#N/A</v>
      </c>
      <c r="BA87" s="644" t="e">
        <f t="shared" ref="BA87" si="38">AVERAGE(AY87:AY101)</f>
        <v>#DIV/0!</v>
      </c>
    </row>
    <row r="88" spans="2:53">
      <c r="B88" s="649"/>
      <c r="C88" s="380">
        <v>2</v>
      </c>
      <c r="D88" s="513"/>
      <c r="E88" s="513"/>
      <c r="F88" s="513"/>
      <c r="G88" s="516"/>
      <c r="H88" s="657"/>
      <c r="I88" s="381" t="str">
        <f t="shared" si="34"/>
        <v>-</v>
      </c>
      <c r="J88" s="381" t="str">
        <f t="shared" si="35"/>
        <v>-</v>
      </c>
      <c r="K88" s="199" t="str">
        <f t="shared" si="36"/>
        <v>-</v>
      </c>
      <c r="L88" s="659"/>
      <c r="M88" s="468" t="e">
        <f>RANK(K88, K$87:$K$101)</f>
        <v>#VALUE!</v>
      </c>
      <c r="N88" s="643"/>
      <c r="O88" s="643"/>
      <c r="P88" s="563"/>
      <c r="Q88" s="565"/>
      <c r="R88" s="565"/>
      <c r="S88" s="563"/>
      <c r="T88" s="639"/>
      <c r="U88" s="563"/>
      <c r="V88" s="565"/>
      <c r="W88" s="565"/>
      <c r="X88" s="563"/>
      <c r="Y88" s="639"/>
      <c r="Z88" s="563"/>
      <c r="AA88" s="565"/>
      <c r="AB88" s="565"/>
      <c r="AC88" s="563"/>
      <c r="AD88" s="639"/>
      <c r="AE88" s="563"/>
      <c r="AF88" s="565"/>
      <c r="AG88" s="565"/>
      <c r="AH88" s="563"/>
      <c r="AI88" s="639"/>
      <c r="AJ88" s="563"/>
      <c r="AK88" s="565"/>
      <c r="AL88" s="565"/>
      <c r="AM88" s="563"/>
      <c r="AN88" s="639"/>
      <c r="AO88" s="563"/>
      <c r="AP88" s="565"/>
      <c r="AQ88" s="565"/>
      <c r="AR88" s="563"/>
      <c r="AS88" s="639"/>
      <c r="AT88" s="563"/>
      <c r="AU88" s="565"/>
      <c r="AV88" s="565"/>
      <c r="AW88" s="563"/>
      <c r="AX88" s="639"/>
      <c r="AZ88" s="372" t="e">
        <f t="shared" si="37"/>
        <v>#N/A</v>
      </c>
      <c r="BA88" s="644"/>
    </row>
    <row r="89" spans="2:53">
      <c r="B89" s="649"/>
      <c r="C89" s="380">
        <v>3</v>
      </c>
      <c r="D89" s="513"/>
      <c r="E89" s="513"/>
      <c r="F89" s="513"/>
      <c r="G89" s="516"/>
      <c r="H89" s="657"/>
      <c r="I89" s="381" t="str">
        <f t="shared" si="34"/>
        <v>-</v>
      </c>
      <c r="J89" s="381" t="str">
        <f t="shared" si="35"/>
        <v>-</v>
      </c>
      <c r="K89" s="199" t="str">
        <f t="shared" si="36"/>
        <v>-</v>
      </c>
      <c r="L89" s="659"/>
      <c r="M89" s="468" t="e">
        <f>RANK(K89, K$87:$K$101)</f>
        <v>#VALUE!</v>
      </c>
      <c r="N89" s="643"/>
      <c r="O89" s="643"/>
      <c r="P89" s="563"/>
      <c r="Q89" s="565"/>
      <c r="R89" s="565"/>
      <c r="S89" s="563"/>
      <c r="T89" s="639"/>
      <c r="U89" s="563"/>
      <c r="V89" s="565"/>
      <c r="W89" s="565"/>
      <c r="X89" s="563"/>
      <c r="Y89" s="639"/>
      <c r="Z89" s="563"/>
      <c r="AA89" s="565"/>
      <c r="AB89" s="565"/>
      <c r="AC89" s="563"/>
      <c r="AD89" s="639"/>
      <c r="AE89" s="563"/>
      <c r="AF89" s="565"/>
      <c r="AG89" s="565"/>
      <c r="AH89" s="563"/>
      <c r="AI89" s="639"/>
      <c r="AJ89" s="563"/>
      <c r="AK89" s="565"/>
      <c r="AL89" s="565"/>
      <c r="AM89" s="563"/>
      <c r="AN89" s="639"/>
      <c r="AO89" s="563"/>
      <c r="AP89" s="565"/>
      <c r="AQ89" s="565"/>
      <c r="AR89" s="563"/>
      <c r="AS89" s="639"/>
      <c r="AT89" s="563"/>
      <c r="AU89" s="565"/>
      <c r="AV89" s="565"/>
      <c r="AW89" s="563"/>
      <c r="AX89" s="639"/>
      <c r="AZ89" s="372" t="e">
        <f t="shared" si="37"/>
        <v>#N/A</v>
      </c>
      <c r="BA89" s="644"/>
    </row>
    <row r="90" spans="2:53">
      <c r="B90" s="649"/>
      <c r="C90" s="380">
        <v>4</v>
      </c>
      <c r="D90" s="513"/>
      <c r="E90" s="513"/>
      <c r="F90" s="513"/>
      <c r="G90" s="516"/>
      <c r="H90" s="657"/>
      <c r="I90" s="381" t="str">
        <f t="shared" si="34"/>
        <v>-</v>
      </c>
      <c r="J90" s="381" t="str">
        <f t="shared" si="35"/>
        <v>-</v>
      </c>
      <c r="K90" s="199" t="str">
        <f t="shared" si="36"/>
        <v>-</v>
      </c>
      <c r="L90" s="659"/>
      <c r="M90" s="468" t="e">
        <f>RANK(K90, K$87:$K$101)</f>
        <v>#VALUE!</v>
      </c>
      <c r="N90" s="643"/>
      <c r="O90" s="643"/>
      <c r="P90" s="563"/>
      <c r="Q90" s="565"/>
      <c r="R90" s="565"/>
      <c r="S90" s="563"/>
      <c r="T90" s="639"/>
      <c r="U90" s="563"/>
      <c r="V90" s="565"/>
      <c r="W90" s="565"/>
      <c r="X90" s="563"/>
      <c r="Y90" s="639"/>
      <c r="Z90" s="563"/>
      <c r="AA90" s="565"/>
      <c r="AB90" s="565"/>
      <c r="AC90" s="563"/>
      <c r="AD90" s="639"/>
      <c r="AE90" s="563"/>
      <c r="AF90" s="565"/>
      <c r="AG90" s="565"/>
      <c r="AH90" s="563"/>
      <c r="AI90" s="639"/>
      <c r="AJ90" s="563"/>
      <c r="AK90" s="565"/>
      <c r="AL90" s="565"/>
      <c r="AM90" s="563"/>
      <c r="AN90" s="639"/>
      <c r="AO90" s="563"/>
      <c r="AP90" s="565"/>
      <c r="AQ90" s="565"/>
      <c r="AR90" s="563"/>
      <c r="AS90" s="639"/>
      <c r="AT90" s="563"/>
      <c r="AU90" s="565"/>
      <c r="AV90" s="565"/>
      <c r="AW90" s="563"/>
      <c r="AX90" s="639"/>
      <c r="AZ90" s="372" t="e">
        <f t="shared" si="37"/>
        <v>#N/A</v>
      </c>
      <c r="BA90" s="644"/>
    </row>
    <row r="91" spans="2:53">
      <c r="B91" s="649"/>
      <c r="C91" s="380">
        <v>5</v>
      </c>
      <c r="D91" s="513"/>
      <c r="E91" s="513"/>
      <c r="F91" s="513"/>
      <c r="G91" s="516"/>
      <c r="H91" s="657"/>
      <c r="I91" s="381" t="str">
        <f t="shared" si="34"/>
        <v>-</v>
      </c>
      <c r="J91" s="381" t="str">
        <f t="shared" si="35"/>
        <v>-</v>
      </c>
      <c r="K91" s="199" t="str">
        <f t="shared" si="36"/>
        <v>-</v>
      </c>
      <c r="L91" s="659"/>
      <c r="M91" s="468" t="e">
        <f>RANK(K91, K$87:$K$101)</f>
        <v>#VALUE!</v>
      </c>
      <c r="N91" s="643"/>
      <c r="O91" s="643"/>
      <c r="P91" s="563"/>
      <c r="Q91" s="565"/>
      <c r="R91" s="565"/>
      <c r="S91" s="563"/>
      <c r="T91" s="639"/>
      <c r="U91" s="563"/>
      <c r="V91" s="565"/>
      <c r="W91" s="565"/>
      <c r="X91" s="563"/>
      <c r="Y91" s="639"/>
      <c r="Z91" s="563"/>
      <c r="AA91" s="565"/>
      <c r="AB91" s="565"/>
      <c r="AC91" s="563"/>
      <c r="AD91" s="639"/>
      <c r="AE91" s="563"/>
      <c r="AF91" s="565"/>
      <c r="AG91" s="565"/>
      <c r="AH91" s="563"/>
      <c r="AI91" s="639"/>
      <c r="AJ91" s="563"/>
      <c r="AK91" s="565"/>
      <c r="AL91" s="565"/>
      <c r="AM91" s="563"/>
      <c r="AN91" s="639"/>
      <c r="AO91" s="563"/>
      <c r="AP91" s="565"/>
      <c r="AQ91" s="565"/>
      <c r="AR91" s="563"/>
      <c r="AS91" s="639"/>
      <c r="AT91" s="563"/>
      <c r="AU91" s="565"/>
      <c r="AV91" s="565"/>
      <c r="AW91" s="563"/>
      <c r="AX91" s="639"/>
      <c r="AZ91" s="372" t="e">
        <f t="shared" si="37"/>
        <v>#N/A</v>
      </c>
      <c r="BA91" s="644"/>
    </row>
    <row r="92" spans="2:53">
      <c r="B92" s="649"/>
      <c r="C92" s="380">
        <v>6</v>
      </c>
      <c r="D92" s="513"/>
      <c r="E92" s="513"/>
      <c r="F92" s="513"/>
      <c r="G92" s="516"/>
      <c r="H92" s="657"/>
      <c r="I92" s="381" t="str">
        <f t="shared" si="34"/>
        <v>-</v>
      </c>
      <c r="J92" s="381" t="str">
        <f t="shared" si="35"/>
        <v>-</v>
      </c>
      <c r="K92" s="199" t="str">
        <f t="shared" si="36"/>
        <v>-</v>
      </c>
      <c r="L92" s="659"/>
      <c r="M92" s="468" t="e">
        <f>RANK(K92, K$87:$K$101)</f>
        <v>#VALUE!</v>
      </c>
      <c r="N92" s="643"/>
      <c r="O92" s="643"/>
      <c r="P92" s="563"/>
      <c r="Q92" s="565"/>
      <c r="R92" s="565"/>
      <c r="S92" s="563"/>
      <c r="T92" s="639"/>
      <c r="U92" s="563"/>
      <c r="V92" s="565"/>
      <c r="W92" s="565"/>
      <c r="X92" s="563"/>
      <c r="Y92" s="639"/>
      <c r="Z92" s="563"/>
      <c r="AA92" s="565"/>
      <c r="AB92" s="565"/>
      <c r="AC92" s="563"/>
      <c r="AD92" s="639"/>
      <c r="AE92" s="563"/>
      <c r="AF92" s="565"/>
      <c r="AG92" s="565"/>
      <c r="AH92" s="563"/>
      <c r="AI92" s="639"/>
      <c r="AJ92" s="563"/>
      <c r="AK92" s="565"/>
      <c r="AL92" s="565"/>
      <c r="AM92" s="563"/>
      <c r="AN92" s="639"/>
      <c r="AO92" s="563"/>
      <c r="AP92" s="565"/>
      <c r="AQ92" s="565"/>
      <c r="AR92" s="563"/>
      <c r="AS92" s="639"/>
      <c r="AT92" s="563"/>
      <c r="AU92" s="565"/>
      <c r="AV92" s="565"/>
      <c r="AW92" s="563"/>
      <c r="AX92" s="639"/>
      <c r="AZ92" s="372" t="e">
        <f t="shared" si="37"/>
        <v>#N/A</v>
      </c>
      <c r="BA92" s="644"/>
    </row>
    <row r="93" spans="2:53">
      <c r="B93" s="649"/>
      <c r="C93" s="380">
        <v>7</v>
      </c>
      <c r="D93" s="513"/>
      <c r="E93" s="513"/>
      <c r="F93" s="513"/>
      <c r="G93" s="516"/>
      <c r="H93" s="657"/>
      <c r="I93" s="381" t="str">
        <f t="shared" si="34"/>
        <v>-</v>
      </c>
      <c r="J93" s="381" t="str">
        <f t="shared" si="35"/>
        <v>-</v>
      </c>
      <c r="K93" s="199" t="str">
        <f t="shared" si="36"/>
        <v>-</v>
      </c>
      <c r="L93" s="659"/>
      <c r="M93" s="468" t="e">
        <f>RANK(K93, K$87:$K$101)</f>
        <v>#VALUE!</v>
      </c>
      <c r="N93" s="643"/>
      <c r="O93" s="643"/>
      <c r="P93" s="563"/>
      <c r="Q93" s="565"/>
      <c r="R93" s="565"/>
      <c r="S93" s="563"/>
      <c r="T93" s="639"/>
      <c r="U93" s="563"/>
      <c r="V93" s="565"/>
      <c r="W93" s="565"/>
      <c r="X93" s="563"/>
      <c r="Y93" s="639"/>
      <c r="Z93" s="563"/>
      <c r="AA93" s="565"/>
      <c r="AB93" s="565"/>
      <c r="AC93" s="563"/>
      <c r="AD93" s="639"/>
      <c r="AE93" s="563"/>
      <c r="AF93" s="565"/>
      <c r="AG93" s="565"/>
      <c r="AH93" s="563"/>
      <c r="AI93" s="639"/>
      <c r="AJ93" s="563"/>
      <c r="AK93" s="565"/>
      <c r="AL93" s="565"/>
      <c r="AM93" s="563"/>
      <c r="AN93" s="639"/>
      <c r="AO93" s="563"/>
      <c r="AP93" s="565"/>
      <c r="AQ93" s="565"/>
      <c r="AR93" s="563"/>
      <c r="AS93" s="639"/>
      <c r="AT93" s="563"/>
      <c r="AU93" s="565"/>
      <c r="AV93" s="565"/>
      <c r="AW93" s="563"/>
      <c r="AX93" s="639"/>
      <c r="AZ93" s="372" t="e">
        <f t="shared" si="37"/>
        <v>#N/A</v>
      </c>
      <c r="BA93" s="644"/>
    </row>
    <row r="94" spans="2:53">
      <c r="B94" s="649"/>
      <c r="C94" s="380">
        <v>8</v>
      </c>
      <c r="D94" s="513"/>
      <c r="E94" s="513"/>
      <c r="F94" s="513"/>
      <c r="G94" s="516"/>
      <c r="H94" s="657"/>
      <c r="I94" s="381" t="str">
        <f t="shared" si="34"/>
        <v>-</v>
      </c>
      <c r="J94" s="381" t="str">
        <f t="shared" si="35"/>
        <v>-</v>
      </c>
      <c r="K94" s="199" t="str">
        <f t="shared" si="36"/>
        <v>-</v>
      </c>
      <c r="L94" s="659"/>
      <c r="M94" s="468" t="e">
        <f>RANK(K94, K$87:$K$101)</f>
        <v>#VALUE!</v>
      </c>
      <c r="N94" s="643"/>
      <c r="O94" s="643"/>
      <c r="P94" s="563"/>
      <c r="Q94" s="565"/>
      <c r="R94" s="565"/>
      <c r="S94" s="563"/>
      <c r="T94" s="639"/>
      <c r="U94" s="563"/>
      <c r="V94" s="565"/>
      <c r="W94" s="565"/>
      <c r="X94" s="563"/>
      <c r="Y94" s="639"/>
      <c r="Z94" s="563"/>
      <c r="AA94" s="565"/>
      <c r="AB94" s="565"/>
      <c r="AC94" s="563"/>
      <c r="AD94" s="639"/>
      <c r="AE94" s="563"/>
      <c r="AF94" s="565"/>
      <c r="AG94" s="565"/>
      <c r="AH94" s="563"/>
      <c r="AI94" s="639"/>
      <c r="AJ94" s="563"/>
      <c r="AK94" s="565"/>
      <c r="AL94" s="565"/>
      <c r="AM94" s="563"/>
      <c r="AN94" s="639"/>
      <c r="AO94" s="563"/>
      <c r="AP94" s="565"/>
      <c r="AQ94" s="565"/>
      <c r="AR94" s="563"/>
      <c r="AS94" s="639"/>
      <c r="AT94" s="563"/>
      <c r="AU94" s="565"/>
      <c r="AV94" s="565"/>
      <c r="AW94" s="563"/>
      <c r="AX94" s="639"/>
      <c r="AZ94" s="372" t="e">
        <f t="shared" si="37"/>
        <v>#N/A</v>
      </c>
      <c r="BA94" s="644"/>
    </row>
    <row r="95" spans="2:53">
      <c r="B95" s="649"/>
      <c r="C95" s="380">
        <v>9</v>
      </c>
      <c r="D95" s="513"/>
      <c r="E95" s="513"/>
      <c r="F95" s="513"/>
      <c r="G95" s="516"/>
      <c r="H95" s="657"/>
      <c r="I95" s="381" t="str">
        <f t="shared" si="34"/>
        <v>-</v>
      </c>
      <c r="J95" s="381" t="str">
        <f t="shared" si="35"/>
        <v>-</v>
      </c>
      <c r="K95" s="199" t="str">
        <f t="shared" si="36"/>
        <v>-</v>
      </c>
      <c r="L95" s="659"/>
      <c r="M95" s="468" t="e">
        <f>RANK(K95, K$87:$K$101)</f>
        <v>#VALUE!</v>
      </c>
      <c r="N95" s="643"/>
      <c r="O95" s="643"/>
      <c r="P95" s="563"/>
      <c r="Q95" s="565"/>
      <c r="R95" s="565"/>
      <c r="S95" s="563"/>
      <c r="T95" s="639"/>
      <c r="U95" s="563"/>
      <c r="V95" s="565"/>
      <c r="W95" s="565"/>
      <c r="X95" s="563"/>
      <c r="Y95" s="639"/>
      <c r="Z95" s="563"/>
      <c r="AA95" s="565"/>
      <c r="AB95" s="565"/>
      <c r="AC95" s="563"/>
      <c r="AD95" s="639"/>
      <c r="AE95" s="563"/>
      <c r="AF95" s="565"/>
      <c r="AG95" s="565"/>
      <c r="AH95" s="563"/>
      <c r="AI95" s="639"/>
      <c r="AJ95" s="563"/>
      <c r="AK95" s="565"/>
      <c r="AL95" s="565"/>
      <c r="AM95" s="563"/>
      <c r="AN95" s="639"/>
      <c r="AO95" s="563"/>
      <c r="AP95" s="565"/>
      <c r="AQ95" s="565"/>
      <c r="AR95" s="563"/>
      <c r="AS95" s="639"/>
      <c r="AT95" s="563"/>
      <c r="AU95" s="565"/>
      <c r="AV95" s="565"/>
      <c r="AW95" s="563"/>
      <c r="AX95" s="639"/>
      <c r="AZ95" s="372" t="e">
        <f t="shared" si="37"/>
        <v>#N/A</v>
      </c>
      <c r="BA95" s="644"/>
    </row>
    <row r="96" spans="2:53">
      <c r="B96" s="649"/>
      <c r="C96" s="380">
        <v>10</v>
      </c>
      <c r="D96" s="513"/>
      <c r="E96" s="513"/>
      <c r="F96" s="513"/>
      <c r="G96" s="516"/>
      <c r="H96" s="657"/>
      <c r="I96" s="381" t="str">
        <f t="shared" si="34"/>
        <v>-</v>
      </c>
      <c r="J96" s="381" t="str">
        <f t="shared" si="35"/>
        <v>-</v>
      </c>
      <c r="K96" s="199" t="str">
        <f t="shared" si="36"/>
        <v>-</v>
      </c>
      <c r="L96" s="659"/>
      <c r="M96" s="468" t="e">
        <f>RANK(K96, K$87:$K$101)</f>
        <v>#VALUE!</v>
      </c>
      <c r="N96" s="643"/>
      <c r="O96" s="643"/>
      <c r="P96" s="563"/>
      <c r="Q96" s="565"/>
      <c r="R96" s="565"/>
      <c r="S96" s="563"/>
      <c r="T96" s="639"/>
      <c r="U96" s="563"/>
      <c r="V96" s="565"/>
      <c r="W96" s="565"/>
      <c r="X96" s="563"/>
      <c r="Y96" s="639"/>
      <c r="Z96" s="563"/>
      <c r="AA96" s="565"/>
      <c r="AB96" s="565"/>
      <c r="AC96" s="563"/>
      <c r="AD96" s="639"/>
      <c r="AE96" s="563"/>
      <c r="AF96" s="565"/>
      <c r="AG96" s="565"/>
      <c r="AH96" s="563"/>
      <c r="AI96" s="639"/>
      <c r="AJ96" s="563"/>
      <c r="AK96" s="565"/>
      <c r="AL96" s="565"/>
      <c r="AM96" s="563"/>
      <c r="AN96" s="639"/>
      <c r="AO96" s="563"/>
      <c r="AP96" s="565"/>
      <c r="AQ96" s="565"/>
      <c r="AR96" s="563"/>
      <c r="AS96" s="639"/>
      <c r="AT96" s="563"/>
      <c r="AU96" s="565"/>
      <c r="AV96" s="565"/>
      <c r="AW96" s="563"/>
      <c r="AX96" s="639"/>
      <c r="AZ96" s="372" t="e">
        <f t="shared" si="37"/>
        <v>#N/A</v>
      </c>
      <c r="BA96" s="644"/>
    </row>
    <row r="97" spans="2:53">
      <c r="B97" s="649"/>
      <c r="C97" s="380">
        <v>11</v>
      </c>
      <c r="D97" s="513"/>
      <c r="E97" s="513"/>
      <c r="F97" s="513"/>
      <c r="G97" s="516"/>
      <c r="H97" s="657"/>
      <c r="I97" s="381" t="str">
        <f t="shared" si="34"/>
        <v>-</v>
      </c>
      <c r="J97" s="381" t="str">
        <f t="shared" si="35"/>
        <v>-</v>
      </c>
      <c r="K97" s="199" t="str">
        <f t="shared" si="36"/>
        <v>-</v>
      </c>
      <c r="L97" s="659"/>
      <c r="M97" s="468" t="e">
        <f>RANK(K97, K$87:$K$101)</f>
        <v>#VALUE!</v>
      </c>
      <c r="N97" s="643"/>
      <c r="O97" s="643"/>
      <c r="P97" s="563"/>
      <c r="Q97" s="565"/>
      <c r="R97" s="565"/>
      <c r="S97" s="563"/>
      <c r="T97" s="639"/>
      <c r="U97" s="563"/>
      <c r="V97" s="565"/>
      <c r="W97" s="565"/>
      <c r="X97" s="563"/>
      <c r="Y97" s="639"/>
      <c r="Z97" s="563"/>
      <c r="AA97" s="565"/>
      <c r="AB97" s="565"/>
      <c r="AC97" s="563"/>
      <c r="AD97" s="639"/>
      <c r="AE97" s="563"/>
      <c r="AF97" s="565"/>
      <c r="AG97" s="565"/>
      <c r="AH97" s="563"/>
      <c r="AI97" s="639"/>
      <c r="AJ97" s="563"/>
      <c r="AK97" s="565"/>
      <c r="AL97" s="565"/>
      <c r="AM97" s="563"/>
      <c r="AN97" s="639"/>
      <c r="AO97" s="563"/>
      <c r="AP97" s="565"/>
      <c r="AQ97" s="565"/>
      <c r="AR97" s="563"/>
      <c r="AS97" s="639"/>
      <c r="AT97" s="563"/>
      <c r="AU97" s="565"/>
      <c r="AV97" s="565"/>
      <c r="AW97" s="563"/>
      <c r="AX97" s="639"/>
      <c r="AZ97" s="372" t="e">
        <f t="shared" si="37"/>
        <v>#N/A</v>
      </c>
      <c r="BA97" s="644"/>
    </row>
    <row r="98" spans="2:53">
      <c r="B98" s="649"/>
      <c r="C98" s="380">
        <v>12</v>
      </c>
      <c r="D98" s="513"/>
      <c r="E98" s="513"/>
      <c r="F98" s="513"/>
      <c r="G98" s="516"/>
      <c r="H98" s="657"/>
      <c r="I98" s="381" t="str">
        <f t="shared" si="34"/>
        <v>-</v>
      </c>
      <c r="J98" s="381" t="str">
        <f t="shared" si="35"/>
        <v>-</v>
      </c>
      <c r="K98" s="199" t="str">
        <f t="shared" si="36"/>
        <v>-</v>
      </c>
      <c r="L98" s="659"/>
      <c r="M98" s="468" t="e">
        <f>RANK(K98, K$87:$K$101)</f>
        <v>#VALUE!</v>
      </c>
      <c r="N98" s="643"/>
      <c r="O98" s="643"/>
      <c r="P98" s="563"/>
      <c r="Q98" s="565"/>
      <c r="R98" s="565"/>
      <c r="S98" s="563"/>
      <c r="T98" s="639"/>
      <c r="U98" s="563"/>
      <c r="V98" s="565"/>
      <c r="W98" s="565"/>
      <c r="X98" s="563"/>
      <c r="Y98" s="639"/>
      <c r="Z98" s="563"/>
      <c r="AA98" s="565"/>
      <c r="AB98" s="565"/>
      <c r="AC98" s="563"/>
      <c r="AD98" s="639"/>
      <c r="AE98" s="563"/>
      <c r="AF98" s="565"/>
      <c r="AG98" s="565"/>
      <c r="AH98" s="563"/>
      <c r="AI98" s="639"/>
      <c r="AJ98" s="563"/>
      <c r="AK98" s="565"/>
      <c r="AL98" s="565"/>
      <c r="AM98" s="563"/>
      <c r="AN98" s="639"/>
      <c r="AO98" s="563"/>
      <c r="AP98" s="565"/>
      <c r="AQ98" s="565"/>
      <c r="AR98" s="563"/>
      <c r="AS98" s="639"/>
      <c r="AT98" s="563"/>
      <c r="AU98" s="565"/>
      <c r="AV98" s="565"/>
      <c r="AW98" s="563"/>
      <c r="AX98" s="639"/>
      <c r="AZ98" s="372" t="e">
        <f t="shared" si="37"/>
        <v>#N/A</v>
      </c>
      <c r="BA98" s="644"/>
    </row>
    <row r="99" spans="2:53">
      <c r="B99" s="649"/>
      <c r="C99" s="380">
        <v>13</v>
      </c>
      <c r="D99" s="513"/>
      <c r="E99" s="513"/>
      <c r="F99" s="513"/>
      <c r="G99" s="516"/>
      <c r="H99" s="657"/>
      <c r="I99" s="381" t="str">
        <f t="shared" si="34"/>
        <v>-</v>
      </c>
      <c r="J99" s="381" t="str">
        <f t="shared" si="35"/>
        <v>-</v>
      </c>
      <c r="K99" s="199" t="str">
        <f t="shared" si="36"/>
        <v>-</v>
      </c>
      <c r="L99" s="659"/>
      <c r="M99" s="468" t="e">
        <f>RANK(K99, K$87:$K$101)</f>
        <v>#VALUE!</v>
      </c>
      <c r="N99" s="643"/>
      <c r="O99" s="643"/>
      <c r="P99" s="563"/>
      <c r="Q99" s="565"/>
      <c r="R99" s="565"/>
      <c r="S99" s="563"/>
      <c r="T99" s="639"/>
      <c r="U99" s="563"/>
      <c r="V99" s="565"/>
      <c r="W99" s="565"/>
      <c r="X99" s="563"/>
      <c r="Y99" s="639"/>
      <c r="Z99" s="563"/>
      <c r="AA99" s="565"/>
      <c r="AB99" s="565"/>
      <c r="AC99" s="563"/>
      <c r="AD99" s="639"/>
      <c r="AE99" s="563"/>
      <c r="AF99" s="565"/>
      <c r="AG99" s="565"/>
      <c r="AH99" s="563"/>
      <c r="AI99" s="639"/>
      <c r="AJ99" s="563"/>
      <c r="AK99" s="565"/>
      <c r="AL99" s="565"/>
      <c r="AM99" s="563"/>
      <c r="AN99" s="639"/>
      <c r="AO99" s="563"/>
      <c r="AP99" s="565"/>
      <c r="AQ99" s="565"/>
      <c r="AR99" s="563"/>
      <c r="AS99" s="639"/>
      <c r="AT99" s="563"/>
      <c r="AU99" s="565"/>
      <c r="AV99" s="565"/>
      <c r="AW99" s="563"/>
      <c r="AX99" s="639"/>
      <c r="AZ99" s="372" t="e">
        <f t="shared" si="37"/>
        <v>#N/A</v>
      </c>
      <c r="BA99" s="644"/>
    </row>
    <row r="100" spans="2:53">
      <c r="B100" s="649"/>
      <c r="C100" s="380">
        <v>14</v>
      </c>
      <c r="D100" s="513"/>
      <c r="E100" s="513"/>
      <c r="F100" s="513"/>
      <c r="G100" s="516"/>
      <c r="H100" s="657"/>
      <c r="I100" s="381" t="str">
        <f t="shared" si="34"/>
        <v>-</v>
      </c>
      <c r="J100" s="381" t="str">
        <f t="shared" si="35"/>
        <v>-</v>
      </c>
      <c r="K100" s="199" t="str">
        <f t="shared" si="36"/>
        <v>-</v>
      </c>
      <c r="L100" s="659"/>
      <c r="M100" s="468" t="e">
        <f>RANK(K100, K$87:$K$101)</f>
        <v>#VALUE!</v>
      </c>
      <c r="N100" s="643"/>
      <c r="O100" s="643"/>
      <c r="P100" s="563"/>
      <c r="Q100" s="565"/>
      <c r="R100" s="565"/>
      <c r="S100" s="563"/>
      <c r="T100" s="639"/>
      <c r="U100" s="563"/>
      <c r="V100" s="565"/>
      <c r="W100" s="565"/>
      <c r="X100" s="563"/>
      <c r="Y100" s="639"/>
      <c r="Z100" s="563"/>
      <c r="AA100" s="565"/>
      <c r="AB100" s="565"/>
      <c r="AC100" s="563"/>
      <c r="AD100" s="639"/>
      <c r="AE100" s="563"/>
      <c r="AF100" s="565"/>
      <c r="AG100" s="565"/>
      <c r="AH100" s="563"/>
      <c r="AI100" s="639"/>
      <c r="AJ100" s="563"/>
      <c r="AK100" s="565"/>
      <c r="AL100" s="565"/>
      <c r="AM100" s="563"/>
      <c r="AN100" s="639"/>
      <c r="AO100" s="563"/>
      <c r="AP100" s="565"/>
      <c r="AQ100" s="565"/>
      <c r="AR100" s="563"/>
      <c r="AS100" s="639"/>
      <c r="AT100" s="563"/>
      <c r="AU100" s="565"/>
      <c r="AV100" s="565"/>
      <c r="AW100" s="563"/>
      <c r="AX100" s="639"/>
      <c r="AZ100" s="372" t="e">
        <f t="shared" si="37"/>
        <v>#N/A</v>
      </c>
      <c r="BA100" s="644"/>
    </row>
    <row r="101" spans="2:53">
      <c r="B101" s="649"/>
      <c r="C101" s="380">
        <v>15</v>
      </c>
      <c r="D101" s="513"/>
      <c r="E101" s="513"/>
      <c r="F101" s="513"/>
      <c r="G101" s="513"/>
      <c r="H101" s="714"/>
      <c r="I101" s="381" t="str">
        <f t="shared" si="34"/>
        <v>-</v>
      </c>
      <c r="J101" s="381" t="str">
        <f t="shared" si="35"/>
        <v>-</v>
      </c>
      <c r="K101" s="199" t="str">
        <f t="shared" si="36"/>
        <v>-</v>
      </c>
      <c r="L101" s="660"/>
      <c r="M101" s="468" t="e">
        <f>RANK(K101, K$87:$K$101)</f>
        <v>#VALUE!</v>
      </c>
      <c r="N101" s="643"/>
      <c r="O101" s="643"/>
      <c r="P101" s="563"/>
      <c r="Q101" s="565"/>
      <c r="R101" s="565"/>
      <c r="S101" s="563"/>
      <c r="T101" s="640"/>
      <c r="U101" s="563"/>
      <c r="V101" s="565"/>
      <c r="W101" s="565"/>
      <c r="X101" s="563"/>
      <c r="Y101" s="640"/>
      <c r="Z101" s="563"/>
      <c r="AA101" s="565"/>
      <c r="AB101" s="565"/>
      <c r="AC101" s="563"/>
      <c r="AD101" s="640"/>
      <c r="AE101" s="563"/>
      <c r="AF101" s="565"/>
      <c r="AG101" s="565"/>
      <c r="AH101" s="563"/>
      <c r="AI101" s="640"/>
      <c r="AJ101" s="563"/>
      <c r="AK101" s="565"/>
      <c r="AL101" s="565"/>
      <c r="AM101" s="563"/>
      <c r="AN101" s="640"/>
      <c r="AO101" s="563"/>
      <c r="AP101" s="565"/>
      <c r="AQ101" s="565"/>
      <c r="AR101" s="563"/>
      <c r="AS101" s="640"/>
      <c r="AT101" s="563"/>
      <c r="AU101" s="565"/>
      <c r="AV101" s="565"/>
      <c r="AW101" s="563"/>
      <c r="AX101" s="640"/>
      <c r="AZ101" s="372" t="e">
        <f t="shared" si="37"/>
        <v>#N/A</v>
      </c>
      <c r="BA101" s="644"/>
    </row>
    <row r="102" spans="2:53" ht="15.75">
      <c r="B102" s="671" t="s">
        <v>162</v>
      </c>
      <c r="C102" s="672"/>
      <c r="D102" s="672"/>
      <c r="E102" s="672"/>
      <c r="F102" s="672"/>
      <c r="G102" s="672"/>
      <c r="H102" s="673"/>
      <c r="I102" s="207"/>
      <c r="J102" s="207"/>
      <c r="K102" s="207"/>
      <c r="L102" s="207"/>
      <c r="M102" s="206"/>
      <c r="N102" s="645" t="s">
        <v>156</v>
      </c>
      <c r="O102" s="645" t="s">
        <v>105</v>
      </c>
      <c r="P102" s="670">
        <f>P82+7</f>
        <v>46301</v>
      </c>
      <c r="Q102" s="649"/>
      <c r="R102" s="649"/>
      <c r="S102" s="649"/>
      <c r="T102" s="649"/>
      <c r="U102" s="667">
        <f>P102+1</f>
        <v>46302</v>
      </c>
      <c r="V102" s="668"/>
      <c r="W102" s="668"/>
      <c r="X102" s="668"/>
      <c r="Y102" s="669"/>
      <c r="Z102" s="667">
        <f>U102+1</f>
        <v>46303</v>
      </c>
      <c r="AA102" s="668"/>
      <c r="AB102" s="668"/>
      <c r="AC102" s="668"/>
      <c r="AD102" s="669"/>
      <c r="AE102" s="667">
        <f>Z102+1</f>
        <v>46304</v>
      </c>
      <c r="AF102" s="668"/>
      <c r="AG102" s="668"/>
      <c r="AH102" s="668"/>
      <c r="AI102" s="669"/>
      <c r="AJ102" s="667">
        <f>AE102+1</f>
        <v>46305</v>
      </c>
      <c r="AK102" s="668"/>
      <c r="AL102" s="668"/>
      <c r="AM102" s="668"/>
      <c r="AN102" s="669"/>
      <c r="AO102" s="667">
        <f>AJ102+1</f>
        <v>46306</v>
      </c>
      <c r="AP102" s="668"/>
      <c r="AQ102" s="668"/>
      <c r="AR102" s="668"/>
      <c r="AS102" s="669"/>
      <c r="AT102" s="667">
        <f>AO102+1</f>
        <v>46307</v>
      </c>
      <c r="AU102" s="668"/>
      <c r="AV102" s="668"/>
      <c r="AW102" s="668"/>
      <c r="AX102" s="669"/>
    </row>
    <row r="103" spans="2:53" ht="15.75">
      <c r="B103" s="674"/>
      <c r="C103" s="674"/>
      <c r="D103" s="674"/>
      <c r="E103" s="674"/>
      <c r="F103" s="674"/>
      <c r="G103" s="674"/>
      <c r="H103" s="674"/>
      <c r="I103" s="204"/>
      <c r="J103" s="204"/>
      <c r="K103" s="204"/>
      <c r="L103" s="204"/>
      <c r="M103" s="205"/>
      <c r="N103" s="647"/>
      <c r="O103" s="647"/>
      <c r="P103" s="670" t="s">
        <v>158</v>
      </c>
      <c r="Q103" s="649"/>
      <c r="R103" s="649"/>
      <c r="S103" s="649"/>
      <c r="T103" s="649"/>
      <c r="U103" s="670" t="s">
        <v>114</v>
      </c>
      <c r="V103" s="649"/>
      <c r="W103" s="649"/>
      <c r="X103" s="649"/>
      <c r="Y103" s="649"/>
      <c r="Z103" s="670" t="s">
        <v>159</v>
      </c>
      <c r="AA103" s="649"/>
      <c r="AB103" s="649"/>
      <c r="AC103" s="649"/>
      <c r="AD103" s="649"/>
      <c r="AE103" s="670" t="s">
        <v>157</v>
      </c>
      <c r="AF103" s="649"/>
      <c r="AG103" s="649"/>
      <c r="AH103" s="649"/>
      <c r="AI103" s="649"/>
      <c r="AJ103" s="670" t="s">
        <v>160</v>
      </c>
      <c r="AK103" s="649"/>
      <c r="AL103" s="649"/>
      <c r="AM103" s="649"/>
      <c r="AN103" s="649"/>
      <c r="AO103" s="670" t="s">
        <v>115</v>
      </c>
      <c r="AP103" s="649"/>
      <c r="AQ103" s="649"/>
      <c r="AR103" s="649"/>
      <c r="AS103" s="649"/>
      <c r="AT103" s="670" t="s">
        <v>161</v>
      </c>
      <c r="AU103" s="649"/>
      <c r="AV103" s="649"/>
      <c r="AW103" s="649"/>
      <c r="AX103" s="649"/>
    </row>
    <row r="104" spans="2:53">
      <c r="B104" s="643" t="s">
        <v>507</v>
      </c>
      <c r="C104" s="643" t="s">
        <v>508</v>
      </c>
      <c r="D104" s="643"/>
      <c r="E104" s="643" t="s">
        <v>509</v>
      </c>
      <c r="F104" s="643"/>
      <c r="G104" s="643"/>
      <c r="H104" s="675" t="s">
        <v>510</v>
      </c>
      <c r="I104" s="643" t="s">
        <v>511</v>
      </c>
      <c r="J104" s="643"/>
      <c r="K104" s="643"/>
      <c r="L104" s="675" t="s">
        <v>510</v>
      </c>
      <c r="M104" s="645" t="s">
        <v>512</v>
      </c>
      <c r="N104" s="643"/>
      <c r="O104" s="643" t="s">
        <v>513</v>
      </c>
      <c r="P104" s="661" t="s">
        <v>514</v>
      </c>
      <c r="Q104" s="662"/>
      <c r="R104" s="662"/>
      <c r="S104" s="663"/>
      <c r="T104" s="643" t="s">
        <v>510</v>
      </c>
      <c r="U104" s="661" t="s">
        <v>514</v>
      </c>
      <c r="V104" s="662"/>
      <c r="W104" s="662"/>
      <c r="X104" s="663"/>
      <c r="Y104" s="643" t="s">
        <v>510</v>
      </c>
      <c r="Z104" s="661" t="s">
        <v>514</v>
      </c>
      <c r="AA104" s="662"/>
      <c r="AB104" s="662"/>
      <c r="AC104" s="663"/>
      <c r="AD104" s="643" t="s">
        <v>510</v>
      </c>
      <c r="AE104" s="661" t="s">
        <v>514</v>
      </c>
      <c r="AF104" s="662"/>
      <c r="AG104" s="662"/>
      <c r="AH104" s="663"/>
      <c r="AI104" s="643" t="s">
        <v>510</v>
      </c>
      <c r="AJ104" s="661" t="s">
        <v>514</v>
      </c>
      <c r="AK104" s="662"/>
      <c r="AL104" s="662"/>
      <c r="AM104" s="663"/>
      <c r="AN104" s="643" t="s">
        <v>510</v>
      </c>
      <c r="AO104" s="661" t="s">
        <v>514</v>
      </c>
      <c r="AP104" s="662"/>
      <c r="AQ104" s="662"/>
      <c r="AR104" s="663"/>
      <c r="AS104" s="643" t="s">
        <v>510</v>
      </c>
      <c r="AT104" s="661" t="s">
        <v>514</v>
      </c>
      <c r="AU104" s="662"/>
      <c r="AV104" s="662"/>
      <c r="AW104" s="663"/>
      <c r="AX104" s="643" t="s">
        <v>510</v>
      </c>
      <c r="BA104" s="643" t="s">
        <v>359</v>
      </c>
    </row>
    <row r="105" spans="2:53">
      <c r="B105" s="643"/>
      <c r="C105" s="643"/>
      <c r="D105" s="643"/>
      <c r="E105" s="643" t="s">
        <v>515</v>
      </c>
      <c r="F105" s="643"/>
      <c r="G105" s="643"/>
      <c r="H105" s="676"/>
      <c r="I105" s="643" t="s">
        <v>515</v>
      </c>
      <c r="J105" s="643"/>
      <c r="K105" s="643"/>
      <c r="L105" s="676"/>
      <c r="M105" s="646"/>
      <c r="N105" s="643"/>
      <c r="O105" s="643"/>
      <c r="P105" s="661" t="s">
        <v>516</v>
      </c>
      <c r="Q105" s="662"/>
      <c r="R105" s="662"/>
      <c r="S105" s="663"/>
      <c r="T105" s="643"/>
      <c r="U105" s="661" t="s">
        <v>516</v>
      </c>
      <c r="V105" s="662"/>
      <c r="W105" s="662"/>
      <c r="X105" s="663"/>
      <c r="Y105" s="643"/>
      <c r="Z105" s="661" t="s">
        <v>516</v>
      </c>
      <c r="AA105" s="662"/>
      <c r="AB105" s="662"/>
      <c r="AC105" s="663"/>
      <c r="AD105" s="643"/>
      <c r="AE105" s="661" t="s">
        <v>516</v>
      </c>
      <c r="AF105" s="662"/>
      <c r="AG105" s="662"/>
      <c r="AH105" s="663"/>
      <c r="AI105" s="643"/>
      <c r="AJ105" s="661" t="s">
        <v>516</v>
      </c>
      <c r="AK105" s="662"/>
      <c r="AL105" s="662"/>
      <c r="AM105" s="663"/>
      <c r="AN105" s="643"/>
      <c r="AO105" s="661" t="s">
        <v>516</v>
      </c>
      <c r="AP105" s="662"/>
      <c r="AQ105" s="662"/>
      <c r="AR105" s="663"/>
      <c r="AS105" s="643"/>
      <c r="AT105" s="661" t="s">
        <v>516</v>
      </c>
      <c r="AU105" s="662"/>
      <c r="AV105" s="662"/>
      <c r="AW105" s="663"/>
      <c r="AX105" s="643"/>
      <c r="BA105" s="643"/>
    </row>
    <row r="106" spans="2:53">
      <c r="B106" s="643"/>
      <c r="C106" s="643"/>
      <c r="D106" s="643"/>
      <c r="E106" s="345" t="s">
        <v>517</v>
      </c>
      <c r="F106" s="345" t="s">
        <v>518</v>
      </c>
      <c r="G106" s="345" t="s">
        <v>519</v>
      </c>
      <c r="H106" s="677"/>
      <c r="I106" s="345" t="s">
        <v>517</v>
      </c>
      <c r="J106" s="345" t="s">
        <v>518</v>
      </c>
      <c r="K106" s="345" t="s">
        <v>519</v>
      </c>
      <c r="L106" s="677"/>
      <c r="M106" s="647"/>
      <c r="N106" s="643"/>
      <c r="O106" s="643"/>
      <c r="P106" s="345" t="s">
        <v>517</v>
      </c>
      <c r="Q106" s="345" t="s">
        <v>518</v>
      </c>
      <c r="R106" s="345" t="s">
        <v>519</v>
      </c>
      <c r="S106" s="345" t="s">
        <v>512</v>
      </c>
      <c r="T106" s="643"/>
      <c r="U106" s="345" t="s">
        <v>517</v>
      </c>
      <c r="V106" s="345" t="s">
        <v>518</v>
      </c>
      <c r="W106" s="345" t="s">
        <v>519</v>
      </c>
      <c r="X106" s="345" t="s">
        <v>512</v>
      </c>
      <c r="Y106" s="643"/>
      <c r="Z106" s="345" t="s">
        <v>517</v>
      </c>
      <c r="AA106" s="345" t="s">
        <v>518</v>
      </c>
      <c r="AB106" s="345" t="s">
        <v>519</v>
      </c>
      <c r="AC106" s="345" t="s">
        <v>512</v>
      </c>
      <c r="AD106" s="643"/>
      <c r="AE106" s="345" t="s">
        <v>517</v>
      </c>
      <c r="AF106" s="345" t="s">
        <v>518</v>
      </c>
      <c r="AG106" s="345" t="s">
        <v>519</v>
      </c>
      <c r="AH106" s="345" t="s">
        <v>512</v>
      </c>
      <c r="AI106" s="643"/>
      <c r="AJ106" s="345" t="s">
        <v>517</v>
      </c>
      <c r="AK106" s="345" t="s">
        <v>518</v>
      </c>
      <c r="AL106" s="345" t="s">
        <v>519</v>
      </c>
      <c r="AM106" s="345" t="s">
        <v>512</v>
      </c>
      <c r="AN106" s="643"/>
      <c r="AO106" s="345" t="s">
        <v>517</v>
      </c>
      <c r="AP106" s="345" t="s">
        <v>518</v>
      </c>
      <c r="AQ106" s="345" t="s">
        <v>519</v>
      </c>
      <c r="AR106" s="345" t="s">
        <v>512</v>
      </c>
      <c r="AS106" s="643"/>
      <c r="AT106" s="345" t="s">
        <v>517</v>
      </c>
      <c r="AU106" s="345" t="s">
        <v>518</v>
      </c>
      <c r="AV106" s="345" t="s">
        <v>519</v>
      </c>
      <c r="AW106" s="345" t="s">
        <v>512</v>
      </c>
      <c r="AX106" s="643"/>
      <c r="AZ106" s="373" t="s">
        <v>360</v>
      </c>
      <c r="BA106" s="643"/>
    </row>
    <row r="107" spans="2:53">
      <c r="B107" s="701" t="s">
        <v>520</v>
      </c>
      <c r="C107" s="348">
        <v>1</v>
      </c>
      <c r="D107" s="506"/>
      <c r="E107" s="507"/>
      <c r="F107" s="507"/>
      <c r="G107" s="509"/>
      <c r="H107" s="656" t="e">
        <f>AVERAGE(G107:G121)</f>
        <v>#DIV/0!</v>
      </c>
      <c r="I107" s="363" t="str">
        <f t="shared" ref="I107:I121" si="39">IFERROR(AVERAGE(P107,U107,Z107,AE107,AJ107,AO107,AT107),"-")</f>
        <v>-</v>
      </c>
      <c r="J107" s="363" t="str">
        <f t="shared" ref="J107:J121" si="40">IFERROR(AVERAGE(Q107,V107,AA107,AF107,AK107,AP107,AU107),"-")</f>
        <v>-</v>
      </c>
      <c r="K107" s="199" t="str">
        <f t="shared" ref="K107:K121" si="41">IFERROR(AVERAGE(R107,W107,AB107,AG107,AL107,AQ107,AV107),"-")</f>
        <v>-</v>
      </c>
      <c r="L107" s="658" t="str">
        <f>IFERROR(AVERAGE(K107:K121),"-")</f>
        <v>-</v>
      </c>
      <c r="M107" s="349" t="e">
        <f>RANK(K107, K$107:$K$121)</f>
        <v>#VALUE!</v>
      </c>
      <c r="N107" s="643"/>
      <c r="O107" s="643"/>
      <c r="P107" s="563"/>
      <c r="Q107" s="565"/>
      <c r="R107" s="565"/>
      <c r="S107" s="563"/>
      <c r="T107" s="638"/>
      <c r="U107" s="563"/>
      <c r="V107" s="565"/>
      <c r="W107" s="565"/>
      <c r="X107" s="563"/>
      <c r="Y107" s="638"/>
      <c r="Z107" s="563"/>
      <c r="AA107" s="565"/>
      <c r="AB107" s="565"/>
      <c r="AC107" s="563"/>
      <c r="AD107" s="638"/>
      <c r="AE107" s="563"/>
      <c r="AF107" s="565"/>
      <c r="AG107" s="565"/>
      <c r="AH107" s="563"/>
      <c r="AI107" s="638"/>
      <c r="AJ107" s="563"/>
      <c r="AK107" s="565"/>
      <c r="AL107" s="565"/>
      <c r="AM107" s="563"/>
      <c r="AN107" s="638"/>
      <c r="AO107" s="563"/>
      <c r="AP107" s="565"/>
      <c r="AQ107" s="565"/>
      <c r="AR107" s="563"/>
      <c r="AS107" s="638"/>
      <c r="AT107" s="563"/>
      <c r="AU107" s="565"/>
      <c r="AV107" s="565"/>
      <c r="AW107" s="563"/>
      <c r="AX107" s="638"/>
      <c r="AZ107" s="375" t="e">
        <f t="shared" ref="AZ107:AZ121" si="42">RANK(AY107, AY$81:AY$87)</f>
        <v>#N/A</v>
      </c>
      <c r="BA107" s="700" t="e">
        <f t="shared" ref="BA107" si="43">AVERAGE(AY107:AY121)</f>
        <v>#DIV/0!</v>
      </c>
    </row>
    <row r="108" spans="2:53">
      <c r="B108" s="678"/>
      <c r="C108" s="348">
        <v>2</v>
      </c>
      <c r="D108" s="507"/>
      <c r="E108" s="507"/>
      <c r="F108" s="507"/>
      <c r="G108" s="509"/>
      <c r="H108" s="657"/>
      <c r="I108" s="363" t="str">
        <f t="shared" si="39"/>
        <v>-</v>
      </c>
      <c r="J108" s="363" t="str">
        <f t="shared" si="40"/>
        <v>-</v>
      </c>
      <c r="K108" s="199" t="str">
        <f t="shared" si="41"/>
        <v>-</v>
      </c>
      <c r="L108" s="659"/>
      <c r="M108" s="349" t="e">
        <f>RANK(K108, K$107:$K$121)</f>
        <v>#VALUE!</v>
      </c>
      <c r="N108" s="643"/>
      <c r="O108" s="643"/>
      <c r="P108" s="563"/>
      <c r="Q108" s="565"/>
      <c r="R108" s="565"/>
      <c r="S108" s="563"/>
      <c r="T108" s="639"/>
      <c r="U108" s="563"/>
      <c r="V108" s="565"/>
      <c r="W108" s="565"/>
      <c r="X108" s="563"/>
      <c r="Y108" s="639"/>
      <c r="Z108" s="563"/>
      <c r="AA108" s="565"/>
      <c r="AB108" s="565"/>
      <c r="AC108" s="563"/>
      <c r="AD108" s="639"/>
      <c r="AE108" s="563"/>
      <c r="AF108" s="565"/>
      <c r="AG108" s="565"/>
      <c r="AH108" s="563"/>
      <c r="AI108" s="639"/>
      <c r="AJ108" s="563"/>
      <c r="AK108" s="565"/>
      <c r="AL108" s="565"/>
      <c r="AM108" s="563"/>
      <c r="AN108" s="639"/>
      <c r="AO108" s="563"/>
      <c r="AP108" s="565"/>
      <c r="AQ108" s="565"/>
      <c r="AR108" s="563"/>
      <c r="AS108" s="639"/>
      <c r="AT108" s="563"/>
      <c r="AU108" s="565"/>
      <c r="AV108" s="565"/>
      <c r="AW108" s="563"/>
      <c r="AX108" s="639"/>
      <c r="AZ108" s="375" t="e">
        <f t="shared" si="42"/>
        <v>#N/A</v>
      </c>
      <c r="BA108" s="700"/>
    </row>
    <row r="109" spans="2:53">
      <c r="B109" s="678"/>
      <c r="C109" s="348">
        <v>3</v>
      </c>
      <c r="D109" s="507"/>
      <c r="E109" s="507"/>
      <c r="F109" s="507"/>
      <c r="G109" s="509"/>
      <c r="H109" s="657"/>
      <c r="I109" s="363" t="str">
        <f t="shared" si="39"/>
        <v>-</v>
      </c>
      <c r="J109" s="363" t="str">
        <f t="shared" si="40"/>
        <v>-</v>
      </c>
      <c r="K109" s="199" t="str">
        <f t="shared" si="41"/>
        <v>-</v>
      </c>
      <c r="L109" s="659"/>
      <c r="M109" s="349" t="e">
        <f>RANK(K109, K$107:$K$121)</f>
        <v>#VALUE!</v>
      </c>
      <c r="N109" s="643"/>
      <c r="O109" s="643"/>
      <c r="P109" s="563"/>
      <c r="Q109" s="565"/>
      <c r="R109" s="565"/>
      <c r="S109" s="563"/>
      <c r="T109" s="639"/>
      <c r="U109" s="563"/>
      <c r="V109" s="565"/>
      <c r="W109" s="565"/>
      <c r="X109" s="563"/>
      <c r="Y109" s="639"/>
      <c r="Z109" s="563"/>
      <c r="AA109" s="565"/>
      <c r="AB109" s="565"/>
      <c r="AC109" s="563"/>
      <c r="AD109" s="639"/>
      <c r="AE109" s="563"/>
      <c r="AF109" s="565"/>
      <c r="AG109" s="565"/>
      <c r="AH109" s="563"/>
      <c r="AI109" s="639"/>
      <c r="AJ109" s="563"/>
      <c r="AK109" s="565"/>
      <c r="AL109" s="565"/>
      <c r="AM109" s="563"/>
      <c r="AN109" s="639"/>
      <c r="AO109" s="563"/>
      <c r="AP109" s="565"/>
      <c r="AQ109" s="565"/>
      <c r="AR109" s="563"/>
      <c r="AS109" s="639"/>
      <c r="AT109" s="563"/>
      <c r="AU109" s="565"/>
      <c r="AV109" s="565"/>
      <c r="AW109" s="563"/>
      <c r="AX109" s="639"/>
      <c r="AZ109" s="375" t="e">
        <f t="shared" si="42"/>
        <v>#N/A</v>
      </c>
      <c r="BA109" s="700"/>
    </row>
    <row r="110" spans="2:53">
      <c r="B110" s="678"/>
      <c r="C110" s="348">
        <v>4</v>
      </c>
      <c r="D110" s="352"/>
      <c r="E110" s="352"/>
      <c r="F110" s="352"/>
      <c r="G110" s="181"/>
      <c r="H110" s="657"/>
      <c r="I110" s="363" t="str">
        <f t="shared" si="39"/>
        <v>-</v>
      </c>
      <c r="J110" s="363" t="str">
        <f t="shared" si="40"/>
        <v>-</v>
      </c>
      <c r="K110" s="199" t="str">
        <f t="shared" si="41"/>
        <v>-</v>
      </c>
      <c r="L110" s="659"/>
      <c r="M110" s="349" t="e">
        <f>RANK(K110, K$107:$K$121)</f>
        <v>#VALUE!</v>
      </c>
      <c r="N110" s="643"/>
      <c r="O110" s="643"/>
      <c r="P110" s="563"/>
      <c r="Q110" s="565"/>
      <c r="R110" s="565"/>
      <c r="S110" s="563"/>
      <c r="T110" s="639"/>
      <c r="U110" s="563"/>
      <c r="V110" s="565"/>
      <c r="W110" s="565"/>
      <c r="X110" s="563"/>
      <c r="Y110" s="639"/>
      <c r="Z110" s="563"/>
      <c r="AA110" s="565"/>
      <c r="AB110" s="565"/>
      <c r="AC110" s="563"/>
      <c r="AD110" s="639"/>
      <c r="AE110" s="563"/>
      <c r="AF110" s="565"/>
      <c r="AG110" s="565"/>
      <c r="AH110" s="563"/>
      <c r="AI110" s="639"/>
      <c r="AJ110" s="563"/>
      <c r="AK110" s="565"/>
      <c r="AL110" s="565"/>
      <c r="AM110" s="563"/>
      <c r="AN110" s="639"/>
      <c r="AO110" s="563"/>
      <c r="AP110" s="565"/>
      <c r="AQ110" s="565"/>
      <c r="AR110" s="563"/>
      <c r="AS110" s="639"/>
      <c r="AT110" s="563"/>
      <c r="AU110" s="565"/>
      <c r="AV110" s="565"/>
      <c r="AW110" s="563"/>
      <c r="AX110" s="639"/>
      <c r="AZ110" s="375" t="e">
        <f t="shared" si="42"/>
        <v>#N/A</v>
      </c>
      <c r="BA110" s="700"/>
    </row>
    <row r="111" spans="2:53">
      <c r="B111" s="678"/>
      <c r="C111" s="348">
        <v>5</v>
      </c>
      <c r="D111" s="352"/>
      <c r="E111" s="352"/>
      <c r="F111" s="352"/>
      <c r="G111" s="181"/>
      <c r="H111" s="657"/>
      <c r="I111" s="363" t="str">
        <f t="shared" si="39"/>
        <v>-</v>
      </c>
      <c r="J111" s="363" t="str">
        <f t="shared" si="40"/>
        <v>-</v>
      </c>
      <c r="K111" s="199" t="str">
        <f t="shared" si="41"/>
        <v>-</v>
      </c>
      <c r="L111" s="659"/>
      <c r="M111" s="349" t="e">
        <f>RANK(K111, K$107:$K$121)</f>
        <v>#VALUE!</v>
      </c>
      <c r="N111" s="643"/>
      <c r="O111" s="643"/>
      <c r="P111" s="563"/>
      <c r="Q111" s="565"/>
      <c r="R111" s="565"/>
      <c r="S111" s="563"/>
      <c r="T111" s="639"/>
      <c r="U111" s="563"/>
      <c r="V111" s="565"/>
      <c r="W111" s="565"/>
      <c r="X111" s="563"/>
      <c r="Y111" s="639"/>
      <c r="Z111" s="563"/>
      <c r="AA111" s="565"/>
      <c r="AB111" s="565"/>
      <c r="AC111" s="563"/>
      <c r="AD111" s="639"/>
      <c r="AE111" s="563"/>
      <c r="AF111" s="565"/>
      <c r="AG111" s="565"/>
      <c r="AH111" s="563"/>
      <c r="AI111" s="639"/>
      <c r="AJ111" s="563"/>
      <c r="AK111" s="565"/>
      <c r="AL111" s="565"/>
      <c r="AM111" s="563"/>
      <c r="AN111" s="639"/>
      <c r="AO111" s="563"/>
      <c r="AP111" s="565"/>
      <c r="AQ111" s="565"/>
      <c r="AR111" s="563"/>
      <c r="AS111" s="639"/>
      <c r="AT111" s="563"/>
      <c r="AU111" s="565"/>
      <c r="AV111" s="565"/>
      <c r="AW111" s="563"/>
      <c r="AX111" s="639"/>
      <c r="AZ111" s="375" t="e">
        <f t="shared" si="42"/>
        <v>#N/A</v>
      </c>
      <c r="BA111" s="700"/>
    </row>
    <row r="112" spans="2:53">
      <c r="B112" s="678"/>
      <c r="C112" s="348">
        <v>6</v>
      </c>
      <c r="D112" s="352"/>
      <c r="E112" s="352"/>
      <c r="F112" s="352"/>
      <c r="G112" s="181"/>
      <c r="H112" s="657"/>
      <c r="I112" s="363" t="str">
        <f t="shared" si="39"/>
        <v>-</v>
      </c>
      <c r="J112" s="363" t="str">
        <f t="shared" si="40"/>
        <v>-</v>
      </c>
      <c r="K112" s="199" t="str">
        <f t="shared" si="41"/>
        <v>-</v>
      </c>
      <c r="L112" s="659"/>
      <c r="M112" s="349" t="e">
        <f>RANK(K112, K$107:$K$121)</f>
        <v>#VALUE!</v>
      </c>
      <c r="N112" s="643"/>
      <c r="O112" s="643"/>
      <c r="P112" s="563"/>
      <c r="Q112" s="565"/>
      <c r="R112" s="565"/>
      <c r="S112" s="563"/>
      <c r="T112" s="639"/>
      <c r="U112" s="563"/>
      <c r="V112" s="565"/>
      <c r="W112" s="565"/>
      <c r="X112" s="563"/>
      <c r="Y112" s="639"/>
      <c r="Z112" s="563"/>
      <c r="AA112" s="565"/>
      <c r="AB112" s="565"/>
      <c r="AC112" s="563"/>
      <c r="AD112" s="639"/>
      <c r="AE112" s="563"/>
      <c r="AF112" s="565"/>
      <c r="AG112" s="565"/>
      <c r="AH112" s="563"/>
      <c r="AI112" s="639"/>
      <c r="AJ112" s="563"/>
      <c r="AK112" s="565"/>
      <c r="AL112" s="565"/>
      <c r="AM112" s="563"/>
      <c r="AN112" s="639"/>
      <c r="AO112" s="563"/>
      <c r="AP112" s="565"/>
      <c r="AQ112" s="565"/>
      <c r="AR112" s="563"/>
      <c r="AS112" s="639"/>
      <c r="AT112" s="563"/>
      <c r="AU112" s="565"/>
      <c r="AV112" s="565"/>
      <c r="AW112" s="563"/>
      <c r="AX112" s="639"/>
      <c r="AZ112" s="375" t="e">
        <f t="shared" si="42"/>
        <v>#N/A</v>
      </c>
      <c r="BA112" s="700"/>
    </row>
    <row r="113" spans="2:53">
      <c r="B113" s="678"/>
      <c r="C113" s="348">
        <v>7</v>
      </c>
      <c r="D113" s="352"/>
      <c r="E113" s="352"/>
      <c r="F113" s="352"/>
      <c r="G113" s="181"/>
      <c r="H113" s="657"/>
      <c r="I113" s="363" t="str">
        <f t="shared" si="39"/>
        <v>-</v>
      </c>
      <c r="J113" s="363" t="str">
        <f t="shared" si="40"/>
        <v>-</v>
      </c>
      <c r="K113" s="199" t="str">
        <f t="shared" si="41"/>
        <v>-</v>
      </c>
      <c r="L113" s="659"/>
      <c r="M113" s="349" t="e">
        <f>RANK(K113, K$107:$K$121)</f>
        <v>#VALUE!</v>
      </c>
      <c r="N113" s="643"/>
      <c r="O113" s="643"/>
      <c r="P113" s="563"/>
      <c r="Q113" s="565"/>
      <c r="R113" s="565"/>
      <c r="S113" s="563"/>
      <c r="T113" s="639"/>
      <c r="U113" s="563"/>
      <c r="V113" s="565"/>
      <c r="W113" s="565"/>
      <c r="X113" s="563"/>
      <c r="Y113" s="639"/>
      <c r="Z113" s="563"/>
      <c r="AA113" s="565"/>
      <c r="AB113" s="565"/>
      <c r="AC113" s="563"/>
      <c r="AD113" s="639"/>
      <c r="AE113" s="563"/>
      <c r="AF113" s="565"/>
      <c r="AG113" s="565"/>
      <c r="AH113" s="563"/>
      <c r="AI113" s="639"/>
      <c r="AJ113" s="563"/>
      <c r="AK113" s="565"/>
      <c r="AL113" s="565"/>
      <c r="AM113" s="563"/>
      <c r="AN113" s="639"/>
      <c r="AO113" s="563"/>
      <c r="AP113" s="565"/>
      <c r="AQ113" s="565"/>
      <c r="AR113" s="563"/>
      <c r="AS113" s="639"/>
      <c r="AT113" s="563"/>
      <c r="AU113" s="565"/>
      <c r="AV113" s="565"/>
      <c r="AW113" s="563"/>
      <c r="AX113" s="639"/>
      <c r="AZ113" s="375" t="e">
        <f t="shared" si="42"/>
        <v>#N/A</v>
      </c>
      <c r="BA113" s="700"/>
    </row>
    <row r="114" spans="2:53">
      <c r="B114" s="678"/>
      <c r="C114" s="348">
        <v>8</v>
      </c>
      <c r="D114" s="352"/>
      <c r="E114" s="352"/>
      <c r="F114" s="352"/>
      <c r="G114" s="181"/>
      <c r="H114" s="657"/>
      <c r="I114" s="363" t="str">
        <f t="shared" si="39"/>
        <v>-</v>
      </c>
      <c r="J114" s="363" t="str">
        <f t="shared" si="40"/>
        <v>-</v>
      </c>
      <c r="K114" s="199" t="str">
        <f t="shared" si="41"/>
        <v>-</v>
      </c>
      <c r="L114" s="659"/>
      <c r="M114" s="349" t="e">
        <f>RANK(K114, K$107:$K$121)</f>
        <v>#VALUE!</v>
      </c>
      <c r="N114" s="643"/>
      <c r="O114" s="643"/>
      <c r="P114" s="563"/>
      <c r="Q114" s="565"/>
      <c r="R114" s="565"/>
      <c r="S114" s="563"/>
      <c r="T114" s="639"/>
      <c r="U114" s="563"/>
      <c r="V114" s="565"/>
      <c r="W114" s="565"/>
      <c r="X114" s="563"/>
      <c r="Y114" s="639"/>
      <c r="Z114" s="563"/>
      <c r="AA114" s="565"/>
      <c r="AB114" s="565"/>
      <c r="AC114" s="563"/>
      <c r="AD114" s="639"/>
      <c r="AE114" s="563"/>
      <c r="AF114" s="565"/>
      <c r="AG114" s="565"/>
      <c r="AH114" s="563"/>
      <c r="AI114" s="639"/>
      <c r="AJ114" s="563"/>
      <c r="AK114" s="565"/>
      <c r="AL114" s="565"/>
      <c r="AM114" s="563"/>
      <c r="AN114" s="639"/>
      <c r="AO114" s="563"/>
      <c r="AP114" s="565"/>
      <c r="AQ114" s="565"/>
      <c r="AR114" s="563"/>
      <c r="AS114" s="639"/>
      <c r="AT114" s="563"/>
      <c r="AU114" s="565"/>
      <c r="AV114" s="565"/>
      <c r="AW114" s="563"/>
      <c r="AX114" s="639"/>
      <c r="AZ114" s="375" t="e">
        <f t="shared" si="42"/>
        <v>#N/A</v>
      </c>
      <c r="BA114" s="700"/>
    </row>
    <row r="115" spans="2:53">
      <c r="B115" s="678"/>
      <c r="C115" s="348">
        <v>9</v>
      </c>
      <c r="D115" s="352"/>
      <c r="E115" s="352"/>
      <c r="F115" s="352"/>
      <c r="G115" s="181"/>
      <c r="H115" s="657"/>
      <c r="I115" s="363" t="str">
        <f t="shared" si="39"/>
        <v>-</v>
      </c>
      <c r="J115" s="363" t="str">
        <f t="shared" si="40"/>
        <v>-</v>
      </c>
      <c r="K115" s="199" t="str">
        <f t="shared" si="41"/>
        <v>-</v>
      </c>
      <c r="L115" s="659"/>
      <c r="M115" s="349" t="e">
        <f>RANK(K115, K$107:$K$121)</f>
        <v>#VALUE!</v>
      </c>
      <c r="N115" s="643"/>
      <c r="O115" s="643"/>
      <c r="P115" s="563"/>
      <c r="Q115" s="565"/>
      <c r="R115" s="565"/>
      <c r="S115" s="563"/>
      <c r="T115" s="639"/>
      <c r="U115" s="563"/>
      <c r="V115" s="565"/>
      <c r="W115" s="565"/>
      <c r="X115" s="563"/>
      <c r="Y115" s="639"/>
      <c r="Z115" s="563"/>
      <c r="AA115" s="565"/>
      <c r="AB115" s="565"/>
      <c r="AC115" s="563"/>
      <c r="AD115" s="639"/>
      <c r="AE115" s="563"/>
      <c r="AF115" s="565"/>
      <c r="AG115" s="565"/>
      <c r="AH115" s="563"/>
      <c r="AI115" s="639"/>
      <c r="AJ115" s="563"/>
      <c r="AK115" s="565"/>
      <c r="AL115" s="565"/>
      <c r="AM115" s="563"/>
      <c r="AN115" s="639"/>
      <c r="AO115" s="563"/>
      <c r="AP115" s="565"/>
      <c r="AQ115" s="565"/>
      <c r="AR115" s="563"/>
      <c r="AS115" s="639"/>
      <c r="AT115" s="563"/>
      <c r="AU115" s="565"/>
      <c r="AV115" s="565"/>
      <c r="AW115" s="563"/>
      <c r="AX115" s="639"/>
      <c r="AZ115" s="375" t="e">
        <f t="shared" si="42"/>
        <v>#N/A</v>
      </c>
      <c r="BA115" s="700"/>
    </row>
    <row r="116" spans="2:53">
      <c r="B116" s="678"/>
      <c r="C116" s="348">
        <v>10</v>
      </c>
      <c r="D116" s="352"/>
      <c r="E116" s="352"/>
      <c r="F116" s="352"/>
      <c r="G116" s="181"/>
      <c r="H116" s="657"/>
      <c r="I116" s="363" t="str">
        <f t="shared" si="39"/>
        <v>-</v>
      </c>
      <c r="J116" s="363" t="str">
        <f t="shared" si="40"/>
        <v>-</v>
      </c>
      <c r="K116" s="199" t="str">
        <f t="shared" si="41"/>
        <v>-</v>
      </c>
      <c r="L116" s="659"/>
      <c r="M116" s="349" t="e">
        <f>RANK(K116, K$107:$K$121)</f>
        <v>#VALUE!</v>
      </c>
      <c r="N116" s="643"/>
      <c r="O116" s="643"/>
      <c r="P116" s="563"/>
      <c r="Q116" s="565"/>
      <c r="R116" s="565"/>
      <c r="S116" s="563"/>
      <c r="T116" s="639"/>
      <c r="U116" s="563"/>
      <c r="V116" s="565"/>
      <c r="W116" s="565"/>
      <c r="X116" s="563"/>
      <c r="Y116" s="639"/>
      <c r="Z116" s="563"/>
      <c r="AA116" s="565"/>
      <c r="AB116" s="565"/>
      <c r="AC116" s="563"/>
      <c r="AD116" s="639"/>
      <c r="AE116" s="563"/>
      <c r="AF116" s="565"/>
      <c r="AG116" s="565"/>
      <c r="AH116" s="563"/>
      <c r="AI116" s="639"/>
      <c r="AJ116" s="563"/>
      <c r="AK116" s="565"/>
      <c r="AL116" s="565"/>
      <c r="AM116" s="563"/>
      <c r="AN116" s="639"/>
      <c r="AO116" s="563"/>
      <c r="AP116" s="565"/>
      <c r="AQ116" s="565"/>
      <c r="AR116" s="563"/>
      <c r="AS116" s="639"/>
      <c r="AT116" s="563"/>
      <c r="AU116" s="565"/>
      <c r="AV116" s="565"/>
      <c r="AW116" s="563"/>
      <c r="AX116" s="639"/>
      <c r="AZ116" s="375" t="e">
        <f t="shared" si="42"/>
        <v>#N/A</v>
      </c>
      <c r="BA116" s="700"/>
    </row>
    <row r="117" spans="2:53">
      <c r="B117" s="678"/>
      <c r="C117" s="348">
        <v>11</v>
      </c>
      <c r="D117" s="352"/>
      <c r="E117" s="352"/>
      <c r="F117" s="352"/>
      <c r="G117" s="181"/>
      <c r="H117" s="657"/>
      <c r="I117" s="363" t="str">
        <f t="shared" si="39"/>
        <v>-</v>
      </c>
      <c r="J117" s="363" t="str">
        <f t="shared" si="40"/>
        <v>-</v>
      </c>
      <c r="K117" s="199" t="str">
        <f t="shared" si="41"/>
        <v>-</v>
      </c>
      <c r="L117" s="659"/>
      <c r="M117" s="349" t="e">
        <f>RANK(K117, K$107:$K$121)</f>
        <v>#VALUE!</v>
      </c>
      <c r="N117" s="643"/>
      <c r="O117" s="643"/>
      <c r="P117" s="563"/>
      <c r="Q117" s="565"/>
      <c r="R117" s="565"/>
      <c r="S117" s="563"/>
      <c r="T117" s="639"/>
      <c r="U117" s="563"/>
      <c r="V117" s="565"/>
      <c r="W117" s="565"/>
      <c r="X117" s="563"/>
      <c r="Y117" s="639"/>
      <c r="Z117" s="563"/>
      <c r="AA117" s="565"/>
      <c r="AB117" s="565"/>
      <c r="AC117" s="563"/>
      <c r="AD117" s="639"/>
      <c r="AE117" s="563"/>
      <c r="AF117" s="565"/>
      <c r="AG117" s="565"/>
      <c r="AH117" s="563"/>
      <c r="AI117" s="639"/>
      <c r="AJ117" s="563"/>
      <c r="AK117" s="565"/>
      <c r="AL117" s="565"/>
      <c r="AM117" s="563"/>
      <c r="AN117" s="639"/>
      <c r="AO117" s="563"/>
      <c r="AP117" s="565"/>
      <c r="AQ117" s="565"/>
      <c r="AR117" s="563"/>
      <c r="AS117" s="639"/>
      <c r="AT117" s="563"/>
      <c r="AU117" s="565"/>
      <c r="AV117" s="565"/>
      <c r="AW117" s="563"/>
      <c r="AX117" s="639"/>
      <c r="AZ117" s="375" t="e">
        <f t="shared" si="42"/>
        <v>#N/A</v>
      </c>
      <c r="BA117" s="700"/>
    </row>
    <row r="118" spans="2:53">
      <c r="B118" s="678"/>
      <c r="C118" s="348">
        <v>12</v>
      </c>
      <c r="D118" s="352"/>
      <c r="E118" s="352"/>
      <c r="F118" s="352"/>
      <c r="G118" s="181"/>
      <c r="H118" s="657"/>
      <c r="I118" s="363" t="str">
        <f t="shared" si="39"/>
        <v>-</v>
      </c>
      <c r="J118" s="363" t="str">
        <f t="shared" si="40"/>
        <v>-</v>
      </c>
      <c r="K118" s="199" t="str">
        <f t="shared" si="41"/>
        <v>-</v>
      </c>
      <c r="L118" s="659"/>
      <c r="M118" s="349" t="e">
        <f>RANK(K118, K$107:$K$121)</f>
        <v>#VALUE!</v>
      </c>
      <c r="N118" s="643"/>
      <c r="O118" s="643"/>
      <c r="P118" s="563"/>
      <c r="Q118" s="565"/>
      <c r="R118" s="565"/>
      <c r="S118" s="563"/>
      <c r="T118" s="639"/>
      <c r="U118" s="563"/>
      <c r="V118" s="565"/>
      <c r="W118" s="565"/>
      <c r="X118" s="563"/>
      <c r="Y118" s="639"/>
      <c r="Z118" s="563"/>
      <c r="AA118" s="565"/>
      <c r="AB118" s="565"/>
      <c r="AC118" s="563"/>
      <c r="AD118" s="639"/>
      <c r="AE118" s="563"/>
      <c r="AF118" s="565"/>
      <c r="AG118" s="565"/>
      <c r="AH118" s="563"/>
      <c r="AI118" s="639"/>
      <c r="AJ118" s="563"/>
      <c r="AK118" s="565"/>
      <c r="AL118" s="565"/>
      <c r="AM118" s="563"/>
      <c r="AN118" s="639"/>
      <c r="AO118" s="563"/>
      <c r="AP118" s="565"/>
      <c r="AQ118" s="565"/>
      <c r="AR118" s="563"/>
      <c r="AS118" s="639"/>
      <c r="AT118" s="563"/>
      <c r="AU118" s="565"/>
      <c r="AV118" s="565"/>
      <c r="AW118" s="563"/>
      <c r="AX118" s="639"/>
      <c r="AZ118" s="375" t="e">
        <f t="shared" si="42"/>
        <v>#N/A</v>
      </c>
      <c r="BA118" s="700"/>
    </row>
    <row r="119" spans="2:53">
      <c r="B119" s="678"/>
      <c r="C119" s="348">
        <v>13</v>
      </c>
      <c r="D119" s="352"/>
      <c r="E119" s="352"/>
      <c r="F119" s="352"/>
      <c r="G119" s="181"/>
      <c r="H119" s="657"/>
      <c r="I119" s="363" t="str">
        <f t="shared" si="39"/>
        <v>-</v>
      </c>
      <c r="J119" s="363" t="str">
        <f t="shared" si="40"/>
        <v>-</v>
      </c>
      <c r="K119" s="199" t="str">
        <f t="shared" si="41"/>
        <v>-</v>
      </c>
      <c r="L119" s="659"/>
      <c r="M119" s="349" t="e">
        <f>RANK(K119, K$107:$K$121)</f>
        <v>#VALUE!</v>
      </c>
      <c r="N119" s="643"/>
      <c r="O119" s="643"/>
      <c r="P119" s="563"/>
      <c r="Q119" s="565"/>
      <c r="R119" s="565"/>
      <c r="S119" s="563"/>
      <c r="T119" s="639"/>
      <c r="U119" s="563"/>
      <c r="V119" s="565"/>
      <c r="W119" s="565"/>
      <c r="X119" s="563"/>
      <c r="Y119" s="639"/>
      <c r="Z119" s="563"/>
      <c r="AA119" s="565"/>
      <c r="AB119" s="565"/>
      <c r="AC119" s="563"/>
      <c r="AD119" s="639"/>
      <c r="AE119" s="563"/>
      <c r="AF119" s="565"/>
      <c r="AG119" s="565"/>
      <c r="AH119" s="563"/>
      <c r="AI119" s="639"/>
      <c r="AJ119" s="563"/>
      <c r="AK119" s="565"/>
      <c r="AL119" s="565"/>
      <c r="AM119" s="563"/>
      <c r="AN119" s="639"/>
      <c r="AO119" s="563"/>
      <c r="AP119" s="565"/>
      <c r="AQ119" s="565"/>
      <c r="AR119" s="563"/>
      <c r="AS119" s="639"/>
      <c r="AT119" s="563"/>
      <c r="AU119" s="565"/>
      <c r="AV119" s="565"/>
      <c r="AW119" s="563"/>
      <c r="AX119" s="639"/>
      <c r="AZ119" s="375" t="e">
        <f t="shared" si="42"/>
        <v>#N/A</v>
      </c>
      <c r="BA119" s="700"/>
    </row>
    <row r="120" spans="2:53">
      <c r="B120" s="678"/>
      <c r="C120" s="348">
        <v>14</v>
      </c>
      <c r="D120" s="352"/>
      <c r="E120" s="352"/>
      <c r="F120" s="352"/>
      <c r="G120" s="181"/>
      <c r="H120" s="657"/>
      <c r="I120" s="363" t="str">
        <f t="shared" si="39"/>
        <v>-</v>
      </c>
      <c r="J120" s="363" t="str">
        <f t="shared" si="40"/>
        <v>-</v>
      </c>
      <c r="K120" s="199" t="str">
        <f t="shared" si="41"/>
        <v>-</v>
      </c>
      <c r="L120" s="659"/>
      <c r="M120" s="349" t="e">
        <f>RANK(K120, K$107:$K$121)</f>
        <v>#VALUE!</v>
      </c>
      <c r="N120" s="643"/>
      <c r="O120" s="643"/>
      <c r="P120" s="563"/>
      <c r="Q120" s="565"/>
      <c r="R120" s="565"/>
      <c r="S120" s="563"/>
      <c r="T120" s="639"/>
      <c r="U120" s="563"/>
      <c r="V120" s="565"/>
      <c r="W120" s="565"/>
      <c r="X120" s="563"/>
      <c r="Y120" s="639"/>
      <c r="Z120" s="563"/>
      <c r="AA120" s="565"/>
      <c r="AB120" s="565"/>
      <c r="AC120" s="563"/>
      <c r="AD120" s="639"/>
      <c r="AE120" s="563"/>
      <c r="AF120" s="565"/>
      <c r="AG120" s="565"/>
      <c r="AH120" s="563"/>
      <c r="AI120" s="639"/>
      <c r="AJ120" s="563"/>
      <c r="AK120" s="565"/>
      <c r="AL120" s="565"/>
      <c r="AM120" s="563"/>
      <c r="AN120" s="639"/>
      <c r="AO120" s="563"/>
      <c r="AP120" s="565"/>
      <c r="AQ120" s="565"/>
      <c r="AR120" s="563"/>
      <c r="AS120" s="639"/>
      <c r="AT120" s="563"/>
      <c r="AU120" s="565"/>
      <c r="AV120" s="565"/>
      <c r="AW120" s="563"/>
      <c r="AX120" s="639"/>
      <c r="AZ120" s="375" t="e">
        <f t="shared" si="42"/>
        <v>#N/A</v>
      </c>
      <c r="BA120" s="700"/>
    </row>
    <row r="121" spans="2:53">
      <c r="B121" s="678"/>
      <c r="C121" s="348">
        <v>15</v>
      </c>
      <c r="D121" s="352"/>
      <c r="E121" s="352"/>
      <c r="F121" s="352"/>
      <c r="G121" s="352"/>
      <c r="H121" s="714"/>
      <c r="I121" s="363" t="str">
        <f t="shared" si="39"/>
        <v>-</v>
      </c>
      <c r="J121" s="363" t="str">
        <f t="shared" si="40"/>
        <v>-</v>
      </c>
      <c r="K121" s="199" t="str">
        <f t="shared" si="41"/>
        <v>-</v>
      </c>
      <c r="L121" s="660"/>
      <c r="M121" s="349" t="e">
        <f>RANK(K121, K$107:$K$121)</f>
        <v>#VALUE!</v>
      </c>
      <c r="N121" s="643"/>
      <c r="O121" s="643"/>
      <c r="P121" s="563"/>
      <c r="Q121" s="565"/>
      <c r="R121" s="565"/>
      <c r="S121" s="563"/>
      <c r="T121" s="640"/>
      <c r="U121" s="563"/>
      <c r="V121" s="565"/>
      <c r="W121" s="565"/>
      <c r="X121" s="563"/>
      <c r="Y121" s="640"/>
      <c r="Z121" s="563"/>
      <c r="AA121" s="565"/>
      <c r="AB121" s="565"/>
      <c r="AC121" s="563"/>
      <c r="AD121" s="640"/>
      <c r="AE121" s="563"/>
      <c r="AF121" s="565"/>
      <c r="AG121" s="565"/>
      <c r="AH121" s="563"/>
      <c r="AI121" s="640"/>
      <c r="AJ121" s="563"/>
      <c r="AK121" s="565"/>
      <c r="AL121" s="565"/>
      <c r="AM121" s="563"/>
      <c r="AN121" s="640"/>
      <c r="AO121" s="563"/>
      <c r="AP121" s="565"/>
      <c r="AQ121" s="565"/>
      <c r="AR121" s="563"/>
      <c r="AS121" s="640"/>
      <c r="AT121" s="563"/>
      <c r="AU121" s="565"/>
      <c r="AV121" s="565"/>
      <c r="AW121" s="563"/>
      <c r="AX121" s="640"/>
      <c r="AZ121" s="375" t="e">
        <f t="shared" si="42"/>
        <v>#N/A</v>
      </c>
      <c r="BA121" s="700"/>
    </row>
    <row r="123" spans="2:53" ht="15.75">
      <c r="B123" s="651" t="s">
        <v>465</v>
      </c>
      <c r="C123" s="652"/>
      <c r="D123" s="652"/>
      <c r="E123" s="652"/>
      <c r="F123" s="652"/>
      <c r="G123" s="652"/>
      <c r="H123" s="653"/>
      <c r="I123" s="307"/>
      <c r="J123" s="307"/>
      <c r="K123" s="307"/>
      <c r="L123" s="307"/>
      <c r="M123" s="308"/>
    </row>
    <row r="124" spans="2:53" ht="15.75">
      <c r="B124" s="654"/>
      <c r="C124" s="654"/>
      <c r="D124" s="654"/>
      <c r="E124" s="654"/>
      <c r="F124" s="654"/>
      <c r="G124" s="654"/>
      <c r="H124" s="654"/>
      <c r="I124" s="309"/>
      <c r="J124" s="309"/>
      <c r="K124" s="309"/>
      <c r="L124" s="309"/>
      <c r="M124" s="310"/>
    </row>
    <row r="125" spans="2:53">
      <c r="B125" s="643" t="s">
        <v>466</v>
      </c>
      <c r="C125" s="643" t="s">
        <v>467</v>
      </c>
      <c r="D125" s="643"/>
      <c r="E125" s="643" t="s">
        <v>468</v>
      </c>
      <c r="F125" s="643"/>
      <c r="G125" s="643"/>
      <c r="H125" s="675" t="s">
        <v>469</v>
      </c>
      <c r="I125" s="655" t="s">
        <v>470</v>
      </c>
      <c r="J125" s="655"/>
      <c r="K125" s="655"/>
      <c r="L125" s="708" t="s">
        <v>469</v>
      </c>
      <c r="M125" s="711" t="s">
        <v>471</v>
      </c>
    </row>
    <row r="126" spans="2:53">
      <c r="B126" s="643"/>
      <c r="C126" s="643"/>
      <c r="D126" s="643"/>
      <c r="E126" s="643" t="s">
        <v>472</v>
      </c>
      <c r="F126" s="643"/>
      <c r="G126" s="643"/>
      <c r="H126" s="676"/>
      <c r="I126" s="655" t="s">
        <v>472</v>
      </c>
      <c r="J126" s="655"/>
      <c r="K126" s="655"/>
      <c r="L126" s="709"/>
      <c r="M126" s="712"/>
    </row>
    <row r="127" spans="2:53">
      <c r="B127" s="643"/>
      <c r="C127" s="643"/>
      <c r="D127" s="643"/>
      <c r="E127" s="304" t="s">
        <v>473</v>
      </c>
      <c r="F127" s="304" t="s">
        <v>474</v>
      </c>
      <c r="G127" s="304" t="s">
        <v>475</v>
      </c>
      <c r="H127" s="677"/>
      <c r="I127" s="311" t="s">
        <v>473</v>
      </c>
      <c r="J127" s="311" t="s">
        <v>474</v>
      </c>
      <c r="K127" s="311" t="s">
        <v>475</v>
      </c>
      <c r="L127" s="710"/>
      <c r="M127" s="713"/>
    </row>
    <row r="128" spans="2:53">
      <c r="B128" s="701" t="s">
        <v>477</v>
      </c>
      <c r="C128" s="303">
        <v>1</v>
      </c>
      <c r="D128" s="225"/>
      <c r="E128" s="181"/>
      <c r="F128" s="303"/>
      <c r="G128" s="306"/>
      <c r="H128" s="702" t="e">
        <f>AVERAGE(G128:G142)</f>
        <v>#DIV/0!</v>
      </c>
      <c r="I128" s="198" t="e">
        <f t="shared" ref="I128:K134" si="44">AVERAGEIF($D$7:$D$121,$D128,I$7:I$121)</f>
        <v>#DIV/0!</v>
      </c>
      <c r="J128" s="198" t="e">
        <f t="shared" si="44"/>
        <v>#DIV/0!</v>
      </c>
      <c r="K128" s="198" t="e">
        <f>AVERAGEIF($D$7:$D$121,$D128,K$7:K$121)</f>
        <v>#DIV/0!</v>
      </c>
      <c r="L128" s="705" t="e">
        <f>AVERAGE(K128:K142)</f>
        <v>#DIV/0!</v>
      </c>
      <c r="M128" s="198" t="e">
        <f>RANK(K128, K$128:$K$142)</f>
        <v>#DIV/0!</v>
      </c>
    </row>
    <row r="129" spans="2:39">
      <c r="B129" s="649"/>
      <c r="C129" s="303">
        <v>2</v>
      </c>
      <c r="D129" s="225"/>
      <c r="E129" s="181"/>
      <c r="F129" s="303"/>
      <c r="G129" s="306"/>
      <c r="H129" s="703"/>
      <c r="I129" s="198" t="e">
        <f t="shared" si="44"/>
        <v>#DIV/0!</v>
      </c>
      <c r="J129" s="198" t="e">
        <f t="shared" si="44"/>
        <v>#DIV/0!</v>
      </c>
      <c r="K129" s="198" t="e">
        <f t="shared" si="44"/>
        <v>#DIV/0!</v>
      </c>
      <c r="L129" s="706"/>
      <c r="M129" s="198" t="e">
        <f>RANK(K129, K$128:$K$142)</f>
        <v>#DIV/0!</v>
      </c>
      <c r="N129" s="107"/>
      <c r="O129" s="107"/>
      <c r="P129" s="107"/>
      <c r="Q129" s="107"/>
      <c r="R129" s="107"/>
      <c r="S129" s="107"/>
      <c r="T129" s="107"/>
      <c r="X129" s="107"/>
      <c r="AC129" s="107"/>
      <c r="AH129" s="107"/>
      <c r="AM129" s="107"/>
    </row>
    <row r="130" spans="2:39">
      <c r="B130" s="649"/>
      <c r="C130" s="303">
        <v>3</v>
      </c>
      <c r="D130" s="225"/>
      <c r="E130" s="181"/>
      <c r="F130" s="303"/>
      <c r="G130" s="306"/>
      <c r="H130" s="703"/>
      <c r="I130" s="198" t="e">
        <f t="shared" si="44"/>
        <v>#DIV/0!</v>
      </c>
      <c r="J130" s="198" t="e">
        <f t="shared" si="44"/>
        <v>#DIV/0!</v>
      </c>
      <c r="K130" s="198" t="e">
        <f t="shared" si="44"/>
        <v>#DIV/0!</v>
      </c>
      <c r="L130" s="706"/>
      <c r="M130" s="198" t="e">
        <f>RANK(K130, K$128:$K$142)</f>
        <v>#DIV/0!</v>
      </c>
      <c r="N130" s="107"/>
      <c r="O130" s="107"/>
      <c r="P130" s="107"/>
      <c r="Q130" s="107"/>
      <c r="R130" s="107"/>
      <c r="S130" s="107"/>
      <c r="T130" s="107"/>
      <c r="X130" s="107"/>
      <c r="AC130" s="107"/>
      <c r="AH130" s="107"/>
      <c r="AM130" s="107"/>
    </row>
    <row r="131" spans="2:39">
      <c r="B131" s="649"/>
      <c r="C131" s="303">
        <v>4</v>
      </c>
      <c r="D131" s="225"/>
      <c r="E131" s="181"/>
      <c r="F131" s="303"/>
      <c r="G131" s="306"/>
      <c r="H131" s="703"/>
      <c r="I131" s="198" t="e">
        <f t="shared" si="44"/>
        <v>#DIV/0!</v>
      </c>
      <c r="J131" s="198" t="e">
        <f t="shared" si="44"/>
        <v>#DIV/0!</v>
      </c>
      <c r="K131" s="198" t="e">
        <f t="shared" si="44"/>
        <v>#DIV/0!</v>
      </c>
      <c r="L131" s="706"/>
      <c r="M131" s="198" t="e">
        <f>RANK(K131, K$128:$K$142)</f>
        <v>#DIV/0!</v>
      </c>
      <c r="N131" s="107"/>
      <c r="O131" s="107"/>
      <c r="P131" s="107"/>
      <c r="Q131" s="107"/>
      <c r="R131" s="107"/>
      <c r="S131" s="107"/>
      <c r="T131" s="107"/>
      <c r="X131" s="107"/>
      <c r="AC131" s="107"/>
      <c r="AH131" s="107"/>
      <c r="AM131" s="107"/>
    </row>
    <row r="132" spans="2:39">
      <c r="B132" s="649"/>
      <c r="C132" s="303">
        <v>5</v>
      </c>
      <c r="D132" s="225"/>
      <c r="E132" s="181"/>
      <c r="F132" s="303"/>
      <c r="G132" s="306"/>
      <c r="H132" s="703"/>
      <c r="I132" s="198" t="e">
        <f t="shared" si="44"/>
        <v>#DIV/0!</v>
      </c>
      <c r="J132" s="198" t="e">
        <f t="shared" si="44"/>
        <v>#DIV/0!</v>
      </c>
      <c r="K132" s="198" t="e">
        <f t="shared" si="44"/>
        <v>#DIV/0!</v>
      </c>
      <c r="L132" s="706"/>
      <c r="M132" s="198" t="e">
        <f>RANK(K132, K$128:$K$142)</f>
        <v>#DIV/0!</v>
      </c>
      <c r="N132" s="107"/>
      <c r="O132" s="107"/>
      <c r="P132" s="107"/>
      <c r="Q132" s="107"/>
      <c r="R132" s="107"/>
      <c r="S132" s="107"/>
      <c r="T132" s="107"/>
      <c r="X132" s="107"/>
      <c r="AC132" s="107"/>
      <c r="AH132" s="107"/>
      <c r="AM132" s="107"/>
    </row>
    <row r="133" spans="2:39">
      <c r="B133" s="649"/>
      <c r="C133" s="303">
        <v>6</v>
      </c>
      <c r="D133" s="312"/>
      <c r="E133" s="181"/>
      <c r="F133" s="303"/>
      <c r="G133" s="306"/>
      <c r="H133" s="703"/>
      <c r="I133" s="198" t="e">
        <f t="shared" si="44"/>
        <v>#DIV/0!</v>
      </c>
      <c r="J133" s="198" t="e">
        <f t="shared" si="44"/>
        <v>#DIV/0!</v>
      </c>
      <c r="K133" s="198" t="e">
        <f t="shared" si="44"/>
        <v>#DIV/0!</v>
      </c>
      <c r="L133" s="706"/>
      <c r="M133" s="198" t="e">
        <f>RANK(K133, K$128:$K$142)</f>
        <v>#DIV/0!</v>
      </c>
      <c r="N133" s="107"/>
      <c r="O133" s="107"/>
      <c r="P133" s="107"/>
      <c r="Q133" s="107"/>
      <c r="R133" s="107"/>
      <c r="S133" s="107"/>
      <c r="T133" s="107"/>
      <c r="X133" s="107"/>
      <c r="AC133" s="107"/>
      <c r="AH133" s="107"/>
      <c r="AM133" s="107"/>
    </row>
    <row r="134" spans="2:39">
      <c r="B134" s="649"/>
      <c r="C134" s="303">
        <v>7</v>
      </c>
      <c r="D134" s="225"/>
      <c r="E134" s="181"/>
      <c r="F134" s="303"/>
      <c r="G134" s="306"/>
      <c r="H134" s="703"/>
      <c r="I134" s="198" t="e">
        <f t="shared" si="44"/>
        <v>#DIV/0!</v>
      </c>
      <c r="J134" s="198" t="e">
        <f t="shared" si="44"/>
        <v>#DIV/0!</v>
      </c>
      <c r="K134" s="198" t="e">
        <f t="shared" si="44"/>
        <v>#DIV/0!</v>
      </c>
      <c r="L134" s="706"/>
      <c r="M134" s="198" t="e">
        <f>RANK(K134, K$128:$K$142)</f>
        <v>#DIV/0!</v>
      </c>
      <c r="N134" s="107"/>
      <c r="O134" s="107"/>
      <c r="P134" s="107"/>
      <c r="Q134" s="107"/>
      <c r="R134" s="107"/>
      <c r="S134" s="107"/>
      <c r="T134" s="107"/>
      <c r="X134" s="107"/>
      <c r="AC134" s="107"/>
      <c r="AH134" s="107"/>
      <c r="AM134" s="107"/>
    </row>
    <row r="135" spans="2:39">
      <c r="B135" s="649"/>
      <c r="C135" s="303">
        <v>8</v>
      </c>
      <c r="D135" s="225"/>
      <c r="E135" s="181"/>
      <c r="F135" s="303"/>
      <c r="G135" s="306"/>
      <c r="H135" s="703"/>
      <c r="I135" s="198"/>
      <c r="J135" s="198"/>
      <c r="K135" s="198"/>
      <c r="L135" s="706"/>
      <c r="M135" s="198" t="e">
        <f>RANK(K135, K$128:$K$142)</f>
        <v>#DIV/0!</v>
      </c>
      <c r="N135" s="107"/>
      <c r="O135" s="107"/>
      <c r="P135" s="107"/>
      <c r="Q135" s="107"/>
      <c r="R135" s="107"/>
      <c r="S135" s="107"/>
      <c r="T135" s="107"/>
      <c r="X135" s="107"/>
      <c r="AC135" s="107"/>
      <c r="AH135" s="107"/>
      <c r="AM135" s="107"/>
    </row>
    <row r="136" spans="2:39">
      <c r="B136" s="649"/>
      <c r="C136" s="303">
        <v>9</v>
      </c>
      <c r="D136" s="225"/>
      <c r="E136" s="303"/>
      <c r="F136" s="303"/>
      <c r="G136" s="303"/>
      <c r="H136" s="703"/>
      <c r="I136" s="198"/>
      <c r="J136" s="198"/>
      <c r="K136" s="198"/>
      <c r="L136" s="706"/>
      <c r="M136" s="198" t="e">
        <f>RANK(K136, K$128:$K$142)</f>
        <v>#DIV/0!</v>
      </c>
      <c r="N136" s="107"/>
      <c r="O136" s="107"/>
      <c r="P136" s="107"/>
      <c r="Q136" s="107"/>
      <c r="R136" s="107"/>
      <c r="S136" s="107"/>
      <c r="T136" s="107"/>
      <c r="X136" s="107"/>
      <c r="AC136" s="107"/>
      <c r="AH136" s="107"/>
      <c r="AM136" s="107"/>
    </row>
    <row r="137" spans="2:39">
      <c r="B137" s="649"/>
      <c r="C137" s="303">
        <v>10</v>
      </c>
      <c r="D137" s="225"/>
      <c r="E137" s="303"/>
      <c r="F137" s="303"/>
      <c r="G137" s="303"/>
      <c r="H137" s="703"/>
      <c r="I137" s="198"/>
      <c r="J137" s="198"/>
      <c r="K137" s="198"/>
      <c r="L137" s="706"/>
      <c r="M137" s="198" t="e">
        <f>RANK(K137, K$128:$K$142)</f>
        <v>#DIV/0!</v>
      </c>
      <c r="N137" s="107"/>
      <c r="O137" s="107"/>
      <c r="P137" s="107"/>
      <c r="Q137" s="107"/>
      <c r="R137" s="107"/>
      <c r="S137" s="107"/>
      <c r="T137" s="107"/>
      <c r="X137" s="107"/>
      <c r="AC137" s="107"/>
      <c r="AH137" s="107"/>
      <c r="AM137" s="107"/>
    </row>
    <row r="138" spans="2:39">
      <c r="B138" s="649"/>
      <c r="C138" s="303">
        <v>11</v>
      </c>
      <c r="D138" s="225"/>
      <c r="E138" s="303"/>
      <c r="F138" s="303"/>
      <c r="G138" s="303"/>
      <c r="H138" s="703"/>
      <c r="I138" s="198"/>
      <c r="J138" s="198"/>
      <c r="K138" s="198"/>
      <c r="L138" s="706"/>
      <c r="M138" s="198" t="e">
        <f>RANK(K138, K$128:$K$142)</f>
        <v>#DIV/0!</v>
      </c>
      <c r="N138" s="107"/>
      <c r="O138" s="107"/>
      <c r="P138" s="107"/>
      <c r="Q138" s="107"/>
      <c r="R138" s="107"/>
      <c r="S138" s="107"/>
      <c r="T138" s="107"/>
      <c r="X138" s="107"/>
      <c r="AC138" s="107"/>
      <c r="AH138" s="107"/>
      <c r="AM138" s="107"/>
    </row>
    <row r="139" spans="2:39">
      <c r="B139" s="649"/>
      <c r="C139" s="303">
        <v>12</v>
      </c>
      <c r="D139" s="225"/>
      <c r="E139" s="303"/>
      <c r="F139" s="303"/>
      <c r="G139" s="303"/>
      <c r="H139" s="703"/>
      <c r="I139" s="198"/>
      <c r="J139" s="198"/>
      <c r="K139" s="198"/>
      <c r="L139" s="706"/>
      <c r="M139" s="198" t="e">
        <f>RANK(K139, K$128:$K$142)</f>
        <v>#DIV/0!</v>
      </c>
      <c r="N139" s="107"/>
      <c r="O139" s="107"/>
      <c r="P139" s="107"/>
      <c r="Q139" s="107"/>
      <c r="R139" s="107"/>
      <c r="S139" s="107"/>
      <c r="T139" s="107"/>
      <c r="X139" s="107"/>
      <c r="AC139" s="107"/>
      <c r="AH139" s="107"/>
      <c r="AM139" s="107"/>
    </row>
    <row r="140" spans="2:39">
      <c r="B140" s="649"/>
      <c r="C140" s="303">
        <v>13</v>
      </c>
      <c r="D140" s="225"/>
      <c r="E140" s="303"/>
      <c r="F140" s="303"/>
      <c r="G140" s="303"/>
      <c r="H140" s="703"/>
      <c r="I140" s="198"/>
      <c r="J140" s="198"/>
      <c r="K140" s="198"/>
      <c r="L140" s="706"/>
      <c r="M140" s="198" t="e">
        <f>RANK(K140, K$128:$K$142)</f>
        <v>#DIV/0!</v>
      </c>
      <c r="N140" s="107"/>
      <c r="O140" s="107"/>
      <c r="P140" s="107"/>
      <c r="Q140" s="107"/>
      <c r="R140" s="107"/>
      <c r="S140" s="107"/>
      <c r="T140" s="107"/>
      <c r="X140" s="107"/>
      <c r="AC140" s="107"/>
      <c r="AH140" s="107"/>
      <c r="AM140" s="107"/>
    </row>
    <row r="141" spans="2:39">
      <c r="B141" s="649"/>
      <c r="C141" s="303">
        <v>14</v>
      </c>
      <c r="D141" s="225"/>
      <c r="E141" s="303"/>
      <c r="F141" s="303"/>
      <c r="G141" s="303"/>
      <c r="H141" s="703"/>
      <c r="I141" s="198"/>
      <c r="J141" s="198"/>
      <c r="K141" s="198"/>
      <c r="L141" s="706"/>
      <c r="M141" s="198" t="e">
        <f>RANK(K141, K$128:$K$142)</f>
        <v>#DIV/0!</v>
      </c>
      <c r="N141" s="107"/>
      <c r="O141" s="107"/>
      <c r="P141" s="107"/>
      <c r="Q141" s="107"/>
      <c r="R141" s="107"/>
      <c r="S141" s="107"/>
      <c r="T141" s="107"/>
      <c r="X141" s="107"/>
      <c r="AC141" s="107"/>
      <c r="AH141" s="107"/>
      <c r="AM141" s="107"/>
    </row>
    <row r="142" spans="2:39">
      <c r="B142" s="649"/>
      <c r="C142" s="303">
        <v>15</v>
      </c>
      <c r="D142" s="225"/>
      <c r="E142" s="303"/>
      <c r="F142" s="303"/>
      <c r="G142" s="303"/>
      <c r="H142" s="704"/>
      <c r="I142" s="198"/>
      <c r="J142" s="198"/>
      <c r="K142" s="198"/>
      <c r="L142" s="707"/>
      <c r="M142" s="198" t="e">
        <f>RANK(K142, K$128:$K$142)</f>
        <v>#DIV/0!</v>
      </c>
      <c r="N142" s="107"/>
      <c r="O142" s="107"/>
      <c r="P142" s="107"/>
      <c r="Q142" s="107"/>
      <c r="R142" s="107"/>
      <c r="S142" s="107"/>
      <c r="T142" s="107"/>
      <c r="X142" s="107"/>
      <c r="AC142" s="107"/>
      <c r="AH142" s="107"/>
      <c r="AM142" s="107"/>
    </row>
  </sheetData>
  <mergeCells count="380">
    <mergeCell ref="AY27:AY41"/>
    <mergeCell ref="B87:B101"/>
    <mergeCell ref="AS87:AS101"/>
    <mergeCell ref="AX87:AX101"/>
    <mergeCell ref="AO85:AR85"/>
    <mergeCell ref="AT85:AW85"/>
    <mergeCell ref="AO84:AR84"/>
    <mergeCell ref="AS84:AS86"/>
    <mergeCell ref="AT84:AW84"/>
    <mergeCell ref="AX84:AX86"/>
    <mergeCell ref="AJ85:AM85"/>
    <mergeCell ref="AN87:AN101"/>
    <mergeCell ref="AN84:AN86"/>
    <mergeCell ref="AJ84:AM84"/>
    <mergeCell ref="C84:D86"/>
    <mergeCell ref="E84:G84"/>
    <mergeCell ref="H84:H86"/>
    <mergeCell ref="I84:K84"/>
    <mergeCell ref="L84:L86"/>
    <mergeCell ref="AD84:AD86"/>
    <mergeCell ref="AE84:AH84"/>
    <mergeCell ref="AI84:AI86"/>
    <mergeCell ref="AE85:AH85"/>
    <mergeCell ref="Z85:AC85"/>
    <mergeCell ref="Y84:Y86"/>
    <mergeCell ref="Z84:AC84"/>
    <mergeCell ref="P84:S84"/>
    <mergeCell ref="T84:T86"/>
    <mergeCell ref="U84:X84"/>
    <mergeCell ref="E85:G85"/>
    <mergeCell ref="I85:K85"/>
    <mergeCell ref="P85:S85"/>
    <mergeCell ref="U85:X85"/>
    <mergeCell ref="M84:M86"/>
    <mergeCell ref="N84:N101"/>
    <mergeCell ref="O84:O101"/>
    <mergeCell ref="H87:H101"/>
    <mergeCell ref="L87:L101"/>
    <mergeCell ref="T87:T101"/>
    <mergeCell ref="Y87:Y101"/>
    <mergeCell ref="AX67:AX81"/>
    <mergeCell ref="B82:H83"/>
    <mergeCell ref="N82:N83"/>
    <mergeCell ref="O82:O83"/>
    <mergeCell ref="P82:T82"/>
    <mergeCell ref="U82:Y82"/>
    <mergeCell ref="Z82:AD82"/>
    <mergeCell ref="AE82:AI82"/>
    <mergeCell ref="AJ82:AN82"/>
    <mergeCell ref="AO82:AS82"/>
    <mergeCell ref="AT82:AX82"/>
    <mergeCell ref="P83:T83"/>
    <mergeCell ref="U83:Y83"/>
    <mergeCell ref="Z83:AD83"/>
    <mergeCell ref="AE83:AI83"/>
    <mergeCell ref="AJ83:AN83"/>
    <mergeCell ref="AO83:AS83"/>
    <mergeCell ref="AT83:AX83"/>
    <mergeCell ref="AO65:AR65"/>
    <mergeCell ref="AT65:AW65"/>
    <mergeCell ref="B67:B81"/>
    <mergeCell ref="H67:H81"/>
    <mergeCell ref="L67:L81"/>
    <mergeCell ref="T67:T81"/>
    <mergeCell ref="Y67:Y81"/>
    <mergeCell ref="AD67:AD81"/>
    <mergeCell ref="AI67:AI81"/>
    <mergeCell ref="AN67:AN81"/>
    <mergeCell ref="AN64:AN66"/>
    <mergeCell ref="AO64:AR64"/>
    <mergeCell ref="AS64:AS66"/>
    <mergeCell ref="AT64:AW64"/>
    <mergeCell ref="B64:B66"/>
    <mergeCell ref="C64:D66"/>
    <mergeCell ref="AS67:AS81"/>
    <mergeCell ref="H64:H66"/>
    <mergeCell ref="I64:K64"/>
    <mergeCell ref="L64:L66"/>
    <mergeCell ref="AD87:AD101"/>
    <mergeCell ref="AI87:AI101"/>
    <mergeCell ref="B84:B86"/>
    <mergeCell ref="AX64:AX66"/>
    <mergeCell ref="E65:G65"/>
    <mergeCell ref="I65:K65"/>
    <mergeCell ref="P65:S65"/>
    <mergeCell ref="U65:X65"/>
    <mergeCell ref="Z65:AC65"/>
    <mergeCell ref="Y64:Y66"/>
    <mergeCell ref="Z64:AC64"/>
    <mergeCell ref="AD64:AD66"/>
    <mergeCell ref="AE64:AH64"/>
    <mergeCell ref="AI64:AI66"/>
    <mergeCell ref="AJ64:AM64"/>
    <mergeCell ref="AE65:AH65"/>
    <mergeCell ref="AJ65:AM65"/>
    <mergeCell ref="M64:M66"/>
    <mergeCell ref="N64:N81"/>
    <mergeCell ref="O64:O81"/>
    <mergeCell ref="P64:S64"/>
    <mergeCell ref="T64:T66"/>
    <mergeCell ref="U64:X64"/>
    <mergeCell ref="E64:G64"/>
    <mergeCell ref="AX47:AX61"/>
    <mergeCell ref="B62:H63"/>
    <mergeCell ref="N62:N63"/>
    <mergeCell ref="O62:O63"/>
    <mergeCell ref="P62:T62"/>
    <mergeCell ref="U62:Y62"/>
    <mergeCell ref="Z62:AD62"/>
    <mergeCell ref="AE62:AI62"/>
    <mergeCell ref="AJ62:AN62"/>
    <mergeCell ref="AO62:AS62"/>
    <mergeCell ref="AT62:AX62"/>
    <mergeCell ref="P63:T63"/>
    <mergeCell ref="U63:Y63"/>
    <mergeCell ref="Z63:AD63"/>
    <mergeCell ref="AE63:AI63"/>
    <mergeCell ref="AJ63:AN63"/>
    <mergeCell ref="AO63:AS63"/>
    <mergeCell ref="AT63:AX63"/>
    <mergeCell ref="AO45:AR45"/>
    <mergeCell ref="AT45:AW45"/>
    <mergeCell ref="B47:B61"/>
    <mergeCell ref="H47:H61"/>
    <mergeCell ref="L47:L61"/>
    <mergeCell ref="T47:T61"/>
    <mergeCell ref="Y47:Y61"/>
    <mergeCell ref="AD47:AD61"/>
    <mergeCell ref="AI47:AI61"/>
    <mergeCell ref="AN47:AN61"/>
    <mergeCell ref="AN44:AN46"/>
    <mergeCell ref="AO44:AR44"/>
    <mergeCell ref="AS44:AS46"/>
    <mergeCell ref="AT44:AW44"/>
    <mergeCell ref="B44:B46"/>
    <mergeCell ref="C44:D46"/>
    <mergeCell ref="AS47:AS61"/>
    <mergeCell ref="AX44:AX46"/>
    <mergeCell ref="E45:G45"/>
    <mergeCell ref="I45:K45"/>
    <mergeCell ref="P45:S45"/>
    <mergeCell ref="U45:X45"/>
    <mergeCell ref="Z45:AC45"/>
    <mergeCell ref="Y44:Y46"/>
    <mergeCell ref="Z44:AC44"/>
    <mergeCell ref="AD44:AD46"/>
    <mergeCell ref="AE44:AH44"/>
    <mergeCell ref="AI44:AI46"/>
    <mergeCell ref="AJ44:AM44"/>
    <mergeCell ref="AE45:AH45"/>
    <mergeCell ref="AJ45:AM45"/>
    <mergeCell ref="M44:M46"/>
    <mergeCell ref="N44:N61"/>
    <mergeCell ref="O44:O61"/>
    <mergeCell ref="P44:S44"/>
    <mergeCell ref="T44:T46"/>
    <mergeCell ref="U44:X44"/>
    <mergeCell ref="E44:G44"/>
    <mergeCell ref="H44:H46"/>
    <mergeCell ref="I44:K44"/>
    <mergeCell ref="L44:L46"/>
    <mergeCell ref="AX27:AX41"/>
    <mergeCell ref="B42:H43"/>
    <mergeCell ref="N42:N43"/>
    <mergeCell ref="O42:O43"/>
    <mergeCell ref="P42:T42"/>
    <mergeCell ref="U42:Y42"/>
    <mergeCell ref="Z42:AD42"/>
    <mergeCell ref="AE42:AI42"/>
    <mergeCell ref="AJ42:AN42"/>
    <mergeCell ref="AO42:AS42"/>
    <mergeCell ref="AT42:AX42"/>
    <mergeCell ref="P43:T43"/>
    <mergeCell ref="U43:Y43"/>
    <mergeCell ref="Z43:AD43"/>
    <mergeCell ref="AE43:AI43"/>
    <mergeCell ref="AJ43:AN43"/>
    <mergeCell ref="AO43:AS43"/>
    <mergeCell ref="AT43:AX43"/>
    <mergeCell ref="AO25:AR25"/>
    <mergeCell ref="AT25:AW25"/>
    <mergeCell ref="B27:B41"/>
    <mergeCell ref="H27:H41"/>
    <mergeCell ref="L27:L41"/>
    <mergeCell ref="T27:T41"/>
    <mergeCell ref="Y27:Y41"/>
    <mergeCell ref="AD27:AD41"/>
    <mergeCell ref="AI27:AI41"/>
    <mergeCell ref="AN27:AN41"/>
    <mergeCell ref="AN24:AN26"/>
    <mergeCell ref="AO24:AR24"/>
    <mergeCell ref="AS24:AS26"/>
    <mergeCell ref="AT24:AW24"/>
    <mergeCell ref="B24:B26"/>
    <mergeCell ref="C24:D26"/>
    <mergeCell ref="AS27:AS41"/>
    <mergeCell ref="AX24:AX26"/>
    <mergeCell ref="E25:G25"/>
    <mergeCell ref="I25:K25"/>
    <mergeCell ref="P25:S25"/>
    <mergeCell ref="U25:X25"/>
    <mergeCell ref="Z25:AC25"/>
    <mergeCell ref="Y24:Y26"/>
    <mergeCell ref="Z24:AC24"/>
    <mergeCell ref="AD24:AD26"/>
    <mergeCell ref="AE24:AH24"/>
    <mergeCell ref="AI24:AI26"/>
    <mergeCell ref="AJ24:AM24"/>
    <mergeCell ref="AE25:AH25"/>
    <mergeCell ref="AJ25:AM25"/>
    <mergeCell ref="M24:M26"/>
    <mergeCell ref="N24:N41"/>
    <mergeCell ref="O24:O41"/>
    <mergeCell ref="P24:S24"/>
    <mergeCell ref="T24:T26"/>
    <mergeCell ref="U24:X24"/>
    <mergeCell ref="E24:G24"/>
    <mergeCell ref="H24:H26"/>
    <mergeCell ref="I24:K24"/>
    <mergeCell ref="L24:L26"/>
    <mergeCell ref="AT22:AX22"/>
    <mergeCell ref="P23:T23"/>
    <mergeCell ref="U23:Y23"/>
    <mergeCell ref="Z23:AD23"/>
    <mergeCell ref="AE23:AI23"/>
    <mergeCell ref="AJ23:AN23"/>
    <mergeCell ref="AO23:AS23"/>
    <mergeCell ref="AT23:AX23"/>
    <mergeCell ref="AX7:AX21"/>
    <mergeCell ref="B22:H23"/>
    <mergeCell ref="N22:N23"/>
    <mergeCell ref="O22:O23"/>
    <mergeCell ref="P22:T22"/>
    <mergeCell ref="U22:Y22"/>
    <mergeCell ref="Z22:AD22"/>
    <mergeCell ref="AE22:AI22"/>
    <mergeCell ref="AJ22:AN22"/>
    <mergeCell ref="AO22:AS22"/>
    <mergeCell ref="AD4:AD6"/>
    <mergeCell ref="AT5:AW5"/>
    <mergeCell ref="B7:B21"/>
    <mergeCell ref="H7:H21"/>
    <mergeCell ref="L7:L21"/>
    <mergeCell ref="T7:T21"/>
    <mergeCell ref="Y7:Y21"/>
    <mergeCell ref="AD7:AD21"/>
    <mergeCell ref="AI7:AI21"/>
    <mergeCell ref="AN7:AN21"/>
    <mergeCell ref="AS7:AS21"/>
    <mergeCell ref="B4:B6"/>
    <mergeCell ref="C4:D6"/>
    <mergeCell ref="E4:G4"/>
    <mergeCell ref="H4:H6"/>
    <mergeCell ref="I4:K4"/>
    <mergeCell ref="L4:L6"/>
    <mergeCell ref="M4:M6"/>
    <mergeCell ref="N4:N21"/>
    <mergeCell ref="O4:O21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102:H103"/>
    <mergeCell ref="N102:N103"/>
    <mergeCell ref="O102:O103"/>
    <mergeCell ref="P102:T102"/>
    <mergeCell ref="U102:Y102"/>
    <mergeCell ref="Z102:AD102"/>
    <mergeCell ref="AE102:AI102"/>
    <mergeCell ref="AJ102:AN102"/>
    <mergeCell ref="AO102:AS102"/>
    <mergeCell ref="AT102:AX102"/>
    <mergeCell ref="P103:T103"/>
    <mergeCell ref="U103:Y103"/>
    <mergeCell ref="Z103:AD103"/>
    <mergeCell ref="AE103:AI103"/>
    <mergeCell ref="AJ103:AN103"/>
    <mergeCell ref="AO103:AS103"/>
    <mergeCell ref="AT103:AX103"/>
    <mergeCell ref="B104:B106"/>
    <mergeCell ref="C104:D106"/>
    <mergeCell ref="E104:G104"/>
    <mergeCell ref="H104:H106"/>
    <mergeCell ref="I104:K104"/>
    <mergeCell ref="L104:L106"/>
    <mergeCell ref="M104:M106"/>
    <mergeCell ref="N104:N121"/>
    <mergeCell ref="O104:O121"/>
    <mergeCell ref="P104:S104"/>
    <mergeCell ref="T104:T106"/>
    <mergeCell ref="U104:X104"/>
    <mergeCell ref="Y104:Y106"/>
    <mergeCell ref="Z104:AC104"/>
    <mergeCell ref="AD104:AD106"/>
    <mergeCell ref="AE104:AH104"/>
    <mergeCell ref="AI104:AI106"/>
    <mergeCell ref="AJ104:AM104"/>
    <mergeCell ref="AN104:AN106"/>
    <mergeCell ref="AO104:AR104"/>
    <mergeCell ref="AS104:AS106"/>
    <mergeCell ref="AT104:AW104"/>
    <mergeCell ref="AX104:AX106"/>
    <mergeCell ref="E105:G105"/>
    <mergeCell ref="I105:K105"/>
    <mergeCell ref="P105:S105"/>
    <mergeCell ref="U105:X105"/>
    <mergeCell ref="Z105:AC105"/>
    <mergeCell ref="AE105:AH105"/>
    <mergeCell ref="AJ105:AM105"/>
    <mergeCell ref="AO105:AR105"/>
    <mergeCell ref="AT105:AW105"/>
    <mergeCell ref="B128:B142"/>
    <mergeCell ref="H128:H142"/>
    <mergeCell ref="L128:L142"/>
    <mergeCell ref="AX107:AX121"/>
    <mergeCell ref="B123:H124"/>
    <mergeCell ref="B125:B127"/>
    <mergeCell ref="C125:D127"/>
    <mergeCell ref="E125:G125"/>
    <mergeCell ref="H125:H127"/>
    <mergeCell ref="I125:K125"/>
    <mergeCell ref="L125:L127"/>
    <mergeCell ref="M125:M127"/>
    <mergeCell ref="E126:G126"/>
    <mergeCell ref="I126:K126"/>
    <mergeCell ref="B107:B121"/>
    <mergeCell ref="H107:H121"/>
    <mergeCell ref="L107:L121"/>
    <mergeCell ref="T107:T121"/>
    <mergeCell ref="Y107:Y121"/>
    <mergeCell ref="AD107:AD121"/>
    <mergeCell ref="AI107:AI121"/>
    <mergeCell ref="AN107:AN121"/>
    <mergeCell ref="AS107:AS121"/>
    <mergeCell ref="BA87:BA101"/>
    <mergeCell ref="BA104:BA106"/>
    <mergeCell ref="BA107:BA121"/>
    <mergeCell ref="BA4:BA6"/>
    <mergeCell ref="BA7:BA21"/>
    <mergeCell ref="BA24:BA26"/>
    <mergeCell ref="BA27:BA41"/>
    <mergeCell ref="BA44:BA46"/>
    <mergeCell ref="BA47:BA61"/>
    <mergeCell ref="BA64:BA66"/>
    <mergeCell ref="BA67:BA81"/>
    <mergeCell ref="BA84:BA86"/>
  </mergeCells>
  <phoneticPr fontId="13" type="noConversion"/>
  <pageMargins left="0.7" right="0.7" top="0.75" bottom="0.75" header="0.3" footer="0.3"/>
  <pageSetup paperSize="9"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A1:BA142"/>
  <sheetViews>
    <sheetView zoomScale="55" zoomScaleNormal="55" workbookViewId="0">
      <pane xSplit="15" topLeftCell="Z1" activePane="topRight" state="frozen"/>
      <selection activeCell="P6" sqref="P6"/>
      <selection pane="topRight" activeCell="T7" sqref="S7:T21"/>
    </sheetView>
  </sheetViews>
  <sheetFormatPr defaultColWidth="8.85546875" defaultRowHeight="12.75"/>
  <cols>
    <col min="1" max="1" width="5.5703125" style="107" customWidth="1"/>
    <col min="2" max="2" width="12.42578125" style="107" customWidth="1"/>
    <col min="3" max="3" width="8.85546875" style="106"/>
    <col min="4" max="4" width="26.42578125" style="106" customWidth="1"/>
    <col min="5" max="7" width="8.42578125" style="106" customWidth="1"/>
    <col min="8" max="8" width="11.140625" style="106" bestFit="1" customWidth="1"/>
    <col min="9" max="12" width="11.140625" style="106" customWidth="1"/>
    <col min="13" max="13" width="13.5703125" style="106" customWidth="1"/>
    <col min="14" max="14" width="9.85546875" style="106" customWidth="1"/>
    <col min="15" max="15" width="7.140625" style="106" customWidth="1"/>
    <col min="16" max="18" width="12.85546875" style="106" customWidth="1"/>
    <col min="19" max="19" width="5.42578125" style="106" customWidth="1"/>
    <col min="20" max="20" width="12.85546875" style="106" customWidth="1"/>
    <col min="21" max="23" width="12.85546875" style="107" customWidth="1"/>
    <col min="24" max="24" width="5.42578125" style="106" customWidth="1"/>
    <col min="25" max="28" width="12.85546875" style="107" customWidth="1"/>
    <col min="29" max="29" width="5.42578125" style="106" customWidth="1"/>
    <col min="30" max="30" width="12.85546875" style="107" customWidth="1"/>
    <col min="31" max="33" width="12.5703125" style="107" customWidth="1"/>
    <col min="34" max="34" width="5.42578125" style="106" customWidth="1"/>
    <col min="35" max="35" width="13" style="107" customWidth="1"/>
    <col min="36" max="38" width="12.5703125" style="107" customWidth="1"/>
    <col min="39" max="39" width="5.42578125" style="106" customWidth="1"/>
    <col min="40" max="40" width="13" style="107" customWidth="1"/>
    <col min="41" max="43" width="13.140625" style="107" customWidth="1"/>
    <col min="44" max="44" width="5.42578125" style="107" customWidth="1"/>
    <col min="45" max="48" width="13.140625" style="107" customWidth="1"/>
    <col min="49" max="49" width="5.42578125" style="107" customWidth="1"/>
    <col min="50" max="50" width="13.140625" style="107" customWidth="1"/>
    <col min="51" max="51" width="8.85546875" style="107"/>
    <col min="52" max="52" width="5.42578125" style="107" customWidth="1"/>
    <col min="53" max="53" width="13.140625" style="107" customWidth="1"/>
    <col min="54" max="16384" width="8.85546875" style="107"/>
  </cols>
  <sheetData>
    <row r="1" spans="1:53" ht="24">
      <c r="A1" s="75"/>
      <c r="B1" s="220" t="s">
        <v>313</v>
      </c>
      <c r="C1" s="219">
        <f>AVERAGE(L7,L27,L47,L67,L87,L107)</f>
        <v>231.6472467889065</v>
      </c>
    </row>
    <row r="2" spans="1:53" ht="15.75">
      <c r="A2" s="81"/>
      <c r="B2" s="671" t="s">
        <v>162</v>
      </c>
      <c r="C2" s="671"/>
      <c r="D2" s="671"/>
      <c r="E2" s="671"/>
      <c r="F2" s="671"/>
      <c r="G2" s="671"/>
      <c r="H2" s="671"/>
      <c r="I2" s="284"/>
      <c r="J2" s="284"/>
      <c r="K2" s="284"/>
      <c r="L2" s="284"/>
      <c r="M2" s="196"/>
      <c r="N2" s="645" t="s">
        <v>156</v>
      </c>
      <c r="O2" s="645" t="s">
        <v>155</v>
      </c>
      <c r="P2" s="670">
        <v>46266</v>
      </c>
      <c r="Q2" s="649"/>
      <c r="R2" s="649"/>
      <c r="S2" s="649"/>
      <c r="T2" s="649"/>
      <c r="U2" s="667">
        <f>P2+1</f>
        <v>46267</v>
      </c>
      <c r="V2" s="668"/>
      <c r="W2" s="668"/>
      <c r="X2" s="668"/>
      <c r="Y2" s="669"/>
      <c r="Z2" s="667">
        <f>U2+1</f>
        <v>46268</v>
      </c>
      <c r="AA2" s="668"/>
      <c r="AB2" s="668"/>
      <c r="AC2" s="668"/>
      <c r="AD2" s="669"/>
      <c r="AE2" s="667">
        <f>Z2+1</f>
        <v>46269</v>
      </c>
      <c r="AF2" s="668"/>
      <c r="AG2" s="668"/>
      <c r="AH2" s="668"/>
      <c r="AI2" s="669"/>
      <c r="AJ2" s="667">
        <f>AE2+1</f>
        <v>46270</v>
      </c>
      <c r="AK2" s="668"/>
      <c r="AL2" s="668"/>
      <c r="AM2" s="668"/>
      <c r="AN2" s="669"/>
      <c r="AO2" s="667">
        <f>AJ2+1</f>
        <v>46271</v>
      </c>
      <c r="AP2" s="668"/>
      <c r="AQ2" s="668"/>
      <c r="AR2" s="668"/>
      <c r="AS2" s="669"/>
      <c r="AT2" s="667">
        <f>AO2+1</f>
        <v>46272</v>
      </c>
      <c r="AU2" s="668"/>
      <c r="AV2" s="668"/>
      <c r="AW2" s="668"/>
      <c r="AX2" s="669"/>
    </row>
    <row r="3" spans="1:53" ht="15.75">
      <c r="A3" s="81"/>
      <c r="B3" s="715"/>
      <c r="C3" s="715"/>
      <c r="D3" s="715"/>
      <c r="E3" s="715"/>
      <c r="F3" s="715"/>
      <c r="G3" s="715"/>
      <c r="H3" s="715"/>
      <c r="I3" s="285"/>
      <c r="J3" s="285"/>
      <c r="K3" s="285"/>
      <c r="L3" s="285"/>
      <c r="M3" s="197"/>
      <c r="N3" s="647"/>
      <c r="O3" s="647"/>
      <c r="P3" s="670" t="s">
        <v>158</v>
      </c>
      <c r="Q3" s="649"/>
      <c r="R3" s="649"/>
      <c r="S3" s="649"/>
      <c r="T3" s="649"/>
      <c r="U3" s="670" t="s">
        <v>114</v>
      </c>
      <c r="V3" s="649"/>
      <c r="W3" s="649"/>
      <c r="X3" s="649"/>
      <c r="Y3" s="649"/>
      <c r="Z3" s="670" t="s">
        <v>159</v>
      </c>
      <c r="AA3" s="649"/>
      <c r="AB3" s="649"/>
      <c r="AC3" s="649"/>
      <c r="AD3" s="649"/>
      <c r="AE3" s="670" t="s">
        <v>157</v>
      </c>
      <c r="AF3" s="649"/>
      <c r="AG3" s="649"/>
      <c r="AH3" s="649"/>
      <c r="AI3" s="649"/>
      <c r="AJ3" s="670" t="s">
        <v>160</v>
      </c>
      <c r="AK3" s="649"/>
      <c r="AL3" s="649"/>
      <c r="AM3" s="649"/>
      <c r="AN3" s="649"/>
      <c r="AO3" s="670" t="s">
        <v>115</v>
      </c>
      <c r="AP3" s="649"/>
      <c r="AQ3" s="649"/>
      <c r="AR3" s="649"/>
      <c r="AS3" s="649"/>
      <c r="AT3" s="670" t="s">
        <v>161</v>
      </c>
      <c r="AU3" s="649"/>
      <c r="AV3" s="649"/>
      <c r="AW3" s="649"/>
      <c r="AX3" s="649"/>
    </row>
    <row r="4" spans="1:53" ht="14.25">
      <c r="A4" s="81"/>
      <c r="B4" s="643" t="s">
        <v>154</v>
      </c>
      <c r="C4" s="643" t="s">
        <v>372</v>
      </c>
      <c r="D4" s="643"/>
      <c r="E4" s="643" t="s">
        <v>363</v>
      </c>
      <c r="F4" s="643"/>
      <c r="G4" s="643"/>
      <c r="H4" s="675" t="s">
        <v>359</v>
      </c>
      <c r="I4" s="643" t="s">
        <v>364</v>
      </c>
      <c r="J4" s="643"/>
      <c r="K4" s="643"/>
      <c r="L4" s="675" t="s">
        <v>359</v>
      </c>
      <c r="M4" s="645" t="s">
        <v>360</v>
      </c>
      <c r="N4" s="643"/>
      <c r="O4" s="643" t="s">
        <v>365</v>
      </c>
      <c r="P4" s="661" t="s">
        <v>361</v>
      </c>
      <c r="Q4" s="662"/>
      <c r="R4" s="662"/>
      <c r="S4" s="663"/>
      <c r="T4" s="643" t="s">
        <v>359</v>
      </c>
      <c r="U4" s="661" t="s">
        <v>361</v>
      </c>
      <c r="V4" s="662"/>
      <c r="W4" s="662"/>
      <c r="X4" s="663"/>
      <c r="Y4" s="643" t="s">
        <v>359</v>
      </c>
      <c r="Z4" s="661" t="s">
        <v>361</v>
      </c>
      <c r="AA4" s="662"/>
      <c r="AB4" s="662"/>
      <c r="AC4" s="663"/>
      <c r="AD4" s="643" t="s">
        <v>359</v>
      </c>
      <c r="AE4" s="661" t="s">
        <v>361</v>
      </c>
      <c r="AF4" s="662"/>
      <c r="AG4" s="662"/>
      <c r="AH4" s="663"/>
      <c r="AI4" s="643" t="s">
        <v>359</v>
      </c>
      <c r="AJ4" s="661" t="s">
        <v>361</v>
      </c>
      <c r="AK4" s="662"/>
      <c r="AL4" s="662"/>
      <c r="AM4" s="663"/>
      <c r="AN4" s="643" t="s">
        <v>359</v>
      </c>
      <c r="AO4" s="661" t="s">
        <v>361</v>
      </c>
      <c r="AP4" s="662"/>
      <c r="AQ4" s="662"/>
      <c r="AR4" s="663"/>
      <c r="AS4" s="643" t="s">
        <v>359</v>
      </c>
      <c r="AT4" s="661" t="s">
        <v>361</v>
      </c>
      <c r="AU4" s="662"/>
      <c r="AV4" s="662"/>
      <c r="AW4" s="663"/>
      <c r="AX4" s="643" t="s">
        <v>359</v>
      </c>
      <c r="BA4" s="643" t="s">
        <v>359</v>
      </c>
    </row>
    <row r="5" spans="1:53" ht="14.25">
      <c r="A5" s="81"/>
      <c r="B5" s="643"/>
      <c r="C5" s="643"/>
      <c r="D5" s="643"/>
      <c r="E5" s="643" t="s">
        <v>366</v>
      </c>
      <c r="F5" s="643"/>
      <c r="G5" s="643"/>
      <c r="H5" s="676"/>
      <c r="I5" s="643" t="s">
        <v>366</v>
      </c>
      <c r="J5" s="643"/>
      <c r="K5" s="643"/>
      <c r="L5" s="676"/>
      <c r="M5" s="646"/>
      <c r="N5" s="643"/>
      <c r="O5" s="643"/>
      <c r="P5" s="661" t="s">
        <v>367</v>
      </c>
      <c r="Q5" s="662"/>
      <c r="R5" s="662"/>
      <c r="S5" s="663"/>
      <c r="T5" s="643"/>
      <c r="U5" s="661" t="s">
        <v>367</v>
      </c>
      <c r="V5" s="662"/>
      <c r="W5" s="662"/>
      <c r="X5" s="663"/>
      <c r="Y5" s="643"/>
      <c r="Z5" s="661" t="s">
        <v>367</v>
      </c>
      <c r="AA5" s="662"/>
      <c r="AB5" s="662"/>
      <c r="AC5" s="663"/>
      <c r="AD5" s="643"/>
      <c r="AE5" s="661" t="s">
        <v>367</v>
      </c>
      <c r="AF5" s="662"/>
      <c r="AG5" s="662"/>
      <c r="AH5" s="663"/>
      <c r="AI5" s="643"/>
      <c r="AJ5" s="661" t="s">
        <v>367</v>
      </c>
      <c r="AK5" s="662"/>
      <c r="AL5" s="662"/>
      <c r="AM5" s="663"/>
      <c r="AN5" s="643"/>
      <c r="AO5" s="661" t="s">
        <v>367</v>
      </c>
      <c r="AP5" s="662"/>
      <c r="AQ5" s="662"/>
      <c r="AR5" s="663"/>
      <c r="AS5" s="643"/>
      <c r="AT5" s="661" t="s">
        <v>367</v>
      </c>
      <c r="AU5" s="662"/>
      <c r="AV5" s="662"/>
      <c r="AW5" s="663"/>
      <c r="AX5" s="643"/>
      <c r="BA5" s="643"/>
    </row>
    <row r="6" spans="1:53" ht="14.25">
      <c r="A6" s="79"/>
      <c r="B6" s="643"/>
      <c r="C6" s="643"/>
      <c r="D6" s="643"/>
      <c r="E6" s="525" t="s">
        <v>368</v>
      </c>
      <c r="F6" s="525" t="s">
        <v>369</v>
      </c>
      <c r="G6" s="525" t="s">
        <v>370</v>
      </c>
      <c r="H6" s="677"/>
      <c r="I6" s="525" t="s">
        <v>368</v>
      </c>
      <c r="J6" s="525" t="s">
        <v>369</v>
      </c>
      <c r="K6" s="525" t="s">
        <v>370</v>
      </c>
      <c r="L6" s="677"/>
      <c r="M6" s="647"/>
      <c r="N6" s="643"/>
      <c r="O6" s="643"/>
      <c r="P6" s="525" t="s">
        <v>368</v>
      </c>
      <c r="Q6" s="525" t="s">
        <v>369</v>
      </c>
      <c r="R6" s="525" t="s">
        <v>370</v>
      </c>
      <c r="S6" s="525" t="s">
        <v>360</v>
      </c>
      <c r="T6" s="643"/>
      <c r="U6" s="525" t="s">
        <v>368</v>
      </c>
      <c r="V6" s="525" t="s">
        <v>369</v>
      </c>
      <c r="W6" s="525" t="s">
        <v>370</v>
      </c>
      <c r="X6" s="525" t="s">
        <v>360</v>
      </c>
      <c r="Y6" s="643"/>
      <c r="Z6" s="525" t="s">
        <v>368</v>
      </c>
      <c r="AA6" s="525" t="s">
        <v>369</v>
      </c>
      <c r="AB6" s="525" t="s">
        <v>370</v>
      </c>
      <c r="AC6" s="525" t="s">
        <v>360</v>
      </c>
      <c r="AD6" s="643"/>
      <c r="AE6" s="525" t="s">
        <v>368</v>
      </c>
      <c r="AF6" s="525" t="s">
        <v>369</v>
      </c>
      <c r="AG6" s="525" t="s">
        <v>370</v>
      </c>
      <c r="AH6" s="525" t="s">
        <v>360</v>
      </c>
      <c r="AI6" s="643"/>
      <c r="AJ6" s="525" t="s">
        <v>368</v>
      </c>
      <c r="AK6" s="525" t="s">
        <v>369</v>
      </c>
      <c r="AL6" s="525" t="s">
        <v>370</v>
      </c>
      <c r="AM6" s="525" t="s">
        <v>360</v>
      </c>
      <c r="AN6" s="643"/>
      <c r="AO6" s="525" t="s">
        <v>368</v>
      </c>
      <c r="AP6" s="525" t="s">
        <v>369</v>
      </c>
      <c r="AQ6" s="525" t="s">
        <v>370</v>
      </c>
      <c r="AR6" s="525" t="s">
        <v>360</v>
      </c>
      <c r="AS6" s="643"/>
      <c r="AT6" s="525" t="s">
        <v>368</v>
      </c>
      <c r="AU6" s="525" t="s">
        <v>369</v>
      </c>
      <c r="AV6" s="525" t="s">
        <v>370</v>
      </c>
      <c r="AW6" s="525" t="s">
        <v>360</v>
      </c>
      <c r="AX6" s="643"/>
      <c r="AZ6" s="367" t="s">
        <v>360</v>
      </c>
      <c r="BA6" s="643"/>
    </row>
    <row r="7" spans="1:53" ht="14.25">
      <c r="A7" s="81"/>
      <c r="B7" s="701" t="s">
        <v>521</v>
      </c>
      <c r="C7" s="528">
        <v>1</v>
      </c>
      <c r="D7" s="351" t="s">
        <v>352</v>
      </c>
      <c r="E7" s="510">
        <v>4</v>
      </c>
      <c r="F7" s="510">
        <v>2000</v>
      </c>
      <c r="G7" s="510">
        <v>500</v>
      </c>
      <c r="H7" s="656">
        <f>AVERAGE(G7:G21)</f>
        <v>262.35151515151517</v>
      </c>
      <c r="I7" s="529">
        <f t="shared" ref="I7:I20" si="0">IFERROR(AVERAGE(P7,U7,Z7,AE7,AJ7,AO7,AT7),"-")</f>
        <v>5</v>
      </c>
      <c r="J7" s="529">
        <f t="shared" ref="J7:J20" si="1">IFERROR(AVERAGE(Q7,V7,AA7,AF7,AK7,AP7,AU7),"-")</f>
        <v>2091.9879159492157</v>
      </c>
      <c r="K7" s="199">
        <f t="shared" ref="K7:K20" si="2">IFERROR(AVERAGE(R7,W7,AB7,AG7,AL7,AQ7,AV7),"-")</f>
        <v>418.39758318984315</v>
      </c>
      <c r="L7" s="658">
        <f>IFERROR(AVERAGE(K7:K21),"-")</f>
        <v>231.6472467889065</v>
      </c>
      <c r="M7" s="510">
        <f>RANK(K7, K$7:$K$21)</f>
        <v>1</v>
      </c>
      <c r="N7" s="643"/>
      <c r="O7" s="643"/>
      <c r="P7" s="576">
        <v>5</v>
      </c>
      <c r="Q7" s="578">
        <v>2112.4528301886789</v>
      </c>
      <c r="R7" s="578">
        <v>422.49056603773579</v>
      </c>
      <c r="S7" s="577">
        <f t="shared" ref="S7:S21" si="3">RANK(R7, R$7:R$21)</f>
        <v>1</v>
      </c>
      <c r="T7" s="700">
        <f t="shared" ref="T7" si="4">AVERAGE(R7:R21)</f>
        <v>231.86325964203141</v>
      </c>
      <c r="U7" s="576">
        <v>5</v>
      </c>
      <c r="V7" s="578">
        <v>2122.666666666667</v>
      </c>
      <c r="W7" s="578">
        <v>424.53333333333342</v>
      </c>
      <c r="X7" s="577">
        <f t="shared" ref="X7:X21" si="5">RANK(W7, W$7:W$21)</f>
        <v>1</v>
      </c>
      <c r="Y7" s="700">
        <f t="shared" ref="Y7" si="6">AVERAGE(W7:W21)</f>
        <v>231.7375761811229</v>
      </c>
      <c r="Z7" s="576">
        <v>5</v>
      </c>
      <c r="AA7" s="578">
        <v>2090.4545454545455</v>
      </c>
      <c r="AB7" s="578">
        <v>418.09090909090912</v>
      </c>
      <c r="AC7" s="577">
        <f t="shared" ref="AC7:AC21" si="7">RANK(AB7, AB$7:AB$21)</f>
        <v>1</v>
      </c>
      <c r="AD7" s="700">
        <f t="shared" ref="AD7" si="8">AVERAGE(AB7:AB21)</f>
        <v>230.48761989500292</v>
      </c>
      <c r="AE7" s="576">
        <v>5</v>
      </c>
      <c r="AF7" s="578">
        <v>2085.8823529411766</v>
      </c>
      <c r="AG7" s="578">
        <v>417.1764705882353</v>
      </c>
      <c r="AH7" s="577">
        <f t="shared" ref="AH7:AH21" si="9">RANK(AG7, AG$7:AG$21)</f>
        <v>2</v>
      </c>
      <c r="AI7" s="700">
        <f t="shared" ref="AI7" si="10">AVERAGE(AG7:AG21)</f>
        <v>231.01156974903898</v>
      </c>
      <c r="AJ7" s="576">
        <v>5</v>
      </c>
      <c r="AK7" s="578">
        <v>2081.052631578948</v>
      </c>
      <c r="AL7" s="578">
        <v>416.21052631578959</v>
      </c>
      <c r="AM7" s="577">
        <f t="shared" ref="AM7:AM21" si="11">RANK(AL7, AL$7:AL$21)</f>
        <v>2</v>
      </c>
      <c r="AN7" s="700">
        <f t="shared" ref="AN7" si="12">AVERAGE(AL7:AL21)</f>
        <v>233.27863274703839</v>
      </c>
      <c r="AO7" s="576">
        <v>5</v>
      </c>
      <c r="AP7" s="578">
        <v>2078.9473684210525</v>
      </c>
      <c r="AQ7" s="578">
        <v>415.78947368421052</v>
      </c>
      <c r="AR7" s="577">
        <f t="shared" ref="AR7:AR21" si="13">RANK(AQ7, AQ$7:AQ$21)</f>
        <v>1</v>
      </c>
      <c r="AS7" s="700">
        <f t="shared" ref="AS7" si="14">AVERAGE(AQ7:AQ21)</f>
        <v>231.17962628482073</v>
      </c>
      <c r="AT7" s="576">
        <v>5</v>
      </c>
      <c r="AU7" s="578">
        <v>2072.4590163934417</v>
      </c>
      <c r="AV7" s="578">
        <v>414.49180327868834</v>
      </c>
      <c r="AW7" s="577">
        <f t="shared" ref="AW7:AW21" si="15">RANK(AV7, AV$7:AV$21)</f>
        <v>2</v>
      </c>
      <c r="AX7" s="700">
        <f t="shared" ref="AX7" si="16">AVERAGE(AV7:AV21)</f>
        <v>231.97244302329028</v>
      </c>
      <c r="AZ7" s="369" t="e">
        <f t="shared" ref="AZ7:AZ21" si="17">RANK(AY7, AY$7:AY$21)</f>
        <v>#N/A</v>
      </c>
      <c r="BA7" s="700" t="e">
        <f t="shared" ref="BA7" si="18">AVERAGE(AY7:AY21)</f>
        <v>#DIV/0!</v>
      </c>
    </row>
    <row r="8" spans="1:53" ht="15" customHeight="1">
      <c r="A8" s="81"/>
      <c r="B8" s="678"/>
      <c r="C8" s="528">
        <v>2</v>
      </c>
      <c r="D8" s="351" t="s">
        <v>421</v>
      </c>
      <c r="E8" s="510">
        <v>4</v>
      </c>
      <c r="F8" s="510">
        <v>2000</v>
      </c>
      <c r="G8" s="510">
        <v>500</v>
      </c>
      <c r="H8" s="657"/>
      <c r="I8" s="529">
        <f t="shared" si="0"/>
        <v>5</v>
      </c>
      <c r="J8" s="529">
        <f t="shared" si="1"/>
        <v>2084.879547776728</v>
      </c>
      <c r="K8" s="199">
        <f t="shared" si="2"/>
        <v>416.97590955534554</v>
      </c>
      <c r="L8" s="659"/>
      <c r="M8" s="510">
        <f>RANK(K8, K$7:$K$21)</f>
        <v>2</v>
      </c>
      <c r="N8" s="643"/>
      <c r="O8" s="643"/>
      <c r="P8" s="576">
        <v>5</v>
      </c>
      <c r="Q8" s="578">
        <v>2052.2448979591845</v>
      </c>
      <c r="R8" s="578">
        <v>410.44897959183692</v>
      </c>
      <c r="S8" s="577">
        <f t="shared" si="3"/>
        <v>2</v>
      </c>
      <c r="T8" s="700"/>
      <c r="U8" s="576">
        <v>5</v>
      </c>
      <c r="V8" s="578">
        <v>2070</v>
      </c>
      <c r="W8" s="578">
        <v>414</v>
      </c>
      <c r="X8" s="577">
        <f t="shared" si="5"/>
        <v>2</v>
      </c>
      <c r="Y8" s="700"/>
      <c r="Z8" s="576">
        <v>5</v>
      </c>
      <c r="AA8" s="578">
        <v>2053.953488372093</v>
      </c>
      <c r="AB8" s="578">
        <v>410.7906976744186</v>
      </c>
      <c r="AC8" s="577">
        <f t="shared" si="7"/>
        <v>2</v>
      </c>
      <c r="AD8" s="700"/>
      <c r="AE8" s="576">
        <v>5</v>
      </c>
      <c r="AF8" s="578">
        <v>2117.6470588235297</v>
      </c>
      <c r="AG8" s="578">
        <v>423.52941176470597</v>
      </c>
      <c r="AH8" s="577">
        <f t="shared" si="9"/>
        <v>1</v>
      </c>
      <c r="AI8" s="700"/>
      <c r="AJ8" s="576">
        <v>5</v>
      </c>
      <c r="AK8" s="578">
        <v>2141.1428571428573</v>
      </c>
      <c r="AL8" s="578">
        <v>428.22857142857146</v>
      </c>
      <c r="AM8" s="577">
        <f t="shared" si="11"/>
        <v>1</v>
      </c>
      <c r="AN8" s="700"/>
      <c r="AO8" s="576">
        <v>5</v>
      </c>
      <c r="AP8" s="578">
        <v>2078.4905660377353</v>
      </c>
      <c r="AQ8" s="578">
        <v>415.69811320754707</v>
      </c>
      <c r="AR8" s="577">
        <f t="shared" si="13"/>
        <v>2</v>
      </c>
      <c r="AS8" s="700"/>
      <c r="AT8" s="576">
        <v>5</v>
      </c>
      <c r="AU8" s="578">
        <v>2080.6779661016953</v>
      </c>
      <c r="AV8" s="578">
        <v>416.13559322033905</v>
      </c>
      <c r="AW8" s="577">
        <f t="shared" si="15"/>
        <v>1</v>
      </c>
      <c r="AX8" s="700"/>
      <c r="AZ8" s="369" t="e">
        <f t="shared" si="17"/>
        <v>#N/A</v>
      </c>
      <c r="BA8" s="700"/>
    </row>
    <row r="9" spans="1:53" ht="14.25">
      <c r="A9" s="81"/>
      <c r="B9" s="678"/>
      <c r="C9" s="528">
        <v>3</v>
      </c>
      <c r="D9" s="351" t="s">
        <v>555</v>
      </c>
      <c r="E9" s="510">
        <v>13</v>
      </c>
      <c r="F9" s="510">
        <v>2250</v>
      </c>
      <c r="G9" s="510">
        <v>173.1</v>
      </c>
      <c r="H9" s="657"/>
      <c r="I9" s="529">
        <f t="shared" si="0"/>
        <v>13</v>
      </c>
      <c r="J9" s="529">
        <f t="shared" si="1"/>
        <v>2091.3854681449097</v>
      </c>
      <c r="K9" s="199">
        <f t="shared" si="2"/>
        <v>160.87580524191617</v>
      </c>
      <c r="L9" s="659"/>
      <c r="M9" s="510">
        <f>RANK(K9, K$7:$K$21)</f>
        <v>7</v>
      </c>
      <c r="N9" s="643"/>
      <c r="O9" s="643"/>
      <c r="P9" s="576">
        <v>13</v>
      </c>
      <c r="Q9" s="578">
        <v>2094.8076923076924</v>
      </c>
      <c r="R9" s="578">
        <v>161.13905325443787</v>
      </c>
      <c r="S9" s="577">
        <f t="shared" si="3"/>
        <v>7</v>
      </c>
      <c r="T9" s="700"/>
      <c r="U9" s="576">
        <v>13</v>
      </c>
      <c r="V9" s="578">
        <v>2080.4210526315783</v>
      </c>
      <c r="W9" s="578">
        <v>160.03238866396757</v>
      </c>
      <c r="X9" s="577">
        <f t="shared" si="5"/>
        <v>7</v>
      </c>
      <c r="Y9" s="700"/>
      <c r="Z9" s="576">
        <v>13</v>
      </c>
      <c r="AA9" s="578">
        <v>2105.7391304347825</v>
      </c>
      <c r="AB9" s="578">
        <v>161.97993311036788</v>
      </c>
      <c r="AC9" s="577">
        <f t="shared" si="7"/>
        <v>7</v>
      </c>
      <c r="AD9" s="700"/>
      <c r="AE9" s="576">
        <v>13</v>
      </c>
      <c r="AF9" s="578">
        <v>2071.1111111111118</v>
      </c>
      <c r="AG9" s="578">
        <v>159.31623931623938</v>
      </c>
      <c r="AH9" s="577">
        <f t="shared" si="9"/>
        <v>7</v>
      </c>
      <c r="AI9" s="700"/>
      <c r="AJ9" s="576">
        <v>13</v>
      </c>
      <c r="AK9" s="578">
        <v>2073.2530120481929</v>
      </c>
      <c r="AL9" s="578">
        <v>159.48100092678408</v>
      </c>
      <c r="AM9" s="577">
        <f t="shared" si="11"/>
        <v>7</v>
      </c>
      <c r="AN9" s="700"/>
      <c r="AO9" s="576">
        <v>13</v>
      </c>
      <c r="AP9" s="578">
        <v>2120.7839999999997</v>
      </c>
      <c r="AQ9" s="578">
        <v>163.13723076923074</v>
      </c>
      <c r="AR9" s="577">
        <f t="shared" si="13"/>
        <v>7</v>
      </c>
      <c r="AS9" s="700"/>
      <c r="AT9" s="576">
        <v>13</v>
      </c>
      <c r="AU9" s="578">
        <v>2093.5822784810125</v>
      </c>
      <c r="AV9" s="578">
        <v>161.04479065238559</v>
      </c>
      <c r="AW9" s="577">
        <f t="shared" si="15"/>
        <v>7</v>
      </c>
      <c r="AX9" s="700"/>
      <c r="AZ9" s="369" t="e">
        <f t="shared" si="17"/>
        <v>#N/A</v>
      </c>
      <c r="BA9" s="700"/>
    </row>
    <row r="10" spans="1:53" ht="14.25">
      <c r="A10" s="81"/>
      <c r="B10" s="678"/>
      <c r="C10" s="528">
        <v>4</v>
      </c>
      <c r="D10" s="351" t="s">
        <v>353</v>
      </c>
      <c r="E10" s="510">
        <v>13</v>
      </c>
      <c r="F10" s="510">
        <v>2250</v>
      </c>
      <c r="G10" s="510">
        <v>173.1</v>
      </c>
      <c r="H10" s="657"/>
      <c r="I10" s="529">
        <f t="shared" si="0"/>
        <v>13</v>
      </c>
      <c r="J10" s="529">
        <f t="shared" si="1"/>
        <v>2148.6794316606743</v>
      </c>
      <c r="K10" s="199">
        <f t="shared" si="2"/>
        <v>165.28303320466719</v>
      </c>
      <c r="L10" s="659"/>
      <c r="M10" s="510">
        <f>RANK(K10, K$7:$K$21)</f>
        <v>6</v>
      </c>
      <c r="N10" s="643"/>
      <c r="O10" s="643"/>
      <c r="P10" s="576">
        <v>13</v>
      </c>
      <c r="Q10" s="578">
        <v>2166.5346534653459</v>
      </c>
      <c r="R10" s="578">
        <v>166.65651180502661</v>
      </c>
      <c r="S10" s="577">
        <f t="shared" si="3"/>
        <v>6</v>
      </c>
      <c r="T10" s="700"/>
      <c r="U10" s="576">
        <v>13</v>
      </c>
      <c r="V10" s="578">
        <v>2121.7582417582421</v>
      </c>
      <c r="W10" s="578">
        <v>163.21217244294169</v>
      </c>
      <c r="X10" s="577">
        <f t="shared" si="5"/>
        <v>6</v>
      </c>
      <c r="Y10" s="700"/>
      <c r="Z10" s="576">
        <v>13</v>
      </c>
      <c r="AA10" s="578">
        <v>2145.3658536585358</v>
      </c>
      <c r="AB10" s="578">
        <v>165.02814258911815</v>
      </c>
      <c r="AC10" s="577">
        <f t="shared" si="7"/>
        <v>6</v>
      </c>
      <c r="AD10" s="700"/>
      <c r="AE10" s="576">
        <v>13</v>
      </c>
      <c r="AF10" s="578">
        <v>2127.5675675675684</v>
      </c>
      <c r="AG10" s="578">
        <v>163.65904365904373</v>
      </c>
      <c r="AH10" s="577">
        <f t="shared" si="9"/>
        <v>6</v>
      </c>
      <c r="AI10" s="700"/>
      <c r="AJ10" s="576">
        <v>13</v>
      </c>
      <c r="AK10" s="578">
        <v>2160.0000000000014</v>
      </c>
      <c r="AL10" s="578">
        <v>166.15384615384625</v>
      </c>
      <c r="AM10" s="577">
        <f t="shared" si="11"/>
        <v>6</v>
      </c>
      <c r="AN10" s="700"/>
      <c r="AO10" s="576">
        <v>13</v>
      </c>
      <c r="AP10" s="578">
        <v>2131.4563106796109</v>
      </c>
      <c r="AQ10" s="578">
        <v>163.95817774458544</v>
      </c>
      <c r="AR10" s="577">
        <f t="shared" si="13"/>
        <v>6</v>
      </c>
      <c r="AS10" s="700"/>
      <c r="AT10" s="576">
        <v>13</v>
      </c>
      <c r="AU10" s="578">
        <v>2188.0733944954127</v>
      </c>
      <c r="AV10" s="578">
        <v>168.31333803810867</v>
      </c>
      <c r="AW10" s="577">
        <f t="shared" si="15"/>
        <v>6</v>
      </c>
      <c r="AX10" s="700"/>
      <c r="AZ10" s="369" t="e">
        <f t="shared" si="17"/>
        <v>#N/A</v>
      </c>
      <c r="BA10" s="700"/>
    </row>
    <row r="11" spans="1:53" ht="14.25">
      <c r="A11" s="81"/>
      <c r="B11" s="678"/>
      <c r="C11" s="528">
        <v>5</v>
      </c>
      <c r="D11" s="351" t="s">
        <v>354</v>
      </c>
      <c r="E11" s="510">
        <v>10</v>
      </c>
      <c r="F11" s="510">
        <v>2769</v>
      </c>
      <c r="G11" s="510">
        <v>276.89999999999998</v>
      </c>
      <c r="H11" s="657"/>
      <c r="I11" s="529">
        <f t="shared" si="0"/>
        <v>10</v>
      </c>
      <c r="J11" s="529">
        <f t="shared" si="1"/>
        <v>2442.9957943719483</v>
      </c>
      <c r="K11" s="199">
        <f t="shared" si="2"/>
        <v>244.29957943719481</v>
      </c>
      <c r="L11" s="659"/>
      <c r="M11" s="510">
        <f>RANK(K11, K$7:$K$21)</f>
        <v>3</v>
      </c>
      <c r="N11" s="643"/>
      <c r="O11" s="643"/>
      <c r="P11" s="576">
        <v>10</v>
      </c>
      <c r="Q11" s="578">
        <v>2488.2558139534881</v>
      </c>
      <c r="R11" s="578">
        <v>248.82558139534882</v>
      </c>
      <c r="S11" s="577">
        <f t="shared" si="3"/>
        <v>3</v>
      </c>
      <c r="T11" s="700"/>
      <c r="U11" s="576">
        <v>10</v>
      </c>
      <c r="V11" s="578">
        <v>2452.6090909090908</v>
      </c>
      <c r="W11" s="578">
        <v>245.26090909090908</v>
      </c>
      <c r="X11" s="577">
        <f t="shared" si="5"/>
        <v>3</v>
      </c>
      <c r="Y11" s="700"/>
      <c r="Z11" s="576">
        <v>10</v>
      </c>
      <c r="AA11" s="578">
        <v>2451.0447761194027</v>
      </c>
      <c r="AB11" s="578">
        <v>245.10447761194027</v>
      </c>
      <c r="AC11" s="577">
        <f t="shared" si="7"/>
        <v>3</v>
      </c>
      <c r="AD11" s="700"/>
      <c r="AE11" s="576">
        <v>10</v>
      </c>
      <c r="AF11" s="578">
        <v>2401.9834710743789</v>
      </c>
      <c r="AG11" s="578">
        <v>240.19834710743788</v>
      </c>
      <c r="AH11" s="577">
        <f t="shared" si="9"/>
        <v>3</v>
      </c>
      <c r="AI11" s="700"/>
      <c r="AJ11" s="576">
        <v>10</v>
      </c>
      <c r="AK11" s="578">
        <v>2445.78947368421</v>
      </c>
      <c r="AL11" s="578">
        <v>244.57894736842098</v>
      </c>
      <c r="AM11" s="577">
        <f t="shared" si="11"/>
        <v>3</v>
      </c>
      <c r="AN11" s="700"/>
      <c r="AO11" s="576">
        <v>10</v>
      </c>
      <c r="AP11" s="578">
        <v>2417.1428571428578</v>
      </c>
      <c r="AQ11" s="578">
        <v>241.71428571428578</v>
      </c>
      <c r="AR11" s="577">
        <f t="shared" si="13"/>
        <v>3</v>
      </c>
      <c r="AS11" s="700"/>
      <c r="AT11" s="576">
        <v>10</v>
      </c>
      <c r="AU11" s="578">
        <v>2444.1450777202081</v>
      </c>
      <c r="AV11" s="578">
        <v>244.41450777202081</v>
      </c>
      <c r="AW11" s="577">
        <f t="shared" si="15"/>
        <v>3</v>
      </c>
      <c r="AX11" s="700"/>
      <c r="AZ11" s="369" t="e">
        <f t="shared" si="17"/>
        <v>#N/A</v>
      </c>
      <c r="BA11" s="700"/>
    </row>
    <row r="12" spans="1:53" ht="14.25">
      <c r="A12" s="81"/>
      <c r="B12" s="678"/>
      <c r="C12" s="528">
        <v>6</v>
      </c>
      <c r="D12" s="351" t="s">
        <v>649</v>
      </c>
      <c r="E12" s="510">
        <v>11</v>
      </c>
      <c r="F12" s="510">
        <v>2250</v>
      </c>
      <c r="G12" s="510">
        <v>204.5</v>
      </c>
      <c r="H12" s="657"/>
      <c r="I12" s="529">
        <f t="shared" si="0"/>
        <v>11</v>
      </c>
      <c r="J12" s="529">
        <f t="shared" si="1"/>
        <v>2082.6413015084154</v>
      </c>
      <c r="K12" s="199">
        <f t="shared" si="2"/>
        <v>189.33102740985598</v>
      </c>
      <c r="L12" s="659"/>
      <c r="M12" s="510">
        <f>RANK(K12, K$7:$K$21)</f>
        <v>5</v>
      </c>
      <c r="N12" s="643"/>
      <c r="O12" s="643"/>
      <c r="P12" s="576">
        <v>11</v>
      </c>
      <c r="Q12" s="578">
        <v>2056.2551020408173</v>
      </c>
      <c r="R12" s="578">
        <v>186.93228200371067</v>
      </c>
      <c r="S12" s="577">
        <f t="shared" si="3"/>
        <v>5</v>
      </c>
      <c r="T12" s="700"/>
      <c r="U12" s="576">
        <v>11</v>
      </c>
      <c r="V12" s="578">
        <v>2081.0581395348845</v>
      </c>
      <c r="W12" s="578">
        <v>189.18710359408041</v>
      </c>
      <c r="X12" s="577">
        <f t="shared" si="5"/>
        <v>5</v>
      </c>
      <c r="Y12" s="700"/>
      <c r="Z12" s="576">
        <v>11</v>
      </c>
      <c r="AA12" s="578">
        <v>2081.1428571428569</v>
      </c>
      <c r="AB12" s="578">
        <v>189.19480519480518</v>
      </c>
      <c r="AC12" s="577">
        <f t="shared" si="7"/>
        <v>5</v>
      </c>
      <c r="AD12" s="700"/>
      <c r="AE12" s="576">
        <v>11</v>
      </c>
      <c r="AF12" s="578">
        <v>2066.9724770642206</v>
      </c>
      <c r="AG12" s="578">
        <v>187.90658882402005</v>
      </c>
      <c r="AH12" s="577">
        <f t="shared" si="9"/>
        <v>5</v>
      </c>
      <c r="AI12" s="700"/>
      <c r="AJ12" s="576">
        <v>11</v>
      </c>
      <c r="AK12" s="578">
        <v>2103.2307692307695</v>
      </c>
      <c r="AL12" s="578">
        <v>191.20279720279723</v>
      </c>
      <c r="AM12" s="577">
        <f t="shared" si="11"/>
        <v>5</v>
      </c>
      <c r="AN12" s="700"/>
      <c r="AO12" s="576">
        <v>11</v>
      </c>
      <c r="AP12" s="578">
        <v>2082.3853211009173</v>
      </c>
      <c r="AQ12" s="578">
        <v>189.30775646371976</v>
      </c>
      <c r="AR12" s="577">
        <f t="shared" si="13"/>
        <v>5</v>
      </c>
      <c r="AS12" s="700"/>
      <c r="AT12" s="576">
        <v>11</v>
      </c>
      <c r="AU12" s="578">
        <v>2107.4444444444443</v>
      </c>
      <c r="AV12" s="578">
        <v>191.58585858585857</v>
      </c>
      <c r="AW12" s="577">
        <f t="shared" si="15"/>
        <v>5</v>
      </c>
      <c r="AX12" s="700"/>
      <c r="AZ12" s="369" t="e">
        <f t="shared" si="17"/>
        <v>#N/A</v>
      </c>
      <c r="BA12" s="700"/>
    </row>
    <row r="13" spans="1:53" ht="14.25">
      <c r="A13" s="81"/>
      <c r="B13" s="678"/>
      <c r="C13" s="528">
        <v>7</v>
      </c>
      <c r="D13" s="351" t="s">
        <v>351</v>
      </c>
      <c r="E13" s="510">
        <v>18</v>
      </c>
      <c r="F13" s="510">
        <v>1200</v>
      </c>
      <c r="G13" s="510">
        <v>66.666666666666671</v>
      </c>
      <c r="H13" s="657"/>
      <c r="I13" s="529">
        <f t="shared" si="0"/>
        <v>18</v>
      </c>
      <c r="J13" s="529">
        <f t="shared" si="1"/>
        <v>1103.4120092956998</v>
      </c>
      <c r="K13" s="199">
        <f t="shared" si="2"/>
        <v>61.300667183094433</v>
      </c>
      <c r="L13" s="659"/>
      <c r="M13" s="510">
        <f>RANK(K13, K$7:$K$21)</f>
        <v>8</v>
      </c>
      <c r="N13" s="643"/>
      <c r="O13" s="643"/>
      <c r="P13" s="576">
        <v>18</v>
      </c>
      <c r="Q13" s="578">
        <v>1117.731958762887</v>
      </c>
      <c r="R13" s="578">
        <v>62.096219931271499</v>
      </c>
      <c r="S13" s="577">
        <f t="shared" si="3"/>
        <v>8</v>
      </c>
      <c r="T13" s="700"/>
      <c r="U13" s="576">
        <v>18</v>
      </c>
      <c r="V13" s="578">
        <v>1114.8837209302324</v>
      </c>
      <c r="W13" s="578">
        <v>61.937984496124017</v>
      </c>
      <c r="X13" s="577">
        <f t="shared" si="5"/>
        <v>8</v>
      </c>
      <c r="Y13" s="700"/>
      <c r="Z13" s="576">
        <v>18</v>
      </c>
      <c r="AA13" s="578">
        <v>1087.7142857142844</v>
      </c>
      <c r="AB13" s="578">
        <v>60.42857142857136</v>
      </c>
      <c r="AC13" s="577">
        <f t="shared" si="7"/>
        <v>8</v>
      </c>
      <c r="AD13" s="700"/>
      <c r="AE13" s="576">
        <v>18</v>
      </c>
      <c r="AF13" s="578">
        <v>1105.2173913043466</v>
      </c>
      <c r="AG13" s="578">
        <v>61.400966183574809</v>
      </c>
      <c r="AH13" s="577">
        <f t="shared" si="9"/>
        <v>8</v>
      </c>
      <c r="AI13" s="700"/>
      <c r="AJ13" s="576">
        <v>18</v>
      </c>
      <c r="AK13" s="578">
        <v>1102.1917808219171</v>
      </c>
      <c r="AL13" s="578">
        <v>61.232876712328725</v>
      </c>
      <c r="AM13" s="577">
        <f t="shared" si="11"/>
        <v>8</v>
      </c>
      <c r="AN13" s="700"/>
      <c r="AO13" s="576">
        <v>18</v>
      </c>
      <c r="AP13" s="578">
        <v>1092.6666666666667</v>
      </c>
      <c r="AQ13" s="578">
        <v>60.703703703703709</v>
      </c>
      <c r="AR13" s="577">
        <f t="shared" si="13"/>
        <v>8</v>
      </c>
      <c r="AS13" s="700"/>
      <c r="AT13" s="576">
        <v>18</v>
      </c>
      <c r="AU13" s="578">
        <v>1103.4782608695652</v>
      </c>
      <c r="AV13" s="578">
        <v>61.304347826086961</v>
      </c>
      <c r="AW13" s="577">
        <f t="shared" si="15"/>
        <v>8</v>
      </c>
      <c r="AX13" s="700"/>
      <c r="AZ13" s="369" t="e">
        <f t="shared" si="17"/>
        <v>#N/A</v>
      </c>
      <c r="BA13" s="700"/>
    </row>
    <row r="14" spans="1:53" ht="14.25">
      <c r="A14" s="81"/>
      <c r="B14" s="678"/>
      <c r="C14" s="528">
        <v>8</v>
      </c>
      <c r="D14" s="351" t="s">
        <v>700</v>
      </c>
      <c r="E14" s="510">
        <v>11</v>
      </c>
      <c r="F14" s="510">
        <v>2250</v>
      </c>
      <c r="G14" s="510">
        <v>204.54545454545453</v>
      </c>
      <c r="H14" s="657"/>
      <c r="I14" s="529">
        <f t="shared" si="0"/>
        <v>11</v>
      </c>
      <c r="J14" s="529">
        <f t="shared" si="1"/>
        <v>2163.8580599826828</v>
      </c>
      <c r="K14" s="199">
        <f t="shared" si="2"/>
        <v>196.71436908933475</v>
      </c>
      <c r="L14" s="659"/>
      <c r="M14" s="510">
        <f>RANK(K14, K$7:$K$21)</f>
        <v>4</v>
      </c>
      <c r="N14" s="643"/>
      <c r="O14" s="643"/>
      <c r="P14" s="576">
        <v>11</v>
      </c>
      <c r="Q14" s="578">
        <v>2159.4857142857145</v>
      </c>
      <c r="R14" s="578">
        <v>196.31688311688313</v>
      </c>
      <c r="S14" s="577">
        <f t="shared" si="3"/>
        <v>4</v>
      </c>
      <c r="T14" s="700"/>
      <c r="U14" s="576">
        <v>11</v>
      </c>
      <c r="V14" s="578">
        <v>2153.1038961038967</v>
      </c>
      <c r="W14" s="578">
        <v>195.73671782762696</v>
      </c>
      <c r="X14" s="577">
        <f t="shared" si="5"/>
        <v>4</v>
      </c>
      <c r="Y14" s="700"/>
      <c r="Z14" s="576">
        <v>11</v>
      </c>
      <c r="AA14" s="578">
        <v>2126.1176470588234</v>
      </c>
      <c r="AB14" s="578">
        <v>193.28342245989305</v>
      </c>
      <c r="AC14" s="577">
        <f t="shared" si="7"/>
        <v>4</v>
      </c>
      <c r="AD14" s="700"/>
      <c r="AE14" s="576">
        <v>11</v>
      </c>
      <c r="AF14" s="578">
        <v>2143.960396039603</v>
      </c>
      <c r="AG14" s="578">
        <v>194.9054905490548</v>
      </c>
      <c r="AH14" s="577">
        <f t="shared" si="9"/>
        <v>4</v>
      </c>
      <c r="AI14" s="700"/>
      <c r="AJ14" s="576">
        <v>11</v>
      </c>
      <c r="AK14" s="578">
        <v>2190.545454545454</v>
      </c>
      <c r="AL14" s="578">
        <v>199.14049586776855</v>
      </c>
      <c r="AM14" s="577">
        <f t="shared" si="11"/>
        <v>4</v>
      </c>
      <c r="AN14" s="700"/>
      <c r="AO14" s="576">
        <v>11</v>
      </c>
      <c r="AP14" s="578">
        <v>2190.41095890411</v>
      </c>
      <c r="AQ14" s="578">
        <v>199.12826899128274</v>
      </c>
      <c r="AR14" s="577">
        <f t="shared" si="13"/>
        <v>4</v>
      </c>
      <c r="AS14" s="700"/>
      <c r="AT14" s="576">
        <v>11</v>
      </c>
      <c r="AU14" s="578">
        <v>2183.3823529411766</v>
      </c>
      <c r="AV14" s="578">
        <v>198.48930481283423</v>
      </c>
      <c r="AW14" s="577">
        <f t="shared" si="15"/>
        <v>4</v>
      </c>
      <c r="AX14" s="700"/>
      <c r="AZ14" s="369" t="e">
        <f t="shared" si="17"/>
        <v>#N/A</v>
      </c>
      <c r="BA14" s="700"/>
    </row>
    <row r="15" spans="1:53" ht="14.25">
      <c r="A15" s="81"/>
      <c r="B15" s="678"/>
      <c r="C15" s="528">
        <v>9</v>
      </c>
      <c r="D15" s="351"/>
      <c r="E15" s="510"/>
      <c r="F15" s="510"/>
      <c r="G15" s="510"/>
      <c r="H15" s="657"/>
      <c r="I15" s="529" t="str">
        <f t="shared" si="0"/>
        <v>-</v>
      </c>
      <c r="J15" s="529" t="str">
        <f t="shared" si="1"/>
        <v>-</v>
      </c>
      <c r="K15" s="199" t="str">
        <f t="shared" si="2"/>
        <v>-</v>
      </c>
      <c r="L15" s="659"/>
      <c r="M15" s="510" t="e">
        <f>RANK(K15, K$7:$K$21)</f>
        <v>#VALUE!</v>
      </c>
      <c r="N15" s="643"/>
      <c r="O15" s="643"/>
      <c r="P15" s="576" t="s">
        <v>564</v>
      </c>
      <c r="Q15" s="578" t="s">
        <v>564</v>
      </c>
      <c r="R15" s="578" t="s">
        <v>564</v>
      </c>
      <c r="S15" s="577" t="e">
        <f t="shared" si="3"/>
        <v>#VALUE!</v>
      </c>
      <c r="T15" s="700"/>
      <c r="U15" s="576" t="s">
        <v>564</v>
      </c>
      <c r="V15" s="578" t="s">
        <v>564</v>
      </c>
      <c r="W15" s="578" t="s">
        <v>564</v>
      </c>
      <c r="X15" s="577" t="e">
        <f t="shared" si="5"/>
        <v>#VALUE!</v>
      </c>
      <c r="Y15" s="700"/>
      <c r="Z15" s="576" t="s">
        <v>564</v>
      </c>
      <c r="AA15" s="578" t="s">
        <v>564</v>
      </c>
      <c r="AB15" s="578" t="s">
        <v>564</v>
      </c>
      <c r="AC15" s="577" t="e">
        <f t="shared" si="7"/>
        <v>#VALUE!</v>
      </c>
      <c r="AD15" s="700"/>
      <c r="AE15" s="576" t="s">
        <v>564</v>
      </c>
      <c r="AF15" s="578" t="s">
        <v>564</v>
      </c>
      <c r="AG15" s="578" t="s">
        <v>564</v>
      </c>
      <c r="AH15" s="577" t="e">
        <f t="shared" si="9"/>
        <v>#VALUE!</v>
      </c>
      <c r="AI15" s="700"/>
      <c r="AJ15" s="576" t="s">
        <v>564</v>
      </c>
      <c r="AK15" s="578" t="s">
        <v>564</v>
      </c>
      <c r="AL15" s="578" t="s">
        <v>564</v>
      </c>
      <c r="AM15" s="577" t="e">
        <f t="shared" si="11"/>
        <v>#VALUE!</v>
      </c>
      <c r="AN15" s="700"/>
      <c r="AO15" s="576" t="s">
        <v>564</v>
      </c>
      <c r="AP15" s="578" t="s">
        <v>564</v>
      </c>
      <c r="AQ15" s="578" t="s">
        <v>564</v>
      </c>
      <c r="AR15" s="577" t="e">
        <f t="shared" si="13"/>
        <v>#VALUE!</v>
      </c>
      <c r="AS15" s="700"/>
      <c r="AT15" s="576" t="s">
        <v>564</v>
      </c>
      <c r="AU15" s="578" t="s">
        <v>564</v>
      </c>
      <c r="AV15" s="578" t="s">
        <v>564</v>
      </c>
      <c r="AW15" s="577" t="e">
        <f t="shared" si="15"/>
        <v>#VALUE!</v>
      </c>
      <c r="AX15" s="700"/>
      <c r="AZ15" s="369" t="e">
        <f t="shared" si="17"/>
        <v>#N/A</v>
      </c>
      <c r="BA15" s="700"/>
    </row>
    <row r="16" spans="1:53" ht="14.25">
      <c r="A16" s="81"/>
      <c r="B16" s="678"/>
      <c r="C16" s="528">
        <v>10</v>
      </c>
      <c r="D16" s="351"/>
      <c r="E16" s="510"/>
      <c r="F16" s="510"/>
      <c r="G16" s="510"/>
      <c r="H16" s="657"/>
      <c r="I16" s="529" t="str">
        <f t="shared" si="0"/>
        <v>-</v>
      </c>
      <c r="J16" s="529" t="str">
        <f t="shared" si="1"/>
        <v>-</v>
      </c>
      <c r="K16" s="199" t="str">
        <f t="shared" si="2"/>
        <v>-</v>
      </c>
      <c r="L16" s="659"/>
      <c r="M16" s="510" t="e">
        <f>RANK(K16, K$7:$K$21)</f>
        <v>#VALUE!</v>
      </c>
      <c r="N16" s="643"/>
      <c r="O16" s="643"/>
      <c r="P16" s="576" t="s">
        <v>564</v>
      </c>
      <c r="Q16" s="578" t="s">
        <v>564</v>
      </c>
      <c r="R16" s="578" t="s">
        <v>564</v>
      </c>
      <c r="S16" s="577" t="e">
        <f t="shared" si="3"/>
        <v>#VALUE!</v>
      </c>
      <c r="T16" s="700"/>
      <c r="U16" s="576" t="s">
        <v>564</v>
      </c>
      <c r="V16" s="578" t="s">
        <v>564</v>
      </c>
      <c r="W16" s="578" t="s">
        <v>564</v>
      </c>
      <c r="X16" s="577" t="e">
        <f t="shared" si="5"/>
        <v>#VALUE!</v>
      </c>
      <c r="Y16" s="700"/>
      <c r="Z16" s="576" t="s">
        <v>564</v>
      </c>
      <c r="AA16" s="578" t="s">
        <v>564</v>
      </c>
      <c r="AB16" s="578" t="s">
        <v>564</v>
      </c>
      <c r="AC16" s="577" t="e">
        <f t="shared" si="7"/>
        <v>#VALUE!</v>
      </c>
      <c r="AD16" s="700"/>
      <c r="AE16" s="576" t="s">
        <v>564</v>
      </c>
      <c r="AF16" s="578" t="s">
        <v>564</v>
      </c>
      <c r="AG16" s="578" t="s">
        <v>564</v>
      </c>
      <c r="AH16" s="577" t="e">
        <f t="shared" si="9"/>
        <v>#VALUE!</v>
      </c>
      <c r="AI16" s="700"/>
      <c r="AJ16" s="576" t="s">
        <v>564</v>
      </c>
      <c r="AK16" s="578" t="s">
        <v>564</v>
      </c>
      <c r="AL16" s="578" t="s">
        <v>564</v>
      </c>
      <c r="AM16" s="577" t="e">
        <f t="shared" si="11"/>
        <v>#VALUE!</v>
      </c>
      <c r="AN16" s="700"/>
      <c r="AO16" s="576" t="s">
        <v>564</v>
      </c>
      <c r="AP16" s="578" t="s">
        <v>564</v>
      </c>
      <c r="AQ16" s="578" t="s">
        <v>564</v>
      </c>
      <c r="AR16" s="577" t="e">
        <f t="shared" si="13"/>
        <v>#VALUE!</v>
      </c>
      <c r="AS16" s="700"/>
      <c r="AT16" s="576" t="s">
        <v>564</v>
      </c>
      <c r="AU16" s="578" t="s">
        <v>564</v>
      </c>
      <c r="AV16" s="578" t="s">
        <v>564</v>
      </c>
      <c r="AW16" s="577" t="e">
        <f t="shared" si="15"/>
        <v>#VALUE!</v>
      </c>
      <c r="AX16" s="700"/>
      <c r="AZ16" s="369" t="e">
        <f t="shared" si="17"/>
        <v>#N/A</v>
      </c>
      <c r="BA16" s="700"/>
    </row>
    <row r="17" spans="2:53">
      <c r="B17" s="678"/>
      <c r="C17" s="528">
        <v>11</v>
      </c>
      <c r="D17" s="351"/>
      <c r="E17" s="510"/>
      <c r="F17" s="510"/>
      <c r="G17" s="510"/>
      <c r="H17" s="657"/>
      <c r="I17" s="529" t="str">
        <f t="shared" si="0"/>
        <v>-</v>
      </c>
      <c r="J17" s="529" t="str">
        <f t="shared" si="1"/>
        <v>-</v>
      </c>
      <c r="K17" s="199" t="str">
        <f t="shared" si="2"/>
        <v>-</v>
      </c>
      <c r="L17" s="659"/>
      <c r="M17" s="510" t="e">
        <f>RANK(K17, K$7:$K$21)</f>
        <v>#VALUE!</v>
      </c>
      <c r="N17" s="643"/>
      <c r="O17" s="643"/>
      <c r="P17" s="576" t="s">
        <v>564</v>
      </c>
      <c r="Q17" s="578" t="s">
        <v>564</v>
      </c>
      <c r="R17" s="578" t="s">
        <v>564</v>
      </c>
      <c r="S17" s="577" t="e">
        <f t="shared" si="3"/>
        <v>#VALUE!</v>
      </c>
      <c r="T17" s="700"/>
      <c r="U17" s="576" t="s">
        <v>564</v>
      </c>
      <c r="V17" s="578" t="s">
        <v>564</v>
      </c>
      <c r="W17" s="578" t="s">
        <v>564</v>
      </c>
      <c r="X17" s="577" t="e">
        <f t="shared" si="5"/>
        <v>#VALUE!</v>
      </c>
      <c r="Y17" s="700"/>
      <c r="Z17" s="576" t="s">
        <v>564</v>
      </c>
      <c r="AA17" s="578" t="s">
        <v>564</v>
      </c>
      <c r="AB17" s="578" t="s">
        <v>564</v>
      </c>
      <c r="AC17" s="577" t="e">
        <f t="shared" si="7"/>
        <v>#VALUE!</v>
      </c>
      <c r="AD17" s="700"/>
      <c r="AE17" s="576" t="s">
        <v>564</v>
      </c>
      <c r="AF17" s="578" t="s">
        <v>564</v>
      </c>
      <c r="AG17" s="578" t="s">
        <v>564</v>
      </c>
      <c r="AH17" s="577" t="e">
        <f t="shared" si="9"/>
        <v>#VALUE!</v>
      </c>
      <c r="AI17" s="700"/>
      <c r="AJ17" s="576" t="s">
        <v>564</v>
      </c>
      <c r="AK17" s="578" t="s">
        <v>564</v>
      </c>
      <c r="AL17" s="578" t="s">
        <v>564</v>
      </c>
      <c r="AM17" s="577" t="e">
        <f t="shared" si="11"/>
        <v>#VALUE!</v>
      </c>
      <c r="AN17" s="700"/>
      <c r="AO17" s="576" t="s">
        <v>564</v>
      </c>
      <c r="AP17" s="578" t="s">
        <v>564</v>
      </c>
      <c r="AQ17" s="578" t="s">
        <v>564</v>
      </c>
      <c r="AR17" s="577" t="e">
        <f t="shared" si="13"/>
        <v>#VALUE!</v>
      </c>
      <c r="AS17" s="700"/>
      <c r="AT17" s="576" t="s">
        <v>564</v>
      </c>
      <c r="AU17" s="578" t="s">
        <v>564</v>
      </c>
      <c r="AV17" s="578" t="s">
        <v>564</v>
      </c>
      <c r="AW17" s="577" t="e">
        <f t="shared" si="15"/>
        <v>#VALUE!</v>
      </c>
      <c r="AX17" s="700"/>
      <c r="AZ17" s="369" t="e">
        <f t="shared" si="17"/>
        <v>#N/A</v>
      </c>
      <c r="BA17" s="700"/>
    </row>
    <row r="18" spans="2:53">
      <c r="B18" s="678"/>
      <c r="C18" s="528">
        <v>12</v>
      </c>
      <c r="D18" s="351"/>
      <c r="E18" s="510"/>
      <c r="F18" s="510"/>
      <c r="G18" s="510"/>
      <c r="H18" s="657"/>
      <c r="I18" s="529" t="str">
        <f t="shared" si="0"/>
        <v>-</v>
      </c>
      <c r="J18" s="529" t="str">
        <f t="shared" si="1"/>
        <v>-</v>
      </c>
      <c r="K18" s="199" t="str">
        <f t="shared" si="2"/>
        <v>-</v>
      </c>
      <c r="L18" s="659"/>
      <c r="M18" s="510" t="e">
        <f>RANK(K18, K$7:$K$21)</f>
        <v>#VALUE!</v>
      </c>
      <c r="N18" s="643"/>
      <c r="O18" s="643"/>
      <c r="P18" s="576" t="s">
        <v>564</v>
      </c>
      <c r="Q18" s="578" t="s">
        <v>564</v>
      </c>
      <c r="R18" s="578" t="s">
        <v>564</v>
      </c>
      <c r="S18" s="577" t="e">
        <f t="shared" si="3"/>
        <v>#VALUE!</v>
      </c>
      <c r="T18" s="700"/>
      <c r="U18" s="576" t="s">
        <v>564</v>
      </c>
      <c r="V18" s="578" t="s">
        <v>564</v>
      </c>
      <c r="W18" s="578" t="s">
        <v>564</v>
      </c>
      <c r="X18" s="577" t="e">
        <f t="shared" si="5"/>
        <v>#VALUE!</v>
      </c>
      <c r="Y18" s="700"/>
      <c r="Z18" s="576" t="s">
        <v>564</v>
      </c>
      <c r="AA18" s="578" t="s">
        <v>564</v>
      </c>
      <c r="AB18" s="578" t="s">
        <v>564</v>
      </c>
      <c r="AC18" s="577" t="e">
        <f t="shared" si="7"/>
        <v>#VALUE!</v>
      </c>
      <c r="AD18" s="700"/>
      <c r="AE18" s="576" t="s">
        <v>564</v>
      </c>
      <c r="AF18" s="578" t="s">
        <v>564</v>
      </c>
      <c r="AG18" s="578" t="s">
        <v>564</v>
      </c>
      <c r="AH18" s="577" t="e">
        <f t="shared" si="9"/>
        <v>#VALUE!</v>
      </c>
      <c r="AI18" s="700"/>
      <c r="AJ18" s="576" t="s">
        <v>564</v>
      </c>
      <c r="AK18" s="578" t="s">
        <v>564</v>
      </c>
      <c r="AL18" s="578" t="s">
        <v>564</v>
      </c>
      <c r="AM18" s="577" t="e">
        <f t="shared" si="11"/>
        <v>#VALUE!</v>
      </c>
      <c r="AN18" s="700"/>
      <c r="AO18" s="576" t="s">
        <v>564</v>
      </c>
      <c r="AP18" s="578" t="s">
        <v>564</v>
      </c>
      <c r="AQ18" s="578" t="s">
        <v>564</v>
      </c>
      <c r="AR18" s="577" t="e">
        <f t="shared" si="13"/>
        <v>#VALUE!</v>
      </c>
      <c r="AS18" s="700"/>
      <c r="AT18" s="576" t="s">
        <v>564</v>
      </c>
      <c r="AU18" s="578" t="s">
        <v>564</v>
      </c>
      <c r="AV18" s="578" t="s">
        <v>564</v>
      </c>
      <c r="AW18" s="577" t="e">
        <f t="shared" si="15"/>
        <v>#VALUE!</v>
      </c>
      <c r="AX18" s="700"/>
      <c r="AZ18" s="369" t="e">
        <f t="shared" si="17"/>
        <v>#N/A</v>
      </c>
      <c r="BA18" s="700"/>
    </row>
    <row r="19" spans="2:53">
      <c r="B19" s="678"/>
      <c r="C19" s="528">
        <v>13</v>
      </c>
      <c r="D19" s="351"/>
      <c r="E19" s="510"/>
      <c r="F19" s="510"/>
      <c r="G19" s="510"/>
      <c r="H19" s="657"/>
      <c r="I19" s="529" t="str">
        <f t="shared" si="0"/>
        <v>-</v>
      </c>
      <c r="J19" s="529" t="str">
        <f t="shared" si="1"/>
        <v>-</v>
      </c>
      <c r="K19" s="199" t="str">
        <f t="shared" si="2"/>
        <v>-</v>
      </c>
      <c r="L19" s="659"/>
      <c r="M19" s="510" t="e">
        <f>RANK(K19, K$7:$K$21)</f>
        <v>#VALUE!</v>
      </c>
      <c r="N19" s="643"/>
      <c r="O19" s="643"/>
      <c r="P19" s="576" t="s">
        <v>564</v>
      </c>
      <c r="Q19" s="578" t="s">
        <v>564</v>
      </c>
      <c r="R19" s="578" t="s">
        <v>564</v>
      </c>
      <c r="S19" s="577" t="e">
        <f t="shared" si="3"/>
        <v>#VALUE!</v>
      </c>
      <c r="T19" s="700"/>
      <c r="U19" s="576" t="s">
        <v>564</v>
      </c>
      <c r="V19" s="578" t="s">
        <v>564</v>
      </c>
      <c r="W19" s="578" t="s">
        <v>564</v>
      </c>
      <c r="X19" s="577" t="e">
        <f t="shared" si="5"/>
        <v>#VALUE!</v>
      </c>
      <c r="Y19" s="700"/>
      <c r="Z19" s="576" t="s">
        <v>564</v>
      </c>
      <c r="AA19" s="578" t="s">
        <v>564</v>
      </c>
      <c r="AB19" s="578" t="s">
        <v>564</v>
      </c>
      <c r="AC19" s="577" t="e">
        <f t="shared" si="7"/>
        <v>#VALUE!</v>
      </c>
      <c r="AD19" s="700"/>
      <c r="AE19" s="576" t="s">
        <v>564</v>
      </c>
      <c r="AF19" s="578" t="s">
        <v>564</v>
      </c>
      <c r="AG19" s="578" t="s">
        <v>564</v>
      </c>
      <c r="AH19" s="577" t="e">
        <f t="shared" si="9"/>
        <v>#VALUE!</v>
      </c>
      <c r="AI19" s="700"/>
      <c r="AJ19" s="576" t="s">
        <v>564</v>
      </c>
      <c r="AK19" s="578" t="s">
        <v>564</v>
      </c>
      <c r="AL19" s="578" t="s">
        <v>564</v>
      </c>
      <c r="AM19" s="577" t="e">
        <f t="shared" si="11"/>
        <v>#VALUE!</v>
      </c>
      <c r="AN19" s="700"/>
      <c r="AO19" s="576" t="s">
        <v>564</v>
      </c>
      <c r="AP19" s="578" t="s">
        <v>564</v>
      </c>
      <c r="AQ19" s="578" t="s">
        <v>564</v>
      </c>
      <c r="AR19" s="577" t="e">
        <f t="shared" si="13"/>
        <v>#VALUE!</v>
      </c>
      <c r="AS19" s="700"/>
      <c r="AT19" s="576" t="s">
        <v>564</v>
      </c>
      <c r="AU19" s="578" t="s">
        <v>564</v>
      </c>
      <c r="AV19" s="578" t="s">
        <v>564</v>
      </c>
      <c r="AW19" s="577" t="e">
        <f t="shared" si="15"/>
        <v>#VALUE!</v>
      </c>
      <c r="AX19" s="700"/>
      <c r="AZ19" s="369" t="e">
        <f t="shared" si="17"/>
        <v>#N/A</v>
      </c>
      <c r="BA19" s="700"/>
    </row>
    <row r="20" spans="2:53">
      <c r="B20" s="678"/>
      <c r="C20" s="528">
        <v>14</v>
      </c>
      <c r="D20" s="351"/>
      <c r="E20" s="510"/>
      <c r="F20" s="510"/>
      <c r="G20" s="510"/>
      <c r="H20" s="657"/>
      <c r="I20" s="529" t="str">
        <f t="shared" si="0"/>
        <v>-</v>
      </c>
      <c r="J20" s="529" t="str">
        <f t="shared" si="1"/>
        <v>-</v>
      </c>
      <c r="K20" s="199" t="str">
        <f t="shared" si="2"/>
        <v>-</v>
      </c>
      <c r="L20" s="659"/>
      <c r="M20" s="510" t="e">
        <f>RANK(K20, K$7:$K$21)</f>
        <v>#VALUE!</v>
      </c>
      <c r="N20" s="643"/>
      <c r="O20" s="643"/>
      <c r="P20" s="576" t="s">
        <v>564</v>
      </c>
      <c r="Q20" s="578" t="s">
        <v>564</v>
      </c>
      <c r="R20" s="578" t="s">
        <v>564</v>
      </c>
      <c r="S20" s="577" t="e">
        <f t="shared" si="3"/>
        <v>#VALUE!</v>
      </c>
      <c r="T20" s="700"/>
      <c r="U20" s="576" t="s">
        <v>564</v>
      </c>
      <c r="V20" s="578" t="s">
        <v>564</v>
      </c>
      <c r="W20" s="578" t="s">
        <v>564</v>
      </c>
      <c r="X20" s="577" t="e">
        <f t="shared" si="5"/>
        <v>#VALUE!</v>
      </c>
      <c r="Y20" s="700"/>
      <c r="Z20" s="576" t="s">
        <v>564</v>
      </c>
      <c r="AA20" s="578" t="s">
        <v>564</v>
      </c>
      <c r="AB20" s="578" t="s">
        <v>564</v>
      </c>
      <c r="AC20" s="577" t="e">
        <f t="shared" si="7"/>
        <v>#VALUE!</v>
      </c>
      <c r="AD20" s="700"/>
      <c r="AE20" s="576" t="s">
        <v>564</v>
      </c>
      <c r="AF20" s="578" t="s">
        <v>564</v>
      </c>
      <c r="AG20" s="578" t="s">
        <v>564</v>
      </c>
      <c r="AH20" s="577" t="e">
        <f t="shared" si="9"/>
        <v>#VALUE!</v>
      </c>
      <c r="AI20" s="700"/>
      <c r="AJ20" s="576" t="s">
        <v>564</v>
      </c>
      <c r="AK20" s="578" t="s">
        <v>564</v>
      </c>
      <c r="AL20" s="578" t="s">
        <v>564</v>
      </c>
      <c r="AM20" s="577" t="e">
        <f t="shared" si="11"/>
        <v>#VALUE!</v>
      </c>
      <c r="AN20" s="700"/>
      <c r="AO20" s="576" t="s">
        <v>564</v>
      </c>
      <c r="AP20" s="578" t="s">
        <v>564</v>
      </c>
      <c r="AQ20" s="578" t="s">
        <v>564</v>
      </c>
      <c r="AR20" s="577" t="e">
        <f t="shared" si="13"/>
        <v>#VALUE!</v>
      </c>
      <c r="AS20" s="700"/>
      <c r="AT20" s="576" t="s">
        <v>564</v>
      </c>
      <c r="AU20" s="578" t="s">
        <v>564</v>
      </c>
      <c r="AV20" s="578" t="s">
        <v>564</v>
      </c>
      <c r="AW20" s="577" t="e">
        <f t="shared" si="15"/>
        <v>#VALUE!</v>
      </c>
      <c r="AX20" s="700"/>
      <c r="AZ20" s="369" t="e">
        <f t="shared" si="17"/>
        <v>#N/A</v>
      </c>
      <c r="BA20" s="700"/>
    </row>
    <row r="21" spans="2:53">
      <c r="B21" s="678"/>
      <c r="C21" s="528">
        <v>15</v>
      </c>
      <c r="D21" s="351"/>
      <c r="E21" s="510"/>
      <c r="F21" s="510"/>
      <c r="G21" s="510"/>
      <c r="H21" s="714"/>
      <c r="I21" s="510"/>
      <c r="J21" s="510"/>
      <c r="K21" s="531"/>
      <c r="L21" s="660"/>
      <c r="M21" s="510" t="e">
        <f>RANK(K21, K$7:$K$21)</f>
        <v>#N/A</v>
      </c>
      <c r="N21" s="643"/>
      <c r="O21" s="643"/>
      <c r="P21" s="576" t="s">
        <v>564</v>
      </c>
      <c r="Q21" s="578" t="s">
        <v>564</v>
      </c>
      <c r="R21" s="578" t="s">
        <v>564</v>
      </c>
      <c r="S21" s="577" t="e">
        <f t="shared" si="3"/>
        <v>#VALUE!</v>
      </c>
      <c r="T21" s="700"/>
      <c r="U21" s="576" t="s">
        <v>564</v>
      </c>
      <c r="V21" s="578" t="s">
        <v>564</v>
      </c>
      <c r="W21" s="578" t="s">
        <v>564</v>
      </c>
      <c r="X21" s="577" t="e">
        <f t="shared" si="5"/>
        <v>#VALUE!</v>
      </c>
      <c r="Y21" s="700"/>
      <c r="Z21" s="576" t="s">
        <v>564</v>
      </c>
      <c r="AA21" s="578" t="s">
        <v>564</v>
      </c>
      <c r="AB21" s="578" t="s">
        <v>564</v>
      </c>
      <c r="AC21" s="577" t="e">
        <f t="shared" si="7"/>
        <v>#VALUE!</v>
      </c>
      <c r="AD21" s="700"/>
      <c r="AE21" s="576" t="s">
        <v>564</v>
      </c>
      <c r="AF21" s="578" t="s">
        <v>564</v>
      </c>
      <c r="AG21" s="578" t="s">
        <v>564</v>
      </c>
      <c r="AH21" s="577" t="e">
        <f t="shared" si="9"/>
        <v>#VALUE!</v>
      </c>
      <c r="AI21" s="700"/>
      <c r="AJ21" s="576" t="s">
        <v>564</v>
      </c>
      <c r="AK21" s="578" t="s">
        <v>564</v>
      </c>
      <c r="AL21" s="578" t="s">
        <v>564</v>
      </c>
      <c r="AM21" s="577" t="e">
        <f t="shared" si="11"/>
        <v>#VALUE!</v>
      </c>
      <c r="AN21" s="700"/>
      <c r="AO21" s="576" t="s">
        <v>564</v>
      </c>
      <c r="AP21" s="578" t="s">
        <v>564</v>
      </c>
      <c r="AQ21" s="578" t="s">
        <v>564</v>
      </c>
      <c r="AR21" s="577" t="e">
        <f t="shared" si="13"/>
        <v>#VALUE!</v>
      </c>
      <c r="AS21" s="700"/>
      <c r="AT21" s="576" t="s">
        <v>564</v>
      </c>
      <c r="AU21" s="578" t="s">
        <v>564</v>
      </c>
      <c r="AV21" s="578" t="s">
        <v>564</v>
      </c>
      <c r="AW21" s="577" t="e">
        <f t="shared" si="15"/>
        <v>#VALUE!</v>
      </c>
      <c r="AX21" s="700"/>
      <c r="AZ21" s="369" t="e">
        <f t="shared" si="17"/>
        <v>#N/A</v>
      </c>
      <c r="BA21" s="700"/>
    </row>
    <row r="22" spans="2:53" ht="15.75">
      <c r="B22" s="682" t="s">
        <v>162</v>
      </c>
      <c r="C22" s="683"/>
      <c r="D22" s="683"/>
      <c r="E22" s="683"/>
      <c r="F22" s="683"/>
      <c r="G22" s="683"/>
      <c r="H22" s="683"/>
      <c r="I22" s="202"/>
      <c r="J22" s="202"/>
      <c r="K22" s="202"/>
      <c r="L22" s="202"/>
      <c r="M22" s="203"/>
      <c r="N22" s="645" t="s">
        <v>156</v>
      </c>
      <c r="O22" s="645" t="s">
        <v>105</v>
      </c>
      <c r="P22" s="670">
        <f>P2+7</f>
        <v>46273</v>
      </c>
      <c r="Q22" s="649"/>
      <c r="R22" s="649"/>
      <c r="S22" s="649"/>
      <c r="T22" s="649"/>
      <c r="U22" s="667">
        <f>P22+1</f>
        <v>46274</v>
      </c>
      <c r="V22" s="668"/>
      <c r="W22" s="668"/>
      <c r="X22" s="668"/>
      <c r="Y22" s="669"/>
      <c r="Z22" s="667">
        <f>U22+1</f>
        <v>46275</v>
      </c>
      <c r="AA22" s="668"/>
      <c r="AB22" s="668"/>
      <c r="AC22" s="668"/>
      <c r="AD22" s="669"/>
      <c r="AE22" s="667">
        <f>Z22+1</f>
        <v>46276</v>
      </c>
      <c r="AF22" s="668"/>
      <c r="AG22" s="668"/>
      <c r="AH22" s="668"/>
      <c r="AI22" s="669"/>
      <c r="AJ22" s="667">
        <f>AE22+1</f>
        <v>46277</v>
      </c>
      <c r="AK22" s="668"/>
      <c r="AL22" s="668"/>
      <c r="AM22" s="668"/>
      <c r="AN22" s="669"/>
      <c r="AO22" s="667">
        <f>AJ22+1</f>
        <v>46278</v>
      </c>
      <c r="AP22" s="668"/>
      <c r="AQ22" s="668"/>
      <c r="AR22" s="668"/>
      <c r="AS22" s="669"/>
      <c r="AT22" s="667">
        <f>AO22+1</f>
        <v>46279</v>
      </c>
      <c r="AU22" s="668"/>
      <c r="AV22" s="668"/>
      <c r="AW22" s="668"/>
      <c r="AX22" s="669"/>
    </row>
    <row r="23" spans="2:53" ht="15.75">
      <c r="B23" s="674"/>
      <c r="C23" s="674"/>
      <c r="D23" s="674"/>
      <c r="E23" s="674"/>
      <c r="F23" s="674"/>
      <c r="G23" s="674"/>
      <c r="H23" s="674"/>
      <c r="I23" s="204"/>
      <c r="J23" s="204"/>
      <c r="K23" s="204"/>
      <c r="L23" s="204"/>
      <c r="M23" s="205"/>
      <c r="N23" s="647"/>
      <c r="O23" s="647"/>
      <c r="P23" s="670" t="s">
        <v>317</v>
      </c>
      <c r="Q23" s="649"/>
      <c r="R23" s="649"/>
      <c r="S23" s="649"/>
      <c r="T23" s="649"/>
      <c r="U23" s="670" t="s">
        <v>318</v>
      </c>
      <c r="V23" s="649"/>
      <c r="W23" s="649"/>
      <c r="X23" s="649"/>
      <c r="Y23" s="649"/>
      <c r="Z23" s="670" t="s">
        <v>319</v>
      </c>
      <c r="AA23" s="649"/>
      <c r="AB23" s="649"/>
      <c r="AC23" s="649"/>
      <c r="AD23" s="649"/>
      <c r="AE23" s="670" t="s">
        <v>320</v>
      </c>
      <c r="AF23" s="649"/>
      <c r="AG23" s="649"/>
      <c r="AH23" s="649"/>
      <c r="AI23" s="649"/>
      <c r="AJ23" s="670" t="s">
        <v>321</v>
      </c>
      <c r="AK23" s="649"/>
      <c r="AL23" s="649"/>
      <c r="AM23" s="649"/>
      <c r="AN23" s="649"/>
      <c r="AO23" s="670" t="s">
        <v>322</v>
      </c>
      <c r="AP23" s="649"/>
      <c r="AQ23" s="649"/>
      <c r="AR23" s="649"/>
      <c r="AS23" s="649"/>
      <c r="AT23" s="670" t="s">
        <v>323</v>
      </c>
      <c r="AU23" s="649"/>
      <c r="AV23" s="649"/>
      <c r="AW23" s="649"/>
      <c r="AX23" s="649"/>
    </row>
    <row r="24" spans="2:53">
      <c r="B24" s="643" t="s">
        <v>362</v>
      </c>
      <c r="C24" s="643" t="s">
        <v>372</v>
      </c>
      <c r="D24" s="643"/>
      <c r="E24" s="643" t="s">
        <v>363</v>
      </c>
      <c r="F24" s="643"/>
      <c r="G24" s="643"/>
      <c r="H24" s="675" t="s">
        <v>359</v>
      </c>
      <c r="I24" s="643" t="s">
        <v>364</v>
      </c>
      <c r="J24" s="643"/>
      <c r="K24" s="643"/>
      <c r="L24" s="675" t="s">
        <v>359</v>
      </c>
      <c r="M24" s="645" t="s">
        <v>360</v>
      </c>
      <c r="N24" s="643"/>
      <c r="O24" s="643" t="s">
        <v>365</v>
      </c>
      <c r="P24" s="661" t="s">
        <v>361</v>
      </c>
      <c r="Q24" s="662"/>
      <c r="R24" s="662"/>
      <c r="S24" s="663"/>
      <c r="T24" s="643" t="s">
        <v>359</v>
      </c>
      <c r="U24" s="661" t="s">
        <v>361</v>
      </c>
      <c r="V24" s="662"/>
      <c r="W24" s="662"/>
      <c r="X24" s="663"/>
      <c r="Y24" s="643" t="s">
        <v>359</v>
      </c>
      <c r="Z24" s="661" t="s">
        <v>361</v>
      </c>
      <c r="AA24" s="662"/>
      <c r="AB24" s="662"/>
      <c r="AC24" s="663"/>
      <c r="AD24" s="643" t="s">
        <v>359</v>
      </c>
      <c r="AE24" s="661" t="s">
        <v>361</v>
      </c>
      <c r="AF24" s="662"/>
      <c r="AG24" s="662"/>
      <c r="AH24" s="663"/>
      <c r="AI24" s="643" t="s">
        <v>359</v>
      </c>
      <c r="AJ24" s="661" t="s">
        <v>361</v>
      </c>
      <c r="AK24" s="662"/>
      <c r="AL24" s="662"/>
      <c r="AM24" s="663"/>
      <c r="AN24" s="643" t="s">
        <v>359</v>
      </c>
      <c r="AO24" s="661" t="s">
        <v>361</v>
      </c>
      <c r="AP24" s="662"/>
      <c r="AQ24" s="662"/>
      <c r="AR24" s="663"/>
      <c r="AS24" s="643" t="s">
        <v>359</v>
      </c>
      <c r="AT24" s="661" t="s">
        <v>361</v>
      </c>
      <c r="AU24" s="662"/>
      <c r="AV24" s="662"/>
      <c r="AW24" s="663"/>
      <c r="AX24" s="643" t="s">
        <v>359</v>
      </c>
      <c r="BA24" s="643" t="s">
        <v>538</v>
      </c>
    </row>
    <row r="25" spans="2:53">
      <c r="B25" s="643"/>
      <c r="C25" s="643"/>
      <c r="D25" s="643"/>
      <c r="E25" s="643" t="s">
        <v>366</v>
      </c>
      <c r="F25" s="643"/>
      <c r="G25" s="643"/>
      <c r="H25" s="676"/>
      <c r="I25" s="643" t="s">
        <v>366</v>
      </c>
      <c r="J25" s="643"/>
      <c r="K25" s="643"/>
      <c r="L25" s="676"/>
      <c r="M25" s="646"/>
      <c r="N25" s="643"/>
      <c r="O25" s="643"/>
      <c r="P25" s="661" t="s">
        <v>367</v>
      </c>
      <c r="Q25" s="662"/>
      <c r="R25" s="662"/>
      <c r="S25" s="663"/>
      <c r="T25" s="643"/>
      <c r="U25" s="661" t="s">
        <v>367</v>
      </c>
      <c r="V25" s="662"/>
      <c r="W25" s="662"/>
      <c r="X25" s="663"/>
      <c r="Y25" s="643"/>
      <c r="Z25" s="661" t="s">
        <v>367</v>
      </c>
      <c r="AA25" s="662"/>
      <c r="AB25" s="662"/>
      <c r="AC25" s="663"/>
      <c r="AD25" s="643"/>
      <c r="AE25" s="661" t="s">
        <v>367</v>
      </c>
      <c r="AF25" s="662"/>
      <c r="AG25" s="662"/>
      <c r="AH25" s="663"/>
      <c r="AI25" s="643"/>
      <c r="AJ25" s="661" t="s">
        <v>367</v>
      </c>
      <c r="AK25" s="662"/>
      <c r="AL25" s="662"/>
      <c r="AM25" s="663"/>
      <c r="AN25" s="643"/>
      <c r="AO25" s="661" t="s">
        <v>367</v>
      </c>
      <c r="AP25" s="662"/>
      <c r="AQ25" s="662"/>
      <c r="AR25" s="663"/>
      <c r="AS25" s="643"/>
      <c r="AT25" s="661" t="s">
        <v>367</v>
      </c>
      <c r="AU25" s="662"/>
      <c r="AV25" s="662"/>
      <c r="AW25" s="663"/>
      <c r="AX25" s="643"/>
      <c r="BA25" s="643"/>
    </row>
    <row r="26" spans="2:53">
      <c r="B26" s="643"/>
      <c r="C26" s="643"/>
      <c r="D26" s="643"/>
      <c r="E26" s="378" t="s">
        <v>368</v>
      </c>
      <c r="F26" s="378" t="s">
        <v>369</v>
      </c>
      <c r="G26" s="378" t="s">
        <v>370</v>
      </c>
      <c r="H26" s="677"/>
      <c r="I26" s="378" t="s">
        <v>368</v>
      </c>
      <c r="J26" s="378" t="s">
        <v>369</v>
      </c>
      <c r="K26" s="378" t="s">
        <v>370</v>
      </c>
      <c r="L26" s="677"/>
      <c r="M26" s="647"/>
      <c r="N26" s="643"/>
      <c r="O26" s="643"/>
      <c r="P26" s="378" t="s">
        <v>368</v>
      </c>
      <c r="Q26" s="378" t="s">
        <v>369</v>
      </c>
      <c r="R26" s="378" t="s">
        <v>370</v>
      </c>
      <c r="S26" s="378" t="s">
        <v>360</v>
      </c>
      <c r="T26" s="643"/>
      <c r="U26" s="378" t="s">
        <v>368</v>
      </c>
      <c r="V26" s="378" t="s">
        <v>369</v>
      </c>
      <c r="W26" s="378" t="s">
        <v>370</v>
      </c>
      <c r="X26" s="378" t="s">
        <v>360</v>
      </c>
      <c r="Y26" s="643"/>
      <c r="Z26" s="378" t="s">
        <v>368</v>
      </c>
      <c r="AA26" s="378" t="s">
        <v>369</v>
      </c>
      <c r="AB26" s="378" t="s">
        <v>370</v>
      </c>
      <c r="AC26" s="378" t="s">
        <v>360</v>
      </c>
      <c r="AD26" s="643"/>
      <c r="AE26" s="378" t="s">
        <v>368</v>
      </c>
      <c r="AF26" s="378" t="s">
        <v>369</v>
      </c>
      <c r="AG26" s="378" t="s">
        <v>370</v>
      </c>
      <c r="AH26" s="378" t="s">
        <v>360</v>
      </c>
      <c r="AI26" s="643"/>
      <c r="AJ26" s="378" t="s">
        <v>368</v>
      </c>
      <c r="AK26" s="378" t="s">
        <v>369</v>
      </c>
      <c r="AL26" s="378" t="s">
        <v>370</v>
      </c>
      <c r="AM26" s="378" t="s">
        <v>360</v>
      </c>
      <c r="AN26" s="643"/>
      <c r="AO26" s="378" t="s">
        <v>368</v>
      </c>
      <c r="AP26" s="378" t="s">
        <v>369</v>
      </c>
      <c r="AQ26" s="378" t="s">
        <v>370</v>
      </c>
      <c r="AR26" s="378" t="s">
        <v>360</v>
      </c>
      <c r="AS26" s="643"/>
      <c r="AT26" s="378" t="s">
        <v>368</v>
      </c>
      <c r="AU26" s="378" t="s">
        <v>369</v>
      </c>
      <c r="AV26" s="378" t="s">
        <v>370</v>
      </c>
      <c r="AW26" s="378" t="s">
        <v>360</v>
      </c>
      <c r="AX26" s="643"/>
      <c r="AZ26" s="367" t="s">
        <v>360</v>
      </c>
      <c r="BA26" s="643"/>
    </row>
    <row r="27" spans="2:53">
      <c r="B27" s="701" t="s">
        <v>371</v>
      </c>
      <c r="C27" s="380">
        <v>1</v>
      </c>
      <c r="D27" s="351"/>
      <c r="E27" s="510"/>
      <c r="F27" s="510"/>
      <c r="G27" s="510"/>
      <c r="H27" s="656" t="e">
        <f>AVERAGE(G27:G41)</f>
        <v>#DIV/0!</v>
      </c>
      <c r="I27" s="381" t="str">
        <f t="shared" ref="I27:I40" si="19">IFERROR(AVERAGE(P27,U27,Z27,AE27,AJ27,AO27,AT27),"-")</f>
        <v>-</v>
      </c>
      <c r="J27" s="381" t="str">
        <f t="shared" ref="J27:J40" si="20">IFERROR(AVERAGE(Q27,V27,AA27,AF27,AK27,AP27,AU27),"-")</f>
        <v>-</v>
      </c>
      <c r="K27" s="199" t="str">
        <f t="shared" ref="K27:K40" si="21">IFERROR(AVERAGE(R27,W27,AB27,AG27,AL27,AQ27,AV27),"-")</f>
        <v>-</v>
      </c>
      <c r="L27" s="658" t="str">
        <f>IFERROR(AVERAGE(K27:K41),"-")</f>
        <v>-</v>
      </c>
      <c r="M27" s="384" t="e">
        <f>RANK(K27, K$27:$K$41)</f>
        <v>#VALUE!</v>
      </c>
      <c r="N27" s="643"/>
      <c r="O27" s="643"/>
      <c r="P27" s="547"/>
      <c r="Q27" s="548"/>
      <c r="R27" s="548"/>
      <c r="S27" s="547"/>
      <c r="T27" s="638"/>
      <c r="U27" s="547"/>
      <c r="V27" s="548"/>
      <c r="W27" s="548"/>
      <c r="X27" s="547"/>
      <c r="Y27" s="638"/>
      <c r="Z27" s="547"/>
      <c r="AA27" s="548"/>
      <c r="AB27" s="548"/>
      <c r="AC27" s="547"/>
      <c r="AD27" s="638"/>
      <c r="AE27" s="547"/>
      <c r="AF27" s="548"/>
      <c r="AG27" s="548"/>
      <c r="AH27" s="547"/>
      <c r="AI27" s="638"/>
      <c r="AJ27" s="547"/>
      <c r="AK27" s="548"/>
      <c r="AL27" s="548"/>
      <c r="AM27" s="547"/>
      <c r="AN27" s="638"/>
      <c r="AO27" s="547"/>
      <c r="AP27" s="548"/>
      <c r="AQ27" s="548"/>
      <c r="AR27" s="547"/>
      <c r="AS27" s="638"/>
      <c r="AT27" s="547"/>
      <c r="AU27" s="548"/>
      <c r="AV27" s="548"/>
      <c r="AW27" s="547"/>
      <c r="AX27" s="638"/>
      <c r="AZ27" s="368" t="e">
        <f t="shared" ref="AZ27:AZ41" si="22">RANK(AY27, AY$27:AY$41)</f>
        <v>#N/A</v>
      </c>
      <c r="BA27" s="638" t="e">
        <f t="shared" ref="BA27" si="23">AVERAGE(AY27:AY41)</f>
        <v>#DIV/0!</v>
      </c>
    </row>
    <row r="28" spans="2:53">
      <c r="B28" s="649"/>
      <c r="C28" s="380">
        <v>2</v>
      </c>
      <c r="D28" s="351"/>
      <c r="E28" s="510"/>
      <c r="F28" s="510"/>
      <c r="G28" s="510"/>
      <c r="H28" s="657"/>
      <c r="I28" s="381" t="str">
        <f t="shared" si="19"/>
        <v>-</v>
      </c>
      <c r="J28" s="381" t="str">
        <f t="shared" si="20"/>
        <v>-</v>
      </c>
      <c r="K28" s="199" t="str">
        <f t="shared" si="21"/>
        <v>-</v>
      </c>
      <c r="L28" s="659"/>
      <c r="M28" s="387" t="e">
        <f>RANK(K28, K$27:$K$41)</f>
        <v>#VALUE!</v>
      </c>
      <c r="N28" s="643"/>
      <c r="O28" s="643"/>
      <c r="P28" s="547"/>
      <c r="Q28" s="548"/>
      <c r="R28" s="548"/>
      <c r="S28" s="547"/>
      <c r="T28" s="639"/>
      <c r="U28" s="547"/>
      <c r="V28" s="548"/>
      <c r="W28" s="548"/>
      <c r="X28" s="547"/>
      <c r="Y28" s="639"/>
      <c r="Z28" s="547"/>
      <c r="AA28" s="548"/>
      <c r="AB28" s="548"/>
      <c r="AC28" s="547"/>
      <c r="AD28" s="639"/>
      <c r="AE28" s="547"/>
      <c r="AF28" s="548"/>
      <c r="AG28" s="548"/>
      <c r="AH28" s="547"/>
      <c r="AI28" s="639"/>
      <c r="AJ28" s="547"/>
      <c r="AK28" s="548"/>
      <c r="AL28" s="548"/>
      <c r="AM28" s="547"/>
      <c r="AN28" s="639"/>
      <c r="AO28" s="547"/>
      <c r="AP28" s="548"/>
      <c r="AQ28" s="548"/>
      <c r="AR28" s="547"/>
      <c r="AS28" s="639"/>
      <c r="AT28" s="547"/>
      <c r="AU28" s="548"/>
      <c r="AV28" s="548"/>
      <c r="AW28" s="547"/>
      <c r="AX28" s="639"/>
      <c r="AZ28" s="368" t="e">
        <f t="shared" si="22"/>
        <v>#N/A</v>
      </c>
      <c r="BA28" s="639"/>
    </row>
    <row r="29" spans="2:53">
      <c r="B29" s="649"/>
      <c r="C29" s="380">
        <v>3</v>
      </c>
      <c r="D29" s="351"/>
      <c r="E29" s="510"/>
      <c r="F29" s="510"/>
      <c r="G29" s="510"/>
      <c r="H29" s="657"/>
      <c r="I29" s="381" t="str">
        <f t="shared" si="19"/>
        <v>-</v>
      </c>
      <c r="J29" s="381" t="str">
        <f t="shared" si="20"/>
        <v>-</v>
      </c>
      <c r="K29" s="199" t="str">
        <f t="shared" si="21"/>
        <v>-</v>
      </c>
      <c r="L29" s="659"/>
      <c r="M29" s="387" t="e">
        <f>RANK(K29, K$27:$K$41)</f>
        <v>#VALUE!</v>
      </c>
      <c r="N29" s="643"/>
      <c r="O29" s="643"/>
      <c r="P29" s="547"/>
      <c r="Q29" s="548"/>
      <c r="R29" s="548"/>
      <c r="S29" s="547"/>
      <c r="T29" s="639"/>
      <c r="U29" s="547"/>
      <c r="V29" s="548"/>
      <c r="W29" s="548"/>
      <c r="X29" s="547"/>
      <c r="Y29" s="639"/>
      <c r="Z29" s="547"/>
      <c r="AA29" s="548"/>
      <c r="AB29" s="548"/>
      <c r="AC29" s="547"/>
      <c r="AD29" s="639"/>
      <c r="AE29" s="547"/>
      <c r="AF29" s="548"/>
      <c r="AG29" s="548"/>
      <c r="AH29" s="547"/>
      <c r="AI29" s="639"/>
      <c r="AJ29" s="547"/>
      <c r="AK29" s="548"/>
      <c r="AL29" s="548"/>
      <c r="AM29" s="547"/>
      <c r="AN29" s="639"/>
      <c r="AO29" s="547"/>
      <c r="AP29" s="548"/>
      <c r="AQ29" s="548"/>
      <c r="AR29" s="547"/>
      <c r="AS29" s="639"/>
      <c r="AT29" s="547"/>
      <c r="AU29" s="548"/>
      <c r="AV29" s="548"/>
      <c r="AW29" s="547"/>
      <c r="AX29" s="639"/>
      <c r="AZ29" s="368" t="e">
        <f t="shared" si="22"/>
        <v>#N/A</v>
      </c>
      <c r="BA29" s="639"/>
    </row>
    <row r="30" spans="2:53">
      <c r="B30" s="649"/>
      <c r="C30" s="380">
        <v>4</v>
      </c>
      <c r="D30" s="351"/>
      <c r="E30" s="510"/>
      <c r="F30" s="510"/>
      <c r="G30" s="510"/>
      <c r="H30" s="657"/>
      <c r="I30" s="381" t="str">
        <f t="shared" si="19"/>
        <v>-</v>
      </c>
      <c r="J30" s="381" t="str">
        <f t="shared" si="20"/>
        <v>-</v>
      </c>
      <c r="K30" s="199" t="str">
        <f t="shared" si="21"/>
        <v>-</v>
      </c>
      <c r="L30" s="659"/>
      <c r="M30" s="387" t="e">
        <f>RANK(K30, K$27:$K$41)</f>
        <v>#VALUE!</v>
      </c>
      <c r="N30" s="643"/>
      <c r="O30" s="643"/>
      <c r="P30" s="547"/>
      <c r="Q30" s="548"/>
      <c r="R30" s="548"/>
      <c r="S30" s="547"/>
      <c r="T30" s="639"/>
      <c r="U30" s="547"/>
      <c r="V30" s="548"/>
      <c r="W30" s="548"/>
      <c r="X30" s="547"/>
      <c r="Y30" s="639"/>
      <c r="Z30" s="547"/>
      <c r="AA30" s="548"/>
      <c r="AB30" s="548"/>
      <c r="AC30" s="547"/>
      <c r="AD30" s="639"/>
      <c r="AE30" s="547"/>
      <c r="AF30" s="548"/>
      <c r="AG30" s="548"/>
      <c r="AH30" s="547"/>
      <c r="AI30" s="639"/>
      <c r="AJ30" s="547"/>
      <c r="AK30" s="548"/>
      <c r="AL30" s="548"/>
      <c r="AM30" s="547"/>
      <c r="AN30" s="639"/>
      <c r="AO30" s="547"/>
      <c r="AP30" s="548"/>
      <c r="AQ30" s="548"/>
      <c r="AR30" s="547"/>
      <c r="AS30" s="639"/>
      <c r="AT30" s="547"/>
      <c r="AU30" s="548"/>
      <c r="AV30" s="548"/>
      <c r="AW30" s="547"/>
      <c r="AX30" s="639"/>
      <c r="AZ30" s="368" t="e">
        <f t="shared" si="22"/>
        <v>#N/A</v>
      </c>
      <c r="BA30" s="639"/>
    </row>
    <row r="31" spans="2:53">
      <c r="B31" s="649"/>
      <c r="C31" s="380">
        <v>5</v>
      </c>
      <c r="D31" s="351"/>
      <c r="E31" s="510"/>
      <c r="F31" s="510"/>
      <c r="G31" s="510"/>
      <c r="H31" s="657"/>
      <c r="I31" s="381" t="str">
        <f t="shared" si="19"/>
        <v>-</v>
      </c>
      <c r="J31" s="381" t="str">
        <f t="shared" si="20"/>
        <v>-</v>
      </c>
      <c r="K31" s="199" t="str">
        <f t="shared" si="21"/>
        <v>-</v>
      </c>
      <c r="L31" s="659"/>
      <c r="M31" s="387" t="e">
        <f>RANK(K31, K$27:$K$41)</f>
        <v>#VALUE!</v>
      </c>
      <c r="N31" s="643"/>
      <c r="O31" s="643"/>
      <c r="P31" s="547"/>
      <c r="Q31" s="548"/>
      <c r="R31" s="548"/>
      <c r="S31" s="547"/>
      <c r="T31" s="639"/>
      <c r="U31" s="547"/>
      <c r="V31" s="548"/>
      <c r="W31" s="548"/>
      <c r="X31" s="547"/>
      <c r="Y31" s="639"/>
      <c r="Z31" s="547"/>
      <c r="AA31" s="548"/>
      <c r="AB31" s="548"/>
      <c r="AC31" s="547"/>
      <c r="AD31" s="639"/>
      <c r="AE31" s="547"/>
      <c r="AF31" s="548"/>
      <c r="AG31" s="548"/>
      <c r="AH31" s="547"/>
      <c r="AI31" s="639"/>
      <c r="AJ31" s="547"/>
      <c r="AK31" s="548"/>
      <c r="AL31" s="548"/>
      <c r="AM31" s="547"/>
      <c r="AN31" s="639"/>
      <c r="AO31" s="547"/>
      <c r="AP31" s="548"/>
      <c r="AQ31" s="548"/>
      <c r="AR31" s="547"/>
      <c r="AS31" s="639"/>
      <c r="AT31" s="547"/>
      <c r="AU31" s="548"/>
      <c r="AV31" s="548"/>
      <c r="AW31" s="547"/>
      <c r="AX31" s="639"/>
      <c r="AZ31" s="368" t="e">
        <f t="shared" si="22"/>
        <v>#N/A</v>
      </c>
      <c r="BA31" s="639"/>
    </row>
    <row r="32" spans="2:53">
      <c r="B32" s="649"/>
      <c r="C32" s="380">
        <v>6</v>
      </c>
      <c r="D32" s="351"/>
      <c r="E32" s="510"/>
      <c r="F32" s="510"/>
      <c r="G32" s="510"/>
      <c r="H32" s="657"/>
      <c r="I32" s="381" t="str">
        <f t="shared" si="19"/>
        <v>-</v>
      </c>
      <c r="J32" s="381" t="str">
        <f t="shared" si="20"/>
        <v>-</v>
      </c>
      <c r="K32" s="199" t="str">
        <f t="shared" si="21"/>
        <v>-</v>
      </c>
      <c r="L32" s="659"/>
      <c r="M32" s="387" t="e">
        <f>RANK(K32, K$27:$K$41)</f>
        <v>#VALUE!</v>
      </c>
      <c r="N32" s="643"/>
      <c r="O32" s="643"/>
      <c r="P32" s="547"/>
      <c r="Q32" s="548"/>
      <c r="R32" s="548"/>
      <c r="S32" s="547"/>
      <c r="T32" s="639"/>
      <c r="U32" s="547"/>
      <c r="V32" s="548"/>
      <c r="W32" s="548"/>
      <c r="X32" s="547"/>
      <c r="Y32" s="639"/>
      <c r="Z32" s="547"/>
      <c r="AA32" s="548"/>
      <c r="AB32" s="548"/>
      <c r="AC32" s="547"/>
      <c r="AD32" s="639"/>
      <c r="AE32" s="547"/>
      <c r="AF32" s="548"/>
      <c r="AG32" s="548"/>
      <c r="AH32" s="547"/>
      <c r="AI32" s="639"/>
      <c r="AJ32" s="547"/>
      <c r="AK32" s="548"/>
      <c r="AL32" s="548"/>
      <c r="AM32" s="547"/>
      <c r="AN32" s="639"/>
      <c r="AO32" s="547"/>
      <c r="AP32" s="548"/>
      <c r="AQ32" s="548"/>
      <c r="AR32" s="547"/>
      <c r="AS32" s="639"/>
      <c r="AT32" s="547"/>
      <c r="AU32" s="548"/>
      <c r="AV32" s="548"/>
      <c r="AW32" s="547"/>
      <c r="AX32" s="639"/>
      <c r="AZ32" s="368" t="e">
        <f t="shared" si="22"/>
        <v>#N/A</v>
      </c>
      <c r="BA32" s="639"/>
    </row>
    <row r="33" spans="2:53">
      <c r="B33" s="649"/>
      <c r="C33" s="380">
        <v>7</v>
      </c>
      <c r="D33" s="351"/>
      <c r="E33" s="510"/>
      <c r="F33" s="510"/>
      <c r="G33" s="510"/>
      <c r="H33" s="657"/>
      <c r="I33" s="381" t="str">
        <f t="shared" si="19"/>
        <v>-</v>
      </c>
      <c r="J33" s="381" t="str">
        <f t="shared" si="20"/>
        <v>-</v>
      </c>
      <c r="K33" s="199" t="str">
        <f t="shared" si="21"/>
        <v>-</v>
      </c>
      <c r="L33" s="659"/>
      <c r="M33" s="387" t="e">
        <f>RANK(K33, K$27:$K$41)</f>
        <v>#VALUE!</v>
      </c>
      <c r="N33" s="643"/>
      <c r="O33" s="643"/>
      <c r="P33" s="547"/>
      <c r="Q33" s="548"/>
      <c r="R33" s="548"/>
      <c r="S33" s="547"/>
      <c r="T33" s="639"/>
      <c r="U33" s="547"/>
      <c r="V33" s="548"/>
      <c r="W33" s="548"/>
      <c r="X33" s="547"/>
      <c r="Y33" s="639"/>
      <c r="Z33" s="547"/>
      <c r="AA33" s="548"/>
      <c r="AB33" s="548"/>
      <c r="AC33" s="547"/>
      <c r="AD33" s="639"/>
      <c r="AE33" s="547"/>
      <c r="AF33" s="548"/>
      <c r="AG33" s="548"/>
      <c r="AH33" s="547"/>
      <c r="AI33" s="639"/>
      <c r="AJ33" s="547"/>
      <c r="AK33" s="548"/>
      <c r="AL33" s="548"/>
      <c r="AM33" s="547"/>
      <c r="AN33" s="639"/>
      <c r="AO33" s="547"/>
      <c r="AP33" s="548"/>
      <c r="AQ33" s="548"/>
      <c r="AR33" s="547"/>
      <c r="AS33" s="639"/>
      <c r="AT33" s="547"/>
      <c r="AU33" s="548"/>
      <c r="AV33" s="548"/>
      <c r="AW33" s="547"/>
      <c r="AX33" s="639"/>
      <c r="AZ33" s="368" t="e">
        <f t="shared" si="22"/>
        <v>#N/A</v>
      </c>
      <c r="BA33" s="639"/>
    </row>
    <row r="34" spans="2:53">
      <c r="B34" s="649"/>
      <c r="C34" s="380">
        <v>8</v>
      </c>
      <c r="D34" s="351"/>
      <c r="E34" s="510"/>
      <c r="F34" s="510"/>
      <c r="G34" s="510"/>
      <c r="H34" s="657"/>
      <c r="I34" s="381" t="str">
        <f t="shared" si="19"/>
        <v>-</v>
      </c>
      <c r="J34" s="381" t="str">
        <f t="shared" si="20"/>
        <v>-</v>
      </c>
      <c r="K34" s="199" t="str">
        <f t="shared" si="21"/>
        <v>-</v>
      </c>
      <c r="L34" s="659"/>
      <c r="M34" s="387" t="e">
        <f>RANK(K34, K$27:$K$41)</f>
        <v>#VALUE!</v>
      </c>
      <c r="N34" s="643"/>
      <c r="O34" s="643"/>
      <c r="P34" s="547"/>
      <c r="Q34" s="548"/>
      <c r="R34" s="548"/>
      <c r="S34" s="547"/>
      <c r="T34" s="639"/>
      <c r="U34" s="547"/>
      <c r="V34" s="548"/>
      <c r="W34" s="548"/>
      <c r="X34" s="547"/>
      <c r="Y34" s="639"/>
      <c r="Z34" s="547"/>
      <c r="AA34" s="548"/>
      <c r="AB34" s="548"/>
      <c r="AC34" s="547"/>
      <c r="AD34" s="639"/>
      <c r="AE34" s="547"/>
      <c r="AF34" s="548"/>
      <c r="AG34" s="548"/>
      <c r="AH34" s="547"/>
      <c r="AI34" s="639"/>
      <c r="AJ34" s="547"/>
      <c r="AK34" s="548"/>
      <c r="AL34" s="548"/>
      <c r="AM34" s="547"/>
      <c r="AN34" s="639"/>
      <c r="AO34" s="547"/>
      <c r="AP34" s="548"/>
      <c r="AQ34" s="548"/>
      <c r="AR34" s="547"/>
      <c r="AS34" s="639"/>
      <c r="AT34" s="547"/>
      <c r="AU34" s="548"/>
      <c r="AV34" s="548"/>
      <c r="AW34" s="547"/>
      <c r="AX34" s="639"/>
      <c r="AZ34" s="368" t="e">
        <f t="shared" si="22"/>
        <v>#N/A</v>
      </c>
      <c r="BA34" s="639"/>
    </row>
    <row r="35" spans="2:53">
      <c r="B35" s="649"/>
      <c r="C35" s="380">
        <v>9</v>
      </c>
      <c r="D35" s="351"/>
      <c r="E35" s="510"/>
      <c r="F35" s="510"/>
      <c r="G35" s="510"/>
      <c r="H35" s="657"/>
      <c r="I35" s="381" t="str">
        <f t="shared" si="19"/>
        <v>-</v>
      </c>
      <c r="J35" s="381" t="str">
        <f t="shared" si="20"/>
        <v>-</v>
      </c>
      <c r="K35" s="199" t="str">
        <f t="shared" si="21"/>
        <v>-</v>
      </c>
      <c r="L35" s="659"/>
      <c r="M35" s="387" t="e">
        <f>RANK(K35, K$27:$K$41)</f>
        <v>#VALUE!</v>
      </c>
      <c r="N35" s="643"/>
      <c r="O35" s="643"/>
      <c r="P35" s="547"/>
      <c r="Q35" s="548"/>
      <c r="R35" s="548"/>
      <c r="S35" s="547"/>
      <c r="T35" s="639"/>
      <c r="U35" s="547"/>
      <c r="V35" s="548"/>
      <c r="W35" s="548"/>
      <c r="X35" s="547"/>
      <c r="Y35" s="639"/>
      <c r="Z35" s="547"/>
      <c r="AA35" s="548"/>
      <c r="AB35" s="548"/>
      <c r="AC35" s="547"/>
      <c r="AD35" s="639"/>
      <c r="AE35" s="547"/>
      <c r="AF35" s="548"/>
      <c r="AG35" s="548"/>
      <c r="AH35" s="547"/>
      <c r="AI35" s="639"/>
      <c r="AJ35" s="547"/>
      <c r="AK35" s="548"/>
      <c r="AL35" s="548"/>
      <c r="AM35" s="547"/>
      <c r="AN35" s="639"/>
      <c r="AO35" s="547"/>
      <c r="AP35" s="548"/>
      <c r="AQ35" s="548"/>
      <c r="AR35" s="547"/>
      <c r="AS35" s="639"/>
      <c r="AT35" s="547"/>
      <c r="AU35" s="548"/>
      <c r="AV35" s="548"/>
      <c r="AW35" s="547"/>
      <c r="AX35" s="639"/>
      <c r="AZ35" s="368" t="e">
        <f t="shared" si="22"/>
        <v>#N/A</v>
      </c>
      <c r="BA35" s="639"/>
    </row>
    <row r="36" spans="2:53">
      <c r="B36" s="649"/>
      <c r="C36" s="380">
        <v>10</v>
      </c>
      <c r="D36" s="351"/>
      <c r="E36" s="510"/>
      <c r="F36" s="510"/>
      <c r="G36" s="510"/>
      <c r="H36" s="657"/>
      <c r="I36" s="381" t="str">
        <f t="shared" si="19"/>
        <v>-</v>
      </c>
      <c r="J36" s="381" t="str">
        <f t="shared" si="20"/>
        <v>-</v>
      </c>
      <c r="K36" s="199" t="str">
        <f t="shared" si="21"/>
        <v>-</v>
      </c>
      <c r="L36" s="659"/>
      <c r="M36" s="387" t="e">
        <f>RANK(K36, K$27:$K$41)</f>
        <v>#VALUE!</v>
      </c>
      <c r="N36" s="643"/>
      <c r="O36" s="643"/>
      <c r="P36" s="547"/>
      <c r="Q36" s="548"/>
      <c r="R36" s="548"/>
      <c r="S36" s="547"/>
      <c r="T36" s="639"/>
      <c r="U36" s="547"/>
      <c r="V36" s="548"/>
      <c r="W36" s="548"/>
      <c r="X36" s="547"/>
      <c r="Y36" s="639"/>
      <c r="Z36" s="547"/>
      <c r="AA36" s="548"/>
      <c r="AB36" s="548"/>
      <c r="AC36" s="547"/>
      <c r="AD36" s="639"/>
      <c r="AE36" s="547"/>
      <c r="AF36" s="548"/>
      <c r="AG36" s="548"/>
      <c r="AH36" s="547"/>
      <c r="AI36" s="639"/>
      <c r="AJ36" s="547"/>
      <c r="AK36" s="548"/>
      <c r="AL36" s="548"/>
      <c r="AM36" s="547"/>
      <c r="AN36" s="639"/>
      <c r="AO36" s="547"/>
      <c r="AP36" s="548"/>
      <c r="AQ36" s="548"/>
      <c r="AR36" s="547"/>
      <c r="AS36" s="639"/>
      <c r="AT36" s="547"/>
      <c r="AU36" s="548"/>
      <c r="AV36" s="548"/>
      <c r="AW36" s="547"/>
      <c r="AX36" s="639"/>
      <c r="AZ36" s="368" t="e">
        <f t="shared" si="22"/>
        <v>#N/A</v>
      </c>
      <c r="BA36" s="639"/>
    </row>
    <row r="37" spans="2:53">
      <c r="B37" s="649"/>
      <c r="C37" s="380">
        <v>11</v>
      </c>
      <c r="D37" s="351"/>
      <c r="E37" s="510"/>
      <c r="F37" s="510"/>
      <c r="G37" s="510"/>
      <c r="H37" s="657"/>
      <c r="I37" s="381" t="str">
        <f t="shared" si="19"/>
        <v>-</v>
      </c>
      <c r="J37" s="381" t="str">
        <f t="shared" si="20"/>
        <v>-</v>
      </c>
      <c r="K37" s="199" t="str">
        <f t="shared" si="21"/>
        <v>-</v>
      </c>
      <c r="L37" s="659"/>
      <c r="M37" s="387" t="e">
        <f>RANK(K37, K$27:$K$41)</f>
        <v>#VALUE!</v>
      </c>
      <c r="N37" s="643"/>
      <c r="O37" s="643"/>
      <c r="P37" s="547"/>
      <c r="Q37" s="548"/>
      <c r="R37" s="548"/>
      <c r="S37" s="547"/>
      <c r="T37" s="639"/>
      <c r="U37" s="547"/>
      <c r="V37" s="548"/>
      <c r="W37" s="548"/>
      <c r="X37" s="547"/>
      <c r="Y37" s="639"/>
      <c r="Z37" s="547"/>
      <c r="AA37" s="548"/>
      <c r="AB37" s="548"/>
      <c r="AC37" s="547"/>
      <c r="AD37" s="639"/>
      <c r="AE37" s="547"/>
      <c r="AF37" s="548"/>
      <c r="AG37" s="548"/>
      <c r="AH37" s="547"/>
      <c r="AI37" s="639"/>
      <c r="AJ37" s="547"/>
      <c r="AK37" s="548"/>
      <c r="AL37" s="548"/>
      <c r="AM37" s="547"/>
      <c r="AN37" s="639"/>
      <c r="AO37" s="547"/>
      <c r="AP37" s="548"/>
      <c r="AQ37" s="548"/>
      <c r="AR37" s="547"/>
      <c r="AS37" s="639"/>
      <c r="AT37" s="547"/>
      <c r="AU37" s="548"/>
      <c r="AV37" s="548"/>
      <c r="AW37" s="547"/>
      <c r="AX37" s="639"/>
      <c r="AZ37" s="368" t="e">
        <f t="shared" si="22"/>
        <v>#N/A</v>
      </c>
      <c r="BA37" s="639"/>
    </row>
    <row r="38" spans="2:53">
      <c r="B38" s="649"/>
      <c r="C38" s="380">
        <v>12</v>
      </c>
      <c r="D38" s="351"/>
      <c r="E38" s="510"/>
      <c r="F38" s="510"/>
      <c r="G38" s="510"/>
      <c r="H38" s="657"/>
      <c r="I38" s="381" t="str">
        <f t="shared" si="19"/>
        <v>-</v>
      </c>
      <c r="J38" s="381" t="str">
        <f t="shared" si="20"/>
        <v>-</v>
      </c>
      <c r="K38" s="199" t="str">
        <f t="shared" si="21"/>
        <v>-</v>
      </c>
      <c r="L38" s="659"/>
      <c r="M38" s="387" t="e">
        <f>RANK(K38, K$27:$K$41)</f>
        <v>#VALUE!</v>
      </c>
      <c r="N38" s="643"/>
      <c r="O38" s="643"/>
      <c r="P38" s="547"/>
      <c r="Q38" s="548"/>
      <c r="R38" s="548"/>
      <c r="S38" s="547"/>
      <c r="T38" s="639"/>
      <c r="U38" s="547"/>
      <c r="V38" s="548"/>
      <c r="W38" s="548"/>
      <c r="X38" s="547"/>
      <c r="Y38" s="639"/>
      <c r="Z38" s="547"/>
      <c r="AA38" s="548"/>
      <c r="AB38" s="548"/>
      <c r="AC38" s="547"/>
      <c r="AD38" s="639"/>
      <c r="AE38" s="547"/>
      <c r="AF38" s="548"/>
      <c r="AG38" s="548"/>
      <c r="AH38" s="547"/>
      <c r="AI38" s="639"/>
      <c r="AJ38" s="547"/>
      <c r="AK38" s="548"/>
      <c r="AL38" s="548"/>
      <c r="AM38" s="547"/>
      <c r="AN38" s="639"/>
      <c r="AO38" s="547"/>
      <c r="AP38" s="548"/>
      <c r="AQ38" s="548"/>
      <c r="AR38" s="547"/>
      <c r="AS38" s="639"/>
      <c r="AT38" s="547"/>
      <c r="AU38" s="548"/>
      <c r="AV38" s="548"/>
      <c r="AW38" s="547"/>
      <c r="AX38" s="639"/>
      <c r="AZ38" s="368" t="e">
        <f t="shared" si="22"/>
        <v>#N/A</v>
      </c>
      <c r="BA38" s="639"/>
    </row>
    <row r="39" spans="2:53">
      <c r="B39" s="649"/>
      <c r="C39" s="380">
        <v>13</v>
      </c>
      <c r="D39" s="351"/>
      <c r="E39" s="510"/>
      <c r="F39" s="510"/>
      <c r="G39" s="510"/>
      <c r="H39" s="657"/>
      <c r="I39" s="381" t="str">
        <f t="shared" si="19"/>
        <v>-</v>
      </c>
      <c r="J39" s="381" t="str">
        <f t="shared" si="20"/>
        <v>-</v>
      </c>
      <c r="K39" s="199" t="str">
        <f t="shared" si="21"/>
        <v>-</v>
      </c>
      <c r="L39" s="659"/>
      <c r="M39" s="387" t="e">
        <f>RANK(K39, K$27:$K$41)</f>
        <v>#VALUE!</v>
      </c>
      <c r="N39" s="643"/>
      <c r="O39" s="643"/>
      <c r="P39" s="547"/>
      <c r="Q39" s="548"/>
      <c r="R39" s="548"/>
      <c r="S39" s="547"/>
      <c r="T39" s="639"/>
      <c r="U39" s="547"/>
      <c r="V39" s="548"/>
      <c r="W39" s="548"/>
      <c r="X39" s="547"/>
      <c r="Y39" s="639"/>
      <c r="Z39" s="547"/>
      <c r="AA39" s="548"/>
      <c r="AB39" s="548"/>
      <c r="AC39" s="547"/>
      <c r="AD39" s="639"/>
      <c r="AE39" s="547"/>
      <c r="AF39" s="548"/>
      <c r="AG39" s="548"/>
      <c r="AH39" s="547"/>
      <c r="AI39" s="639"/>
      <c r="AJ39" s="547"/>
      <c r="AK39" s="548"/>
      <c r="AL39" s="548"/>
      <c r="AM39" s="547"/>
      <c r="AN39" s="639"/>
      <c r="AO39" s="547"/>
      <c r="AP39" s="548"/>
      <c r="AQ39" s="548"/>
      <c r="AR39" s="547"/>
      <c r="AS39" s="639"/>
      <c r="AT39" s="547"/>
      <c r="AU39" s="548"/>
      <c r="AV39" s="548"/>
      <c r="AW39" s="547"/>
      <c r="AX39" s="639"/>
      <c r="AZ39" s="368" t="e">
        <f t="shared" si="22"/>
        <v>#N/A</v>
      </c>
      <c r="BA39" s="639"/>
    </row>
    <row r="40" spans="2:53">
      <c r="B40" s="649"/>
      <c r="C40" s="380">
        <v>14</v>
      </c>
      <c r="D40" s="351"/>
      <c r="E40" s="510"/>
      <c r="F40" s="510"/>
      <c r="G40" s="510"/>
      <c r="H40" s="657"/>
      <c r="I40" s="381" t="str">
        <f t="shared" si="19"/>
        <v>-</v>
      </c>
      <c r="J40" s="381" t="str">
        <f t="shared" si="20"/>
        <v>-</v>
      </c>
      <c r="K40" s="199" t="str">
        <f t="shared" si="21"/>
        <v>-</v>
      </c>
      <c r="L40" s="659"/>
      <c r="M40" s="387" t="e">
        <f>RANK(K40, K$27:$K$41)</f>
        <v>#VALUE!</v>
      </c>
      <c r="N40" s="643"/>
      <c r="O40" s="643"/>
      <c r="P40" s="547"/>
      <c r="Q40" s="548"/>
      <c r="R40" s="548"/>
      <c r="S40" s="547"/>
      <c r="T40" s="639"/>
      <c r="U40" s="547"/>
      <c r="V40" s="548"/>
      <c r="W40" s="548"/>
      <c r="X40" s="547"/>
      <c r="Y40" s="639"/>
      <c r="Z40" s="547"/>
      <c r="AA40" s="548"/>
      <c r="AB40" s="548"/>
      <c r="AC40" s="547"/>
      <c r="AD40" s="639"/>
      <c r="AE40" s="547"/>
      <c r="AF40" s="548"/>
      <c r="AG40" s="548"/>
      <c r="AH40" s="547"/>
      <c r="AI40" s="639"/>
      <c r="AJ40" s="547"/>
      <c r="AK40" s="548"/>
      <c r="AL40" s="548"/>
      <c r="AM40" s="547"/>
      <c r="AN40" s="639"/>
      <c r="AO40" s="547"/>
      <c r="AP40" s="548"/>
      <c r="AQ40" s="548"/>
      <c r="AR40" s="547"/>
      <c r="AS40" s="639"/>
      <c r="AT40" s="547"/>
      <c r="AU40" s="548"/>
      <c r="AV40" s="548"/>
      <c r="AW40" s="547"/>
      <c r="AX40" s="639"/>
      <c r="AZ40" s="368" t="e">
        <f t="shared" si="22"/>
        <v>#N/A</v>
      </c>
      <c r="BA40" s="639"/>
    </row>
    <row r="41" spans="2:53">
      <c r="B41" s="649"/>
      <c r="C41" s="380">
        <v>15</v>
      </c>
      <c r="D41" s="351"/>
      <c r="E41" s="510"/>
      <c r="F41" s="510"/>
      <c r="G41" s="510"/>
      <c r="H41" s="714"/>
      <c r="I41" s="384"/>
      <c r="J41" s="384"/>
      <c r="K41" s="382"/>
      <c r="L41" s="660"/>
      <c r="M41" s="387" t="e">
        <f>RANK(K41, K$27:$K$41)</f>
        <v>#N/A</v>
      </c>
      <c r="N41" s="643"/>
      <c r="O41" s="643"/>
      <c r="P41" s="547"/>
      <c r="Q41" s="548"/>
      <c r="R41" s="548"/>
      <c r="S41" s="547"/>
      <c r="T41" s="640"/>
      <c r="U41" s="547"/>
      <c r="V41" s="548"/>
      <c r="W41" s="548"/>
      <c r="X41" s="547"/>
      <c r="Y41" s="640"/>
      <c r="Z41" s="547"/>
      <c r="AA41" s="548"/>
      <c r="AB41" s="548"/>
      <c r="AC41" s="547"/>
      <c r="AD41" s="640"/>
      <c r="AE41" s="547"/>
      <c r="AF41" s="548"/>
      <c r="AG41" s="548"/>
      <c r="AH41" s="547"/>
      <c r="AI41" s="640"/>
      <c r="AJ41" s="547"/>
      <c r="AK41" s="548"/>
      <c r="AL41" s="548"/>
      <c r="AM41" s="547"/>
      <c r="AN41" s="640"/>
      <c r="AO41" s="547"/>
      <c r="AP41" s="548"/>
      <c r="AQ41" s="548"/>
      <c r="AR41" s="547"/>
      <c r="AS41" s="640"/>
      <c r="AT41" s="547"/>
      <c r="AU41" s="548"/>
      <c r="AV41" s="548"/>
      <c r="AW41" s="547"/>
      <c r="AX41" s="640"/>
      <c r="AZ41" s="368" t="e">
        <f t="shared" si="22"/>
        <v>#N/A</v>
      </c>
      <c r="BA41" s="640"/>
    </row>
    <row r="42" spans="2:53" ht="15.75">
      <c r="B42" s="682" t="s">
        <v>162</v>
      </c>
      <c r="C42" s="683"/>
      <c r="D42" s="683"/>
      <c r="E42" s="683"/>
      <c r="F42" s="683"/>
      <c r="G42" s="683"/>
      <c r="H42" s="683"/>
      <c r="I42" s="207"/>
      <c r="J42" s="202"/>
      <c r="K42" s="207"/>
      <c r="L42" s="207"/>
      <c r="M42" s="203"/>
      <c r="N42" s="645" t="s">
        <v>156</v>
      </c>
      <c r="O42" s="645" t="s">
        <v>105</v>
      </c>
      <c r="P42" s="670">
        <f>P22+7</f>
        <v>46280</v>
      </c>
      <c r="Q42" s="649"/>
      <c r="R42" s="649"/>
      <c r="S42" s="649"/>
      <c r="T42" s="649"/>
      <c r="U42" s="667">
        <f>P42+1</f>
        <v>46281</v>
      </c>
      <c r="V42" s="668"/>
      <c r="W42" s="668"/>
      <c r="X42" s="668"/>
      <c r="Y42" s="669"/>
      <c r="Z42" s="667">
        <f>U42+1</f>
        <v>46282</v>
      </c>
      <c r="AA42" s="668"/>
      <c r="AB42" s="668"/>
      <c r="AC42" s="668"/>
      <c r="AD42" s="669"/>
      <c r="AE42" s="667">
        <f>Z42+1</f>
        <v>46283</v>
      </c>
      <c r="AF42" s="668"/>
      <c r="AG42" s="668"/>
      <c r="AH42" s="668"/>
      <c r="AI42" s="669"/>
      <c r="AJ42" s="667">
        <f>AE42+1</f>
        <v>46284</v>
      </c>
      <c r="AK42" s="668"/>
      <c r="AL42" s="668"/>
      <c r="AM42" s="668"/>
      <c r="AN42" s="669"/>
      <c r="AO42" s="667">
        <f>AJ42+1</f>
        <v>46285</v>
      </c>
      <c r="AP42" s="668"/>
      <c r="AQ42" s="668"/>
      <c r="AR42" s="668"/>
      <c r="AS42" s="669"/>
      <c r="AT42" s="667">
        <f>AO42+1</f>
        <v>46286</v>
      </c>
      <c r="AU42" s="668"/>
      <c r="AV42" s="668"/>
      <c r="AW42" s="668"/>
      <c r="AX42" s="669"/>
    </row>
    <row r="43" spans="2:53" ht="15.75">
      <c r="B43" s="674"/>
      <c r="C43" s="674"/>
      <c r="D43" s="674"/>
      <c r="E43" s="674"/>
      <c r="F43" s="674"/>
      <c r="G43" s="674"/>
      <c r="H43" s="674"/>
      <c r="I43" s="204"/>
      <c r="J43" s="204"/>
      <c r="K43" s="204"/>
      <c r="L43" s="204"/>
      <c r="M43" s="205"/>
      <c r="N43" s="647"/>
      <c r="O43" s="647"/>
      <c r="P43" s="670" t="s">
        <v>317</v>
      </c>
      <c r="Q43" s="649"/>
      <c r="R43" s="649"/>
      <c r="S43" s="649"/>
      <c r="T43" s="649"/>
      <c r="U43" s="670" t="s">
        <v>318</v>
      </c>
      <c r="V43" s="649"/>
      <c r="W43" s="649"/>
      <c r="X43" s="649"/>
      <c r="Y43" s="649"/>
      <c r="Z43" s="670" t="s">
        <v>319</v>
      </c>
      <c r="AA43" s="649"/>
      <c r="AB43" s="649"/>
      <c r="AC43" s="649"/>
      <c r="AD43" s="649"/>
      <c r="AE43" s="670" t="s">
        <v>320</v>
      </c>
      <c r="AF43" s="649"/>
      <c r="AG43" s="649"/>
      <c r="AH43" s="649"/>
      <c r="AI43" s="649"/>
      <c r="AJ43" s="670" t="s">
        <v>321</v>
      </c>
      <c r="AK43" s="649"/>
      <c r="AL43" s="649"/>
      <c r="AM43" s="649"/>
      <c r="AN43" s="649"/>
      <c r="AO43" s="670" t="s">
        <v>322</v>
      </c>
      <c r="AP43" s="649"/>
      <c r="AQ43" s="649"/>
      <c r="AR43" s="649"/>
      <c r="AS43" s="649"/>
      <c r="AT43" s="670" t="s">
        <v>323</v>
      </c>
      <c r="AU43" s="649"/>
      <c r="AV43" s="649"/>
      <c r="AW43" s="649"/>
      <c r="AX43" s="649"/>
    </row>
    <row r="44" spans="2:53">
      <c r="B44" s="643" t="s">
        <v>362</v>
      </c>
      <c r="C44" s="643" t="s">
        <v>372</v>
      </c>
      <c r="D44" s="643"/>
      <c r="E44" s="643" t="s">
        <v>363</v>
      </c>
      <c r="F44" s="643"/>
      <c r="G44" s="643"/>
      <c r="H44" s="675" t="s">
        <v>359</v>
      </c>
      <c r="I44" s="643" t="s">
        <v>364</v>
      </c>
      <c r="J44" s="643"/>
      <c r="K44" s="643"/>
      <c r="L44" s="675" t="s">
        <v>359</v>
      </c>
      <c r="M44" s="645" t="s">
        <v>360</v>
      </c>
      <c r="N44" s="643"/>
      <c r="O44" s="643" t="s">
        <v>365</v>
      </c>
      <c r="P44" s="661" t="s">
        <v>361</v>
      </c>
      <c r="Q44" s="662"/>
      <c r="R44" s="662"/>
      <c r="S44" s="663"/>
      <c r="T44" s="643" t="s">
        <v>359</v>
      </c>
      <c r="U44" s="661" t="s">
        <v>361</v>
      </c>
      <c r="V44" s="662"/>
      <c r="W44" s="662"/>
      <c r="X44" s="663"/>
      <c r="Y44" s="643" t="s">
        <v>359</v>
      </c>
      <c r="Z44" s="661" t="s">
        <v>361</v>
      </c>
      <c r="AA44" s="662"/>
      <c r="AB44" s="662"/>
      <c r="AC44" s="663"/>
      <c r="AD44" s="643" t="s">
        <v>359</v>
      </c>
      <c r="AE44" s="661" t="s">
        <v>361</v>
      </c>
      <c r="AF44" s="662"/>
      <c r="AG44" s="662"/>
      <c r="AH44" s="663"/>
      <c r="AI44" s="643" t="s">
        <v>359</v>
      </c>
      <c r="AJ44" s="661" t="s">
        <v>361</v>
      </c>
      <c r="AK44" s="662"/>
      <c r="AL44" s="662"/>
      <c r="AM44" s="663"/>
      <c r="AN44" s="643" t="s">
        <v>359</v>
      </c>
      <c r="AO44" s="661" t="s">
        <v>361</v>
      </c>
      <c r="AP44" s="662"/>
      <c r="AQ44" s="662"/>
      <c r="AR44" s="663"/>
      <c r="AS44" s="643" t="s">
        <v>359</v>
      </c>
      <c r="AT44" s="661" t="s">
        <v>361</v>
      </c>
      <c r="AU44" s="662"/>
      <c r="AV44" s="662"/>
      <c r="AW44" s="663"/>
      <c r="AX44" s="643" t="s">
        <v>359</v>
      </c>
      <c r="BA44" s="643" t="s">
        <v>359</v>
      </c>
    </row>
    <row r="45" spans="2:53">
      <c r="B45" s="643"/>
      <c r="C45" s="643"/>
      <c r="D45" s="643"/>
      <c r="E45" s="643" t="s">
        <v>366</v>
      </c>
      <c r="F45" s="643"/>
      <c r="G45" s="643"/>
      <c r="H45" s="676"/>
      <c r="I45" s="643" t="s">
        <v>366</v>
      </c>
      <c r="J45" s="643"/>
      <c r="K45" s="643"/>
      <c r="L45" s="676"/>
      <c r="M45" s="646"/>
      <c r="N45" s="643"/>
      <c r="O45" s="643"/>
      <c r="P45" s="661" t="s">
        <v>367</v>
      </c>
      <c r="Q45" s="662"/>
      <c r="R45" s="662"/>
      <c r="S45" s="663"/>
      <c r="T45" s="643"/>
      <c r="U45" s="661" t="s">
        <v>367</v>
      </c>
      <c r="V45" s="662"/>
      <c r="W45" s="662"/>
      <c r="X45" s="663"/>
      <c r="Y45" s="643"/>
      <c r="Z45" s="661" t="s">
        <v>367</v>
      </c>
      <c r="AA45" s="662"/>
      <c r="AB45" s="662"/>
      <c r="AC45" s="663"/>
      <c r="AD45" s="643"/>
      <c r="AE45" s="661" t="s">
        <v>367</v>
      </c>
      <c r="AF45" s="662"/>
      <c r="AG45" s="662"/>
      <c r="AH45" s="663"/>
      <c r="AI45" s="643"/>
      <c r="AJ45" s="661" t="s">
        <v>367</v>
      </c>
      <c r="AK45" s="662"/>
      <c r="AL45" s="662"/>
      <c r="AM45" s="663"/>
      <c r="AN45" s="643"/>
      <c r="AO45" s="661" t="s">
        <v>367</v>
      </c>
      <c r="AP45" s="662"/>
      <c r="AQ45" s="662"/>
      <c r="AR45" s="663"/>
      <c r="AS45" s="643"/>
      <c r="AT45" s="661" t="s">
        <v>367</v>
      </c>
      <c r="AU45" s="662"/>
      <c r="AV45" s="662"/>
      <c r="AW45" s="663"/>
      <c r="AX45" s="643"/>
      <c r="BA45" s="643"/>
    </row>
    <row r="46" spans="2:53">
      <c r="B46" s="643"/>
      <c r="C46" s="643"/>
      <c r="D46" s="643"/>
      <c r="E46" s="378" t="s">
        <v>368</v>
      </c>
      <c r="F46" s="378" t="s">
        <v>369</v>
      </c>
      <c r="G46" s="378" t="s">
        <v>370</v>
      </c>
      <c r="H46" s="677"/>
      <c r="I46" s="378" t="s">
        <v>368</v>
      </c>
      <c r="J46" s="378" t="s">
        <v>369</v>
      </c>
      <c r="K46" s="378" t="s">
        <v>370</v>
      </c>
      <c r="L46" s="677"/>
      <c r="M46" s="647"/>
      <c r="N46" s="643"/>
      <c r="O46" s="643"/>
      <c r="P46" s="378" t="s">
        <v>368</v>
      </c>
      <c r="Q46" s="378" t="s">
        <v>369</v>
      </c>
      <c r="R46" s="378" t="s">
        <v>370</v>
      </c>
      <c r="S46" s="378" t="s">
        <v>360</v>
      </c>
      <c r="T46" s="643"/>
      <c r="U46" s="378" t="s">
        <v>368</v>
      </c>
      <c r="V46" s="378" t="s">
        <v>369</v>
      </c>
      <c r="W46" s="378" t="s">
        <v>370</v>
      </c>
      <c r="X46" s="378" t="s">
        <v>360</v>
      </c>
      <c r="Y46" s="643"/>
      <c r="Z46" s="378" t="s">
        <v>368</v>
      </c>
      <c r="AA46" s="378" t="s">
        <v>369</v>
      </c>
      <c r="AB46" s="378" t="s">
        <v>370</v>
      </c>
      <c r="AC46" s="378" t="s">
        <v>360</v>
      </c>
      <c r="AD46" s="643"/>
      <c r="AE46" s="378" t="s">
        <v>368</v>
      </c>
      <c r="AF46" s="378" t="s">
        <v>369</v>
      </c>
      <c r="AG46" s="378" t="s">
        <v>370</v>
      </c>
      <c r="AH46" s="378" t="s">
        <v>360</v>
      </c>
      <c r="AI46" s="643"/>
      <c r="AJ46" s="378" t="s">
        <v>368</v>
      </c>
      <c r="AK46" s="378" t="s">
        <v>369</v>
      </c>
      <c r="AL46" s="378" t="s">
        <v>370</v>
      </c>
      <c r="AM46" s="378" t="s">
        <v>360</v>
      </c>
      <c r="AN46" s="643"/>
      <c r="AO46" s="378" t="s">
        <v>368</v>
      </c>
      <c r="AP46" s="378" t="s">
        <v>369</v>
      </c>
      <c r="AQ46" s="378" t="s">
        <v>370</v>
      </c>
      <c r="AR46" s="378" t="s">
        <v>360</v>
      </c>
      <c r="AS46" s="643"/>
      <c r="AT46" s="378" t="s">
        <v>368</v>
      </c>
      <c r="AU46" s="378" t="s">
        <v>369</v>
      </c>
      <c r="AV46" s="378" t="s">
        <v>370</v>
      </c>
      <c r="AW46" s="378" t="s">
        <v>360</v>
      </c>
      <c r="AX46" s="643"/>
      <c r="AZ46" s="367" t="s">
        <v>551</v>
      </c>
      <c r="BA46" s="643"/>
    </row>
    <row r="47" spans="2:53">
      <c r="B47" s="701" t="s">
        <v>371</v>
      </c>
      <c r="C47" s="380">
        <v>1</v>
      </c>
      <c r="D47" s="351"/>
      <c r="E47" s="510"/>
      <c r="F47" s="510"/>
      <c r="G47" s="510"/>
      <c r="H47" s="656" t="e">
        <f>AVERAGE(G47:G61)</f>
        <v>#DIV/0!</v>
      </c>
      <c r="I47" s="381" t="str">
        <f t="shared" ref="I47:I60" si="24">IFERROR(AVERAGE(P47,U47,Z47,AE47,AJ47,AO47,AT47),"-")</f>
        <v>-</v>
      </c>
      <c r="J47" s="381" t="str">
        <f t="shared" ref="J47:J60" si="25">IFERROR(AVERAGE(Q47,V47,AA47,AF47,AK47,AP47,AU47),"-")</f>
        <v>-</v>
      </c>
      <c r="K47" s="199" t="str">
        <f t="shared" ref="K47:K60" si="26">IFERROR(AVERAGE(R47,W47,AB47,AG47,AL47,AQ47,AV47),"-")</f>
        <v>-</v>
      </c>
      <c r="L47" s="658" t="str">
        <f>IFERROR(AVERAGE(K47:K55),"-")</f>
        <v>-</v>
      </c>
      <c r="M47" s="418" t="e">
        <f>RANK(K47, K$47:$K$61)</f>
        <v>#VALUE!</v>
      </c>
      <c r="N47" s="643"/>
      <c r="O47" s="643"/>
      <c r="P47" s="563"/>
      <c r="Q47" s="565"/>
      <c r="R47" s="565"/>
      <c r="S47" s="563"/>
      <c r="T47" s="638"/>
      <c r="U47" s="563"/>
      <c r="V47" s="565"/>
      <c r="W47" s="565"/>
      <c r="X47" s="563"/>
      <c r="Y47" s="638"/>
      <c r="Z47" s="563"/>
      <c r="AA47" s="565"/>
      <c r="AB47" s="565"/>
      <c r="AC47" s="563"/>
      <c r="AD47" s="638"/>
      <c r="AE47" s="563"/>
      <c r="AF47" s="565"/>
      <c r="AG47" s="565"/>
      <c r="AH47" s="563"/>
      <c r="AI47" s="638"/>
      <c r="AJ47" s="563"/>
      <c r="AK47" s="565"/>
      <c r="AL47" s="565"/>
      <c r="AM47" s="563"/>
      <c r="AN47" s="638"/>
      <c r="AO47" s="563"/>
      <c r="AP47" s="565"/>
      <c r="AQ47" s="565"/>
      <c r="AR47" s="563"/>
      <c r="AS47" s="638"/>
      <c r="AT47" s="563"/>
      <c r="AU47" s="565"/>
      <c r="AV47" s="565"/>
      <c r="AW47" s="563"/>
      <c r="AX47" s="638"/>
      <c r="AZ47" s="368" t="e">
        <f t="shared" ref="AZ47:AZ61" si="27">RANK(AY47, AY$47:AY$61)</f>
        <v>#N/A</v>
      </c>
      <c r="BA47" s="638" t="e">
        <f t="shared" ref="BA47" si="28">AVERAGE(AY47:AY61)</f>
        <v>#DIV/0!</v>
      </c>
    </row>
    <row r="48" spans="2:53">
      <c r="B48" s="649"/>
      <c r="C48" s="380">
        <v>2</v>
      </c>
      <c r="D48" s="351"/>
      <c r="E48" s="510"/>
      <c r="F48" s="510"/>
      <c r="G48" s="510"/>
      <c r="H48" s="657"/>
      <c r="I48" s="381" t="str">
        <f t="shared" si="24"/>
        <v>-</v>
      </c>
      <c r="J48" s="381" t="str">
        <f t="shared" si="25"/>
        <v>-</v>
      </c>
      <c r="K48" s="199" t="str">
        <f t="shared" si="26"/>
        <v>-</v>
      </c>
      <c r="L48" s="659"/>
      <c r="M48" s="418" t="e">
        <f>RANK(K48, K$47:$K$61)</f>
        <v>#VALUE!</v>
      </c>
      <c r="N48" s="643"/>
      <c r="O48" s="643"/>
      <c r="P48" s="563"/>
      <c r="Q48" s="565"/>
      <c r="R48" s="565"/>
      <c r="S48" s="563"/>
      <c r="T48" s="639"/>
      <c r="U48" s="563"/>
      <c r="V48" s="565"/>
      <c r="W48" s="565"/>
      <c r="X48" s="563"/>
      <c r="Y48" s="639"/>
      <c r="Z48" s="563"/>
      <c r="AA48" s="565"/>
      <c r="AB48" s="565"/>
      <c r="AC48" s="563"/>
      <c r="AD48" s="639"/>
      <c r="AE48" s="563"/>
      <c r="AF48" s="565"/>
      <c r="AG48" s="565"/>
      <c r="AH48" s="563"/>
      <c r="AI48" s="639"/>
      <c r="AJ48" s="563"/>
      <c r="AK48" s="565"/>
      <c r="AL48" s="565"/>
      <c r="AM48" s="563"/>
      <c r="AN48" s="639"/>
      <c r="AO48" s="563"/>
      <c r="AP48" s="565"/>
      <c r="AQ48" s="565"/>
      <c r="AR48" s="563"/>
      <c r="AS48" s="639"/>
      <c r="AT48" s="563"/>
      <c r="AU48" s="565"/>
      <c r="AV48" s="565"/>
      <c r="AW48" s="563"/>
      <c r="AX48" s="639"/>
      <c r="AZ48" s="368" t="e">
        <f t="shared" si="27"/>
        <v>#N/A</v>
      </c>
      <c r="BA48" s="639"/>
    </row>
    <row r="49" spans="2:53">
      <c r="B49" s="649"/>
      <c r="C49" s="380">
        <v>3</v>
      </c>
      <c r="D49" s="351"/>
      <c r="E49" s="510"/>
      <c r="F49" s="510"/>
      <c r="G49" s="510"/>
      <c r="H49" s="657"/>
      <c r="I49" s="381" t="str">
        <f t="shared" si="24"/>
        <v>-</v>
      </c>
      <c r="J49" s="381" t="str">
        <f t="shared" si="25"/>
        <v>-</v>
      </c>
      <c r="K49" s="199" t="str">
        <f t="shared" si="26"/>
        <v>-</v>
      </c>
      <c r="L49" s="659"/>
      <c r="M49" s="418" t="e">
        <f>RANK(K49, K$47:$K$61)</f>
        <v>#VALUE!</v>
      </c>
      <c r="N49" s="643"/>
      <c r="O49" s="643"/>
      <c r="P49" s="563"/>
      <c r="Q49" s="565"/>
      <c r="R49" s="565"/>
      <c r="S49" s="563"/>
      <c r="T49" s="639"/>
      <c r="U49" s="563"/>
      <c r="V49" s="565"/>
      <c r="W49" s="565"/>
      <c r="X49" s="563"/>
      <c r="Y49" s="639"/>
      <c r="Z49" s="563"/>
      <c r="AA49" s="565"/>
      <c r="AB49" s="565"/>
      <c r="AC49" s="563"/>
      <c r="AD49" s="639"/>
      <c r="AE49" s="563"/>
      <c r="AF49" s="565"/>
      <c r="AG49" s="565"/>
      <c r="AH49" s="563"/>
      <c r="AI49" s="639"/>
      <c r="AJ49" s="563"/>
      <c r="AK49" s="565"/>
      <c r="AL49" s="565"/>
      <c r="AM49" s="563"/>
      <c r="AN49" s="639"/>
      <c r="AO49" s="563"/>
      <c r="AP49" s="565"/>
      <c r="AQ49" s="565"/>
      <c r="AR49" s="563"/>
      <c r="AS49" s="639"/>
      <c r="AT49" s="563"/>
      <c r="AU49" s="565"/>
      <c r="AV49" s="565"/>
      <c r="AW49" s="563"/>
      <c r="AX49" s="639"/>
      <c r="AZ49" s="368" t="e">
        <f t="shared" si="27"/>
        <v>#N/A</v>
      </c>
      <c r="BA49" s="639"/>
    </row>
    <row r="50" spans="2:53">
      <c r="B50" s="649"/>
      <c r="C50" s="380">
        <v>4</v>
      </c>
      <c r="D50" s="351"/>
      <c r="E50" s="510"/>
      <c r="F50" s="510"/>
      <c r="G50" s="510"/>
      <c r="H50" s="657"/>
      <c r="I50" s="381" t="str">
        <f t="shared" si="24"/>
        <v>-</v>
      </c>
      <c r="J50" s="381" t="str">
        <f t="shared" si="25"/>
        <v>-</v>
      </c>
      <c r="K50" s="199" t="str">
        <f t="shared" si="26"/>
        <v>-</v>
      </c>
      <c r="L50" s="659"/>
      <c r="M50" s="418" t="e">
        <f>RANK(K50, K$47:$K$61)</f>
        <v>#VALUE!</v>
      </c>
      <c r="N50" s="643"/>
      <c r="O50" s="643"/>
      <c r="P50" s="563"/>
      <c r="Q50" s="565"/>
      <c r="R50" s="565"/>
      <c r="S50" s="563"/>
      <c r="T50" s="639"/>
      <c r="U50" s="563"/>
      <c r="V50" s="565"/>
      <c r="W50" s="565"/>
      <c r="X50" s="563"/>
      <c r="Y50" s="639"/>
      <c r="Z50" s="563"/>
      <c r="AA50" s="565"/>
      <c r="AB50" s="565"/>
      <c r="AC50" s="563"/>
      <c r="AD50" s="639"/>
      <c r="AE50" s="563"/>
      <c r="AF50" s="565"/>
      <c r="AG50" s="565"/>
      <c r="AH50" s="563"/>
      <c r="AI50" s="639"/>
      <c r="AJ50" s="563"/>
      <c r="AK50" s="565"/>
      <c r="AL50" s="565"/>
      <c r="AM50" s="563"/>
      <c r="AN50" s="639"/>
      <c r="AO50" s="563"/>
      <c r="AP50" s="565"/>
      <c r="AQ50" s="565"/>
      <c r="AR50" s="563"/>
      <c r="AS50" s="639"/>
      <c r="AT50" s="563"/>
      <c r="AU50" s="565"/>
      <c r="AV50" s="565"/>
      <c r="AW50" s="563"/>
      <c r="AX50" s="639"/>
      <c r="AZ50" s="368" t="e">
        <f t="shared" si="27"/>
        <v>#N/A</v>
      </c>
      <c r="BA50" s="639"/>
    </row>
    <row r="51" spans="2:53">
      <c r="B51" s="649"/>
      <c r="C51" s="380">
        <v>5</v>
      </c>
      <c r="D51" s="351"/>
      <c r="E51" s="510"/>
      <c r="F51" s="510"/>
      <c r="G51" s="510"/>
      <c r="H51" s="657"/>
      <c r="I51" s="381" t="str">
        <f t="shared" si="24"/>
        <v>-</v>
      </c>
      <c r="J51" s="381" t="str">
        <f t="shared" si="25"/>
        <v>-</v>
      </c>
      <c r="K51" s="199" t="str">
        <f t="shared" si="26"/>
        <v>-</v>
      </c>
      <c r="L51" s="659"/>
      <c r="M51" s="418" t="e">
        <f>RANK(K51, K$47:$K$61)</f>
        <v>#VALUE!</v>
      </c>
      <c r="N51" s="643"/>
      <c r="O51" s="643"/>
      <c r="P51" s="563"/>
      <c r="Q51" s="565"/>
      <c r="R51" s="565"/>
      <c r="S51" s="563"/>
      <c r="T51" s="639"/>
      <c r="U51" s="563"/>
      <c r="V51" s="565"/>
      <c r="W51" s="565"/>
      <c r="X51" s="563"/>
      <c r="Y51" s="639"/>
      <c r="Z51" s="563"/>
      <c r="AA51" s="565"/>
      <c r="AB51" s="565"/>
      <c r="AC51" s="563"/>
      <c r="AD51" s="639"/>
      <c r="AE51" s="563"/>
      <c r="AF51" s="565"/>
      <c r="AG51" s="565"/>
      <c r="AH51" s="563"/>
      <c r="AI51" s="639"/>
      <c r="AJ51" s="563"/>
      <c r="AK51" s="565"/>
      <c r="AL51" s="565"/>
      <c r="AM51" s="563"/>
      <c r="AN51" s="639"/>
      <c r="AO51" s="563"/>
      <c r="AP51" s="565"/>
      <c r="AQ51" s="565"/>
      <c r="AR51" s="563"/>
      <c r="AS51" s="639"/>
      <c r="AT51" s="563"/>
      <c r="AU51" s="565"/>
      <c r="AV51" s="565"/>
      <c r="AW51" s="563"/>
      <c r="AX51" s="639"/>
      <c r="AZ51" s="368" t="e">
        <f t="shared" si="27"/>
        <v>#N/A</v>
      </c>
      <c r="BA51" s="639"/>
    </row>
    <row r="52" spans="2:53">
      <c r="B52" s="649"/>
      <c r="C52" s="380">
        <v>6</v>
      </c>
      <c r="D52" s="351"/>
      <c r="E52" s="510"/>
      <c r="F52" s="510"/>
      <c r="G52" s="510"/>
      <c r="H52" s="657"/>
      <c r="I52" s="381" t="str">
        <f t="shared" si="24"/>
        <v>-</v>
      </c>
      <c r="J52" s="381" t="str">
        <f t="shared" si="25"/>
        <v>-</v>
      </c>
      <c r="K52" s="199" t="str">
        <f t="shared" si="26"/>
        <v>-</v>
      </c>
      <c r="L52" s="659"/>
      <c r="M52" s="418" t="e">
        <f>RANK(K52, K$47:$K$61)</f>
        <v>#VALUE!</v>
      </c>
      <c r="N52" s="643"/>
      <c r="O52" s="643"/>
      <c r="P52" s="563"/>
      <c r="Q52" s="565"/>
      <c r="R52" s="565"/>
      <c r="S52" s="563"/>
      <c r="T52" s="639"/>
      <c r="U52" s="563"/>
      <c r="V52" s="565"/>
      <c r="W52" s="565"/>
      <c r="X52" s="563"/>
      <c r="Y52" s="639"/>
      <c r="Z52" s="563"/>
      <c r="AA52" s="565"/>
      <c r="AB52" s="565"/>
      <c r="AC52" s="563"/>
      <c r="AD52" s="639"/>
      <c r="AE52" s="563"/>
      <c r="AF52" s="565"/>
      <c r="AG52" s="565"/>
      <c r="AH52" s="563"/>
      <c r="AI52" s="639"/>
      <c r="AJ52" s="563"/>
      <c r="AK52" s="565"/>
      <c r="AL52" s="565"/>
      <c r="AM52" s="563"/>
      <c r="AN52" s="639"/>
      <c r="AO52" s="563"/>
      <c r="AP52" s="565"/>
      <c r="AQ52" s="565"/>
      <c r="AR52" s="563"/>
      <c r="AS52" s="639"/>
      <c r="AT52" s="563"/>
      <c r="AU52" s="565"/>
      <c r="AV52" s="565"/>
      <c r="AW52" s="563"/>
      <c r="AX52" s="639"/>
      <c r="AZ52" s="368" t="e">
        <f t="shared" si="27"/>
        <v>#N/A</v>
      </c>
      <c r="BA52" s="639"/>
    </row>
    <row r="53" spans="2:53">
      <c r="B53" s="649"/>
      <c r="C53" s="380">
        <v>7</v>
      </c>
      <c r="D53" s="351"/>
      <c r="E53" s="510"/>
      <c r="F53" s="510"/>
      <c r="G53" s="510"/>
      <c r="H53" s="657"/>
      <c r="I53" s="381" t="str">
        <f t="shared" si="24"/>
        <v>-</v>
      </c>
      <c r="J53" s="381" t="str">
        <f t="shared" si="25"/>
        <v>-</v>
      </c>
      <c r="K53" s="199" t="str">
        <f t="shared" si="26"/>
        <v>-</v>
      </c>
      <c r="L53" s="659"/>
      <c r="M53" s="418" t="e">
        <f>RANK(K53, K$47:$K$61)</f>
        <v>#VALUE!</v>
      </c>
      <c r="N53" s="643"/>
      <c r="O53" s="643"/>
      <c r="P53" s="563"/>
      <c r="Q53" s="565"/>
      <c r="R53" s="565"/>
      <c r="S53" s="563"/>
      <c r="T53" s="639"/>
      <c r="U53" s="563"/>
      <c r="V53" s="565"/>
      <c r="W53" s="565"/>
      <c r="X53" s="563"/>
      <c r="Y53" s="639"/>
      <c r="Z53" s="563"/>
      <c r="AA53" s="565"/>
      <c r="AB53" s="565"/>
      <c r="AC53" s="563"/>
      <c r="AD53" s="639"/>
      <c r="AE53" s="563"/>
      <c r="AF53" s="565"/>
      <c r="AG53" s="565"/>
      <c r="AH53" s="563"/>
      <c r="AI53" s="639"/>
      <c r="AJ53" s="563"/>
      <c r="AK53" s="565"/>
      <c r="AL53" s="565"/>
      <c r="AM53" s="563"/>
      <c r="AN53" s="639"/>
      <c r="AO53" s="563"/>
      <c r="AP53" s="565"/>
      <c r="AQ53" s="565"/>
      <c r="AR53" s="563"/>
      <c r="AS53" s="639"/>
      <c r="AT53" s="563"/>
      <c r="AU53" s="565"/>
      <c r="AV53" s="565"/>
      <c r="AW53" s="563"/>
      <c r="AX53" s="639"/>
      <c r="AZ53" s="368" t="e">
        <f t="shared" si="27"/>
        <v>#N/A</v>
      </c>
      <c r="BA53" s="639"/>
    </row>
    <row r="54" spans="2:53">
      <c r="B54" s="649"/>
      <c r="C54" s="380">
        <v>8</v>
      </c>
      <c r="D54" s="351"/>
      <c r="E54" s="510"/>
      <c r="F54" s="510"/>
      <c r="G54" s="510"/>
      <c r="H54" s="657"/>
      <c r="I54" s="381" t="str">
        <f t="shared" si="24"/>
        <v>-</v>
      </c>
      <c r="J54" s="381" t="str">
        <f t="shared" si="25"/>
        <v>-</v>
      </c>
      <c r="K54" s="199" t="str">
        <f t="shared" si="26"/>
        <v>-</v>
      </c>
      <c r="L54" s="659"/>
      <c r="M54" s="418" t="e">
        <f>RANK(K54, K$47:$K$61)</f>
        <v>#VALUE!</v>
      </c>
      <c r="N54" s="643"/>
      <c r="O54" s="643"/>
      <c r="P54" s="563"/>
      <c r="Q54" s="565"/>
      <c r="R54" s="565"/>
      <c r="S54" s="563"/>
      <c r="T54" s="639"/>
      <c r="U54" s="563"/>
      <c r="V54" s="565"/>
      <c r="W54" s="565"/>
      <c r="X54" s="563"/>
      <c r="Y54" s="639"/>
      <c r="Z54" s="563"/>
      <c r="AA54" s="565"/>
      <c r="AB54" s="565"/>
      <c r="AC54" s="563"/>
      <c r="AD54" s="639"/>
      <c r="AE54" s="563"/>
      <c r="AF54" s="565"/>
      <c r="AG54" s="565"/>
      <c r="AH54" s="563"/>
      <c r="AI54" s="639"/>
      <c r="AJ54" s="563"/>
      <c r="AK54" s="565"/>
      <c r="AL54" s="565"/>
      <c r="AM54" s="563"/>
      <c r="AN54" s="639"/>
      <c r="AO54" s="563"/>
      <c r="AP54" s="565"/>
      <c r="AQ54" s="565"/>
      <c r="AR54" s="563"/>
      <c r="AS54" s="639"/>
      <c r="AT54" s="563"/>
      <c r="AU54" s="565"/>
      <c r="AV54" s="565"/>
      <c r="AW54" s="563"/>
      <c r="AX54" s="639"/>
      <c r="AZ54" s="368" t="e">
        <f t="shared" si="27"/>
        <v>#N/A</v>
      </c>
      <c r="BA54" s="639"/>
    </row>
    <row r="55" spans="2:53">
      <c r="B55" s="649"/>
      <c r="C55" s="380">
        <v>9</v>
      </c>
      <c r="D55" s="351"/>
      <c r="E55" s="510"/>
      <c r="F55" s="510"/>
      <c r="G55" s="510"/>
      <c r="H55" s="657"/>
      <c r="I55" s="381" t="str">
        <f t="shared" si="24"/>
        <v>-</v>
      </c>
      <c r="J55" s="381" t="str">
        <f t="shared" si="25"/>
        <v>-</v>
      </c>
      <c r="K55" s="199" t="str">
        <f t="shared" si="26"/>
        <v>-</v>
      </c>
      <c r="L55" s="659"/>
      <c r="M55" s="418" t="e">
        <f>RANK(K55, K$47:$K$61)</f>
        <v>#VALUE!</v>
      </c>
      <c r="N55" s="643"/>
      <c r="O55" s="643"/>
      <c r="P55" s="563"/>
      <c r="Q55" s="565"/>
      <c r="R55" s="565"/>
      <c r="S55" s="563"/>
      <c r="T55" s="639"/>
      <c r="U55" s="563"/>
      <c r="V55" s="565"/>
      <c r="W55" s="565"/>
      <c r="X55" s="563"/>
      <c r="Y55" s="639"/>
      <c r="Z55" s="563"/>
      <c r="AA55" s="565"/>
      <c r="AB55" s="565"/>
      <c r="AC55" s="563"/>
      <c r="AD55" s="639"/>
      <c r="AE55" s="563"/>
      <c r="AF55" s="565"/>
      <c r="AG55" s="565"/>
      <c r="AH55" s="563"/>
      <c r="AI55" s="639"/>
      <c r="AJ55" s="563"/>
      <c r="AK55" s="565"/>
      <c r="AL55" s="565"/>
      <c r="AM55" s="563"/>
      <c r="AN55" s="639"/>
      <c r="AO55" s="563"/>
      <c r="AP55" s="565"/>
      <c r="AQ55" s="565"/>
      <c r="AR55" s="563"/>
      <c r="AS55" s="639"/>
      <c r="AT55" s="563"/>
      <c r="AU55" s="565"/>
      <c r="AV55" s="565"/>
      <c r="AW55" s="563"/>
      <c r="AX55" s="639"/>
      <c r="AZ55" s="368" t="e">
        <f t="shared" si="27"/>
        <v>#N/A</v>
      </c>
      <c r="BA55" s="639"/>
    </row>
    <row r="56" spans="2:53">
      <c r="B56" s="649"/>
      <c r="C56" s="380">
        <v>10</v>
      </c>
      <c r="D56" s="351"/>
      <c r="E56" s="510"/>
      <c r="F56" s="510"/>
      <c r="G56" s="510"/>
      <c r="H56" s="657"/>
      <c r="I56" s="381" t="str">
        <f t="shared" si="24"/>
        <v>-</v>
      </c>
      <c r="J56" s="381" t="str">
        <f t="shared" si="25"/>
        <v>-</v>
      </c>
      <c r="K56" s="199" t="str">
        <f t="shared" si="26"/>
        <v>-</v>
      </c>
      <c r="L56" s="659"/>
      <c r="M56" s="418" t="e">
        <f>RANK(K56, K$47:$K$61)</f>
        <v>#VALUE!</v>
      </c>
      <c r="N56" s="643"/>
      <c r="O56" s="643"/>
      <c r="P56" s="563"/>
      <c r="Q56" s="565"/>
      <c r="R56" s="565"/>
      <c r="S56" s="563"/>
      <c r="T56" s="639"/>
      <c r="U56" s="563"/>
      <c r="V56" s="565"/>
      <c r="W56" s="565"/>
      <c r="X56" s="563"/>
      <c r="Y56" s="639"/>
      <c r="Z56" s="563"/>
      <c r="AA56" s="565"/>
      <c r="AB56" s="565"/>
      <c r="AC56" s="563"/>
      <c r="AD56" s="639"/>
      <c r="AE56" s="563"/>
      <c r="AF56" s="565"/>
      <c r="AG56" s="565"/>
      <c r="AH56" s="563"/>
      <c r="AI56" s="639"/>
      <c r="AJ56" s="563"/>
      <c r="AK56" s="565"/>
      <c r="AL56" s="565"/>
      <c r="AM56" s="563"/>
      <c r="AN56" s="639"/>
      <c r="AO56" s="563"/>
      <c r="AP56" s="565"/>
      <c r="AQ56" s="565"/>
      <c r="AR56" s="563"/>
      <c r="AS56" s="639"/>
      <c r="AT56" s="563"/>
      <c r="AU56" s="565"/>
      <c r="AV56" s="565"/>
      <c r="AW56" s="563"/>
      <c r="AX56" s="639"/>
      <c r="AZ56" s="368" t="e">
        <f t="shared" si="27"/>
        <v>#N/A</v>
      </c>
      <c r="BA56" s="639"/>
    </row>
    <row r="57" spans="2:53">
      <c r="B57" s="649"/>
      <c r="C57" s="380">
        <v>11</v>
      </c>
      <c r="D57" s="351"/>
      <c r="E57" s="510"/>
      <c r="F57" s="510"/>
      <c r="G57" s="510"/>
      <c r="H57" s="657"/>
      <c r="I57" s="381" t="str">
        <f t="shared" si="24"/>
        <v>-</v>
      </c>
      <c r="J57" s="381" t="str">
        <f t="shared" si="25"/>
        <v>-</v>
      </c>
      <c r="K57" s="199" t="str">
        <f t="shared" si="26"/>
        <v>-</v>
      </c>
      <c r="L57" s="659"/>
      <c r="M57" s="418" t="e">
        <f>RANK(K57, K$47:$K$61)</f>
        <v>#VALUE!</v>
      </c>
      <c r="N57" s="643"/>
      <c r="O57" s="643"/>
      <c r="P57" s="563"/>
      <c r="Q57" s="565"/>
      <c r="R57" s="565"/>
      <c r="S57" s="563"/>
      <c r="T57" s="639"/>
      <c r="U57" s="563"/>
      <c r="V57" s="565"/>
      <c r="W57" s="565"/>
      <c r="X57" s="563"/>
      <c r="Y57" s="639"/>
      <c r="Z57" s="563"/>
      <c r="AA57" s="565"/>
      <c r="AB57" s="565"/>
      <c r="AC57" s="563"/>
      <c r="AD57" s="639"/>
      <c r="AE57" s="563"/>
      <c r="AF57" s="565"/>
      <c r="AG57" s="565"/>
      <c r="AH57" s="563"/>
      <c r="AI57" s="639"/>
      <c r="AJ57" s="563"/>
      <c r="AK57" s="565"/>
      <c r="AL57" s="565"/>
      <c r="AM57" s="563"/>
      <c r="AN57" s="639"/>
      <c r="AO57" s="563"/>
      <c r="AP57" s="565"/>
      <c r="AQ57" s="565"/>
      <c r="AR57" s="563"/>
      <c r="AS57" s="639"/>
      <c r="AT57" s="563"/>
      <c r="AU57" s="565"/>
      <c r="AV57" s="565"/>
      <c r="AW57" s="563"/>
      <c r="AX57" s="639"/>
      <c r="AZ57" s="368" t="e">
        <f t="shared" si="27"/>
        <v>#N/A</v>
      </c>
      <c r="BA57" s="639"/>
    </row>
    <row r="58" spans="2:53">
      <c r="B58" s="649"/>
      <c r="C58" s="380">
        <v>12</v>
      </c>
      <c r="D58" s="351"/>
      <c r="E58" s="510"/>
      <c r="F58" s="510"/>
      <c r="G58" s="510"/>
      <c r="H58" s="657"/>
      <c r="I58" s="381" t="str">
        <f t="shared" si="24"/>
        <v>-</v>
      </c>
      <c r="J58" s="381" t="str">
        <f t="shared" si="25"/>
        <v>-</v>
      </c>
      <c r="K58" s="199" t="str">
        <f t="shared" si="26"/>
        <v>-</v>
      </c>
      <c r="L58" s="659"/>
      <c r="M58" s="418" t="e">
        <f>RANK(K58, K$47:$K$61)</f>
        <v>#VALUE!</v>
      </c>
      <c r="N58" s="643"/>
      <c r="O58" s="643"/>
      <c r="P58" s="563"/>
      <c r="Q58" s="565"/>
      <c r="R58" s="565"/>
      <c r="S58" s="563"/>
      <c r="T58" s="639"/>
      <c r="U58" s="563"/>
      <c r="V58" s="565"/>
      <c r="W58" s="565"/>
      <c r="X58" s="563"/>
      <c r="Y58" s="639"/>
      <c r="Z58" s="563"/>
      <c r="AA58" s="565"/>
      <c r="AB58" s="565"/>
      <c r="AC58" s="563"/>
      <c r="AD58" s="639"/>
      <c r="AE58" s="563"/>
      <c r="AF58" s="565"/>
      <c r="AG58" s="565"/>
      <c r="AH58" s="563"/>
      <c r="AI58" s="639"/>
      <c r="AJ58" s="563"/>
      <c r="AK58" s="565"/>
      <c r="AL58" s="565"/>
      <c r="AM58" s="563"/>
      <c r="AN58" s="639"/>
      <c r="AO58" s="563"/>
      <c r="AP58" s="565"/>
      <c r="AQ58" s="565"/>
      <c r="AR58" s="563"/>
      <c r="AS58" s="639"/>
      <c r="AT58" s="563"/>
      <c r="AU58" s="565"/>
      <c r="AV58" s="565"/>
      <c r="AW58" s="563"/>
      <c r="AX58" s="639"/>
      <c r="AZ58" s="368" t="e">
        <f t="shared" si="27"/>
        <v>#N/A</v>
      </c>
      <c r="BA58" s="639"/>
    </row>
    <row r="59" spans="2:53">
      <c r="B59" s="649"/>
      <c r="C59" s="380">
        <v>13</v>
      </c>
      <c r="D59" s="351"/>
      <c r="E59" s="510"/>
      <c r="F59" s="510"/>
      <c r="G59" s="510"/>
      <c r="H59" s="657"/>
      <c r="I59" s="381" t="str">
        <f t="shared" si="24"/>
        <v>-</v>
      </c>
      <c r="J59" s="381" t="str">
        <f t="shared" si="25"/>
        <v>-</v>
      </c>
      <c r="K59" s="199" t="str">
        <f t="shared" si="26"/>
        <v>-</v>
      </c>
      <c r="L59" s="659"/>
      <c r="M59" s="418" t="e">
        <f>RANK(K59, K$47:$K$61)</f>
        <v>#VALUE!</v>
      </c>
      <c r="N59" s="643"/>
      <c r="O59" s="643"/>
      <c r="P59" s="563"/>
      <c r="Q59" s="565"/>
      <c r="R59" s="565"/>
      <c r="S59" s="563"/>
      <c r="T59" s="639"/>
      <c r="U59" s="563"/>
      <c r="V59" s="565"/>
      <c r="W59" s="565"/>
      <c r="X59" s="563"/>
      <c r="Y59" s="639"/>
      <c r="Z59" s="563"/>
      <c r="AA59" s="565"/>
      <c r="AB59" s="565"/>
      <c r="AC59" s="563"/>
      <c r="AD59" s="639"/>
      <c r="AE59" s="563"/>
      <c r="AF59" s="565"/>
      <c r="AG59" s="565"/>
      <c r="AH59" s="563"/>
      <c r="AI59" s="639"/>
      <c r="AJ59" s="563"/>
      <c r="AK59" s="565"/>
      <c r="AL59" s="565"/>
      <c r="AM59" s="563"/>
      <c r="AN59" s="639"/>
      <c r="AO59" s="563"/>
      <c r="AP59" s="565"/>
      <c r="AQ59" s="565"/>
      <c r="AR59" s="563"/>
      <c r="AS59" s="639"/>
      <c r="AT59" s="563"/>
      <c r="AU59" s="565"/>
      <c r="AV59" s="565"/>
      <c r="AW59" s="563"/>
      <c r="AX59" s="639"/>
      <c r="AZ59" s="368" t="e">
        <f t="shared" si="27"/>
        <v>#N/A</v>
      </c>
      <c r="BA59" s="639"/>
    </row>
    <row r="60" spans="2:53">
      <c r="B60" s="649"/>
      <c r="C60" s="380">
        <v>14</v>
      </c>
      <c r="D60" s="351"/>
      <c r="E60" s="510"/>
      <c r="F60" s="510"/>
      <c r="G60" s="510"/>
      <c r="H60" s="657"/>
      <c r="I60" s="381" t="str">
        <f t="shared" si="24"/>
        <v>-</v>
      </c>
      <c r="J60" s="381" t="str">
        <f t="shared" si="25"/>
        <v>-</v>
      </c>
      <c r="K60" s="199" t="str">
        <f t="shared" si="26"/>
        <v>-</v>
      </c>
      <c r="L60" s="659"/>
      <c r="M60" s="418" t="e">
        <f>RANK(K60, K$47:$K$61)</f>
        <v>#VALUE!</v>
      </c>
      <c r="N60" s="643"/>
      <c r="O60" s="643"/>
      <c r="P60" s="563"/>
      <c r="Q60" s="565"/>
      <c r="R60" s="565"/>
      <c r="S60" s="563"/>
      <c r="T60" s="639"/>
      <c r="U60" s="563"/>
      <c r="V60" s="565"/>
      <c r="W60" s="565"/>
      <c r="X60" s="563"/>
      <c r="Y60" s="639"/>
      <c r="Z60" s="563"/>
      <c r="AA60" s="565"/>
      <c r="AB60" s="565"/>
      <c r="AC60" s="563"/>
      <c r="AD60" s="639"/>
      <c r="AE60" s="563"/>
      <c r="AF60" s="565"/>
      <c r="AG60" s="565"/>
      <c r="AH60" s="563"/>
      <c r="AI60" s="639"/>
      <c r="AJ60" s="563"/>
      <c r="AK60" s="565"/>
      <c r="AL60" s="565"/>
      <c r="AM60" s="563"/>
      <c r="AN60" s="639"/>
      <c r="AO60" s="563"/>
      <c r="AP60" s="565"/>
      <c r="AQ60" s="565"/>
      <c r="AR60" s="563"/>
      <c r="AS60" s="639"/>
      <c r="AT60" s="563"/>
      <c r="AU60" s="565"/>
      <c r="AV60" s="565"/>
      <c r="AW60" s="563"/>
      <c r="AX60" s="639"/>
      <c r="AZ60" s="368" t="e">
        <f t="shared" si="27"/>
        <v>#N/A</v>
      </c>
      <c r="BA60" s="639"/>
    </row>
    <row r="61" spans="2:53">
      <c r="B61" s="649"/>
      <c r="C61" s="380">
        <v>15</v>
      </c>
      <c r="D61" s="351"/>
      <c r="E61" s="510"/>
      <c r="F61" s="510"/>
      <c r="G61" s="510"/>
      <c r="H61" s="714"/>
      <c r="I61" s="384"/>
      <c r="J61" s="384"/>
      <c r="K61" s="382"/>
      <c r="L61" s="660"/>
      <c r="M61" s="418" t="e">
        <f>RANK(K61, K$47:$K$61)</f>
        <v>#N/A</v>
      </c>
      <c r="N61" s="643"/>
      <c r="O61" s="643"/>
      <c r="P61" s="563"/>
      <c r="Q61" s="565"/>
      <c r="R61" s="565"/>
      <c r="S61" s="563"/>
      <c r="T61" s="640"/>
      <c r="U61" s="563"/>
      <c r="V61" s="565"/>
      <c r="W61" s="565"/>
      <c r="X61" s="563"/>
      <c r="Y61" s="640"/>
      <c r="Z61" s="563"/>
      <c r="AA61" s="565"/>
      <c r="AB61" s="565"/>
      <c r="AC61" s="563"/>
      <c r="AD61" s="640"/>
      <c r="AE61" s="563"/>
      <c r="AF61" s="565"/>
      <c r="AG61" s="565"/>
      <c r="AH61" s="563"/>
      <c r="AI61" s="640"/>
      <c r="AJ61" s="563"/>
      <c r="AK61" s="565"/>
      <c r="AL61" s="565"/>
      <c r="AM61" s="563"/>
      <c r="AN61" s="640"/>
      <c r="AO61" s="563"/>
      <c r="AP61" s="565"/>
      <c r="AQ61" s="565"/>
      <c r="AR61" s="563"/>
      <c r="AS61" s="640"/>
      <c r="AT61" s="563"/>
      <c r="AU61" s="565"/>
      <c r="AV61" s="565"/>
      <c r="AW61" s="563"/>
      <c r="AX61" s="640"/>
      <c r="AZ61" s="368" t="e">
        <f t="shared" si="27"/>
        <v>#N/A</v>
      </c>
      <c r="BA61" s="640"/>
    </row>
    <row r="62" spans="2:53" ht="15.75">
      <c r="B62" s="671" t="s">
        <v>162</v>
      </c>
      <c r="C62" s="672"/>
      <c r="D62" s="672"/>
      <c r="E62" s="672"/>
      <c r="F62" s="672"/>
      <c r="G62" s="672"/>
      <c r="H62" s="673"/>
      <c r="I62" s="207"/>
      <c r="J62" s="207"/>
      <c r="K62" s="207"/>
      <c r="L62" s="207"/>
      <c r="M62" s="206"/>
      <c r="N62" s="645" t="s">
        <v>156</v>
      </c>
      <c r="O62" s="645" t="s">
        <v>105</v>
      </c>
      <c r="P62" s="670">
        <f>P42+7</f>
        <v>46287</v>
      </c>
      <c r="Q62" s="649"/>
      <c r="R62" s="649"/>
      <c r="S62" s="649"/>
      <c r="T62" s="649"/>
      <c r="U62" s="667">
        <f>P62+1</f>
        <v>46288</v>
      </c>
      <c r="V62" s="668"/>
      <c r="W62" s="668"/>
      <c r="X62" s="668"/>
      <c r="Y62" s="669"/>
      <c r="Z62" s="667">
        <f>U62+1</f>
        <v>46289</v>
      </c>
      <c r="AA62" s="668"/>
      <c r="AB62" s="668"/>
      <c r="AC62" s="668"/>
      <c r="AD62" s="669"/>
      <c r="AE62" s="667">
        <f>Z62+1</f>
        <v>46290</v>
      </c>
      <c r="AF62" s="668"/>
      <c r="AG62" s="668"/>
      <c r="AH62" s="668"/>
      <c r="AI62" s="669"/>
      <c r="AJ62" s="667">
        <f>AE62+1</f>
        <v>46291</v>
      </c>
      <c r="AK62" s="668"/>
      <c r="AL62" s="668"/>
      <c r="AM62" s="668"/>
      <c r="AN62" s="669"/>
      <c r="AO62" s="667">
        <f>AJ62+1</f>
        <v>46292</v>
      </c>
      <c r="AP62" s="668"/>
      <c r="AQ62" s="668"/>
      <c r="AR62" s="668"/>
      <c r="AS62" s="669"/>
      <c r="AT62" s="667">
        <f>AO62+1</f>
        <v>46293</v>
      </c>
      <c r="AU62" s="668"/>
      <c r="AV62" s="668"/>
      <c r="AW62" s="668"/>
      <c r="AX62" s="669"/>
    </row>
    <row r="63" spans="2:53" ht="15.75">
      <c r="B63" s="674"/>
      <c r="C63" s="674"/>
      <c r="D63" s="674"/>
      <c r="E63" s="674"/>
      <c r="F63" s="674"/>
      <c r="G63" s="674"/>
      <c r="H63" s="674"/>
      <c r="I63" s="204"/>
      <c r="J63" s="204"/>
      <c r="K63" s="204"/>
      <c r="L63" s="204"/>
      <c r="M63" s="205"/>
      <c r="N63" s="647"/>
      <c r="O63" s="647"/>
      <c r="P63" s="670" t="s">
        <v>317</v>
      </c>
      <c r="Q63" s="649"/>
      <c r="R63" s="649"/>
      <c r="S63" s="649"/>
      <c r="T63" s="649"/>
      <c r="U63" s="670" t="s">
        <v>318</v>
      </c>
      <c r="V63" s="649"/>
      <c r="W63" s="649"/>
      <c r="X63" s="649"/>
      <c r="Y63" s="649"/>
      <c r="Z63" s="670" t="s">
        <v>319</v>
      </c>
      <c r="AA63" s="649"/>
      <c r="AB63" s="649"/>
      <c r="AC63" s="649"/>
      <c r="AD63" s="649"/>
      <c r="AE63" s="670" t="s">
        <v>320</v>
      </c>
      <c r="AF63" s="649"/>
      <c r="AG63" s="649"/>
      <c r="AH63" s="649"/>
      <c r="AI63" s="649"/>
      <c r="AJ63" s="670" t="s">
        <v>321</v>
      </c>
      <c r="AK63" s="649"/>
      <c r="AL63" s="649"/>
      <c r="AM63" s="649"/>
      <c r="AN63" s="649"/>
      <c r="AO63" s="670" t="s">
        <v>322</v>
      </c>
      <c r="AP63" s="649"/>
      <c r="AQ63" s="649"/>
      <c r="AR63" s="649"/>
      <c r="AS63" s="649"/>
      <c r="AT63" s="670" t="s">
        <v>323</v>
      </c>
      <c r="AU63" s="649"/>
      <c r="AV63" s="649"/>
      <c r="AW63" s="649"/>
      <c r="AX63" s="649"/>
    </row>
    <row r="64" spans="2:53">
      <c r="B64" s="643" t="s">
        <v>362</v>
      </c>
      <c r="C64" s="643" t="s">
        <v>372</v>
      </c>
      <c r="D64" s="643"/>
      <c r="E64" s="643" t="s">
        <v>363</v>
      </c>
      <c r="F64" s="643"/>
      <c r="G64" s="643"/>
      <c r="H64" s="675" t="s">
        <v>359</v>
      </c>
      <c r="I64" s="643" t="s">
        <v>364</v>
      </c>
      <c r="J64" s="643"/>
      <c r="K64" s="643"/>
      <c r="L64" s="675" t="s">
        <v>359</v>
      </c>
      <c r="M64" s="645" t="s">
        <v>360</v>
      </c>
      <c r="N64" s="643"/>
      <c r="O64" s="643" t="s">
        <v>365</v>
      </c>
      <c r="P64" s="661" t="s">
        <v>361</v>
      </c>
      <c r="Q64" s="662"/>
      <c r="R64" s="662"/>
      <c r="S64" s="663"/>
      <c r="T64" s="643" t="s">
        <v>359</v>
      </c>
      <c r="U64" s="661" t="s">
        <v>361</v>
      </c>
      <c r="V64" s="662"/>
      <c r="W64" s="662"/>
      <c r="X64" s="663"/>
      <c r="Y64" s="643" t="s">
        <v>359</v>
      </c>
      <c r="Z64" s="661" t="s">
        <v>361</v>
      </c>
      <c r="AA64" s="662"/>
      <c r="AB64" s="662"/>
      <c r="AC64" s="663"/>
      <c r="AD64" s="643" t="s">
        <v>359</v>
      </c>
      <c r="AE64" s="661" t="s">
        <v>361</v>
      </c>
      <c r="AF64" s="662"/>
      <c r="AG64" s="662"/>
      <c r="AH64" s="663"/>
      <c r="AI64" s="643" t="s">
        <v>359</v>
      </c>
      <c r="AJ64" s="661" t="s">
        <v>361</v>
      </c>
      <c r="AK64" s="662"/>
      <c r="AL64" s="662"/>
      <c r="AM64" s="663"/>
      <c r="AN64" s="643" t="s">
        <v>359</v>
      </c>
      <c r="AO64" s="661" t="s">
        <v>361</v>
      </c>
      <c r="AP64" s="662"/>
      <c r="AQ64" s="662"/>
      <c r="AR64" s="663"/>
      <c r="AS64" s="643" t="s">
        <v>359</v>
      </c>
      <c r="AT64" s="661" t="s">
        <v>361</v>
      </c>
      <c r="AU64" s="662"/>
      <c r="AV64" s="662"/>
      <c r="AW64" s="663"/>
      <c r="AX64" s="643" t="s">
        <v>359</v>
      </c>
      <c r="BA64" s="643" t="s">
        <v>359</v>
      </c>
    </row>
    <row r="65" spans="2:53">
      <c r="B65" s="643"/>
      <c r="C65" s="643"/>
      <c r="D65" s="643"/>
      <c r="E65" s="643" t="s">
        <v>366</v>
      </c>
      <c r="F65" s="643"/>
      <c r="G65" s="643"/>
      <c r="H65" s="676"/>
      <c r="I65" s="643" t="s">
        <v>366</v>
      </c>
      <c r="J65" s="643"/>
      <c r="K65" s="643"/>
      <c r="L65" s="676"/>
      <c r="M65" s="646"/>
      <c r="N65" s="643"/>
      <c r="O65" s="643"/>
      <c r="P65" s="661" t="s">
        <v>367</v>
      </c>
      <c r="Q65" s="662"/>
      <c r="R65" s="662"/>
      <c r="S65" s="663"/>
      <c r="T65" s="643"/>
      <c r="U65" s="661" t="s">
        <v>367</v>
      </c>
      <c r="V65" s="662"/>
      <c r="W65" s="662"/>
      <c r="X65" s="663"/>
      <c r="Y65" s="643"/>
      <c r="Z65" s="661" t="s">
        <v>367</v>
      </c>
      <c r="AA65" s="662"/>
      <c r="AB65" s="662"/>
      <c r="AC65" s="663"/>
      <c r="AD65" s="643"/>
      <c r="AE65" s="661" t="s">
        <v>367</v>
      </c>
      <c r="AF65" s="662"/>
      <c r="AG65" s="662"/>
      <c r="AH65" s="663"/>
      <c r="AI65" s="643"/>
      <c r="AJ65" s="661" t="s">
        <v>367</v>
      </c>
      <c r="AK65" s="662"/>
      <c r="AL65" s="662"/>
      <c r="AM65" s="663"/>
      <c r="AN65" s="643"/>
      <c r="AO65" s="661" t="s">
        <v>367</v>
      </c>
      <c r="AP65" s="662"/>
      <c r="AQ65" s="662"/>
      <c r="AR65" s="663"/>
      <c r="AS65" s="643"/>
      <c r="AT65" s="661" t="s">
        <v>367</v>
      </c>
      <c r="AU65" s="662"/>
      <c r="AV65" s="662"/>
      <c r="AW65" s="663"/>
      <c r="AX65" s="643"/>
      <c r="BA65" s="643"/>
    </row>
    <row r="66" spans="2:53">
      <c r="B66" s="643"/>
      <c r="C66" s="643"/>
      <c r="D66" s="643"/>
      <c r="E66" s="378" t="s">
        <v>368</v>
      </c>
      <c r="F66" s="378" t="s">
        <v>369</v>
      </c>
      <c r="G66" s="378" t="s">
        <v>370</v>
      </c>
      <c r="H66" s="677"/>
      <c r="I66" s="378" t="s">
        <v>368</v>
      </c>
      <c r="J66" s="378" t="s">
        <v>369</v>
      </c>
      <c r="K66" s="378" t="s">
        <v>370</v>
      </c>
      <c r="L66" s="677"/>
      <c r="M66" s="647"/>
      <c r="N66" s="643"/>
      <c r="O66" s="643"/>
      <c r="P66" s="378" t="s">
        <v>368</v>
      </c>
      <c r="Q66" s="378" t="s">
        <v>369</v>
      </c>
      <c r="R66" s="378" t="s">
        <v>370</v>
      </c>
      <c r="S66" s="378" t="s">
        <v>360</v>
      </c>
      <c r="T66" s="643"/>
      <c r="U66" s="378" t="s">
        <v>368</v>
      </c>
      <c r="V66" s="378" t="s">
        <v>369</v>
      </c>
      <c r="W66" s="378" t="s">
        <v>370</v>
      </c>
      <c r="X66" s="378" t="s">
        <v>360</v>
      </c>
      <c r="Y66" s="643"/>
      <c r="Z66" s="378" t="s">
        <v>368</v>
      </c>
      <c r="AA66" s="378" t="s">
        <v>369</v>
      </c>
      <c r="AB66" s="378" t="s">
        <v>370</v>
      </c>
      <c r="AC66" s="378" t="s">
        <v>360</v>
      </c>
      <c r="AD66" s="643"/>
      <c r="AE66" s="378" t="s">
        <v>368</v>
      </c>
      <c r="AF66" s="378" t="s">
        <v>369</v>
      </c>
      <c r="AG66" s="378" t="s">
        <v>370</v>
      </c>
      <c r="AH66" s="378" t="s">
        <v>360</v>
      </c>
      <c r="AI66" s="643"/>
      <c r="AJ66" s="378" t="s">
        <v>368</v>
      </c>
      <c r="AK66" s="378" t="s">
        <v>369</v>
      </c>
      <c r="AL66" s="378" t="s">
        <v>370</v>
      </c>
      <c r="AM66" s="378" t="s">
        <v>360</v>
      </c>
      <c r="AN66" s="643"/>
      <c r="AO66" s="378" t="s">
        <v>368</v>
      </c>
      <c r="AP66" s="378" t="s">
        <v>369</v>
      </c>
      <c r="AQ66" s="378" t="s">
        <v>370</v>
      </c>
      <c r="AR66" s="378" t="s">
        <v>360</v>
      </c>
      <c r="AS66" s="643"/>
      <c r="AT66" s="378" t="s">
        <v>368</v>
      </c>
      <c r="AU66" s="378" t="s">
        <v>369</v>
      </c>
      <c r="AV66" s="378" t="s">
        <v>370</v>
      </c>
      <c r="AW66" s="378" t="s">
        <v>360</v>
      </c>
      <c r="AX66" s="643"/>
      <c r="AZ66" s="367" t="s">
        <v>360</v>
      </c>
      <c r="BA66" s="643"/>
    </row>
    <row r="67" spans="2:53">
      <c r="B67" s="701" t="s">
        <v>371</v>
      </c>
      <c r="C67" s="380">
        <v>1</v>
      </c>
      <c r="D67" s="351"/>
      <c r="E67" s="510"/>
      <c r="F67" s="510"/>
      <c r="G67" s="510"/>
      <c r="H67" s="656" t="e">
        <f>AVERAGE(G67:G81)</f>
        <v>#DIV/0!</v>
      </c>
      <c r="I67" s="381" t="str">
        <f t="shared" ref="I67:I80" si="29">IFERROR(AVERAGE(P67,U67,Z67,AE67,AJ67,AO67,AT67),"-")</f>
        <v>-</v>
      </c>
      <c r="J67" s="381" t="str">
        <f t="shared" ref="J67:J80" si="30">IFERROR(AVERAGE(Q67,V67,AA67,AF67,AK67,AP67,AU67),"-")</f>
        <v>-</v>
      </c>
      <c r="K67" s="199" t="str">
        <f t="shared" ref="K67:K80" si="31">IFERROR(AVERAGE(R67,W67,AB67,AG67,AL67,AQ67,AV67),"-")</f>
        <v>-</v>
      </c>
      <c r="L67" s="658" t="str">
        <f>IFERROR(AVERAGE(K67:K81),"-")</f>
        <v>-</v>
      </c>
      <c r="M67" s="384" t="e">
        <f>RANK(K67, K$67:$K$81)</f>
        <v>#VALUE!</v>
      </c>
      <c r="N67" s="643"/>
      <c r="O67" s="643"/>
      <c r="P67" s="563"/>
      <c r="Q67" s="565"/>
      <c r="R67" s="565"/>
      <c r="S67" s="563"/>
      <c r="T67" s="638"/>
      <c r="U67" s="563"/>
      <c r="V67" s="565"/>
      <c r="W67" s="565"/>
      <c r="X67" s="563"/>
      <c r="Y67" s="638"/>
      <c r="Z67" s="563"/>
      <c r="AA67" s="565"/>
      <c r="AB67" s="565"/>
      <c r="AC67" s="563"/>
      <c r="AD67" s="638"/>
      <c r="AE67" s="563"/>
      <c r="AF67" s="565"/>
      <c r="AG67" s="565"/>
      <c r="AH67" s="563"/>
      <c r="AI67" s="638"/>
      <c r="AJ67" s="563"/>
      <c r="AK67" s="565"/>
      <c r="AL67" s="565"/>
      <c r="AM67" s="563"/>
      <c r="AN67" s="638"/>
      <c r="AO67" s="563"/>
      <c r="AP67" s="565"/>
      <c r="AQ67" s="565"/>
      <c r="AR67" s="563"/>
      <c r="AS67" s="638"/>
      <c r="AT67" s="563"/>
      <c r="AU67" s="565"/>
      <c r="AV67" s="565"/>
      <c r="AW67" s="563"/>
      <c r="AX67" s="638"/>
      <c r="AZ67" s="368" t="e">
        <f t="shared" ref="AZ67:AZ81" si="32">RANK(AY67, AY$67:AY$81)</f>
        <v>#N/A</v>
      </c>
      <c r="BA67" s="638" t="e">
        <f t="shared" ref="BA67" si="33">AVERAGE(AY67:AY81)</f>
        <v>#DIV/0!</v>
      </c>
    </row>
    <row r="68" spans="2:53">
      <c r="B68" s="649"/>
      <c r="C68" s="380">
        <v>2</v>
      </c>
      <c r="D68" s="351"/>
      <c r="E68" s="510"/>
      <c r="F68" s="510"/>
      <c r="G68" s="510"/>
      <c r="H68" s="657"/>
      <c r="I68" s="381" t="str">
        <f t="shared" si="29"/>
        <v>-</v>
      </c>
      <c r="J68" s="381" t="str">
        <f t="shared" si="30"/>
        <v>-</v>
      </c>
      <c r="K68" s="199" t="str">
        <f t="shared" si="31"/>
        <v>-</v>
      </c>
      <c r="L68" s="659"/>
      <c r="M68" s="384" t="e">
        <f>RANK(K68, K$67:$K$81)</f>
        <v>#VALUE!</v>
      </c>
      <c r="N68" s="643"/>
      <c r="O68" s="643"/>
      <c r="P68" s="563"/>
      <c r="Q68" s="565"/>
      <c r="R68" s="565"/>
      <c r="S68" s="563"/>
      <c r="T68" s="639"/>
      <c r="U68" s="563"/>
      <c r="V68" s="565"/>
      <c r="W68" s="565"/>
      <c r="X68" s="563"/>
      <c r="Y68" s="639"/>
      <c r="Z68" s="563"/>
      <c r="AA68" s="565"/>
      <c r="AB68" s="565"/>
      <c r="AC68" s="563"/>
      <c r="AD68" s="639"/>
      <c r="AE68" s="563"/>
      <c r="AF68" s="565"/>
      <c r="AG68" s="565"/>
      <c r="AH68" s="563"/>
      <c r="AI68" s="639"/>
      <c r="AJ68" s="563"/>
      <c r="AK68" s="565"/>
      <c r="AL68" s="565"/>
      <c r="AM68" s="563"/>
      <c r="AN68" s="639"/>
      <c r="AO68" s="563"/>
      <c r="AP68" s="565"/>
      <c r="AQ68" s="565"/>
      <c r="AR68" s="563"/>
      <c r="AS68" s="639"/>
      <c r="AT68" s="563"/>
      <c r="AU68" s="565"/>
      <c r="AV68" s="565"/>
      <c r="AW68" s="563"/>
      <c r="AX68" s="639"/>
      <c r="AZ68" s="368" t="e">
        <f t="shared" si="32"/>
        <v>#N/A</v>
      </c>
      <c r="BA68" s="639"/>
    </row>
    <row r="69" spans="2:53">
      <c r="B69" s="649"/>
      <c r="C69" s="380">
        <v>3</v>
      </c>
      <c r="D69" s="351"/>
      <c r="E69" s="510"/>
      <c r="F69" s="510"/>
      <c r="G69" s="510"/>
      <c r="H69" s="657"/>
      <c r="I69" s="381" t="str">
        <f t="shared" si="29"/>
        <v>-</v>
      </c>
      <c r="J69" s="381" t="str">
        <f t="shared" si="30"/>
        <v>-</v>
      </c>
      <c r="K69" s="199" t="str">
        <f t="shared" si="31"/>
        <v>-</v>
      </c>
      <c r="L69" s="659"/>
      <c r="M69" s="384" t="e">
        <f>RANK(K69, K$67:$K$81)</f>
        <v>#VALUE!</v>
      </c>
      <c r="N69" s="643"/>
      <c r="O69" s="643"/>
      <c r="P69" s="563"/>
      <c r="Q69" s="565"/>
      <c r="R69" s="565"/>
      <c r="S69" s="563"/>
      <c r="T69" s="639"/>
      <c r="U69" s="563"/>
      <c r="V69" s="565"/>
      <c r="W69" s="565"/>
      <c r="X69" s="563"/>
      <c r="Y69" s="639"/>
      <c r="Z69" s="563"/>
      <c r="AA69" s="565"/>
      <c r="AB69" s="565"/>
      <c r="AC69" s="563"/>
      <c r="AD69" s="639"/>
      <c r="AE69" s="563"/>
      <c r="AF69" s="565"/>
      <c r="AG69" s="565"/>
      <c r="AH69" s="563"/>
      <c r="AI69" s="639"/>
      <c r="AJ69" s="563"/>
      <c r="AK69" s="565"/>
      <c r="AL69" s="565"/>
      <c r="AM69" s="563"/>
      <c r="AN69" s="639"/>
      <c r="AO69" s="563"/>
      <c r="AP69" s="565"/>
      <c r="AQ69" s="565"/>
      <c r="AR69" s="563"/>
      <c r="AS69" s="639"/>
      <c r="AT69" s="563"/>
      <c r="AU69" s="565"/>
      <c r="AV69" s="565"/>
      <c r="AW69" s="563"/>
      <c r="AX69" s="639"/>
      <c r="AZ69" s="368" t="e">
        <f t="shared" si="32"/>
        <v>#N/A</v>
      </c>
      <c r="BA69" s="639"/>
    </row>
    <row r="70" spans="2:53">
      <c r="B70" s="649"/>
      <c r="C70" s="380">
        <v>4</v>
      </c>
      <c r="D70" s="351"/>
      <c r="E70" s="510"/>
      <c r="F70" s="510"/>
      <c r="G70" s="510"/>
      <c r="H70" s="657"/>
      <c r="I70" s="381" t="str">
        <f t="shared" si="29"/>
        <v>-</v>
      </c>
      <c r="J70" s="381" t="str">
        <f t="shared" si="30"/>
        <v>-</v>
      </c>
      <c r="K70" s="199" t="str">
        <f t="shared" si="31"/>
        <v>-</v>
      </c>
      <c r="L70" s="659"/>
      <c r="M70" s="384" t="e">
        <f>RANK(K70, K$67:$K$81)</f>
        <v>#VALUE!</v>
      </c>
      <c r="N70" s="643"/>
      <c r="O70" s="643"/>
      <c r="P70" s="563"/>
      <c r="Q70" s="565"/>
      <c r="R70" s="565"/>
      <c r="S70" s="563"/>
      <c r="T70" s="639"/>
      <c r="U70" s="563"/>
      <c r="V70" s="565"/>
      <c r="W70" s="565"/>
      <c r="X70" s="563"/>
      <c r="Y70" s="639"/>
      <c r="Z70" s="563"/>
      <c r="AA70" s="565"/>
      <c r="AB70" s="565"/>
      <c r="AC70" s="563"/>
      <c r="AD70" s="639"/>
      <c r="AE70" s="563"/>
      <c r="AF70" s="565"/>
      <c r="AG70" s="565"/>
      <c r="AH70" s="563"/>
      <c r="AI70" s="639"/>
      <c r="AJ70" s="563"/>
      <c r="AK70" s="565"/>
      <c r="AL70" s="565"/>
      <c r="AM70" s="563"/>
      <c r="AN70" s="639"/>
      <c r="AO70" s="563"/>
      <c r="AP70" s="565"/>
      <c r="AQ70" s="565"/>
      <c r="AR70" s="563"/>
      <c r="AS70" s="639"/>
      <c r="AT70" s="563"/>
      <c r="AU70" s="565"/>
      <c r="AV70" s="565"/>
      <c r="AW70" s="563"/>
      <c r="AX70" s="639"/>
      <c r="AZ70" s="368" t="e">
        <f t="shared" si="32"/>
        <v>#N/A</v>
      </c>
      <c r="BA70" s="639"/>
    </row>
    <row r="71" spans="2:53">
      <c r="B71" s="649"/>
      <c r="C71" s="380">
        <v>5</v>
      </c>
      <c r="D71" s="351"/>
      <c r="E71" s="510"/>
      <c r="F71" s="510"/>
      <c r="G71" s="510"/>
      <c r="H71" s="657"/>
      <c r="I71" s="381" t="str">
        <f t="shared" si="29"/>
        <v>-</v>
      </c>
      <c r="J71" s="381" t="str">
        <f t="shared" si="30"/>
        <v>-</v>
      </c>
      <c r="K71" s="199" t="str">
        <f t="shared" si="31"/>
        <v>-</v>
      </c>
      <c r="L71" s="659"/>
      <c r="M71" s="384" t="e">
        <f>RANK(K71, K$67:$K$81)</f>
        <v>#VALUE!</v>
      </c>
      <c r="N71" s="643"/>
      <c r="O71" s="643"/>
      <c r="P71" s="563"/>
      <c r="Q71" s="565"/>
      <c r="R71" s="565"/>
      <c r="S71" s="563"/>
      <c r="T71" s="639"/>
      <c r="U71" s="563"/>
      <c r="V71" s="565"/>
      <c r="W71" s="565"/>
      <c r="X71" s="563"/>
      <c r="Y71" s="639"/>
      <c r="Z71" s="563"/>
      <c r="AA71" s="565"/>
      <c r="AB71" s="565"/>
      <c r="AC71" s="563"/>
      <c r="AD71" s="639"/>
      <c r="AE71" s="563"/>
      <c r="AF71" s="565"/>
      <c r="AG71" s="565"/>
      <c r="AH71" s="563"/>
      <c r="AI71" s="639"/>
      <c r="AJ71" s="563"/>
      <c r="AK71" s="565"/>
      <c r="AL71" s="565"/>
      <c r="AM71" s="563"/>
      <c r="AN71" s="639"/>
      <c r="AO71" s="563"/>
      <c r="AP71" s="565"/>
      <c r="AQ71" s="565"/>
      <c r="AR71" s="563"/>
      <c r="AS71" s="639"/>
      <c r="AT71" s="563"/>
      <c r="AU71" s="565"/>
      <c r="AV71" s="565"/>
      <c r="AW71" s="563"/>
      <c r="AX71" s="639"/>
      <c r="AZ71" s="368" t="e">
        <f t="shared" si="32"/>
        <v>#N/A</v>
      </c>
      <c r="BA71" s="639"/>
    </row>
    <row r="72" spans="2:53">
      <c r="B72" s="649"/>
      <c r="C72" s="380">
        <v>6</v>
      </c>
      <c r="D72" s="351"/>
      <c r="E72" s="510"/>
      <c r="F72" s="510"/>
      <c r="G72" s="510"/>
      <c r="H72" s="657"/>
      <c r="I72" s="381" t="str">
        <f t="shared" si="29"/>
        <v>-</v>
      </c>
      <c r="J72" s="381" t="str">
        <f t="shared" si="30"/>
        <v>-</v>
      </c>
      <c r="K72" s="199" t="str">
        <f t="shared" si="31"/>
        <v>-</v>
      </c>
      <c r="L72" s="659"/>
      <c r="M72" s="384" t="e">
        <f>RANK(K72, K$67:$K$81)</f>
        <v>#VALUE!</v>
      </c>
      <c r="N72" s="643"/>
      <c r="O72" s="643"/>
      <c r="P72" s="563"/>
      <c r="Q72" s="565"/>
      <c r="R72" s="565"/>
      <c r="S72" s="563"/>
      <c r="T72" s="639"/>
      <c r="U72" s="563"/>
      <c r="V72" s="565"/>
      <c r="W72" s="565"/>
      <c r="X72" s="563"/>
      <c r="Y72" s="639"/>
      <c r="Z72" s="563"/>
      <c r="AA72" s="565"/>
      <c r="AB72" s="565"/>
      <c r="AC72" s="563"/>
      <c r="AD72" s="639"/>
      <c r="AE72" s="563"/>
      <c r="AF72" s="565"/>
      <c r="AG72" s="565"/>
      <c r="AH72" s="563"/>
      <c r="AI72" s="639"/>
      <c r="AJ72" s="563"/>
      <c r="AK72" s="565"/>
      <c r="AL72" s="565"/>
      <c r="AM72" s="563"/>
      <c r="AN72" s="639"/>
      <c r="AO72" s="563"/>
      <c r="AP72" s="565"/>
      <c r="AQ72" s="565"/>
      <c r="AR72" s="563"/>
      <c r="AS72" s="639"/>
      <c r="AT72" s="563"/>
      <c r="AU72" s="565"/>
      <c r="AV72" s="565"/>
      <c r="AW72" s="563"/>
      <c r="AX72" s="639"/>
      <c r="AZ72" s="368" t="e">
        <f t="shared" si="32"/>
        <v>#N/A</v>
      </c>
      <c r="BA72" s="639"/>
    </row>
    <row r="73" spans="2:53">
      <c r="B73" s="649"/>
      <c r="C73" s="380">
        <v>7</v>
      </c>
      <c r="D73" s="351"/>
      <c r="E73" s="510"/>
      <c r="F73" s="510"/>
      <c r="G73" s="510"/>
      <c r="H73" s="657"/>
      <c r="I73" s="381" t="str">
        <f t="shared" si="29"/>
        <v>-</v>
      </c>
      <c r="J73" s="381" t="str">
        <f t="shared" si="30"/>
        <v>-</v>
      </c>
      <c r="K73" s="199" t="str">
        <f t="shared" si="31"/>
        <v>-</v>
      </c>
      <c r="L73" s="659"/>
      <c r="M73" s="384" t="e">
        <f>RANK(K73, K$67:$K$81)</f>
        <v>#VALUE!</v>
      </c>
      <c r="N73" s="643"/>
      <c r="O73" s="643"/>
      <c r="P73" s="563"/>
      <c r="Q73" s="565"/>
      <c r="R73" s="565"/>
      <c r="S73" s="563"/>
      <c r="T73" s="639"/>
      <c r="U73" s="563"/>
      <c r="V73" s="565"/>
      <c r="W73" s="565"/>
      <c r="X73" s="563"/>
      <c r="Y73" s="639"/>
      <c r="Z73" s="563"/>
      <c r="AA73" s="565"/>
      <c r="AB73" s="565"/>
      <c r="AC73" s="563"/>
      <c r="AD73" s="639"/>
      <c r="AE73" s="563"/>
      <c r="AF73" s="565"/>
      <c r="AG73" s="565"/>
      <c r="AH73" s="563"/>
      <c r="AI73" s="639"/>
      <c r="AJ73" s="563"/>
      <c r="AK73" s="565"/>
      <c r="AL73" s="565"/>
      <c r="AM73" s="563"/>
      <c r="AN73" s="639"/>
      <c r="AO73" s="563"/>
      <c r="AP73" s="565"/>
      <c r="AQ73" s="565"/>
      <c r="AR73" s="563"/>
      <c r="AS73" s="639"/>
      <c r="AT73" s="563"/>
      <c r="AU73" s="565"/>
      <c r="AV73" s="565"/>
      <c r="AW73" s="563"/>
      <c r="AX73" s="639"/>
      <c r="AZ73" s="368" t="e">
        <f t="shared" si="32"/>
        <v>#N/A</v>
      </c>
      <c r="BA73" s="639"/>
    </row>
    <row r="74" spans="2:53">
      <c r="B74" s="649"/>
      <c r="C74" s="380">
        <v>8</v>
      </c>
      <c r="D74" s="351"/>
      <c r="E74" s="510"/>
      <c r="F74" s="510"/>
      <c r="G74" s="510"/>
      <c r="H74" s="657"/>
      <c r="I74" s="381" t="str">
        <f t="shared" si="29"/>
        <v>-</v>
      </c>
      <c r="J74" s="381" t="str">
        <f t="shared" si="30"/>
        <v>-</v>
      </c>
      <c r="K74" s="199" t="str">
        <f t="shared" si="31"/>
        <v>-</v>
      </c>
      <c r="L74" s="659"/>
      <c r="M74" s="384" t="e">
        <f>RANK(K74, K$67:$K$81)</f>
        <v>#VALUE!</v>
      </c>
      <c r="N74" s="643"/>
      <c r="O74" s="643"/>
      <c r="P74" s="563"/>
      <c r="Q74" s="565"/>
      <c r="R74" s="565"/>
      <c r="S74" s="563"/>
      <c r="T74" s="639"/>
      <c r="U74" s="563"/>
      <c r="V74" s="565"/>
      <c r="W74" s="565"/>
      <c r="X74" s="563"/>
      <c r="Y74" s="639"/>
      <c r="Z74" s="563"/>
      <c r="AA74" s="565"/>
      <c r="AB74" s="565"/>
      <c r="AC74" s="563"/>
      <c r="AD74" s="639"/>
      <c r="AE74" s="563"/>
      <c r="AF74" s="565"/>
      <c r="AG74" s="565"/>
      <c r="AH74" s="563"/>
      <c r="AI74" s="639"/>
      <c r="AJ74" s="563"/>
      <c r="AK74" s="565"/>
      <c r="AL74" s="565"/>
      <c r="AM74" s="563"/>
      <c r="AN74" s="639"/>
      <c r="AO74" s="563"/>
      <c r="AP74" s="565"/>
      <c r="AQ74" s="565"/>
      <c r="AR74" s="563"/>
      <c r="AS74" s="639"/>
      <c r="AT74" s="563"/>
      <c r="AU74" s="565"/>
      <c r="AV74" s="565"/>
      <c r="AW74" s="563"/>
      <c r="AX74" s="639"/>
      <c r="AZ74" s="368" t="e">
        <f t="shared" si="32"/>
        <v>#N/A</v>
      </c>
      <c r="BA74" s="639"/>
    </row>
    <row r="75" spans="2:53">
      <c r="B75" s="649"/>
      <c r="C75" s="380">
        <v>9</v>
      </c>
      <c r="D75" s="351"/>
      <c r="E75" s="510"/>
      <c r="F75" s="510"/>
      <c r="G75" s="510"/>
      <c r="H75" s="657"/>
      <c r="I75" s="381" t="str">
        <f t="shared" si="29"/>
        <v>-</v>
      </c>
      <c r="J75" s="381" t="str">
        <f t="shared" si="30"/>
        <v>-</v>
      </c>
      <c r="K75" s="199" t="str">
        <f t="shared" si="31"/>
        <v>-</v>
      </c>
      <c r="L75" s="659"/>
      <c r="M75" s="384" t="e">
        <f>RANK(K75, K$67:$K$81)</f>
        <v>#VALUE!</v>
      </c>
      <c r="N75" s="643"/>
      <c r="O75" s="643"/>
      <c r="P75" s="563"/>
      <c r="Q75" s="565"/>
      <c r="R75" s="565"/>
      <c r="S75" s="563"/>
      <c r="T75" s="639"/>
      <c r="U75" s="563"/>
      <c r="V75" s="565"/>
      <c r="W75" s="565"/>
      <c r="X75" s="563"/>
      <c r="Y75" s="639"/>
      <c r="Z75" s="563"/>
      <c r="AA75" s="565"/>
      <c r="AB75" s="565"/>
      <c r="AC75" s="563"/>
      <c r="AD75" s="639"/>
      <c r="AE75" s="563"/>
      <c r="AF75" s="565"/>
      <c r="AG75" s="565"/>
      <c r="AH75" s="563"/>
      <c r="AI75" s="639"/>
      <c r="AJ75" s="563"/>
      <c r="AK75" s="565"/>
      <c r="AL75" s="565"/>
      <c r="AM75" s="563"/>
      <c r="AN75" s="639"/>
      <c r="AO75" s="563"/>
      <c r="AP75" s="565"/>
      <c r="AQ75" s="565"/>
      <c r="AR75" s="563"/>
      <c r="AS75" s="639"/>
      <c r="AT75" s="563"/>
      <c r="AU75" s="565"/>
      <c r="AV75" s="565"/>
      <c r="AW75" s="563"/>
      <c r="AX75" s="639"/>
      <c r="AZ75" s="368" t="e">
        <f t="shared" si="32"/>
        <v>#N/A</v>
      </c>
      <c r="BA75" s="639"/>
    </row>
    <row r="76" spans="2:53">
      <c r="B76" s="649"/>
      <c r="C76" s="380">
        <v>10</v>
      </c>
      <c r="D76" s="351"/>
      <c r="E76" s="510"/>
      <c r="F76" s="510"/>
      <c r="G76" s="510"/>
      <c r="H76" s="657"/>
      <c r="I76" s="381" t="str">
        <f t="shared" si="29"/>
        <v>-</v>
      </c>
      <c r="J76" s="381" t="str">
        <f t="shared" si="30"/>
        <v>-</v>
      </c>
      <c r="K76" s="199" t="str">
        <f t="shared" si="31"/>
        <v>-</v>
      </c>
      <c r="L76" s="659"/>
      <c r="M76" s="384" t="e">
        <f>RANK(K76, K$67:$K$81)</f>
        <v>#VALUE!</v>
      </c>
      <c r="N76" s="643"/>
      <c r="O76" s="643"/>
      <c r="P76" s="563"/>
      <c r="Q76" s="565"/>
      <c r="R76" s="565"/>
      <c r="S76" s="563"/>
      <c r="T76" s="639"/>
      <c r="U76" s="563"/>
      <c r="V76" s="565"/>
      <c r="W76" s="565"/>
      <c r="X76" s="563"/>
      <c r="Y76" s="639"/>
      <c r="Z76" s="563"/>
      <c r="AA76" s="565"/>
      <c r="AB76" s="565"/>
      <c r="AC76" s="563"/>
      <c r="AD76" s="639"/>
      <c r="AE76" s="563"/>
      <c r="AF76" s="565"/>
      <c r="AG76" s="565"/>
      <c r="AH76" s="563"/>
      <c r="AI76" s="639"/>
      <c r="AJ76" s="563"/>
      <c r="AK76" s="565"/>
      <c r="AL76" s="565"/>
      <c r="AM76" s="563"/>
      <c r="AN76" s="639"/>
      <c r="AO76" s="563"/>
      <c r="AP76" s="565"/>
      <c r="AQ76" s="565"/>
      <c r="AR76" s="563"/>
      <c r="AS76" s="639"/>
      <c r="AT76" s="563"/>
      <c r="AU76" s="565"/>
      <c r="AV76" s="565"/>
      <c r="AW76" s="563"/>
      <c r="AX76" s="639"/>
      <c r="AZ76" s="368" t="e">
        <f t="shared" si="32"/>
        <v>#N/A</v>
      </c>
      <c r="BA76" s="639"/>
    </row>
    <row r="77" spans="2:53">
      <c r="B77" s="649"/>
      <c r="C77" s="380">
        <v>11</v>
      </c>
      <c r="D77" s="351"/>
      <c r="E77" s="510"/>
      <c r="F77" s="510"/>
      <c r="G77" s="510"/>
      <c r="H77" s="657"/>
      <c r="I77" s="381" t="str">
        <f t="shared" si="29"/>
        <v>-</v>
      </c>
      <c r="J77" s="381" t="str">
        <f t="shared" si="30"/>
        <v>-</v>
      </c>
      <c r="K77" s="199" t="str">
        <f t="shared" si="31"/>
        <v>-</v>
      </c>
      <c r="L77" s="659"/>
      <c r="M77" s="384" t="e">
        <f>RANK(K77, K$67:$K$81)</f>
        <v>#VALUE!</v>
      </c>
      <c r="N77" s="643"/>
      <c r="O77" s="643"/>
      <c r="P77" s="563"/>
      <c r="Q77" s="565"/>
      <c r="R77" s="565"/>
      <c r="S77" s="563"/>
      <c r="T77" s="639"/>
      <c r="U77" s="563"/>
      <c r="V77" s="565"/>
      <c r="W77" s="565"/>
      <c r="X77" s="563"/>
      <c r="Y77" s="639"/>
      <c r="Z77" s="563"/>
      <c r="AA77" s="565"/>
      <c r="AB77" s="565"/>
      <c r="AC77" s="563"/>
      <c r="AD77" s="639"/>
      <c r="AE77" s="563"/>
      <c r="AF77" s="565"/>
      <c r="AG77" s="565"/>
      <c r="AH77" s="563"/>
      <c r="AI77" s="639"/>
      <c r="AJ77" s="563"/>
      <c r="AK77" s="565"/>
      <c r="AL77" s="565"/>
      <c r="AM77" s="563"/>
      <c r="AN77" s="639"/>
      <c r="AO77" s="563"/>
      <c r="AP77" s="565"/>
      <c r="AQ77" s="565"/>
      <c r="AR77" s="563"/>
      <c r="AS77" s="639"/>
      <c r="AT77" s="563"/>
      <c r="AU77" s="565"/>
      <c r="AV77" s="565"/>
      <c r="AW77" s="563"/>
      <c r="AX77" s="639"/>
      <c r="AZ77" s="368" t="e">
        <f t="shared" si="32"/>
        <v>#N/A</v>
      </c>
      <c r="BA77" s="639"/>
    </row>
    <row r="78" spans="2:53">
      <c r="B78" s="649"/>
      <c r="C78" s="380">
        <v>12</v>
      </c>
      <c r="D78" s="351"/>
      <c r="E78" s="510"/>
      <c r="F78" s="510"/>
      <c r="G78" s="510"/>
      <c r="H78" s="657"/>
      <c r="I78" s="381" t="str">
        <f t="shared" si="29"/>
        <v>-</v>
      </c>
      <c r="J78" s="381" t="str">
        <f t="shared" si="30"/>
        <v>-</v>
      </c>
      <c r="K78" s="199" t="str">
        <f t="shared" si="31"/>
        <v>-</v>
      </c>
      <c r="L78" s="659"/>
      <c r="M78" s="384" t="e">
        <f>RANK(K78, K$67:$K$81)</f>
        <v>#VALUE!</v>
      </c>
      <c r="N78" s="643"/>
      <c r="O78" s="643"/>
      <c r="P78" s="563"/>
      <c r="Q78" s="565"/>
      <c r="R78" s="565"/>
      <c r="S78" s="563"/>
      <c r="T78" s="639"/>
      <c r="U78" s="563"/>
      <c r="V78" s="565"/>
      <c r="W78" s="565"/>
      <c r="X78" s="563"/>
      <c r="Y78" s="639"/>
      <c r="Z78" s="563"/>
      <c r="AA78" s="565"/>
      <c r="AB78" s="565"/>
      <c r="AC78" s="563"/>
      <c r="AD78" s="639"/>
      <c r="AE78" s="563"/>
      <c r="AF78" s="565"/>
      <c r="AG78" s="565"/>
      <c r="AH78" s="563"/>
      <c r="AI78" s="639"/>
      <c r="AJ78" s="563"/>
      <c r="AK78" s="565"/>
      <c r="AL78" s="565"/>
      <c r="AM78" s="563"/>
      <c r="AN78" s="639"/>
      <c r="AO78" s="563"/>
      <c r="AP78" s="565"/>
      <c r="AQ78" s="565"/>
      <c r="AR78" s="563"/>
      <c r="AS78" s="639"/>
      <c r="AT78" s="563"/>
      <c r="AU78" s="565"/>
      <c r="AV78" s="565"/>
      <c r="AW78" s="563"/>
      <c r="AX78" s="639"/>
      <c r="AZ78" s="368" t="e">
        <f t="shared" si="32"/>
        <v>#N/A</v>
      </c>
      <c r="BA78" s="639"/>
    </row>
    <row r="79" spans="2:53">
      <c r="B79" s="649"/>
      <c r="C79" s="380">
        <v>13</v>
      </c>
      <c r="D79" s="351"/>
      <c r="E79" s="510"/>
      <c r="F79" s="510"/>
      <c r="G79" s="510"/>
      <c r="H79" s="657"/>
      <c r="I79" s="381" t="str">
        <f t="shared" si="29"/>
        <v>-</v>
      </c>
      <c r="J79" s="381" t="str">
        <f t="shared" si="30"/>
        <v>-</v>
      </c>
      <c r="K79" s="199" t="str">
        <f t="shared" si="31"/>
        <v>-</v>
      </c>
      <c r="L79" s="659"/>
      <c r="M79" s="384" t="e">
        <f>RANK(K79, K$67:$K$81)</f>
        <v>#VALUE!</v>
      </c>
      <c r="N79" s="643"/>
      <c r="O79" s="643"/>
      <c r="P79" s="563"/>
      <c r="Q79" s="565"/>
      <c r="R79" s="565"/>
      <c r="S79" s="563"/>
      <c r="T79" s="639"/>
      <c r="U79" s="563"/>
      <c r="V79" s="565"/>
      <c r="W79" s="565"/>
      <c r="X79" s="563"/>
      <c r="Y79" s="639"/>
      <c r="Z79" s="563"/>
      <c r="AA79" s="565"/>
      <c r="AB79" s="565"/>
      <c r="AC79" s="563"/>
      <c r="AD79" s="639"/>
      <c r="AE79" s="563"/>
      <c r="AF79" s="565"/>
      <c r="AG79" s="565"/>
      <c r="AH79" s="563"/>
      <c r="AI79" s="639"/>
      <c r="AJ79" s="563"/>
      <c r="AK79" s="565"/>
      <c r="AL79" s="565"/>
      <c r="AM79" s="563"/>
      <c r="AN79" s="639"/>
      <c r="AO79" s="563"/>
      <c r="AP79" s="565"/>
      <c r="AQ79" s="565"/>
      <c r="AR79" s="563"/>
      <c r="AS79" s="639"/>
      <c r="AT79" s="563"/>
      <c r="AU79" s="565"/>
      <c r="AV79" s="565"/>
      <c r="AW79" s="563"/>
      <c r="AX79" s="639"/>
      <c r="AZ79" s="368" t="e">
        <f t="shared" si="32"/>
        <v>#N/A</v>
      </c>
      <c r="BA79" s="639"/>
    </row>
    <row r="80" spans="2:53">
      <c r="B80" s="649"/>
      <c r="C80" s="380">
        <v>14</v>
      </c>
      <c r="D80" s="351"/>
      <c r="E80" s="510"/>
      <c r="F80" s="510"/>
      <c r="G80" s="510"/>
      <c r="H80" s="657"/>
      <c r="I80" s="381" t="str">
        <f t="shared" si="29"/>
        <v>-</v>
      </c>
      <c r="J80" s="381" t="str">
        <f t="shared" si="30"/>
        <v>-</v>
      </c>
      <c r="K80" s="199" t="str">
        <f t="shared" si="31"/>
        <v>-</v>
      </c>
      <c r="L80" s="659"/>
      <c r="M80" s="384" t="e">
        <f>RANK(K80, K$67:$K$81)</f>
        <v>#VALUE!</v>
      </c>
      <c r="N80" s="643"/>
      <c r="O80" s="643"/>
      <c r="P80" s="563"/>
      <c r="Q80" s="565"/>
      <c r="R80" s="565"/>
      <c r="S80" s="563"/>
      <c r="T80" s="639"/>
      <c r="U80" s="563"/>
      <c r="V80" s="565"/>
      <c r="W80" s="565"/>
      <c r="X80" s="563"/>
      <c r="Y80" s="639"/>
      <c r="Z80" s="563"/>
      <c r="AA80" s="565"/>
      <c r="AB80" s="565"/>
      <c r="AC80" s="563"/>
      <c r="AD80" s="639"/>
      <c r="AE80" s="563"/>
      <c r="AF80" s="565"/>
      <c r="AG80" s="565"/>
      <c r="AH80" s="563"/>
      <c r="AI80" s="639"/>
      <c r="AJ80" s="563"/>
      <c r="AK80" s="565"/>
      <c r="AL80" s="565"/>
      <c r="AM80" s="563"/>
      <c r="AN80" s="639"/>
      <c r="AO80" s="563"/>
      <c r="AP80" s="565"/>
      <c r="AQ80" s="565"/>
      <c r="AR80" s="563"/>
      <c r="AS80" s="639"/>
      <c r="AT80" s="563"/>
      <c r="AU80" s="565"/>
      <c r="AV80" s="565"/>
      <c r="AW80" s="563"/>
      <c r="AX80" s="639"/>
      <c r="AZ80" s="368" t="e">
        <f t="shared" si="32"/>
        <v>#N/A</v>
      </c>
      <c r="BA80" s="639"/>
    </row>
    <row r="81" spans="2:53">
      <c r="B81" s="649"/>
      <c r="C81" s="380">
        <v>15</v>
      </c>
      <c r="D81" s="351"/>
      <c r="E81" s="510"/>
      <c r="F81" s="510"/>
      <c r="G81" s="510"/>
      <c r="H81" s="714"/>
      <c r="I81" s="384"/>
      <c r="J81" s="384"/>
      <c r="K81" s="382"/>
      <c r="L81" s="660"/>
      <c r="M81" s="384" t="e">
        <f>RANK(K81, K$67:$K$81)</f>
        <v>#N/A</v>
      </c>
      <c r="N81" s="643"/>
      <c r="O81" s="643"/>
      <c r="P81" s="563"/>
      <c r="Q81" s="565"/>
      <c r="R81" s="565"/>
      <c r="S81" s="563"/>
      <c r="T81" s="640"/>
      <c r="U81" s="563"/>
      <c r="V81" s="565"/>
      <c r="W81" s="565"/>
      <c r="X81" s="563"/>
      <c r="Y81" s="640"/>
      <c r="Z81" s="563"/>
      <c r="AA81" s="565"/>
      <c r="AB81" s="565"/>
      <c r="AC81" s="563"/>
      <c r="AD81" s="640"/>
      <c r="AE81" s="563"/>
      <c r="AF81" s="565"/>
      <c r="AG81" s="565"/>
      <c r="AH81" s="563"/>
      <c r="AI81" s="640"/>
      <c r="AJ81" s="563"/>
      <c r="AK81" s="565"/>
      <c r="AL81" s="565"/>
      <c r="AM81" s="563"/>
      <c r="AN81" s="640"/>
      <c r="AO81" s="563"/>
      <c r="AP81" s="565"/>
      <c r="AQ81" s="565"/>
      <c r="AR81" s="563"/>
      <c r="AS81" s="640"/>
      <c r="AT81" s="563"/>
      <c r="AU81" s="565"/>
      <c r="AV81" s="565"/>
      <c r="AW81" s="563"/>
      <c r="AX81" s="640"/>
      <c r="AZ81" s="368" t="e">
        <f t="shared" si="32"/>
        <v>#N/A</v>
      </c>
      <c r="BA81" s="640"/>
    </row>
    <row r="82" spans="2:53" ht="15.75">
      <c r="B82" s="671" t="s">
        <v>162</v>
      </c>
      <c r="C82" s="672"/>
      <c r="D82" s="672"/>
      <c r="E82" s="672"/>
      <c r="F82" s="672"/>
      <c r="G82" s="672"/>
      <c r="H82" s="673"/>
      <c r="I82" s="207"/>
      <c r="J82" s="207"/>
      <c r="K82" s="207"/>
      <c r="L82" s="207"/>
      <c r="M82" s="206"/>
      <c r="N82" s="645" t="s">
        <v>156</v>
      </c>
      <c r="O82" s="645" t="s">
        <v>105</v>
      </c>
      <c r="P82" s="670">
        <f>P62+7</f>
        <v>46294</v>
      </c>
      <c r="Q82" s="649"/>
      <c r="R82" s="649"/>
      <c r="S82" s="649"/>
      <c r="T82" s="649"/>
      <c r="U82" s="667">
        <f>P82+1</f>
        <v>46295</v>
      </c>
      <c r="V82" s="668"/>
      <c r="W82" s="668"/>
      <c r="X82" s="668"/>
      <c r="Y82" s="669"/>
      <c r="Z82" s="667">
        <f>U82+1</f>
        <v>46296</v>
      </c>
      <c r="AA82" s="668"/>
      <c r="AB82" s="668"/>
      <c r="AC82" s="668"/>
      <c r="AD82" s="669"/>
      <c r="AE82" s="667">
        <f>Z82+1</f>
        <v>46297</v>
      </c>
      <c r="AF82" s="668"/>
      <c r="AG82" s="668"/>
      <c r="AH82" s="668"/>
      <c r="AI82" s="669"/>
      <c r="AJ82" s="667">
        <f>AE82+1</f>
        <v>46298</v>
      </c>
      <c r="AK82" s="668"/>
      <c r="AL82" s="668"/>
      <c r="AM82" s="668"/>
      <c r="AN82" s="669"/>
      <c r="AO82" s="667">
        <f>AJ82+1</f>
        <v>46299</v>
      </c>
      <c r="AP82" s="668"/>
      <c r="AQ82" s="668"/>
      <c r="AR82" s="668"/>
      <c r="AS82" s="669"/>
      <c r="AT82" s="667">
        <f>AO82+1</f>
        <v>46300</v>
      </c>
      <c r="AU82" s="668"/>
      <c r="AV82" s="668"/>
      <c r="AW82" s="668"/>
      <c r="AX82" s="669"/>
    </row>
    <row r="83" spans="2:53" ht="15.75">
      <c r="B83" s="674"/>
      <c r="C83" s="674"/>
      <c r="D83" s="674"/>
      <c r="E83" s="674"/>
      <c r="F83" s="674"/>
      <c r="G83" s="674"/>
      <c r="H83" s="674"/>
      <c r="I83" s="204"/>
      <c r="J83" s="204"/>
      <c r="K83" s="204"/>
      <c r="L83" s="204"/>
      <c r="M83" s="205"/>
      <c r="N83" s="647"/>
      <c r="O83" s="647"/>
      <c r="P83" s="670" t="s">
        <v>317</v>
      </c>
      <c r="Q83" s="649"/>
      <c r="R83" s="649"/>
      <c r="S83" s="649"/>
      <c r="T83" s="649"/>
      <c r="U83" s="670" t="s">
        <v>318</v>
      </c>
      <c r="V83" s="649"/>
      <c r="W83" s="649"/>
      <c r="X83" s="649"/>
      <c r="Y83" s="649"/>
      <c r="Z83" s="670" t="s">
        <v>319</v>
      </c>
      <c r="AA83" s="649"/>
      <c r="AB83" s="649"/>
      <c r="AC83" s="649"/>
      <c r="AD83" s="649"/>
      <c r="AE83" s="670" t="s">
        <v>320</v>
      </c>
      <c r="AF83" s="649"/>
      <c r="AG83" s="649"/>
      <c r="AH83" s="649"/>
      <c r="AI83" s="649"/>
      <c r="AJ83" s="670" t="s">
        <v>321</v>
      </c>
      <c r="AK83" s="649"/>
      <c r="AL83" s="649"/>
      <c r="AM83" s="649"/>
      <c r="AN83" s="649"/>
      <c r="AO83" s="670" t="s">
        <v>322</v>
      </c>
      <c r="AP83" s="649"/>
      <c r="AQ83" s="649"/>
      <c r="AR83" s="649"/>
      <c r="AS83" s="649"/>
      <c r="AT83" s="670" t="s">
        <v>323</v>
      </c>
      <c r="AU83" s="649"/>
      <c r="AV83" s="649"/>
      <c r="AW83" s="649"/>
      <c r="AX83" s="649"/>
    </row>
    <row r="84" spans="2:53">
      <c r="B84" s="643" t="s">
        <v>382</v>
      </c>
      <c r="C84" s="643" t="s">
        <v>372</v>
      </c>
      <c r="D84" s="643"/>
      <c r="E84" s="643" t="s">
        <v>363</v>
      </c>
      <c r="F84" s="643"/>
      <c r="G84" s="643"/>
      <c r="H84" s="675" t="s">
        <v>359</v>
      </c>
      <c r="I84" s="643" t="s">
        <v>364</v>
      </c>
      <c r="J84" s="643"/>
      <c r="K84" s="643"/>
      <c r="L84" s="675" t="s">
        <v>359</v>
      </c>
      <c r="M84" s="645" t="s">
        <v>360</v>
      </c>
      <c r="N84" s="643"/>
      <c r="O84" s="643" t="s">
        <v>365</v>
      </c>
      <c r="P84" s="661" t="s">
        <v>361</v>
      </c>
      <c r="Q84" s="662"/>
      <c r="R84" s="662"/>
      <c r="S84" s="663"/>
      <c r="T84" s="643" t="s">
        <v>359</v>
      </c>
      <c r="U84" s="661" t="s">
        <v>361</v>
      </c>
      <c r="V84" s="662"/>
      <c r="W84" s="662"/>
      <c r="X84" s="663"/>
      <c r="Y84" s="643" t="s">
        <v>359</v>
      </c>
      <c r="Z84" s="661" t="s">
        <v>361</v>
      </c>
      <c r="AA84" s="662"/>
      <c r="AB84" s="662"/>
      <c r="AC84" s="663"/>
      <c r="AD84" s="643" t="s">
        <v>359</v>
      </c>
      <c r="AE84" s="661" t="s">
        <v>361</v>
      </c>
      <c r="AF84" s="662"/>
      <c r="AG84" s="662"/>
      <c r="AH84" s="663"/>
      <c r="AI84" s="643" t="s">
        <v>359</v>
      </c>
      <c r="AJ84" s="661" t="s">
        <v>361</v>
      </c>
      <c r="AK84" s="662"/>
      <c r="AL84" s="662"/>
      <c r="AM84" s="663"/>
      <c r="AN84" s="643" t="s">
        <v>359</v>
      </c>
      <c r="AO84" s="661" t="s">
        <v>361</v>
      </c>
      <c r="AP84" s="662"/>
      <c r="AQ84" s="662"/>
      <c r="AR84" s="663"/>
      <c r="AS84" s="643" t="s">
        <v>359</v>
      </c>
      <c r="AT84" s="661" t="s">
        <v>361</v>
      </c>
      <c r="AU84" s="662"/>
      <c r="AV84" s="662"/>
      <c r="AW84" s="663"/>
      <c r="AX84" s="643" t="s">
        <v>359</v>
      </c>
      <c r="BA84" s="643" t="s">
        <v>359</v>
      </c>
    </row>
    <row r="85" spans="2:53">
      <c r="B85" s="643"/>
      <c r="C85" s="643"/>
      <c r="D85" s="643"/>
      <c r="E85" s="643" t="s">
        <v>366</v>
      </c>
      <c r="F85" s="643"/>
      <c r="G85" s="643"/>
      <c r="H85" s="676"/>
      <c r="I85" s="643" t="s">
        <v>366</v>
      </c>
      <c r="J85" s="643"/>
      <c r="K85" s="643"/>
      <c r="L85" s="676"/>
      <c r="M85" s="646"/>
      <c r="N85" s="643"/>
      <c r="O85" s="643"/>
      <c r="P85" s="661" t="s">
        <v>367</v>
      </c>
      <c r="Q85" s="662"/>
      <c r="R85" s="662"/>
      <c r="S85" s="663"/>
      <c r="T85" s="643"/>
      <c r="U85" s="661" t="s">
        <v>367</v>
      </c>
      <c r="V85" s="662"/>
      <c r="W85" s="662"/>
      <c r="X85" s="663"/>
      <c r="Y85" s="643"/>
      <c r="Z85" s="661" t="s">
        <v>367</v>
      </c>
      <c r="AA85" s="662"/>
      <c r="AB85" s="662"/>
      <c r="AC85" s="663"/>
      <c r="AD85" s="643"/>
      <c r="AE85" s="661" t="s">
        <v>367</v>
      </c>
      <c r="AF85" s="662"/>
      <c r="AG85" s="662"/>
      <c r="AH85" s="663"/>
      <c r="AI85" s="643"/>
      <c r="AJ85" s="661" t="s">
        <v>367</v>
      </c>
      <c r="AK85" s="662"/>
      <c r="AL85" s="662"/>
      <c r="AM85" s="663"/>
      <c r="AN85" s="643"/>
      <c r="AO85" s="661" t="s">
        <v>367</v>
      </c>
      <c r="AP85" s="662"/>
      <c r="AQ85" s="662"/>
      <c r="AR85" s="663"/>
      <c r="AS85" s="643"/>
      <c r="AT85" s="661" t="s">
        <v>367</v>
      </c>
      <c r="AU85" s="662"/>
      <c r="AV85" s="662"/>
      <c r="AW85" s="663"/>
      <c r="AX85" s="643"/>
      <c r="BA85" s="643"/>
    </row>
    <row r="86" spans="2:53">
      <c r="B86" s="643"/>
      <c r="C86" s="643"/>
      <c r="D86" s="643"/>
      <c r="E86" s="378" t="s">
        <v>368</v>
      </c>
      <c r="F86" s="378" t="s">
        <v>369</v>
      </c>
      <c r="G86" s="378" t="s">
        <v>370</v>
      </c>
      <c r="H86" s="677"/>
      <c r="I86" s="378" t="s">
        <v>368</v>
      </c>
      <c r="J86" s="378" t="s">
        <v>369</v>
      </c>
      <c r="K86" s="378" t="s">
        <v>370</v>
      </c>
      <c r="L86" s="677"/>
      <c r="M86" s="647"/>
      <c r="N86" s="643"/>
      <c r="O86" s="643"/>
      <c r="P86" s="378" t="s">
        <v>368</v>
      </c>
      <c r="Q86" s="378" t="s">
        <v>369</v>
      </c>
      <c r="R86" s="378" t="s">
        <v>370</v>
      </c>
      <c r="S86" s="378" t="s">
        <v>360</v>
      </c>
      <c r="T86" s="643"/>
      <c r="U86" s="378" t="s">
        <v>368</v>
      </c>
      <c r="V86" s="378" t="s">
        <v>369</v>
      </c>
      <c r="W86" s="378" t="s">
        <v>370</v>
      </c>
      <c r="X86" s="378" t="s">
        <v>360</v>
      </c>
      <c r="Y86" s="643"/>
      <c r="Z86" s="378" t="s">
        <v>368</v>
      </c>
      <c r="AA86" s="378" t="s">
        <v>369</v>
      </c>
      <c r="AB86" s="378" t="s">
        <v>370</v>
      </c>
      <c r="AC86" s="378" t="s">
        <v>360</v>
      </c>
      <c r="AD86" s="643"/>
      <c r="AE86" s="378" t="s">
        <v>368</v>
      </c>
      <c r="AF86" s="378" t="s">
        <v>369</v>
      </c>
      <c r="AG86" s="378" t="s">
        <v>370</v>
      </c>
      <c r="AH86" s="378" t="s">
        <v>360</v>
      </c>
      <c r="AI86" s="643"/>
      <c r="AJ86" s="378" t="s">
        <v>368</v>
      </c>
      <c r="AK86" s="378" t="s">
        <v>369</v>
      </c>
      <c r="AL86" s="378" t="s">
        <v>370</v>
      </c>
      <c r="AM86" s="378" t="s">
        <v>360</v>
      </c>
      <c r="AN86" s="643"/>
      <c r="AO86" s="378" t="s">
        <v>368</v>
      </c>
      <c r="AP86" s="378" t="s">
        <v>369</v>
      </c>
      <c r="AQ86" s="378" t="s">
        <v>370</v>
      </c>
      <c r="AR86" s="378" t="s">
        <v>360</v>
      </c>
      <c r="AS86" s="643"/>
      <c r="AT86" s="378" t="s">
        <v>368</v>
      </c>
      <c r="AU86" s="378" t="s">
        <v>369</v>
      </c>
      <c r="AV86" s="378" t="s">
        <v>370</v>
      </c>
      <c r="AW86" s="378" t="s">
        <v>360</v>
      </c>
      <c r="AX86" s="643"/>
      <c r="AZ86" s="367" t="s">
        <v>360</v>
      </c>
      <c r="BA86" s="643"/>
    </row>
    <row r="87" spans="2:53">
      <c r="B87" s="701" t="s">
        <v>396</v>
      </c>
      <c r="C87" s="380">
        <v>1</v>
      </c>
      <c r="D87" s="351"/>
      <c r="E87" s="510"/>
      <c r="F87" s="510"/>
      <c r="G87" s="510"/>
      <c r="H87" s="656" t="e">
        <f>AVERAGE(G87:G101)</f>
        <v>#DIV/0!</v>
      </c>
      <c r="I87" s="381" t="str">
        <f t="shared" ref="I87:I100" si="34">IFERROR(AVERAGE(P87,U87,Z87,AE87,AJ87,AO87,AT87),"-")</f>
        <v>-</v>
      </c>
      <c r="J87" s="381" t="str">
        <f t="shared" ref="J87:J100" si="35">IFERROR(AVERAGE(Q87,V87,AA87,AF87,AK87,AP87,AU87),"-")</f>
        <v>-</v>
      </c>
      <c r="K87" s="199" t="str">
        <f t="shared" ref="K87:K100" si="36">IFERROR(AVERAGE(R87,W87,AB87,AG87,AL87,AQ87,AV87),"-")</f>
        <v>-</v>
      </c>
      <c r="L87" s="658" t="str">
        <f>IFERROR(AVERAGE(K87:K101),"-")</f>
        <v>-</v>
      </c>
      <c r="M87" s="384" t="e">
        <f>RANK(K87, K$87:$K$101)</f>
        <v>#VALUE!</v>
      </c>
      <c r="N87" s="643"/>
      <c r="O87" s="643"/>
      <c r="P87" s="563"/>
      <c r="Q87" s="565"/>
      <c r="R87" s="565"/>
      <c r="S87" s="563"/>
      <c r="T87" s="638"/>
      <c r="U87" s="563"/>
      <c r="V87" s="565"/>
      <c r="W87" s="565"/>
      <c r="X87" s="563"/>
      <c r="Y87" s="638"/>
      <c r="Z87" s="563"/>
      <c r="AA87" s="565"/>
      <c r="AB87" s="565"/>
      <c r="AC87" s="563"/>
      <c r="AD87" s="638"/>
      <c r="AE87" s="563"/>
      <c r="AF87" s="565"/>
      <c r="AG87" s="565"/>
      <c r="AH87" s="563"/>
      <c r="AI87" s="638"/>
      <c r="AJ87" s="563"/>
      <c r="AK87" s="565"/>
      <c r="AL87" s="565"/>
      <c r="AM87" s="563"/>
      <c r="AN87" s="638"/>
      <c r="AO87" s="563"/>
      <c r="AP87" s="565"/>
      <c r="AQ87" s="565"/>
      <c r="AR87" s="563"/>
      <c r="AS87" s="638"/>
      <c r="AT87" s="563"/>
      <c r="AU87" s="565"/>
      <c r="AV87" s="565"/>
      <c r="AW87" s="563"/>
      <c r="AX87" s="638"/>
      <c r="AZ87" s="368" t="e">
        <f t="shared" ref="AZ87:AZ101" si="37">RANK(AY87, AY$87:AY$101)</f>
        <v>#N/A</v>
      </c>
      <c r="BA87" s="644" t="e">
        <f t="shared" ref="BA87" si="38">AVERAGE(AY87:AY101)</f>
        <v>#DIV/0!</v>
      </c>
    </row>
    <row r="88" spans="2:53">
      <c r="B88" s="649"/>
      <c r="C88" s="380">
        <v>2</v>
      </c>
      <c r="D88" s="351"/>
      <c r="E88" s="510"/>
      <c r="F88" s="510"/>
      <c r="G88" s="510"/>
      <c r="H88" s="657"/>
      <c r="I88" s="381" t="str">
        <f t="shared" si="34"/>
        <v>-</v>
      </c>
      <c r="J88" s="381" t="str">
        <f t="shared" si="35"/>
        <v>-</v>
      </c>
      <c r="K88" s="199" t="str">
        <f t="shared" si="36"/>
        <v>-</v>
      </c>
      <c r="L88" s="659"/>
      <c r="M88" s="422" t="e">
        <f>RANK(K88, K$87:$K$101)</f>
        <v>#VALUE!</v>
      </c>
      <c r="N88" s="643"/>
      <c r="O88" s="643"/>
      <c r="P88" s="563"/>
      <c r="Q88" s="565"/>
      <c r="R88" s="565"/>
      <c r="S88" s="563"/>
      <c r="T88" s="639"/>
      <c r="U88" s="563"/>
      <c r="V88" s="565"/>
      <c r="W88" s="565"/>
      <c r="X88" s="563"/>
      <c r="Y88" s="639"/>
      <c r="Z88" s="563"/>
      <c r="AA88" s="565"/>
      <c r="AB88" s="565"/>
      <c r="AC88" s="563"/>
      <c r="AD88" s="639"/>
      <c r="AE88" s="563"/>
      <c r="AF88" s="565"/>
      <c r="AG88" s="565"/>
      <c r="AH88" s="563"/>
      <c r="AI88" s="639"/>
      <c r="AJ88" s="563"/>
      <c r="AK88" s="565"/>
      <c r="AL88" s="565"/>
      <c r="AM88" s="563"/>
      <c r="AN88" s="639"/>
      <c r="AO88" s="563"/>
      <c r="AP88" s="565"/>
      <c r="AQ88" s="565"/>
      <c r="AR88" s="563"/>
      <c r="AS88" s="639"/>
      <c r="AT88" s="563"/>
      <c r="AU88" s="565"/>
      <c r="AV88" s="565"/>
      <c r="AW88" s="563"/>
      <c r="AX88" s="639"/>
      <c r="AZ88" s="368" t="e">
        <f t="shared" si="37"/>
        <v>#N/A</v>
      </c>
      <c r="BA88" s="644"/>
    </row>
    <row r="89" spans="2:53">
      <c r="B89" s="649"/>
      <c r="C89" s="380">
        <v>3</v>
      </c>
      <c r="D89" s="351"/>
      <c r="E89" s="510"/>
      <c r="F89" s="510"/>
      <c r="G89" s="510"/>
      <c r="H89" s="657"/>
      <c r="I89" s="381" t="str">
        <f t="shared" si="34"/>
        <v>-</v>
      </c>
      <c r="J89" s="381" t="str">
        <f t="shared" si="35"/>
        <v>-</v>
      </c>
      <c r="K89" s="199" t="str">
        <f t="shared" si="36"/>
        <v>-</v>
      </c>
      <c r="L89" s="659"/>
      <c r="M89" s="422" t="e">
        <f>RANK(K89, K$87:$K$101)</f>
        <v>#VALUE!</v>
      </c>
      <c r="N89" s="643"/>
      <c r="O89" s="643"/>
      <c r="P89" s="563"/>
      <c r="Q89" s="565"/>
      <c r="R89" s="565"/>
      <c r="S89" s="563"/>
      <c r="T89" s="639"/>
      <c r="U89" s="563"/>
      <c r="V89" s="565"/>
      <c r="W89" s="565"/>
      <c r="X89" s="563"/>
      <c r="Y89" s="639"/>
      <c r="Z89" s="563"/>
      <c r="AA89" s="565"/>
      <c r="AB89" s="565"/>
      <c r="AC89" s="563"/>
      <c r="AD89" s="639"/>
      <c r="AE89" s="563"/>
      <c r="AF89" s="565"/>
      <c r="AG89" s="565"/>
      <c r="AH89" s="563"/>
      <c r="AI89" s="639"/>
      <c r="AJ89" s="563"/>
      <c r="AK89" s="565"/>
      <c r="AL89" s="565"/>
      <c r="AM89" s="563"/>
      <c r="AN89" s="639"/>
      <c r="AO89" s="563"/>
      <c r="AP89" s="565"/>
      <c r="AQ89" s="565"/>
      <c r="AR89" s="563"/>
      <c r="AS89" s="639"/>
      <c r="AT89" s="563"/>
      <c r="AU89" s="565"/>
      <c r="AV89" s="565"/>
      <c r="AW89" s="563"/>
      <c r="AX89" s="639"/>
      <c r="AZ89" s="368" t="e">
        <f t="shared" si="37"/>
        <v>#N/A</v>
      </c>
      <c r="BA89" s="644"/>
    </row>
    <row r="90" spans="2:53">
      <c r="B90" s="649"/>
      <c r="C90" s="380">
        <v>4</v>
      </c>
      <c r="D90" s="351"/>
      <c r="E90" s="510"/>
      <c r="F90" s="510"/>
      <c r="G90" s="510"/>
      <c r="H90" s="657"/>
      <c r="I90" s="381" t="str">
        <f t="shared" si="34"/>
        <v>-</v>
      </c>
      <c r="J90" s="381" t="str">
        <f t="shared" si="35"/>
        <v>-</v>
      </c>
      <c r="K90" s="199" t="str">
        <f t="shared" si="36"/>
        <v>-</v>
      </c>
      <c r="L90" s="659"/>
      <c r="M90" s="422" t="e">
        <f>RANK(K90, K$87:$K$101)</f>
        <v>#VALUE!</v>
      </c>
      <c r="N90" s="643"/>
      <c r="O90" s="643"/>
      <c r="P90" s="563"/>
      <c r="Q90" s="565"/>
      <c r="R90" s="565"/>
      <c r="S90" s="563"/>
      <c r="T90" s="639"/>
      <c r="U90" s="563"/>
      <c r="V90" s="565"/>
      <c r="W90" s="565"/>
      <c r="X90" s="563"/>
      <c r="Y90" s="639"/>
      <c r="Z90" s="563"/>
      <c r="AA90" s="565"/>
      <c r="AB90" s="565"/>
      <c r="AC90" s="563"/>
      <c r="AD90" s="639"/>
      <c r="AE90" s="563"/>
      <c r="AF90" s="565"/>
      <c r="AG90" s="565"/>
      <c r="AH90" s="563"/>
      <c r="AI90" s="639"/>
      <c r="AJ90" s="563"/>
      <c r="AK90" s="565"/>
      <c r="AL90" s="565"/>
      <c r="AM90" s="563"/>
      <c r="AN90" s="639"/>
      <c r="AO90" s="563"/>
      <c r="AP90" s="565"/>
      <c r="AQ90" s="565"/>
      <c r="AR90" s="563"/>
      <c r="AS90" s="639"/>
      <c r="AT90" s="563"/>
      <c r="AU90" s="565"/>
      <c r="AV90" s="565"/>
      <c r="AW90" s="563"/>
      <c r="AX90" s="639"/>
      <c r="AZ90" s="368" t="e">
        <f t="shared" si="37"/>
        <v>#N/A</v>
      </c>
      <c r="BA90" s="644"/>
    </row>
    <row r="91" spans="2:53">
      <c r="B91" s="649"/>
      <c r="C91" s="380">
        <v>5</v>
      </c>
      <c r="D91" s="351"/>
      <c r="E91" s="510"/>
      <c r="F91" s="510"/>
      <c r="G91" s="510"/>
      <c r="H91" s="657"/>
      <c r="I91" s="381" t="str">
        <f t="shared" si="34"/>
        <v>-</v>
      </c>
      <c r="J91" s="381" t="str">
        <f t="shared" si="35"/>
        <v>-</v>
      </c>
      <c r="K91" s="199" t="str">
        <f t="shared" si="36"/>
        <v>-</v>
      </c>
      <c r="L91" s="659"/>
      <c r="M91" s="422" t="e">
        <f>RANK(K91, K$87:$K$101)</f>
        <v>#VALUE!</v>
      </c>
      <c r="N91" s="643"/>
      <c r="O91" s="643"/>
      <c r="P91" s="563"/>
      <c r="Q91" s="565"/>
      <c r="R91" s="565"/>
      <c r="S91" s="563"/>
      <c r="T91" s="639"/>
      <c r="U91" s="563"/>
      <c r="V91" s="565"/>
      <c r="W91" s="565"/>
      <c r="X91" s="563"/>
      <c r="Y91" s="639"/>
      <c r="Z91" s="563"/>
      <c r="AA91" s="565"/>
      <c r="AB91" s="565"/>
      <c r="AC91" s="563"/>
      <c r="AD91" s="639"/>
      <c r="AE91" s="563"/>
      <c r="AF91" s="565"/>
      <c r="AG91" s="565"/>
      <c r="AH91" s="563"/>
      <c r="AI91" s="639"/>
      <c r="AJ91" s="563"/>
      <c r="AK91" s="565"/>
      <c r="AL91" s="565"/>
      <c r="AM91" s="563"/>
      <c r="AN91" s="639"/>
      <c r="AO91" s="563"/>
      <c r="AP91" s="565"/>
      <c r="AQ91" s="565"/>
      <c r="AR91" s="563"/>
      <c r="AS91" s="639"/>
      <c r="AT91" s="563"/>
      <c r="AU91" s="565"/>
      <c r="AV91" s="565"/>
      <c r="AW91" s="563"/>
      <c r="AX91" s="639"/>
      <c r="AZ91" s="368" t="e">
        <f t="shared" si="37"/>
        <v>#N/A</v>
      </c>
      <c r="BA91" s="644"/>
    </row>
    <row r="92" spans="2:53">
      <c r="B92" s="649"/>
      <c r="C92" s="380">
        <v>6</v>
      </c>
      <c r="D92" s="351"/>
      <c r="E92" s="510"/>
      <c r="F92" s="510"/>
      <c r="G92" s="510"/>
      <c r="H92" s="657"/>
      <c r="I92" s="381" t="str">
        <f t="shared" si="34"/>
        <v>-</v>
      </c>
      <c r="J92" s="381" t="str">
        <f t="shared" si="35"/>
        <v>-</v>
      </c>
      <c r="K92" s="199" t="str">
        <f t="shared" si="36"/>
        <v>-</v>
      </c>
      <c r="L92" s="659"/>
      <c r="M92" s="422" t="e">
        <f>RANK(K92, K$87:$K$101)</f>
        <v>#VALUE!</v>
      </c>
      <c r="N92" s="643"/>
      <c r="O92" s="643"/>
      <c r="P92" s="563"/>
      <c r="Q92" s="565"/>
      <c r="R92" s="565"/>
      <c r="S92" s="563"/>
      <c r="T92" s="639"/>
      <c r="U92" s="563"/>
      <c r="V92" s="565"/>
      <c r="W92" s="565"/>
      <c r="X92" s="563"/>
      <c r="Y92" s="639"/>
      <c r="Z92" s="563"/>
      <c r="AA92" s="565"/>
      <c r="AB92" s="565"/>
      <c r="AC92" s="563"/>
      <c r="AD92" s="639"/>
      <c r="AE92" s="563"/>
      <c r="AF92" s="565"/>
      <c r="AG92" s="565"/>
      <c r="AH92" s="563"/>
      <c r="AI92" s="639"/>
      <c r="AJ92" s="563"/>
      <c r="AK92" s="565"/>
      <c r="AL92" s="565"/>
      <c r="AM92" s="563"/>
      <c r="AN92" s="639"/>
      <c r="AO92" s="563"/>
      <c r="AP92" s="565"/>
      <c r="AQ92" s="565"/>
      <c r="AR92" s="563"/>
      <c r="AS92" s="639"/>
      <c r="AT92" s="563"/>
      <c r="AU92" s="565"/>
      <c r="AV92" s="565"/>
      <c r="AW92" s="563"/>
      <c r="AX92" s="639"/>
      <c r="AZ92" s="368" t="e">
        <f t="shared" si="37"/>
        <v>#N/A</v>
      </c>
      <c r="BA92" s="644"/>
    </row>
    <row r="93" spans="2:53">
      <c r="B93" s="649"/>
      <c r="C93" s="380">
        <v>7</v>
      </c>
      <c r="D93" s="351"/>
      <c r="E93" s="510"/>
      <c r="F93" s="510"/>
      <c r="G93" s="510"/>
      <c r="H93" s="657"/>
      <c r="I93" s="381" t="str">
        <f t="shared" si="34"/>
        <v>-</v>
      </c>
      <c r="J93" s="381" t="str">
        <f t="shared" si="35"/>
        <v>-</v>
      </c>
      <c r="K93" s="199" t="str">
        <f t="shared" si="36"/>
        <v>-</v>
      </c>
      <c r="L93" s="659"/>
      <c r="M93" s="422" t="e">
        <f>RANK(K93, K$87:$K$101)</f>
        <v>#VALUE!</v>
      </c>
      <c r="N93" s="643"/>
      <c r="O93" s="643"/>
      <c r="P93" s="563"/>
      <c r="Q93" s="565"/>
      <c r="R93" s="565"/>
      <c r="S93" s="563"/>
      <c r="T93" s="639"/>
      <c r="U93" s="563"/>
      <c r="V93" s="565"/>
      <c r="W93" s="565"/>
      <c r="X93" s="563"/>
      <c r="Y93" s="639"/>
      <c r="Z93" s="563"/>
      <c r="AA93" s="565"/>
      <c r="AB93" s="565"/>
      <c r="AC93" s="563"/>
      <c r="AD93" s="639"/>
      <c r="AE93" s="563"/>
      <c r="AF93" s="565"/>
      <c r="AG93" s="565"/>
      <c r="AH93" s="563"/>
      <c r="AI93" s="639"/>
      <c r="AJ93" s="563"/>
      <c r="AK93" s="565"/>
      <c r="AL93" s="565"/>
      <c r="AM93" s="563"/>
      <c r="AN93" s="639"/>
      <c r="AO93" s="563"/>
      <c r="AP93" s="565"/>
      <c r="AQ93" s="565"/>
      <c r="AR93" s="563"/>
      <c r="AS93" s="639"/>
      <c r="AT93" s="563"/>
      <c r="AU93" s="565"/>
      <c r="AV93" s="565"/>
      <c r="AW93" s="563"/>
      <c r="AX93" s="639"/>
      <c r="AZ93" s="368" t="e">
        <f t="shared" si="37"/>
        <v>#N/A</v>
      </c>
      <c r="BA93" s="644"/>
    </row>
    <row r="94" spans="2:53">
      <c r="B94" s="649"/>
      <c r="C94" s="380">
        <v>8</v>
      </c>
      <c r="D94" s="351"/>
      <c r="E94" s="510"/>
      <c r="F94" s="510"/>
      <c r="G94" s="510"/>
      <c r="H94" s="657"/>
      <c r="I94" s="381" t="str">
        <f t="shared" si="34"/>
        <v>-</v>
      </c>
      <c r="J94" s="381" t="str">
        <f t="shared" si="35"/>
        <v>-</v>
      </c>
      <c r="K94" s="199" t="str">
        <f t="shared" si="36"/>
        <v>-</v>
      </c>
      <c r="L94" s="659"/>
      <c r="M94" s="422" t="e">
        <f>RANK(K94, K$87:$K$101)</f>
        <v>#VALUE!</v>
      </c>
      <c r="N94" s="643"/>
      <c r="O94" s="643"/>
      <c r="P94" s="563"/>
      <c r="Q94" s="565"/>
      <c r="R94" s="565"/>
      <c r="S94" s="563"/>
      <c r="T94" s="639"/>
      <c r="U94" s="563"/>
      <c r="V94" s="565"/>
      <c r="W94" s="565"/>
      <c r="X94" s="563"/>
      <c r="Y94" s="639"/>
      <c r="Z94" s="563"/>
      <c r="AA94" s="565"/>
      <c r="AB94" s="565"/>
      <c r="AC94" s="563"/>
      <c r="AD94" s="639"/>
      <c r="AE94" s="563"/>
      <c r="AF94" s="565"/>
      <c r="AG94" s="565"/>
      <c r="AH94" s="563"/>
      <c r="AI94" s="639"/>
      <c r="AJ94" s="563"/>
      <c r="AK94" s="565"/>
      <c r="AL94" s="565"/>
      <c r="AM94" s="563"/>
      <c r="AN94" s="639"/>
      <c r="AO94" s="563"/>
      <c r="AP94" s="565"/>
      <c r="AQ94" s="565"/>
      <c r="AR94" s="563"/>
      <c r="AS94" s="639"/>
      <c r="AT94" s="563"/>
      <c r="AU94" s="565"/>
      <c r="AV94" s="565"/>
      <c r="AW94" s="563"/>
      <c r="AX94" s="639"/>
      <c r="AZ94" s="368" t="e">
        <f t="shared" si="37"/>
        <v>#N/A</v>
      </c>
      <c r="BA94" s="644"/>
    </row>
    <row r="95" spans="2:53">
      <c r="B95" s="649"/>
      <c r="C95" s="380">
        <v>9</v>
      </c>
      <c r="D95" s="351"/>
      <c r="E95" s="510"/>
      <c r="F95" s="510"/>
      <c r="G95" s="510"/>
      <c r="H95" s="657"/>
      <c r="I95" s="381" t="str">
        <f t="shared" si="34"/>
        <v>-</v>
      </c>
      <c r="J95" s="381" t="str">
        <f t="shared" si="35"/>
        <v>-</v>
      </c>
      <c r="K95" s="199" t="str">
        <f t="shared" si="36"/>
        <v>-</v>
      </c>
      <c r="L95" s="659"/>
      <c r="M95" s="422" t="e">
        <f>RANK(K95, K$87:$K$101)</f>
        <v>#VALUE!</v>
      </c>
      <c r="N95" s="643"/>
      <c r="O95" s="643"/>
      <c r="P95" s="563"/>
      <c r="Q95" s="565"/>
      <c r="R95" s="565"/>
      <c r="S95" s="563"/>
      <c r="T95" s="639"/>
      <c r="U95" s="563"/>
      <c r="V95" s="565"/>
      <c r="W95" s="565"/>
      <c r="X95" s="563"/>
      <c r="Y95" s="639"/>
      <c r="Z95" s="563"/>
      <c r="AA95" s="565"/>
      <c r="AB95" s="565"/>
      <c r="AC95" s="563"/>
      <c r="AD95" s="639"/>
      <c r="AE95" s="563"/>
      <c r="AF95" s="565"/>
      <c r="AG95" s="565"/>
      <c r="AH95" s="563"/>
      <c r="AI95" s="639"/>
      <c r="AJ95" s="563"/>
      <c r="AK95" s="565"/>
      <c r="AL95" s="565"/>
      <c r="AM95" s="563"/>
      <c r="AN95" s="639"/>
      <c r="AO95" s="563"/>
      <c r="AP95" s="565"/>
      <c r="AQ95" s="565"/>
      <c r="AR95" s="563"/>
      <c r="AS95" s="639"/>
      <c r="AT95" s="563"/>
      <c r="AU95" s="565"/>
      <c r="AV95" s="565"/>
      <c r="AW95" s="563"/>
      <c r="AX95" s="639"/>
      <c r="AZ95" s="368" t="e">
        <f t="shared" si="37"/>
        <v>#N/A</v>
      </c>
      <c r="BA95" s="644"/>
    </row>
    <row r="96" spans="2:53">
      <c r="B96" s="649"/>
      <c r="C96" s="380">
        <v>10</v>
      </c>
      <c r="D96" s="351"/>
      <c r="E96" s="510"/>
      <c r="F96" s="510"/>
      <c r="G96" s="510"/>
      <c r="H96" s="657"/>
      <c r="I96" s="381" t="str">
        <f t="shared" si="34"/>
        <v>-</v>
      </c>
      <c r="J96" s="381" t="str">
        <f t="shared" si="35"/>
        <v>-</v>
      </c>
      <c r="K96" s="199" t="str">
        <f t="shared" si="36"/>
        <v>-</v>
      </c>
      <c r="L96" s="659"/>
      <c r="M96" s="422" t="e">
        <f>RANK(K96, K$87:$K$101)</f>
        <v>#VALUE!</v>
      </c>
      <c r="N96" s="643"/>
      <c r="O96" s="643"/>
      <c r="P96" s="563"/>
      <c r="Q96" s="565"/>
      <c r="R96" s="565"/>
      <c r="S96" s="563"/>
      <c r="T96" s="639"/>
      <c r="U96" s="563"/>
      <c r="V96" s="565"/>
      <c r="W96" s="565"/>
      <c r="X96" s="563"/>
      <c r="Y96" s="639"/>
      <c r="Z96" s="563"/>
      <c r="AA96" s="565"/>
      <c r="AB96" s="565"/>
      <c r="AC96" s="563"/>
      <c r="AD96" s="639"/>
      <c r="AE96" s="563"/>
      <c r="AF96" s="565"/>
      <c r="AG96" s="565"/>
      <c r="AH96" s="563"/>
      <c r="AI96" s="639"/>
      <c r="AJ96" s="563"/>
      <c r="AK96" s="565"/>
      <c r="AL96" s="565"/>
      <c r="AM96" s="563"/>
      <c r="AN96" s="639"/>
      <c r="AO96" s="563"/>
      <c r="AP96" s="565"/>
      <c r="AQ96" s="565"/>
      <c r="AR96" s="563"/>
      <c r="AS96" s="639"/>
      <c r="AT96" s="563"/>
      <c r="AU96" s="565"/>
      <c r="AV96" s="565"/>
      <c r="AW96" s="563"/>
      <c r="AX96" s="639"/>
      <c r="AZ96" s="368" t="e">
        <f t="shared" si="37"/>
        <v>#N/A</v>
      </c>
      <c r="BA96" s="644"/>
    </row>
    <row r="97" spans="2:53">
      <c r="B97" s="649"/>
      <c r="C97" s="380">
        <v>11</v>
      </c>
      <c r="D97" s="351"/>
      <c r="E97" s="510"/>
      <c r="F97" s="510"/>
      <c r="G97" s="510"/>
      <c r="H97" s="657"/>
      <c r="I97" s="381" t="str">
        <f t="shared" si="34"/>
        <v>-</v>
      </c>
      <c r="J97" s="381" t="str">
        <f t="shared" si="35"/>
        <v>-</v>
      </c>
      <c r="K97" s="199" t="str">
        <f t="shared" si="36"/>
        <v>-</v>
      </c>
      <c r="L97" s="659"/>
      <c r="M97" s="422" t="e">
        <f>RANK(K97, K$87:$K$101)</f>
        <v>#VALUE!</v>
      </c>
      <c r="N97" s="643"/>
      <c r="O97" s="643"/>
      <c r="P97" s="563"/>
      <c r="Q97" s="565"/>
      <c r="R97" s="565"/>
      <c r="S97" s="563"/>
      <c r="T97" s="639"/>
      <c r="U97" s="563"/>
      <c r="V97" s="565"/>
      <c r="W97" s="565"/>
      <c r="X97" s="563"/>
      <c r="Y97" s="639"/>
      <c r="Z97" s="563"/>
      <c r="AA97" s="565"/>
      <c r="AB97" s="565"/>
      <c r="AC97" s="563"/>
      <c r="AD97" s="639"/>
      <c r="AE97" s="563"/>
      <c r="AF97" s="565"/>
      <c r="AG97" s="565"/>
      <c r="AH97" s="563"/>
      <c r="AI97" s="639"/>
      <c r="AJ97" s="563"/>
      <c r="AK97" s="565"/>
      <c r="AL97" s="565"/>
      <c r="AM97" s="563"/>
      <c r="AN97" s="639"/>
      <c r="AO97" s="563"/>
      <c r="AP97" s="565"/>
      <c r="AQ97" s="565"/>
      <c r="AR97" s="563"/>
      <c r="AS97" s="639"/>
      <c r="AT97" s="563"/>
      <c r="AU97" s="565"/>
      <c r="AV97" s="565"/>
      <c r="AW97" s="563"/>
      <c r="AX97" s="639"/>
      <c r="AZ97" s="368" t="e">
        <f t="shared" si="37"/>
        <v>#N/A</v>
      </c>
      <c r="BA97" s="644"/>
    </row>
    <row r="98" spans="2:53">
      <c r="B98" s="649"/>
      <c r="C98" s="380">
        <v>12</v>
      </c>
      <c r="D98" s="351"/>
      <c r="E98" s="510"/>
      <c r="F98" s="510"/>
      <c r="G98" s="510"/>
      <c r="H98" s="657"/>
      <c r="I98" s="381" t="str">
        <f t="shared" si="34"/>
        <v>-</v>
      </c>
      <c r="J98" s="381" t="str">
        <f t="shared" si="35"/>
        <v>-</v>
      </c>
      <c r="K98" s="199" t="str">
        <f t="shared" si="36"/>
        <v>-</v>
      </c>
      <c r="L98" s="659"/>
      <c r="M98" s="422" t="e">
        <f>RANK(K98, K$87:$K$101)</f>
        <v>#VALUE!</v>
      </c>
      <c r="N98" s="643"/>
      <c r="O98" s="643"/>
      <c r="P98" s="563"/>
      <c r="Q98" s="565"/>
      <c r="R98" s="565"/>
      <c r="S98" s="563"/>
      <c r="T98" s="639"/>
      <c r="U98" s="563"/>
      <c r="V98" s="565"/>
      <c r="W98" s="565"/>
      <c r="X98" s="563"/>
      <c r="Y98" s="639"/>
      <c r="Z98" s="563"/>
      <c r="AA98" s="565"/>
      <c r="AB98" s="565"/>
      <c r="AC98" s="563"/>
      <c r="AD98" s="639"/>
      <c r="AE98" s="563"/>
      <c r="AF98" s="565"/>
      <c r="AG98" s="565"/>
      <c r="AH98" s="563"/>
      <c r="AI98" s="639"/>
      <c r="AJ98" s="563"/>
      <c r="AK98" s="565"/>
      <c r="AL98" s="565"/>
      <c r="AM98" s="563"/>
      <c r="AN98" s="639"/>
      <c r="AO98" s="563"/>
      <c r="AP98" s="565"/>
      <c r="AQ98" s="565"/>
      <c r="AR98" s="563"/>
      <c r="AS98" s="639"/>
      <c r="AT98" s="563"/>
      <c r="AU98" s="565"/>
      <c r="AV98" s="565"/>
      <c r="AW98" s="563"/>
      <c r="AX98" s="639"/>
      <c r="AZ98" s="368" t="e">
        <f t="shared" si="37"/>
        <v>#N/A</v>
      </c>
      <c r="BA98" s="644"/>
    </row>
    <row r="99" spans="2:53">
      <c r="B99" s="649"/>
      <c r="C99" s="380">
        <v>13</v>
      </c>
      <c r="D99" s="351"/>
      <c r="E99" s="510"/>
      <c r="F99" s="510"/>
      <c r="G99" s="510"/>
      <c r="H99" s="657"/>
      <c r="I99" s="381" t="str">
        <f t="shared" si="34"/>
        <v>-</v>
      </c>
      <c r="J99" s="381" t="str">
        <f t="shared" si="35"/>
        <v>-</v>
      </c>
      <c r="K99" s="199" t="str">
        <f t="shared" si="36"/>
        <v>-</v>
      </c>
      <c r="L99" s="659"/>
      <c r="M99" s="422" t="e">
        <f>RANK(K99, K$87:$K$101)</f>
        <v>#VALUE!</v>
      </c>
      <c r="N99" s="643"/>
      <c r="O99" s="643"/>
      <c r="P99" s="563"/>
      <c r="Q99" s="565"/>
      <c r="R99" s="565"/>
      <c r="S99" s="563"/>
      <c r="T99" s="639"/>
      <c r="U99" s="563"/>
      <c r="V99" s="565"/>
      <c r="W99" s="565"/>
      <c r="X99" s="563"/>
      <c r="Y99" s="639"/>
      <c r="Z99" s="563"/>
      <c r="AA99" s="565"/>
      <c r="AB99" s="565"/>
      <c r="AC99" s="563"/>
      <c r="AD99" s="639"/>
      <c r="AE99" s="563"/>
      <c r="AF99" s="565"/>
      <c r="AG99" s="565"/>
      <c r="AH99" s="563"/>
      <c r="AI99" s="639"/>
      <c r="AJ99" s="563"/>
      <c r="AK99" s="565"/>
      <c r="AL99" s="565"/>
      <c r="AM99" s="563"/>
      <c r="AN99" s="639"/>
      <c r="AO99" s="563"/>
      <c r="AP99" s="565"/>
      <c r="AQ99" s="565"/>
      <c r="AR99" s="563"/>
      <c r="AS99" s="639"/>
      <c r="AT99" s="563"/>
      <c r="AU99" s="565"/>
      <c r="AV99" s="565"/>
      <c r="AW99" s="563"/>
      <c r="AX99" s="639"/>
      <c r="AZ99" s="368" t="e">
        <f t="shared" si="37"/>
        <v>#N/A</v>
      </c>
      <c r="BA99" s="644"/>
    </row>
    <row r="100" spans="2:53">
      <c r="B100" s="649"/>
      <c r="C100" s="380">
        <v>14</v>
      </c>
      <c r="D100" s="351"/>
      <c r="E100" s="510"/>
      <c r="F100" s="510"/>
      <c r="G100" s="510"/>
      <c r="H100" s="657"/>
      <c r="I100" s="381" t="str">
        <f t="shared" si="34"/>
        <v>-</v>
      </c>
      <c r="J100" s="381" t="str">
        <f t="shared" si="35"/>
        <v>-</v>
      </c>
      <c r="K100" s="199" t="str">
        <f t="shared" si="36"/>
        <v>-</v>
      </c>
      <c r="L100" s="659"/>
      <c r="M100" s="422" t="e">
        <f>RANK(K100, K$87:$K$101)</f>
        <v>#VALUE!</v>
      </c>
      <c r="N100" s="643"/>
      <c r="O100" s="643"/>
      <c r="P100" s="563"/>
      <c r="Q100" s="565"/>
      <c r="R100" s="565"/>
      <c r="S100" s="563"/>
      <c r="T100" s="639"/>
      <c r="U100" s="563"/>
      <c r="V100" s="565"/>
      <c r="W100" s="565"/>
      <c r="X100" s="563"/>
      <c r="Y100" s="639"/>
      <c r="Z100" s="563"/>
      <c r="AA100" s="565"/>
      <c r="AB100" s="565"/>
      <c r="AC100" s="563"/>
      <c r="AD100" s="639"/>
      <c r="AE100" s="563"/>
      <c r="AF100" s="565"/>
      <c r="AG100" s="565"/>
      <c r="AH100" s="563"/>
      <c r="AI100" s="639"/>
      <c r="AJ100" s="563"/>
      <c r="AK100" s="565"/>
      <c r="AL100" s="565"/>
      <c r="AM100" s="563"/>
      <c r="AN100" s="639"/>
      <c r="AO100" s="563"/>
      <c r="AP100" s="565"/>
      <c r="AQ100" s="565"/>
      <c r="AR100" s="563"/>
      <c r="AS100" s="639"/>
      <c r="AT100" s="563"/>
      <c r="AU100" s="565"/>
      <c r="AV100" s="565"/>
      <c r="AW100" s="563"/>
      <c r="AX100" s="639"/>
      <c r="AZ100" s="368" t="e">
        <f t="shared" si="37"/>
        <v>#N/A</v>
      </c>
      <c r="BA100" s="644"/>
    </row>
    <row r="101" spans="2:53">
      <c r="B101" s="649"/>
      <c r="C101" s="380">
        <v>15</v>
      </c>
      <c r="D101" s="351"/>
      <c r="E101" s="510"/>
      <c r="F101" s="510"/>
      <c r="G101" s="510"/>
      <c r="H101" s="714"/>
      <c r="I101" s="384"/>
      <c r="J101" s="384"/>
      <c r="K101" s="382"/>
      <c r="L101" s="660"/>
      <c r="M101" s="422" t="e">
        <f>RANK(K101, K$87:$K$101)</f>
        <v>#N/A</v>
      </c>
      <c r="N101" s="643"/>
      <c r="O101" s="643"/>
      <c r="P101" s="563"/>
      <c r="Q101" s="565"/>
      <c r="R101" s="565"/>
      <c r="S101" s="563"/>
      <c r="T101" s="640"/>
      <c r="U101" s="563"/>
      <c r="V101" s="565"/>
      <c r="W101" s="565"/>
      <c r="X101" s="563"/>
      <c r="Y101" s="640"/>
      <c r="Z101" s="563"/>
      <c r="AA101" s="565"/>
      <c r="AB101" s="565"/>
      <c r="AC101" s="563"/>
      <c r="AD101" s="640"/>
      <c r="AE101" s="563"/>
      <c r="AF101" s="565"/>
      <c r="AG101" s="565"/>
      <c r="AH101" s="563"/>
      <c r="AI101" s="640"/>
      <c r="AJ101" s="563"/>
      <c r="AK101" s="565"/>
      <c r="AL101" s="565"/>
      <c r="AM101" s="563"/>
      <c r="AN101" s="640"/>
      <c r="AO101" s="563"/>
      <c r="AP101" s="565"/>
      <c r="AQ101" s="565"/>
      <c r="AR101" s="563"/>
      <c r="AS101" s="640"/>
      <c r="AT101" s="563"/>
      <c r="AU101" s="565"/>
      <c r="AV101" s="565"/>
      <c r="AW101" s="563"/>
      <c r="AX101" s="640"/>
      <c r="AZ101" s="368" t="e">
        <f t="shared" si="37"/>
        <v>#N/A</v>
      </c>
      <c r="BA101" s="644"/>
    </row>
    <row r="102" spans="2:53" ht="15.75">
      <c r="B102" s="671" t="s">
        <v>162</v>
      </c>
      <c r="C102" s="672"/>
      <c r="D102" s="672"/>
      <c r="E102" s="672"/>
      <c r="F102" s="672"/>
      <c r="G102" s="672"/>
      <c r="H102" s="673"/>
      <c r="I102" s="207"/>
      <c r="J102" s="207"/>
      <c r="K102" s="207"/>
      <c r="L102" s="207"/>
      <c r="M102" s="206"/>
      <c r="N102" s="645" t="s">
        <v>156</v>
      </c>
      <c r="O102" s="645" t="s">
        <v>105</v>
      </c>
      <c r="P102" s="670">
        <f>P82+7</f>
        <v>46301</v>
      </c>
      <c r="Q102" s="649"/>
      <c r="R102" s="649"/>
      <c r="S102" s="649"/>
      <c r="T102" s="649"/>
      <c r="U102" s="667">
        <f>P102+1</f>
        <v>46302</v>
      </c>
      <c r="V102" s="668"/>
      <c r="W102" s="668"/>
      <c r="X102" s="668"/>
      <c r="Y102" s="669"/>
      <c r="Z102" s="667">
        <f>U102+1</f>
        <v>46303</v>
      </c>
      <c r="AA102" s="668"/>
      <c r="AB102" s="668"/>
      <c r="AC102" s="668"/>
      <c r="AD102" s="669"/>
      <c r="AE102" s="667">
        <f>Z102+1</f>
        <v>46304</v>
      </c>
      <c r="AF102" s="668"/>
      <c r="AG102" s="668"/>
      <c r="AH102" s="668"/>
      <c r="AI102" s="669"/>
      <c r="AJ102" s="667">
        <f>AE102+1</f>
        <v>46305</v>
      </c>
      <c r="AK102" s="668"/>
      <c r="AL102" s="668"/>
      <c r="AM102" s="668"/>
      <c r="AN102" s="669"/>
      <c r="AO102" s="667">
        <f>AJ102+1</f>
        <v>46306</v>
      </c>
      <c r="AP102" s="668"/>
      <c r="AQ102" s="668"/>
      <c r="AR102" s="668"/>
      <c r="AS102" s="669"/>
      <c r="AT102" s="667">
        <f>AO102+1</f>
        <v>46307</v>
      </c>
      <c r="AU102" s="668"/>
      <c r="AV102" s="668"/>
      <c r="AW102" s="668"/>
      <c r="AX102" s="669"/>
    </row>
    <row r="103" spans="2:53" ht="15.75">
      <c r="B103" s="674"/>
      <c r="C103" s="674"/>
      <c r="D103" s="674"/>
      <c r="E103" s="674"/>
      <c r="F103" s="674"/>
      <c r="G103" s="674"/>
      <c r="H103" s="674"/>
      <c r="I103" s="204"/>
      <c r="J103" s="204"/>
      <c r="K103" s="204"/>
      <c r="L103" s="204"/>
      <c r="M103" s="205"/>
      <c r="N103" s="647"/>
      <c r="O103" s="647"/>
      <c r="P103" s="670" t="s">
        <v>158</v>
      </c>
      <c r="Q103" s="649"/>
      <c r="R103" s="649"/>
      <c r="S103" s="649"/>
      <c r="T103" s="649"/>
      <c r="U103" s="670" t="s">
        <v>114</v>
      </c>
      <c r="V103" s="649"/>
      <c r="W103" s="649"/>
      <c r="X103" s="649"/>
      <c r="Y103" s="649"/>
      <c r="Z103" s="670" t="s">
        <v>159</v>
      </c>
      <c r="AA103" s="649"/>
      <c r="AB103" s="649"/>
      <c r="AC103" s="649"/>
      <c r="AD103" s="649"/>
      <c r="AE103" s="670" t="s">
        <v>157</v>
      </c>
      <c r="AF103" s="649"/>
      <c r="AG103" s="649"/>
      <c r="AH103" s="649"/>
      <c r="AI103" s="649"/>
      <c r="AJ103" s="670" t="s">
        <v>160</v>
      </c>
      <c r="AK103" s="649"/>
      <c r="AL103" s="649"/>
      <c r="AM103" s="649"/>
      <c r="AN103" s="649"/>
      <c r="AO103" s="670" t="s">
        <v>115</v>
      </c>
      <c r="AP103" s="649"/>
      <c r="AQ103" s="649"/>
      <c r="AR103" s="649"/>
      <c r="AS103" s="649"/>
      <c r="AT103" s="670" t="s">
        <v>161</v>
      </c>
      <c r="AU103" s="649"/>
      <c r="AV103" s="649"/>
      <c r="AW103" s="649"/>
      <c r="AX103" s="649"/>
    </row>
    <row r="104" spans="2:53">
      <c r="B104" s="643" t="s">
        <v>507</v>
      </c>
      <c r="C104" s="643" t="s">
        <v>508</v>
      </c>
      <c r="D104" s="643"/>
      <c r="E104" s="643" t="s">
        <v>509</v>
      </c>
      <c r="F104" s="643"/>
      <c r="G104" s="643"/>
      <c r="H104" s="675" t="s">
        <v>510</v>
      </c>
      <c r="I104" s="643" t="s">
        <v>511</v>
      </c>
      <c r="J104" s="643"/>
      <c r="K104" s="643"/>
      <c r="L104" s="675" t="s">
        <v>359</v>
      </c>
      <c r="M104" s="645" t="s">
        <v>512</v>
      </c>
      <c r="N104" s="643"/>
      <c r="O104" s="643" t="s">
        <v>513</v>
      </c>
      <c r="P104" s="661" t="s">
        <v>514</v>
      </c>
      <c r="Q104" s="662"/>
      <c r="R104" s="662"/>
      <c r="S104" s="663"/>
      <c r="T104" s="643" t="s">
        <v>510</v>
      </c>
      <c r="U104" s="661" t="s">
        <v>514</v>
      </c>
      <c r="V104" s="662"/>
      <c r="W104" s="662"/>
      <c r="X104" s="663"/>
      <c r="Y104" s="643" t="s">
        <v>510</v>
      </c>
      <c r="Z104" s="661" t="s">
        <v>514</v>
      </c>
      <c r="AA104" s="662"/>
      <c r="AB104" s="662"/>
      <c r="AC104" s="663"/>
      <c r="AD104" s="643" t="s">
        <v>510</v>
      </c>
      <c r="AE104" s="661" t="s">
        <v>514</v>
      </c>
      <c r="AF104" s="662"/>
      <c r="AG104" s="662"/>
      <c r="AH104" s="663"/>
      <c r="AI104" s="643" t="s">
        <v>510</v>
      </c>
      <c r="AJ104" s="661" t="s">
        <v>514</v>
      </c>
      <c r="AK104" s="662"/>
      <c r="AL104" s="662"/>
      <c r="AM104" s="663"/>
      <c r="AN104" s="643" t="s">
        <v>510</v>
      </c>
      <c r="AO104" s="661" t="s">
        <v>514</v>
      </c>
      <c r="AP104" s="662"/>
      <c r="AQ104" s="662"/>
      <c r="AR104" s="663"/>
      <c r="AS104" s="643" t="s">
        <v>510</v>
      </c>
      <c r="AT104" s="661" t="s">
        <v>514</v>
      </c>
      <c r="AU104" s="662"/>
      <c r="AV104" s="662"/>
      <c r="AW104" s="663"/>
      <c r="AX104" s="643" t="s">
        <v>510</v>
      </c>
      <c r="BA104" s="643" t="s">
        <v>359</v>
      </c>
    </row>
    <row r="105" spans="2:53">
      <c r="B105" s="643"/>
      <c r="C105" s="643"/>
      <c r="D105" s="643"/>
      <c r="E105" s="643" t="s">
        <v>515</v>
      </c>
      <c r="F105" s="643"/>
      <c r="G105" s="643"/>
      <c r="H105" s="676"/>
      <c r="I105" s="643" t="s">
        <v>515</v>
      </c>
      <c r="J105" s="643"/>
      <c r="K105" s="643"/>
      <c r="L105" s="676"/>
      <c r="M105" s="646"/>
      <c r="N105" s="643"/>
      <c r="O105" s="643"/>
      <c r="P105" s="661" t="s">
        <v>516</v>
      </c>
      <c r="Q105" s="662"/>
      <c r="R105" s="662"/>
      <c r="S105" s="663"/>
      <c r="T105" s="643"/>
      <c r="U105" s="661" t="s">
        <v>516</v>
      </c>
      <c r="V105" s="662"/>
      <c r="W105" s="662"/>
      <c r="X105" s="663"/>
      <c r="Y105" s="643"/>
      <c r="Z105" s="661" t="s">
        <v>516</v>
      </c>
      <c r="AA105" s="662"/>
      <c r="AB105" s="662"/>
      <c r="AC105" s="663"/>
      <c r="AD105" s="643"/>
      <c r="AE105" s="661" t="s">
        <v>516</v>
      </c>
      <c r="AF105" s="662"/>
      <c r="AG105" s="662"/>
      <c r="AH105" s="663"/>
      <c r="AI105" s="643"/>
      <c r="AJ105" s="661" t="s">
        <v>516</v>
      </c>
      <c r="AK105" s="662"/>
      <c r="AL105" s="662"/>
      <c r="AM105" s="663"/>
      <c r="AN105" s="643"/>
      <c r="AO105" s="661" t="s">
        <v>516</v>
      </c>
      <c r="AP105" s="662"/>
      <c r="AQ105" s="662"/>
      <c r="AR105" s="663"/>
      <c r="AS105" s="643"/>
      <c r="AT105" s="661" t="s">
        <v>516</v>
      </c>
      <c r="AU105" s="662"/>
      <c r="AV105" s="662"/>
      <c r="AW105" s="663"/>
      <c r="AX105" s="643"/>
      <c r="BA105" s="643"/>
    </row>
    <row r="106" spans="2:53">
      <c r="B106" s="643"/>
      <c r="C106" s="643"/>
      <c r="D106" s="643"/>
      <c r="E106" s="345" t="s">
        <v>517</v>
      </c>
      <c r="F106" s="345" t="s">
        <v>518</v>
      </c>
      <c r="G106" s="345" t="s">
        <v>519</v>
      </c>
      <c r="H106" s="677"/>
      <c r="I106" s="345" t="s">
        <v>517</v>
      </c>
      <c r="J106" s="345" t="s">
        <v>518</v>
      </c>
      <c r="K106" s="345" t="s">
        <v>519</v>
      </c>
      <c r="L106" s="677"/>
      <c r="M106" s="647"/>
      <c r="N106" s="643"/>
      <c r="O106" s="643"/>
      <c r="P106" s="345" t="s">
        <v>517</v>
      </c>
      <c r="Q106" s="345" t="s">
        <v>518</v>
      </c>
      <c r="R106" s="345" t="s">
        <v>519</v>
      </c>
      <c r="S106" s="345" t="s">
        <v>512</v>
      </c>
      <c r="T106" s="643"/>
      <c r="U106" s="345" t="s">
        <v>517</v>
      </c>
      <c r="V106" s="345" t="s">
        <v>518</v>
      </c>
      <c r="W106" s="345" t="s">
        <v>519</v>
      </c>
      <c r="X106" s="345" t="s">
        <v>512</v>
      </c>
      <c r="Y106" s="643"/>
      <c r="Z106" s="345" t="s">
        <v>517</v>
      </c>
      <c r="AA106" s="345" t="s">
        <v>518</v>
      </c>
      <c r="AB106" s="345" t="s">
        <v>519</v>
      </c>
      <c r="AC106" s="345" t="s">
        <v>512</v>
      </c>
      <c r="AD106" s="643"/>
      <c r="AE106" s="345" t="s">
        <v>517</v>
      </c>
      <c r="AF106" s="345" t="s">
        <v>518</v>
      </c>
      <c r="AG106" s="345" t="s">
        <v>519</v>
      </c>
      <c r="AH106" s="345" t="s">
        <v>512</v>
      </c>
      <c r="AI106" s="643"/>
      <c r="AJ106" s="345" t="s">
        <v>517</v>
      </c>
      <c r="AK106" s="345" t="s">
        <v>518</v>
      </c>
      <c r="AL106" s="345" t="s">
        <v>519</v>
      </c>
      <c r="AM106" s="345" t="s">
        <v>512</v>
      </c>
      <c r="AN106" s="643"/>
      <c r="AO106" s="345" t="s">
        <v>517</v>
      </c>
      <c r="AP106" s="345" t="s">
        <v>518</v>
      </c>
      <c r="AQ106" s="345" t="s">
        <v>519</v>
      </c>
      <c r="AR106" s="345" t="s">
        <v>512</v>
      </c>
      <c r="AS106" s="643"/>
      <c r="AT106" s="345" t="s">
        <v>517</v>
      </c>
      <c r="AU106" s="345" t="s">
        <v>518</v>
      </c>
      <c r="AV106" s="345" t="s">
        <v>519</v>
      </c>
      <c r="AW106" s="345" t="s">
        <v>512</v>
      </c>
      <c r="AX106" s="643"/>
      <c r="AZ106" s="367" t="s">
        <v>512</v>
      </c>
      <c r="BA106" s="643"/>
    </row>
    <row r="107" spans="2:53">
      <c r="B107" s="701" t="s">
        <v>521</v>
      </c>
      <c r="C107" s="348">
        <v>1</v>
      </c>
      <c r="D107" s="351"/>
      <c r="E107" s="349"/>
      <c r="F107" s="349"/>
      <c r="G107" s="349"/>
      <c r="H107" s="656" t="e">
        <f>AVERAGE(G107:G121)</f>
        <v>#DIV/0!</v>
      </c>
      <c r="I107" s="363" t="str">
        <f t="shared" ref="I107:I120" si="39">IFERROR(AVERAGE(P107,U107,Z107,AE107,AJ107,AO107,AT107),"-")</f>
        <v>-</v>
      </c>
      <c r="J107" s="363" t="str">
        <f t="shared" ref="J107:J120" si="40">IFERROR(AVERAGE(Q107,V107,AA107,AF107,AK107,AP107,AU107),"-")</f>
        <v>-</v>
      </c>
      <c r="K107" s="199" t="str">
        <f t="shared" ref="K107:K120" si="41">IFERROR(AVERAGE(R107,W107,AB107,AG107,AL107,AQ107,AV107),"-")</f>
        <v>-</v>
      </c>
      <c r="L107" s="658" t="str">
        <f>IFERROR(AVERAGE(K107:K121),"-")</f>
        <v>-</v>
      </c>
      <c r="M107" s="349" t="e">
        <f>RANK(K107, K$107:$K$121)</f>
        <v>#VALUE!</v>
      </c>
      <c r="N107" s="643"/>
      <c r="O107" s="643"/>
      <c r="P107" s="563"/>
      <c r="Q107" s="565"/>
      <c r="R107" s="565"/>
      <c r="S107" s="563"/>
      <c r="T107" s="638"/>
      <c r="U107" s="563"/>
      <c r="V107" s="565"/>
      <c r="W107" s="565"/>
      <c r="X107" s="563"/>
      <c r="Y107" s="638"/>
      <c r="Z107" s="563"/>
      <c r="AA107" s="565"/>
      <c r="AB107" s="565"/>
      <c r="AC107" s="563"/>
      <c r="AD107" s="638"/>
      <c r="AE107" s="563"/>
      <c r="AF107" s="565"/>
      <c r="AG107" s="565"/>
      <c r="AH107" s="563"/>
      <c r="AI107" s="638"/>
      <c r="AJ107" s="563"/>
      <c r="AK107" s="565"/>
      <c r="AL107" s="565"/>
      <c r="AM107" s="563"/>
      <c r="AN107" s="638"/>
      <c r="AO107" s="563"/>
      <c r="AP107" s="565"/>
      <c r="AQ107" s="565"/>
      <c r="AR107" s="563"/>
      <c r="AS107" s="638"/>
      <c r="AT107" s="563"/>
      <c r="AU107" s="565"/>
      <c r="AV107" s="565"/>
      <c r="AW107" s="563"/>
      <c r="AX107" s="638"/>
      <c r="AZ107" s="369" t="e">
        <f t="shared" ref="AZ107:AZ121" si="42">RANK(AY107, AY$67:AY$81)</f>
        <v>#N/A</v>
      </c>
      <c r="BA107" s="700" t="e">
        <f t="shared" ref="BA107" si="43">AVERAGE(AY107:AY121)</f>
        <v>#DIV/0!</v>
      </c>
    </row>
    <row r="108" spans="2:53">
      <c r="B108" s="678"/>
      <c r="C108" s="348">
        <v>2</v>
      </c>
      <c r="D108" s="351"/>
      <c r="E108" s="349"/>
      <c r="F108" s="349"/>
      <c r="G108" s="349"/>
      <c r="H108" s="657"/>
      <c r="I108" s="363" t="str">
        <f t="shared" si="39"/>
        <v>-</v>
      </c>
      <c r="J108" s="363" t="str">
        <f t="shared" si="40"/>
        <v>-</v>
      </c>
      <c r="K108" s="199" t="str">
        <f t="shared" si="41"/>
        <v>-</v>
      </c>
      <c r="L108" s="659"/>
      <c r="M108" s="510" t="e">
        <f>RANK(K108, K$107:$K$121)</f>
        <v>#VALUE!</v>
      </c>
      <c r="N108" s="643"/>
      <c r="O108" s="643"/>
      <c r="P108" s="563"/>
      <c r="Q108" s="565"/>
      <c r="R108" s="565"/>
      <c r="S108" s="563"/>
      <c r="T108" s="639"/>
      <c r="U108" s="563"/>
      <c r="V108" s="565"/>
      <c r="W108" s="565"/>
      <c r="X108" s="563"/>
      <c r="Y108" s="639"/>
      <c r="Z108" s="563"/>
      <c r="AA108" s="565"/>
      <c r="AB108" s="565"/>
      <c r="AC108" s="563"/>
      <c r="AD108" s="639"/>
      <c r="AE108" s="563"/>
      <c r="AF108" s="565"/>
      <c r="AG108" s="565"/>
      <c r="AH108" s="563"/>
      <c r="AI108" s="639"/>
      <c r="AJ108" s="563"/>
      <c r="AK108" s="565"/>
      <c r="AL108" s="565"/>
      <c r="AM108" s="563"/>
      <c r="AN108" s="639"/>
      <c r="AO108" s="563"/>
      <c r="AP108" s="565"/>
      <c r="AQ108" s="565"/>
      <c r="AR108" s="563"/>
      <c r="AS108" s="639"/>
      <c r="AT108" s="563"/>
      <c r="AU108" s="565"/>
      <c r="AV108" s="565"/>
      <c r="AW108" s="563"/>
      <c r="AX108" s="639"/>
      <c r="AZ108" s="369" t="e">
        <f t="shared" si="42"/>
        <v>#N/A</v>
      </c>
      <c r="BA108" s="700"/>
    </row>
    <row r="109" spans="2:53">
      <c r="B109" s="678"/>
      <c r="C109" s="348">
        <v>3</v>
      </c>
      <c r="D109" s="351"/>
      <c r="E109" s="349"/>
      <c r="F109" s="349"/>
      <c r="G109" s="349"/>
      <c r="H109" s="657"/>
      <c r="I109" s="363" t="str">
        <f t="shared" si="39"/>
        <v>-</v>
      </c>
      <c r="J109" s="363" t="str">
        <f t="shared" si="40"/>
        <v>-</v>
      </c>
      <c r="K109" s="199" t="str">
        <f t="shared" si="41"/>
        <v>-</v>
      </c>
      <c r="L109" s="659"/>
      <c r="M109" s="510" t="e">
        <f>RANK(K109, K$107:$K$121)</f>
        <v>#VALUE!</v>
      </c>
      <c r="N109" s="643"/>
      <c r="O109" s="643"/>
      <c r="P109" s="563"/>
      <c r="Q109" s="565"/>
      <c r="R109" s="565"/>
      <c r="S109" s="563"/>
      <c r="T109" s="639"/>
      <c r="U109" s="563"/>
      <c r="V109" s="565"/>
      <c r="W109" s="565"/>
      <c r="X109" s="563"/>
      <c r="Y109" s="639"/>
      <c r="Z109" s="563"/>
      <c r="AA109" s="565"/>
      <c r="AB109" s="565"/>
      <c r="AC109" s="563"/>
      <c r="AD109" s="639"/>
      <c r="AE109" s="563"/>
      <c r="AF109" s="565"/>
      <c r="AG109" s="565"/>
      <c r="AH109" s="563"/>
      <c r="AI109" s="639"/>
      <c r="AJ109" s="563"/>
      <c r="AK109" s="565"/>
      <c r="AL109" s="565"/>
      <c r="AM109" s="563"/>
      <c r="AN109" s="639"/>
      <c r="AO109" s="563"/>
      <c r="AP109" s="565"/>
      <c r="AQ109" s="565"/>
      <c r="AR109" s="563"/>
      <c r="AS109" s="639"/>
      <c r="AT109" s="563"/>
      <c r="AU109" s="565"/>
      <c r="AV109" s="565"/>
      <c r="AW109" s="563"/>
      <c r="AX109" s="639"/>
      <c r="AZ109" s="369" t="e">
        <f t="shared" si="42"/>
        <v>#N/A</v>
      </c>
      <c r="BA109" s="700"/>
    </row>
    <row r="110" spans="2:53">
      <c r="B110" s="678"/>
      <c r="C110" s="348">
        <v>4</v>
      </c>
      <c r="D110" s="351"/>
      <c r="E110" s="349"/>
      <c r="F110" s="349"/>
      <c r="G110" s="349"/>
      <c r="H110" s="657"/>
      <c r="I110" s="363" t="str">
        <f t="shared" si="39"/>
        <v>-</v>
      </c>
      <c r="J110" s="363" t="str">
        <f t="shared" si="40"/>
        <v>-</v>
      </c>
      <c r="K110" s="199" t="str">
        <f t="shared" si="41"/>
        <v>-</v>
      </c>
      <c r="L110" s="659"/>
      <c r="M110" s="510" t="e">
        <f>RANK(K110, K$107:$K$121)</f>
        <v>#VALUE!</v>
      </c>
      <c r="N110" s="643"/>
      <c r="O110" s="643"/>
      <c r="P110" s="563"/>
      <c r="Q110" s="565"/>
      <c r="R110" s="565"/>
      <c r="S110" s="563"/>
      <c r="T110" s="639"/>
      <c r="U110" s="563"/>
      <c r="V110" s="565"/>
      <c r="W110" s="565"/>
      <c r="X110" s="563"/>
      <c r="Y110" s="639"/>
      <c r="Z110" s="563"/>
      <c r="AA110" s="565"/>
      <c r="AB110" s="565"/>
      <c r="AC110" s="563"/>
      <c r="AD110" s="639"/>
      <c r="AE110" s="563"/>
      <c r="AF110" s="565"/>
      <c r="AG110" s="565"/>
      <c r="AH110" s="563"/>
      <c r="AI110" s="639"/>
      <c r="AJ110" s="563"/>
      <c r="AK110" s="565"/>
      <c r="AL110" s="565"/>
      <c r="AM110" s="563"/>
      <c r="AN110" s="639"/>
      <c r="AO110" s="563"/>
      <c r="AP110" s="565"/>
      <c r="AQ110" s="565"/>
      <c r="AR110" s="563"/>
      <c r="AS110" s="639"/>
      <c r="AT110" s="563"/>
      <c r="AU110" s="565"/>
      <c r="AV110" s="565"/>
      <c r="AW110" s="563"/>
      <c r="AX110" s="639"/>
      <c r="AZ110" s="369" t="e">
        <f t="shared" si="42"/>
        <v>#N/A</v>
      </c>
      <c r="BA110" s="700"/>
    </row>
    <row r="111" spans="2:53">
      <c r="B111" s="678"/>
      <c r="C111" s="348">
        <v>5</v>
      </c>
      <c r="D111" s="351"/>
      <c r="E111" s="349"/>
      <c r="F111" s="349"/>
      <c r="G111" s="349"/>
      <c r="H111" s="657"/>
      <c r="I111" s="363" t="str">
        <f t="shared" si="39"/>
        <v>-</v>
      </c>
      <c r="J111" s="363" t="str">
        <f t="shared" si="40"/>
        <v>-</v>
      </c>
      <c r="K111" s="199" t="str">
        <f t="shared" si="41"/>
        <v>-</v>
      </c>
      <c r="L111" s="659"/>
      <c r="M111" s="510" t="e">
        <f>RANK(K111, K$107:$K$121)</f>
        <v>#VALUE!</v>
      </c>
      <c r="N111" s="643"/>
      <c r="O111" s="643"/>
      <c r="P111" s="563"/>
      <c r="Q111" s="565"/>
      <c r="R111" s="565"/>
      <c r="S111" s="563"/>
      <c r="T111" s="639"/>
      <c r="U111" s="563"/>
      <c r="V111" s="565"/>
      <c r="W111" s="565"/>
      <c r="X111" s="563"/>
      <c r="Y111" s="639"/>
      <c r="Z111" s="563"/>
      <c r="AA111" s="565"/>
      <c r="AB111" s="565"/>
      <c r="AC111" s="563"/>
      <c r="AD111" s="639"/>
      <c r="AE111" s="563"/>
      <c r="AF111" s="565"/>
      <c r="AG111" s="565"/>
      <c r="AH111" s="563"/>
      <c r="AI111" s="639"/>
      <c r="AJ111" s="563"/>
      <c r="AK111" s="565"/>
      <c r="AL111" s="565"/>
      <c r="AM111" s="563"/>
      <c r="AN111" s="639"/>
      <c r="AO111" s="563"/>
      <c r="AP111" s="565"/>
      <c r="AQ111" s="565"/>
      <c r="AR111" s="563"/>
      <c r="AS111" s="639"/>
      <c r="AT111" s="563"/>
      <c r="AU111" s="565"/>
      <c r="AV111" s="565"/>
      <c r="AW111" s="563"/>
      <c r="AX111" s="639"/>
      <c r="AZ111" s="369" t="e">
        <f t="shared" si="42"/>
        <v>#N/A</v>
      </c>
      <c r="BA111" s="700"/>
    </row>
    <row r="112" spans="2:53">
      <c r="B112" s="678"/>
      <c r="C112" s="348">
        <v>6</v>
      </c>
      <c r="D112" s="351"/>
      <c r="E112" s="349"/>
      <c r="F112" s="349"/>
      <c r="G112" s="349"/>
      <c r="H112" s="657"/>
      <c r="I112" s="363" t="str">
        <f t="shared" si="39"/>
        <v>-</v>
      </c>
      <c r="J112" s="363" t="str">
        <f t="shared" si="40"/>
        <v>-</v>
      </c>
      <c r="K112" s="199" t="str">
        <f t="shared" si="41"/>
        <v>-</v>
      </c>
      <c r="L112" s="659"/>
      <c r="M112" s="510" t="e">
        <f>RANK(K112, K$107:$K$121)</f>
        <v>#VALUE!</v>
      </c>
      <c r="N112" s="643"/>
      <c r="O112" s="643"/>
      <c r="P112" s="563"/>
      <c r="Q112" s="565"/>
      <c r="R112" s="565"/>
      <c r="S112" s="563"/>
      <c r="T112" s="639"/>
      <c r="U112" s="563"/>
      <c r="V112" s="565"/>
      <c r="W112" s="565"/>
      <c r="X112" s="563"/>
      <c r="Y112" s="639"/>
      <c r="Z112" s="563"/>
      <c r="AA112" s="565"/>
      <c r="AB112" s="565"/>
      <c r="AC112" s="563"/>
      <c r="AD112" s="639"/>
      <c r="AE112" s="563"/>
      <c r="AF112" s="565"/>
      <c r="AG112" s="565"/>
      <c r="AH112" s="563"/>
      <c r="AI112" s="639"/>
      <c r="AJ112" s="563"/>
      <c r="AK112" s="565"/>
      <c r="AL112" s="565"/>
      <c r="AM112" s="563"/>
      <c r="AN112" s="639"/>
      <c r="AO112" s="563"/>
      <c r="AP112" s="565"/>
      <c r="AQ112" s="565"/>
      <c r="AR112" s="563"/>
      <c r="AS112" s="639"/>
      <c r="AT112" s="563"/>
      <c r="AU112" s="565"/>
      <c r="AV112" s="565"/>
      <c r="AW112" s="563"/>
      <c r="AX112" s="639"/>
      <c r="AZ112" s="369" t="e">
        <f t="shared" si="42"/>
        <v>#N/A</v>
      </c>
      <c r="BA112" s="700"/>
    </row>
    <row r="113" spans="2:53">
      <c r="B113" s="678"/>
      <c r="C113" s="348">
        <v>7</v>
      </c>
      <c r="D113" s="351"/>
      <c r="E113" s="349"/>
      <c r="F113" s="349"/>
      <c r="G113" s="349"/>
      <c r="H113" s="657"/>
      <c r="I113" s="363" t="str">
        <f t="shared" si="39"/>
        <v>-</v>
      </c>
      <c r="J113" s="363" t="str">
        <f t="shared" si="40"/>
        <v>-</v>
      </c>
      <c r="K113" s="199" t="str">
        <f t="shared" si="41"/>
        <v>-</v>
      </c>
      <c r="L113" s="659"/>
      <c r="M113" s="510" t="e">
        <f>RANK(K113, K$107:$K$121)</f>
        <v>#VALUE!</v>
      </c>
      <c r="N113" s="643"/>
      <c r="O113" s="643"/>
      <c r="P113" s="563"/>
      <c r="Q113" s="565"/>
      <c r="R113" s="565"/>
      <c r="S113" s="563"/>
      <c r="T113" s="639"/>
      <c r="U113" s="563"/>
      <c r="V113" s="565"/>
      <c r="W113" s="565"/>
      <c r="X113" s="563"/>
      <c r="Y113" s="639"/>
      <c r="Z113" s="563"/>
      <c r="AA113" s="565"/>
      <c r="AB113" s="565"/>
      <c r="AC113" s="563"/>
      <c r="AD113" s="639"/>
      <c r="AE113" s="563"/>
      <c r="AF113" s="565"/>
      <c r="AG113" s="565"/>
      <c r="AH113" s="563"/>
      <c r="AI113" s="639"/>
      <c r="AJ113" s="563"/>
      <c r="AK113" s="565"/>
      <c r="AL113" s="565"/>
      <c r="AM113" s="563"/>
      <c r="AN113" s="639"/>
      <c r="AO113" s="563"/>
      <c r="AP113" s="565"/>
      <c r="AQ113" s="565"/>
      <c r="AR113" s="563"/>
      <c r="AS113" s="639"/>
      <c r="AT113" s="563"/>
      <c r="AU113" s="565"/>
      <c r="AV113" s="565"/>
      <c r="AW113" s="563"/>
      <c r="AX113" s="639"/>
      <c r="AZ113" s="369" t="e">
        <f t="shared" si="42"/>
        <v>#N/A</v>
      </c>
      <c r="BA113" s="700"/>
    </row>
    <row r="114" spans="2:53">
      <c r="B114" s="678"/>
      <c r="C114" s="348">
        <v>8</v>
      </c>
      <c r="D114" s="351"/>
      <c r="E114" s="349"/>
      <c r="F114" s="349"/>
      <c r="G114" s="349"/>
      <c r="H114" s="657"/>
      <c r="I114" s="363" t="str">
        <f t="shared" si="39"/>
        <v>-</v>
      </c>
      <c r="J114" s="363" t="str">
        <f t="shared" si="40"/>
        <v>-</v>
      </c>
      <c r="K114" s="199" t="str">
        <f t="shared" si="41"/>
        <v>-</v>
      </c>
      <c r="L114" s="659"/>
      <c r="M114" s="510" t="e">
        <f>RANK(K114, K$107:$K$121)</f>
        <v>#VALUE!</v>
      </c>
      <c r="N114" s="643"/>
      <c r="O114" s="643"/>
      <c r="P114" s="563"/>
      <c r="Q114" s="565"/>
      <c r="R114" s="565"/>
      <c r="S114" s="563"/>
      <c r="T114" s="639"/>
      <c r="U114" s="563"/>
      <c r="V114" s="565"/>
      <c r="W114" s="565"/>
      <c r="X114" s="563"/>
      <c r="Y114" s="639"/>
      <c r="Z114" s="563"/>
      <c r="AA114" s="565"/>
      <c r="AB114" s="565"/>
      <c r="AC114" s="563"/>
      <c r="AD114" s="639"/>
      <c r="AE114" s="563"/>
      <c r="AF114" s="565"/>
      <c r="AG114" s="565"/>
      <c r="AH114" s="563"/>
      <c r="AI114" s="639"/>
      <c r="AJ114" s="563"/>
      <c r="AK114" s="565"/>
      <c r="AL114" s="565"/>
      <c r="AM114" s="563"/>
      <c r="AN114" s="639"/>
      <c r="AO114" s="563"/>
      <c r="AP114" s="565"/>
      <c r="AQ114" s="565"/>
      <c r="AR114" s="563"/>
      <c r="AS114" s="639"/>
      <c r="AT114" s="563"/>
      <c r="AU114" s="565"/>
      <c r="AV114" s="565"/>
      <c r="AW114" s="563"/>
      <c r="AX114" s="639"/>
      <c r="AZ114" s="369" t="e">
        <f t="shared" si="42"/>
        <v>#N/A</v>
      </c>
      <c r="BA114" s="700"/>
    </row>
    <row r="115" spans="2:53">
      <c r="B115" s="678"/>
      <c r="C115" s="348">
        <v>9</v>
      </c>
      <c r="D115" s="351"/>
      <c r="E115" s="349"/>
      <c r="F115" s="349"/>
      <c r="G115" s="349"/>
      <c r="H115" s="657"/>
      <c r="I115" s="363" t="str">
        <f t="shared" si="39"/>
        <v>-</v>
      </c>
      <c r="J115" s="363" t="str">
        <f t="shared" si="40"/>
        <v>-</v>
      </c>
      <c r="K115" s="199" t="str">
        <f t="shared" si="41"/>
        <v>-</v>
      </c>
      <c r="L115" s="659"/>
      <c r="M115" s="510" t="e">
        <f>RANK(K115, K$107:$K$121)</f>
        <v>#VALUE!</v>
      </c>
      <c r="N115" s="643"/>
      <c r="O115" s="643"/>
      <c r="P115" s="563"/>
      <c r="Q115" s="565"/>
      <c r="R115" s="565"/>
      <c r="S115" s="563"/>
      <c r="T115" s="639"/>
      <c r="U115" s="563"/>
      <c r="V115" s="565"/>
      <c r="W115" s="565"/>
      <c r="X115" s="563"/>
      <c r="Y115" s="639"/>
      <c r="Z115" s="563"/>
      <c r="AA115" s="565"/>
      <c r="AB115" s="565"/>
      <c r="AC115" s="563"/>
      <c r="AD115" s="639"/>
      <c r="AE115" s="563"/>
      <c r="AF115" s="565"/>
      <c r="AG115" s="565"/>
      <c r="AH115" s="563"/>
      <c r="AI115" s="639"/>
      <c r="AJ115" s="563"/>
      <c r="AK115" s="565"/>
      <c r="AL115" s="565"/>
      <c r="AM115" s="563"/>
      <c r="AN115" s="639"/>
      <c r="AO115" s="563"/>
      <c r="AP115" s="565"/>
      <c r="AQ115" s="565"/>
      <c r="AR115" s="563"/>
      <c r="AS115" s="639"/>
      <c r="AT115" s="563"/>
      <c r="AU115" s="565"/>
      <c r="AV115" s="565"/>
      <c r="AW115" s="563"/>
      <c r="AX115" s="639"/>
      <c r="AZ115" s="369" t="e">
        <f t="shared" si="42"/>
        <v>#N/A</v>
      </c>
      <c r="BA115" s="700"/>
    </row>
    <row r="116" spans="2:53">
      <c r="B116" s="678"/>
      <c r="C116" s="348">
        <v>10</v>
      </c>
      <c r="D116" s="351"/>
      <c r="E116" s="349"/>
      <c r="F116" s="349"/>
      <c r="G116" s="349"/>
      <c r="H116" s="657"/>
      <c r="I116" s="363" t="str">
        <f t="shared" si="39"/>
        <v>-</v>
      </c>
      <c r="J116" s="363" t="str">
        <f t="shared" si="40"/>
        <v>-</v>
      </c>
      <c r="K116" s="199" t="str">
        <f t="shared" si="41"/>
        <v>-</v>
      </c>
      <c r="L116" s="659"/>
      <c r="M116" s="510" t="e">
        <f>RANK(K116, K$107:$K$121)</f>
        <v>#VALUE!</v>
      </c>
      <c r="N116" s="643"/>
      <c r="O116" s="643"/>
      <c r="P116" s="563"/>
      <c r="Q116" s="565"/>
      <c r="R116" s="565"/>
      <c r="S116" s="563"/>
      <c r="T116" s="639"/>
      <c r="U116" s="563"/>
      <c r="V116" s="565"/>
      <c r="W116" s="565"/>
      <c r="X116" s="563"/>
      <c r="Y116" s="639"/>
      <c r="Z116" s="563"/>
      <c r="AA116" s="565"/>
      <c r="AB116" s="565"/>
      <c r="AC116" s="563"/>
      <c r="AD116" s="639"/>
      <c r="AE116" s="563"/>
      <c r="AF116" s="565"/>
      <c r="AG116" s="565"/>
      <c r="AH116" s="563"/>
      <c r="AI116" s="639"/>
      <c r="AJ116" s="563"/>
      <c r="AK116" s="565"/>
      <c r="AL116" s="565"/>
      <c r="AM116" s="563"/>
      <c r="AN116" s="639"/>
      <c r="AO116" s="563"/>
      <c r="AP116" s="565"/>
      <c r="AQ116" s="565"/>
      <c r="AR116" s="563"/>
      <c r="AS116" s="639"/>
      <c r="AT116" s="563"/>
      <c r="AU116" s="565"/>
      <c r="AV116" s="565"/>
      <c r="AW116" s="563"/>
      <c r="AX116" s="639"/>
      <c r="AZ116" s="369" t="e">
        <f t="shared" si="42"/>
        <v>#N/A</v>
      </c>
      <c r="BA116" s="700"/>
    </row>
    <row r="117" spans="2:53">
      <c r="B117" s="678"/>
      <c r="C117" s="348">
        <v>11</v>
      </c>
      <c r="D117" s="351"/>
      <c r="E117" s="349"/>
      <c r="F117" s="349"/>
      <c r="G117" s="349"/>
      <c r="H117" s="657"/>
      <c r="I117" s="363" t="str">
        <f t="shared" si="39"/>
        <v>-</v>
      </c>
      <c r="J117" s="363" t="str">
        <f t="shared" si="40"/>
        <v>-</v>
      </c>
      <c r="K117" s="199" t="str">
        <f t="shared" si="41"/>
        <v>-</v>
      </c>
      <c r="L117" s="659"/>
      <c r="M117" s="510" t="e">
        <f>RANK(K117, K$107:$K$121)</f>
        <v>#VALUE!</v>
      </c>
      <c r="N117" s="643"/>
      <c r="O117" s="643"/>
      <c r="P117" s="563"/>
      <c r="Q117" s="565"/>
      <c r="R117" s="565"/>
      <c r="S117" s="563"/>
      <c r="T117" s="639"/>
      <c r="U117" s="563"/>
      <c r="V117" s="565"/>
      <c r="W117" s="565"/>
      <c r="X117" s="563"/>
      <c r="Y117" s="639"/>
      <c r="Z117" s="563"/>
      <c r="AA117" s="565"/>
      <c r="AB117" s="565"/>
      <c r="AC117" s="563"/>
      <c r="AD117" s="639"/>
      <c r="AE117" s="563"/>
      <c r="AF117" s="565"/>
      <c r="AG117" s="565"/>
      <c r="AH117" s="563"/>
      <c r="AI117" s="639"/>
      <c r="AJ117" s="563"/>
      <c r="AK117" s="565"/>
      <c r="AL117" s="565"/>
      <c r="AM117" s="563"/>
      <c r="AN117" s="639"/>
      <c r="AO117" s="563"/>
      <c r="AP117" s="565"/>
      <c r="AQ117" s="565"/>
      <c r="AR117" s="563"/>
      <c r="AS117" s="639"/>
      <c r="AT117" s="563"/>
      <c r="AU117" s="565"/>
      <c r="AV117" s="565"/>
      <c r="AW117" s="563"/>
      <c r="AX117" s="639"/>
      <c r="AZ117" s="369" t="e">
        <f t="shared" si="42"/>
        <v>#N/A</v>
      </c>
      <c r="BA117" s="700"/>
    </row>
    <row r="118" spans="2:53">
      <c r="B118" s="678"/>
      <c r="C118" s="348">
        <v>12</v>
      </c>
      <c r="D118" s="351"/>
      <c r="E118" s="349"/>
      <c r="F118" s="349"/>
      <c r="G118" s="349"/>
      <c r="H118" s="657"/>
      <c r="I118" s="363" t="str">
        <f t="shared" si="39"/>
        <v>-</v>
      </c>
      <c r="J118" s="363" t="str">
        <f t="shared" si="40"/>
        <v>-</v>
      </c>
      <c r="K118" s="199" t="str">
        <f t="shared" si="41"/>
        <v>-</v>
      </c>
      <c r="L118" s="659"/>
      <c r="M118" s="510" t="e">
        <f>RANK(K118, K$107:$K$121)</f>
        <v>#VALUE!</v>
      </c>
      <c r="N118" s="643"/>
      <c r="O118" s="643"/>
      <c r="P118" s="563"/>
      <c r="Q118" s="565"/>
      <c r="R118" s="565"/>
      <c r="S118" s="563"/>
      <c r="T118" s="639"/>
      <c r="U118" s="563"/>
      <c r="V118" s="565"/>
      <c r="W118" s="565"/>
      <c r="X118" s="563"/>
      <c r="Y118" s="639"/>
      <c r="Z118" s="563"/>
      <c r="AA118" s="565"/>
      <c r="AB118" s="565"/>
      <c r="AC118" s="563"/>
      <c r="AD118" s="639"/>
      <c r="AE118" s="563"/>
      <c r="AF118" s="565"/>
      <c r="AG118" s="565"/>
      <c r="AH118" s="563"/>
      <c r="AI118" s="639"/>
      <c r="AJ118" s="563"/>
      <c r="AK118" s="565"/>
      <c r="AL118" s="565"/>
      <c r="AM118" s="563"/>
      <c r="AN118" s="639"/>
      <c r="AO118" s="563"/>
      <c r="AP118" s="565"/>
      <c r="AQ118" s="565"/>
      <c r="AR118" s="563"/>
      <c r="AS118" s="639"/>
      <c r="AT118" s="563"/>
      <c r="AU118" s="565"/>
      <c r="AV118" s="565"/>
      <c r="AW118" s="563"/>
      <c r="AX118" s="639"/>
      <c r="AZ118" s="369" t="e">
        <f t="shared" si="42"/>
        <v>#N/A</v>
      </c>
      <c r="BA118" s="700"/>
    </row>
    <row r="119" spans="2:53">
      <c r="B119" s="678"/>
      <c r="C119" s="348">
        <v>13</v>
      </c>
      <c r="D119" s="351"/>
      <c r="E119" s="349"/>
      <c r="F119" s="349"/>
      <c r="G119" s="349"/>
      <c r="H119" s="657"/>
      <c r="I119" s="363" t="str">
        <f t="shared" si="39"/>
        <v>-</v>
      </c>
      <c r="J119" s="363" t="str">
        <f t="shared" si="40"/>
        <v>-</v>
      </c>
      <c r="K119" s="199" t="str">
        <f t="shared" si="41"/>
        <v>-</v>
      </c>
      <c r="L119" s="659"/>
      <c r="M119" s="510" t="e">
        <f>RANK(K119, K$107:$K$121)</f>
        <v>#VALUE!</v>
      </c>
      <c r="N119" s="643"/>
      <c r="O119" s="643"/>
      <c r="P119" s="563"/>
      <c r="Q119" s="565"/>
      <c r="R119" s="565"/>
      <c r="S119" s="563"/>
      <c r="T119" s="639"/>
      <c r="U119" s="563"/>
      <c r="V119" s="565"/>
      <c r="W119" s="565"/>
      <c r="X119" s="563"/>
      <c r="Y119" s="639"/>
      <c r="Z119" s="563"/>
      <c r="AA119" s="565"/>
      <c r="AB119" s="565"/>
      <c r="AC119" s="563"/>
      <c r="AD119" s="639"/>
      <c r="AE119" s="563"/>
      <c r="AF119" s="565"/>
      <c r="AG119" s="565"/>
      <c r="AH119" s="563"/>
      <c r="AI119" s="639"/>
      <c r="AJ119" s="563"/>
      <c r="AK119" s="565"/>
      <c r="AL119" s="565"/>
      <c r="AM119" s="563"/>
      <c r="AN119" s="639"/>
      <c r="AO119" s="563"/>
      <c r="AP119" s="565"/>
      <c r="AQ119" s="565"/>
      <c r="AR119" s="563"/>
      <c r="AS119" s="639"/>
      <c r="AT119" s="563"/>
      <c r="AU119" s="565"/>
      <c r="AV119" s="565"/>
      <c r="AW119" s="563"/>
      <c r="AX119" s="639"/>
      <c r="AZ119" s="369" t="e">
        <f t="shared" si="42"/>
        <v>#N/A</v>
      </c>
      <c r="BA119" s="700"/>
    </row>
    <row r="120" spans="2:53">
      <c r="B120" s="678"/>
      <c r="C120" s="348">
        <v>14</v>
      </c>
      <c r="D120" s="351"/>
      <c r="E120" s="349"/>
      <c r="F120" s="349"/>
      <c r="G120" s="349"/>
      <c r="H120" s="657"/>
      <c r="I120" s="363" t="str">
        <f t="shared" si="39"/>
        <v>-</v>
      </c>
      <c r="J120" s="363" t="str">
        <f t="shared" si="40"/>
        <v>-</v>
      </c>
      <c r="K120" s="199" t="str">
        <f t="shared" si="41"/>
        <v>-</v>
      </c>
      <c r="L120" s="659"/>
      <c r="M120" s="510" t="e">
        <f>RANK(K120, K$107:$K$121)</f>
        <v>#VALUE!</v>
      </c>
      <c r="N120" s="643"/>
      <c r="O120" s="643"/>
      <c r="P120" s="563"/>
      <c r="Q120" s="565"/>
      <c r="R120" s="565"/>
      <c r="S120" s="563"/>
      <c r="T120" s="639"/>
      <c r="U120" s="563"/>
      <c r="V120" s="565"/>
      <c r="W120" s="565"/>
      <c r="X120" s="563"/>
      <c r="Y120" s="639"/>
      <c r="Z120" s="563"/>
      <c r="AA120" s="565"/>
      <c r="AB120" s="565"/>
      <c r="AC120" s="563"/>
      <c r="AD120" s="639"/>
      <c r="AE120" s="563"/>
      <c r="AF120" s="565"/>
      <c r="AG120" s="565"/>
      <c r="AH120" s="563"/>
      <c r="AI120" s="639"/>
      <c r="AJ120" s="563"/>
      <c r="AK120" s="565"/>
      <c r="AL120" s="565"/>
      <c r="AM120" s="563"/>
      <c r="AN120" s="639"/>
      <c r="AO120" s="563"/>
      <c r="AP120" s="565"/>
      <c r="AQ120" s="565"/>
      <c r="AR120" s="563"/>
      <c r="AS120" s="639"/>
      <c r="AT120" s="563"/>
      <c r="AU120" s="565"/>
      <c r="AV120" s="565"/>
      <c r="AW120" s="563"/>
      <c r="AX120" s="639"/>
      <c r="AZ120" s="369" t="e">
        <f t="shared" si="42"/>
        <v>#N/A</v>
      </c>
      <c r="BA120" s="700"/>
    </row>
    <row r="121" spans="2:53">
      <c r="B121" s="678"/>
      <c r="C121" s="348">
        <v>15</v>
      </c>
      <c r="D121" s="351"/>
      <c r="E121" s="349"/>
      <c r="F121" s="349"/>
      <c r="G121" s="349"/>
      <c r="H121" s="714"/>
      <c r="I121" s="366"/>
      <c r="J121" s="366"/>
      <c r="K121" s="364"/>
      <c r="L121" s="660"/>
      <c r="M121" s="510" t="e">
        <f>RANK(K121, K$107:$K$121)</f>
        <v>#N/A</v>
      </c>
      <c r="N121" s="643"/>
      <c r="O121" s="643"/>
      <c r="P121" s="563"/>
      <c r="Q121" s="565"/>
      <c r="R121" s="565"/>
      <c r="S121" s="563"/>
      <c r="T121" s="640"/>
      <c r="U121" s="563"/>
      <c r="V121" s="565"/>
      <c r="W121" s="565"/>
      <c r="X121" s="563"/>
      <c r="Y121" s="640"/>
      <c r="Z121" s="563"/>
      <c r="AA121" s="565"/>
      <c r="AB121" s="565"/>
      <c r="AC121" s="563"/>
      <c r="AD121" s="640"/>
      <c r="AE121" s="563"/>
      <c r="AF121" s="565"/>
      <c r="AG121" s="565"/>
      <c r="AH121" s="563"/>
      <c r="AI121" s="640"/>
      <c r="AJ121" s="563"/>
      <c r="AK121" s="565"/>
      <c r="AL121" s="565"/>
      <c r="AM121" s="563"/>
      <c r="AN121" s="640"/>
      <c r="AO121" s="563"/>
      <c r="AP121" s="565"/>
      <c r="AQ121" s="565"/>
      <c r="AR121" s="563"/>
      <c r="AS121" s="640"/>
      <c r="AT121" s="563"/>
      <c r="AU121" s="565"/>
      <c r="AV121" s="565"/>
      <c r="AW121" s="563"/>
      <c r="AX121" s="640"/>
      <c r="AZ121" s="369" t="e">
        <f t="shared" si="42"/>
        <v>#N/A</v>
      </c>
      <c r="BA121" s="700"/>
    </row>
    <row r="123" spans="2:53" ht="15.75">
      <c r="B123" s="651" t="s">
        <v>478</v>
      </c>
      <c r="C123" s="652"/>
      <c r="D123" s="652"/>
      <c r="E123" s="652"/>
      <c r="F123" s="652"/>
      <c r="G123" s="652"/>
      <c r="H123" s="653"/>
      <c r="I123" s="307"/>
      <c r="J123" s="307"/>
      <c r="K123" s="307"/>
      <c r="L123" s="307"/>
      <c r="M123" s="308"/>
    </row>
    <row r="124" spans="2:53" ht="15.75">
      <c r="B124" s="654"/>
      <c r="C124" s="654"/>
      <c r="D124" s="654"/>
      <c r="E124" s="654"/>
      <c r="F124" s="654"/>
      <c r="G124" s="654"/>
      <c r="H124" s="654"/>
      <c r="I124" s="309"/>
      <c r="J124" s="309"/>
      <c r="K124" s="309"/>
      <c r="L124" s="309"/>
      <c r="M124" s="310"/>
    </row>
    <row r="125" spans="2:53">
      <c r="B125" s="643" t="s">
        <v>154</v>
      </c>
      <c r="C125" s="643" t="s">
        <v>372</v>
      </c>
      <c r="D125" s="643"/>
      <c r="E125" s="643" t="s">
        <v>363</v>
      </c>
      <c r="F125" s="643"/>
      <c r="G125" s="643"/>
      <c r="H125" s="675" t="s">
        <v>359</v>
      </c>
      <c r="I125" s="655" t="s">
        <v>364</v>
      </c>
      <c r="J125" s="655"/>
      <c r="K125" s="655"/>
      <c r="L125" s="708" t="s">
        <v>359</v>
      </c>
      <c r="M125" s="711" t="s">
        <v>360</v>
      </c>
    </row>
    <row r="126" spans="2:53">
      <c r="B126" s="643"/>
      <c r="C126" s="643"/>
      <c r="D126" s="643"/>
      <c r="E126" s="643" t="s">
        <v>366</v>
      </c>
      <c r="F126" s="643"/>
      <c r="G126" s="643"/>
      <c r="H126" s="676"/>
      <c r="I126" s="655" t="s">
        <v>366</v>
      </c>
      <c r="J126" s="655"/>
      <c r="K126" s="655"/>
      <c r="L126" s="709"/>
      <c r="M126" s="712"/>
    </row>
    <row r="127" spans="2:53">
      <c r="B127" s="643"/>
      <c r="C127" s="643"/>
      <c r="D127" s="643"/>
      <c r="E127" s="304" t="s">
        <v>368</v>
      </c>
      <c r="F127" s="304" t="s">
        <v>369</v>
      </c>
      <c r="G127" s="304" t="s">
        <v>370</v>
      </c>
      <c r="H127" s="677"/>
      <c r="I127" s="311" t="s">
        <v>368</v>
      </c>
      <c r="J127" s="311" t="s">
        <v>369</v>
      </c>
      <c r="K127" s="311" t="s">
        <v>370</v>
      </c>
      <c r="L127" s="710"/>
      <c r="M127" s="713"/>
    </row>
    <row r="128" spans="2:53">
      <c r="B128" s="701" t="s">
        <v>371</v>
      </c>
      <c r="C128" s="303">
        <v>1</v>
      </c>
      <c r="D128" s="225"/>
      <c r="E128" s="181"/>
      <c r="F128" s="303"/>
      <c r="G128" s="306"/>
      <c r="H128" s="702" t="e">
        <f>AVERAGE(G128:G142)</f>
        <v>#DIV/0!</v>
      </c>
      <c r="I128" s="198" t="e">
        <f t="shared" ref="I128:J138" si="44">AVERAGEIF($D$7:$D$121,$D128,I$7:I$121)</f>
        <v>#DIV/0!</v>
      </c>
      <c r="J128" s="198" t="e">
        <f t="shared" si="44"/>
        <v>#DIV/0!</v>
      </c>
      <c r="K128" s="198" t="e">
        <f t="shared" ref="K128:K138" si="45">AVERAGEIF($D$7:$D$121,$D128,K$7:K$121)</f>
        <v>#DIV/0!</v>
      </c>
      <c r="L128" s="705" t="e">
        <f>AVERAGE(K128:K142)</f>
        <v>#DIV/0!</v>
      </c>
      <c r="M128" s="198" t="e">
        <f>RANK(K128, K$128:$K$142)</f>
        <v>#DIV/0!</v>
      </c>
    </row>
    <row r="129" spans="2:39">
      <c r="B129" s="649"/>
      <c r="C129" s="303">
        <v>2</v>
      </c>
      <c r="D129" s="225"/>
      <c r="E129" s="181"/>
      <c r="F129" s="303"/>
      <c r="G129" s="306"/>
      <c r="H129" s="703"/>
      <c r="I129" s="198" t="e">
        <f t="shared" si="44"/>
        <v>#DIV/0!</v>
      </c>
      <c r="J129" s="198" t="e">
        <f t="shared" si="44"/>
        <v>#DIV/0!</v>
      </c>
      <c r="K129" s="198" t="e">
        <f t="shared" si="45"/>
        <v>#DIV/0!</v>
      </c>
      <c r="L129" s="706"/>
      <c r="M129" s="198" t="e">
        <f>RANK(K129, K$128:$K$142)</f>
        <v>#DIV/0!</v>
      </c>
      <c r="N129" s="107"/>
      <c r="O129" s="107"/>
      <c r="P129" s="107"/>
      <c r="Q129" s="107"/>
      <c r="R129" s="107"/>
      <c r="S129" s="107"/>
      <c r="T129" s="107"/>
      <c r="X129" s="107"/>
      <c r="AC129" s="107"/>
      <c r="AH129" s="107"/>
      <c r="AM129" s="107"/>
    </row>
    <row r="130" spans="2:39">
      <c r="B130" s="649"/>
      <c r="C130" s="303">
        <v>3</v>
      </c>
      <c r="D130" s="225"/>
      <c r="E130" s="181"/>
      <c r="F130" s="303"/>
      <c r="G130" s="306"/>
      <c r="H130" s="703"/>
      <c r="I130" s="198" t="e">
        <f t="shared" si="44"/>
        <v>#DIV/0!</v>
      </c>
      <c r="J130" s="198" t="e">
        <f t="shared" si="44"/>
        <v>#DIV/0!</v>
      </c>
      <c r="K130" s="198" t="e">
        <f t="shared" si="45"/>
        <v>#DIV/0!</v>
      </c>
      <c r="L130" s="706"/>
      <c r="M130" s="198" t="e">
        <f>RANK(K130, K$128:$K$142)</f>
        <v>#DIV/0!</v>
      </c>
      <c r="N130" s="107"/>
      <c r="O130" s="107"/>
      <c r="P130" s="107"/>
      <c r="Q130" s="107"/>
      <c r="R130" s="107"/>
      <c r="S130" s="107"/>
      <c r="T130" s="107"/>
      <c r="X130" s="107"/>
      <c r="AC130" s="107"/>
      <c r="AH130" s="107"/>
      <c r="AM130" s="107"/>
    </row>
    <row r="131" spans="2:39">
      <c r="B131" s="649"/>
      <c r="C131" s="303">
        <v>4</v>
      </c>
      <c r="D131" s="225"/>
      <c r="E131" s="181"/>
      <c r="F131" s="303"/>
      <c r="G131" s="306"/>
      <c r="H131" s="703"/>
      <c r="I131" s="198" t="e">
        <f t="shared" si="44"/>
        <v>#DIV/0!</v>
      </c>
      <c r="J131" s="198" t="e">
        <f t="shared" si="44"/>
        <v>#DIV/0!</v>
      </c>
      <c r="K131" s="198" t="e">
        <f t="shared" si="45"/>
        <v>#DIV/0!</v>
      </c>
      <c r="L131" s="706"/>
      <c r="M131" s="198" t="e">
        <f>RANK(K131, K$128:$K$142)</f>
        <v>#DIV/0!</v>
      </c>
      <c r="N131" s="107"/>
      <c r="O131" s="107"/>
      <c r="P131" s="107"/>
      <c r="Q131" s="107"/>
      <c r="R131" s="107"/>
      <c r="S131" s="107"/>
      <c r="T131" s="107"/>
      <c r="X131" s="107"/>
      <c r="AC131" s="107"/>
      <c r="AH131" s="107"/>
      <c r="AM131" s="107"/>
    </row>
    <row r="132" spans="2:39">
      <c r="B132" s="649"/>
      <c r="C132" s="303">
        <v>5</v>
      </c>
      <c r="D132" s="225"/>
      <c r="E132" s="181"/>
      <c r="F132" s="303"/>
      <c r="G132" s="306"/>
      <c r="H132" s="703"/>
      <c r="I132" s="198" t="e">
        <f t="shared" si="44"/>
        <v>#DIV/0!</v>
      </c>
      <c r="J132" s="198" t="e">
        <f t="shared" si="44"/>
        <v>#DIV/0!</v>
      </c>
      <c r="K132" s="198" t="e">
        <f t="shared" si="45"/>
        <v>#DIV/0!</v>
      </c>
      <c r="L132" s="706"/>
      <c r="M132" s="198" t="e">
        <f>RANK(K132, K$128:$K$142)</f>
        <v>#DIV/0!</v>
      </c>
      <c r="N132" s="107"/>
      <c r="O132" s="107"/>
      <c r="P132" s="107"/>
      <c r="Q132" s="107"/>
      <c r="R132" s="107"/>
      <c r="S132" s="107"/>
      <c r="T132" s="107"/>
      <c r="X132" s="107"/>
      <c r="AC132" s="107"/>
      <c r="AH132" s="107"/>
      <c r="AM132" s="107"/>
    </row>
    <row r="133" spans="2:39">
      <c r="B133" s="649"/>
      <c r="C133" s="303">
        <v>6</v>
      </c>
      <c r="D133" s="312"/>
      <c r="E133" s="181"/>
      <c r="F133" s="303"/>
      <c r="G133" s="306"/>
      <c r="H133" s="703"/>
      <c r="I133" s="198" t="e">
        <f t="shared" si="44"/>
        <v>#DIV/0!</v>
      </c>
      <c r="J133" s="198" t="e">
        <f t="shared" si="44"/>
        <v>#DIV/0!</v>
      </c>
      <c r="K133" s="198" t="e">
        <f t="shared" si="45"/>
        <v>#DIV/0!</v>
      </c>
      <c r="L133" s="706"/>
      <c r="M133" s="198" t="e">
        <f>RANK(K133, K$128:$K$142)</f>
        <v>#DIV/0!</v>
      </c>
      <c r="N133" s="107"/>
      <c r="O133" s="107"/>
      <c r="P133" s="107"/>
      <c r="Q133" s="107"/>
      <c r="R133" s="107"/>
      <c r="S133" s="107"/>
      <c r="T133" s="107"/>
      <c r="X133" s="107"/>
      <c r="AC133" s="107"/>
      <c r="AH133" s="107"/>
      <c r="AM133" s="107"/>
    </row>
    <row r="134" spans="2:39">
      <c r="B134" s="649"/>
      <c r="C134" s="303">
        <v>7</v>
      </c>
      <c r="D134" s="225"/>
      <c r="E134" s="181"/>
      <c r="F134" s="303"/>
      <c r="G134" s="306"/>
      <c r="H134" s="703"/>
      <c r="I134" s="198" t="e">
        <f t="shared" si="44"/>
        <v>#DIV/0!</v>
      </c>
      <c r="J134" s="198" t="e">
        <f t="shared" si="44"/>
        <v>#DIV/0!</v>
      </c>
      <c r="K134" s="198" t="e">
        <f t="shared" si="45"/>
        <v>#DIV/0!</v>
      </c>
      <c r="L134" s="706"/>
      <c r="M134" s="198" t="e">
        <f>RANK(K134, K$128:$K$142)</f>
        <v>#DIV/0!</v>
      </c>
      <c r="N134" s="107"/>
      <c r="O134" s="107"/>
      <c r="P134" s="107"/>
      <c r="Q134" s="107"/>
      <c r="R134" s="107"/>
      <c r="S134" s="107"/>
      <c r="T134" s="107"/>
      <c r="X134" s="107"/>
      <c r="AC134" s="107"/>
      <c r="AH134" s="107"/>
      <c r="AM134" s="107"/>
    </row>
    <row r="135" spans="2:39">
      <c r="B135" s="649"/>
      <c r="C135" s="303">
        <v>8</v>
      </c>
      <c r="D135" s="225"/>
      <c r="E135" s="181"/>
      <c r="F135" s="303"/>
      <c r="G135" s="306"/>
      <c r="H135" s="703"/>
      <c r="I135" s="198" t="e">
        <f t="shared" si="44"/>
        <v>#DIV/0!</v>
      </c>
      <c r="J135" s="198" t="e">
        <f t="shared" si="44"/>
        <v>#DIV/0!</v>
      </c>
      <c r="K135" s="198" t="e">
        <f t="shared" si="45"/>
        <v>#DIV/0!</v>
      </c>
      <c r="L135" s="706"/>
      <c r="M135" s="198" t="e">
        <f>RANK(K135, K$128:$K$142)</f>
        <v>#DIV/0!</v>
      </c>
      <c r="N135" s="107"/>
      <c r="O135" s="107"/>
      <c r="P135" s="107"/>
      <c r="Q135" s="107"/>
      <c r="R135" s="107"/>
      <c r="S135" s="107"/>
      <c r="T135" s="107"/>
      <c r="X135" s="107"/>
      <c r="AC135" s="107"/>
      <c r="AH135" s="107"/>
      <c r="AM135" s="107"/>
    </row>
    <row r="136" spans="2:39">
      <c r="B136" s="649"/>
      <c r="C136" s="303">
        <v>9</v>
      </c>
      <c r="D136" s="225"/>
      <c r="E136" s="303"/>
      <c r="F136" s="303"/>
      <c r="G136" s="303"/>
      <c r="H136" s="703"/>
      <c r="I136" s="198" t="e">
        <f t="shared" si="44"/>
        <v>#DIV/0!</v>
      </c>
      <c r="J136" s="198" t="e">
        <f t="shared" si="44"/>
        <v>#DIV/0!</v>
      </c>
      <c r="K136" s="198" t="e">
        <f t="shared" si="45"/>
        <v>#DIV/0!</v>
      </c>
      <c r="L136" s="706"/>
      <c r="M136" s="198" t="e">
        <f>RANK(K136, K$128:$K$142)</f>
        <v>#DIV/0!</v>
      </c>
      <c r="N136" s="107"/>
      <c r="O136" s="107"/>
      <c r="P136" s="107"/>
      <c r="Q136" s="107"/>
      <c r="R136" s="107"/>
      <c r="S136" s="107"/>
      <c r="T136" s="107"/>
      <c r="X136" s="107"/>
      <c r="AC136" s="107"/>
      <c r="AH136" s="107"/>
      <c r="AM136" s="107"/>
    </row>
    <row r="137" spans="2:39">
      <c r="B137" s="649"/>
      <c r="C137" s="303">
        <v>10</v>
      </c>
      <c r="D137" s="225"/>
      <c r="E137" s="303"/>
      <c r="F137" s="303"/>
      <c r="G137" s="303"/>
      <c r="H137" s="703"/>
      <c r="I137" s="198" t="e">
        <f t="shared" si="44"/>
        <v>#DIV/0!</v>
      </c>
      <c r="J137" s="198" t="e">
        <f t="shared" si="44"/>
        <v>#DIV/0!</v>
      </c>
      <c r="K137" s="198" t="e">
        <f t="shared" si="45"/>
        <v>#DIV/0!</v>
      </c>
      <c r="L137" s="706"/>
      <c r="M137" s="198" t="e">
        <f>RANK(K137, K$128:$K$142)</f>
        <v>#DIV/0!</v>
      </c>
      <c r="N137" s="107"/>
      <c r="O137" s="107"/>
      <c r="P137" s="107"/>
      <c r="Q137" s="107"/>
      <c r="R137" s="107"/>
      <c r="S137" s="107"/>
      <c r="T137" s="107"/>
      <c r="X137" s="107"/>
      <c r="AC137" s="107"/>
      <c r="AH137" s="107"/>
      <c r="AM137" s="107"/>
    </row>
    <row r="138" spans="2:39">
      <c r="B138" s="649"/>
      <c r="C138" s="303">
        <v>11</v>
      </c>
      <c r="D138" s="225"/>
      <c r="E138" s="303"/>
      <c r="F138" s="303"/>
      <c r="G138" s="303"/>
      <c r="H138" s="703"/>
      <c r="I138" s="198" t="e">
        <f t="shared" si="44"/>
        <v>#DIV/0!</v>
      </c>
      <c r="J138" s="198" t="e">
        <f t="shared" si="44"/>
        <v>#DIV/0!</v>
      </c>
      <c r="K138" s="198" t="e">
        <f t="shared" si="45"/>
        <v>#DIV/0!</v>
      </c>
      <c r="L138" s="706"/>
      <c r="M138" s="198" t="e">
        <f>RANK(K138, K$128:$K$142)</f>
        <v>#DIV/0!</v>
      </c>
      <c r="N138" s="107"/>
      <c r="O138" s="107"/>
      <c r="P138" s="107"/>
      <c r="Q138" s="107"/>
      <c r="R138" s="107"/>
      <c r="S138" s="107"/>
      <c r="T138" s="107"/>
      <c r="X138" s="107"/>
      <c r="AC138" s="107"/>
      <c r="AH138" s="107"/>
      <c r="AM138" s="107"/>
    </row>
    <row r="139" spans="2:39">
      <c r="B139" s="649"/>
      <c r="C139" s="303">
        <v>12</v>
      </c>
      <c r="D139" s="225"/>
      <c r="E139" s="303"/>
      <c r="F139" s="303"/>
      <c r="G139" s="303"/>
      <c r="H139" s="703"/>
      <c r="I139" s="198"/>
      <c r="J139" s="198"/>
      <c r="K139" s="198"/>
      <c r="L139" s="706"/>
      <c r="M139" s="198" t="e">
        <f>RANK(K139, K$128:$K$142)</f>
        <v>#DIV/0!</v>
      </c>
      <c r="N139" s="107"/>
      <c r="O139" s="107"/>
      <c r="P139" s="107"/>
      <c r="Q139" s="107"/>
      <c r="R139" s="107"/>
      <c r="S139" s="107"/>
      <c r="T139" s="107"/>
      <c r="X139" s="107"/>
      <c r="AC139" s="107"/>
      <c r="AH139" s="107"/>
      <c r="AM139" s="107"/>
    </row>
    <row r="140" spans="2:39">
      <c r="B140" s="649"/>
      <c r="C140" s="303">
        <v>13</v>
      </c>
      <c r="D140" s="225"/>
      <c r="E140" s="303"/>
      <c r="F140" s="303"/>
      <c r="G140" s="303"/>
      <c r="H140" s="703"/>
      <c r="I140" s="198"/>
      <c r="J140" s="198"/>
      <c r="K140" s="198"/>
      <c r="L140" s="706"/>
      <c r="M140" s="198" t="e">
        <f>RANK(K140, K$128:$K$142)</f>
        <v>#DIV/0!</v>
      </c>
      <c r="N140" s="107"/>
      <c r="O140" s="107"/>
      <c r="P140" s="107"/>
      <c r="Q140" s="107"/>
      <c r="R140" s="107"/>
      <c r="S140" s="107"/>
      <c r="T140" s="107"/>
      <c r="X140" s="107"/>
      <c r="AC140" s="107"/>
      <c r="AH140" s="107"/>
      <c r="AM140" s="107"/>
    </row>
    <row r="141" spans="2:39">
      <c r="B141" s="649"/>
      <c r="C141" s="303">
        <v>14</v>
      </c>
      <c r="D141" s="225"/>
      <c r="E141" s="303"/>
      <c r="F141" s="303"/>
      <c r="G141" s="303"/>
      <c r="H141" s="703"/>
      <c r="I141" s="198"/>
      <c r="J141" s="198"/>
      <c r="K141" s="198"/>
      <c r="L141" s="706"/>
      <c r="M141" s="198" t="e">
        <f>RANK(K141, K$128:$K$142)</f>
        <v>#DIV/0!</v>
      </c>
      <c r="N141" s="107"/>
      <c r="O141" s="107"/>
      <c r="P141" s="107"/>
      <c r="Q141" s="107"/>
      <c r="R141" s="107"/>
      <c r="S141" s="107"/>
      <c r="T141" s="107"/>
      <c r="X141" s="107"/>
      <c r="AC141" s="107"/>
      <c r="AH141" s="107"/>
      <c r="AM141" s="107"/>
    </row>
    <row r="142" spans="2:39">
      <c r="B142" s="649"/>
      <c r="C142" s="303">
        <v>15</v>
      </c>
      <c r="D142" s="225"/>
      <c r="E142" s="303"/>
      <c r="F142" s="303"/>
      <c r="G142" s="303"/>
      <c r="H142" s="704"/>
      <c r="I142" s="198"/>
      <c r="J142" s="198"/>
      <c r="K142" s="198"/>
      <c r="L142" s="707"/>
      <c r="M142" s="198" t="e">
        <f>RANK(K142, K$128:$K$142)</f>
        <v>#DIV/0!</v>
      </c>
      <c r="N142" s="107"/>
      <c r="O142" s="107"/>
      <c r="P142" s="107"/>
      <c r="Q142" s="107"/>
      <c r="R142" s="107"/>
      <c r="S142" s="107"/>
      <c r="T142" s="107"/>
      <c r="X142" s="107"/>
      <c r="AC142" s="107"/>
      <c r="AH142" s="107"/>
      <c r="AM142" s="107"/>
    </row>
  </sheetData>
  <mergeCells count="379">
    <mergeCell ref="BA87:BA101"/>
    <mergeCell ref="BA104:BA106"/>
    <mergeCell ref="BA107:BA121"/>
    <mergeCell ref="BA7:BA21"/>
    <mergeCell ref="BA4:BA6"/>
    <mergeCell ref="BA24:BA26"/>
    <mergeCell ref="BA27:BA41"/>
    <mergeCell ref="BA44:BA46"/>
    <mergeCell ref="BA47:BA61"/>
    <mergeCell ref="BA64:BA66"/>
    <mergeCell ref="BA67:BA81"/>
    <mergeCell ref="BA84:BA86"/>
    <mergeCell ref="B87:B101"/>
    <mergeCell ref="AS87:AS101"/>
    <mergeCell ref="AX87:AX101"/>
    <mergeCell ref="AO85:AR85"/>
    <mergeCell ref="AT85:AW85"/>
    <mergeCell ref="AO84:AR84"/>
    <mergeCell ref="AS84:AS86"/>
    <mergeCell ref="AT84:AW84"/>
    <mergeCell ref="AX84:AX86"/>
    <mergeCell ref="AJ85:AM85"/>
    <mergeCell ref="AN87:AN101"/>
    <mergeCell ref="AN84:AN86"/>
    <mergeCell ref="AJ84:AM84"/>
    <mergeCell ref="C84:D86"/>
    <mergeCell ref="E84:G84"/>
    <mergeCell ref="H84:H86"/>
    <mergeCell ref="I84:K84"/>
    <mergeCell ref="L84:L86"/>
    <mergeCell ref="AD84:AD86"/>
    <mergeCell ref="AE84:AH84"/>
    <mergeCell ref="AI84:AI86"/>
    <mergeCell ref="AE85:AH85"/>
    <mergeCell ref="Z85:AC85"/>
    <mergeCell ref="Y84:Y86"/>
    <mergeCell ref="Z84:AC84"/>
    <mergeCell ref="P84:S84"/>
    <mergeCell ref="T84:T86"/>
    <mergeCell ref="U84:X84"/>
    <mergeCell ref="E85:G85"/>
    <mergeCell ref="I85:K85"/>
    <mergeCell ref="P85:S85"/>
    <mergeCell ref="U85:X85"/>
    <mergeCell ref="M84:M86"/>
    <mergeCell ref="N84:N101"/>
    <mergeCell ref="O84:O101"/>
    <mergeCell ref="H87:H101"/>
    <mergeCell ref="L87:L101"/>
    <mergeCell ref="T87:T101"/>
    <mergeCell ref="Y87:Y101"/>
    <mergeCell ref="AX67:AX81"/>
    <mergeCell ref="B82:H83"/>
    <mergeCell ref="N82:N83"/>
    <mergeCell ref="O82:O83"/>
    <mergeCell ref="P82:T82"/>
    <mergeCell ref="U82:Y82"/>
    <mergeCell ref="Z82:AD82"/>
    <mergeCell ref="AE82:AI82"/>
    <mergeCell ref="AJ82:AN82"/>
    <mergeCell ref="AO82:AS82"/>
    <mergeCell ref="AT82:AX82"/>
    <mergeCell ref="P83:T83"/>
    <mergeCell ref="U83:Y83"/>
    <mergeCell ref="Z83:AD83"/>
    <mergeCell ref="AE83:AI83"/>
    <mergeCell ref="AJ83:AN83"/>
    <mergeCell ref="AO83:AS83"/>
    <mergeCell ref="AT83:AX83"/>
    <mergeCell ref="AO65:AR65"/>
    <mergeCell ref="AT65:AW65"/>
    <mergeCell ref="B67:B81"/>
    <mergeCell ref="H67:H81"/>
    <mergeCell ref="L67:L81"/>
    <mergeCell ref="T67:T81"/>
    <mergeCell ref="Y67:Y81"/>
    <mergeCell ref="AD67:AD81"/>
    <mergeCell ref="AI67:AI81"/>
    <mergeCell ref="AN67:AN81"/>
    <mergeCell ref="AN64:AN66"/>
    <mergeCell ref="AO64:AR64"/>
    <mergeCell ref="AS64:AS66"/>
    <mergeCell ref="AT64:AW64"/>
    <mergeCell ref="B64:B66"/>
    <mergeCell ref="C64:D66"/>
    <mergeCell ref="AS67:AS81"/>
    <mergeCell ref="H64:H66"/>
    <mergeCell ref="I64:K64"/>
    <mergeCell ref="L64:L66"/>
    <mergeCell ref="AD87:AD101"/>
    <mergeCell ref="AI87:AI101"/>
    <mergeCell ref="B84:B86"/>
    <mergeCell ref="AX64:AX66"/>
    <mergeCell ref="E65:G65"/>
    <mergeCell ref="I65:K65"/>
    <mergeCell ref="P65:S65"/>
    <mergeCell ref="U65:X65"/>
    <mergeCell ref="Z65:AC65"/>
    <mergeCell ref="Y64:Y66"/>
    <mergeCell ref="Z64:AC64"/>
    <mergeCell ref="AD64:AD66"/>
    <mergeCell ref="AE64:AH64"/>
    <mergeCell ref="AI64:AI66"/>
    <mergeCell ref="AJ64:AM64"/>
    <mergeCell ref="AE65:AH65"/>
    <mergeCell ref="AJ65:AM65"/>
    <mergeCell ref="M64:M66"/>
    <mergeCell ref="N64:N81"/>
    <mergeCell ref="O64:O81"/>
    <mergeCell ref="P64:S64"/>
    <mergeCell ref="T64:T66"/>
    <mergeCell ref="U64:X64"/>
    <mergeCell ref="E64:G64"/>
    <mergeCell ref="AX47:AX61"/>
    <mergeCell ref="B62:H63"/>
    <mergeCell ref="N62:N63"/>
    <mergeCell ref="O62:O63"/>
    <mergeCell ref="P62:T62"/>
    <mergeCell ref="U62:Y62"/>
    <mergeCell ref="Z62:AD62"/>
    <mergeCell ref="AE62:AI62"/>
    <mergeCell ref="AJ62:AN62"/>
    <mergeCell ref="AO62:AS62"/>
    <mergeCell ref="AT62:AX62"/>
    <mergeCell ref="P63:T63"/>
    <mergeCell ref="U63:Y63"/>
    <mergeCell ref="Z63:AD63"/>
    <mergeCell ref="AE63:AI63"/>
    <mergeCell ref="AJ63:AN63"/>
    <mergeCell ref="AO63:AS63"/>
    <mergeCell ref="AT63:AX63"/>
    <mergeCell ref="AO45:AR45"/>
    <mergeCell ref="AT45:AW45"/>
    <mergeCell ref="B47:B61"/>
    <mergeCell ref="H47:H61"/>
    <mergeCell ref="L47:L61"/>
    <mergeCell ref="T47:T61"/>
    <mergeCell ref="Y47:Y61"/>
    <mergeCell ref="AD47:AD61"/>
    <mergeCell ref="AI47:AI61"/>
    <mergeCell ref="AN47:AN61"/>
    <mergeCell ref="AN44:AN46"/>
    <mergeCell ref="AO44:AR44"/>
    <mergeCell ref="AS44:AS46"/>
    <mergeCell ref="AT44:AW44"/>
    <mergeCell ref="B44:B46"/>
    <mergeCell ref="C44:D46"/>
    <mergeCell ref="AS47:AS61"/>
    <mergeCell ref="AX44:AX46"/>
    <mergeCell ref="E45:G45"/>
    <mergeCell ref="I45:K45"/>
    <mergeCell ref="P45:S45"/>
    <mergeCell ref="U45:X45"/>
    <mergeCell ref="Z45:AC45"/>
    <mergeCell ref="Y44:Y46"/>
    <mergeCell ref="Z44:AC44"/>
    <mergeCell ref="AD44:AD46"/>
    <mergeCell ref="AE44:AH44"/>
    <mergeCell ref="AI44:AI46"/>
    <mergeCell ref="AJ44:AM44"/>
    <mergeCell ref="AE45:AH45"/>
    <mergeCell ref="AJ45:AM45"/>
    <mergeCell ref="M44:M46"/>
    <mergeCell ref="N44:N61"/>
    <mergeCell ref="O44:O61"/>
    <mergeCell ref="P44:S44"/>
    <mergeCell ref="T44:T46"/>
    <mergeCell ref="U44:X44"/>
    <mergeCell ref="E44:G44"/>
    <mergeCell ref="H44:H46"/>
    <mergeCell ref="I44:K44"/>
    <mergeCell ref="L44:L46"/>
    <mergeCell ref="AX27:AX41"/>
    <mergeCell ref="B42:H43"/>
    <mergeCell ref="N42:N43"/>
    <mergeCell ref="O42:O43"/>
    <mergeCell ref="P42:T42"/>
    <mergeCell ref="U42:Y42"/>
    <mergeCell ref="Z42:AD42"/>
    <mergeCell ref="AE42:AI42"/>
    <mergeCell ref="AJ42:AN42"/>
    <mergeCell ref="AO42:AS42"/>
    <mergeCell ref="AT42:AX42"/>
    <mergeCell ref="P43:T43"/>
    <mergeCell ref="U43:Y43"/>
    <mergeCell ref="Z43:AD43"/>
    <mergeCell ref="AE43:AI43"/>
    <mergeCell ref="AJ43:AN43"/>
    <mergeCell ref="AO43:AS43"/>
    <mergeCell ref="AT43:AX43"/>
    <mergeCell ref="AO25:AR25"/>
    <mergeCell ref="AT25:AW25"/>
    <mergeCell ref="B27:B41"/>
    <mergeCell ref="H27:H41"/>
    <mergeCell ref="L27:L41"/>
    <mergeCell ref="T27:T41"/>
    <mergeCell ref="Y27:Y41"/>
    <mergeCell ref="AD27:AD41"/>
    <mergeCell ref="AI27:AI41"/>
    <mergeCell ref="AN27:AN41"/>
    <mergeCell ref="AN24:AN26"/>
    <mergeCell ref="AO24:AR24"/>
    <mergeCell ref="AS24:AS26"/>
    <mergeCell ref="AT24:AW24"/>
    <mergeCell ref="B24:B26"/>
    <mergeCell ref="C24:D26"/>
    <mergeCell ref="AS27:AS41"/>
    <mergeCell ref="AX24:AX26"/>
    <mergeCell ref="E25:G25"/>
    <mergeCell ref="I25:K25"/>
    <mergeCell ref="P25:S25"/>
    <mergeCell ref="U25:X25"/>
    <mergeCell ref="Z25:AC25"/>
    <mergeCell ref="Y24:Y26"/>
    <mergeCell ref="Z24:AC24"/>
    <mergeCell ref="AD24:AD26"/>
    <mergeCell ref="AE24:AH24"/>
    <mergeCell ref="AI24:AI26"/>
    <mergeCell ref="AJ24:AM24"/>
    <mergeCell ref="AE25:AH25"/>
    <mergeCell ref="AJ25:AM25"/>
    <mergeCell ref="M24:M26"/>
    <mergeCell ref="N24:N41"/>
    <mergeCell ref="O24:O41"/>
    <mergeCell ref="P24:S24"/>
    <mergeCell ref="T24:T26"/>
    <mergeCell ref="U24:X24"/>
    <mergeCell ref="E24:G24"/>
    <mergeCell ref="H24:H26"/>
    <mergeCell ref="I24:K24"/>
    <mergeCell ref="L24:L26"/>
    <mergeCell ref="AT22:AX22"/>
    <mergeCell ref="P23:T23"/>
    <mergeCell ref="U23:Y23"/>
    <mergeCell ref="Z23:AD23"/>
    <mergeCell ref="AE23:AI23"/>
    <mergeCell ref="AJ23:AN23"/>
    <mergeCell ref="AO23:AS23"/>
    <mergeCell ref="AT23:AX23"/>
    <mergeCell ref="AX7:AX21"/>
    <mergeCell ref="B22:H23"/>
    <mergeCell ref="N22:N23"/>
    <mergeCell ref="O22:O23"/>
    <mergeCell ref="P22:T22"/>
    <mergeCell ref="U22:Y22"/>
    <mergeCell ref="Z22:AD22"/>
    <mergeCell ref="AE22:AI22"/>
    <mergeCell ref="AJ22:AN22"/>
    <mergeCell ref="AO22:AS22"/>
    <mergeCell ref="AD4:AD6"/>
    <mergeCell ref="AT5:AW5"/>
    <mergeCell ref="B7:B21"/>
    <mergeCell ref="H7:H21"/>
    <mergeCell ref="L7:L21"/>
    <mergeCell ref="T7:T21"/>
    <mergeCell ref="Y7:Y21"/>
    <mergeCell ref="AD7:AD21"/>
    <mergeCell ref="AI7:AI21"/>
    <mergeCell ref="AN7:AN21"/>
    <mergeCell ref="AS7:AS21"/>
    <mergeCell ref="B4:B6"/>
    <mergeCell ref="C4:D6"/>
    <mergeCell ref="E4:G4"/>
    <mergeCell ref="H4:H6"/>
    <mergeCell ref="I4:K4"/>
    <mergeCell ref="L4:L6"/>
    <mergeCell ref="M4:M6"/>
    <mergeCell ref="N4:N21"/>
    <mergeCell ref="O4:O21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102:H103"/>
    <mergeCell ref="N102:N103"/>
    <mergeCell ref="O102:O103"/>
    <mergeCell ref="P102:T102"/>
    <mergeCell ref="U102:Y102"/>
    <mergeCell ref="Z102:AD102"/>
    <mergeCell ref="AE102:AI102"/>
    <mergeCell ref="AJ102:AN102"/>
    <mergeCell ref="AO102:AS102"/>
    <mergeCell ref="AT102:AX102"/>
    <mergeCell ref="P103:T103"/>
    <mergeCell ref="U103:Y103"/>
    <mergeCell ref="Z103:AD103"/>
    <mergeCell ref="AE103:AI103"/>
    <mergeCell ref="AJ103:AN103"/>
    <mergeCell ref="AO103:AS103"/>
    <mergeCell ref="AT103:AX103"/>
    <mergeCell ref="B104:B106"/>
    <mergeCell ref="C104:D106"/>
    <mergeCell ref="E104:G104"/>
    <mergeCell ref="H104:H106"/>
    <mergeCell ref="I104:K104"/>
    <mergeCell ref="L104:L106"/>
    <mergeCell ref="M104:M106"/>
    <mergeCell ref="N104:N121"/>
    <mergeCell ref="O104:O121"/>
    <mergeCell ref="P104:S104"/>
    <mergeCell ref="T104:T106"/>
    <mergeCell ref="U104:X104"/>
    <mergeCell ref="Y104:Y106"/>
    <mergeCell ref="Z104:AC104"/>
    <mergeCell ref="AD104:AD106"/>
    <mergeCell ref="AE104:AH104"/>
    <mergeCell ref="AI104:AI106"/>
    <mergeCell ref="AJ104:AM104"/>
    <mergeCell ref="AN104:AN106"/>
    <mergeCell ref="AO104:AR104"/>
    <mergeCell ref="AS104:AS106"/>
    <mergeCell ref="AT104:AW104"/>
    <mergeCell ref="AX104:AX106"/>
    <mergeCell ref="E105:G105"/>
    <mergeCell ref="I105:K105"/>
    <mergeCell ref="P105:S105"/>
    <mergeCell ref="U105:X105"/>
    <mergeCell ref="Z105:AC105"/>
    <mergeCell ref="AE105:AH105"/>
    <mergeCell ref="AJ105:AM105"/>
    <mergeCell ref="AO105:AR105"/>
    <mergeCell ref="AT105:AW105"/>
    <mergeCell ref="B128:B142"/>
    <mergeCell ref="H128:H142"/>
    <mergeCell ref="L128:L142"/>
    <mergeCell ref="AX107:AX121"/>
    <mergeCell ref="B123:H124"/>
    <mergeCell ref="B125:B127"/>
    <mergeCell ref="C125:D127"/>
    <mergeCell ref="E125:G125"/>
    <mergeCell ref="H125:H127"/>
    <mergeCell ref="I125:K125"/>
    <mergeCell ref="L125:L127"/>
    <mergeCell ref="M125:M127"/>
    <mergeCell ref="E126:G126"/>
    <mergeCell ref="I126:K126"/>
    <mergeCell ref="B107:B121"/>
    <mergeCell ref="H107:H121"/>
    <mergeCell ref="L107:L121"/>
    <mergeCell ref="T107:T121"/>
    <mergeCell ref="Y107:Y121"/>
    <mergeCell ref="AD107:AD121"/>
    <mergeCell ref="AI107:AI121"/>
    <mergeCell ref="AN107:AN121"/>
    <mergeCell ref="AS107:AS121"/>
  </mergeCells>
  <phoneticPr fontId="13" type="noConversion"/>
  <pageMargins left="0.7" right="0.7" top="0.75" bottom="0.75" header="0.3" footer="0.3"/>
  <pageSetup paperSize="9"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A1:BA142"/>
  <sheetViews>
    <sheetView zoomScale="40" zoomScaleNormal="40" workbookViewId="0">
      <pane xSplit="15" topLeftCell="P1" activePane="topRight" state="frozen"/>
      <selection activeCell="P6" sqref="P6"/>
      <selection pane="topRight" activeCell="P6" sqref="P6"/>
    </sheetView>
  </sheetViews>
  <sheetFormatPr defaultColWidth="8.85546875" defaultRowHeight="12.75"/>
  <cols>
    <col min="1" max="1" width="5.5703125" style="107" customWidth="1"/>
    <col min="2" max="2" width="12.42578125" style="107" customWidth="1"/>
    <col min="3" max="3" width="8.85546875" style="106"/>
    <col min="4" max="4" width="26.42578125" style="106" customWidth="1"/>
    <col min="5" max="7" width="8.42578125" style="106" customWidth="1"/>
    <col min="8" max="8" width="11.140625" style="106" bestFit="1" customWidth="1"/>
    <col min="9" max="12" width="11.140625" style="106" customWidth="1"/>
    <col min="13" max="13" width="13.5703125" style="106" customWidth="1"/>
    <col min="14" max="14" width="9.85546875" style="106" customWidth="1"/>
    <col min="15" max="15" width="7.140625" style="106" customWidth="1"/>
    <col min="16" max="18" width="12.85546875" style="106" customWidth="1"/>
    <col min="19" max="19" width="5.42578125" style="106" customWidth="1"/>
    <col min="20" max="20" width="12.85546875" style="106" customWidth="1"/>
    <col min="21" max="23" width="12.85546875" style="107" customWidth="1"/>
    <col min="24" max="24" width="5.42578125" style="106" customWidth="1"/>
    <col min="25" max="28" width="12.85546875" style="107" customWidth="1"/>
    <col min="29" max="29" width="5.42578125" style="106" customWidth="1"/>
    <col min="30" max="30" width="12.85546875" style="107" customWidth="1"/>
    <col min="31" max="33" width="12.5703125" style="107" customWidth="1"/>
    <col min="34" max="34" width="5.42578125" style="106" customWidth="1"/>
    <col min="35" max="35" width="13" style="107" customWidth="1"/>
    <col min="36" max="38" width="12.5703125" style="107" customWidth="1"/>
    <col min="39" max="39" width="5.42578125" style="106" customWidth="1"/>
    <col min="40" max="40" width="13" style="107" customWidth="1"/>
    <col min="41" max="43" width="13.140625" style="107" customWidth="1"/>
    <col min="44" max="44" width="5.42578125" style="107" customWidth="1"/>
    <col min="45" max="48" width="13.140625" style="107" customWidth="1"/>
    <col min="49" max="49" width="5.42578125" style="107" customWidth="1"/>
    <col min="50" max="50" width="13.140625" style="107" customWidth="1"/>
    <col min="51" max="51" width="8.85546875" style="107"/>
    <col min="52" max="52" width="5.42578125" style="107" customWidth="1"/>
    <col min="53" max="53" width="13.140625" style="107" customWidth="1"/>
    <col min="54" max="16384" width="8.85546875" style="107"/>
  </cols>
  <sheetData>
    <row r="1" spans="1:53" ht="24">
      <c r="A1" s="75"/>
      <c r="B1" s="220" t="s">
        <v>313</v>
      </c>
      <c r="C1" s="219" t="e">
        <f>AVERAGE(L7,L27,L47,L67,L87,L107)</f>
        <v>#DIV/0!</v>
      </c>
    </row>
    <row r="2" spans="1:53" ht="15.75">
      <c r="A2" s="81"/>
      <c r="B2" s="671" t="s">
        <v>162</v>
      </c>
      <c r="C2" s="671"/>
      <c r="D2" s="671"/>
      <c r="E2" s="671"/>
      <c r="F2" s="671"/>
      <c r="G2" s="671"/>
      <c r="H2" s="671"/>
      <c r="I2" s="284"/>
      <c r="J2" s="284"/>
      <c r="K2" s="284"/>
      <c r="L2" s="284"/>
      <c r="M2" s="196"/>
      <c r="N2" s="645" t="s">
        <v>156</v>
      </c>
      <c r="O2" s="645" t="s">
        <v>155</v>
      </c>
      <c r="P2" s="670">
        <v>46266</v>
      </c>
      <c r="Q2" s="649"/>
      <c r="R2" s="649"/>
      <c r="S2" s="649"/>
      <c r="T2" s="649"/>
      <c r="U2" s="667">
        <f>P2+1</f>
        <v>46267</v>
      </c>
      <c r="V2" s="668"/>
      <c r="W2" s="668"/>
      <c r="X2" s="668"/>
      <c r="Y2" s="669"/>
      <c r="Z2" s="667">
        <f>U2+1</f>
        <v>46268</v>
      </c>
      <c r="AA2" s="668"/>
      <c r="AB2" s="668"/>
      <c r="AC2" s="668"/>
      <c r="AD2" s="669"/>
      <c r="AE2" s="667">
        <f>Z2+1</f>
        <v>46269</v>
      </c>
      <c r="AF2" s="668"/>
      <c r="AG2" s="668"/>
      <c r="AH2" s="668"/>
      <c r="AI2" s="669"/>
      <c r="AJ2" s="667">
        <f>AE2+1</f>
        <v>46270</v>
      </c>
      <c r="AK2" s="668"/>
      <c r="AL2" s="668"/>
      <c r="AM2" s="668"/>
      <c r="AN2" s="669"/>
      <c r="AO2" s="667">
        <f>AJ2+1</f>
        <v>46271</v>
      </c>
      <c r="AP2" s="668"/>
      <c r="AQ2" s="668"/>
      <c r="AR2" s="668"/>
      <c r="AS2" s="669"/>
      <c r="AT2" s="667">
        <f>AO2+1</f>
        <v>46272</v>
      </c>
      <c r="AU2" s="668"/>
      <c r="AV2" s="668"/>
      <c r="AW2" s="668"/>
      <c r="AX2" s="669"/>
    </row>
    <row r="3" spans="1:53" ht="15.75">
      <c r="A3" s="81"/>
      <c r="B3" s="715"/>
      <c r="C3" s="715"/>
      <c r="D3" s="715"/>
      <c r="E3" s="715"/>
      <c r="F3" s="715"/>
      <c r="G3" s="715"/>
      <c r="H3" s="715"/>
      <c r="I3" s="285"/>
      <c r="J3" s="285"/>
      <c r="K3" s="285"/>
      <c r="L3" s="285"/>
      <c r="M3" s="197"/>
      <c r="N3" s="647"/>
      <c r="O3" s="647"/>
      <c r="P3" s="670" t="s">
        <v>158</v>
      </c>
      <c r="Q3" s="649"/>
      <c r="R3" s="649"/>
      <c r="S3" s="649"/>
      <c r="T3" s="649"/>
      <c r="U3" s="670" t="s">
        <v>114</v>
      </c>
      <c r="V3" s="649"/>
      <c r="W3" s="649"/>
      <c r="X3" s="649"/>
      <c r="Y3" s="649"/>
      <c r="Z3" s="670" t="s">
        <v>159</v>
      </c>
      <c r="AA3" s="649"/>
      <c r="AB3" s="649"/>
      <c r="AC3" s="649"/>
      <c r="AD3" s="649"/>
      <c r="AE3" s="670" t="s">
        <v>157</v>
      </c>
      <c r="AF3" s="649"/>
      <c r="AG3" s="649"/>
      <c r="AH3" s="649"/>
      <c r="AI3" s="649"/>
      <c r="AJ3" s="670" t="s">
        <v>160</v>
      </c>
      <c r="AK3" s="649"/>
      <c r="AL3" s="649"/>
      <c r="AM3" s="649"/>
      <c r="AN3" s="649"/>
      <c r="AO3" s="670" t="s">
        <v>115</v>
      </c>
      <c r="AP3" s="649"/>
      <c r="AQ3" s="649"/>
      <c r="AR3" s="649"/>
      <c r="AS3" s="649"/>
      <c r="AT3" s="670" t="s">
        <v>161</v>
      </c>
      <c r="AU3" s="649"/>
      <c r="AV3" s="649"/>
      <c r="AW3" s="649"/>
      <c r="AX3" s="649"/>
    </row>
    <row r="4" spans="1:53" ht="14.25">
      <c r="A4" s="81"/>
      <c r="B4" s="643" t="s">
        <v>382</v>
      </c>
      <c r="C4" s="643" t="s">
        <v>372</v>
      </c>
      <c r="D4" s="643"/>
      <c r="E4" s="643" t="s">
        <v>363</v>
      </c>
      <c r="F4" s="643"/>
      <c r="G4" s="643"/>
      <c r="H4" s="675" t="s">
        <v>359</v>
      </c>
      <c r="I4" s="690" t="s">
        <v>364</v>
      </c>
      <c r="J4" s="690"/>
      <c r="K4" s="690"/>
      <c r="L4" s="691" t="s">
        <v>359</v>
      </c>
      <c r="M4" s="679" t="s">
        <v>360</v>
      </c>
      <c r="N4" s="643"/>
      <c r="O4" s="643" t="s">
        <v>365</v>
      </c>
      <c r="P4" s="661" t="s">
        <v>361</v>
      </c>
      <c r="Q4" s="662"/>
      <c r="R4" s="662"/>
      <c r="S4" s="663"/>
      <c r="T4" s="643" t="s">
        <v>359</v>
      </c>
      <c r="U4" s="661" t="s">
        <v>361</v>
      </c>
      <c r="V4" s="662"/>
      <c r="W4" s="662"/>
      <c r="X4" s="663"/>
      <c r="Y4" s="643" t="s">
        <v>359</v>
      </c>
      <c r="Z4" s="661" t="s">
        <v>361</v>
      </c>
      <c r="AA4" s="662"/>
      <c r="AB4" s="662"/>
      <c r="AC4" s="663"/>
      <c r="AD4" s="643" t="s">
        <v>359</v>
      </c>
      <c r="AE4" s="661" t="s">
        <v>361</v>
      </c>
      <c r="AF4" s="662"/>
      <c r="AG4" s="662"/>
      <c r="AH4" s="663"/>
      <c r="AI4" s="643" t="s">
        <v>359</v>
      </c>
      <c r="AJ4" s="661" t="s">
        <v>361</v>
      </c>
      <c r="AK4" s="662"/>
      <c r="AL4" s="662"/>
      <c r="AM4" s="663"/>
      <c r="AN4" s="643" t="s">
        <v>359</v>
      </c>
      <c r="AO4" s="661" t="s">
        <v>361</v>
      </c>
      <c r="AP4" s="662"/>
      <c r="AQ4" s="662"/>
      <c r="AR4" s="663"/>
      <c r="AS4" s="643" t="s">
        <v>359</v>
      </c>
      <c r="AT4" s="661" t="s">
        <v>361</v>
      </c>
      <c r="AU4" s="662"/>
      <c r="AV4" s="662"/>
      <c r="AW4" s="663"/>
      <c r="AX4" s="643" t="s">
        <v>359</v>
      </c>
      <c r="BA4" s="643" t="s">
        <v>359</v>
      </c>
    </row>
    <row r="5" spans="1:53" ht="14.25">
      <c r="A5" s="81"/>
      <c r="B5" s="643"/>
      <c r="C5" s="643"/>
      <c r="D5" s="643"/>
      <c r="E5" s="643" t="s">
        <v>366</v>
      </c>
      <c r="F5" s="643"/>
      <c r="G5" s="643"/>
      <c r="H5" s="676"/>
      <c r="I5" s="690" t="s">
        <v>366</v>
      </c>
      <c r="J5" s="690"/>
      <c r="K5" s="690"/>
      <c r="L5" s="692"/>
      <c r="M5" s="680"/>
      <c r="N5" s="643"/>
      <c r="O5" s="643"/>
      <c r="P5" s="661" t="s">
        <v>367</v>
      </c>
      <c r="Q5" s="662"/>
      <c r="R5" s="662"/>
      <c r="S5" s="663"/>
      <c r="T5" s="643"/>
      <c r="U5" s="661" t="s">
        <v>367</v>
      </c>
      <c r="V5" s="662"/>
      <c r="W5" s="662"/>
      <c r="X5" s="663"/>
      <c r="Y5" s="643"/>
      <c r="Z5" s="661" t="s">
        <v>367</v>
      </c>
      <c r="AA5" s="662"/>
      <c r="AB5" s="662"/>
      <c r="AC5" s="663"/>
      <c r="AD5" s="643"/>
      <c r="AE5" s="661" t="s">
        <v>367</v>
      </c>
      <c r="AF5" s="662"/>
      <c r="AG5" s="662"/>
      <c r="AH5" s="663"/>
      <c r="AI5" s="643"/>
      <c r="AJ5" s="661" t="s">
        <v>367</v>
      </c>
      <c r="AK5" s="662"/>
      <c r="AL5" s="662"/>
      <c r="AM5" s="663"/>
      <c r="AN5" s="643"/>
      <c r="AO5" s="661" t="s">
        <v>367</v>
      </c>
      <c r="AP5" s="662"/>
      <c r="AQ5" s="662"/>
      <c r="AR5" s="663"/>
      <c r="AS5" s="643"/>
      <c r="AT5" s="661" t="s">
        <v>367</v>
      </c>
      <c r="AU5" s="662"/>
      <c r="AV5" s="662"/>
      <c r="AW5" s="663"/>
      <c r="AX5" s="643"/>
      <c r="BA5" s="643"/>
    </row>
    <row r="6" spans="1:53" ht="14.25">
      <c r="A6" s="79"/>
      <c r="B6" s="643"/>
      <c r="C6" s="643"/>
      <c r="D6" s="643"/>
      <c r="E6" s="525" t="s">
        <v>368</v>
      </c>
      <c r="F6" s="525" t="s">
        <v>369</v>
      </c>
      <c r="G6" s="525" t="s">
        <v>370</v>
      </c>
      <c r="H6" s="677"/>
      <c r="I6" s="524" t="s">
        <v>368</v>
      </c>
      <c r="J6" s="524" t="s">
        <v>369</v>
      </c>
      <c r="K6" s="524" t="s">
        <v>370</v>
      </c>
      <c r="L6" s="693"/>
      <c r="M6" s="681"/>
      <c r="N6" s="643"/>
      <c r="O6" s="643"/>
      <c r="P6" s="525" t="s">
        <v>368</v>
      </c>
      <c r="Q6" s="525" t="s">
        <v>369</v>
      </c>
      <c r="R6" s="525" t="s">
        <v>370</v>
      </c>
      <c r="S6" s="525" t="s">
        <v>360</v>
      </c>
      <c r="T6" s="643"/>
      <c r="U6" s="525" t="s">
        <v>368</v>
      </c>
      <c r="V6" s="525" t="s">
        <v>369</v>
      </c>
      <c r="W6" s="525" t="s">
        <v>370</v>
      </c>
      <c r="X6" s="525" t="s">
        <v>360</v>
      </c>
      <c r="Y6" s="643"/>
      <c r="Z6" s="525" t="s">
        <v>368</v>
      </c>
      <c r="AA6" s="525" t="s">
        <v>369</v>
      </c>
      <c r="AB6" s="525" t="s">
        <v>370</v>
      </c>
      <c r="AC6" s="525" t="s">
        <v>360</v>
      </c>
      <c r="AD6" s="643"/>
      <c r="AE6" s="525" t="s">
        <v>368</v>
      </c>
      <c r="AF6" s="525" t="s">
        <v>369</v>
      </c>
      <c r="AG6" s="525" t="s">
        <v>370</v>
      </c>
      <c r="AH6" s="525" t="s">
        <v>360</v>
      </c>
      <c r="AI6" s="643"/>
      <c r="AJ6" s="525" t="s">
        <v>368</v>
      </c>
      <c r="AK6" s="525" t="s">
        <v>369</v>
      </c>
      <c r="AL6" s="525" t="s">
        <v>370</v>
      </c>
      <c r="AM6" s="525" t="s">
        <v>360</v>
      </c>
      <c r="AN6" s="643"/>
      <c r="AO6" s="525" t="s">
        <v>368</v>
      </c>
      <c r="AP6" s="525" t="s">
        <v>369</v>
      </c>
      <c r="AQ6" s="525" t="s">
        <v>370</v>
      </c>
      <c r="AR6" s="525" t="s">
        <v>360</v>
      </c>
      <c r="AS6" s="643"/>
      <c r="AT6" s="525" t="s">
        <v>368</v>
      </c>
      <c r="AU6" s="525" t="s">
        <v>369</v>
      </c>
      <c r="AV6" s="525" t="s">
        <v>370</v>
      </c>
      <c r="AW6" s="525" t="s">
        <v>360</v>
      </c>
      <c r="AX6" s="643"/>
      <c r="AZ6" s="367" t="s">
        <v>360</v>
      </c>
      <c r="BA6" s="643"/>
    </row>
    <row r="7" spans="1:53" ht="14.25">
      <c r="A7" s="81"/>
      <c r="B7" s="643" t="s">
        <v>397</v>
      </c>
      <c r="C7" s="526">
        <v>1</v>
      </c>
      <c r="D7" s="225"/>
      <c r="E7" s="565"/>
      <c r="F7" s="563"/>
      <c r="G7" s="564"/>
      <c r="H7" s="702" t="e">
        <f>AVERAGE(G7:G21)</f>
        <v>#DIV/0!</v>
      </c>
      <c r="I7" s="529" t="str">
        <f t="shared" ref="I7:I20" si="0">IFERROR(AVERAGE(P7,U7,Z7,AE7,AJ7,AO7,AT7),"-")</f>
        <v>-</v>
      </c>
      <c r="J7" s="529" t="str">
        <f t="shared" ref="J7:J20" si="1">IFERROR(AVERAGE(Q7,V7,AA7,AF7,AK7,AP7,AU7),"-")</f>
        <v>-</v>
      </c>
      <c r="K7" s="199" t="str">
        <f t="shared" ref="K7:K20" si="2">IFERROR(AVERAGE(R7,W7,AB7,AG7,AL7,AQ7,AV7),"-")</f>
        <v>-</v>
      </c>
      <c r="L7" s="658" t="str">
        <f>IFERROR(AVERAGE(K7:K21),"-")</f>
        <v>-</v>
      </c>
      <c r="M7" s="530" t="e">
        <f>RANK(K7, K$7:$K$21)</f>
        <v>#VALUE!</v>
      </c>
      <c r="N7" s="643"/>
      <c r="O7" s="643"/>
      <c r="P7" s="526"/>
      <c r="Q7" s="527"/>
      <c r="R7" s="527"/>
      <c r="S7" s="526"/>
      <c r="T7" s="644"/>
      <c r="U7" s="526"/>
      <c r="V7" s="527"/>
      <c r="W7" s="527"/>
      <c r="X7" s="549"/>
      <c r="Y7" s="644"/>
      <c r="Z7" s="526"/>
      <c r="AA7" s="527"/>
      <c r="AB7" s="527"/>
      <c r="AC7" s="549"/>
      <c r="AD7" s="644"/>
      <c r="AE7" s="526"/>
      <c r="AF7" s="527"/>
      <c r="AG7" s="527"/>
      <c r="AH7" s="549"/>
      <c r="AI7" s="644"/>
      <c r="AJ7" s="526"/>
      <c r="AK7" s="527"/>
      <c r="AL7" s="527"/>
      <c r="AM7" s="549"/>
      <c r="AN7" s="644"/>
      <c r="AO7" s="526"/>
      <c r="AP7" s="527"/>
      <c r="AQ7" s="527"/>
      <c r="AR7" s="549"/>
      <c r="AS7" s="644"/>
      <c r="AT7" s="526"/>
      <c r="AU7" s="527"/>
      <c r="AV7" s="527"/>
      <c r="AW7" s="549"/>
      <c r="AX7" s="644"/>
      <c r="AZ7" s="368" t="e">
        <f t="shared" ref="AZ7:AZ21" si="3">RANK(AY7, AY$7:AY$21)</f>
        <v>#N/A</v>
      </c>
      <c r="BA7" s="644" t="e">
        <f t="shared" ref="BA7" si="4">AVERAGE(AY7:AY21)</f>
        <v>#DIV/0!</v>
      </c>
    </row>
    <row r="8" spans="1:53" ht="15" customHeight="1">
      <c r="A8" s="81"/>
      <c r="B8" s="649"/>
      <c r="C8" s="526">
        <v>2</v>
      </c>
      <c r="D8" s="225"/>
      <c r="E8" s="565"/>
      <c r="F8" s="563"/>
      <c r="G8" s="564"/>
      <c r="H8" s="703"/>
      <c r="I8" s="529" t="str">
        <f t="shared" si="0"/>
        <v>-</v>
      </c>
      <c r="J8" s="529" t="str">
        <f t="shared" si="1"/>
        <v>-</v>
      </c>
      <c r="K8" s="199" t="str">
        <f t="shared" si="2"/>
        <v>-</v>
      </c>
      <c r="L8" s="659"/>
      <c r="M8" s="552" t="e">
        <f>RANK(K8, K$7:$K$21)</f>
        <v>#VALUE!</v>
      </c>
      <c r="N8" s="643"/>
      <c r="O8" s="643"/>
      <c r="P8" s="526"/>
      <c r="Q8" s="527"/>
      <c r="R8" s="527"/>
      <c r="S8" s="549"/>
      <c r="T8" s="644"/>
      <c r="U8" s="526"/>
      <c r="V8" s="527"/>
      <c r="W8" s="527"/>
      <c r="X8" s="549"/>
      <c r="Y8" s="644"/>
      <c r="Z8" s="526"/>
      <c r="AA8" s="527"/>
      <c r="AB8" s="527"/>
      <c r="AC8" s="549"/>
      <c r="AD8" s="644"/>
      <c r="AE8" s="526"/>
      <c r="AF8" s="527"/>
      <c r="AG8" s="527"/>
      <c r="AH8" s="549"/>
      <c r="AI8" s="644"/>
      <c r="AJ8" s="526"/>
      <c r="AK8" s="527"/>
      <c r="AL8" s="527"/>
      <c r="AM8" s="549"/>
      <c r="AN8" s="644"/>
      <c r="AO8" s="526"/>
      <c r="AP8" s="527"/>
      <c r="AQ8" s="527"/>
      <c r="AR8" s="549"/>
      <c r="AS8" s="644"/>
      <c r="AT8" s="526"/>
      <c r="AU8" s="527"/>
      <c r="AV8" s="527"/>
      <c r="AW8" s="549"/>
      <c r="AX8" s="644"/>
      <c r="AZ8" s="368" t="e">
        <f t="shared" si="3"/>
        <v>#N/A</v>
      </c>
      <c r="BA8" s="644"/>
    </row>
    <row r="9" spans="1:53" ht="14.25">
      <c r="A9" s="81"/>
      <c r="B9" s="649"/>
      <c r="C9" s="526">
        <v>3</v>
      </c>
      <c r="D9" s="225"/>
      <c r="E9" s="565"/>
      <c r="F9" s="563"/>
      <c r="G9" s="564"/>
      <c r="H9" s="703"/>
      <c r="I9" s="529" t="str">
        <f t="shared" si="0"/>
        <v>-</v>
      </c>
      <c r="J9" s="529" t="str">
        <f t="shared" si="1"/>
        <v>-</v>
      </c>
      <c r="K9" s="199" t="str">
        <f t="shared" si="2"/>
        <v>-</v>
      </c>
      <c r="L9" s="659"/>
      <c r="M9" s="552" t="e">
        <f>RANK(K9, K$7:$K$21)</f>
        <v>#VALUE!</v>
      </c>
      <c r="N9" s="643"/>
      <c r="O9" s="643"/>
      <c r="P9" s="526"/>
      <c r="Q9" s="527"/>
      <c r="R9" s="527"/>
      <c r="S9" s="549"/>
      <c r="T9" s="644"/>
      <c r="U9" s="526"/>
      <c r="V9" s="527"/>
      <c r="W9" s="527"/>
      <c r="X9" s="549"/>
      <c r="Y9" s="644"/>
      <c r="Z9" s="526"/>
      <c r="AA9" s="527"/>
      <c r="AB9" s="527"/>
      <c r="AC9" s="549"/>
      <c r="AD9" s="644"/>
      <c r="AE9" s="526"/>
      <c r="AF9" s="527"/>
      <c r="AG9" s="527"/>
      <c r="AH9" s="549"/>
      <c r="AI9" s="644"/>
      <c r="AJ9" s="526"/>
      <c r="AK9" s="527"/>
      <c r="AL9" s="527"/>
      <c r="AM9" s="549"/>
      <c r="AN9" s="644"/>
      <c r="AO9" s="526"/>
      <c r="AP9" s="527"/>
      <c r="AQ9" s="527"/>
      <c r="AR9" s="549"/>
      <c r="AS9" s="644"/>
      <c r="AT9" s="526"/>
      <c r="AU9" s="527"/>
      <c r="AV9" s="527"/>
      <c r="AW9" s="549"/>
      <c r="AX9" s="644"/>
      <c r="AZ9" s="368" t="e">
        <f t="shared" si="3"/>
        <v>#N/A</v>
      </c>
      <c r="BA9" s="644"/>
    </row>
    <row r="10" spans="1:53" ht="14.25">
      <c r="A10" s="81"/>
      <c r="B10" s="649"/>
      <c r="C10" s="526">
        <v>4</v>
      </c>
      <c r="D10" s="225"/>
      <c r="E10" s="565"/>
      <c r="F10" s="563"/>
      <c r="G10" s="564"/>
      <c r="H10" s="703"/>
      <c r="I10" s="529" t="str">
        <f t="shared" si="0"/>
        <v>-</v>
      </c>
      <c r="J10" s="529" t="str">
        <f t="shared" si="1"/>
        <v>-</v>
      </c>
      <c r="K10" s="199" t="str">
        <f t="shared" si="2"/>
        <v>-</v>
      </c>
      <c r="L10" s="659"/>
      <c r="M10" s="552" t="e">
        <f>RANK(K10, K$7:$K$21)</f>
        <v>#VALUE!</v>
      </c>
      <c r="N10" s="643"/>
      <c r="O10" s="643"/>
      <c r="P10" s="526"/>
      <c r="Q10" s="527"/>
      <c r="R10" s="527"/>
      <c r="S10" s="549"/>
      <c r="T10" s="644"/>
      <c r="U10" s="526"/>
      <c r="V10" s="527"/>
      <c r="W10" s="527"/>
      <c r="X10" s="549"/>
      <c r="Y10" s="644"/>
      <c r="Z10" s="526"/>
      <c r="AA10" s="527"/>
      <c r="AB10" s="527"/>
      <c r="AC10" s="549"/>
      <c r="AD10" s="644"/>
      <c r="AE10" s="526"/>
      <c r="AF10" s="527"/>
      <c r="AG10" s="527"/>
      <c r="AH10" s="549"/>
      <c r="AI10" s="644"/>
      <c r="AJ10" s="526"/>
      <c r="AK10" s="527"/>
      <c r="AL10" s="527"/>
      <c r="AM10" s="549"/>
      <c r="AN10" s="644"/>
      <c r="AO10" s="526"/>
      <c r="AP10" s="527"/>
      <c r="AQ10" s="527"/>
      <c r="AR10" s="549"/>
      <c r="AS10" s="644"/>
      <c r="AT10" s="526"/>
      <c r="AU10" s="527"/>
      <c r="AV10" s="527"/>
      <c r="AW10" s="549"/>
      <c r="AX10" s="644"/>
      <c r="AZ10" s="368" t="e">
        <f t="shared" si="3"/>
        <v>#N/A</v>
      </c>
      <c r="BA10" s="644"/>
    </row>
    <row r="11" spans="1:53" ht="14.25">
      <c r="A11" s="81"/>
      <c r="B11" s="649"/>
      <c r="C11" s="526">
        <v>5</v>
      </c>
      <c r="D11" s="225"/>
      <c r="E11" s="565"/>
      <c r="F11" s="563"/>
      <c r="G11" s="564"/>
      <c r="H11" s="703"/>
      <c r="I11" s="529" t="str">
        <f t="shared" si="0"/>
        <v>-</v>
      </c>
      <c r="J11" s="529" t="str">
        <f t="shared" si="1"/>
        <v>-</v>
      </c>
      <c r="K11" s="199" t="str">
        <f t="shared" si="2"/>
        <v>-</v>
      </c>
      <c r="L11" s="659"/>
      <c r="M11" s="552" t="e">
        <f>RANK(K11, K$7:$K$21)</f>
        <v>#VALUE!</v>
      </c>
      <c r="N11" s="643"/>
      <c r="O11" s="643"/>
      <c r="P11" s="526"/>
      <c r="Q11" s="527"/>
      <c r="R11" s="527"/>
      <c r="S11" s="549"/>
      <c r="T11" s="644"/>
      <c r="U11" s="526"/>
      <c r="V11" s="527"/>
      <c r="W11" s="527"/>
      <c r="X11" s="549"/>
      <c r="Y11" s="644"/>
      <c r="Z11" s="526"/>
      <c r="AA11" s="527"/>
      <c r="AB11" s="527"/>
      <c r="AC11" s="549"/>
      <c r="AD11" s="644"/>
      <c r="AE11" s="526"/>
      <c r="AF11" s="527"/>
      <c r="AG11" s="527"/>
      <c r="AH11" s="549"/>
      <c r="AI11" s="644"/>
      <c r="AJ11" s="526"/>
      <c r="AK11" s="527"/>
      <c r="AL11" s="527"/>
      <c r="AM11" s="549"/>
      <c r="AN11" s="644"/>
      <c r="AO11" s="526"/>
      <c r="AP11" s="527"/>
      <c r="AQ11" s="527"/>
      <c r="AR11" s="549"/>
      <c r="AS11" s="644"/>
      <c r="AT11" s="526"/>
      <c r="AU11" s="527"/>
      <c r="AV11" s="527"/>
      <c r="AW11" s="549"/>
      <c r="AX11" s="644"/>
      <c r="AZ11" s="368" t="e">
        <f t="shared" si="3"/>
        <v>#N/A</v>
      </c>
      <c r="BA11" s="644"/>
    </row>
    <row r="12" spans="1:53" ht="14.25">
      <c r="A12" s="81"/>
      <c r="B12" s="649"/>
      <c r="C12" s="526">
        <v>6</v>
      </c>
      <c r="D12" s="225"/>
      <c r="E12" s="565"/>
      <c r="F12" s="563"/>
      <c r="G12" s="564"/>
      <c r="H12" s="703"/>
      <c r="I12" s="529" t="str">
        <f t="shared" si="0"/>
        <v>-</v>
      </c>
      <c r="J12" s="529" t="str">
        <f t="shared" si="1"/>
        <v>-</v>
      </c>
      <c r="K12" s="199" t="str">
        <f t="shared" si="2"/>
        <v>-</v>
      </c>
      <c r="L12" s="659"/>
      <c r="M12" s="552" t="e">
        <f>RANK(K12, K$7:$K$21)</f>
        <v>#VALUE!</v>
      </c>
      <c r="N12" s="643"/>
      <c r="O12" s="643"/>
      <c r="P12" s="526"/>
      <c r="Q12" s="527"/>
      <c r="R12" s="527"/>
      <c r="S12" s="549"/>
      <c r="T12" s="644"/>
      <c r="U12" s="526"/>
      <c r="V12" s="527"/>
      <c r="W12" s="527"/>
      <c r="X12" s="549"/>
      <c r="Y12" s="644"/>
      <c r="Z12" s="526"/>
      <c r="AA12" s="527"/>
      <c r="AB12" s="527"/>
      <c r="AC12" s="549"/>
      <c r="AD12" s="644"/>
      <c r="AE12" s="526"/>
      <c r="AF12" s="527"/>
      <c r="AG12" s="527"/>
      <c r="AH12" s="549"/>
      <c r="AI12" s="644"/>
      <c r="AJ12" s="526"/>
      <c r="AK12" s="527"/>
      <c r="AL12" s="527"/>
      <c r="AM12" s="549"/>
      <c r="AN12" s="644"/>
      <c r="AO12" s="526"/>
      <c r="AP12" s="527"/>
      <c r="AQ12" s="527"/>
      <c r="AR12" s="549"/>
      <c r="AS12" s="644"/>
      <c r="AT12" s="526"/>
      <c r="AU12" s="527"/>
      <c r="AV12" s="527"/>
      <c r="AW12" s="549"/>
      <c r="AX12" s="644"/>
      <c r="AZ12" s="368" t="e">
        <f t="shared" si="3"/>
        <v>#N/A</v>
      </c>
      <c r="BA12" s="644"/>
    </row>
    <row r="13" spans="1:53" ht="14.25">
      <c r="A13" s="81"/>
      <c r="B13" s="649"/>
      <c r="C13" s="526">
        <v>7</v>
      </c>
      <c r="D13" s="225"/>
      <c r="E13" s="565"/>
      <c r="F13" s="563"/>
      <c r="G13" s="564"/>
      <c r="H13" s="703"/>
      <c r="I13" s="529" t="str">
        <f t="shared" si="0"/>
        <v>-</v>
      </c>
      <c r="J13" s="529" t="str">
        <f t="shared" si="1"/>
        <v>-</v>
      </c>
      <c r="K13" s="199" t="str">
        <f t="shared" si="2"/>
        <v>-</v>
      </c>
      <c r="L13" s="659"/>
      <c r="M13" s="552" t="e">
        <f>RANK(K13, K$7:$K$21)</f>
        <v>#VALUE!</v>
      </c>
      <c r="N13" s="643"/>
      <c r="O13" s="643"/>
      <c r="P13" s="526"/>
      <c r="Q13" s="527"/>
      <c r="R13" s="527"/>
      <c r="S13" s="549"/>
      <c r="T13" s="644"/>
      <c r="U13" s="526"/>
      <c r="V13" s="527"/>
      <c r="W13" s="527"/>
      <c r="X13" s="549"/>
      <c r="Y13" s="644"/>
      <c r="Z13" s="526"/>
      <c r="AA13" s="527"/>
      <c r="AB13" s="527"/>
      <c r="AC13" s="549"/>
      <c r="AD13" s="644"/>
      <c r="AE13" s="526"/>
      <c r="AF13" s="527"/>
      <c r="AG13" s="527"/>
      <c r="AH13" s="549"/>
      <c r="AI13" s="644"/>
      <c r="AJ13" s="526"/>
      <c r="AK13" s="527"/>
      <c r="AL13" s="527"/>
      <c r="AM13" s="549"/>
      <c r="AN13" s="644"/>
      <c r="AO13" s="526"/>
      <c r="AP13" s="527"/>
      <c r="AQ13" s="527"/>
      <c r="AR13" s="549"/>
      <c r="AS13" s="644"/>
      <c r="AT13" s="526"/>
      <c r="AU13" s="527"/>
      <c r="AV13" s="527"/>
      <c r="AW13" s="549"/>
      <c r="AX13" s="644"/>
      <c r="AZ13" s="368" t="e">
        <f t="shared" si="3"/>
        <v>#N/A</v>
      </c>
      <c r="BA13" s="644"/>
    </row>
    <row r="14" spans="1:53" ht="14.25">
      <c r="A14" s="81"/>
      <c r="B14" s="649"/>
      <c r="C14" s="526">
        <v>8</v>
      </c>
      <c r="D14" s="225"/>
      <c r="E14" s="565"/>
      <c r="F14" s="563"/>
      <c r="G14" s="564"/>
      <c r="H14" s="703"/>
      <c r="I14" s="529" t="str">
        <f t="shared" si="0"/>
        <v>-</v>
      </c>
      <c r="J14" s="529" t="str">
        <f t="shared" si="1"/>
        <v>-</v>
      </c>
      <c r="K14" s="199" t="str">
        <f t="shared" si="2"/>
        <v>-</v>
      </c>
      <c r="L14" s="659"/>
      <c r="M14" s="552" t="e">
        <f>RANK(K14, K$7:$K$21)</f>
        <v>#VALUE!</v>
      </c>
      <c r="N14" s="643"/>
      <c r="O14" s="643"/>
      <c r="P14" s="526"/>
      <c r="Q14" s="527"/>
      <c r="R14" s="527"/>
      <c r="S14" s="549"/>
      <c r="T14" s="644"/>
      <c r="U14" s="526"/>
      <c r="V14" s="527"/>
      <c r="W14" s="527"/>
      <c r="X14" s="549"/>
      <c r="Y14" s="644"/>
      <c r="Z14" s="526"/>
      <c r="AA14" s="527"/>
      <c r="AB14" s="527"/>
      <c r="AC14" s="549"/>
      <c r="AD14" s="644"/>
      <c r="AE14" s="526"/>
      <c r="AF14" s="527"/>
      <c r="AG14" s="527"/>
      <c r="AH14" s="549"/>
      <c r="AI14" s="644"/>
      <c r="AJ14" s="526"/>
      <c r="AK14" s="527"/>
      <c r="AL14" s="527"/>
      <c r="AM14" s="549"/>
      <c r="AN14" s="644"/>
      <c r="AO14" s="526"/>
      <c r="AP14" s="527"/>
      <c r="AQ14" s="527"/>
      <c r="AR14" s="549"/>
      <c r="AS14" s="644"/>
      <c r="AT14" s="526"/>
      <c r="AU14" s="527"/>
      <c r="AV14" s="527"/>
      <c r="AW14" s="549"/>
      <c r="AX14" s="644"/>
      <c r="AZ14" s="368" t="e">
        <f t="shared" si="3"/>
        <v>#N/A</v>
      </c>
      <c r="BA14" s="644"/>
    </row>
    <row r="15" spans="1:53" ht="14.25">
      <c r="A15" s="81"/>
      <c r="B15" s="649"/>
      <c r="C15" s="526">
        <v>9</v>
      </c>
      <c r="D15" s="225"/>
      <c r="E15" s="565"/>
      <c r="F15" s="563"/>
      <c r="G15" s="564"/>
      <c r="H15" s="703"/>
      <c r="I15" s="529" t="str">
        <f t="shared" si="0"/>
        <v>-</v>
      </c>
      <c r="J15" s="529" t="str">
        <f t="shared" si="1"/>
        <v>-</v>
      </c>
      <c r="K15" s="199" t="str">
        <f t="shared" si="2"/>
        <v>-</v>
      </c>
      <c r="L15" s="659"/>
      <c r="M15" s="552" t="e">
        <f>RANK(K15, K$7:$K$21)</f>
        <v>#VALUE!</v>
      </c>
      <c r="N15" s="643"/>
      <c r="O15" s="643"/>
      <c r="P15" s="526"/>
      <c r="Q15" s="527"/>
      <c r="R15" s="527"/>
      <c r="S15" s="549"/>
      <c r="T15" s="644"/>
      <c r="U15" s="526"/>
      <c r="V15" s="527"/>
      <c r="W15" s="527"/>
      <c r="X15" s="549"/>
      <c r="Y15" s="644"/>
      <c r="Z15" s="526"/>
      <c r="AA15" s="527"/>
      <c r="AB15" s="527"/>
      <c r="AC15" s="549"/>
      <c r="AD15" s="644"/>
      <c r="AE15" s="526"/>
      <c r="AF15" s="527"/>
      <c r="AG15" s="527"/>
      <c r="AH15" s="549"/>
      <c r="AI15" s="644"/>
      <c r="AJ15" s="526"/>
      <c r="AK15" s="527"/>
      <c r="AL15" s="527"/>
      <c r="AM15" s="549"/>
      <c r="AN15" s="644"/>
      <c r="AO15" s="526"/>
      <c r="AP15" s="527"/>
      <c r="AQ15" s="527"/>
      <c r="AR15" s="549"/>
      <c r="AS15" s="644"/>
      <c r="AT15" s="526"/>
      <c r="AU15" s="527"/>
      <c r="AV15" s="527"/>
      <c r="AW15" s="549"/>
      <c r="AX15" s="644"/>
      <c r="AZ15" s="368" t="e">
        <f t="shared" si="3"/>
        <v>#N/A</v>
      </c>
      <c r="BA15" s="644"/>
    </row>
    <row r="16" spans="1:53" ht="14.25">
      <c r="A16" s="81"/>
      <c r="B16" s="649"/>
      <c r="C16" s="526">
        <v>10</v>
      </c>
      <c r="D16" s="225"/>
      <c r="E16" s="565"/>
      <c r="F16" s="563"/>
      <c r="G16" s="564"/>
      <c r="H16" s="703"/>
      <c r="I16" s="529" t="str">
        <f t="shared" si="0"/>
        <v>-</v>
      </c>
      <c r="J16" s="529" t="str">
        <f t="shared" si="1"/>
        <v>-</v>
      </c>
      <c r="K16" s="199" t="str">
        <f t="shared" si="2"/>
        <v>-</v>
      </c>
      <c r="L16" s="659"/>
      <c r="M16" s="552" t="e">
        <f>RANK(K16, K$7:$K$21)</f>
        <v>#VALUE!</v>
      </c>
      <c r="N16" s="643"/>
      <c r="O16" s="643"/>
      <c r="P16" s="526"/>
      <c r="Q16" s="527"/>
      <c r="R16" s="527"/>
      <c r="S16" s="549"/>
      <c r="T16" s="644"/>
      <c r="U16" s="526"/>
      <c r="V16" s="527"/>
      <c r="W16" s="527"/>
      <c r="X16" s="549"/>
      <c r="Y16" s="644"/>
      <c r="Z16" s="526"/>
      <c r="AA16" s="527"/>
      <c r="AB16" s="527"/>
      <c r="AC16" s="549"/>
      <c r="AD16" s="644"/>
      <c r="AE16" s="526"/>
      <c r="AF16" s="527"/>
      <c r="AG16" s="527"/>
      <c r="AH16" s="549"/>
      <c r="AI16" s="644"/>
      <c r="AJ16" s="526"/>
      <c r="AK16" s="527"/>
      <c r="AL16" s="527"/>
      <c r="AM16" s="549"/>
      <c r="AN16" s="644"/>
      <c r="AO16" s="526"/>
      <c r="AP16" s="527"/>
      <c r="AQ16" s="527"/>
      <c r="AR16" s="549"/>
      <c r="AS16" s="644"/>
      <c r="AT16" s="526"/>
      <c r="AU16" s="527"/>
      <c r="AV16" s="527"/>
      <c r="AW16" s="549"/>
      <c r="AX16" s="644"/>
      <c r="AZ16" s="368" t="e">
        <f t="shared" si="3"/>
        <v>#N/A</v>
      </c>
      <c r="BA16" s="644"/>
    </row>
    <row r="17" spans="2:53">
      <c r="B17" s="649"/>
      <c r="C17" s="526">
        <v>11</v>
      </c>
      <c r="D17" s="225"/>
      <c r="E17" s="565"/>
      <c r="F17" s="563"/>
      <c r="G17" s="564"/>
      <c r="H17" s="703"/>
      <c r="I17" s="529" t="str">
        <f t="shared" si="0"/>
        <v>-</v>
      </c>
      <c r="J17" s="529" t="str">
        <f t="shared" si="1"/>
        <v>-</v>
      </c>
      <c r="K17" s="199" t="str">
        <f t="shared" si="2"/>
        <v>-</v>
      </c>
      <c r="L17" s="659"/>
      <c r="M17" s="552" t="e">
        <f>RANK(K17, K$7:$K$21)</f>
        <v>#VALUE!</v>
      </c>
      <c r="N17" s="643"/>
      <c r="O17" s="643"/>
      <c r="P17" s="526"/>
      <c r="Q17" s="527"/>
      <c r="R17" s="527"/>
      <c r="S17" s="549"/>
      <c r="T17" s="644"/>
      <c r="U17" s="526"/>
      <c r="V17" s="527"/>
      <c r="W17" s="527"/>
      <c r="X17" s="549"/>
      <c r="Y17" s="644"/>
      <c r="Z17" s="526"/>
      <c r="AA17" s="527"/>
      <c r="AB17" s="527"/>
      <c r="AC17" s="549"/>
      <c r="AD17" s="644"/>
      <c r="AE17" s="526"/>
      <c r="AF17" s="527"/>
      <c r="AG17" s="527"/>
      <c r="AH17" s="549"/>
      <c r="AI17" s="644"/>
      <c r="AJ17" s="526"/>
      <c r="AK17" s="527"/>
      <c r="AL17" s="527"/>
      <c r="AM17" s="549"/>
      <c r="AN17" s="644"/>
      <c r="AO17" s="526"/>
      <c r="AP17" s="527"/>
      <c r="AQ17" s="527"/>
      <c r="AR17" s="549"/>
      <c r="AS17" s="644"/>
      <c r="AT17" s="526"/>
      <c r="AU17" s="527"/>
      <c r="AV17" s="527"/>
      <c r="AW17" s="549"/>
      <c r="AX17" s="644"/>
      <c r="AZ17" s="368" t="e">
        <f t="shared" si="3"/>
        <v>#N/A</v>
      </c>
      <c r="BA17" s="644"/>
    </row>
    <row r="18" spans="2:53">
      <c r="B18" s="649"/>
      <c r="C18" s="526">
        <v>12</v>
      </c>
      <c r="D18" s="225"/>
      <c r="E18" s="565"/>
      <c r="F18" s="563"/>
      <c r="G18" s="564"/>
      <c r="H18" s="703"/>
      <c r="I18" s="529" t="str">
        <f t="shared" si="0"/>
        <v>-</v>
      </c>
      <c r="J18" s="529" t="str">
        <f t="shared" si="1"/>
        <v>-</v>
      </c>
      <c r="K18" s="199" t="str">
        <f t="shared" si="2"/>
        <v>-</v>
      </c>
      <c r="L18" s="659"/>
      <c r="M18" s="552" t="e">
        <f>RANK(K18, K$7:$K$21)</f>
        <v>#VALUE!</v>
      </c>
      <c r="N18" s="643"/>
      <c r="O18" s="643"/>
      <c r="P18" s="526"/>
      <c r="Q18" s="527"/>
      <c r="R18" s="527"/>
      <c r="S18" s="549"/>
      <c r="T18" s="644"/>
      <c r="U18" s="526"/>
      <c r="V18" s="527"/>
      <c r="W18" s="527"/>
      <c r="X18" s="549"/>
      <c r="Y18" s="644"/>
      <c r="Z18" s="526"/>
      <c r="AA18" s="527"/>
      <c r="AB18" s="527"/>
      <c r="AC18" s="549"/>
      <c r="AD18" s="644"/>
      <c r="AE18" s="526"/>
      <c r="AF18" s="527"/>
      <c r="AG18" s="527"/>
      <c r="AH18" s="549"/>
      <c r="AI18" s="644"/>
      <c r="AJ18" s="526"/>
      <c r="AK18" s="527"/>
      <c r="AL18" s="527"/>
      <c r="AM18" s="549"/>
      <c r="AN18" s="644"/>
      <c r="AO18" s="526"/>
      <c r="AP18" s="527"/>
      <c r="AQ18" s="527"/>
      <c r="AR18" s="549"/>
      <c r="AS18" s="644"/>
      <c r="AT18" s="526"/>
      <c r="AU18" s="527"/>
      <c r="AV18" s="527"/>
      <c r="AW18" s="549"/>
      <c r="AX18" s="644"/>
      <c r="AZ18" s="368" t="e">
        <f t="shared" si="3"/>
        <v>#N/A</v>
      </c>
      <c r="BA18" s="644"/>
    </row>
    <row r="19" spans="2:53">
      <c r="B19" s="649"/>
      <c r="C19" s="526">
        <v>13</v>
      </c>
      <c r="D19" s="225"/>
      <c r="E19" s="565"/>
      <c r="F19" s="563"/>
      <c r="G19" s="564"/>
      <c r="H19" s="703"/>
      <c r="I19" s="529" t="str">
        <f t="shared" si="0"/>
        <v>-</v>
      </c>
      <c r="J19" s="529" t="str">
        <f t="shared" si="1"/>
        <v>-</v>
      </c>
      <c r="K19" s="199" t="str">
        <f t="shared" si="2"/>
        <v>-</v>
      </c>
      <c r="L19" s="659"/>
      <c r="M19" s="552" t="e">
        <f>RANK(K19, K$7:$K$21)</f>
        <v>#VALUE!</v>
      </c>
      <c r="N19" s="643"/>
      <c r="O19" s="643"/>
      <c r="P19" s="526"/>
      <c r="Q19" s="527"/>
      <c r="R19" s="527"/>
      <c r="S19" s="549"/>
      <c r="T19" s="644"/>
      <c r="U19" s="526"/>
      <c r="V19" s="527"/>
      <c r="W19" s="527"/>
      <c r="X19" s="549"/>
      <c r="Y19" s="644"/>
      <c r="Z19" s="526"/>
      <c r="AA19" s="527"/>
      <c r="AB19" s="527"/>
      <c r="AC19" s="549"/>
      <c r="AD19" s="644"/>
      <c r="AE19" s="526"/>
      <c r="AF19" s="527"/>
      <c r="AG19" s="527"/>
      <c r="AH19" s="549"/>
      <c r="AI19" s="644"/>
      <c r="AJ19" s="526"/>
      <c r="AK19" s="527"/>
      <c r="AL19" s="527"/>
      <c r="AM19" s="549"/>
      <c r="AN19" s="644"/>
      <c r="AO19" s="526"/>
      <c r="AP19" s="527"/>
      <c r="AQ19" s="527"/>
      <c r="AR19" s="549"/>
      <c r="AS19" s="644"/>
      <c r="AT19" s="526"/>
      <c r="AU19" s="527"/>
      <c r="AV19" s="527"/>
      <c r="AW19" s="549"/>
      <c r="AX19" s="644"/>
      <c r="AZ19" s="368" t="e">
        <f t="shared" si="3"/>
        <v>#N/A</v>
      </c>
      <c r="BA19" s="644"/>
    </row>
    <row r="20" spans="2:53">
      <c r="B20" s="649"/>
      <c r="C20" s="526">
        <v>14</v>
      </c>
      <c r="D20" s="225"/>
      <c r="E20" s="565"/>
      <c r="F20" s="563"/>
      <c r="G20" s="564"/>
      <c r="H20" s="703"/>
      <c r="I20" s="529" t="str">
        <f t="shared" si="0"/>
        <v>-</v>
      </c>
      <c r="J20" s="529" t="str">
        <f t="shared" si="1"/>
        <v>-</v>
      </c>
      <c r="K20" s="199" t="str">
        <f t="shared" si="2"/>
        <v>-</v>
      </c>
      <c r="L20" s="659"/>
      <c r="M20" s="552" t="e">
        <f>RANK(K20, K$7:$K$21)</f>
        <v>#VALUE!</v>
      </c>
      <c r="N20" s="643"/>
      <c r="O20" s="643"/>
      <c r="P20" s="526"/>
      <c r="Q20" s="527"/>
      <c r="R20" s="527"/>
      <c r="S20" s="549"/>
      <c r="T20" s="644"/>
      <c r="U20" s="526"/>
      <c r="V20" s="527"/>
      <c r="W20" s="527"/>
      <c r="X20" s="549"/>
      <c r="Y20" s="644"/>
      <c r="Z20" s="526"/>
      <c r="AA20" s="527"/>
      <c r="AB20" s="527"/>
      <c r="AC20" s="549"/>
      <c r="AD20" s="644"/>
      <c r="AE20" s="526"/>
      <c r="AF20" s="527"/>
      <c r="AG20" s="527"/>
      <c r="AH20" s="549"/>
      <c r="AI20" s="644"/>
      <c r="AJ20" s="526"/>
      <c r="AK20" s="527"/>
      <c r="AL20" s="527"/>
      <c r="AM20" s="549"/>
      <c r="AN20" s="644"/>
      <c r="AO20" s="526"/>
      <c r="AP20" s="527"/>
      <c r="AQ20" s="527"/>
      <c r="AR20" s="549"/>
      <c r="AS20" s="644"/>
      <c r="AT20" s="526"/>
      <c r="AU20" s="527"/>
      <c r="AV20" s="527"/>
      <c r="AW20" s="549"/>
      <c r="AX20" s="644"/>
      <c r="AZ20" s="368" t="e">
        <f t="shared" si="3"/>
        <v>#N/A</v>
      </c>
      <c r="BA20" s="644"/>
    </row>
    <row r="21" spans="2:53">
      <c r="B21" s="649"/>
      <c r="C21" s="526">
        <v>15</v>
      </c>
      <c r="D21" s="225"/>
      <c r="E21" s="565"/>
      <c r="F21" s="563"/>
      <c r="G21" s="564"/>
      <c r="H21" s="704"/>
      <c r="I21" s="201"/>
      <c r="J21" s="201"/>
      <c r="K21" s="201"/>
      <c r="L21" s="660"/>
      <c r="M21" s="552" t="e">
        <f>RANK(K21, K$7:$K$21)</f>
        <v>#N/A</v>
      </c>
      <c r="N21" s="643"/>
      <c r="O21" s="643"/>
      <c r="P21" s="526"/>
      <c r="Q21" s="527"/>
      <c r="R21" s="527"/>
      <c r="S21" s="549"/>
      <c r="T21" s="644"/>
      <c r="U21" s="526"/>
      <c r="V21" s="527"/>
      <c r="W21" s="527"/>
      <c r="X21" s="549"/>
      <c r="Y21" s="644"/>
      <c r="Z21" s="526"/>
      <c r="AA21" s="527"/>
      <c r="AB21" s="527"/>
      <c r="AC21" s="549"/>
      <c r="AD21" s="644"/>
      <c r="AE21" s="526"/>
      <c r="AF21" s="527"/>
      <c r="AG21" s="527"/>
      <c r="AH21" s="549"/>
      <c r="AI21" s="644"/>
      <c r="AJ21" s="526"/>
      <c r="AK21" s="527"/>
      <c r="AL21" s="527"/>
      <c r="AM21" s="549"/>
      <c r="AN21" s="644"/>
      <c r="AO21" s="526"/>
      <c r="AP21" s="527"/>
      <c r="AQ21" s="527"/>
      <c r="AR21" s="549"/>
      <c r="AS21" s="644"/>
      <c r="AT21" s="526"/>
      <c r="AU21" s="527"/>
      <c r="AV21" s="527"/>
      <c r="AW21" s="549"/>
      <c r="AX21" s="644"/>
      <c r="AZ21" s="368" t="e">
        <f t="shared" si="3"/>
        <v>#N/A</v>
      </c>
      <c r="BA21" s="644"/>
    </row>
    <row r="22" spans="2:53" ht="15.75">
      <c r="B22" s="682" t="s">
        <v>162</v>
      </c>
      <c r="C22" s="683"/>
      <c r="D22" s="683"/>
      <c r="E22" s="683"/>
      <c r="F22" s="683"/>
      <c r="G22" s="683"/>
      <c r="H22" s="683"/>
      <c r="I22" s="202"/>
      <c r="J22" s="202"/>
      <c r="K22" s="202"/>
      <c r="L22" s="202"/>
      <c r="M22" s="203"/>
      <c r="N22" s="645" t="s">
        <v>156</v>
      </c>
      <c r="O22" s="645" t="s">
        <v>105</v>
      </c>
      <c r="P22" s="670">
        <f>P2+7</f>
        <v>46273</v>
      </c>
      <c r="Q22" s="649"/>
      <c r="R22" s="649"/>
      <c r="S22" s="649"/>
      <c r="T22" s="649"/>
      <c r="U22" s="667">
        <f>P22+1</f>
        <v>46274</v>
      </c>
      <c r="V22" s="668"/>
      <c r="W22" s="668"/>
      <c r="X22" s="668"/>
      <c r="Y22" s="669"/>
      <c r="Z22" s="667">
        <f>U22+1</f>
        <v>46275</v>
      </c>
      <c r="AA22" s="668"/>
      <c r="AB22" s="668"/>
      <c r="AC22" s="668"/>
      <c r="AD22" s="669"/>
      <c r="AE22" s="667">
        <f>Z22+1</f>
        <v>46276</v>
      </c>
      <c r="AF22" s="668"/>
      <c r="AG22" s="668"/>
      <c r="AH22" s="668"/>
      <c r="AI22" s="669"/>
      <c r="AJ22" s="667">
        <f>AE22+1</f>
        <v>46277</v>
      </c>
      <c r="AK22" s="668"/>
      <c r="AL22" s="668"/>
      <c r="AM22" s="668"/>
      <c r="AN22" s="669"/>
      <c r="AO22" s="667">
        <f>AJ22+1</f>
        <v>46278</v>
      </c>
      <c r="AP22" s="668"/>
      <c r="AQ22" s="668"/>
      <c r="AR22" s="668"/>
      <c r="AS22" s="669"/>
      <c r="AT22" s="667">
        <f>AO22+1</f>
        <v>46279</v>
      </c>
      <c r="AU22" s="668"/>
      <c r="AV22" s="668"/>
      <c r="AW22" s="668"/>
      <c r="AX22" s="669"/>
    </row>
    <row r="23" spans="2:53" ht="15.75">
      <c r="B23" s="674"/>
      <c r="C23" s="674"/>
      <c r="D23" s="674"/>
      <c r="E23" s="674"/>
      <c r="F23" s="674"/>
      <c r="G23" s="674"/>
      <c r="H23" s="674"/>
      <c r="I23" s="204"/>
      <c r="J23" s="204"/>
      <c r="K23" s="204"/>
      <c r="L23" s="204"/>
      <c r="M23" s="205"/>
      <c r="N23" s="647"/>
      <c r="O23" s="647"/>
      <c r="P23" s="670" t="s">
        <v>317</v>
      </c>
      <c r="Q23" s="649"/>
      <c r="R23" s="649"/>
      <c r="S23" s="649"/>
      <c r="T23" s="649"/>
      <c r="U23" s="670" t="s">
        <v>318</v>
      </c>
      <c r="V23" s="649"/>
      <c r="W23" s="649"/>
      <c r="X23" s="649"/>
      <c r="Y23" s="649"/>
      <c r="Z23" s="670" t="s">
        <v>319</v>
      </c>
      <c r="AA23" s="649"/>
      <c r="AB23" s="649"/>
      <c r="AC23" s="649"/>
      <c r="AD23" s="649"/>
      <c r="AE23" s="670" t="s">
        <v>320</v>
      </c>
      <c r="AF23" s="649"/>
      <c r="AG23" s="649"/>
      <c r="AH23" s="649"/>
      <c r="AI23" s="649"/>
      <c r="AJ23" s="670" t="s">
        <v>321</v>
      </c>
      <c r="AK23" s="649"/>
      <c r="AL23" s="649"/>
      <c r="AM23" s="649"/>
      <c r="AN23" s="649"/>
      <c r="AO23" s="670" t="s">
        <v>322</v>
      </c>
      <c r="AP23" s="649"/>
      <c r="AQ23" s="649"/>
      <c r="AR23" s="649"/>
      <c r="AS23" s="649"/>
      <c r="AT23" s="670" t="s">
        <v>323</v>
      </c>
      <c r="AU23" s="649"/>
      <c r="AV23" s="649"/>
      <c r="AW23" s="649"/>
      <c r="AX23" s="649"/>
    </row>
    <row r="24" spans="2:53">
      <c r="B24" s="643" t="s">
        <v>154</v>
      </c>
      <c r="C24" s="643" t="s">
        <v>372</v>
      </c>
      <c r="D24" s="643"/>
      <c r="E24" s="643" t="s">
        <v>363</v>
      </c>
      <c r="F24" s="643"/>
      <c r="G24" s="643"/>
      <c r="H24" s="675" t="s">
        <v>359</v>
      </c>
      <c r="I24" s="690" t="s">
        <v>364</v>
      </c>
      <c r="J24" s="690"/>
      <c r="K24" s="690"/>
      <c r="L24" s="691" t="s">
        <v>359</v>
      </c>
      <c r="M24" s="679" t="s">
        <v>360</v>
      </c>
      <c r="N24" s="643"/>
      <c r="O24" s="643" t="s">
        <v>365</v>
      </c>
      <c r="P24" s="661" t="s">
        <v>361</v>
      </c>
      <c r="Q24" s="662"/>
      <c r="R24" s="662"/>
      <c r="S24" s="663"/>
      <c r="T24" s="643" t="s">
        <v>359</v>
      </c>
      <c r="U24" s="661" t="s">
        <v>361</v>
      </c>
      <c r="V24" s="662"/>
      <c r="W24" s="662"/>
      <c r="X24" s="663"/>
      <c r="Y24" s="643" t="s">
        <v>359</v>
      </c>
      <c r="Z24" s="661" t="s">
        <v>361</v>
      </c>
      <c r="AA24" s="662"/>
      <c r="AB24" s="662"/>
      <c r="AC24" s="663"/>
      <c r="AD24" s="643" t="s">
        <v>359</v>
      </c>
      <c r="AE24" s="661" t="s">
        <v>361</v>
      </c>
      <c r="AF24" s="662"/>
      <c r="AG24" s="662"/>
      <c r="AH24" s="663"/>
      <c r="AI24" s="643" t="s">
        <v>359</v>
      </c>
      <c r="AJ24" s="661" t="s">
        <v>361</v>
      </c>
      <c r="AK24" s="662"/>
      <c r="AL24" s="662"/>
      <c r="AM24" s="663"/>
      <c r="AN24" s="643" t="s">
        <v>359</v>
      </c>
      <c r="AO24" s="661" t="s">
        <v>361</v>
      </c>
      <c r="AP24" s="662"/>
      <c r="AQ24" s="662"/>
      <c r="AR24" s="663"/>
      <c r="AS24" s="643" t="s">
        <v>359</v>
      </c>
      <c r="AT24" s="661" t="s">
        <v>361</v>
      </c>
      <c r="AU24" s="662"/>
      <c r="AV24" s="662"/>
      <c r="AW24" s="663"/>
      <c r="AX24" s="643" t="s">
        <v>359</v>
      </c>
      <c r="BA24" s="643" t="s">
        <v>359</v>
      </c>
    </row>
    <row r="25" spans="2:53">
      <c r="B25" s="643"/>
      <c r="C25" s="643"/>
      <c r="D25" s="643"/>
      <c r="E25" s="643" t="s">
        <v>366</v>
      </c>
      <c r="F25" s="643"/>
      <c r="G25" s="643"/>
      <c r="H25" s="676"/>
      <c r="I25" s="690" t="s">
        <v>366</v>
      </c>
      <c r="J25" s="690"/>
      <c r="K25" s="690"/>
      <c r="L25" s="692"/>
      <c r="M25" s="680"/>
      <c r="N25" s="643"/>
      <c r="O25" s="643"/>
      <c r="P25" s="661" t="s">
        <v>367</v>
      </c>
      <c r="Q25" s="662"/>
      <c r="R25" s="662"/>
      <c r="S25" s="663"/>
      <c r="T25" s="643"/>
      <c r="U25" s="661" t="s">
        <v>367</v>
      </c>
      <c r="V25" s="662"/>
      <c r="W25" s="662"/>
      <c r="X25" s="663"/>
      <c r="Y25" s="643"/>
      <c r="Z25" s="661" t="s">
        <v>367</v>
      </c>
      <c r="AA25" s="662"/>
      <c r="AB25" s="662"/>
      <c r="AC25" s="663"/>
      <c r="AD25" s="643"/>
      <c r="AE25" s="661" t="s">
        <v>367</v>
      </c>
      <c r="AF25" s="662"/>
      <c r="AG25" s="662"/>
      <c r="AH25" s="663"/>
      <c r="AI25" s="643"/>
      <c r="AJ25" s="661" t="s">
        <v>367</v>
      </c>
      <c r="AK25" s="662"/>
      <c r="AL25" s="662"/>
      <c r="AM25" s="663"/>
      <c r="AN25" s="643"/>
      <c r="AO25" s="661" t="s">
        <v>367</v>
      </c>
      <c r="AP25" s="662"/>
      <c r="AQ25" s="662"/>
      <c r="AR25" s="663"/>
      <c r="AS25" s="643"/>
      <c r="AT25" s="661" t="s">
        <v>367</v>
      </c>
      <c r="AU25" s="662"/>
      <c r="AV25" s="662"/>
      <c r="AW25" s="663"/>
      <c r="AX25" s="643"/>
      <c r="BA25" s="643"/>
    </row>
    <row r="26" spans="2:53">
      <c r="B26" s="643"/>
      <c r="C26" s="643"/>
      <c r="D26" s="643"/>
      <c r="E26" s="378" t="s">
        <v>368</v>
      </c>
      <c r="F26" s="378" t="s">
        <v>369</v>
      </c>
      <c r="G26" s="378" t="s">
        <v>370</v>
      </c>
      <c r="H26" s="677"/>
      <c r="I26" s="377" t="s">
        <v>368</v>
      </c>
      <c r="J26" s="377" t="s">
        <v>369</v>
      </c>
      <c r="K26" s="377" t="s">
        <v>370</v>
      </c>
      <c r="L26" s="693"/>
      <c r="M26" s="681"/>
      <c r="N26" s="643"/>
      <c r="O26" s="643"/>
      <c r="P26" s="378" t="s">
        <v>368</v>
      </c>
      <c r="Q26" s="378" t="s">
        <v>369</v>
      </c>
      <c r="R26" s="378" t="s">
        <v>370</v>
      </c>
      <c r="S26" s="378" t="s">
        <v>360</v>
      </c>
      <c r="T26" s="643"/>
      <c r="U26" s="378" t="s">
        <v>368</v>
      </c>
      <c r="V26" s="378" t="s">
        <v>369</v>
      </c>
      <c r="W26" s="378" t="s">
        <v>370</v>
      </c>
      <c r="X26" s="378" t="s">
        <v>360</v>
      </c>
      <c r="Y26" s="643"/>
      <c r="Z26" s="378" t="s">
        <v>368</v>
      </c>
      <c r="AA26" s="378" t="s">
        <v>369</v>
      </c>
      <c r="AB26" s="378" t="s">
        <v>370</v>
      </c>
      <c r="AC26" s="378" t="s">
        <v>360</v>
      </c>
      <c r="AD26" s="643"/>
      <c r="AE26" s="378" t="s">
        <v>368</v>
      </c>
      <c r="AF26" s="378" t="s">
        <v>369</v>
      </c>
      <c r="AG26" s="378" t="s">
        <v>370</v>
      </c>
      <c r="AH26" s="378" t="s">
        <v>360</v>
      </c>
      <c r="AI26" s="643"/>
      <c r="AJ26" s="378" t="s">
        <v>368</v>
      </c>
      <c r="AK26" s="378" t="s">
        <v>369</v>
      </c>
      <c r="AL26" s="378" t="s">
        <v>370</v>
      </c>
      <c r="AM26" s="378" t="s">
        <v>360</v>
      </c>
      <c r="AN26" s="643"/>
      <c r="AO26" s="378" t="s">
        <v>368</v>
      </c>
      <c r="AP26" s="378" t="s">
        <v>369</v>
      </c>
      <c r="AQ26" s="378" t="s">
        <v>370</v>
      </c>
      <c r="AR26" s="378" t="s">
        <v>360</v>
      </c>
      <c r="AS26" s="643"/>
      <c r="AT26" s="378" t="s">
        <v>368</v>
      </c>
      <c r="AU26" s="378" t="s">
        <v>369</v>
      </c>
      <c r="AV26" s="378" t="s">
        <v>370</v>
      </c>
      <c r="AW26" s="378" t="s">
        <v>360</v>
      </c>
      <c r="AX26" s="643"/>
      <c r="AZ26" s="367" t="s">
        <v>360</v>
      </c>
      <c r="BA26" s="643"/>
    </row>
    <row r="27" spans="2:53">
      <c r="B27" s="643" t="s">
        <v>373</v>
      </c>
      <c r="C27" s="379">
        <v>1</v>
      </c>
      <c r="D27" s="225"/>
      <c r="E27" s="565"/>
      <c r="F27" s="563"/>
      <c r="G27" s="564"/>
      <c r="H27" s="702" t="e">
        <f>AVERAGE(G27:G41)</f>
        <v>#DIV/0!</v>
      </c>
      <c r="I27" s="381" t="str">
        <f t="shared" ref="I27:I40" si="5">IFERROR(AVERAGE(P27,U27,Z27,AE27,AJ27,AO27,AT27),"-")</f>
        <v>-</v>
      </c>
      <c r="J27" s="381" t="str">
        <f t="shared" ref="J27:J40" si="6">IFERROR(AVERAGE(Q27,V27,AA27,AF27,AK27,AP27,AU27),"-")</f>
        <v>-</v>
      </c>
      <c r="K27" s="199" t="str">
        <f t="shared" ref="K27:K40" si="7">IFERROR(AVERAGE(R27,W27,AB27,AG27,AL27,AQ27,AV27),"-")</f>
        <v>-</v>
      </c>
      <c r="L27" s="658" t="str">
        <f>IFERROR(AVERAGE(K27:K41),"-")</f>
        <v>-</v>
      </c>
      <c r="M27" s="383" t="e">
        <f>RANK(K27, K$24:$K$41)</f>
        <v>#VALUE!</v>
      </c>
      <c r="N27" s="643"/>
      <c r="O27" s="643"/>
      <c r="P27" s="547"/>
      <c r="Q27" s="548"/>
      <c r="R27" s="548"/>
      <c r="S27" s="547"/>
      <c r="T27" s="638"/>
      <c r="U27" s="547"/>
      <c r="V27" s="548"/>
      <c r="W27" s="548"/>
      <c r="X27" s="547"/>
      <c r="Y27" s="638"/>
      <c r="Z27" s="547"/>
      <c r="AA27" s="548"/>
      <c r="AB27" s="548"/>
      <c r="AC27" s="547"/>
      <c r="AD27" s="638"/>
      <c r="AE27" s="547"/>
      <c r="AF27" s="548"/>
      <c r="AG27" s="548"/>
      <c r="AH27" s="547"/>
      <c r="AI27" s="638"/>
      <c r="AJ27" s="547"/>
      <c r="AK27" s="548"/>
      <c r="AL27" s="548"/>
      <c r="AM27" s="547"/>
      <c r="AN27" s="638"/>
      <c r="AO27" s="547"/>
      <c r="AP27" s="548"/>
      <c r="AQ27" s="548"/>
      <c r="AR27" s="547"/>
      <c r="AS27" s="638"/>
      <c r="AT27" s="547"/>
      <c r="AU27" s="548"/>
      <c r="AV27" s="548"/>
      <c r="AW27" s="547"/>
      <c r="AX27" s="638"/>
      <c r="AZ27" s="368" t="e">
        <f t="shared" ref="AZ27:AZ41" si="8">RANK(AY27, AY$27:AY$41)</f>
        <v>#N/A</v>
      </c>
      <c r="BA27" s="638" t="e">
        <f t="shared" ref="BA27" si="9">AVERAGE(AY27:AY41)</f>
        <v>#DIV/0!</v>
      </c>
    </row>
    <row r="28" spans="2:53">
      <c r="B28" s="649"/>
      <c r="C28" s="379">
        <v>2</v>
      </c>
      <c r="D28" s="225"/>
      <c r="E28" s="565"/>
      <c r="F28" s="563"/>
      <c r="G28" s="564"/>
      <c r="H28" s="703"/>
      <c r="I28" s="381" t="str">
        <f t="shared" si="5"/>
        <v>-</v>
      </c>
      <c r="J28" s="381" t="str">
        <f t="shared" si="6"/>
        <v>-</v>
      </c>
      <c r="K28" s="199" t="str">
        <f t="shared" si="7"/>
        <v>-</v>
      </c>
      <c r="L28" s="659"/>
      <c r="M28" s="386" t="e">
        <f>RANK(K28, K$24:$K$41)</f>
        <v>#VALUE!</v>
      </c>
      <c r="N28" s="643"/>
      <c r="O28" s="643"/>
      <c r="P28" s="547"/>
      <c r="Q28" s="548"/>
      <c r="R28" s="548"/>
      <c r="S28" s="547"/>
      <c r="T28" s="639"/>
      <c r="U28" s="547"/>
      <c r="V28" s="548"/>
      <c r="W28" s="548"/>
      <c r="X28" s="547"/>
      <c r="Y28" s="639"/>
      <c r="Z28" s="547"/>
      <c r="AA28" s="548"/>
      <c r="AB28" s="548"/>
      <c r="AC28" s="547"/>
      <c r="AD28" s="639"/>
      <c r="AE28" s="547"/>
      <c r="AF28" s="548"/>
      <c r="AG28" s="548"/>
      <c r="AH28" s="547"/>
      <c r="AI28" s="639"/>
      <c r="AJ28" s="547"/>
      <c r="AK28" s="548"/>
      <c r="AL28" s="548"/>
      <c r="AM28" s="547"/>
      <c r="AN28" s="639"/>
      <c r="AO28" s="547"/>
      <c r="AP28" s="548"/>
      <c r="AQ28" s="548"/>
      <c r="AR28" s="547"/>
      <c r="AS28" s="639"/>
      <c r="AT28" s="547"/>
      <c r="AU28" s="548"/>
      <c r="AV28" s="548"/>
      <c r="AW28" s="547"/>
      <c r="AX28" s="639"/>
      <c r="AZ28" s="368" t="e">
        <f t="shared" si="8"/>
        <v>#N/A</v>
      </c>
      <c r="BA28" s="639"/>
    </row>
    <row r="29" spans="2:53">
      <c r="B29" s="649"/>
      <c r="C29" s="379">
        <v>3</v>
      </c>
      <c r="D29" s="225"/>
      <c r="E29" s="565"/>
      <c r="F29" s="563"/>
      <c r="G29" s="564"/>
      <c r="H29" s="703"/>
      <c r="I29" s="381" t="str">
        <f t="shared" si="5"/>
        <v>-</v>
      </c>
      <c r="J29" s="381" t="str">
        <f t="shared" si="6"/>
        <v>-</v>
      </c>
      <c r="K29" s="199" t="str">
        <f t="shared" si="7"/>
        <v>-</v>
      </c>
      <c r="L29" s="659"/>
      <c r="M29" s="386" t="e">
        <f>RANK(K29, K$24:$K$41)</f>
        <v>#VALUE!</v>
      </c>
      <c r="N29" s="643"/>
      <c r="O29" s="643"/>
      <c r="P29" s="547"/>
      <c r="Q29" s="548"/>
      <c r="R29" s="548"/>
      <c r="S29" s="547"/>
      <c r="T29" s="639"/>
      <c r="U29" s="547"/>
      <c r="V29" s="548"/>
      <c r="W29" s="548"/>
      <c r="X29" s="547"/>
      <c r="Y29" s="639"/>
      <c r="Z29" s="547"/>
      <c r="AA29" s="548"/>
      <c r="AB29" s="548"/>
      <c r="AC29" s="547"/>
      <c r="AD29" s="639"/>
      <c r="AE29" s="547"/>
      <c r="AF29" s="548"/>
      <c r="AG29" s="548"/>
      <c r="AH29" s="547"/>
      <c r="AI29" s="639"/>
      <c r="AJ29" s="547"/>
      <c r="AK29" s="548"/>
      <c r="AL29" s="548"/>
      <c r="AM29" s="547"/>
      <c r="AN29" s="639"/>
      <c r="AO29" s="547"/>
      <c r="AP29" s="548"/>
      <c r="AQ29" s="548"/>
      <c r="AR29" s="547"/>
      <c r="AS29" s="639"/>
      <c r="AT29" s="547"/>
      <c r="AU29" s="548"/>
      <c r="AV29" s="548"/>
      <c r="AW29" s="547"/>
      <c r="AX29" s="639"/>
      <c r="AZ29" s="368" t="e">
        <f t="shared" si="8"/>
        <v>#N/A</v>
      </c>
      <c r="BA29" s="639"/>
    </row>
    <row r="30" spans="2:53">
      <c r="B30" s="649"/>
      <c r="C30" s="379">
        <v>4</v>
      </c>
      <c r="D30" s="225"/>
      <c r="E30" s="565"/>
      <c r="F30" s="563"/>
      <c r="G30" s="564"/>
      <c r="H30" s="703"/>
      <c r="I30" s="381" t="str">
        <f t="shared" si="5"/>
        <v>-</v>
      </c>
      <c r="J30" s="381" t="str">
        <f t="shared" si="6"/>
        <v>-</v>
      </c>
      <c r="K30" s="199" t="str">
        <f t="shared" si="7"/>
        <v>-</v>
      </c>
      <c r="L30" s="659"/>
      <c r="M30" s="386" t="e">
        <f>RANK(K30, K$24:$K$41)</f>
        <v>#VALUE!</v>
      </c>
      <c r="N30" s="643"/>
      <c r="O30" s="643"/>
      <c r="P30" s="547"/>
      <c r="Q30" s="548"/>
      <c r="R30" s="548"/>
      <c r="S30" s="547"/>
      <c r="T30" s="639"/>
      <c r="U30" s="547"/>
      <c r="V30" s="548"/>
      <c r="W30" s="548"/>
      <c r="X30" s="547"/>
      <c r="Y30" s="639"/>
      <c r="Z30" s="547"/>
      <c r="AA30" s="548"/>
      <c r="AB30" s="548"/>
      <c r="AC30" s="547"/>
      <c r="AD30" s="639"/>
      <c r="AE30" s="547"/>
      <c r="AF30" s="548"/>
      <c r="AG30" s="548"/>
      <c r="AH30" s="547"/>
      <c r="AI30" s="639"/>
      <c r="AJ30" s="547"/>
      <c r="AK30" s="548"/>
      <c r="AL30" s="548"/>
      <c r="AM30" s="547"/>
      <c r="AN30" s="639"/>
      <c r="AO30" s="547"/>
      <c r="AP30" s="548"/>
      <c r="AQ30" s="548"/>
      <c r="AR30" s="547"/>
      <c r="AS30" s="639"/>
      <c r="AT30" s="547"/>
      <c r="AU30" s="548"/>
      <c r="AV30" s="548"/>
      <c r="AW30" s="547"/>
      <c r="AX30" s="639"/>
      <c r="AZ30" s="368" t="e">
        <f t="shared" si="8"/>
        <v>#N/A</v>
      </c>
      <c r="BA30" s="639"/>
    </row>
    <row r="31" spans="2:53">
      <c r="B31" s="649"/>
      <c r="C31" s="379">
        <v>5</v>
      </c>
      <c r="D31" s="225"/>
      <c r="E31" s="565"/>
      <c r="F31" s="563"/>
      <c r="G31" s="564"/>
      <c r="H31" s="703"/>
      <c r="I31" s="381" t="str">
        <f t="shared" si="5"/>
        <v>-</v>
      </c>
      <c r="J31" s="381" t="str">
        <f t="shared" si="6"/>
        <v>-</v>
      </c>
      <c r="K31" s="199" t="str">
        <f t="shared" si="7"/>
        <v>-</v>
      </c>
      <c r="L31" s="659"/>
      <c r="M31" s="386" t="e">
        <f>RANK(K31, K$24:$K$41)</f>
        <v>#VALUE!</v>
      </c>
      <c r="N31" s="643"/>
      <c r="O31" s="643"/>
      <c r="P31" s="547"/>
      <c r="Q31" s="548"/>
      <c r="R31" s="548"/>
      <c r="S31" s="547"/>
      <c r="T31" s="639"/>
      <c r="U31" s="547"/>
      <c r="V31" s="548"/>
      <c r="W31" s="548"/>
      <c r="X31" s="547"/>
      <c r="Y31" s="639"/>
      <c r="Z31" s="547"/>
      <c r="AA31" s="548"/>
      <c r="AB31" s="548"/>
      <c r="AC31" s="547"/>
      <c r="AD31" s="639"/>
      <c r="AE31" s="547"/>
      <c r="AF31" s="548"/>
      <c r="AG31" s="548"/>
      <c r="AH31" s="547"/>
      <c r="AI31" s="639"/>
      <c r="AJ31" s="547"/>
      <c r="AK31" s="548"/>
      <c r="AL31" s="548"/>
      <c r="AM31" s="547"/>
      <c r="AN31" s="639"/>
      <c r="AO31" s="547"/>
      <c r="AP31" s="548"/>
      <c r="AQ31" s="548"/>
      <c r="AR31" s="547"/>
      <c r="AS31" s="639"/>
      <c r="AT31" s="547"/>
      <c r="AU31" s="548"/>
      <c r="AV31" s="548"/>
      <c r="AW31" s="547"/>
      <c r="AX31" s="639"/>
      <c r="AZ31" s="368" t="e">
        <f t="shared" si="8"/>
        <v>#N/A</v>
      </c>
      <c r="BA31" s="639"/>
    </row>
    <row r="32" spans="2:53">
      <c r="B32" s="649"/>
      <c r="C32" s="379">
        <v>6</v>
      </c>
      <c r="D32" s="225"/>
      <c r="E32" s="565"/>
      <c r="F32" s="563"/>
      <c r="G32" s="564"/>
      <c r="H32" s="703"/>
      <c r="I32" s="381" t="str">
        <f t="shared" si="5"/>
        <v>-</v>
      </c>
      <c r="J32" s="381" t="str">
        <f t="shared" si="6"/>
        <v>-</v>
      </c>
      <c r="K32" s="199" t="str">
        <f t="shared" si="7"/>
        <v>-</v>
      </c>
      <c r="L32" s="659"/>
      <c r="M32" s="386" t="e">
        <f>RANK(K32, K$24:$K$41)</f>
        <v>#VALUE!</v>
      </c>
      <c r="N32" s="643"/>
      <c r="O32" s="643"/>
      <c r="P32" s="547"/>
      <c r="Q32" s="548"/>
      <c r="R32" s="548"/>
      <c r="S32" s="547"/>
      <c r="T32" s="639"/>
      <c r="U32" s="547"/>
      <c r="V32" s="548"/>
      <c r="W32" s="548"/>
      <c r="X32" s="547"/>
      <c r="Y32" s="639"/>
      <c r="Z32" s="547"/>
      <c r="AA32" s="548"/>
      <c r="AB32" s="548"/>
      <c r="AC32" s="547"/>
      <c r="AD32" s="639"/>
      <c r="AE32" s="547"/>
      <c r="AF32" s="548"/>
      <c r="AG32" s="548"/>
      <c r="AH32" s="547"/>
      <c r="AI32" s="639"/>
      <c r="AJ32" s="547"/>
      <c r="AK32" s="548"/>
      <c r="AL32" s="548"/>
      <c r="AM32" s="547"/>
      <c r="AN32" s="639"/>
      <c r="AO32" s="547"/>
      <c r="AP32" s="548"/>
      <c r="AQ32" s="548"/>
      <c r="AR32" s="547"/>
      <c r="AS32" s="639"/>
      <c r="AT32" s="547"/>
      <c r="AU32" s="548"/>
      <c r="AV32" s="548"/>
      <c r="AW32" s="547"/>
      <c r="AX32" s="639"/>
      <c r="AZ32" s="368" t="e">
        <f t="shared" si="8"/>
        <v>#N/A</v>
      </c>
      <c r="BA32" s="639"/>
    </row>
    <row r="33" spans="2:53">
      <c r="B33" s="649"/>
      <c r="C33" s="379">
        <v>7</v>
      </c>
      <c r="D33" s="225"/>
      <c r="E33" s="565"/>
      <c r="F33" s="563"/>
      <c r="G33" s="564"/>
      <c r="H33" s="703"/>
      <c r="I33" s="381" t="str">
        <f t="shared" si="5"/>
        <v>-</v>
      </c>
      <c r="J33" s="381" t="str">
        <f t="shared" si="6"/>
        <v>-</v>
      </c>
      <c r="K33" s="199" t="str">
        <f t="shared" si="7"/>
        <v>-</v>
      </c>
      <c r="L33" s="659"/>
      <c r="M33" s="386" t="e">
        <f>RANK(K33, K$24:$K$41)</f>
        <v>#VALUE!</v>
      </c>
      <c r="N33" s="643"/>
      <c r="O33" s="643"/>
      <c r="P33" s="547"/>
      <c r="Q33" s="548"/>
      <c r="R33" s="548"/>
      <c r="S33" s="547"/>
      <c r="T33" s="639"/>
      <c r="U33" s="547"/>
      <c r="V33" s="548"/>
      <c r="W33" s="548"/>
      <c r="X33" s="547"/>
      <c r="Y33" s="639"/>
      <c r="Z33" s="547"/>
      <c r="AA33" s="548"/>
      <c r="AB33" s="548"/>
      <c r="AC33" s="547"/>
      <c r="AD33" s="639"/>
      <c r="AE33" s="547"/>
      <c r="AF33" s="548"/>
      <c r="AG33" s="548"/>
      <c r="AH33" s="547"/>
      <c r="AI33" s="639"/>
      <c r="AJ33" s="547"/>
      <c r="AK33" s="548"/>
      <c r="AL33" s="548"/>
      <c r="AM33" s="547"/>
      <c r="AN33" s="639"/>
      <c r="AO33" s="547"/>
      <c r="AP33" s="548"/>
      <c r="AQ33" s="548"/>
      <c r="AR33" s="547"/>
      <c r="AS33" s="639"/>
      <c r="AT33" s="547"/>
      <c r="AU33" s="548"/>
      <c r="AV33" s="548"/>
      <c r="AW33" s="547"/>
      <c r="AX33" s="639"/>
      <c r="AZ33" s="368" t="e">
        <f t="shared" si="8"/>
        <v>#N/A</v>
      </c>
      <c r="BA33" s="639"/>
    </row>
    <row r="34" spans="2:53">
      <c r="B34" s="649"/>
      <c r="C34" s="379">
        <v>8</v>
      </c>
      <c r="D34" s="225"/>
      <c r="E34" s="565"/>
      <c r="F34" s="563"/>
      <c r="G34" s="564"/>
      <c r="H34" s="703"/>
      <c r="I34" s="381" t="str">
        <f t="shared" si="5"/>
        <v>-</v>
      </c>
      <c r="J34" s="381" t="str">
        <f t="shared" si="6"/>
        <v>-</v>
      </c>
      <c r="K34" s="199" t="str">
        <f t="shared" si="7"/>
        <v>-</v>
      </c>
      <c r="L34" s="659"/>
      <c r="M34" s="386" t="e">
        <f>RANK(K34, K$24:$K$41)</f>
        <v>#VALUE!</v>
      </c>
      <c r="N34" s="643"/>
      <c r="O34" s="643"/>
      <c r="P34" s="547"/>
      <c r="Q34" s="548"/>
      <c r="R34" s="548"/>
      <c r="S34" s="547"/>
      <c r="T34" s="639"/>
      <c r="U34" s="547"/>
      <c r="V34" s="548"/>
      <c r="W34" s="548"/>
      <c r="X34" s="547"/>
      <c r="Y34" s="639"/>
      <c r="Z34" s="547"/>
      <c r="AA34" s="548"/>
      <c r="AB34" s="548"/>
      <c r="AC34" s="547"/>
      <c r="AD34" s="639"/>
      <c r="AE34" s="547"/>
      <c r="AF34" s="548"/>
      <c r="AG34" s="548"/>
      <c r="AH34" s="547"/>
      <c r="AI34" s="639"/>
      <c r="AJ34" s="547"/>
      <c r="AK34" s="548"/>
      <c r="AL34" s="548"/>
      <c r="AM34" s="547"/>
      <c r="AN34" s="639"/>
      <c r="AO34" s="547"/>
      <c r="AP34" s="548"/>
      <c r="AQ34" s="548"/>
      <c r="AR34" s="547"/>
      <c r="AS34" s="639"/>
      <c r="AT34" s="547"/>
      <c r="AU34" s="548"/>
      <c r="AV34" s="548"/>
      <c r="AW34" s="547"/>
      <c r="AX34" s="639"/>
      <c r="AZ34" s="368" t="e">
        <f t="shared" si="8"/>
        <v>#N/A</v>
      </c>
      <c r="BA34" s="639"/>
    </row>
    <row r="35" spans="2:53">
      <c r="B35" s="649"/>
      <c r="C35" s="379">
        <v>9</v>
      </c>
      <c r="D35" s="225"/>
      <c r="E35" s="565"/>
      <c r="F35" s="563"/>
      <c r="G35" s="564"/>
      <c r="H35" s="703"/>
      <c r="I35" s="381" t="str">
        <f t="shared" si="5"/>
        <v>-</v>
      </c>
      <c r="J35" s="381" t="str">
        <f t="shared" si="6"/>
        <v>-</v>
      </c>
      <c r="K35" s="199" t="str">
        <f t="shared" si="7"/>
        <v>-</v>
      </c>
      <c r="L35" s="659"/>
      <c r="M35" s="386" t="e">
        <f>RANK(K35, K$24:$K$41)</f>
        <v>#VALUE!</v>
      </c>
      <c r="N35" s="643"/>
      <c r="O35" s="643"/>
      <c r="P35" s="547"/>
      <c r="Q35" s="548"/>
      <c r="R35" s="548"/>
      <c r="S35" s="547"/>
      <c r="T35" s="639"/>
      <c r="U35" s="547"/>
      <c r="V35" s="548"/>
      <c r="W35" s="548"/>
      <c r="X35" s="547"/>
      <c r="Y35" s="639"/>
      <c r="Z35" s="547"/>
      <c r="AA35" s="548"/>
      <c r="AB35" s="548"/>
      <c r="AC35" s="547"/>
      <c r="AD35" s="639"/>
      <c r="AE35" s="547"/>
      <c r="AF35" s="548"/>
      <c r="AG35" s="548"/>
      <c r="AH35" s="547"/>
      <c r="AI35" s="639"/>
      <c r="AJ35" s="547"/>
      <c r="AK35" s="548"/>
      <c r="AL35" s="548"/>
      <c r="AM35" s="547"/>
      <c r="AN35" s="639"/>
      <c r="AO35" s="547"/>
      <c r="AP35" s="548"/>
      <c r="AQ35" s="548"/>
      <c r="AR35" s="547"/>
      <c r="AS35" s="639"/>
      <c r="AT35" s="547"/>
      <c r="AU35" s="548"/>
      <c r="AV35" s="548"/>
      <c r="AW35" s="547"/>
      <c r="AX35" s="639"/>
      <c r="AZ35" s="368" t="e">
        <f t="shared" si="8"/>
        <v>#N/A</v>
      </c>
      <c r="BA35" s="639"/>
    </row>
    <row r="36" spans="2:53">
      <c r="B36" s="649"/>
      <c r="C36" s="379">
        <v>10</v>
      </c>
      <c r="D36" s="225"/>
      <c r="E36" s="565"/>
      <c r="F36" s="563"/>
      <c r="G36" s="564"/>
      <c r="H36" s="703"/>
      <c r="I36" s="381" t="str">
        <f t="shared" si="5"/>
        <v>-</v>
      </c>
      <c r="J36" s="381" t="str">
        <f t="shared" si="6"/>
        <v>-</v>
      </c>
      <c r="K36" s="199" t="str">
        <f t="shared" si="7"/>
        <v>-</v>
      </c>
      <c r="L36" s="659"/>
      <c r="M36" s="386" t="e">
        <f>RANK(K36, K$24:$K$41)</f>
        <v>#VALUE!</v>
      </c>
      <c r="N36" s="643"/>
      <c r="O36" s="643"/>
      <c r="P36" s="547"/>
      <c r="Q36" s="548"/>
      <c r="R36" s="548"/>
      <c r="S36" s="547"/>
      <c r="T36" s="639"/>
      <c r="U36" s="547"/>
      <c r="V36" s="548"/>
      <c r="W36" s="548"/>
      <c r="X36" s="547"/>
      <c r="Y36" s="639"/>
      <c r="Z36" s="547"/>
      <c r="AA36" s="548"/>
      <c r="AB36" s="548"/>
      <c r="AC36" s="547"/>
      <c r="AD36" s="639"/>
      <c r="AE36" s="547"/>
      <c r="AF36" s="548"/>
      <c r="AG36" s="548"/>
      <c r="AH36" s="547"/>
      <c r="AI36" s="639"/>
      <c r="AJ36" s="547"/>
      <c r="AK36" s="548"/>
      <c r="AL36" s="548"/>
      <c r="AM36" s="547"/>
      <c r="AN36" s="639"/>
      <c r="AO36" s="547"/>
      <c r="AP36" s="548"/>
      <c r="AQ36" s="548"/>
      <c r="AR36" s="547"/>
      <c r="AS36" s="639"/>
      <c r="AT36" s="547"/>
      <c r="AU36" s="548"/>
      <c r="AV36" s="548"/>
      <c r="AW36" s="547"/>
      <c r="AX36" s="639"/>
      <c r="AZ36" s="368" t="e">
        <f t="shared" si="8"/>
        <v>#N/A</v>
      </c>
      <c r="BA36" s="639"/>
    </row>
    <row r="37" spans="2:53">
      <c r="B37" s="649"/>
      <c r="C37" s="379">
        <v>11</v>
      </c>
      <c r="D37" s="225"/>
      <c r="E37" s="565"/>
      <c r="F37" s="563"/>
      <c r="G37" s="564"/>
      <c r="H37" s="703"/>
      <c r="I37" s="381" t="str">
        <f t="shared" si="5"/>
        <v>-</v>
      </c>
      <c r="J37" s="381" t="str">
        <f t="shared" si="6"/>
        <v>-</v>
      </c>
      <c r="K37" s="199" t="str">
        <f t="shared" si="7"/>
        <v>-</v>
      </c>
      <c r="L37" s="659"/>
      <c r="M37" s="386" t="e">
        <f>RANK(K37, K$24:$K$41)</f>
        <v>#VALUE!</v>
      </c>
      <c r="N37" s="643"/>
      <c r="O37" s="643"/>
      <c r="P37" s="547"/>
      <c r="Q37" s="548"/>
      <c r="R37" s="548"/>
      <c r="S37" s="547"/>
      <c r="T37" s="639"/>
      <c r="U37" s="547"/>
      <c r="V37" s="548"/>
      <c r="W37" s="548"/>
      <c r="X37" s="547"/>
      <c r="Y37" s="639"/>
      <c r="Z37" s="547"/>
      <c r="AA37" s="548"/>
      <c r="AB37" s="548"/>
      <c r="AC37" s="547"/>
      <c r="AD37" s="639"/>
      <c r="AE37" s="547"/>
      <c r="AF37" s="548"/>
      <c r="AG37" s="548"/>
      <c r="AH37" s="547"/>
      <c r="AI37" s="639"/>
      <c r="AJ37" s="547"/>
      <c r="AK37" s="548"/>
      <c r="AL37" s="548"/>
      <c r="AM37" s="547"/>
      <c r="AN37" s="639"/>
      <c r="AO37" s="547"/>
      <c r="AP37" s="548"/>
      <c r="AQ37" s="548"/>
      <c r="AR37" s="547"/>
      <c r="AS37" s="639"/>
      <c r="AT37" s="547"/>
      <c r="AU37" s="548"/>
      <c r="AV37" s="548"/>
      <c r="AW37" s="547"/>
      <c r="AX37" s="639"/>
      <c r="AZ37" s="368" t="e">
        <f t="shared" si="8"/>
        <v>#N/A</v>
      </c>
      <c r="BA37" s="639"/>
    </row>
    <row r="38" spans="2:53">
      <c r="B38" s="649"/>
      <c r="C38" s="379">
        <v>12</v>
      </c>
      <c r="D38" s="225"/>
      <c r="E38" s="565"/>
      <c r="F38" s="563"/>
      <c r="G38" s="564"/>
      <c r="H38" s="703"/>
      <c r="I38" s="381" t="str">
        <f t="shared" si="5"/>
        <v>-</v>
      </c>
      <c r="J38" s="381" t="str">
        <f t="shared" si="6"/>
        <v>-</v>
      </c>
      <c r="K38" s="199" t="str">
        <f t="shared" si="7"/>
        <v>-</v>
      </c>
      <c r="L38" s="659"/>
      <c r="M38" s="386" t="e">
        <f>RANK(K38, K$24:$K$41)</f>
        <v>#VALUE!</v>
      </c>
      <c r="N38" s="643"/>
      <c r="O38" s="643"/>
      <c r="P38" s="547"/>
      <c r="Q38" s="548"/>
      <c r="R38" s="548"/>
      <c r="S38" s="547"/>
      <c r="T38" s="639"/>
      <c r="U38" s="547"/>
      <c r="V38" s="548"/>
      <c r="W38" s="548"/>
      <c r="X38" s="547"/>
      <c r="Y38" s="639"/>
      <c r="Z38" s="547"/>
      <c r="AA38" s="548"/>
      <c r="AB38" s="548"/>
      <c r="AC38" s="547"/>
      <c r="AD38" s="639"/>
      <c r="AE38" s="547"/>
      <c r="AF38" s="548"/>
      <c r="AG38" s="548"/>
      <c r="AH38" s="547"/>
      <c r="AI38" s="639"/>
      <c r="AJ38" s="547"/>
      <c r="AK38" s="548"/>
      <c r="AL38" s="548"/>
      <c r="AM38" s="547"/>
      <c r="AN38" s="639"/>
      <c r="AO38" s="547"/>
      <c r="AP38" s="548"/>
      <c r="AQ38" s="548"/>
      <c r="AR38" s="547"/>
      <c r="AS38" s="639"/>
      <c r="AT38" s="547"/>
      <c r="AU38" s="548"/>
      <c r="AV38" s="548"/>
      <c r="AW38" s="547"/>
      <c r="AX38" s="639"/>
      <c r="AZ38" s="368" t="e">
        <f t="shared" si="8"/>
        <v>#N/A</v>
      </c>
      <c r="BA38" s="639"/>
    </row>
    <row r="39" spans="2:53">
      <c r="B39" s="649"/>
      <c r="C39" s="379">
        <v>13</v>
      </c>
      <c r="D39" s="225"/>
      <c r="E39" s="565"/>
      <c r="F39" s="563"/>
      <c r="G39" s="564"/>
      <c r="H39" s="703"/>
      <c r="I39" s="381" t="str">
        <f t="shared" si="5"/>
        <v>-</v>
      </c>
      <c r="J39" s="381" t="str">
        <f t="shared" si="6"/>
        <v>-</v>
      </c>
      <c r="K39" s="199" t="str">
        <f t="shared" si="7"/>
        <v>-</v>
      </c>
      <c r="L39" s="659"/>
      <c r="M39" s="386" t="e">
        <f>RANK(K39, K$24:$K$41)</f>
        <v>#VALUE!</v>
      </c>
      <c r="N39" s="643"/>
      <c r="O39" s="643"/>
      <c r="P39" s="547"/>
      <c r="Q39" s="548"/>
      <c r="R39" s="548"/>
      <c r="S39" s="547"/>
      <c r="T39" s="639"/>
      <c r="U39" s="547"/>
      <c r="V39" s="548"/>
      <c r="W39" s="548"/>
      <c r="X39" s="547"/>
      <c r="Y39" s="639"/>
      <c r="Z39" s="547"/>
      <c r="AA39" s="548"/>
      <c r="AB39" s="548"/>
      <c r="AC39" s="547"/>
      <c r="AD39" s="639"/>
      <c r="AE39" s="547"/>
      <c r="AF39" s="548"/>
      <c r="AG39" s="548"/>
      <c r="AH39" s="547"/>
      <c r="AI39" s="639"/>
      <c r="AJ39" s="547"/>
      <c r="AK39" s="548"/>
      <c r="AL39" s="548"/>
      <c r="AM39" s="547"/>
      <c r="AN39" s="639"/>
      <c r="AO39" s="547"/>
      <c r="AP39" s="548"/>
      <c r="AQ39" s="548"/>
      <c r="AR39" s="547"/>
      <c r="AS39" s="639"/>
      <c r="AT39" s="547"/>
      <c r="AU39" s="548"/>
      <c r="AV39" s="548"/>
      <c r="AW39" s="547"/>
      <c r="AX39" s="639"/>
      <c r="AZ39" s="368" t="e">
        <f t="shared" si="8"/>
        <v>#N/A</v>
      </c>
      <c r="BA39" s="639"/>
    </row>
    <row r="40" spans="2:53">
      <c r="B40" s="649"/>
      <c r="C40" s="379">
        <v>14</v>
      </c>
      <c r="D40" s="225"/>
      <c r="E40" s="565"/>
      <c r="F40" s="563"/>
      <c r="G40" s="564"/>
      <c r="H40" s="703"/>
      <c r="I40" s="381" t="str">
        <f t="shared" si="5"/>
        <v>-</v>
      </c>
      <c r="J40" s="381" t="str">
        <f t="shared" si="6"/>
        <v>-</v>
      </c>
      <c r="K40" s="199" t="str">
        <f t="shared" si="7"/>
        <v>-</v>
      </c>
      <c r="L40" s="659"/>
      <c r="M40" s="386" t="e">
        <f>RANK(K40, K$24:$K$41)</f>
        <v>#VALUE!</v>
      </c>
      <c r="N40" s="643"/>
      <c r="O40" s="643"/>
      <c r="P40" s="547"/>
      <c r="Q40" s="548"/>
      <c r="R40" s="548"/>
      <c r="S40" s="547"/>
      <c r="T40" s="639"/>
      <c r="U40" s="547"/>
      <c r="V40" s="548"/>
      <c r="W40" s="548"/>
      <c r="X40" s="547"/>
      <c r="Y40" s="639"/>
      <c r="Z40" s="547"/>
      <c r="AA40" s="548"/>
      <c r="AB40" s="548"/>
      <c r="AC40" s="547"/>
      <c r="AD40" s="639"/>
      <c r="AE40" s="547"/>
      <c r="AF40" s="548"/>
      <c r="AG40" s="548"/>
      <c r="AH40" s="547"/>
      <c r="AI40" s="639"/>
      <c r="AJ40" s="547"/>
      <c r="AK40" s="548"/>
      <c r="AL40" s="548"/>
      <c r="AM40" s="547"/>
      <c r="AN40" s="639"/>
      <c r="AO40" s="547"/>
      <c r="AP40" s="548"/>
      <c r="AQ40" s="548"/>
      <c r="AR40" s="547"/>
      <c r="AS40" s="639"/>
      <c r="AT40" s="547"/>
      <c r="AU40" s="548"/>
      <c r="AV40" s="548"/>
      <c r="AW40" s="547"/>
      <c r="AX40" s="639"/>
      <c r="AZ40" s="368" t="e">
        <f t="shared" si="8"/>
        <v>#N/A</v>
      </c>
      <c r="BA40" s="639"/>
    </row>
    <row r="41" spans="2:53">
      <c r="B41" s="649"/>
      <c r="C41" s="379">
        <v>15</v>
      </c>
      <c r="D41" s="225"/>
      <c r="E41" s="565"/>
      <c r="F41" s="563"/>
      <c r="G41" s="564"/>
      <c r="H41" s="704"/>
      <c r="I41" s="201"/>
      <c r="J41" s="201"/>
      <c r="K41" s="201"/>
      <c r="L41" s="660"/>
      <c r="M41" s="385" t="e">
        <f>RANK(K41, K$24:$K$41)</f>
        <v>#N/A</v>
      </c>
      <c r="N41" s="643"/>
      <c r="O41" s="643"/>
      <c r="P41" s="547"/>
      <c r="Q41" s="548"/>
      <c r="R41" s="548"/>
      <c r="S41" s="547"/>
      <c r="T41" s="640"/>
      <c r="U41" s="547"/>
      <c r="V41" s="548"/>
      <c r="W41" s="548"/>
      <c r="X41" s="547"/>
      <c r="Y41" s="640"/>
      <c r="Z41" s="547"/>
      <c r="AA41" s="548"/>
      <c r="AB41" s="548"/>
      <c r="AC41" s="547"/>
      <c r="AD41" s="640"/>
      <c r="AE41" s="547"/>
      <c r="AF41" s="548"/>
      <c r="AG41" s="548"/>
      <c r="AH41" s="547"/>
      <c r="AI41" s="640"/>
      <c r="AJ41" s="547"/>
      <c r="AK41" s="548"/>
      <c r="AL41" s="548"/>
      <c r="AM41" s="547"/>
      <c r="AN41" s="640"/>
      <c r="AO41" s="547"/>
      <c r="AP41" s="548"/>
      <c r="AQ41" s="548"/>
      <c r="AR41" s="547"/>
      <c r="AS41" s="640"/>
      <c r="AT41" s="547"/>
      <c r="AU41" s="548"/>
      <c r="AV41" s="548"/>
      <c r="AW41" s="547"/>
      <c r="AX41" s="640"/>
      <c r="AZ41" s="368" t="e">
        <f t="shared" si="8"/>
        <v>#N/A</v>
      </c>
      <c r="BA41" s="640"/>
    </row>
    <row r="42" spans="2:53" ht="15.75">
      <c r="B42" s="682" t="s">
        <v>162</v>
      </c>
      <c r="C42" s="683"/>
      <c r="D42" s="683"/>
      <c r="E42" s="683"/>
      <c r="F42" s="683"/>
      <c r="G42" s="683"/>
      <c r="H42" s="683"/>
      <c r="I42" s="207"/>
      <c r="J42" s="202"/>
      <c r="K42" s="207"/>
      <c r="L42" s="207"/>
      <c r="M42" s="203"/>
      <c r="N42" s="645" t="s">
        <v>156</v>
      </c>
      <c r="O42" s="645" t="s">
        <v>105</v>
      </c>
      <c r="P42" s="670">
        <f>P22+7</f>
        <v>46280</v>
      </c>
      <c r="Q42" s="649"/>
      <c r="R42" s="649"/>
      <c r="S42" s="649"/>
      <c r="T42" s="649"/>
      <c r="U42" s="667">
        <f>P42+1</f>
        <v>46281</v>
      </c>
      <c r="V42" s="668"/>
      <c r="W42" s="668"/>
      <c r="X42" s="668"/>
      <c r="Y42" s="669"/>
      <c r="Z42" s="667">
        <f>U42+1</f>
        <v>46282</v>
      </c>
      <c r="AA42" s="668"/>
      <c r="AB42" s="668"/>
      <c r="AC42" s="668"/>
      <c r="AD42" s="669"/>
      <c r="AE42" s="667">
        <f>Z42+1</f>
        <v>46283</v>
      </c>
      <c r="AF42" s="668"/>
      <c r="AG42" s="668"/>
      <c r="AH42" s="668"/>
      <c r="AI42" s="669"/>
      <c r="AJ42" s="667">
        <f>AE42+1</f>
        <v>46284</v>
      </c>
      <c r="AK42" s="668"/>
      <c r="AL42" s="668"/>
      <c r="AM42" s="668"/>
      <c r="AN42" s="669"/>
      <c r="AO42" s="667">
        <f>AJ42+1</f>
        <v>46285</v>
      </c>
      <c r="AP42" s="668"/>
      <c r="AQ42" s="668"/>
      <c r="AR42" s="668"/>
      <c r="AS42" s="669"/>
      <c r="AT42" s="667">
        <f>AO42+1</f>
        <v>46286</v>
      </c>
      <c r="AU42" s="668"/>
      <c r="AV42" s="668"/>
      <c r="AW42" s="668"/>
      <c r="AX42" s="669"/>
    </row>
    <row r="43" spans="2:53" ht="15.75">
      <c r="B43" s="674"/>
      <c r="C43" s="674"/>
      <c r="D43" s="674"/>
      <c r="E43" s="674"/>
      <c r="F43" s="674"/>
      <c r="G43" s="674"/>
      <c r="H43" s="674"/>
      <c r="I43" s="204"/>
      <c r="J43" s="204"/>
      <c r="K43" s="204"/>
      <c r="L43" s="204"/>
      <c r="M43" s="205"/>
      <c r="N43" s="647"/>
      <c r="O43" s="647"/>
      <c r="P43" s="670" t="s">
        <v>317</v>
      </c>
      <c r="Q43" s="649"/>
      <c r="R43" s="649"/>
      <c r="S43" s="649"/>
      <c r="T43" s="649"/>
      <c r="U43" s="670" t="s">
        <v>318</v>
      </c>
      <c r="V43" s="649"/>
      <c r="W43" s="649"/>
      <c r="X43" s="649"/>
      <c r="Y43" s="649"/>
      <c r="Z43" s="670" t="s">
        <v>319</v>
      </c>
      <c r="AA43" s="649"/>
      <c r="AB43" s="649"/>
      <c r="AC43" s="649"/>
      <c r="AD43" s="649"/>
      <c r="AE43" s="670" t="s">
        <v>320</v>
      </c>
      <c r="AF43" s="649"/>
      <c r="AG43" s="649"/>
      <c r="AH43" s="649"/>
      <c r="AI43" s="649"/>
      <c r="AJ43" s="670" t="s">
        <v>321</v>
      </c>
      <c r="AK43" s="649"/>
      <c r="AL43" s="649"/>
      <c r="AM43" s="649"/>
      <c r="AN43" s="649"/>
      <c r="AO43" s="670" t="s">
        <v>322</v>
      </c>
      <c r="AP43" s="649"/>
      <c r="AQ43" s="649"/>
      <c r="AR43" s="649"/>
      <c r="AS43" s="649"/>
      <c r="AT43" s="670" t="s">
        <v>323</v>
      </c>
      <c r="AU43" s="649"/>
      <c r="AV43" s="649"/>
      <c r="AW43" s="649"/>
      <c r="AX43" s="649"/>
    </row>
    <row r="44" spans="2:53">
      <c r="B44" s="643" t="s">
        <v>446</v>
      </c>
      <c r="C44" s="643" t="s">
        <v>372</v>
      </c>
      <c r="D44" s="643"/>
      <c r="E44" s="643" t="s">
        <v>363</v>
      </c>
      <c r="F44" s="643"/>
      <c r="G44" s="643"/>
      <c r="H44" s="675" t="s">
        <v>359</v>
      </c>
      <c r="I44" s="690" t="s">
        <v>364</v>
      </c>
      <c r="J44" s="690"/>
      <c r="K44" s="690"/>
      <c r="L44" s="691" t="s">
        <v>359</v>
      </c>
      <c r="M44" s="679" t="s">
        <v>360</v>
      </c>
      <c r="N44" s="643"/>
      <c r="O44" s="643" t="s">
        <v>365</v>
      </c>
      <c r="P44" s="661" t="s">
        <v>361</v>
      </c>
      <c r="Q44" s="662"/>
      <c r="R44" s="662"/>
      <c r="S44" s="663"/>
      <c r="T44" s="643" t="s">
        <v>359</v>
      </c>
      <c r="U44" s="661" t="s">
        <v>361</v>
      </c>
      <c r="V44" s="662"/>
      <c r="W44" s="662"/>
      <c r="X44" s="663"/>
      <c r="Y44" s="643" t="s">
        <v>359</v>
      </c>
      <c r="Z44" s="661" t="s">
        <v>361</v>
      </c>
      <c r="AA44" s="662"/>
      <c r="AB44" s="662"/>
      <c r="AC44" s="663"/>
      <c r="AD44" s="643" t="s">
        <v>359</v>
      </c>
      <c r="AE44" s="661" t="s">
        <v>361</v>
      </c>
      <c r="AF44" s="662"/>
      <c r="AG44" s="662"/>
      <c r="AH44" s="663"/>
      <c r="AI44" s="643" t="s">
        <v>359</v>
      </c>
      <c r="AJ44" s="661" t="s">
        <v>361</v>
      </c>
      <c r="AK44" s="662"/>
      <c r="AL44" s="662"/>
      <c r="AM44" s="663"/>
      <c r="AN44" s="643" t="s">
        <v>359</v>
      </c>
      <c r="AO44" s="661" t="s">
        <v>361</v>
      </c>
      <c r="AP44" s="662"/>
      <c r="AQ44" s="662"/>
      <c r="AR44" s="663"/>
      <c r="AS44" s="643" t="s">
        <v>359</v>
      </c>
      <c r="AT44" s="661" t="s">
        <v>361</v>
      </c>
      <c r="AU44" s="662"/>
      <c r="AV44" s="662"/>
      <c r="AW44" s="663"/>
      <c r="AX44" s="643" t="s">
        <v>359</v>
      </c>
      <c r="BA44" s="643" t="s">
        <v>359</v>
      </c>
    </row>
    <row r="45" spans="2:53">
      <c r="B45" s="643"/>
      <c r="C45" s="643"/>
      <c r="D45" s="643"/>
      <c r="E45" s="643" t="s">
        <v>366</v>
      </c>
      <c r="F45" s="643"/>
      <c r="G45" s="643"/>
      <c r="H45" s="676"/>
      <c r="I45" s="690" t="s">
        <v>366</v>
      </c>
      <c r="J45" s="690"/>
      <c r="K45" s="690"/>
      <c r="L45" s="692"/>
      <c r="M45" s="680"/>
      <c r="N45" s="643"/>
      <c r="O45" s="643"/>
      <c r="P45" s="661" t="s">
        <v>367</v>
      </c>
      <c r="Q45" s="662"/>
      <c r="R45" s="662"/>
      <c r="S45" s="663"/>
      <c r="T45" s="643"/>
      <c r="U45" s="661" t="s">
        <v>367</v>
      </c>
      <c r="V45" s="662"/>
      <c r="W45" s="662"/>
      <c r="X45" s="663"/>
      <c r="Y45" s="643"/>
      <c r="Z45" s="661" t="s">
        <v>367</v>
      </c>
      <c r="AA45" s="662"/>
      <c r="AB45" s="662"/>
      <c r="AC45" s="663"/>
      <c r="AD45" s="643"/>
      <c r="AE45" s="661" t="s">
        <v>367</v>
      </c>
      <c r="AF45" s="662"/>
      <c r="AG45" s="662"/>
      <c r="AH45" s="663"/>
      <c r="AI45" s="643"/>
      <c r="AJ45" s="661" t="s">
        <v>367</v>
      </c>
      <c r="AK45" s="662"/>
      <c r="AL45" s="662"/>
      <c r="AM45" s="663"/>
      <c r="AN45" s="643"/>
      <c r="AO45" s="661" t="s">
        <v>367</v>
      </c>
      <c r="AP45" s="662"/>
      <c r="AQ45" s="662"/>
      <c r="AR45" s="663"/>
      <c r="AS45" s="643"/>
      <c r="AT45" s="661" t="s">
        <v>367</v>
      </c>
      <c r="AU45" s="662"/>
      <c r="AV45" s="662"/>
      <c r="AW45" s="663"/>
      <c r="AX45" s="643"/>
      <c r="BA45" s="643"/>
    </row>
    <row r="46" spans="2:53">
      <c r="B46" s="643"/>
      <c r="C46" s="643"/>
      <c r="D46" s="643"/>
      <c r="E46" s="378" t="s">
        <v>368</v>
      </c>
      <c r="F46" s="378" t="s">
        <v>369</v>
      </c>
      <c r="G46" s="378" t="s">
        <v>370</v>
      </c>
      <c r="H46" s="677"/>
      <c r="I46" s="377" t="s">
        <v>368</v>
      </c>
      <c r="J46" s="377" t="s">
        <v>369</v>
      </c>
      <c r="K46" s="377" t="s">
        <v>370</v>
      </c>
      <c r="L46" s="693"/>
      <c r="M46" s="681"/>
      <c r="N46" s="643"/>
      <c r="O46" s="643"/>
      <c r="P46" s="378" t="s">
        <v>368</v>
      </c>
      <c r="Q46" s="378" t="s">
        <v>369</v>
      </c>
      <c r="R46" s="378" t="s">
        <v>370</v>
      </c>
      <c r="S46" s="378" t="s">
        <v>360</v>
      </c>
      <c r="T46" s="643"/>
      <c r="U46" s="378" t="s">
        <v>368</v>
      </c>
      <c r="V46" s="378" t="s">
        <v>369</v>
      </c>
      <c r="W46" s="378" t="s">
        <v>370</v>
      </c>
      <c r="X46" s="378" t="s">
        <v>360</v>
      </c>
      <c r="Y46" s="643"/>
      <c r="Z46" s="378" t="s">
        <v>368</v>
      </c>
      <c r="AA46" s="378" t="s">
        <v>369</v>
      </c>
      <c r="AB46" s="378" t="s">
        <v>370</v>
      </c>
      <c r="AC46" s="378" t="s">
        <v>360</v>
      </c>
      <c r="AD46" s="643"/>
      <c r="AE46" s="378" t="s">
        <v>368</v>
      </c>
      <c r="AF46" s="378" t="s">
        <v>369</v>
      </c>
      <c r="AG46" s="378" t="s">
        <v>370</v>
      </c>
      <c r="AH46" s="378" t="s">
        <v>360</v>
      </c>
      <c r="AI46" s="643"/>
      <c r="AJ46" s="378" t="s">
        <v>368</v>
      </c>
      <c r="AK46" s="378" t="s">
        <v>369</v>
      </c>
      <c r="AL46" s="378" t="s">
        <v>370</v>
      </c>
      <c r="AM46" s="378" t="s">
        <v>360</v>
      </c>
      <c r="AN46" s="643"/>
      <c r="AO46" s="378" t="s">
        <v>368</v>
      </c>
      <c r="AP46" s="378" t="s">
        <v>369</v>
      </c>
      <c r="AQ46" s="378" t="s">
        <v>370</v>
      </c>
      <c r="AR46" s="378" t="s">
        <v>360</v>
      </c>
      <c r="AS46" s="643"/>
      <c r="AT46" s="378" t="s">
        <v>368</v>
      </c>
      <c r="AU46" s="378" t="s">
        <v>369</v>
      </c>
      <c r="AV46" s="378" t="s">
        <v>370</v>
      </c>
      <c r="AW46" s="378" t="s">
        <v>360</v>
      </c>
      <c r="AX46" s="643"/>
      <c r="AZ46" s="367" t="s">
        <v>360</v>
      </c>
      <c r="BA46" s="643"/>
    </row>
    <row r="47" spans="2:53">
      <c r="B47" s="643" t="s">
        <v>459</v>
      </c>
      <c r="C47" s="379">
        <v>1</v>
      </c>
      <c r="D47" s="225"/>
      <c r="E47" s="565"/>
      <c r="F47" s="563"/>
      <c r="G47" s="564"/>
      <c r="H47" s="702" t="e">
        <f>AVERAGE(G47:G61)</f>
        <v>#DIV/0!</v>
      </c>
      <c r="I47" s="381" t="str">
        <f t="shared" ref="I47:I60" si="10">IFERROR(AVERAGE(P47,U47,Z47,AE47,AJ47,AO47,AT47),"-")</f>
        <v>-</v>
      </c>
      <c r="J47" s="381" t="str">
        <f t="shared" ref="J47:J60" si="11">IFERROR(AVERAGE(Q47,V47,AA47,AF47,AK47,AP47,AU47),"-")</f>
        <v>-</v>
      </c>
      <c r="K47" s="199" t="str">
        <f t="shared" ref="K47:K60" si="12">IFERROR(AVERAGE(R47,W47,AB47,AG47,AL47,AQ47,AV47),"-")</f>
        <v>-</v>
      </c>
      <c r="L47" s="658" t="str">
        <f>IFERROR(AVERAGE(K47:K61),"-")</f>
        <v>-</v>
      </c>
      <c r="M47" s="383" t="e">
        <f>RANK(K47, K$47:$K$61)</f>
        <v>#VALUE!</v>
      </c>
      <c r="N47" s="643"/>
      <c r="O47" s="643"/>
      <c r="P47" s="563"/>
      <c r="Q47" s="565"/>
      <c r="R47" s="565"/>
      <c r="S47" s="563"/>
      <c r="T47" s="638"/>
      <c r="U47" s="563"/>
      <c r="V47" s="565"/>
      <c r="W47" s="565"/>
      <c r="X47" s="563"/>
      <c r="Y47" s="638"/>
      <c r="Z47" s="563"/>
      <c r="AA47" s="565"/>
      <c r="AB47" s="565"/>
      <c r="AC47" s="563"/>
      <c r="AD47" s="638"/>
      <c r="AE47" s="563"/>
      <c r="AF47" s="565"/>
      <c r="AG47" s="565"/>
      <c r="AH47" s="563"/>
      <c r="AI47" s="638"/>
      <c r="AJ47" s="563"/>
      <c r="AK47" s="565"/>
      <c r="AL47" s="565"/>
      <c r="AM47" s="563"/>
      <c r="AN47" s="638"/>
      <c r="AO47" s="563"/>
      <c r="AP47" s="565"/>
      <c r="AQ47" s="565"/>
      <c r="AR47" s="563"/>
      <c r="AS47" s="638"/>
      <c r="AT47" s="563"/>
      <c r="AU47" s="565"/>
      <c r="AV47" s="565"/>
      <c r="AW47" s="563"/>
      <c r="AX47" s="638"/>
      <c r="AZ47" s="368" t="e">
        <f t="shared" ref="AZ47:AZ61" si="13">RANK(AY47, AY$47:AY$61)</f>
        <v>#N/A</v>
      </c>
      <c r="BA47" s="638" t="e">
        <f t="shared" ref="BA47" si="14">AVERAGE(AY47:AY61)</f>
        <v>#DIV/0!</v>
      </c>
    </row>
    <row r="48" spans="2:53">
      <c r="B48" s="649"/>
      <c r="C48" s="379">
        <v>2</v>
      </c>
      <c r="D48" s="225"/>
      <c r="E48" s="565"/>
      <c r="F48" s="563"/>
      <c r="G48" s="564"/>
      <c r="H48" s="703"/>
      <c r="I48" s="381" t="str">
        <f t="shared" si="10"/>
        <v>-</v>
      </c>
      <c r="J48" s="381" t="str">
        <f t="shared" si="11"/>
        <v>-</v>
      </c>
      <c r="K48" s="199" t="str">
        <f t="shared" si="12"/>
        <v>-</v>
      </c>
      <c r="L48" s="659"/>
      <c r="M48" s="417" t="e">
        <f>RANK(K48, K$47:$K$61)</f>
        <v>#VALUE!</v>
      </c>
      <c r="N48" s="643"/>
      <c r="O48" s="643"/>
      <c r="P48" s="563"/>
      <c r="Q48" s="565"/>
      <c r="R48" s="565"/>
      <c r="S48" s="563"/>
      <c r="T48" s="639"/>
      <c r="U48" s="563"/>
      <c r="V48" s="565"/>
      <c r="W48" s="565"/>
      <c r="X48" s="563"/>
      <c r="Y48" s="639"/>
      <c r="Z48" s="563"/>
      <c r="AA48" s="565"/>
      <c r="AB48" s="565"/>
      <c r="AC48" s="563"/>
      <c r="AD48" s="639"/>
      <c r="AE48" s="563"/>
      <c r="AF48" s="565"/>
      <c r="AG48" s="565"/>
      <c r="AH48" s="563"/>
      <c r="AI48" s="639"/>
      <c r="AJ48" s="563"/>
      <c r="AK48" s="565"/>
      <c r="AL48" s="565"/>
      <c r="AM48" s="563"/>
      <c r="AN48" s="639"/>
      <c r="AO48" s="563"/>
      <c r="AP48" s="565"/>
      <c r="AQ48" s="565"/>
      <c r="AR48" s="563"/>
      <c r="AS48" s="639"/>
      <c r="AT48" s="563"/>
      <c r="AU48" s="565"/>
      <c r="AV48" s="565"/>
      <c r="AW48" s="563"/>
      <c r="AX48" s="639"/>
      <c r="AZ48" s="368" t="e">
        <f t="shared" si="13"/>
        <v>#N/A</v>
      </c>
      <c r="BA48" s="639"/>
    </row>
    <row r="49" spans="2:53">
      <c r="B49" s="649"/>
      <c r="C49" s="379">
        <v>3</v>
      </c>
      <c r="D49" s="225"/>
      <c r="E49" s="565"/>
      <c r="F49" s="563"/>
      <c r="G49" s="564"/>
      <c r="H49" s="703"/>
      <c r="I49" s="381" t="str">
        <f t="shared" si="10"/>
        <v>-</v>
      </c>
      <c r="J49" s="381" t="str">
        <f t="shared" si="11"/>
        <v>-</v>
      </c>
      <c r="K49" s="199" t="str">
        <f t="shared" si="12"/>
        <v>-</v>
      </c>
      <c r="L49" s="659"/>
      <c r="M49" s="417" t="e">
        <f>RANK(K49, K$47:$K$61)</f>
        <v>#VALUE!</v>
      </c>
      <c r="N49" s="643"/>
      <c r="O49" s="643"/>
      <c r="P49" s="563"/>
      <c r="Q49" s="565"/>
      <c r="R49" s="565"/>
      <c r="S49" s="563"/>
      <c r="T49" s="639"/>
      <c r="U49" s="563"/>
      <c r="V49" s="565"/>
      <c r="W49" s="565"/>
      <c r="X49" s="563"/>
      <c r="Y49" s="639"/>
      <c r="Z49" s="563"/>
      <c r="AA49" s="565"/>
      <c r="AB49" s="565"/>
      <c r="AC49" s="563"/>
      <c r="AD49" s="639"/>
      <c r="AE49" s="563"/>
      <c r="AF49" s="565"/>
      <c r="AG49" s="565"/>
      <c r="AH49" s="563"/>
      <c r="AI49" s="639"/>
      <c r="AJ49" s="563"/>
      <c r="AK49" s="565"/>
      <c r="AL49" s="565"/>
      <c r="AM49" s="563"/>
      <c r="AN49" s="639"/>
      <c r="AO49" s="563"/>
      <c r="AP49" s="565"/>
      <c r="AQ49" s="565"/>
      <c r="AR49" s="563"/>
      <c r="AS49" s="639"/>
      <c r="AT49" s="563"/>
      <c r="AU49" s="565"/>
      <c r="AV49" s="565"/>
      <c r="AW49" s="563"/>
      <c r="AX49" s="639"/>
      <c r="AZ49" s="368" t="e">
        <f t="shared" si="13"/>
        <v>#N/A</v>
      </c>
      <c r="BA49" s="639"/>
    </row>
    <row r="50" spans="2:53">
      <c r="B50" s="649"/>
      <c r="C50" s="379">
        <v>4</v>
      </c>
      <c r="D50" s="225"/>
      <c r="E50" s="565"/>
      <c r="F50" s="563"/>
      <c r="G50" s="564"/>
      <c r="H50" s="703"/>
      <c r="I50" s="381" t="str">
        <f t="shared" si="10"/>
        <v>-</v>
      </c>
      <c r="J50" s="381" t="str">
        <f t="shared" si="11"/>
        <v>-</v>
      </c>
      <c r="K50" s="199" t="str">
        <f t="shared" si="12"/>
        <v>-</v>
      </c>
      <c r="L50" s="659"/>
      <c r="M50" s="417" t="e">
        <f>RANK(K50, K$47:$K$61)</f>
        <v>#VALUE!</v>
      </c>
      <c r="N50" s="643"/>
      <c r="O50" s="643"/>
      <c r="P50" s="563"/>
      <c r="Q50" s="565"/>
      <c r="R50" s="565"/>
      <c r="S50" s="563"/>
      <c r="T50" s="639"/>
      <c r="U50" s="563"/>
      <c r="V50" s="565"/>
      <c r="W50" s="565"/>
      <c r="X50" s="563"/>
      <c r="Y50" s="639"/>
      <c r="Z50" s="563"/>
      <c r="AA50" s="565"/>
      <c r="AB50" s="565"/>
      <c r="AC50" s="563"/>
      <c r="AD50" s="639"/>
      <c r="AE50" s="563"/>
      <c r="AF50" s="565"/>
      <c r="AG50" s="565"/>
      <c r="AH50" s="563"/>
      <c r="AI50" s="639"/>
      <c r="AJ50" s="563"/>
      <c r="AK50" s="565"/>
      <c r="AL50" s="565"/>
      <c r="AM50" s="563"/>
      <c r="AN50" s="639"/>
      <c r="AO50" s="563"/>
      <c r="AP50" s="565"/>
      <c r="AQ50" s="565"/>
      <c r="AR50" s="563"/>
      <c r="AS50" s="639"/>
      <c r="AT50" s="563"/>
      <c r="AU50" s="565"/>
      <c r="AV50" s="565"/>
      <c r="AW50" s="563"/>
      <c r="AX50" s="639"/>
      <c r="AZ50" s="368" t="e">
        <f t="shared" si="13"/>
        <v>#N/A</v>
      </c>
      <c r="BA50" s="639"/>
    </row>
    <row r="51" spans="2:53">
      <c r="B51" s="649"/>
      <c r="C51" s="379">
        <v>5</v>
      </c>
      <c r="D51" s="225"/>
      <c r="E51" s="565"/>
      <c r="F51" s="563"/>
      <c r="G51" s="564"/>
      <c r="H51" s="703"/>
      <c r="I51" s="381" t="str">
        <f t="shared" si="10"/>
        <v>-</v>
      </c>
      <c r="J51" s="381" t="str">
        <f t="shared" si="11"/>
        <v>-</v>
      </c>
      <c r="K51" s="199" t="str">
        <f t="shared" si="12"/>
        <v>-</v>
      </c>
      <c r="L51" s="659"/>
      <c r="M51" s="417" t="e">
        <f>RANK(K51, K$47:$K$61)</f>
        <v>#VALUE!</v>
      </c>
      <c r="N51" s="643"/>
      <c r="O51" s="643"/>
      <c r="P51" s="563"/>
      <c r="Q51" s="565"/>
      <c r="R51" s="565"/>
      <c r="S51" s="563"/>
      <c r="T51" s="639"/>
      <c r="U51" s="563"/>
      <c r="V51" s="565"/>
      <c r="W51" s="565"/>
      <c r="X51" s="563"/>
      <c r="Y51" s="639"/>
      <c r="Z51" s="563"/>
      <c r="AA51" s="565"/>
      <c r="AB51" s="565"/>
      <c r="AC51" s="563"/>
      <c r="AD51" s="639"/>
      <c r="AE51" s="563"/>
      <c r="AF51" s="565"/>
      <c r="AG51" s="565"/>
      <c r="AH51" s="563"/>
      <c r="AI51" s="639"/>
      <c r="AJ51" s="563"/>
      <c r="AK51" s="565"/>
      <c r="AL51" s="565"/>
      <c r="AM51" s="563"/>
      <c r="AN51" s="639"/>
      <c r="AO51" s="563"/>
      <c r="AP51" s="565"/>
      <c r="AQ51" s="565"/>
      <c r="AR51" s="563"/>
      <c r="AS51" s="639"/>
      <c r="AT51" s="563"/>
      <c r="AU51" s="565"/>
      <c r="AV51" s="565"/>
      <c r="AW51" s="563"/>
      <c r="AX51" s="639"/>
      <c r="AZ51" s="368" t="e">
        <f t="shared" si="13"/>
        <v>#N/A</v>
      </c>
      <c r="BA51" s="639"/>
    </row>
    <row r="52" spans="2:53">
      <c r="B52" s="649"/>
      <c r="C52" s="379">
        <v>6</v>
      </c>
      <c r="D52" s="225"/>
      <c r="E52" s="565"/>
      <c r="F52" s="563"/>
      <c r="G52" s="564"/>
      <c r="H52" s="703"/>
      <c r="I52" s="381" t="str">
        <f t="shared" si="10"/>
        <v>-</v>
      </c>
      <c r="J52" s="381" t="str">
        <f t="shared" si="11"/>
        <v>-</v>
      </c>
      <c r="K52" s="199" t="str">
        <f t="shared" si="12"/>
        <v>-</v>
      </c>
      <c r="L52" s="659"/>
      <c r="M52" s="417" t="e">
        <f>RANK(K52, K$47:$K$61)</f>
        <v>#VALUE!</v>
      </c>
      <c r="N52" s="643"/>
      <c r="O52" s="643"/>
      <c r="P52" s="563"/>
      <c r="Q52" s="565"/>
      <c r="R52" s="565"/>
      <c r="S52" s="563"/>
      <c r="T52" s="639"/>
      <c r="U52" s="563"/>
      <c r="V52" s="565"/>
      <c r="W52" s="565"/>
      <c r="X52" s="563"/>
      <c r="Y52" s="639"/>
      <c r="Z52" s="563"/>
      <c r="AA52" s="565"/>
      <c r="AB52" s="565"/>
      <c r="AC52" s="563"/>
      <c r="AD52" s="639"/>
      <c r="AE52" s="563"/>
      <c r="AF52" s="565"/>
      <c r="AG52" s="565"/>
      <c r="AH52" s="563"/>
      <c r="AI52" s="639"/>
      <c r="AJ52" s="563"/>
      <c r="AK52" s="565"/>
      <c r="AL52" s="565"/>
      <c r="AM52" s="563"/>
      <c r="AN52" s="639"/>
      <c r="AO52" s="563"/>
      <c r="AP52" s="565"/>
      <c r="AQ52" s="565"/>
      <c r="AR52" s="563"/>
      <c r="AS52" s="639"/>
      <c r="AT52" s="563"/>
      <c r="AU52" s="565"/>
      <c r="AV52" s="565"/>
      <c r="AW52" s="563"/>
      <c r="AX52" s="639"/>
      <c r="AZ52" s="368" t="e">
        <f t="shared" si="13"/>
        <v>#N/A</v>
      </c>
      <c r="BA52" s="639"/>
    </row>
    <row r="53" spans="2:53">
      <c r="B53" s="649"/>
      <c r="C53" s="379">
        <v>7</v>
      </c>
      <c r="D53" s="225"/>
      <c r="E53" s="565"/>
      <c r="F53" s="563"/>
      <c r="G53" s="564"/>
      <c r="H53" s="703"/>
      <c r="I53" s="381" t="str">
        <f t="shared" si="10"/>
        <v>-</v>
      </c>
      <c r="J53" s="381" t="str">
        <f t="shared" si="11"/>
        <v>-</v>
      </c>
      <c r="K53" s="199" t="str">
        <f t="shared" si="12"/>
        <v>-</v>
      </c>
      <c r="L53" s="659"/>
      <c r="M53" s="417" t="e">
        <f>RANK(K53, K$47:$K$61)</f>
        <v>#VALUE!</v>
      </c>
      <c r="N53" s="643"/>
      <c r="O53" s="643"/>
      <c r="P53" s="563"/>
      <c r="Q53" s="565"/>
      <c r="R53" s="565"/>
      <c r="S53" s="563"/>
      <c r="T53" s="639"/>
      <c r="U53" s="563"/>
      <c r="V53" s="565"/>
      <c r="W53" s="565"/>
      <c r="X53" s="563"/>
      <c r="Y53" s="639"/>
      <c r="Z53" s="563"/>
      <c r="AA53" s="565"/>
      <c r="AB53" s="565"/>
      <c r="AC53" s="563"/>
      <c r="AD53" s="639"/>
      <c r="AE53" s="563"/>
      <c r="AF53" s="565"/>
      <c r="AG53" s="565"/>
      <c r="AH53" s="563"/>
      <c r="AI53" s="639"/>
      <c r="AJ53" s="563"/>
      <c r="AK53" s="565"/>
      <c r="AL53" s="565"/>
      <c r="AM53" s="563"/>
      <c r="AN53" s="639"/>
      <c r="AO53" s="563"/>
      <c r="AP53" s="565"/>
      <c r="AQ53" s="565"/>
      <c r="AR53" s="563"/>
      <c r="AS53" s="639"/>
      <c r="AT53" s="563"/>
      <c r="AU53" s="565"/>
      <c r="AV53" s="565"/>
      <c r="AW53" s="563"/>
      <c r="AX53" s="639"/>
      <c r="AZ53" s="368" t="e">
        <f t="shared" si="13"/>
        <v>#N/A</v>
      </c>
      <c r="BA53" s="639"/>
    </row>
    <row r="54" spans="2:53">
      <c r="B54" s="649"/>
      <c r="C54" s="379">
        <v>8</v>
      </c>
      <c r="D54" s="225"/>
      <c r="E54" s="565"/>
      <c r="F54" s="563"/>
      <c r="G54" s="564"/>
      <c r="H54" s="703"/>
      <c r="I54" s="381" t="str">
        <f t="shared" si="10"/>
        <v>-</v>
      </c>
      <c r="J54" s="381" t="str">
        <f t="shared" si="11"/>
        <v>-</v>
      </c>
      <c r="K54" s="199" t="str">
        <f t="shared" si="12"/>
        <v>-</v>
      </c>
      <c r="L54" s="659"/>
      <c r="M54" s="417" t="e">
        <f>RANK(K54, K$47:$K$61)</f>
        <v>#VALUE!</v>
      </c>
      <c r="N54" s="643"/>
      <c r="O54" s="643"/>
      <c r="P54" s="563"/>
      <c r="Q54" s="565"/>
      <c r="R54" s="565"/>
      <c r="S54" s="563"/>
      <c r="T54" s="639"/>
      <c r="U54" s="563"/>
      <c r="V54" s="565"/>
      <c r="W54" s="565"/>
      <c r="X54" s="563"/>
      <c r="Y54" s="639"/>
      <c r="Z54" s="563"/>
      <c r="AA54" s="565"/>
      <c r="AB54" s="565"/>
      <c r="AC54" s="563"/>
      <c r="AD54" s="639"/>
      <c r="AE54" s="563"/>
      <c r="AF54" s="565"/>
      <c r="AG54" s="565"/>
      <c r="AH54" s="563"/>
      <c r="AI54" s="639"/>
      <c r="AJ54" s="563"/>
      <c r="AK54" s="565"/>
      <c r="AL54" s="565"/>
      <c r="AM54" s="563"/>
      <c r="AN54" s="639"/>
      <c r="AO54" s="563"/>
      <c r="AP54" s="565"/>
      <c r="AQ54" s="565"/>
      <c r="AR54" s="563"/>
      <c r="AS54" s="639"/>
      <c r="AT54" s="563"/>
      <c r="AU54" s="565"/>
      <c r="AV54" s="565"/>
      <c r="AW54" s="563"/>
      <c r="AX54" s="639"/>
      <c r="AZ54" s="368" t="e">
        <f t="shared" si="13"/>
        <v>#N/A</v>
      </c>
      <c r="BA54" s="639"/>
    </row>
    <row r="55" spans="2:53">
      <c r="B55" s="649"/>
      <c r="C55" s="379">
        <v>9</v>
      </c>
      <c r="D55" s="225"/>
      <c r="E55" s="565"/>
      <c r="F55" s="563"/>
      <c r="G55" s="564"/>
      <c r="H55" s="703"/>
      <c r="I55" s="381" t="str">
        <f t="shared" si="10"/>
        <v>-</v>
      </c>
      <c r="J55" s="381" t="str">
        <f t="shared" si="11"/>
        <v>-</v>
      </c>
      <c r="K55" s="199" t="str">
        <f t="shared" si="12"/>
        <v>-</v>
      </c>
      <c r="L55" s="659"/>
      <c r="M55" s="417" t="e">
        <f>RANK(K55, K$47:$K$61)</f>
        <v>#VALUE!</v>
      </c>
      <c r="N55" s="643"/>
      <c r="O55" s="643"/>
      <c r="P55" s="563"/>
      <c r="Q55" s="565"/>
      <c r="R55" s="565"/>
      <c r="S55" s="563"/>
      <c r="T55" s="639"/>
      <c r="U55" s="563"/>
      <c r="V55" s="565"/>
      <c r="W55" s="565"/>
      <c r="X55" s="563"/>
      <c r="Y55" s="639"/>
      <c r="Z55" s="563"/>
      <c r="AA55" s="565"/>
      <c r="AB55" s="565"/>
      <c r="AC55" s="563"/>
      <c r="AD55" s="639"/>
      <c r="AE55" s="563"/>
      <c r="AF55" s="565"/>
      <c r="AG55" s="565"/>
      <c r="AH55" s="563"/>
      <c r="AI55" s="639"/>
      <c r="AJ55" s="563"/>
      <c r="AK55" s="565"/>
      <c r="AL55" s="565"/>
      <c r="AM55" s="563"/>
      <c r="AN55" s="639"/>
      <c r="AO55" s="563"/>
      <c r="AP55" s="565"/>
      <c r="AQ55" s="565"/>
      <c r="AR55" s="563"/>
      <c r="AS55" s="639"/>
      <c r="AT55" s="563"/>
      <c r="AU55" s="565"/>
      <c r="AV55" s="565"/>
      <c r="AW55" s="563"/>
      <c r="AX55" s="639"/>
      <c r="AZ55" s="368" t="e">
        <f t="shared" si="13"/>
        <v>#N/A</v>
      </c>
      <c r="BA55" s="639"/>
    </row>
    <row r="56" spans="2:53">
      <c r="B56" s="649"/>
      <c r="C56" s="379">
        <v>10</v>
      </c>
      <c r="D56" s="225"/>
      <c r="E56" s="565"/>
      <c r="F56" s="563"/>
      <c r="G56" s="564"/>
      <c r="H56" s="703"/>
      <c r="I56" s="381" t="str">
        <f t="shared" si="10"/>
        <v>-</v>
      </c>
      <c r="J56" s="381" t="str">
        <f t="shared" si="11"/>
        <v>-</v>
      </c>
      <c r="K56" s="199" t="str">
        <f t="shared" si="12"/>
        <v>-</v>
      </c>
      <c r="L56" s="659"/>
      <c r="M56" s="417" t="e">
        <f>RANK(K56, K$47:$K$61)</f>
        <v>#VALUE!</v>
      </c>
      <c r="N56" s="643"/>
      <c r="O56" s="643"/>
      <c r="P56" s="563"/>
      <c r="Q56" s="565"/>
      <c r="R56" s="565"/>
      <c r="S56" s="563"/>
      <c r="T56" s="639"/>
      <c r="U56" s="563"/>
      <c r="V56" s="565"/>
      <c r="W56" s="565"/>
      <c r="X56" s="563"/>
      <c r="Y56" s="639"/>
      <c r="Z56" s="563"/>
      <c r="AA56" s="565"/>
      <c r="AB56" s="565"/>
      <c r="AC56" s="563"/>
      <c r="AD56" s="639"/>
      <c r="AE56" s="563"/>
      <c r="AF56" s="565"/>
      <c r="AG56" s="565"/>
      <c r="AH56" s="563"/>
      <c r="AI56" s="639"/>
      <c r="AJ56" s="563"/>
      <c r="AK56" s="565"/>
      <c r="AL56" s="565"/>
      <c r="AM56" s="563"/>
      <c r="AN56" s="639"/>
      <c r="AO56" s="563"/>
      <c r="AP56" s="565"/>
      <c r="AQ56" s="565"/>
      <c r="AR56" s="563"/>
      <c r="AS56" s="639"/>
      <c r="AT56" s="563"/>
      <c r="AU56" s="565"/>
      <c r="AV56" s="565"/>
      <c r="AW56" s="563"/>
      <c r="AX56" s="639"/>
      <c r="AZ56" s="368" t="e">
        <f t="shared" si="13"/>
        <v>#N/A</v>
      </c>
      <c r="BA56" s="639"/>
    </row>
    <row r="57" spans="2:53">
      <c r="B57" s="649"/>
      <c r="C57" s="379">
        <v>11</v>
      </c>
      <c r="D57" s="225"/>
      <c r="E57" s="565"/>
      <c r="F57" s="563"/>
      <c r="G57" s="564"/>
      <c r="H57" s="703"/>
      <c r="I57" s="381" t="str">
        <f t="shared" si="10"/>
        <v>-</v>
      </c>
      <c r="J57" s="381" t="str">
        <f t="shared" si="11"/>
        <v>-</v>
      </c>
      <c r="K57" s="199" t="str">
        <f t="shared" si="12"/>
        <v>-</v>
      </c>
      <c r="L57" s="659"/>
      <c r="M57" s="417" t="e">
        <f>RANK(K57, K$47:$K$61)</f>
        <v>#VALUE!</v>
      </c>
      <c r="N57" s="643"/>
      <c r="O57" s="643"/>
      <c r="P57" s="563"/>
      <c r="Q57" s="565"/>
      <c r="R57" s="565"/>
      <c r="S57" s="563"/>
      <c r="T57" s="639"/>
      <c r="U57" s="563"/>
      <c r="V57" s="565"/>
      <c r="W57" s="565"/>
      <c r="X57" s="563"/>
      <c r="Y57" s="639"/>
      <c r="Z57" s="563"/>
      <c r="AA57" s="565"/>
      <c r="AB57" s="565"/>
      <c r="AC57" s="563"/>
      <c r="AD57" s="639"/>
      <c r="AE57" s="563"/>
      <c r="AF57" s="565"/>
      <c r="AG57" s="565"/>
      <c r="AH57" s="563"/>
      <c r="AI57" s="639"/>
      <c r="AJ57" s="563"/>
      <c r="AK57" s="565"/>
      <c r="AL57" s="565"/>
      <c r="AM57" s="563"/>
      <c r="AN57" s="639"/>
      <c r="AO57" s="563"/>
      <c r="AP57" s="565"/>
      <c r="AQ57" s="565"/>
      <c r="AR57" s="563"/>
      <c r="AS57" s="639"/>
      <c r="AT57" s="563"/>
      <c r="AU57" s="565"/>
      <c r="AV57" s="565"/>
      <c r="AW57" s="563"/>
      <c r="AX57" s="639"/>
      <c r="AZ57" s="368" t="e">
        <f t="shared" si="13"/>
        <v>#N/A</v>
      </c>
      <c r="BA57" s="639"/>
    </row>
    <row r="58" spans="2:53">
      <c r="B58" s="649"/>
      <c r="C58" s="379">
        <v>12</v>
      </c>
      <c r="D58" s="225"/>
      <c r="E58" s="565"/>
      <c r="F58" s="563"/>
      <c r="G58" s="564"/>
      <c r="H58" s="703"/>
      <c r="I58" s="381" t="str">
        <f t="shared" si="10"/>
        <v>-</v>
      </c>
      <c r="J58" s="381" t="str">
        <f t="shared" si="11"/>
        <v>-</v>
      </c>
      <c r="K58" s="199" t="str">
        <f t="shared" si="12"/>
        <v>-</v>
      </c>
      <c r="L58" s="659"/>
      <c r="M58" s="417" t="e">
        <f>RANK(K58, K$47:$K$61)</f>
        <v>#VALUE!</v>
      </c>
      <c r="N58" s="643"/>
      <c r="O58" s="643"/>
      <c r="P58" s="563"/>
      <c r="Q58" s="565"/>
      <c r="R58" s="565"/>
      <c r="S58" s="563"/>
      <c r="T58" s="639"/>
      <c r="U58" s="563"/>
      <c r="V58" s="565"/>
      <c r="W58" s="565"/>
      <c r="X58" s="563"/>
      <c r="Y58" s="639"/>
      <c r="Z58" s="563"/>
      <c r="AA58" s="565"/>
      <c r="AB58" s="565"/>
      <c r="AC58" s="563"/>
      <c r="AD58" s="639"/>
      <c r="AE58" s="563"/>
      <c r="AF58" s="565"/>
      <c r="AG58" s="565"/>
      <c r="AH58" s="563"/>
      <c r="AI58" s="639"/>
      <c r="AJ58" s="563"/>
      <c r="AK58" s="565"/>
      <c r="AL58" s="565"/>
      <c r="AM58" s="563"/>
      <c r="AN58" s="639"/>
      <c r="AO58" s="563"/>
      <c r="AP58" s="565"/>
      <c r="AQ58" s="565"/>
      <c r="AR58" s="563"/>
      <c r="AS58" s="639"/>
      <c r="AT58" s="563"/>
      <c r="AU58" s="565"/>
      <c r="AV58" s="565"/>
      <c r="AW58" s="563"/>
      <c r="AX58" s="639"/>
      <c r="AZ58" s="368" t="e">
        <f t="shared" si="13"/>
        <v>#N/A</v>
      </c>
      <c r="BA58" s="639"/>
    </row>
    <row r="59" spans="2:53">
      <c r="B59" s="649"/>
      <c r="C59" s="379">
        <v>13</v>
      </c>
      <c r="D59" s="225"/>
      <c r="E59" s="565"/>
      <c r="F59" s="563"/>
      <c r="G59" s="564"/>
      <c r="H59" s="703"/>
      <c r="I59" s="381" t="str">
        <f t="shared" si="10"/>
        <v>-</v>
      </c>
      <c r="J59" s="381" t="str">
        <f t="shared" si="11"/>
        <v>-</v>
      </c>
      <c r="K59" s="199" t="str">
        <f t="shared" si="12"/>
        <v>-</v>
      </c>
      <c r="L59" s="659"/>
      <c r="M59" s="417" t="e">
        <f>RANK(K59, K$47:$K$61)</f>
        <v>#VALUE!</v>
      </c>
      <c r="N59" s="643"/>
      <c r="O59" s="643"/>
      <c r="P59" s="563"/>
      <c r="Q59" s="565"/>
      <c r="R59" s="565"/>
      <c r="S59" s="563"/>
      <c r="T59" s="639"/>
      <c r="U59" s="563"/>
      <c r="V59" s="565"/>
      <c r="W59" s="565"/>
      <c r="X59" s="563"/>
      <c r="Y59" s="639"/>
      <c r="Z59" s="563"/>
      <c r="AA59" s="565"/>
      <c r="AB59" s="565"/>
      <c r="AC59" s="563"/>
      <c r="AD59" s="639"/>
      <c r="AE59" s="563"/>
      <c r="AF59" s="565"/>
      <c r="AG59" s="565"/>
      <c r="AH59" s="563"/>
      <c r="AI59" s="639"/>
      <c r="AJ59" s="563"/>
      <c r="AK59" s="565"/>
      <c r="AL59" s="565"/>
      <c r="AM59" s="563"/>
      <c r="AN59" s="639"/>
      <c r="AO59" s="563"/>
      <c r="AP59" s="565"/>
      <c r="AQ59" s="565"/>
      <c r="AR59" s="563"/>
      <c r="AS59" s="639"/>
      <c r="AT59" s="563"/>
      <c r="AU59" s="565"/>
      <c r="AV59" s="565"/>
      <c r="AW59" s="563"/>
      <c r="AX59" s="639"/>
      <c r="AZ59" s="368" t="e">
        <f t="shared" si="13"/>
        <v>#N/A</v>
      </c>
      <c r="BA59" s="639"/>
    </row>
    <row r="60" spans="2:53">
      <c r="B60" s="649"/>
      <c r="C60" s="379">
        <v>14</v>
      </c>
      <c r="D60" s="225"/>
      <c r="E60" s="565"/>
      <c r="F60" s="563"/>
      <c r="G60" s="564"/>
      <c r="H60" s="703"/>
      <c r="I60" s="381" t="str">
        <f t="shared" si="10"/>
        <v>-</v>
      </c>
      <c r="J60" s="381" t="str">
        <f t="shared" si="11"/>
        <v>-</v>
      </c>
      <c r="K60" s="199" t="str">
        <f t="shared" si="12"/>
        <v>-</v>
      </c>
      <c r="L60" s="659"/>
      <c r="M60" s="417" t="e">
        <f>RANK(K60, K$47:$K$61)</f>
        <v>#VALUE!</v>
      </c>
      <c r="N60" s="643"/>
      <c r="O60" s="643"/>
      <c r="P60" s="563"/>
      <c r="Q60" s="565"/>
      <c r="R60" s="565"/>
      <c r="S60" s="563"/>
      <c r="T60" s="639"/>
      <c r="U60" s="563"/>
      <c r="V60" s="565"/>
      <c r="W60" s="565"/>
      <c r="X60" s="563"/>
      <c r="Y60" s="639"/>
      <c r="Z60" s="563"/>
      <c r="AA60" s="565"/>
      <c r="AB60" s="565"/>
      <c r="AC60" s="563"/>
      <c r="AD60" s="639"/>
      <c r="AE60" s="563"/>
      <c r="AF60" s="565"/>
      <c r="AG60" s="565"/>
      <c r="AH60" s="563"/>
      <c r="AI60" s="639"/>
      <c r="AJ60" s="563"/>
      <c r="AK60" s="565"/>
      <c r="AL60" s="565"/>
      <c r="AM60" s="563"/>
      <c r="AN60" s="639"/>
      <c r="AO60" s="563"/>
      <c r="AP60" s="565"/>
      <c r="AQ60" s="565"/>
      <c r="AR60" s="563"/>
      <c r="AS60" s="639"/>
      <c r="AT60" s="563"/>
      <c r="AU60" s="565"/>
      <c r="AV60" s="565"/>
      <c r="AW60" s="563"/>
      <c r="AX60" s="639"/>
      <c r="AZ60" s="368" t="e">
        <f t="shared" si="13"/>
        <v>#N/A</v>
      </c>
      <c r="BA60" s="639"/>
    </row>
    <row r="61" spans="2:53">
      <c r="B61" s="649"/>
      <c r="C61" s="379">
        <v>15</v>
      </c>
      <c r="D61" s="225"/>
      <c r="E61" s="565"/>
      <c r="F61" s="563"/>
      <c r="G61" s="564"/>
      <c r="H61" s="704"/>
      <c r="I61" s="201"/>
      <c r="J61" s="201"/>
      <c r="K61" s="201"/>
      <c r="L61" s="660"/>
      <c r="M61" s="417" t="e">
        <f>RANK(K61, K$47:$K$61)</f>
        <v>#N/A</v>
      </c>
      <c r="N61" s="643"/>
      <c r="O61" s="643"/>
      <c r="P61" s="563"/>
      <c r="Q61" s="565"/>
      <c r="R61" s="565"/>
      <c r="S61" s="563"/>
      <c r="T61" s="640"/>
      <c r="U61" s="563"/>
      <c r="V61" s="565"/>
      <c r="W61" s="565"/>
      <c r="X61" s="563"/>
      <c r="Y61" s="640"/>
      <c r="Z61" s="563"/>
      <c r="AA61" s="565"/>
      <c r="AB61" s="565"/>
      <c r="AC61" s="563"/>
      <c r="AD61" s="640"/>
      <c r="AE61" s="563"/>
      <c r="AF61" s="565"/>
      <c r="AG61" s="565"/>
      <c r="AH61" s="563"/>
      <c r="AI61" s="640"/>
      <c r="AJ61" s="563"/>
      <c r="AK61" s="565"/>
      <c r="AL61" s="565"/>
      <c r="AM61" s="563"/>
      <c r="AN61" s="640"/>
      <c r="AO61" s="563"/>
      <c r="AP61" s="565"/>
      <c r="AQ61" s="565"/>
      <c r="AR61" s="563"/>
      <c r="AS61" s="640"/>
      <c r="AT61" s="563"/>
      <c r="AU61" s="565"/>
      <c r="AV61" s="565"/>
      <c r="AW61" s="563"/>
      <c r="AX61" s="640"/>
      <c r="AZ61" s="368" t="e">
        <f t="shared" si="13"/>
        <v>#N/A</v>
      </c>
      <c r="BA61" s="640"/>
    </row>
    <row r="62" spans="2:53" ht="15.75">
      <c r="B62" s="671" t="s">
        <v>162</v>
      </c>
      <c r="C62" s="672"/>
      <c r="D62" s="672"/>
      <c r="E62" s="672"/>
      <c r="F62" s="672"/>
      <c r="G62" s="672"/>
      <c r="H62" s="673"/>
      <c r="I62" s="207"/>
      <c r="J62" s="207"/>
      <c r="K62" s="207"/>
      <c r="L62" s="207"/>
      <c r="M62" s="206"/>
      <c r="N62" s="645" t="s">
        <v>156</v>
      </c>
      <c r="O62" s="645" t="s">
        <v>105</v>
      </c>
      <c r="P62" s="670">
        <f>P42+7</f>
        <v>46287</v>
      </c>
      <c r="Q62" s="649"/>
      <c r="R62" s="649"/>
      <c r="S62" s="649"/>
      <c r="T62" s="649"/>
      <c r="U62" s="667">
        <f>P62+1</f>
        <v>46288</v>
      </c>
      <c r="V62" s="668"/>
      <c r="W62" s="668"/>
      <c r="X62" s="668"/>
      <c r="Y62" s="669"/>
      <c r="Z62" s="667">
        <f>U62+1</f>
        <v>46289</v>
      </c>
      <c r="AA62" s="668"/>
      <c r="AB62" s="668"/>
      <c r="AC62" s="668"/>
      <c r="AD62" s="669"/>
      <c r="AE62" s="667">
        <f>Z62+1</f>
        <v>46290</v>
      </c>
      <c r="AF62" s="668"/>
      <c r="AG62" s="668"/>
      <c r="AH62" s="668"/>
      <c r="AI62" s="669"/>
      <c r="AJ62" s="667">
        <f>AE62+1</f>
        <v>46291</v>
      </c>
      <c r="AK62" s="668"/>
      <c r="AL62" s="668"/>
      <c r="AM62" s="668"/>
      <c r="AN62" s="669"/>
      <c r="AO62" s="667">
        <f>AJ62+1</f>
        <v>46292</v>
      </c>
      <c r="AP62" s="668"/>
      <c r="AQ62" s="668"/>
      <c r="AR62" s="668"/>
      <c r="AS62" s="669"/>
      <c r="AT62" s="667">
        <f>AO62+1</f>
        <v>46293</v>
      </c>
      <c r="AU62" s="668"/>
      <c r="AV62" s="668"/>
      <c r="AW62" s="668"/>
      <c r="AX62" s="669"/>
    </row>
    <row r="63" spans="2:53" ht="15.75">
      <c r="B63" s="674"/>
      <c r="C63" s="674"/>
      <c r="D63" s="674"/>
      <c r="E63" s="674"/>
      <c r="F63" s="674"/>
      <c r="G63" s="674"/>
      <c r="H63" s="674"/>
      <c r="I63" s="204"/>
      <c r="J63" s="204"/>
      <c r="K63" s="204"/>
      <c r="L63" s="204"/>
      <c r="M63" s="205"/>
      <c r="N63" s="647"/>
      <c r="O63" s="647"/>
      <c r="P63" s="670" t="s">
        <v>317</v>
      </c>
      <c r="Q63" s="649"/>
      <c r="R63" s="649"/>
      <c r="S63" s="649"/>
      <c r="T63" s="649"/>
      <c r="U63" s="670" t="s">
        <v>318</v>
      </c>
      <c r="V63" s="649"/>
      <c r="W63" s="649"/>
      <c r="X63" s="649"/>
      <c r="Y63" s="649"/>
      <c r="Z63" s="670" t="s">
        <v>319</v>
      </c>
      <c r="AA63" s="649"/>
      <c r="AB63" s="649"/>
      <c r="AC63" s="649"/>
      <c r="AD63" s="649"/>
      <c r="AE63" s="670" t="s">
        <v>320</v>
      </c>
      <c r="AF63" s="649"/>
      <c r="AG63" s="649"/>
      <c r="AH63" s="649"/>
      <c r="AI63" s="649"/>
      <c r="AJ63" s="670" t="s">
        <v>321</v>
      </c>
      <c r="AK63" s="649"/>
      <c r="AL63" s="649"/>
      <c r="AM63" s="649"/>
      <c r="AN63" s="649"/>
      <c r="AO63" s="670" t="s">
        <v>322</v>
      </c>
      <c r="AP63" s="649"/>
      <c r="AQ63" s="649"/>
      <c r="AR63" s="649"/>
      <c r="AS63" s="649"/>
      <c r="AT63" s="670" t="s">
        <v>323</v>
      </c>
      <c r="AU63" s="649"/>
      <c r="AV63" s="649"/>
      <c r="AW63" s="649"/>
      <c r="AX63" s="649"/>
    </row>
    <row r="64" spans="2:53">
      <c r="B64" s="643" t="s">
        <v>362</v>
      </c>
      <c r="C64" s="675" t="s">
        <v>372</v>
      </c>
      <c r="D64" s="687"/>
      <c r="E64" s="661" t="s">
        <v>363</v>
      </c>
      <c r="F64" s="662"/>
      <c r="G64" s="663"/>
      <c r="H64" s="645" t="s">
        <v>359</v>
      </c>
      <c r="I64" s="694" t="s">
        <v>364</v>
      </c>
      <c r="J64" s="695"/>
      <c r="K64" s="696"/>
      <c r="L64" s="679" t="s">
        <v>359</v>
      </c>
      <c r="M64" s="679" t="s">
        <v>360</v>
      </c>
      <c r="N64" s="645"/>
      <c r="O64" s="645" t="s">
        <v>365</v>
      </c>
      <c r="P64" s="661" t="s">
        <v>361</v>
      </c>
      <c r="Q64" s="662"/>
      <c r="R64" s="662"/>
      <c r="S64" s="663"/>
      <c r="T64" s="645" t="s">
        <v>359</v>
      </c>
      <c r="U64" s="661" t="s">
        <v>361</v>
      </c>
      <c r="V64" s="662"/>
      <c r="W64" s="662"/>
      <c r="X64" s="663"/>
      <c r="Y64" s="645" t="s">
        <v>359</v>
      </c>
      <c r="Z64" s="661" t="s">
        <v>361</v>
      </c>
      <c r="AA64" s="662"/>
      <c r="AB64" s="662"/>
      <c r="AC64" s="663"/>
      <c r="AD64" s="645" t="s">
        <v>359</v>
      </c>
      <c r="AE64" s="661" t="s">
        <v>361</v>
      </c>
      <c r="AF64" s="662"/>
      <c r="AG64" s="662"/>
      <c r="AH64" s="663"/>
      <c r="AI64" s="645" t="s">
        <v>359</v>
      </c>
      <c r="AJ64" s="661" t="s">
        <v>361</v>
      </c>
      <c r="AK64" s="662"/>
      <c r="AL64" s="662"/>
      <c r="AM64" s="663"/>
      <c r="AN64" s="645" t="s">
        <v>359</v>
      </c>
      <c r="AO64" s="661" t="s">
        <v>361</v>
      </c>
      <c r="AP64" s="662"/>
      <c r="AQ64" s="662"/>
      <c r="AR64" s="663"/>
      <c r="AS64" s="645" t="s">
        <v>359</v>
      </c>
      <c r="AT64" s="661" t="s">
        <v>361</v>
      </c>
      <c r="AU64" s="662"/>
      <c r="AV64" s="662"/>
      <c r="AW64" s="663"/>
      <c r="AX64" s="645" t="s">
        <v>359</v>
      </c>
      <c r="BA64" s="643" t="s">
        <v>359</v>
      </c>
    </row>
    <row r="65" spans="2:53">
      <c r="B65" s="643"/>
      <c r="C65" s="676"/>
      <c r="D65" s="688"/>
      <c r="E65" s="661" t="s">
        <v>366</v>
      </c>
      <c r="F65" s="662"/>
      <c r="G65" s="663"/>
      <c r="H65" s="646"/>
      <c r="I65" s="694" t="s">
        <v>366</v>
      </c>
      <c r="J65" s="695"/>
      <c r="K65" s="696"/>
      <c r="L65" s="680"/>
      <c r="M65" s="680"/>
      <c r="N65" s="646"/>
      <c r="O65" s="646"/>
      <c r="P65" s="661" t="s">
        <v>367</v>
      </c>
      <c r="Q65" s="662"/>
      <c r="R65" s="662"/>
      <c r="S65" s="663"/>
      <c r="T65" s="646"/>
      <c r="U65" s="661" t="s">
        <v>367</v>
      </c>
      <c r="V65" s="662"/>
      <c r="W65" s="662"/>
      <c r="X65" s="663"/>
      <c r="Y65" s="646"/>
      <c r="Z65" s="661" t="s">
        <v>367</v>
      </c>
      <c r="AA65" s="662"/>
      <c r="AB65" s="662"/>
      <c r="AC65" s="663"/>
      <c r="AD65" s="646"/>
      <c r="AE65" s="661" t="s">
        <v>367</v>
      </c>
      <c r="AF65" s="662"/>
      <c r="AG65" s="662"/>
      <c r="AH65" s="663"/>
      <c r="AI65" s="646"/>
      <c r="AJ65" s="661" t="s">
        <v>367</v>
      </c>
      <c r="AK65" s="662"/>
      <c r="AL65" s="662"/>
      <c r="AM65" s="663"/>
      <c r="AN65" s="646"/>
      <c r="AO65" s="661" t="s">
        <v>367</v>
      </c>
      <c r="AP65" s="662"/>
      <c r="AQ65" s="662"/>
      <c r="AR65" s="663"/>
      <c r="AS65" s="646"/>
      <c r="AT65" s="661" t="s">
        <v>367</v>
      </c>
      <c r="AU65" s="662"/>
      <c r="AV65" s="662"/>
      <c r="AW65" s="663"/>
      <c r="AX65" s="646"/>
      <c r="BA65" s="643"/>
    </row>
    <row r="66" spans="2:53">
      <c r="B66" s="643"/>
      <c r="C66" s="677"/>
      <c r="D66" s="689"/>
      <c r="E66" s="519" t="s">
        <v>368</v>
      </c>
      <c r="F66" s="519" t="s">
        <v>369</v>
      </c>
      <c r="G66" s="519" t="s">
        <v>370</v>
      </c>
      <c r="H66" s="647"/>
      <c r="I66" s="518" t="s">
        <v>368</v>
      </c>
      <c r="J66" s="518" t="s">
        <v>369</v>
      </c>
      <c r="K66" s="518" t="s">
        <v>370</v>
      </c>
      <c r="L66" s="681"/>
      <c r="M66" s="681"/>
      <c r="N66" s="646"/>
      <c r="O66" s="646"/>
      <c r="P66" s="519" t="s">
        <v>368</v>
      </c>
      <c r="Q66" s="519" t="s">
        <v>369</v>
      </c>
      <c r="R66" s="519" t="s">
        <v>370</v>
      </c>
      <c r="S66" s="519" t="s">
        <v>360</v>
      </c>
      <c r="T66" s="647"/>
      <c r="U66" s="519" t="s">
        <v>368</v>
      </c>
      <c r="V66" s="519" t="s">
        <v>369</v>
      </c>
      <c r="W66" s="519" t="s">
        <v>370</v>
      </c>
      <c r="X66" s="519" t="s">
        <v>360</v>
      </c>
      <c r="Y66" s="647"/>
      <c r="Z66" s="519" t="s">
        <v>368</v>
      </c>
      <c r="AA66" s="519" t="s">
        <v>369</v>
      </c>
      <c r="AB66" s="519" t="s">
        <v>370</v>
      </c>
      <c r="AC66" s="519" t="s">
        <v>360</v>
      </c>
      <c r="AD66" s="647"/>
      <c r="AE66" s="519" t="s">
        <v>368</v>
      </c>
      <c r="AF66" s="519" t="s">
        <v>369</v>
      </c>
      <c r="AG66" s="519" t="s">
        <v>370</v>
      </c>
      <c r="AH66" s="519" t="s">
        <v>360</v>
      </c>
      <c r="AI66" s="647"/>
      <c r="AJ66" s="519" t="s">
        <v>368</v>
      </c>
      <c r="AK66" s="519" t="s">
        <v>369</v>
      </c>
      <c r="AL66" s="519" t="s">
        <v>370</v>
      </c>
      <c r="AM66" s="519" t="s">
        <v>360</v>
      </c>
      <c r="AN66" s="647"/>
      <c r="AO66" s="519" t="s">
        <v>368</v>
      </c>
      <c r="AP66" s="519" t="s">
        <v>369</v>
      </c>
      <c r="AQ66" s="519" t="s">
        <v>370</v>
      </c>
      <c r="AR66" s="519" t="s">
        <v>360</v>
      </c>
      <c r="AS66" s="647"/>
      <c r="AT66" s="519" t="s">
        <v>368</v>
      </c>
      <c r="AU66" s="519" t="s">
        <v>369</v>
      </c>
      <c r="AV66" s="519" t="s">
        <v>370</v>
      </c>
      <c r="AW66" s="519" t="s">
        <v>360</v>
      </c>
      <c r="AX66" s="647"/>
      <c r="AZ66" s="367" t="s">
        <v>360</v>
      </c>
      <c r="BA66" s="643"/>
    </row>
    <row r="67" spans="2:53">
      <c r="B67" s="643" t="s">
        <v>373</v>
      </c>
      <c r="C67" s="520">
        <v>1</v>
      </c>
      <c r="D67" s="225"/>
      <c r="E67" s="565"/>
      <c r="F67" s="563"/>
      <c r="G67" s="564"/>
      <c r="H67" s="638" t="e">
        <f>AVERAGE(G67:G81)</f>
        <v>#DIV/0!</v>
      </c>
      <c r="I67" s="521" t="str">
        <f t="shared" ref="I67:I80" si="15">IFERROR(AVERAGE(P67,U67,Z67,AE67,AJ67,AO67,AT67),"-")</f>
        <v>-</v>
      </c>
      <c r="J67" s="521" t="str">
        <f t="shared" ref="J67:J80" si="16">IFERROR(AVERAGE(Q67,V67,AA67,AF67,AK67,AP67,AU67),"-")</f>
        <v>-</v>
      </c>
      <c r="K67" s="199" t="str">
        <f t="shared" ref="K67:K80" si="17">IFERROR(AVERAGE(R67,W67,AB67,AG67,AL67,AQ67,AV67),"-")</f>
        <v>-</v>
      </c>
      <c r="L67" s="697" t="str">
        <f>IFERROR(AVERAGE(K67:K81),"-")</f>
        <v>-</v>
      </c>
      <c r="M67" s="522" t="e">
        <f>RANK(K67, K$67:$K$81)</f>
        <v>#VALUE!</v>
      </c>
      <c r="N67" s="646"/>
      <c r="O67" s="646"/>
      <c r="P67" s="563"/>
      <c r="Q67" s="565"/>
      <c r="R67" s="565"/>
      <c r="S67" s="563"/>
      <c r="T67" s="638"/>
      <c r="U67" s="563"/>
      <c r="V67" s="565"/>
      <c r="W67" s="565"/>
      <c r="X67" s="563"/>
      <c r="Y67" s="638"/>
      <c r="Z67" s="563"/>
      <c r="AA67" s="565"/>
      <c r="AB67" s="565"/>
      <c r="AC67" s="563"/>
      <c r="AD67" s="638"/>
      <c r="AE67" s="563"/>
      <c r="AF67" s="565"/>
      <c r="AG67" s="565"/>
      <c r="AH67" s="563"/>
      <c r="AI67" s="638"/>
      <c r="AJ67" s="563"/>
      <c r="AK67" s="565"/>
      <c r="AL67" s="565"/>
      <c r="AM67" s="563"/>
      <c r="AN67" s="638"/>
      <c r="AO67" s="563"/>
      <c r="AP67" s="565"/>
      <c r="AQ67" s="565"/>
      <c r="AR67" s="563"/>
      <c r="AS67" s="638"/>
      <c r="AT67" s="563"/>
      <c r="AU67" s="565"/>
      <c r="AV67" s="565"/>
      <c r="AW67" s="563"/>
      <c r="AX67" s="638"/>
      <c r="AZ67" s="368" t="e">
        <f t="shared" ref="AZ67:AZ81" si="18">RANK(AY67, AY$67:AY$81)</f>
        <v>#N/A</v>
      </c>
      <c r="BA67" s="638" t="e">
        <f t="shared" ref="BA67" si="19">AVERAGE(AY67:AY81)</f>
        <v>#DIV/0!</v>
      </c>
    </row>
    <row r="68" spans="2:53">
      <c r="B68" s="649"/>
      <c r="C68" s="520">
        <v>2</v>
      </c>
      <c r="D68" s="225"/>
      <c r="E68" s="565"/>
      <c r="F68" s="563"/>
      <c r="G68" s="564"/>
      <c r="H68" s="639"/>
      <c r="I68" s="521" t="str">
        <f t="shared" si="15"/>
        <v>-</v>
      </c>
      <c r="J68" s="521" t="str">
        <f t="shared" si="16"/>
        <v>-</v>
      </c>
      <c r="K68" s="199" t="str">
        <f t="shared" si="17"/>
        <v>-</v>
      </c>
      <c r="L68" s="698"/>
      <c r="M68" s="522" t="e">
        <f>RANK(K68, K$67:$K$81)</f>
        <v>#VALUE!</v>
      </c>
      <c r="N68" s="646"/>
      <c r="O68" s="646"/>
      <c r="P68" s="563"/>
      <c r="Q68" s="565"/>
      <c r="R68" s="565"/>
      <c r="S68" s="563"/>
      <c r="T68" s="639"/>
      <c r="U68" s="563"/>
      <c r="V68" s="565"/>
      <c r="W68" s="565"/>
      <c r="X68" s="563"/>
      <c r="Y68" s="639"/>
      <c r="Z68" s="563"/>
      <c r="AA68" s="565"/>
      <c r="AB68" s="565"/>
      <c r="AC68" s="563"/>
      <c r="AD68" s="639"/>
      <c r="AE68" s="563"/>
      <c r="AF68" s="565"/>
      <c r="AG68" s="565"/>
      <c r="AH68" s="563"/>
      <c r="AI68" s="639"/>
      <c r="AJ68" s="563"/>
      <c r="AK68" s="565"/>
      <c r="AL68" s="565"/>
      <c r="AM68" s="563"/>
      <c r="AN68" s="639"/>
      <c r="AO68" s="563"/>
      <c r="AP68" s="565"/>
      <c r="AQ68" s="565"/>
      <c r="AR68" s="563"/>
      <c r="AS68" s="639"/>
      <c r="AT68" s="563"/>
      <c r="AU68" s="565"/>
      <c r="AV68" s="565"/>
      <c r="AW68" s="563"/>
      <c r="AX68" s="639"/>
      <c r="AZ68" s="368" t="e">
        <f t="shared" si="18"/>
        <v>#N/A</v>
      </c>
      <c r="BA68" s="639"/>
    </row>
    <row r="69" spans="2:53">
      <c r="B69" s="649"/>
      <c r="C69" s="520">
        <v>3</v>
      </c>
      <c r="D69" s="225"/>
      <c r="E69" s="565"/>
      <c r="F69" s="563"/>
      <c r="G69" s="564"/>
      <c r="H69" s="639"/>
      <c r="I69" s="521" t="str">
        <f t="shared" si="15"/>
        <v>-</v>
      </c>
      <c r="J69" s="521" t="str">
        <f t="shared" si="16"/>
        <v>-</v>
      </c>
      <c r="K69" s="199" t="str">
        <f t="shared" si="17"/>
        <v>-</v>
      </c>
      <c r="L69" s="698"/>
      <c r="M69" s="522" t="e">
        <f>RANK(K69, K$87:$K$101)</f>
        <v>#VALUE!</v>
      </c>
      <c r="N69" s="646"/>
      <c r="O69" s="646"/>
      <c r="P69" s="563"/>
      <c r="Q69" s="565"/>
      <c r="R69" s="565"/>
      <c r="S69" s="563"/>
      <c r="T69" s="639"/>
      <c r="U69" s="563"/>
      <c r="V69" s="565"/>
      <c r="W69" s="565"/>
      <c r="X69" s="563"/>
      <c r="Y69" s="639"/>
      <c r="Z69" s="563"/>
      <c r="AA69" s="565"/>
      <c r="AB69" s="565"/>
      <c r="AC69" s="563"/>
      <c r="AD69" s="639"/>
      <c r="AE69" s="563"/>
      <c r="AF69" s="565"/>
      <c r="AG69" s="565"/>
      <c r="AH69" s="563"/>
      <c r="AI69" s="639"/>
      <c r="AJ69" s="563"/>
      <c r="AK69" s="565"/>
      <c r="AL69" s="565"/>
      <c r="AM69" s="563"/>
      <c r="AN69" s="639"/>
      <c r="AO69" s="563"/>
      <c r="AP69" s="565"/>
      <c r="AQ69" s="565"/>
      <c r="AR69" s="563"/>
      <c r="AS69" s="639"/>
      <c r="AT69" s="563"/>
      <c r="AU69" s="565"/>
      <c r="AV69" s="565"/>
      <c r="AW69" s="563"/>
      <c r="AX69" s="639"/>
      <c r="AZ69" s="368" t="e">
        <f t="shared" si="18"/>
        <v>#N/A</v>
      </c>
      <c r="BA69" s="639"/>
    </row>
    <row r="70" spans="2:53">
      <c r="B70" s="649"/>
      <c r="C70" s="520">
        <v>4</v>
      </c>
      <c r="D70" s="225"/>
      <c r="E70" s="565"/>
      <c r="F70" s="563"/>
      <c r="G70" s="564"/>
      <c r="H70" s="639"/>
      <c r="I70" s="521" t="str">
        <f t="shared" si="15"/>
        <v>-</v>
      </c>
      <c r="J70" s="521" t="str">
        <f t="shared" si="16"/>
        <v>-</v>
      </c>
      <c r="K70" s="199" t="str">
        <f t="shared" si="17"/>
        <v>-</v>
      </c>
      <c r="L70" s="698"/>
      <c r="M70" s="522" t="e">
        <f>RANK(K70, K$87:$K$101)</f>
        <v>#VALUE!</v>
      </c>
      <c r="N70" s="646"/>
      <c r="O70" s="646"/>
      <c r="P70" s="563"/>
      <c r="Q70" s="565"/>
      <c r="R70" s="565"/>
      <c r="S70" s="563"/>
      <c r="T70" s="639"/>
      <c r="U70" s="563"/>
      <c r="V70" s="565"/>
      <c r="W70" s="565"/>
      <c r="X70" s="563"/>
      <c r="Y70" s="639"/>
      <c r="Z70" s="563"/>
      <c r="AA70" s="565"/>
      <c r="AB70" s="565"/>
      <c r="AC70" s="563"/>
      <c r="AD70" s="639"/>
      <c r="AE70" s="563"/>
      <c r="AF70" s="565"/>
      <c r="AG70" s="565"/>
      <c r="AH70" s="563"/>
      <c r="AI70" s="639"/>
      <c r="AJ70" s="563"/>
      <c r="AK70" s="565"/>
      <c r="AL70" s="565"/>
      <c r="AM70" s="563"/>
      <c r="AN70" s="639"/>
      <c r="AO70" s="563"/>
      <c r="AP70" s="565"/>
      <c r="AQ70" s="565"/>
      <c r="AR70" s="563"/>
      <c r="AS70" s="639"/>
      <c r="AT70" s="563"/>
      <c r="AU70" s="565"/>
      <c r="AV70" s="565"/>
      <c r="AW70" s="563"/>
      <c r="AX70" s="639"/>
      <c r="AZ70" s="368" t="e">
        <f t="shared" si="18"/>
        <v>#N/A</v>
      </c>
      <c r="BA70" s="639"/>
    </row>
    <row r="71" spans="2:53">
      <c r="B71" s="649"/>
      <c r="C71" s="520">
        <v>5</v>
      </c>
      <c r="D71" s="225"/>
      <c r="E71" s="565"/>
      <c r="F71" s="563"/>
      <c r="G71" s="564"/>
      <c r="H71" s="639"/>
      <c r="I71" s="521" t="str">
        <f t="shared" si="15"/>
        <v>-</v>
      </c>
      <c r="J71" s="521" t="str">
        <f t="shared" si="16"/>
        <v>-</v>
      </c>
      <c r="K71" s="199" t="str">
        <f t="shared" si="17"/>
        <v>-</v>
      </c>
      <c r="L71" s="698"/>
      <c r="M71" s="522" t="e">
        <f>RANK(K71, K$87:$K$101)</f>
        <v>#VALUE!</v>
      </c>
      <c r="N71" s="646"/>
      <c r="O71" s="646"/>
      <c r="P71" s="563"/>
      <c r="Q71" s="565"/>
      <c r="R71" s="565"/>
      <c r="S71" s="563"/>
      <c r="T71" s="639"/>
      <c r="U71" s="563"/>
      <c r="V71" s="565"/>
      <c r="W71" s="565"/>
      <c r="X71" s="563"/>
      <c r="Y71" s="639"/>
      <c r="Z71" s="563"/>
      <c r="AA71" s="565"/>
      <c r="AB71" s="565"/>
      <c r="AC71" s="563"/>
      <c r="AD71" s="639"/>
      <c r="AE71" s="563"/>
      <c r="AF71" s="565"/>
      <c r="AG71" s="565"/>
      <c r="AH71" s="563"/>
      <c r="AI71" s="639"/>
      <c r="AJ71" s="563"/>
      <c r="AK71" s="565"/>
      <c r="AL71" s="565"/>
      <c r="AM71" s="563"/>
      <c r="AN71" s="639"/>
      <c r="AO71" s="563"/>
      <c r="AP71" s="565"/>
      <c r="AQ71" s="565"/>
      <c r="AR71" s="563"/>
      <c r="AS71" s="639"/>
      <c r="AT71" s="563"/>
      <c r="AU71" s="565"/>
      <c r="AV71" s="565"/>
      <c r="AW71" s="563"/>
      <c r="AX71" s="639"/>
      <c r="AZ71" s="368" t="e">
        <f t="shared" si="18"/>
        <v>#N/A</v>
      </c>
      <c r="BA71" s="639"/>
    </row>
    <row r="72" spans="2:53">
      <c r="B72" s="649"/>
      <c r="C72" s="520">
        <v>6</v>
      </c>
      <c r="D72" s="225"/>
      <c r="E72" s="565"/>
      <c r="F72" s="563"/>
      <c r="G72" s="564"/>
      <c r="H72" s="639"/>
      <c r="I72" s="521" t="str">
        <f t="shared" si="15"/>
        <v>-</v>
      </c>
      <c r="J72" s="521" t="str">
        <f t="shared" si="16"/>
        <v>-</v>
      </c>
      <c r="K72" s="199" t="str">
        <f t="shared" si="17"/>
        <v>-</v>
      </c>
      <c r="L72" s="698"/>
      <c r="M72" s="522" t="e">
        <f>RANK(K72, K$87:$K$101)</f>
        <v>#VALUE!</v>
      </c>
      <c r="N72" s="646"/>
      <c r="O72" s="646"/>
      <c r="P72" s="563"/>
      <c r="Q72" s="565"/>
      <c r="R72" s="565"/>
      <c r="S72" s="563"/>
      <c r="T72" s="639"/>
      <c r="U72" s="563"/>
      <c r="V72" s="565"/>
      <c r="W72" s="565"/>
      <c r="X72" s="563"/>
      <c r="Y72" s="639"/>
      <c r="Z72" s="563"/>
      <c r="AA72" s="565"/>
      <c r="AB72" s="565"/>
      <c r="AC72" s="563"/>
      <c r="AD72" s="639"/>
      <c r="AE72" s="563"/>
      <c r="AF72" s="565"/>
      <c r="AG72" s="565"/>
      <c r="AH72" s="563"/>
      <c r="AI72" s="639"/>
      <c r="AJ72" s="563"/>
      <c r="AK72" s="565"/>
      <c r="AL72" s="565"/>
      <c r="AM72" s="563"/>
      <c r="AN72" s="639"/>
      <c r="AO72" s="563"/>
      <c r="AP72" s="565"/>
      <c r="AQ72" s="565"/>
      <c r="AR72" s="563"/>
      <c r="AS72" s="639"/>
      <c r="AT72" s="563"/>
      <c r="AU72" s="565"/>
      <c r="AV72" s="565"/>
      <c r="AW72" s="563"/>
      <c r="AX72" s="639"/>
      <c r="AZ72" s="368" t="e">
        <f t="shared" si="18"/>
        <v>#N/A</v>
      </c>
      <c r="BA72" s="639"/>
    </row>
    <row r="73" spans="2:53">
      <c r="B73" s="649"/>
      <c r="C73" s="520">
        <v>7</v>
      </c>
      <c r="D73" s="225"/>
      <c r="E73" s="565"/>
      <c r="F73" s="563"/>
      <c r="G73" s="564"/>
      <c r="H73" s="639"/>
      <c r="I73" s="521" t="str">
        <f t="shared" si="15"/>
        <v>-</v>
      </c>
      <c r="J73" s="521" t="str">
        <f t="shared" si="16"/>
        <v>-</v>
      </c>
      <c r="K73" s="199" t="str">
        <f t="shared" si="17"/>
        <v>-</v>
      </c>
      <c r="L73" s="698"/>
      <c r="M73" s="522" t="e">
        <f>RANK(K73, K$87:$K$101)</f>
        <v>#VALUE!</v>
      </c>
      <c r="N73" s="646"/>
      <c r="O73" s="646"/>
      <c r="P73" s="563"/>
      <c r="Q73" s="565"/>
      <c r="R73" s="565"/>
      <c r="S73" s="563"/>
      <c r="T73" s="639"/>
      <c r="U73" s="563"/>
      <c r="V73" s="565"/>
      <c r="W73" s="565"/>
      <c r="X73" s="563"/>
      <c r="Y73" s="639"/>
      <c r="Z73" s="563"/>
      <c r="AA73" s="565"/>
      <c r="AB73" s="565"/>
      <c r="AC73" s="563"/>
      <c r="AD73" s="639"/>
      <c r="AE73" s="563"/>
      <c r="AF73" s="565"/>
      <c r="AG73" s="565"/>
      <c r="AH73" s="563"/>
      <c r="AI73" s="639"/>
      <c r="AJ73" s="563"/>
      <c r="AK73" s="565"/>
      <c r="AL73" s="565"/>
      <c r="AM73" s="563"/>
      <c r="AN73" s="639"/>
      <c r="AO73" s="563"/>
      <c r="AP73" s="565"/>
      <c r="AQ73" s="565"/>
      <c r="AR73" s="563"/>
      <c r="AS73" s="639"/>
      <c r="AT73" s="563"/>
      <c r="AU73" s="565"/>
      <c r="AV73" s="565"/>
      <c r="AW73" s="563"/>
      <c r="AX73" s="639"/>
      <c r="AZ73" s="368" t="e">
        <f t="shared" si="18"/>
        <v>#N/A</v>
      </c>
      <c r="BA73" s="639"/>
    </row>
    <row r="74" spans="2:53">
      <c r="B74" s="649"/>
      <c r="C74" s="520">
        <v>8</v>
      </c>
      <c r="D74" s="225"/>
      <c r="E74" s="565"/>
      <c r="F74" s="563"/>
      <c r="G74" s="564"/>
      <c r="H74" s="639"/>
      <c r="I74" s="521" t="str">
        <f t="shared" si="15"/>
        <v>-</v>
      </c>
      <c r="J74" s="521" t="str">
        <f t="shared" si="16"/>
        <v>-</v>
      </c>
      <c r="K74" s="199" t="str">
        <f t="shared" si="17"/>
        <v>-</v>
      </c>
      <c r="L74" s="698"/>
      <c r="M74" s="522" t="e">
        <f>RANK(K74, K$87:$K$101)</f>
        <v>#VALUE!</v>
      </c>
      <c r="N74" s="646"/>
      <c r="O74" s="646"/>
      <c r="P74" s="563"/>
      <c r="Q74" s="565"/>
      <c r="R74" s="565"/>
      <c r="S74" s="563"/>
      <c r="T74" s="639"/>
      <c r="U74" s="563"/>
      <c r="V74" s="565"/>
      <c r="W74" s="565"/>
      <c r="X74" s="563"/>
      <c r="Y74" s="639"/>
      <c r="Z74" s="563"/>
      <c r="AA74" s="565"/>
      <c r="AB74" s="565"/>
      <c r="AC74" s="563"/>
      <c r="AD74" s="639"/>
      <c r="AE74" s="563"/>
      <c r="AF74" s="565"/>
      <c r="AG74" s="565"/>
      <c r="AH74" s="563"/>
      <c r="AI74" s="639"/>
      <c r="AJ74" s="563"/>
      <c r="AK74" s="565"/>
      <c r="AL74" s="565"/>
      <c r="AM74" s="563"/>
      <c r="AN74" s="639"/>
      <c r="AO74" s="563"/>
      <c r="AP74" s="565"/>
      <c r="AQ74" s="565"/>
      <c r="AR74" s="563"/>
      <c r="AS74" s="639"/>
      <c r="AT74" s="563"/>
      <c r="AU74" s="565"/>
      <c r="AV74" s="565"/>
      <c r="AW74" s="563"/>
      <c r="AX74" s="639"/>
      <c r="AZ74" s="368" t="e">
        <f t="shared" si="18"/>
        <v>#N/A</v>
      </c>
      <c r="BA74" s="639"/>
    </row>
    <row r="75" spans="2:53">
      <c r="B75" s="649"/>
      <c r="C75" s="520">
        <v>9</v>
      </c>
      <c r="D75" s="225"/>
      <c r="E75" s="565"/>
      <c r="F75" s="563"/>
      <c r="G75" s="564"/>
      <c r="H75" s="639"/>
      <c r="I75" s="521" t="str">
        <f t="shared" si="15"/>
        <v>-</v>
      </c>
      <c r="J75" s="521" t="str">
        <f t="shared" si="16"/>
        <v>-</v>
      </c>
      <c r="K75" s="199" t="str">
        <f t="shared" si="17"/>
        <v>-</v>
      </c>
      <c r="L75" s="698"/>
      <c r="M75" s="522" t="e">
        <f>RANK(K75, K$87:$K$101)</f>
        <v>#VALUE!</v>
      </c>
      <c r="N75" s="646"/>
      <c r="O75" s="646"/>
      <c r="P75" s="563"/>
      <c r="Q75" s="565"/>
      <c r="R75" s="565"/>
      <c r="S75" s="563"/>
      <c r="T75" s="639"/>
      <c r="U75" s="563"/>
      <c r="V75" s="565"/>
      <c r="W75" s="565"/>
      <c r="X75" s="563"/>
      <c r="Y75" s="639"/>
      <c r="Z75" s="563"/>
      <c r="AA75" s="565"/>
      <c r="AB75" s="565"/>
      <c r="AC75" s="563"/>
      <c r="AD75" s="639"/>
      <c r="AE75" s="563"/>
      <c r="AF75" s="565"/>
      <c r="AG75" s="565"/>
      <c r="AH75" s="563"/>
      <c r="AI75" s="639"/>
      <c r="AJ75" s="563"/>
      <c r="AK75" s="565"/>
      <c r="AL75" s="565"/>
      <c r="AM75" s="563"/>
      <c r="AN75" s="639"/>
      <c r="AO75" s="563"/>
      <c r="AP75" s="565"/>
      <c r="AQ75" s="565"/>
      <c r="AR75" s="563"/>
      <c r="AS75" s="639"/>
      <c r="AT75" s="563"/>
      <c r="AU75" s="565"/>
      <c r="AV75" s="565"/>
      <c r="AW75" s="563"/>
      <c r="AX75" s="639"/>
      <c r="AZ75" s="368" t="e">
        <f t="shared" si="18"/>
        <v>#N/A</v>
      </c>
      <c r="BA75" s="639"/>
    </row>
    <row r="76" spans="2:53">
      <c r="B76" s="649"/>
      <c r="C76" s="520">
        <v>10</v>
      </c>
      <c r="D76" s="225"/>
      <c r="E76" s="565"/>
      <c r="F76" s="563"/>
      <c r="G76" s="564"/>
      <c r="H76" s="639"/>
      <c r="I76" s="521" t="str">
        <f t="shared" si="15"/>
        <v>-</v>
      </c>
      <c r="J76" s="521" t="str">
        <f t="shared" si="16"/>
        <v>-</v>
      </c>
      <c r="K76" s="199" t="str">
        <f t="shared" si="17"/>
        <v>-</v>
      </c>
      <c r="L76" s="698"/>
      <c r="M76" s="522" t="e">
        <f>RANK(K76, K$87:$K$101)</f>
        <v>#VALUE!</v>
      </c>
      <c r="N76" s="646"/>
      <c r="O76" s="646"/>
      <c r="P76" s="563"/>
      <c r="Q76" s="565"/>
      <c r="R76" s="565"/>
      <c r="S76" s="563"/>
      <c r="T76" s="639"/>
      <c r="U76" s="563"/>
      <c r="V76" s="565"/>
      <c r="W76" s="565"/>
      <c r="X76" s="563"/>
      <c r="Y76" s="639"/>
      <c r="Z76" s="563"/>
      <c r="AA76" s="565"/>
      <c r="AB76" s="565"/>
      <c r="AC76" s="563"/>
      <c r="AD76" s="639"/>
      <c r="AE76" s="563"/>
      <c r="AF76" s="565"/>
      <c r="AG76" s="565"/>
      <c r="AH76" s="563"/>
      <c r="AI76" s="639"/>
      <c r="AJ76" s="563"/>
      <c r="AK76" s="565"/>
      <c r="AL76" s="565"/>
      <c r="AM76" s="563"/>
      <c r="AN76" s="639"/>
      <c r="AO76" s="563"/>
      <c r="AP76" s="565"/>
      <c r="AQ76" s="565"/>
      <c r="AR76" s="563"/>
      <c r="AS76" s="639"/>
      <c r="AT76" s="563"/>
      <c r="AU76" s="565"/>
      <c r="AV76" s="565"/>
      <c r="AW76" s="563"/>
      <c r="AX76" s="639"/>
      <c r="AZ76" s="368" t="e">
        <f t="shared" si="18"/>
        <v>#N/A</v>
      </c>
      <c r="BA76" s="639"/>
    </row>
    <row r="77" spans="2:53">
      <c r="B77" s="649"/>
      <c r="C77" s="520">
        <v>11</v>
      </c>
      <c r="D77" s="225"/>
      <c r="E77" s="565"/>
      <c r="F77" s="563"/>
      <c r="G77" s="564"/>
      <c r="H77" s="639"/>
      <c r="I77" s="521" t="str">
        <f t="shared" si="15"/>
        <v>-</v>
      </c>
      <c r="J77" s="521" t="str">
        <f t="shared" si="16"/>
        <v>-</v>
      </c>
      <c r="K77" s="199" t="str">
        <f t="shared" si="17"/>
        <v>-</v>
      </c>
      <c r="L77" s="698"/>
      <c r="M77" s="522" t="e">
        <f>RANK(K77, K$87:$K$101)</f>
        <v>#VALUE!</v>
      </c>
      <c r="N77" s="646"/>
      <c r="O77" s="646"/>
      <c r="P77" s="563"/>
      <c r="Q77" s="565"/>
      <c r="R77" s="565"/>
      <c r="S77" s="563"/>
      <c r="T77" s="639"/>
      <c r="U77" s="563"/>
      <c r="V77" s="565"/>
      <c r="W77" s="565"/>
      <c r="X77" s="563"/>
      <c r="Y77" s="639"/>
      <c r="Z77" s="563"/>
      <c r="AA77" s="565"/>
      <c r="AB77" s="565"/>
      <c r="AC77" s="563"/>
      <c r="AD77" s="639"/>
      <c r="AE77" s="563"/>
      <c r="AF77" s="565"/>
      <c r="AG77" s="565"/>
      <c r="AH77" s="563"/>
      <c r="AI77" s="639"/>
      <c r="AJ77" s="563"/>
      <c r="AK77" s="565"/>
      <c r="AL77" s="565"/>
      <c r="AM77" s="563"/>
      <c r="AN77" s="639"/>
      <c r="AO77" s="563"/>
      <c r="AP77" s="565"/>
      <c r="AQ77" s="565"/>
      <c r="AR77" s="563"/>
      <c r="AS77" s="639"/>
      <c r="AT77" s="563"/>
      <c r="AU77" s="565"/>
      <c r="AV77" s="565"/>
      <c r="AW77" s="563"/>
      <c r="AX77" s="639"/>
      <c r="AZ77" s="368" t="e">
        <f t="shared" si="18"/>
        <v>#N/A</v>
      </c>
      <c r="BA77" s="639"/>
    </row>
    <row r="78" spans="2:53">
      <c r="B78" s="649"/>
      <c r="C78" s="520">
        <v>12</v>
      </c>
      <c r="D78" s="225"/>
      <c r="E78" s="565"/>
      <c r="F78" s="563"/>
      <c r="G78" s="564"/>
      <c r="H78" s="639"/>
      <c r="I78" s="521" t="str">
        <f t="shared" si="15"/>
        <v>-</v>
      </c>
      <c r="J78" s="521" t="str">
        <f t="shared" si="16"/>
        <v>-</v>
      </c>
      <c r="K78" s="199" t="str">
        <f t="shared" si="17"/>
        <v>-</v>
      </c>
      <c r="L78" s="698"/>
      <c r="M78" s="522" t="e">
        <f>RANK(K78, K$87:$K$101)</f>
        <v>#VALUE!</v>
      </c>
      <c r="N78" s="646"/>
      <c r="O78" s="646"/>
      <c r="P78" s="563"/>
      <c r="Q78" s="565"/>
      <c r="R78" s="565"/>
      <c r="S78" s="563"/>
      <c r="T78" s="639"/>
      <c r="U78" s="563"/>
      <c r="V78" s="565"/>
      <c r="W78" s="565"/>
      <c r="X78" s="563"/>
      <c r="Y78" s="639"/>
      <c r="Z78" s="563"/>
      <c r="AA78" s="565"/>
      <c r="AB78" s="565"/>
      <c r="AC78" s="563"/>
      <c r="AD78" s="639"/>
      <c r="AE78" s="563"/>
      <c r="AF78" s="565"/>
      <c r="AG78" s="565"/>
      <c r="AH78" s="563"/>
      <c r="AI78" s="639"/>
      <c r="AJ78" s="563"/>
      <c r="AK78" s="565"/>
      <c r="AL78" s="565"/>
      <c r="AM78" s="563"/>
      <c r="AN78" s="639"/>
      <c r="AO78" s="563"/>
      <c r="AP78" s="565"/>
      <c r="AQ78" s="565"/>
      <c r="AR78" s="563"/>
      <c r="AS78" s="639"/>
      <c r="AT78" s="563"/>
      <c r="AU78" s="565"/>
      <c r="AV78" s="565"/>
      <c r="AW78" s="563"/>
      <c r="AX78" s="639"/>
      <c r="AZ78" s="368" t="e">
        <f t="shared" si="18"/>
        <v>#N/A</v>
      </c>
      <c r="BA78" s="639"/>
    </row>
    <row r="79" spans="2:53">
      <c r="B79" s="649"/>
      <c r="C79" s="520">
        <v>13</v>
      </c>
      <c r="D79" s="225"/>
      <c r="E79" s="565"/>
      <c r="F79" s="563"/>
      <c r="G79" s="564"/>
      <c r="H79" s="639"/>
      <c r="I79" s="521" t="str">
        <f t="shared" si="15"/>
        <v>-</v>
      </c>
      <c r="J79" s="521" t="str">
        <f t="shared" si="16"/>
        <v>-</v>
      </c>
      <c r="K79" s="199" t="str">
        <f t="shared" si="17"/>
        <v>-</v>
      </c>
      <c r="L79" s="698"/>
      <c r="M79" s="522" t="e">
        <f>RANK(K79, K$87:$K$101)</f>
        <v>#VALUE!</v>
      </c>
      <c r="N79" s="646"/>
      <c r="O79" s="646"/>
      <c r="P79" s="563"/>
      <c r="Q79" s="565"/>
      <c r="R79" s="565"/>
      <c r="S79" s="563"/>
      <c r="T79" s="639"/>
      <c r="U79" s="563"/>
      <c r="V79" s="565"/>
      <c r="W79" s="565"/>
      <c r="X79" s="563"/>
      <c r="Y79" s="639"/>
      <c r="Z79" s="563"/>
      <c r="AA79" s="565"/>
      <c r="AB79" s="565"/>
      <c r="AC79" s="563"/>
      <c r="AD79" s="639"/>
      <c r="AE79" s="563"/>
      <c r="AF79" s="565"/>
      <c r="AG79" s="565"/>
      <c r="AH79" s="563"/>
      <c r="AI79" s="639"/>
      <c r="AJ79" s="563"/>
      <c r="AK79" s="565"/>
      <c r="AL79" s="565"/>
      <c r="AM79" s="563"/>
      <c r="AN79" s="639"/>
      <c r="AO79" s="563"/>
      <c r="AP79" s="565"/>
      <c r="AQ79" s="565"/>
      <c r="AR79" s="563"/>
      <c r="AS79" s="639"/>
      <c r="AT79" s="563"/>
      <c r="AU79" s="565"/>
      <c r="AV79" s="565"/>
      <c r="AW79" s="563"/>
      <c r="AX79" s="639"/>
      <c r="AZ79" s="368" t="e">
        <f t="shared" si="18"/>
        <v>#N/A</v>
      </c>
      <c r="BA79" s="639"/>
    </row>
    <row r="80" spans="2:53">
      <c r="B80" s="649"/>
      <c r="C80" s="520">
        <v>14</v>
      </c>
      <c r="D80" s="225"/>
      <c r="E80" s="565"/>
      <c r="F80" s="563"/>
      <c r="G80" s="564"/>
      <c r="H80" s="639"/>
      <c r="I80" s="521" t="str">
        <f t="shared" si="15"/>
        <v>-</v>
      </c>
      <c r="J80" s="521" t="str">
        <f t="shared" si="16"/>
        <v>-</v>
      </c>
      <c r="K80" s="199" t="str">
        <f t="shared" si="17"/>
        <v>-</v>
      </c>
      <c r="L80" s="698"/>
      <c r="M80" s="522" t="e">
        <f>RANK(K80, K$87:$K$101)</f>
        <v>#VALUE!</v>
      </c>
      <c r="N80" s="646"/>
      <c r="O80" s="646"/>
      <c r="P80" s="563"/>
      <c r="Q80" s="565"/>
      <c r="R80" s="565"/>
      <c r="S80" s="563"/>
      <c r="T80" s="639"/>
      <c r="U80" s="563"/>
      <c r="V80" s="565"/>
      <c r="W80" s="565"/>
      <c r="X80" s="563"/>
      <c r="Y80" s="639"/>
      <c r="Z80" s="563"/>
      <c r="AA80" s="565"/>
      <c r="AB80" s="565"/>
      <c r="AC80" s="563"/>
      <c r="AD80" s="639"/>
      <c r="AE80" s="563"/>
      <c r="AF80" s="565"/>
      <c r="AG80" s="565"/>
      <c r="AH80" s="563"/>
      <c r="AI80" s="639"/>
      <c r="AJ80" s="563"/>
      <c r="AK80" s="565"/>
      <c r="AL80" s="565"/>
      <c r="AM80" s="563"/>
      <c r="AN80" s="639"/>
      <c r="AO80" s="563"/>
      <c r="AP80" s="565"/>
      <c r="AQ80" s="565"/>
      <c r="AR80" s="563"/>
      <c r="AS80" s="639"/>
      <c r="AT80" s="563"/>
      <c r="AU80" s="565"/>
      <c r="AV80" s="565"/>
      <c r="AW80" s="563"/>
      <c r="AX80" s="639"/>
      <c r="AZ80" s="368" t="e">
        <f t="shared" si="18"/>
        <v>#N/A</v>
      </c>
      <c r="BA80" s="639"/>
    </row>
    <row r="81" spans="2:53">
      <c r="B81" s="649"/>
      <c r="C81" s="520">
        <v>15</v>
      </c>
      <c r="D81" s="225"/>
      <c r="E81" s="565"/>
      <c r="F81" s="563"/>
      <c r="G81" s="564"/>
      <c r="H81" s="640"/>
      <c r="I81" s="521" t="str">
        <f t="shared" ref="I81" si="20">IFERROR(AVERAGE(P81,U81,Z81,AE81,AJ81,AO81,AT81),"-")</f>
        <v>-</v>
      </c>
      <c r="J81" s="521" t="str">
        <f t="shared" ref="J81" si="21">IFERROR(AVERAGE(Q81,V81,AA81,AF81,AK81,AP81,AU81),"-")</f>
        <v>-</v>
      </c>
      <c r="K81" s="199" t="str">
        <f t="shared" ref="K81" si="22">IFERROR(AVERAGE(R81,W81,AB81,AG81,AL81,AQ81,AV81),"-")</f>
        <v>-</v>
      </c>
      <c r="L81" s="699"/>
      <c r="M81" s="521" t="e">
        <f>RANK(K81, K$87:$K$101)</f>
        <v>#VALUE!</v>
      </c>
      <c r="N81" s="647"/>
      <c r="O81" s="647"/>
      <c r="P81" s="563"/>
      <c r="Q81" s="565"/>
      <c r="R81" s="565"/>
      <c r="S81" s="563"/>
      <c r="T81" s="640"/>
      <c r="U81" s="563"/>
      <c r="V81" s="565"/>
      <c r="W81" s="565"/>
      <c r="X81" s="563"/>
      <c r="Y81" s="640"/>
      <c r="Z81" s="563"/>
      <c r="AA81" s="565"/>
      <c r="AB81" s="565"/>
      <c r="AC81" s="563"/>
      <c r="AD81" s="640"/>
      <c r="AE81" s="563"/>
      <c r="AF81" s="565"/>
      <c r="AG81" s="565"/>
      <c r="AH81" s="563"/>
      <c r="AI81" s="640"/>
      <c r="AJ81" s="563"/>
      <c r="AK81" s="565"/>
      <c r="AL81" s="565"/>
      <c r="AM81" s="563"/>
      <c r="AN81" s="640"/>
      <c r="AO81" s="563"/>
      <c r="AP81" s="565"/>
      <c r="AQ81" s="565"/>
      <c r="AR81" s="563"/>
      <c r="AS81" s="640"/>
      <c r="AT81" s="563"/>
      <c r="AU81" s="565"/>
      <c r="AV81" s="565"/>
      <c r="AW81" s="563"/>
      <c r="AX81" s="640"/>
      <c r="AZ81" s="368" t="e">
        <f t="shared" si="18"/>
        <v>#N/A</v>
      </c>
      <c r="BA81" s="640"/>
    </row>
    <row r="82" spans="2:53" ht="15.75">
      <c r="B82" s="671" t="s">
        <v>162</v>
      </c>
      <c r="C82" s="672"/>
      <c r="D82" s="672"/>
      <c r="E82" s="672"/>
      <c r="F82" s="672"/>
      <c r="G82" s="672"/>
      <c r="H82" s="673"/>
      <c r="I82" s="207"/>
      <c r="J82" s="207"/>
      <c r="K82" s="207"/>
      <c r="L82" s="207"/>
      <c r="M82" s="206"/>
      <c r="N82" s="645" t="s">
        <v>156</v>
      </c>
      <c r="O82" s="645" t="s">
        <v>105</v>
      </c>
      <c r="P82" s="670">
        <f>P62+7</f>
        <v>46294</v>
      </c>
      <c r="Q82" s="649"/>
      <c r="R82" s="649"/>
      <c r="S82" s="649"/>
      <c r="T82" s="649"/>
      <c r="U82" s="667">
        <f>P82+1</f>
        <v>46295</v>
      </c>
      <c r="V82" s="668"/>
      <c r="W82" s="668"/>
      <c r="X82" s="668"/>
      <c r="Y82" s="669"/>
      <c r="Z82" s="667">
        <f>U82+1</f>
        <v>46296</v>
      </c>
      <c r="AA82" s="668"/>
      <c r="AB82" s="668"/>
      <c r="AC82" s="668"/>
      <c r="AD82" s="669"/>
      <c r="AE82" s="667">
        <f>Z82+1</f>
        <v>46297</v>
      </c>
      <c r="AF82" s="668"/>
      <c r="AG82" s="668"/>
      <c r="AH82" s="668"/>
      <c r="AI82" s="669"/>
      <c r="AJ82" s="667">
        <f>AE82+1</f>
        <v>46298</v>
      </c>
      <c r="AK82" s="668"/>
      <c r="AL82" s="668"/>
      <c r="AM82" s="668"/>
      <c r="AN82" s="669"/>
      <c r="AO82" s="667">
        <f>AJ82+1</f>
        <v>46299</v>
      </c>
      <c r="AP82" s="668"/>
      <c r="AQ82" s="668"/>
      <c r="AR82" s="668"/>
      <c r="AS82" s="669"/>
      <c r="AT82" s="667">
        <f>AO82+1</f>
        <v>46300</v>
      </c>
      <c r="AU82" s="668"/>
      <c r="AV82" s="668"/>
      <c r="AW82" s="668"/>
      <c r="AX82" s="669"/>
    </row>
    <row r="83" spans="2:53" ht="15.75">
      <c r="B83" s="674"/>
      <c r="C83" s="674"/>
      <c r="D83" s="674"/>
      <c r="E83" s="674"/>
      <c r="F83" s="674"/>
      <c r="G83" s="674"/>
      <c r="H83" s="674"/>
      <c r="I83" s="204"/>
      <c r="J83" s="204"/>
      <c r="K83" s="204"/>
      <c r="L83" s="204"/>
      <c r="M83" s="205"/>
      <c r="N83" s="647"/>
      <c r="O83" s="647"/>
      <c r="P83" s="670" t="s">
        <v>317</v>
      </c>
      <c r="Q83" s="649"/>
      <c r="R83" s="649"/>
      <c r="S83" s="649"/>
      <c r="T83" s="649"/>
      <c r="U83" s="670" t="s">
        <v>318</v>
      </c>
      <c r="V83" s="649"/>
      <c r="W83" s="649"/>
      <c r="X83" s="649"/>
      <c r="Y83" s="649"/>
      <c r="Z83" s="670" t="s">
        <v>319</v>
      </c>
      <c r="AA83" s="649"/>
      <c r="AB83" s="649"/>
      <c r="AC83" s="649"/>
      <c r="AD83" s="649"/>
      <c r="AE83" s="670" t="s">
        <v>320</v>
      </c>
      <c r="AF83" s="649"/>
      <c r="AG83" s="649"/>
      <c r="AH83" s="649"/>
      <c r="AI83" s="649"/>
      <c r="AJ83" s="670" t="s">
        <v>321</v>
      </c>
      <c r="AK83" s="649"/>
      <c r="AL83" s="649"/>
      <c r="AM83" s="649"/>
      <c r="AN83" s="649"/>
      <c r="AO83" s="670" t="s">
        <v>322</v>
      </c>
      <c r="AP83" s="649"/>
      <c r="AQ83" s="649"/>
      <c r="AR83" s="649"/>
      <c r="AS83" s="649"/>
      <c r="AT83" s="670" t="s">
        <v>323</v>
      </c>
      <c r="AU83" s="649"/>
      <c r="AV83" s="649"/>
      <c r="AW83" s="649"/>
      <c r="AX83" s="649"/>
    </row>
    <row r="84" spans="2:53">
      <c r="B84" s="643" t="s">
        <v>382</v>
      </c>
      <c r="C84" s="643" t="s">
        <v>372</v>
      </c>
      <c r="D84" s="643"/>
      <c r="E84" s="643" t="s">
        <v>363</v>
      </c>
      <c r="F84" s="643"/>
      <c r="G84" s="643"/>
      <c r="H84" s="675" t="s">
        <v>359</v>
      </c>
      <c r="I84" s="690" t="s">
        <v>364</v>
      </c>
      <c r="J84" s="690"/>
      <c r="K84" s="690"/>
      <c r="L84" s="691" t="s">
        <v>359</v>
      </c>
      <c r="M84" s="679" t="s">
        <v>360</v>
      </c>
      <c r="N84" s="643"/>
      <c r="O84" s="643" t="s">
        <v>365</v>
      </c>
      <c r="P84" s="661" t="s">
        <v>361</v>
      </c>
      <c r="Q84" s="662"/>
      <c r="R84" s="662"/>
      <c r="S84" s="663"/>
      <c r="T84" s="643" t="s">
        <v>359</v>
      </c>
      <c r="U84" s="661" t="s">
        <v>361</v>
      </c>
      <c r="V84" s="662"/>
      <c r="W84" s="662"/>
      <c r="X84" s="663"/>
      <c r="Y84" s="643" t="s">
        <v>359</v>
      </c>
      <c r="Z84" s="661" t="s">
        <v>361</v>
      </c>
      <c r="AA84" s="662"/>
      <c r="AB84" s="662"/>
      <c r="AC84" s="663"/>
      <c r="AD84" s="643" t="s">
        <v>359</v>
      </c>
      <c r="AE84" s="661" t="s">
        <v>361</v>
      </c>
      <c r="AF84" s="662"/>
      <c r="AG84" s="662"/>
      <c r="AH84" s="663"/>
      <c r="AI84" s="643" t="s">
        <v>359</v>
      </c>
      <c r="AJ84" s="661" t="s">
        <v>361</v>
      </c>
      <c r="AK84" s="662"/>
      <c r="AL84" s="662"/>
      <c r="AM84" s="663"/>
      <c r="AN84" s="643" t="s">
        <v>359</v>
      </c>
      <c r="AO84" s="661" t="s">
        <v>361</v>
      </c>
      <c r="AP84" s="662"/>
      <c r="AQ84" s="662"/>
      <c r="AR84" s="663"/>
      <c r="AS84" s="643" t="s">
        <v>359</v>
      </c>
      <c r="AT84" s="661" t="s">
        <v>361</v>
      </c>
      <c r="AU84" s="662"/>
      <c r="AV84" s="662"/>
      <c r="AW84" s="663"/>
      <c r="AX84" s="643" t="s">
        <v>359</v>
      </c>
      <c r="BA84" s="643" t="s">
        <v>359</v>
      </c>
    </row>
    <row r="85" spans="2:53">
      <c r="B85" s="643"/>
      <c r="C85" s="643"/>
      <c r="D85" s="643"/>
      <c r="E85" s="643" t="s">
        <v>366</v>
      </c>
      <c r="F85" s="643"/>
      <c r="G85" s="643"/>
      <c r="H85" s="676"/>
      <c r="I85" s="690" t="s">
        <v>366</v>
      </c>
      <c r="J85" s="690"/>
      <c r="K85" s="690"/>
      <c r="L85" s="692"/>
      <c r="M85" s="680"/>
      <c r="N85" s="643"/>
      <c r="O85" s="643"/>
      <c r="P85" s="661" t="s">
        <v>367</v>
      </c>
      <c r="Q85" s="662"/>
      <c r="R85" s="662"/>
      <c r="S85" s="663"/>
      <c r="T85" s="643"/>
      <c r="U85" s="661" t="s">
        <v>367</v>
      </c>
      <c r="V85" s="662"/>
      <c r="W85" s="662"/>
      <c r="X85" s="663"/>
      <c r="Y85" s="643"/>
      <c r="Z85" s="661" t="s">
        <v>367</v>
      </c>
      <c r="AA85" s="662"/>
      <c r="AB85" s="662"/>
      <c r="AC85" s="663"/>
      <c r="AD85" s="643"/>
      <c r="AE85" s="661" t="s">
        <v>367</v>
      </c>
      <c r="AF85" s="662"/>
      <c r="AG85" s="662"/>
      <c r="AH85" s="663"/>
      <c r="AI85" s="643"/>
      <c r="AJ85" s="661" t="s">
        <v>367</v>
      </c>
      <c r="AK85" s="662"/>
      <c r="AL85" s="662"/>
      <c r="AM85" s="663"/>
      <c r="AN85" s="643"/>
      <c r="AO85" s="661" t="s">
        <v>367</v>
      </c>
      <c r="AP85" s="662"/>
      <c r="AQ85" s="662"/>
      <c r="AR85" s="663"/>
      <c r="AS85" s="643"/>
      <c r="AT85" s="661" t="s">
        <v>367</v>
      </c>
      <c r="AU85" s="662"/>
      <c r="AV85" s="662"/>
      <c r="AW85" s="663"/>
      <c r="AX85" s="643"/>
      <c r="BA85" s="643"/>
    </row>
    <row r="86" spans="2:53">
      <c r="B86" s="643"/>
      <c r="C86" s="643"/>
      <c r="D86" s="643"/>
      <c r="E86" s="378" t="s">
        <v>368</v>
      </c>
      <c r="F86" s="378" t="s">
        <v>369</v>
      </c>
      <c r="G86" s="378" t="s">
        <v>370</v>
      </c>
      <c r="H86" s="677"/>
      <c r="I86" s="377" t="s">
        <v>368</v>
      </c>
      <c r="J86" s="377" t="s">
        <v>369</v>
      </c>
      <c r="K86" s="377" t="s">
        <v>370</v>
      </c>
      <c r="L86" s="693"/>
      <c r="M86" s="681"/>
      <c r="N86" s="643"/>
      <c r="O86" s="643"/>
      <c r="P86" s="378" t="s">
        <v>368</v>
      </c>
      <c r="Q86" s="378" t="s">
        <v>369</v>
      </c>
      <c r="R86" s="378" t="s">
        <v>370</v>
      </c>
      <c r="S86" s="378" t="s">
        <v>360</v>
      </c>
      <c r="T86" s="643"/>
      <c r="U86" s="378" t="s">
        <v>368</v>
      </c>
      <c r="V86" s="378" t="s">
        <v>369</v>
      </c>
      <c r="W86" s="378" t="s">
        <v>370</v>
      </c>
      <c r="X86" s="378" t="s">
        <v>360</v>
      </c>
      <c r="Y86" s="643"/>
      <c r="Z86" s="378" t="s">
        <v>368</v>
      </c>
      <c r="AA86" s="378" t="s">
        <v>369</v>
      </c>
      <c r="AB86" s="378" t="s">
        <v>370</v>
      </c>
      <c r="AC86" s="378" t="s">
        <v>360</v>
      </c>
      <c r="AD86" s="643"/>
      <c r="AE86" s="378" t="s">
        <v>368</v>
      </c>
      <c r="AF86" s="378" t="s">
        <v>369</v>
      </c>
      <c r="AG86" s="378" t="s">
        <v>370</v>
      </c>
      <c r="AH86" s="378" t="s">
        <v>360</v>
      </c>
      <c r="AI86" s="643"/>
      <c r="AJ86" s="378" t="s">
        <v>368</v>
      </c>
      <c r="AK86" s="378" t="s">
        <v>369</v>
      </c>
      <c r="AL86" s="378" t="s">
        <v>370</v>
      </c>
      <c r="AM86" s="378" t="s">
        <v>360</v>
      </c>
      <c r="AN86" s="643"/>
      <c r="AO86" s="378" t="s">
        <v>368</v>
      </c>
      <c r="AP86" s="378" t="s">
        <v>369</v>
      </c>
      <c r="AQ86" s="378" t="s">
        <v>370</v>
      </c>
      <c r="AR86" s="378" t="s">
        <v>360</v>
      </c>
      <c r="AS86" s="643"/>
      <c r="AT86" s="378" t="s">
        <v>368</v>
      </c>
      <c r="AU86" s="378" t="s">
        <v>369</v>
      </c>
      <c r="AV86" s="378" t="s">
        <v>370</v>
      </c>
      <c r="AW86" s="378" t="s">
        <v>360</v>
      </c>
      <c r="AX86" s="643"/>
      <c r="AZ86" s="367" t="s">
        <v>360</v>
      </c>
      <c r="BA86" s="643"/>
    </row>
    <row r="87" spans="2:53">
      <c r="B87" s="643" t="s">
        <v>397</v>
      </c>
      <c r="C87" s="379">
        <v>1</v>
      </c>
      <c r="D87" s="225"/>
      <c r="E87" s="516"/>
      <c r="F87" s="513"/>
      <c r="G87" s="512"/>
      <c r="H87" s="702" t="e">
        <f>AVERAGE(G87:G101)</f>
        <v>#DIV/0!</v>
      </c>
      <c r="I87" s="381" t="str">
        <f t="shared" ref="I87:I100" si="23">IFERROR(AVERAGE(P87,U87,Z87,AE87,AJ87,AO87,AT87),"-")</f>
        <v>-</v>
      </c>
      <c r="J87" s="381" t="str">
        <f t="shared" ref="J87:J100" si="24">IFERROR(AVERAGE(Q87,V87,AA87,AF87,AK87,AP87,AU87),"-")</f>
        <v>-</v>
      </c>
      <c r="K87" s="199" t="str">
        <f t="shared" ref="K87:K100" si="25">IFERROR(AVERAGE(R87,W87,AB87,AG87,AL87,AQ87,AV87),"-")</f>
        <v>-</v>
      </c>
      <c r="L87" s="658" t="str">
        <f>IFERROR(AVERAGE(K87:K101),"-")</f>
        <v>-</v>
      </c>
      <c r="M87" s="383" t="e">
        <f>RANK(K87, K$87:$K$101)</f>
        <v>#VALUE!</v>
      </c>
      <c r="N87" s="643"/>
      <c r="O87" s="643"/>
      <c r="P87" s="563"/>
      <c r="Q87" s="565"/>
      <c r="R87" s="565"/>
      <c r="S87" s="563"/>
      <c r="T87" s="638"/>
      <c r="U87" s="563"/>
      <c r="V87" s="565"/>
      <c r="W87" s="565"/>
      <c r="X87" s="563"/>
      <c r="Y87" s="638"/>
      <c r="Z87" s="563"/>
      <c r="AA87" s="565"/>
      <c r="AB87" s="565"/>
      <c r="AC87" s="563"/>
      <c r="AD87" s="638"/>
      <c r="AE87" s="563"/>
      <c r="AF87" s="565"/>
      <c r="AG87" s="565"/>
      <c r="AH87" s="563"/>
      <c r="AI87" s="638"/>
      <c r="AJ87" s="563"/>
      <c r="AK87" s="565"/>
      <c r="AL87" s="565"/>
      <c r="AM87" s="563"/>
      <c r="AN87" s="638"/>
      <c r="AO87" s="563"/>
      <c r="AP87" s="565"/>
      <c r="AQ87" s="565"/>
      <c r="AR87" s="563"/>
      <c r="AS87" s="638"/>
      <c r="AT87" s="563"/>
      <c r="AU87" s="565"/>
      <c r="AV87" s="565"/>
      <c r="AW87" s="563"/>
      <c r="AX87" s="638"/>
      <c r="AZ87" s="368" t="e">
        <f t="shared" ref="AZ87:AZ101" si="26">RANK(AY87, AY$87:AY$101)</f>
        <v>#N/A</v>
      </c>
      <c r="BA87" s="644" t="e">
        <f t="shared" ref="BA87" si="27">AVERAGE(AY87:AY101)</f>
        <v>#DIV/0!</v>
      </c>
    </row>
    <row r="88" spans="2:53">
      <c r="B88" s="649"/>
      <c r="C88" s="379">
        <v>2</v>
      </c>
      <c r="D88" s="225"/>
      <c r="E88" s="516"/>
      <c r="F88" s="513"/>
      <c r="G88" s="512"/>
      <c r="H88" s="703"/>
      <c r="I88" s="381" t="str">
        <f t="shared" si="23"/>
        <v>-</v>
      </c>
      <c r="J88" s="381" t="str">
        <f t="shared" si="24"/>
        <v>-</v>
      </c>
      <c r="K88" s="199" t="str">
        <f t="shared" si="25"/>
        <v>-</v>
      </c>
      <c r="L88" s="659"/>
      <c r="M88" s="383" t="e">
        <f>RANK(K88, K$87:$K$101)</f>
        <v>#VALUE!</v>
      </c>
      <c r="N88" s="643"/>
      <c r="O88" s="643"/>
      <c r="P88" s="563"/>
      <c r="Q88" s="565"/>
      <c r="R88" s="565"/>
      <c r="S88" s="563"/>
      <c r="T88" s="639"/>
      <c r="U88" s="563"/>
      <c r="V88" s="565"/>
      <c r="W88" s="565"/>
      <c r="X88" s="563"/>
      <c r="Y88" s="639"/>
      <c r="Z88" s="563"/>
      <c r="AA88" s="565"/>
      <c r="AB88" s="565"/>
      <c r="AC88" s="563"/>
      <c r="AD88" s="639"/>
      <c r="AE88" s="563"/>
      <c r="AF88" s="565"/>
      <c r="AG88" s="565"/>
      <c r="AH88" s="563"/>
      <c r="AI88" s="639"/>
      <c r="AJ88" s="563"/>
      <c r="AK88" s="565"/>
      <c r="AL88" s="565"/>
      <c r="AM88" s="563"/>
      <c r="AN88" s="639"/>
      <c r="AO88" s="563"/>
      <c r="AP88" s="565"/>
      <c r="AQ88" s="565"/>
      <c r="AR88" s="563"/>
      <c r="AS88" s="639"/>
      <c r="AT88" s="563"/>
      <c r="AU88" s="565"/>
      <c r="AV88" s="565"/>
      <c r="AW88" s="563"/>
      <c r="AX88" s="639"/>
      <c r="AZ88" s="368" t="e">
        <f t="shared" si="26"/>
        <v>#N/A</v>
      </c>
      <c r="BA88" s="644"/>
    </row>
    <row r="89" spans="2:53">
      <c r="B89" s="649"/>
      <c r="C89" s="379">
        <v>3</v>
      </c>
      <c r="D89" s="225"/>
      <c r="E89" s="516"/>
      <c r="F89" s="513"/>
      <c r="G89" s="512"/>
      <c r="H89" s="703"/>
      <c r="I89" s="381" t="str">
        <f t="shared" si="23"/>
        <v>-</v>
      </c>
      <c r="J89" s="381" t="str">
        <f t="shared" si="24"/>
        <v>-</v>
      </c>
      <c r="K89" s="199" t="str">
        <f t="shared" si="25"/>
        <v>-</v>
      </c>
      <c r="L89" s="659"/>
      <c r="M89" s="383" t="e">
        <f>RANK(K89, K$87:$K$101)</f>
        <v>#VALUE!</v>
      </c>
      <c r="N89" s="643"/>
      <c r="O89" s="643"/>
      <c r="P89" s="563"/>
      <c r="Q89" s="565"/>
      <c r="R89" s="565"/>
      <c r="S89" s="563"/>
      <c r="T89" s="639"/>
      <c r="U89" s="563"/>
      <c r="V89" s="565"/>
      <c r="W89" s="565"/>
      <c r="X89" s="563"/>
      <c r="Y89" s="639"/>
      <c r="Z89" s="563"/>
      <c r="AA89" s="565"/>
      <c r="AB89" s="565"/>
      <c r="AC89" s="563"/>
      <c r="AD89" s="639"/>
      <c r="AE89" s="563"/>
      <c r="AF89" s="565"/>
      <c r="AG89" s="565"/>
      <c r="AH89" s="563"/>
      <c r="AI89" s="639"/>
      <c r="AJ89" s="563"/>
      <c r="AK89" s="565"/>
      <c r="AL89" s="565"/>
      <c r="AM89" s="563"/>
      <c r="AN89" s="639"/>
      <c r="AO89" s="563"/>
      <c r="AP89" s="565"/>
      <c r="AQ89" s="565"/>
      <c r="AR89" s="563"/>
      <c r="AS89" s="639"/>
      <c r="AT89" s="563"/>
      <c r="AU89" s="565"/>
      <c r="AV89" s="565"/>
      <c r="AW89" s="563"/>
      <c r="AX89" s="639"/>
      <c r="AZ89" s="368" t="e">
        <f t="shared" si="26"/>
        <v>#N/A</v>
      </c>
      <c r="BA89" s="644"/>
    </row>
    <row r="90" spans="2:53">
      <c r="B90" s="649"/>
      <c r="C90" s="379">
        <v>4</v>
      </c>
      <c r="D90" s="225"/>
      <c r="E90" s="516"/>
      <c r="F90" s="513"/>
      <c r="G90" s="512"/>
      <c r="H90" s="703"/>
      <c r="I90" s="381" t="str">
        <f t="shared" si="23"/>
        <v>-</v>
      </c>
      <c r="J90" s="381" t="str">
        <f t="shared" si="24"/>
        <v>-</v>
      </c>
      <c r="K90" s="199" t="str">
        <f t="shared" si="25"/>
        <v>-</v>
      </c>
      <c r="L90" s="659"/>
      <c r="M90" s="383" t="e">
        <f>RANK(K90, K$87:$K$101)</f>
        <v>#VALUE!</v>
      </c>
      <c r="N90" s="643"/>
      <c r="O90" s="643"/>
      <c r="P90" s="563"/>
      <c r="Q90" s="565"/>
      <c r="R90" s="565"/>
      <c r="S90" s="563"/>
      <c r="T90" s="639"/>
      <c r="U90" s="563"/>
      <c r="V90" s="565"/>
      <c r="W90" s="565"/>
      <c r="X90" s="563"/>
      <c r="Y90" s="639"/>
      <c r="Z90" s="563"/>
      <c r="AA90" s="565"/>
      <c r="AB90" s="565"/>
      <c r="AC90" s="563"/>
      <c r="AD90" s="639"/>
      <c r="AE90" s="563"/>
      <c r="AF90" s="565"/>
      <c r="AG90" s="565"/>
      <c r="AH90" s="563"/>
      <c r="AI90" s="639"/>
      <c r="AJ90" s="563"/>
      <c r="AK90" s="565"/>
      <c r="AL90" s="565"/>
      <c r="AM90" s="563"/>
      <c r="AN90" s="639"/>
      <c r="AO90" s="563"/>
      <c r="AP90" s="565"/>
      <c r="AQ90" s="565"/>
      <c r="AR90" s="563"/>
      <c r="AS90" s="639"/>
      <c r="AT90" s="563"/>
      <c r="AU90" s="565"/>
      <c r="AV90" s="565"/>
      <c r="AW90" s="563"/>
      <c r="AX90" s="639"/>
      <c r="AZ90" s="368" t="e">
        <f t="shared" si="26"/>
        <v>#N/A</v>
      </c>
      <c r="BA90" s="644"/>
    </row>
    <row r="91" spans="2:53">
      <c r="B91" s="649"/>
      <c r="C91" s="379">
        <v>5</v>
      </c>
      <c r="D91" s="225"/>
      <c r="E91" s="516"/>
      <c r="F91" s="513"/>
      <c r="G91" s="512"/>
      <c r="H91" s="703"/>
      <c r="I91" s="381" t="str">
        <f t="shared" si="23"/>
        <v>-</v>
      </c>
      <c r="J91" s="381" t="str">
        <f t="shared" si="24"/>
        <v>-</v>
      </c>
      <c r="K91" s="199" t="str">
        <f t="shared" si="25"/>
        <v>-</v>
      </c>
      <c r="L91" s="659"/>
      <c r="M91" s="383" t="e">
        <f>RANK(K91, K$87:$K$101)</f>
        <v>#VALUE!</v>
      </c>
      <c r="N91" s="643"/>
      <c r="O91" s="643"/>
      <c r="P91" s="563"/>
      <c r="Q91" s="565"/>
      <c r="R91" s="565"/>
      <c r="S91" s="563"/>
      <c r="T91" s="639"/>
      <c r="U91" s="563"/>
      <c r="V91" s="565"/>
      <c r="W91" s="565"/>
      <c r="X91" s="563"/>
      <c r="Y91" s="639"/>
      <c r="Z91" s="563"/>
      <c r="AA91" s="565"/>
      <c r="AB91" s="565"/>
      <c r="AC91" s="563"/>
      <c r="AD91" s="639"/>
      <c r="AE91" s="563"/>
      <c r="AF91" s="565"/>
      <c r="AG91" s="565"/>
      <c r="AH91" s="563"/>
      <c r="AI91" s="639"/>
      <c r="AJ91" s="563"/>
      <c r="AK91" s="565"/>
      <c r="AL91" s="565"/>
      <c r="AM91" s="563"/>
      <c r="AN91" s="639"/>
      <c r="AO91" s="563"/>
      <c r="AP91" s="565"/>
      <c r="AQ91" s="565"/>
      <c r="AR91" s="563"/>
      <c r="AS91" s="639"/>
      <c r="AT91" s="563"/>
      <c r="AU91" s="565"/>
      <c r="AV91" s="565"/>
      <c r="AW91" s="563"/>
      <c r="AX91" s="639"/>
      <c r="AZ91" s="368" t="e">
        <f t="shared" si="26"/>
        <v>#N/A</v>
      </c>
      <c r="BA91" s="644"/>
    </row>
    <row r="92" spans="2:53">
      <c r="B92" s="649"/>
      <c r="C92" s="379">
        <v>6</v>
      </c>
      <c r="D92" s="225"/>
      <c r="E92" s="516"/>
      <c r="F92" s="513"/>
      <c r="G92" s="512"/>
      <c r="H92" s="703"/>
      <c r="I92" s="381" t="str">
        <f t="shared" si="23"/>
        <v>-</v>
      </c>
      <c r="J92" s="381" t="str">
        <f t="shared" si="24"/>
        <v>-</v>
      </c>
      <c r="K92" s="199" t="str">
        <f t="shared" si="25"/>
        <v>-</v>
      </c>
      <c r="L92" s="659"/>
      <c r="M92" s="383" t="e">
        <f>RANK(K92, K$87:$K$101)</f>
        <v>#VALUE!</v>
      </c>
      <c r="N92" s="643"/>
      <c r="O92" s="643"/>
      <c r="P92" s="563"/>
      <c r="Q92" s="565"/>
      <c r="R92" s="565"/>
      <c r="S92" s="563"/>
      <c r="T92" s="639"/>
      <c r="U92" s="563"/>
      <c r="V92" s="565"/>
      <c r="W92" s="565"/>
      <c r="X92" s="563"/>
      <c r="Y92" s="639"/>
      <c r="Z92" s="563"/>
      <c r="AA92" s="565"/>
      <c r="AB92" s="565"/>
      <c r="AC92" s="563"/>
      <c r="AD92" s="639"/>
      <c r="AE92" s="563"/>
      <c r="AF92" s="565"/>
      <c r="AG92" s="565"/>
      <c r="AH92" s="563"/>
      <c r="AI92" s="639"/>
      <c r="AJ92" s="563"/>
      <c r="AK92" s="565"/>
      <c r="AL92" s="565"/>
      <c r="AM92" s="563"/>
      <c r="AN92" s="639"/>
      <c r="AO92" s="563"/>
      <c r="AP92" s="565"/>
      <c r="AQ92" s="565"/>
      <c r="AR92" s="563"/>
      <c r="AS92" s="639"/>
      <c r="AT92" s="563"/>
      <c r="AU92" s="565"/>
      <c r="AV92" s="565"/>
      <c r="AW92" s="563"/>
      <c r="AX92" s="639"/>
      <c r="AZ92" s="368" t="e">
        <f t="shared" si="26"/>
        <v>#N/A</v>
      </c>
      <c r="BA92" s="644"/>
    </row>
    <row r="93" spans="2:53">
      <c r="B93" s="649"/>
      <c r="C93" s="379">
        <v>7</v>
      </c>
      <c r="D93" s="225"/>
      <c r="E93" s="516"/>
      <c r="F93" s="513"/>
      <c r="G93" s="512"/>
      <c r="H93" s="703"/>
      <c r="I93" s="381" t="str">
        <f t="shared" si="23"/>
        <v>-</v>
      </c>
      <c r="J93" s="381" t="str">
        <f t="shared" si="24"/>
        <v>-</v>
      </c>
      <c r="K93" s="199" t="str">
        <f t="shared" si="25"/>
        <v>-</v>
      </c>
      <c r="L93" s="659"/>
      <c r="M93" s="383" t="e">
        <f>RANK(K93, K$87:$K$101)</f>
        <v>#VALUE!</v>
      </c>
      <c r="N93" s="643"/>
      <c r="O93" s="643"/>
      <c r="P93" s="563"/>
      <c r="Q93" s="565"/>
      <c r="R93" s="565"/>
      <c r="S93" s="563"/>
      <c r="T93" s="639"/>
      <c r="U93" s="563"/>
      <c r="V93" s="565"/>
      <c r="W93" s="565"/>
      <c r="X93" s="563"/>
      <c r="Y93" s="639"/>
      <c r="Z93" s="563"/>
      <c r="AA93" s="565"/>
      <c r="AB93" s="565"/>
      <c r="AC93" s="563"/>
      <c r="AD93" s="639"/>
      <c r="AE93" s="563"/>
      <c r="AF93" s="565"/>
      <c r="AG93" s="565"/>
      <c r="AH93" s="563"/>
      <c r="AI93" s="639"/>
      <c r="AJ93" s="563"/>
      <c r="AK93" s="565"/>
      <c r="AL93" s="565"/>
      <c r="AM93" s="563"/>
      <c r="AN93" s="639"/>
      <c r="AO93" s="563"/>
      <c r="AP93" s="565"/>
      <c r="AQ93" s="565"/>
      <c r="AR93" s="563"/>
      <c r="AS93" s="639"/>
      <c r="AT93" s="563"/>
      <c r="AU93" s="565"/>
      <c r="AV93" s="565"/>
      <c r="AW93" s="563"/>
      <c r="AX93" s="639"/>
      <c r="AZ93" s="368" t="e">
        <f t="shared" si="26"/>
        <v>#N/A</v>
      </c>
      <c r="BA93" s="644"/>
    </row>
    <row r="94" spans="2:53">
      <c r="B94" s="649"/>
      <c r="C94" s="379">
        <v>8</v>
      </c>
      <c r="D94" s="225"/>
      <c r="E94" s="516"/>
      <c r="F94" s="513"/>
      <c r="G94" s="512"/>
      <c r="H94" s="703"/>
      <c r="I94" s="381" t="str">
        <f t="shared" si="23"/>
        <v>-</v>
      </c>
      <c r="J94" s="381" t="str">
        <f t="shared" si="24"/>
        <v>-</v>
      </c>
      <c r="K94" s="199" t="str">
        <f t="shared" si="25"/>
        <v>-</v>
      </c>
      <c r="L94" s="659"/>
      <c r="M94" s="383" t="e">
        <f>RANK(K94, K$87:$K$101)</f>
        <v>#VALUE!</v>
      </c>
      <c r="N94" s="643"/>
      <c r="O94" s="643"/>
      <c r="P94" s="563"/>
      <c r="Q94" s="565"/>
      <c r="R94" s="565"/>
      <c r="S94" s="563"/>
      <c r="T94" s="639"/>
      <c r="U94" s="563"/>
      <c r="V94" s="565"/>
      <c r="W94" s="565"/>
      <c r="X94" s="563"/>
      <c r="Y94" s="639"/>
      <c r="Z94" s="563"/>
      <c r="AA94" s="565"/>
      <c r="AB94" s="565"/>
      <c r="AC94" s="563"/>
      <c r="AD94" s="639"/>
      <c r="AE94" s="563"/>
      <c r="AF94" s="565"/>
      <c r="AG94" s="565"/>
      <c r="AH94" s="563"/>
      <c r="AI94" s="639"/>
      <c r="AJ94" s="563"/>
      <c r="AK94" s="565"/>
      <c r="AL94" s="565"/>
      <c r="AM94" s="563"/>
      <c r="AN94" s="639"/>
      <c r="AO94" s="563"/>
      <c r="AP94" s="565"/>
      <c r="AQ94" s="565"/>
      <c r="AR94" s="563"/>
      <c r="AS94" s="639"/>
      <c r="AT94" s="563"/>
      <c r="AU94" s="565"/>
      <c r="AV94" s="565"/>
      <c r="AW94" s="563"/>
      <c r="AX94" s="639"/>
      <c r="AZ94" s="368" t="e">
        <f t="shared" si="26"/>
        <v>#N/A</v>
      </c>
      <c r="BA94" s="644"/>
    </row>
    <row r="95" spans="2:53">
      <c r="B95" s="649"/>
      <c r="C95" s="379">
        <v>9</v>
      </c>
      <c r="D95" s="225"/>
      <c r="E95" s="516"/>
      <c r="F95" s="513"/>
      <c r="G95" s="512"/>
      <c r="H95" s="703"/>
      <c r="I95" s="381" t="str">
        <f t="shared" si="23"/>
        <v>-</v>
      </c>
      <c r="J95" s="381" t="str">
        <f t="shared" si="24"/>
        <v>-</v>
      </c>
      <c r="K95" s="199" t="str">
        <f t="shared" si="25"/>
        <v>-</v>
      </c>
      <c r="L95" s="659"/>
      <c r="M95" s="383" t="e">
        <f>RANK(K95, K$87:$K$101)</f>
        <v>#VALUE!</v>
      </c>
      <c r="N95" s="643"/>
      <c r="O95" s="643"/>
      <c r="P95" s="563"/>
      <c r="Q95" s="565"/>
      <c r="R95" s="565"/>
      <c r="S95" s="563"/>
      <c r="T95" s="639"/>
      <c r="U95" s="563"/>
      <c r="V95" s="565"/>
      <c r="W95" s="565"/>
      <c r="X95" s="563"/>
      <c r="Y95" s="639"/>
      <c r="Z95" s="563"/>
      <c r="AA95" s="565"/>
      <c r="AB95" s="565"/>
      <c r="AC95" s="563"/>
      <c r="AD95" s="639"/>
      <c r="AE95" s="563"/>
      <c r="AF95" s="565"/>
      <c r="AG95" s="565"/>
      <c r="AH95" s="563"/>
      <c r="AI95" s="639"/>
      <c r="AJ95" s="563"/>
      <c r="AK95" s="565"/>
      <c r="AL95" s="565"/>
      <c r="AM95" s="563"/>
      <c r="AN95" s="639"/>
      <c r="AO95" s="563"/>
      <c r="AP95" s="565"/>
      <c r="AQ95" s="565"/>
      <c r="AR95" s="563"/>
      <c r="AS95" s="639"/>
      <c r="AT95" s="563"/>
      <c r="AU95" s="565"/>
      <c r="AV95" s="565"/>
      <c r="AW95" s="563"/>
      <c r="AX95" s="639"/>
      <c r="AZ95" s="368" t="e">
        <f t="shared" si="26"/>
        <v>#N/A</v>
      </c>
      <c r="BA95" s="644"/>
    </row>
    <row r="96" spans="2:53">
      <c r="B96" s="649"/>
      <c r="C96" s="379">
        <v>10</v>
      </c>
      <c r="D96" s="225"/>
      <c r="E96" s="516"/>
      <c r="F96" s="513"/>
      <c r="G96" s="512"/>
      <c r="H96" s="703"/>
      <c r="I96" s="381" t="str">
        <f t="shared" si="23"/>
        <v>-</v>
      </c>
      <c r="J96" s="381" t="str">
        <f t="shared" si="24"/>
        <v>-</v>
      </c>
      <c r="K96" s="199" t="str">
        <f t="shared" si="25"/>
        <v>-</v>
      </c>
      <c r="L96" s="659"/>
      <c r="M96" s="383" t="e">
        <f>RANK(K96, K$87:$K$101)</f>
        <v>#VALUE!</v>
      </c>
      <c r="N96" s="643"/>
      <c r="O96" s="643"/>
      <c r="P96" s="563"/>
      <c r="Q96" s="565"/>
      <c r="R96" s="565"/>
      <c r="S96" s="563"/>
      <c r="T96" s="639"/>
      <c r="U96" s="563"/>
      <c r="V96" s="565"/>
      <c r="W96" s="565"/>
      <c r="X96" s="563"/>
      <c r="Y96" s="639"/>
      <c r="Z96" s="563"/>
      <c r="AA96" s="565"/>
      <c r="AB96" s="565"/>
      <c r="AC96" s="563"/>
      <c r="AD96" s="639"/>
      <c r="AE96" s="563"/>
      <c r="AF96" s="565"/>
      <c r="AG96" s="565"/>
      <c r="AH96" s="563"/>
      <c r="AI96" s="639"/>
      <c r="AJ96" s="563"/>
      <c r="AK96" s="565"/>
      <c r="AL96" s="565"/>
      <c r="AM96" s="563"/>
      <c r="AN96" s="639"/>
      <c r="AO96" s="563"/>
      <c r="AP96" s="565"/>
      <c r="AQ96" s="565"/>
      <c r="AR96" s="563"/>
      <c r="AS96" s="639"/>
      <c r="AT96" s="563"/>
      <c r="AU96" s="565"/>
      <c r="AV96" s="565"/>
      <c r="AW96" s="563"/>
      <c r="AX96" s="639"/>
      <c r="AZ96" s="368" t="e">
        <f t="shared" si="26"/>
        <v>#N/A</v>
      </c>
      <c r="BA96" s="644"/>
    </row>
    <row r="97" spans="2:53">
      <c r="B97" s="649"/>
      <c r="C97" s="379">
        <v>11</v>
      </c>
      <c r="D97" s="225"/>
      <c r="E97" s="516"/>
      <c r="F97" s="513"/>
      <c r="G97" s="512"/>
      <c r="H97" s="703"/>
      <c r="I97" s="381" t="str">
        <f t="shared" si="23"/>
        <v>-</v>
      </c>
      <c r="J97" s="381" t="str">
        <f t="shared" si="24"/>
        <v>-</v>
      </c>
      <c r="K97" s="199" t="str">
        <f t="shared" si="25"/>
        <v>-</v>
      </c>
      <c r="L97" s="659"/>
      <c r="M97" s="383" t="e">
        <f>RANK(K97, K$87:$K$101)</f>
        <v>#VALUE!</v>
      </c>
      <c r="N97" s="643"/>
      <c r="O97" s="643"/>
      <c r="P97" s="563"/>
      <c r="Q97" s="565"/>
      <c r="R97" s="565"/>
      <c r="S97" s="563"/>
      <c r="T97" s="639"/>
      <c r="U97" s="563"/>
      <c r="V97" s="565"/>
      <c r="W97" s="565"/>
      <c r="X97" s="563"/>
      <c r="Y97" s="639"/>
      <c r="Z97" s="563"/>
      <c r="AA97" s="565"/>
      <c r="AB97" s="565"/>
      <c r="AC97" s="563"/>
      <c r="AD97" s="639"/>
      <c r="AE97" s="563"/>
      <c r="AF97" s="565"/>
      <c r="AG97" s="565"/>
      <c r="AH97" s="563"/>
      <c r="AI97" s="639"/>
      <c r="AJ97" s="563"/>
      <c r="AK97" s="565"/>
      <c r="AL97" s="565"/>
      <c r="AM97" s="563"/>
      <c r="AN97" s="639"/>
      <c r="AO97" s="563"/>
      <c r="AP97" s="565"/>
      <c r="AQ97" s="565"/>
      <c r="AR97" s="563"/>
      <c r="AS97" s="639"/>
      <c r="AT97" s="563"/>
      <c r="AU97" s="565"/>
      <c r="AV97" s="565"/>
      <c r="AW97" s="563"/>
      <c r="AX97" s="639"/>
      <c r="AZ97" s="368" t="e">
        <f t="shared" si="26"/>
        <v>#N/A</v>
      </c>
      <c r="BA97" s="644"/>
    </row>
    <row r="98" spans="2:53">
      <c r="B98" s="649"/>
      <c r="C98" s="379">
        <v>12</v>
      </c>
      <c r="D98" s="225"/>
      <c r="E98" s="516"/>
      <c r="F98" s="513"/>
      <c r="G98" s="512"/>
      <c r="H98" s="703"/>
      <c r="I98" s="381" t="str">
        <f t="shared" si="23"/>
        <v>-</v>
      </c>
      <c r="J98" s="381" t="str">
        <f t="shared" si="24"/>
        <v>-</v>
      </c>
      <c r="K98" s="199" t="str">
        <f t="shared" si="25"/>
        <v>-</v>
      </c>
      <c r="L98" s="659"/>
      <c r="M98" s="383" t="e">
        <f>RANK(K98, K$87:$K$101)</f>
        <v>#VALUE!</v>
      </c>
      <c r="N98" s="643"/>
      <c r="O98" s="643"/>
      <c r="P98" s="563"/>
      <c r="Q98" s="565"/>
      <c r="R98" s="565"/>
      <c r="S98" s="563"/>
      <c r="T98" s="639"/>
      <c r="U98" s="563"/>
      <c r="V98" s="565"/>
      <c r="W98" s="565"/>
      <c r="X98" s="563"/>
      <c r="Y98" s="639"/>
      <c r="Z98" s="563"/>
      <c r="AA98" s="565"/>
      <c r="AB98" s="565"/>
      <c r="AC98" s="563"/>
      <c r="AD98" s="639"/>
      <c r="AE98" s="563"/>
      <c r="AF98" s="565"/>
      <c r="AG98" s="565"/>
      <c r="AH98" s="563"/>
      <c r="AI98" s="639"/>
      <c r="AJ98" s="563"/>
      <c r="AK98" s="565"/>
      <c r="AL98" s="565"/>
      <c r="AM98" s="563"/>
      <c r="AN98" s="639"/>
      <c r="AO98" s="563"/>
      <c r="AP98" s="565"/>
      <c r="AQ98" s="565"/>
      <c r="AR98" s="563"/>
      <c r="AS98" s="639"/>
      <c r="AT98" s="563"/>
      <c r="AU98" s="565"/>
      <c r="AV98" s="565"/>
      <c r="AW98" s="563"/>
      <c r="AX98" s="639"/>
      <c r="AZ98" s="368" t="e">
        <f t="shared" si="26"/>
        <v>#N/A</v>
      </c>
      <c r="BA98" s="644"/>
    </row>
    <row r="99" spans="2:53">
      <c r="B99" s="649"/>
      <c r="C99" s="379">
        <v>13</v>
      </c>
      <c r="D99" s="225"/>
      <c r="E99" s="516"/>
      <c r="F99" s="513"/>
      <c r="G99" s="512"/>
      <c r="H99" s="703"/>
      <c r="I99" s="381" t="str">
        <f t="shared" si="23"/>
        <v>-</v>
      </c>
      <c r="J99" s="381" t="str">
        <f t="shared" si="24"/>
        <v>-</v>
      </c>
      <c r="K99" s="199" t="str">
        <f t="shared" si="25"/>
        <v>-</v>
      </c>
      <c r="L99" s="659"/>
      <c r="M99" s="383" t="e">
        <f>RANK(K99, K$87:$K$101)</f>
        <v>#VALUE!</v>
      </c>
      <c r="N99" s="643"/>
      <c r="O99" s="643"/>
      <c r="P99" s="563"/>
      <c r="Q99" s="565"/>
      <c r="R99" s="565"/>
      <c r="S99" s="563"/>
      <c r="T99" s="639"/>
      <c r="U99" s="563"/>
      <c r="V99" s="565"/>
      <c r="W99" s="565"/>
      <c r="X99" s="563"/>
      <c r="Y99" s="639"/>
      <c r="Z99" s="563"/>
      <c r="AA99" s="565"/>
      <c r="AB99" s="565"/>
      <c r="AC99" s="563"/>
      <c r="AD99" s="639"/>
      <c r="AE99" s="563"/>
      <c r="AF99" s="565"/>
      <c r="AG99" s="565"/>
      <c r="AH99" s="563"/>
      <c r="AI99" s="639"/>
      <c r="AJ99" s="563"/>
      <c r="AK99" s="565"/>
      <c r="AL99" s="565"/>
      <c r="AM99" s="563"/>
      <c r="AN99" s="639"/>
      <c r="AO99" s="563"/>
      <c r="AP99" s="565"/>
      <c r="AQ99" s="565"/>
      <c r="AR99" s="563"/>
      <c r="AS99" s="639"/>
      <c r="AT99" s="563"/>
      <c r="AU99" s="565"/>
      <c r="AV99" s="565"/>
      <c r="AW99" s="563"/>
      <c r="AX99" s="639"/>
      <c r="AZ99" s="368" t="e">
        <f t="shared" si="26"/>
        <v>#N/A</v>
      </c>
      <c r="BA99" s="644"/>
    </row>
    <row r="100" spans="2:53">
      <c r="B100" s="649"/>
      <c r="C100" s="379">
        <v>14</v>
      </c>
      <c r="D100" s="225"/>
      <c r="E100" s="516"/>
      <c r="F100" s="513"/>
      <c r="G100" s="512"/>
      <c r="H100" s="703"/>
      <c r="I100" s="381" t="str">
        <f t="shared" si="23"/>
        <v>-</v>
      </c>
      <c r="J100" s="381" t="str">
        <f t="shared" si="24"/>
        <v>-</v>
      </c>
      <c r="K100" s="199" t="str">
        <f t="shared" si="25"/>
        <v>-</v>
      </c>
      <c r="L100" s="659"/>
      <c r="M100" s="383" t="e">
        <f>RANK(K100, K$87:$K$101)</f>
        <v>#VALUE!</v>
      </c>
      <c r="N100" s="643"/>
      <c r="O100" s="643"/>
      <c r="P100" s="563"/>
      <c r="Q100" s="565"/>
      <c r="R100" s="565"/>
      <c r="S100" s="563"/>
      <c r="T100" s="639"/>
      <c r="U100" s="563"/>
      <c r="V100" s="565"/>
      <c r="W100" s="565"/>
      <c r="X100" s="563"/>
      <c r="Y100" s="639"/>
      <c r="Z100" s="563"/>
      <c r="AA100" s="565"/>
      <c r="AB100" s="565"/>
      <c r="AC100" s="563"/>
      <c r="AD100" s="639"/>
      <c r="AE100" s="563"/>
      <c r="AF100" s="565"/>
      <c r="AG100" s="565"/>
      <c r="AH100" s="563"/>
      <c r="AI100" s="639"/>
      <c r="AJ100" s="563"/>
      <c r="AK100" s="565"/>
      <c r="AL100" s="565"/>
      <c r="AM100" s="563"/>
      <c r="AN100" s="639"/>
      <c r="AO100" s="563"/>
      <c r="AP100" s="565"/>
      <c r="AQ100" s="565"/>
      <c r="AR100" s="563"/>
      <c r="AS100" s="639"/>
      <c r="AT100" s="563"/>
      <c r="AU100" s="565"/>
      <c r="AV100" s="565"/>
      <c r="AW100" s="563"/>
      <c r="AX100" s="639"/>
      <c r="AZ100" s="368" t="e">
        <f t="shared" si="26"/>
        <v>#N/A</v>
      </c>
      <c r="BA100" s="644"/>
    </row>
    <row r="101" spans="2:53">
      <c r="B101" s="649"/>
      <c r="C101" s="379">
        <v>15</v>
      </c>
      <c r="D101" s="225"/>
      <c r="E101" s="516"/>
      <c r="F101" s="513"/>
      <c r="G101" s="512"/>
      <c r="H101" s="704"/>
      <c r="I101" s="201"/>
      <c r="J101" s="201"/>
      <c r="K101" s="201"/>
      <c r="L101" s="660"/>
      <c r="M101" s="381" t="e">
        <f>RANK(K101, K$87:$K$101)</f>
        <v>#N/A</v>
      </c>
      <c r="N101" s="643"/>
      <c r="O101" s="643"/>
      <c r="P101" s="563"/>
      <c r="Q101" s="565"/>
      <c r="R101" s="565"/>
      <c r="S101" s="563"/>
      <c r="T101" s="640"/>
      <c r="U101" s="563"/>
      <c r="V101" s="565"/>
      <c r="W101" s="565"/>
      <c r="X101" s="563"/>
      <c r="Y101" s="640"/>
      <c r="Z101" s="563"/>
      <c r="AA101" s="565"/>
      <c r="AB101" s="565"/>
      <c r="AC101" s="563"/>
      <c r="AD101" s="640"/>
      <c r="AE101" s="563"/>
      <c r="AF101" s="565"/>
      <c r="AG101" s="565"/>
      <c r="AH101" s="563"/>
      <c r="AI101" s="640"/>
      <c r="AJ101" s="563"/>
      <c r="AK101" s="565"/>
      <c r="AL101" s="565"/>
      <c r="AM101" s="563"/>
      <c r="AN101" s="640"/>
      <c r="AO101" s="563"/>
      <c r="AP101" s="565"/>
      <c r="AQ101" s="565"/>
      <c r="AR101" s="563"/>
      <c r="AS101" s="640"/>
      <c r="AT101" s="563"/>
      <c r="AU101" s="565"/>
      <c r="AV101" s="565"/>
      <c r="AW101" s="563"/>
      <c r="AX101" s="640"/>
      <c r="AZ101" s="368" t="e">
        <f t="shared" si="26"/>
        <v>#N/A</v>
      </c>
      <c r="BA101" s="644"/>
    </row>
    <row r="102" spans="2:53" ht="15.75">
      <c r="B102" s="671" t="s">
        <v>162</v>
      </c>
      <c r="C102" s="672"/>
      <c r="D102" s="672"/>
      <c r="E102" s="672"/>
      <c r="F102" s="672"/>
      <c r="G102" s="672"/>
      <c r="H102" s="673"/>
      <c r="I102" s="207"/>
      <c r="J102" s="207"/>
      <c r="K102" s="207"/>
      <c r="L102" s="207"/>
      <c r="M102" s="206"/>
      <c r="N102" s="645" t="s">
        <v>156</v>
      </c>
      <c r="O102" s="645" t="s">
        <v>105</v>
      </c>
      <c r="P102" s="670">
        <f>P82+7</f>
        <v>46301</v>
      </c>
      <c r="Q102" s="649"/>
      <c r="R102" s="649"/>
      <c r="S102" s="649"/>
      <c r="T102" s="649"/>
      <c r="U102" s="667">
        <f>P102+1</f>
        <v>46302</v>
      </c>
      <c r="V102" s="668"/>
      <c r="W102" s="668"/>
      <c r="X102" s="668"/>
      <c r="Y102" s="669"/>
      <c r="Z102" s="667">
        <f>U102+1</f>
        <v>46303</v>
      </c>
      <c r="AA102" s="668"/>
      <c r="AB102" s="668"/>
      <c r="AC102" s="668"/>
      <c r="AD102" s="669"/>
      <c r="AE102" s="667">
        <f>Z102+1</f>
        <v>46304</v>
      </c>
      <c r="AF102" s="668"/>
      <c r="AG102" s="668"/>
      <c r="AH102" s="668"/>
      <c r="AI102" s="669"/>
      <c r="AJ102" s="667">
        <f>AE102+1</f>
        <v>46305</v>
      </c>
      <c r="AK102" s="668"/>
      <c r="AL102" s="668"/>
      <c r="AM102" s="668"/>
      <c r="AN102" s="669"/>
      <c r="AO102" s="667">
        <f>AJ102+1</f>
        <v>46306</v>
      </c>
      <c r="AP102" s="668"/>
      <c r="AQ102" s="668"/>
      <c r="AR102" s="668"/>
      <c r="AS102" s="669"/>
      <c r="AT102" s="667">
        <f>AO102+1</f>
        <v>46307</v>
      </c>
      <c r="AU102" s="668"/>
      <c r="AV102" s="668"/>
      <c r="AW102" s="668"/>
      <c r="AX102" s="669"/>
    </row>
    <row r="103" spans="2:53" ht="15.75">
      <c r="B103" s="674"/>
      <c r="C103" s="674"/>
      <c r="D103" s="674"/>
      <c r="E103" s="674"/>
      <c r="F103" s="674"/>
      <c r="G103" s="674"/>
      <c r="H103" s="674"/>
      <c r="I103" s="204"/>
      <c r="J103" s="204"/>
      <c r="K103" s="204"/>
      <c r="L103" s="204"/>
      <c r="M103" s="205"/>
      <c r="N103" s="647"/>
      <c r="O103" s="647"/>
      <c r="P103" s="670" t="s">
        <v>158</v>
      </c>
      <c r="Q103" s="649"/>
      <c r="R103" s="649"/>
      <c r="S103" s="649"/>
      <c r="T103" s="649"/>
      <c r="U103" s="670" t="s">
        <v>114</v>
      </c>
      <c r="V103" s="649"/>
      <c r="W103" s="649"/>
      <c r="X103" s="649"/>
      <c r="Y103" s="649"/>
      <c r="Z103" s="670" t="s">
        <v>159</v>
      </c>
      <c r="AA103" s="649"/>
      <c r="AB103" s="649"/>
      <c r="AC103" s="649"/>
      <c r="AD103" s="649"/>
      <c r="AE103" s="670" t="s">
        <v>157</v>
      </c>
      <c r="AF103" s="649"/>
      <c r="AG103" s="649"/>
      <c r="AH103" s="649"/>
      <c r="AI103" s="649"/>
      <c r="AJ103" s="670" t="s">
        <v>160</v>
      </c>
      <c r="AK103" s="649"/>
      <c r="AL103" s="649"/>
      <c r="AM103" s="649"/>
      <c r="AN103" s="649"/>
      <c r="AO103" s="670" t="s">
        <v>115</v>
      </c>
      <c r="AP103" s="649"/>
      <c r="AQ103" s="649"/>
      <c r="AR103" s="649"/>
      <c r="AS103" s="649"/>
      <c r="AT103" s="670" t="s">
        <v>161</v>
      </c>
      <c r="AU103" s="649"/>
      <c r="AV103" s="649"/>
      <c r="AW103" s="649"/>
      <c r="AX103" s="649"/>
    </row>
    <row r="104" spans="2:53">
      <c r="B104" s="643" t="s">
        <v>154</v>
      </c>
      <c r="C104" s="643" t="s">
        <v>372</v>
      </c>
      <c r="D104" s="643"/>
      <c r="E104" s="643" t="s">
        <v>363</v>
      </c>
      <c r="F104" s="643"/>
      <c r="G104" s="643"/>
      <c r="H104" s="675" t="s">
        <v>359</v>
      </c>
      <c r="I104" s="690" t="s">
        <v>364</v>
      </c>
      <c r="J104" s="690"/>
      <c r="K104" s="690"/>
      <c r="L104" s="691" t="s">
        <v>359</v>
      </c>
      <c r="M104" s="679" t="s">
        <v>360</v>
      </c>
      <c r="N104" s="643"/>
      <c r="O104" s="643" t="s">
        <v>365</v>
      </c>
      <c r="P104" s="661" t="s">
        <v>361</v>
      </c>
      <c r="Q104" s="662"/>
      <c r="R104" s="662"/>
      <c r="S104" s="663"/>
      <c r="T104" s="643" t="s">
        <v>359</v>
      </c>
      <c r="U104" s="661" t="s">
        <v>361</v>
      </c>
      <c r="V104" s="662"/>
      <c r="W104" s="662"/>
      <c r="X104" s="663"/>
      <c r="Y104" s="643" t="s">
        <v>359</v>
      </c>
      <c r="Z104" s="661" t="s">
        <v>361</v>
      </c>
      <c r="AA104" s="662"/>
      <c r="AB104" s="662"/>
      <c r="AC104" s="663"/>
      <c r="AD104" s="643" t="s">
        <v>359</v>
      </c>
      <c r="AE104" s="661" t="s">
        <v>361</v>
      </c>
      <c r="AF104" s="662"/>
      <c r="AG104" s="662"/>
      <c r="AH104" s="663"/>
      <c r="AI104" s="643" t="s">
        <v>359</v>
      </c>
      <c r="AJ104" s="661" t="s">
        <v>361</v>
      </c>
      <c r="AK104" s="662"/>
      <c r="AL104" s="662"/>
      <c r="AM104" s="663"/>
      <c r="AN104" s="643" t="s">
        <v>359</v>
      </c>
      <c r="AO104" s="661" t="s">
        <v>361</v>
      </c>
      <c r="AP104" s="662"/>
      <c r="AQ104" s="662"/>
      <c r="AR104" s="663"/>
      <c r="AS104" s="643" t="s">
        <v>359</v>
      </c>
      <c r="AT104" s="661" t="s">
        <v>361</v>
      </c>
      <c r="AU104" s="662"/>
      <c r="AV104" s="662"/>
      <c r="AW104" s="663"/>
      <c r="AX104" s="643" t="s">
        <v>359</v>
      </c>
      <c r="BA104" s="643" t="s">
        <v>359</v>
      </c>
    </row>
    <row r="105" spans="2:53">
      <c r="B105" s="643"/>
      <c r="C105" s="643"/>
      <c r="D105" s="643"/>
      <c r="E105" s="643" t="s">
        <v>366</v>
      </c>
      <c r="F105" s="643"/>
      <c r="G105" s="643"/>
      <c r="H105" s="676"/>
      <c r="I105" s="690" t="s">
        <v>366</v>
      </c>
      <c r="J105" s="690"/>
      <c r="K105" s="690"/>
      <c r="L105" s="692"/>
      <c r="M105" s="680"/>
      <c r="N105" s="643"/>
      <c r="O105" s="643"/>
      <c r="P105" s="661" t="s">
        <v>367</v>
      </c>
      <c r="Q105" s="662"/>
      <c r="R105" s="662"/>
      <c r="S105" s="663"/>
      <c r="T105" s="643"/>
      <c r="U105" s="661" t="s">
        <v>367</v>
      </c>
      <c r="V105" s="662"/>
      <c r="W105" s="662"/>
      <c r="X105" s="663"/>
      <c r="Y105" s="643"/>
      <c r="Z105" s="661" t="s">
        <v>367</v>
      </c>
      <c r="AA105" s="662"/>
      <c r="AB105" s="662"/>
      <c r="AC105" s="663"/>
      <c r="AD105" s="643"/>
      <c r="AE105" s="661" t="s">
        <v>367</v>
      </c>
      <c r="AF105" s="662"/>
      <c r="AG105" s="662"/>
      <c r="AH105" s="663"/>
      <c r="AI105" s="643"/>
      <c r="AJ105" s="661" t="s">
        <v>367</v>
      </c>
      <c r="AK105" s="662"/>
      <c r="AL105" s="662"/>
      <c r="AM105" s="663"/>
      <c r="AN105" s="643"/>
      <c r="AO105" s="661" t="s">
        <v>367</v>
      </c>
      <c r="AP105" s="662"/>
      <c r="AQ105" s="662"/>
      <c r="AR105" s="663"/>
      <c r="AS105" s="643"/>
      <c r="AT105" s="661" t="s">
        <v>367</v>
      </c>
      <c r="AU105" s="662"/>
      <c r="AV105" s="662"/>
      <c r="AW105" s="663"/>
      <c r="AX105" s="643"/>
      <c r="BA105" s="643"/>
    </row>
    <row r="106" spans="2:53">
      <c r="B106" s="643"/>
      <c r="C106" s="643"/>
      <c r="D106" s="643"/>
      <c r="E106" s="304" t="s">
        <v>368</v>
      </c>
      <c r="F106" s="304" t="s">
        <v>369</v>
      </c>
      <c r="G106" s="304" t="s">
        <v>370</v>
      </c>
      <c r="H106" s="677"/>
      <c r="I106" s="305" t="s">
        <v>368</v>
      </c>
      <c r="J106" s="305" t="s">
        <v>369</v>
      </c>
      <c r="K106" s="305" t="s">
        <v>370</v>
      </c>
      <c r="L106" s="693"/>
      <c r="M106" s="681"/>
      <c r="N106" s="643"/>
      <c r="O106" s="643"/>
      <c r="P106" s="304" t="s">
        <v>368</v>
      </c>
      <c r="Q106" s="304" t="s">
        <v>369</v>
      </c>
      <c r="R106" s="304" t="s">
        <v>370</v>
      </c>
      <c r="S106" s="304" t="s">
        <v>360</v>
      </c>
      <c r="T106" s="643"/>
      <c r="U106" s="304" t="s">
        <v>368</v>
      </c>
      <c r="V106" s="304" t="s">
        <v>369</v>
      </c>
      <c r="W106" s="304" t="s">
        <v>370</v>
      </c>
      <c r="X106" s="304" t="s">
        <v>360</v>
      </c>
      <c r="Y106" s="643"/>
      <c r="Z106" s="304" t="s">
        <v>368</v>
      </c>
      <c r="AA106" s="304" t="s">
        <v>369</v>
      </c>
      <c r="AB106" s="304" t="s">
        <v>370</v>
      </c>
      <c r="AC106" s="304" t="s">
        <v>360</v>
      </c>
      <c r="AD106" s="643"/>
      <c r="AE106" s="304" t="s">
        <v>368</v>
      </c>
      <c r="AF106" s="304" t="s">
        <v>369</v>
      </c>
      <c r="AG106" s="304" t="s">
        <v>370</v>
      </c>
      <c r="AH106" s="304" t="s">
        <v>360</v>
      </c>
      <c r="AI106" s="643"/>
      <c r="AJ106" s="304" t="s">
        <v>368</v>
      </c>
      <c r="AK106" s="304" t="s">
        <v>369</v>
      </c>
      <c r="AL106" s="304" t="s">
        <v>370</v>
      </c>
      <c r="AM106" s="304" t="s">
        <v>360</v>
      </c>
      <c r="AN106" s="643"/>
      <c r="AO106" s="304" t="s">
        <v>368</v>
      </c>
      <c r="AP106" s="304" t="s">
        <v>369</v>
      </c>
      <c r="AQ106" s="304" t="s">
        <v>370</v>
      </c>
      <c r="AR106" s="304" t="s">
        <v>360</v>
      </c>
      <c r="AS106" s="643"/>
      <c r="AT106" s="304" t="s">
        <v>368</v>
      </c>
      <c r="AU106" s="304" t="s">
        <v>369</v>
      </c>
      <c r="AV106" s="304" t="s">
        <v>370</v>
      </c>
      <c r="AW106" s="304" t="s">
        <v>360</v>
      </c>
      <c r="AX106" s="643"/>
      <c r="AZ106" s="367" t="s">
        <v>360</v>
      </c>
      <c r="BA106" s="643"/>
    </row>
    <row r="107" spans="2:53">
      <c r="B107" s="643" t="s">
        <v>373</v>
      </c>
      <c r="C107" s="303">
        <v>1</v>
      </c>
      <c r="D107" s="225"/>
      <c r="E107" s="181"/>
      <c r="F107" s="303"/>
      <c r="G107" s="306"/>
      <c r="H107" s="702" t="e">
        <f>AVERAGE(G107:G121)</f>
        <v>#DIV/0!</v>
      </c>
      <c r="I107" s="363" t="str">
        <f t="shared" ref="I107:I120" si="28">IFERROR(AVERAGE(P107,U107,Z107,AE107,AJ107,AO107,AT107),"-")</f>
        <v>-</v>
      </c>
      <c r="J107" s="363" t="str">
        <f t="shared" ref="J107:J120" si="29">IFERROR(AVERAGE(Q107,V107,AA107,AF107,AK107,AP107,AU107),"-")</f>
        <v>-</v>
      </c>
      <c r="K107" s="199" t="str">
        <f t="shared" ref="K107:K120" si="30">IFERROR(AVERAGE(R107,W107,AB107,AG107,AL107,AQ107,AV107),"-")</f>
        <v>-</v>
      </c>
      <c r="L107" s="658" t="str">
        <f>IFERROR(AVERAGE(K107:K121),"-")</f>
        <v>-</v>
      </c>
      <c r="M107" s="510" t="e">
        <f>RANK(K107, K$107:$K$121)</f>
        <v>#VALUE!</v>
      </c>
      <c r="N107" s="643"/>
      <c r="O107" s="643"/>
      <c r="P107" s="563"/>
      <c r="Q107" s="565"/>
      <c r="R107" s="565"/>
      <c r="S107" s="563"/>
      <c r="T107" s="638"/>
      <c r="U107" s="563"/>
      <c r="V107" s="565"/>
      <c r="W107" s="565"/>
      <c r="X107" s="563"/>
      <c r="Y107" s="638"/>
      <c r="Z107" s="563"/>
      <c r="AA107" s="565"/>
      <c r="AB107" s="565"/>
      <c r="AC107" s="563"/>
      <c r="AD107" s="638"/>
      <c r="AE107" s="563"/>
      <c r="AF107" s="565"/>
      <c r="AG107" s="565"/>
      <c r="AH107" s="563"/>
      <c r="AI107" s="638"/>
      <c r="AJ107" s="563"/>
      <c r="AK107" s="565"/>
      <c r="AL107" s="565"/>
      <c r="AM107" s="563"/>
      <c r="AN107" s="638"/>
      <c r="AO107" s="563"/>
      <c r="AP107" s="565"/>
      <c r="AQ107" s="565"/>
      <c r="AR107" s="563"/>
      <c r="AS107" s="638"/>
      <c r="AT107" s="563"/>
      <c r="AU107" s="565"/>
      <c r="AV107" s="565"/>
      <c r="AW107" s="563"/>
      <c r="AX107" s="638"/>
      <c r="AZ107" s="368" t="e">
        <f>RANK(AY107, AY$107:AY$121)</f>
        <v>#N/A</v>
      </c>
      <c r="BA107" s="644" t="e">
        <f>AVERAGE(AY107:AY121)</f>
        <v>#DIV/0!</v>
      </c>
    </row>
    <row r="108" spans="2:53">
      <c r="B108" s="649"/>
      <c r="C108" s="303">
        <v>2</v>
      </c>
      <c r="D108" s="225"/>
      <c r="E108" s="181"/>
      <c r="F108" s="303"/>
      <c r="G108" s="306"/>
      <c r="H108" s="703"/>
      <c r="I108" s="363" t="str">
        <f t="shared" si="28"/>
        <v>-</v>
      </c>
      <c r="J108" s="363" t="str">
        <f t="shared" si="29"/>
        <v>-</v>
      </c>
      <c r="K108" s="199" t="str">
        <f t="shared" si="30"/>
        <v>-</v>
      </c>
      <c r="L108" s="659"/>
      <c r="M108" s="510" t="e">
        <f>RANK(K108, K$107:$K$121)</f>
        <v>#VALUE!</v>
      </c>
      <c r="N108" s="643"/>
      <c r="O108" s="643"/>
      <c r="P108" s="563"/>
      <c r="Q108" s="565"/>
      <c r="R108" s="565"/>
      <c r="S108" s="563"/>
      <c r="T108" s="639"/>
      <c r="U108" s="563"/>
      <c r="V108" s="565"/>
      <c r="W108" s="565"/>
      <c r="X108" s="563"/>
      <c r="Y108" s="639"/>
      <c r="Z108" s="563"/>
      <c r="AA108" s="565"/>
      <c r="AB108" s="565"/>
      <c r="AC108" s="563"/>
      <c r="AD108" s="639"/>
      <c r="AE108" s="563"/>
      <c r="AF108" s="565"/>
      <c r="AG108" s="565"/>
      <c r="AH108" s="563"/>
      <c r="AI108" s="639"/>
      <c r="AJ108" s="563"/>
      <c r="AK108" s="565"/>
      <c r="AL108" s="565"/>
      <c r="AM108" s="563"/>
      <c r="AN108" s="639"/>
      <c r="AO108" s="563"/>
      <c r="AP108" s="565"/>
      <c r="AQ108" s="565"/>
      <c r="AR108" s="563"/>
      <c r="AS108" s="639"/>
      <c r="AT108" s="563"/>
      <c r="AU108" s="565"/>
      <c r="AV108" s="565"/>
      <c r="AW108" s="563"/>
      <c r="AX108" s="639"/>
      <c r="AZ108" s="368" t="e">
        <f t="shared" ref="AZ108:AZ121" si="31">RANK(AY108, AY$107:AY$121)</f>
        <v>#N/A</v>
      </c>
      <c r="BA108" s="644"/>
    </row>
    <row r="109" spans="2:53">
      <c r="B109" s="649"/>
      <c r="C109" s="303">
        <v>3</v>
      </c>
      <c r="D109" s="225"/>
      <c r="E109" s="181"/>
      <c r="F109" s="303"/>
      <c r="G109" s="306"/>
      <c r="H109" s="703"/>
      <c r="I109" s="363" t="str">
        <f t="shared" si="28"/>
        <v>-</v>
      </c>
      <c r="J109" s="363" t="str">
        <f t="shared" si="29"/>
        <v>-</v>
      </c>
      <c r="K109" s="199" t="str">
        <f t="shared" si="30"/>
        <v>-</v>
      </c>
      <c r="L109" s="659"/>
      <c r="M109" s="510" t="e">
        <f>RANK(K109, K$107:$K$121)</f>
        <v>#VALUE!</v>
      </c>
      <c r="N109" s="643"/>
      <c r="O109" s="643"/>
      <c r="P109" s="563"/>
      <c r="Q109" s="565"/>
      <c r="R109" s="565"/>
      <c r="S109" s="563"/>
      <c r="T109" s="639"/>
      <c r="U109" s="563"/>
      <c r="V109" s="565"/>
      <c r="W109" s="565"/>
      <c r="X109" s="563"/>
      <c r="Y109" s="639"/>
      <c r="Z109" s="563"/>
      <c r="AA109" s="565"/>
      <c r="AB109" s="565"/>
      <c r="AC109" s="563"/>
      <c r="AD109" s="639"/>
      <c r="AE109" s="563"/>
      <c r="AF109" s="565"/>
      <c r="AG109" s="565"/>
      <c r="AH109" s="563"/>
      <c r="AI109" s="639"/>
      <c r="AJ109" s="563"/>
      <c r="AK109" s="565"/>
      <c r="AL109" s="565"/>
      <c r="AM109" s="563"/>
      <c r="AN109" s="639"/>
      <c r="AO109" s="563"/>
      <c r="AP109" s="565"/>
      <c r="AQ109" s="565"/>
      <c r="AR109" s="563"/>
      <c r="AS109" s="639"/>
      <c r="AT109" s="563"/>
      <c r="AU109" s="565"/>
      <c r="AV109" s="565"/>
      <c r="AW109" s="563"/>
      <c r="AX109" s="639"/>
      <c r="AZ109" s="368" t="e">
        <f t="shared" si="31"/>
        <v>#N/A</v>
      </c>
      <c r="BA109" s="644"/>
    </row>
    <row r="110" spans="2:53">
      <c r="B110" s="649"/>
      <c r="C110" s="303">
        <v>4</v>
      </c>
      <c r="D110" s="225"/>
      <c r="E110" s="181"/>
      <c r="F110" s="303"/>
      <c r="G110" s="306"/>
      <c r="H110" s="703"/>
      <c r="I110" s="363" t="str">
        <f t="shared" si="28"/>
        <v>-</v>
      </c>
      <c r="J110" s="363" t="str">
        <f t="shared" si="29"/>
        <v>-</v>
      </c>
      <c r="K110" s="199" t="str">
        <f t="shared" si="30"/>
        <v>-</v>
      </c>
      <c r="L110" s="659"/>
      <c r="M110" s="510" t="e">
        <f>RANK(K110, K$107:$K$121)</f>
        <v>#VALUE!</v>
      </c>
      <c r="N110" s="643"/>
      <c r="O110" s="643"/>
      <c r="P110" s="563"/>
      <c r="Q110" s="565"/>
      <c r="R110" s="565"/>
      <c r="S110" s="563"/>
      <c r="T110" s="639"/>
      <c r="U110" s="563"/>
      <c r="V110" s="565"/>
      <c r="W110" s="565"/>
      <c r="X110" s="563"/>
      <c r="Y110" s="639"/>
      <c r="Z110" s="563"/>
      <c r="AA110" s="565"/>
      <c r="AB110" s="565"/>
      <c r="AC110" s="563"/>
      <c r="AD110" s="639"/>
      <c r="AE110" s="563"/>
      <c r="AF110" s="565"/>
      <c r="AG110" s="565"/>
      <c r="AH110" s="563"/>
      <c r="AI110" s="639"/>
      <c r="AJ110" s="563"/>
      <c r="AK110" s="565"/>
      <c r="AL110" s="565"/>
      <c r="AM110" s="563"/>
      <c r="AN110" s="639"/>
      <c r="AO110" s="563"/>
      <c r="AP110" s="565"/>
      <c r="AQ110" s="565"/>
      <c r="AR110" s="563"/>
      <c r="AS110" s="639"/>
      <c r="AT110" s="563"/>
      <c r="AU110" s="565"/>
      <c r="AV110" s="565"/>
      <c r="AW110" s="563"/>
      <c r="AX110" s="639"/>
      <c r="AZ110" s="368" t="e">
        <f t="shared" si="31"/>
        <v>#N/A</v>
      </c>
      <c r="BA110" s="644"/>
    </row>
    <row r="111" spans="2:53">
      <c r="B111" s="649"/>
      <c r="C111" s="303">
        <v>5</v>
      </c>
      <c r="D111" s="225"/>
      <c r="E111" s="181"/>
      <c r="F111" s="303"/>
      <c r="G111" s="306"/>
      <c r="H111" s="703"/>
      <c r="I111" s="363" t="str">
        <f t="shared" si="28"/>
        <v>-</v>
      </c>
      <c r="J111" s="363" t="str">
        <f t="shared" si="29"/>
        <v>-</v>
      </c>
      <c r="K111" s="199" t="str">
        <f t="shared" si="30"/>
        <v>-</v>
      </c>
      <c r="L111" s="659"/>
      <c r="M111" s="510" t="e">
        <f>RANK(K111, K$107:$K$121)</f>
        <v>#VALUE!</v>
      </c>
      <c r="N111" s="643"/>
      <c r="O111" s="643"/>
      <c r="P111" s="563"/>
      <c r="Q111" s="565"/>
      <c r="R111" s="565"/>
      <c r="S111" s="563"/>
      <c r="T111" s="639"/>
      <c r="U111" s="563"/>
      <c r="V111" s="565"/>
      <c r="W111" s="565"/>
      <c r="X111" s="563"/>
      <c r="Y111" s="639"/>
      <c r="Z111" s="563"/>
      <c r="AA111" s="565"/>
      <c r="AB111" s="565"/>
      <c r="AC111" s="563"/>
      <c r="AD111" s="639"/>
      <c r="AE111" s="563"/>
      <c r="AF111" s="565"/>
      <c r="AG111" s="565"/>
      <c r="AH111" s="563"/>
      <c r="AI111" s="639"/>
      <c r="AJ111" s="563"/>
      <c r="AK111" s="565"/>
      <c r="AL111" s="565"/>
      <c r="AM111" s="563"/>
      <c r="AN111" s="639"/>
      <c r="AO111" s="563"/>
      <c r="AP111" s="565"/>
      <c r="AQ111" s="565"/>
      <c r="AR111" s="563"/>
      <c r="AS111" s="639"/>
      <c r="AT111" s="563"/>
      <c r="AU111" s="565"/>
      <c r="AV111" s="565"/>
      <c r="AW111" s="563"/>
      <c r="AX111" s="639"/>
      <c r="AZ111" s="368" t="e">
        <f t="shared" si="31"/>
        <v>#N/A</v>
      </c>
      <c r="BA111" s="644"/>
    </row>
    <row r="112" spans="2:53">
      <c r="B112" s="649"/>
      <c r="C112" s="303">
        <v>6</v>
      </c>
      <c r="D112" s="225"/>
      <c r="E112" s="181"/>
      <c r="F112" s="303"/>
      <c r="G112" s="306"/>
      <c r="H112" s="703"/>
      <c r="I112" s="363" t="str">
        <f t="shared" si="28"/>
        <v>-</v>
      </c>
      <c r="J112" s="363" t="str">
        <f t="shared" si="29"/>
        <v>-</v>
      </c>
      <c r="K112" s="199" t="str">
        <f t="shared" si="30"/>
        <v>-</v>
      </c>
      <c r="L112" s="659"/>
      <c r="M112" s="510" t="e">
        <f>RANK(K112, K$107:$K$121)</f>
        <v>#VALUE!</v>
      </c>
      <c r="N112" s="643"/>
      <c r="O112" s="643"/>
      <c r="P112" s="563"/>
      <c r="Q112" s="565"/>
      <c r="R112" s="565"/>
      <c r="S112" s="563"/>
      <c r="T112" s="639"/>
      <c r="U112" s="563"/>
      <c r="V112" s="565"/>
      <c r="W112" s="565"/>
      <c r="X112" s="563"/>
      <c r="Y112" s="639"/>
      <c r="Z112" s="563"/>
      <c r="AA112" s="565"/>
      <c r="AB112" s="565"/>
      <c r="AC112" s="563"/>
      <c r="AD112" s="639"/>
      <c r="AE112" s="563"/>
      <c r="AF112" s="565"/>
      <c r="AG112" s="565"/>
      <c r="AH112" s="563"/>
      <c r="AI112" s="639"/>
      <c r="AJ112" s="563"/>
      <c r="AK112" s="565"/>
      <c r="AL112" s="565"/>
      <c r="AM112" s="563"/>
      <c r="AN112" s="639"/>
      <c r="AO112" s="563"/>
      <c r="AP112" s="565"/>
      <c r="AQ112" s="565"/>
      <c r="AR112" s="563"/>
      <c r="AS112" s="639"/>
      <c r="AT112" s="563"/>
      <c r="AU112" s="565"/>
      <c r="AV112" s="565"/>
      <c r="AW112" s="563"/>
      <c r="AX112" s="639"/>
      <c r="AZ112" s="368" t="e">
        <f t="shared" si="31"/>
        <v>#N/A</v>
      </c>
      <c r="BA112" s="644"/>
    </row>
    <row r="113" spans="2:53">
      <c r="B113" s="649"/>
      <c r="C113" s="303">
        <v>7</v>
      </c>
      <c r="D113" s="225"/>
      <c r="E113" s="181"/>
      <c r="F113" s="303"/>
      <c r="G113" s="306"/>
      <c r="H113" s="703"/>
      <c r="I113" s="363" t="str">
        <f t="shared" si="28"/>
        <v>-</v>
      </c>
      <c r="J113" s="363" t="str">
        <f t="shared" si="29"/>
        <v>-</v>
      </c>
      <c r="K113" s="199" t="str">
        <f t="shared" si="30"/>
        <v>-</v>
      </c>
      <c r="L113" s="659"/>
      <c r="M113" s="510" t="e">
        <f>RANK(K113, K$107:$K$121)</f>
        <v>#VALUE!</v>
      </c>
      <c r="N113" s="643"/>
      <c r="O113" s="643"/>
      <c r="P113" s="563"/>
      <c r="Q113" s="565"/>
      <c r="R113" s="565"/>
      <c r="S113" s="563"/>
      <c r="T113" s="639"/>
      <c r="U113" s="563"/>
      <c r="V113" s="565"/>
      <c r="W113" s="565"/>
      <c r="X113" s="563"/>
      <c r="Y113" s="639"/>
      <c r="Z113" s="563"/>
      <c r="AA113" s="565"/>
      <c r="AB113" s="565"/>
      <c r="AC113" s="563"/>
      <c r="AD113" s="639"/>
      <c r="AE113" s="563"/>
      <c r="AF113" s="565"/>
      <c r="AG113" s="565"/>
      <c r="AH113" s="563"/>
      <c r="AI113" s="639"/>
      <c r="AJ113" s="563"/>
      <c r="AK113" s="565"/>
      <c r="AL113" s="565"/>
      <c r="AM113" s="563"/>
      <c r="AN113" s="639"/>
      <c r="AO113" s="563"/>
      <c r="AP113" s="565"/>
      <c r="AQ113" s="565"/>
      <c r="AR113" s="563"/>
      <c r="AS113" s="639"/>
      <c r="AT113" s="563"/>
      <c r="AU113" s="565"/>
      <c r="AV113" s="565"/>
      <c r="AW113" s="563"/>
      <c r="AX113" s="639"/>
      <c r="AZ113" s="368" t="e">
        <f t="shared" si="31"/>
        <v>#N/A</v>
      </c>
      <c r="BA113" s="644"/>
    </row>
    <row r="114" spans="2:53">
      <c r="B114" s="649"/>
      <c r="C114" s="303">
        <v>8</v>
      </c>
      <c r="D114" s="225"/>
      <c r="E114" s="181"/>
      <c r="F114" s="303"/>
      <c r="G114" s="306"/>
      <c r="H114" s="703"/>
      <c r="I114" s="363" t="str">
        <f t="shared" si="28"/>
        <v>-</v>
      </c>
      <c r="J114" s="363" t="str">
        <f t="shared" si="29"/>
        <v>-</v>
      </c>
      <c r="K114" s="199" t="str">
        <f t="shared" si="30"/>
        <v>-</v>
      </c>
      <c r="L114" s="659"/>
      <c r="M114" s="510" t="e">
        <f>RANK(K114, K$107:$K$121)</f>
        <v>#VALUE!</v>
      </c>
      <c r="N114" s="643"/>
      <c r="O114" s="643"/>
      <c r="P114" s="563"/>
      <c r="Q114" s="565"/>
      <c r="R114" s="565"/>
      <c r="S114" s="563"/>
      <c r="T114" s="639"/>
      <c r="U114" s="563"/>
      <c r="V114" s="565"/>
      <c r="W114" s="565"/>
      <c r="X114" s="563"/>
      <c r="Y114" s="639"/>
      <c r="Z114" s="563"/>
      <c r="AA114" s="565"/>
      <c r="AB114" s="565"/>
      <c r="AC114" s="563"/>
      <c r="AD114" s="639"/>
      <c r="AE114" s="563"/>
      <c r="AF114" s="565"/>
      <c r="AG114" s="565"/>
      <c r="AH114" s="563"/>
      <c r="AI114" s="639"/>
      <c r="AJ114" s="563"/>
      <c r="AK114" s="565"/>
      <c r="AL114" s="565"/>
      <c r="AM114" s="563"/>
      <c r="AN114" s="639"/>
      <c r="AO114" s="563"/>
      <c r="AP114" s="565"/>
      <c r="AQ114" s="565"/>
      <c r="AR114" s="563"/>
      <c r="AS114" s="639"/>
      <c r="AT114" s="563"/>
      <c r="AU114" s="565"/>
      <c r="AV114" s="565"/>
      <c r="AW114" s="563"/>
      <c r="AX114" s="639"/>
      <c r="AZ114" s="368" t="e">
        <f t="shared" si="31"/>
        <v>#N/A</v>
      </c>
      <c r="BA114" s="644"/>
    </row>
    <row r="115" spans="2:53">
      <c r="B115" s="649"/>
      <c r="C115" s="303">
        <v>9</v>
      </c>
      <c r="D115" s="225"/>
      <c r="E115" s="181"/>
      <c r="F115" s="303"/>
      <c r="G115" s="306"/>
      <c r="H115" s="703"/>
      <c r="I115" s="363" t="str">
        <f t="shared" si="28"/>
        <v>-</v>
      </c>
      <c r="J115" s="363" t="str">
        <f t="shared" si="29"/>
        <v>-</v>
      </c>
      <c r="K115" s="199" t="str">
        <f t="shared" si="30"/>
        <v>-</v>
      </c>
      <c r="L115" s="659"/>
      <c r="M115" s="510" t="e">
        <f>RANK(K115, K$107:$K$121)</f>
        <v>#VALUE!</v>
      </c>
      <c r="N115" s="643"/>
      <c r="O115" s="643"/>
      <c r="P115" s="563"/>
      <c r="Q115" s="565"/>
      <c r="R115" s="565"/>
      <c r="S115" s="563"/>
      <c r="T115" s="639"/>
      <c r="U115" s="563"/>
      <c r="V115" s="565"/>
      <c r="W115" s="565"/>
      <c r="X115" s="563"/>
      <c r="Y115" s="639"/>
      <c r="Z115" s="563"/>
      <c r="AA115" s="565"/>
      <c r="AB115" s="565"/>
      <c r="AC115" s="563"/>
      <c r="AD115" s="639"/>
      <c r="AE115" s="563"/>
      <c r="AF115" s="565"/>
      <c r="AG115" s="565"/>
      <c r="AH115" s="563"/>
      <c r="AI115" s="639"/>
      <c r="AJ115" s="563"/>
      <c r="AK115" s="565"/>
      <c r="AL115" s="565"/>
      <c r="AM115" s="563"/>
      <c r="AN115" s="639"/>
      <c r="AO115" s="563"/>
      <c r="AP115" s="565"/>
      <c r="AQ115" s="565"/>
      <c r="AR115" s="563"/>
      <c r="AS115" s="639"/>
      <c r="AT115" s="563"/>
      <c r="AU115" s="565"/>
      <c r="AV115" s="565"/>
      <c r="AW115" s="563"/>
      <c r="AX115" s="639"/>
      <c r="AZ115" s="368" t="e">
        <f t="shared" si="31"/>
        <v>#N/A</v>
      </c>
      <c r="BA115" s="644"/>
    </row>
    <row r="116" spans="2:53">
      <c r="B116" s="649"/>
      <c r="C116" s="303">
        <v>10</v>
      </c>
      <c r="D116" s="225"/>
      <c r="E116" s="181"/>
      <c r="F116" s="303"/>
      <c r="G116" s="306"/>
      <c r="H116" s="703"/>
      <c r="I116" s="363" t="str">
        <f t="shared" si="28"/>
        <v>-</v>
      </c>
      <c r="J116" s="363" t="str">
        <f t="shared" si="29"/>
        <v>-</v>
      </c>
      <c r="K116" s="199" t="str">
        <f t="shared" si="30"/>
        <v>-</v>
      </c>
      <c r="L116" s="659"/>
      <c r="M116" s="510" t="e">
        <f>RANK(K116, K$107:$K$121)</f>
        <v>#VALUE!</v>
      </c>
      <c r="N116" s="643"/>
      <c r="O116" s="643"/>
      <c r="P116" s="563"/>
      <c r="Q116" s="565"/>
      <c r="R116" s="565"/>
      <c r="S116" s="563"/>
      <c r="T116" s="639"/>
      <c r="U116" s="563"/>
      <c r="V116" s="565"/>
      <c r="W116" s="565"/>
      <c r="X116" s="563"/>
      <c r="Y116" s="639"/>
      <c r="Z116" s="563"/>
      <c r="AA116" s="565"/>
      <c r="AB116" s="565"/>
      <c r="AC116" s="563"/>
      <c r="AD116" s="639"/>
      <c r="AE116" s="563"/>
      <c r="AF116" s="565"/>
      <c r="AG116" s="565"/>
      <c r="AH116" s="563"/>
      <c r="AI116" s="639"/>
      <c r="AJ116" s="563"/>
      <c r="AK116" s="565"/>
      <c r="AL116" s="565"/>
      <c r="AM116" s="563"/>
      <c r="AN116" s="639"/>
      <c r="AO116" s="563"/>
      <c r="AP116" s="565"/>
      <c r="AQ116" s="565"/>
      <c r="AR116" s="563"/>
      <c r="AS116" s="639"/>
      <c r="AT116" s="563"/>
      <c r="AU116" s="565"/>
      <c r="AV116" s="565"/>
      <c r="AW116" s="563"/>
      <c r="AX116" s="639"/>
      <c r="AZ116" s="368" t="e">
        <f t="shared" si="31"/>
        <v>#N/A</v>
      </c>
      <c r="BA116" s="644"/>
    </row>
    <row r="117" spans="2:53">
      <c r="B117" s="649"/>
      <c r="C117" s="303">
        <v>11</v>
      </c>
      <c r="D117" s="225"/>
      <c r="E117" s="181"/>
      <c r="F117" s="303"/>
      <c r="G117" s="306"/>
      <c r="H117" s="703"/>
      <c r="I117" s="363" t="str">
        <f t="shared" si="28"/>
        <v>-</v>
      </c>
      <c r="J117" s="363" t="str">
        <f t="shared" si="29"/>
        <v>-</v>
      </c>
      <c r="K117" s="199" t="str">
        <f t="shared" si="30"/>
        <v>-</v>
      </c>
      <c r="L117" s="659"/>
      <c r="M117" s="510" t="e">
        <f>RANK(K117, K$107:$K$121)</f>
        <v>#VALUE!</v>
      </c>
      <c r="N117" s="643"/>
      <c r="O117" s="643"/>
      <c r="P117" s="563"/>
      <c r="Q117" s="565"/>
      <c r="R117" s="565"/>
      <c r="S117" s="563"/>
      <c r="T117" s="639"/>
      <c r="U117" s="563"/>
      <c r="V117" s="565"/>
      <c r="W117" s="565"/>
      <c r="X117" s="563"/>
      <c r="Y117" s="639"/>
      <c r="Z117" s="563"/>
      <c r="AA117" s="565"/>
      <c r="AB117" s="565"/>
      <c r="AC117" s="563"/>
      <c r="AD117" s="639"/>
      <c r="AE117" s="563"/>
      <c r="AF117" s="565"/>
      <c r="AG117" s="565"/>
      <c r="AH117" s="563"/>
      <c r="AI117" s="639"/>
      <c r="AJ117" s="563"/>
      <c r="AK117" s="565"/>
      <c r="AL117" s="565"/>
      <c r="AM117" s="563"/>
      <c r="AN117" s="639"/>
      <c r="AO117" s="563"/>
      <c r="AP117" s="565"/>
      <c r="AQ117" s="565"/>
      <c r="AR117" s="563"/>
      <c r="AS117" s="639"/>
      <c r="AT117" s="563"/>
      <c r="AU117" s="565"/>
      <c r="AV117" s="565"/>
      <c r="AW117" s="563"/>
      <c r="AX117" s="639"/>
      <c r="AZ117" s="368" t="e">
        <f t="shared" si="31"/>
        <v>#N/A</v>
      </c>
      <c r="BA117" s="644"/>
    </row>
    <row r="118" spans="2:53">
      <c r="B118" s="649"/>
      <c r="C118" s="303">
        <v>12</v>
      </c>
      <c r="D118" s="225"/>
      <c r="E118" s="181"/>
      <c r="F118" s="303"/>
      <c r="G118" s="306"/>
      <c r="H118" s="703"/>
      <c r="I118" s="363" t="str">
        <f t="shared" si="28"/>
        <v>-</v>
      </c>
      <c r="J118" s="363" t="str">
        <f t="shared" si="29"/>
        <v>-</v>
      </c>
      <c r="K118" s="199" t="str">
        <f t="shared" si="30"/>
        <v>-</v>
      </c>
      <c r="L118" s="659"/>
      <c r="M118" s="510" t="e">
        <f>RANK(K118, K$107:$K$121)</f>
        <v>#VALUE!</v>
      </c>
      <c r="N118" s="643"/>
      <c r="O118" s="643"/>
      <c r="P118" s="563"/>
      <c r="Q118" s="565"/>
      <c r="R118" s="565"/>
      <c r="S118" s="563"/>
      <c r="T118" s="639"/>
      <c r="U118" s="563"/>
      <c r="V118" s="565"/>
      <c r="W118" s="565"/>
      <c r="X118" s="563"/>
      <c r="Y118" s="639"/>
      <c r="Z118" s="563"/>
      <c r="AA118" s="565"/>
      <c r="AB118" s="565"/>
      <c r="AC118" s="563"/>
      <c r="AD118" s="639"/>
      <c r="AE118" s="563"/>
      <c r="AF118" s="565"/>
      <c r="AG118" s="565"/>
      <c r="AH118" s="563"/>
      <c r="AI118" s="639"/>
      <c r="AJ118" s="563"/>
      <c r="AK118" s="565"/>
      <c r="AL118" s="565"/>
      <c r="AM118" s="563"/>
      <c r="AN118" s="639"/>
      <c r="AO118" s="563"/>
      <c r="AP118" s="565"/>
      <c r="AQ118" s="565"/>
      <c r="AR118" s="563"/>
      <c r="AS118" s="639"/>
      <c r="AT118" s="563"/>
      <c r="AU118" s="565"/>
      <c r="AV118" s="565"/>
      <c r="AW118" s="563"/>
      <c r="AX118" s="639"/>
      <c r="AZ118" s="368" t="e">
        <f t="shared" si="31"/>
        <v>#N/A</v>
      </c>
      <c r="BA118" s="644"/>
    </row>
    <row r="119" spans="2:53">
      <c r="B119" s="649"/>
      <c r="C119" s="303">
        <v>13</v>
      </c>
      <c r="D119" s="225"/>
      <c r="E119" s="181"/>
      <c r="F119" s="303"/>
      <c r="G119" s="306"/>
      <c r="H119" s="703"/>
      <c r="I119" s="363" t="str">
        <f t="shared" si="28"/>
        <v>-</v>
      </c>
      <c r="J119" s="363" t="str">
        <f t="shared" si="29"/>
        <v>-</v>
      </c>
      <c r="K119" s="199" t="str">
        <f t="shared" si="30"/>
        <v>-</v>
      </c>
      <c r="L119" s="659"/>
      <c r="M119" s="510" t="e">
        <f>RANK(K119, K$107:$K$121)</f>
        <v>#VALUE!</v>
      </c>
      <c r="N119" s="643"/>
      <c r="O119" s="643"/>
      <c r="P119" s="563"/>
      <c r="Q119" s="565"/>
      <c r="R119" s="565"/>
      <c r="S119" s="563"/>
      <c r="T119" s="639"/>
      <c r="U119" s="563"/>
      <c r="V119" s="565"/>
      <c r="W119" s="565"/>
      <c r="X119" s="563"/>
      <c r="Y119" s="639"/>
      <c r="Z119" s="563"/>
      <c r="AA119" s="565"/>
      <c r="AB119" s="565"/>
      <c r="AC119" s="563"/>
      <c r="AD119" s="639"/>
      <c r="AE119" s="563"/>
      <c r="AF119" s="565"/>
      <c r="AG119" s="565"/>
      <c r="AH119" s="563"/>
      <c r="AI119" s="639"/>
      <c r="AJ119" s="563"/>
      <c r="AK119" s="565"/>
      <c r="AL119" s="565"/>
      <c r="AM119" s="563"/>
      <c r="AN119" s="639"/>
      <c r="AO119" s="563"/>
      <c r="AP119" s="565"/>
      <c r="AQ119" s="565"/>
      <c r="AR119" s="563"/>
      <c r="AS119" s="639"/>
      <c r="AT119" s="563"/>
      <c r="AU119" s="565"/>
      <c r="AV119" s="565"/>
      <c r="AW119" s="563"/>
      <c r="AX119" s="639"/>
      <c r="AZ119" s="368" t="e">
        <f t="shared" si="31"/>
        <v>#N/A</v>
      </c>
      <c r="BA119" s="644"/>
    </row>
    <row r="120" spans="2:53">
      <c r="B120" s="649"/>
      <c r="C120" s="303">
        <v>14</v>
      </c>
      <c r="D120" s="225"/>
      <c r="E120" s="181"/>
      <c r="F120" s="303"/>
      <c r="G120" s="306"/>
      <c r="H120" s="703"/>
      <c r="I120" s="363" t="str">
        <f t="shared" si="28"/>
        <v>-</v>
      </c>
      <c r="J120" s="363" t="str">
        <f t="shared" si="29"/>
        <v>-</v>
      </c>
      <c r="K120" s="199" t="str">
        <f t="shared" si="30"/>
        <v>-</v>
      </c>
      <c r="L120" s="659"/>
      <c r="M120" s="510" t="e">
        <f>RANK(K120, K$107:$K$121)</f>
        <v>#VALUE!</v>
      </c>
      <c r="N120" s="643"/>
      <c r="O120" s="643"/>
      <c r="P120" s="563"/>
      <c r="Q120" s="565"/>
      <c r="R120" s="565"/>
      <c r="S120" s="563"/>
      <c r="T120" s="639"/>
      <c r="U120" s="563"/>
      <c r="V120" s="565"/>
      <c r="W120" s="565"/>
      <c r="X120" s="563"/>
      <c r="Y120" s="639"/>
      <c r="Z120" s="563"/>
      <c r="AA120" s="565"/>
      <c r="AB120" s="565"/>
      <c r="AC120" s="563"/>
      <c r="AD120" s="639"/>
      <c r="AE120" s="563"/>
      <c r="AF120" s="565"/>
      <c r="AG120" s="565"/>
      <c r="AH120" s="563"/>
      <c r="AI120" s="639"/>
      <c r="AJ120" s="563"/>
      <c r="AK120" s="565"/>
      <c r="AL120" s="565"/>
      <c r="AM120" s="563"/>
      <c r="AN120" s="639"/>
      <c r="AO120" s="563"/>
      <c r="AP120" s="565"/>
      <c r="AQ120" s="565"/>
      <c r="AR120" s="563"/>
      <c r="AS120" s="639"/>
      <c r="AT120" s="563"/>
      <c r="AU120" s="565"/>
      <c r="AV120" s="565"/>
      <c r="AW120" s="563"/>
      <c r="AX120" s="639"/>
      <c r="AZ120" s="368" t="e">
        <f t="shared" si="31"/>
        <v>#N/A</v>
      </c>
      <c r="BA120" s="644"/>
    </row>
    <row r="121" spans="2:53">
      <c r="B121" s="649"/>
      <c r="C121" s="303">
        <v>15</v>
      </c>
      <c r="D121" s="225"/>
      <c r="E121" s="181"/>
      <c r="F121" s="303"/>
      <c r="G121" s="306"/>
      <c r="H121" s="704"/>
      <c r="I121" s="201"/>
      <c r="J121" s="201"/>
      <c r="K121" s="201"/>
      <c r="L121" s="660"/>
      <c r="M121" s="510" t="e">
        <f>RANK(K121, K$107:$K$121)</f>
        <v>#N/A</v>
      </c>
      <c r="N121" s="643"/>
      <c r="O121" s="643"/>
      <c r="P121" s="563"/>
      <c r="Q121" s="565"/>
      <c r="R121" s="565"/>
      <c r="S121" s="563"/>
      <c r="T121" s="640"/>
      <c r="U121" s="563"/>
      <c r="V121" s="565"/>
      <c r="W121" s="565"/>
      <c r="X121" s="563"/>
      <c r="Y121" s="640"/>
      <c r="Z121" s="563"/>
      <c r="AA121" s="565"/>
      <c r="AB121" s="565"/>
      <c r="AC121" s="563"/>
      <c r="AD121" s="640"/>
      <c r="AE121" s="563"/>
      <c r="AF121" s="565"/>
      <c r="AG121" s="565"/>
      <c r="AH121" s="563"/>
      <c r="AI121" s="640"/>
      <c r="AJ121" s="563"/>
      <c r="AK121" s="565"/>
      <c r="AL121" s="565"/>
      <c r="AM121" s="563"/>
      <c r="AN121" s="640"/>
      <c r="AO121" s="563"/>
      <c r="AP121" s="565"/>
      <c r="AQ121" s="565"/>
      <c r="AR121" s="563"/>
      <c r="AS121" s="640"/>
      <c r="AT121" s="563"/>
      <c r="AU121" s="565"/>
      <c r="AV121" s="565"/>
      <c r="AW121" s="563"/>
      <c r="AX121" s="640"/>
      <c r="AZ121" s="368" t="e">
        <f t="shared" si="31"/>
        <v>#N/A</v>
      </c>
      <c r="BA121" s="644"/>
    </row>
    <row r="123" spans="2:53" ht="15.75">
      <c r="B123" s="651" t="s">
        <v>465</v>
      </c>
      <c r="C123" s="652"/>
      <c r="D123" s="652"/>
      <c r="E123" s="652"/>
      <c r="F123" s="652"/>
      <c r="G123" s="652"/>
      <c r="H123" s="653"/>
      <c r="I123" s="307"/>
      <c r="J123" s="307"/>
      <c r="K123" s="307"/>
      <c r="L123" s="307"/>
      <c r="M123" s="308"/>
    </row>
    <row r="124" spans="2:53" ht="15.75">
      <c r="B124" s="654"/>
      <c r="C124" s="654"/>
      <c r="D124" s="654"/>
      <c r="E124" s="654"/>
      <c r="F124" s="654"/>
      <c r="G124" s="654"/>
      <c r="H124" s="654"/>
      <c r="I124" s="309"/>
      <c r="J124" s="309"/>
      <c r="K124" s="309"/>
      <c r="L124" s="309"/>
      <c r="M124" s="310"/>
    </row>
    <row r="125" spans="2:53">
      <c r="B125" s="643" t="s">
        <v>466</v>
      </c>
      <c r="C125" s="643" t="s">
        <v>467</v>
      </c>
      <c r="D125" s="643"/>
      <c r="E125" s="643" t="s">
        <v>468</v>
      </c>
      <c r="F125" s="643"/>
      <c r="G125" s="643"/>
      <c r="H125" s="675" t="s">
        <v>469</v>
      </c>
      <c r="I125" s="655" t="s">
        <v>470</v>
      </c>
      <c r="J125" s="655"/>
      <c r="K125" s="655"/>
      <c r="L125" s="708" t="s">
        <v>469</v>
      </c>
      <c r="M125" s="711" t="s">
        <v>471</v>
      </c>
    </row>
    <row r="126" spans="2:53">
      <c r="B126" s="643"/>
      <c r="C126" s="643"/>
      <c r="D126" s="643"/>
      <c r="E126" s="643" t="s">
        <v>472</v>
      </c>
      <c r="F126" s="643"/>
      <c r="G126" s="643"/>
      <c r="H126" s="676"/>
      <c r="I126" s="655" t="s">
        <v>472</v>
      </c>
      <c r="J126" s="655"/>
      <c r="K126" s="655"/>
      <c r="L126" s="709"/>
      <c r="M126" s="712"/>
    </row>
    <row r="127" spans="2:53">
      <c r="B127" s="643"/>
      <c r="C127" s="643"/>
      <c r="D127" s="643"/>
      <c r="E127" s="304" t="s">
        <v>473</v>
      </c>
      <c r="F127" s="304" t="s">
        <v>474</v>
      </c>
      <c r="G127" s="304" t="s">
        <v>475</v>
      </c>
      <c r="H127" s="677"/>
      <c r="I127" s="311" t="s">
        <v>473</v>
      </c>
      <c r="J127" s="311" t="s">
        <v>474</v>
      </c>
      <c r="K127" s="311" t="s">
        <v>475</v>
      </c>
      <c r="L127" s="710"/>
      <c r="M127" s="713"/>
    </row>
    <row r="128" spans="2:53">
      <c r="B128" s="643" t="s">
        <v>479</v>
      </c>
      <c r="C128" s="303">
        <v>1</v>
      </c>
      <c r="D128" s="225"/>
      <c r="E128" s="181"/>
      <c r="F128" s="303"/>
      <c r="G128" s="306"/>
      <c r="H128" s="702" t="e">
        <f>AVERAGE(G128:G142)</f>
        <v>#DIV/0!</v>
      </c>
      <c r="I128" s="198" t="e">
        <f t="shared" ref="I128:J128" si="32">AVERAGEIF($D$7:$D$121,$D128,I$7:I$121)</f>
        <v>#DIV/0!</v>
      </c>
      <c r="J128" s="198" t="e">
        <f t="shared" si="32"/>
        <v>#DIV/0!</v>
      </c>
      <c r="K128" s="198" t="e">
        <f>AVERAGEIF($D$7:$D$121,$D128,K$7:K$121)</f>
        <v>#DIV/0!</v>
      </c>
      <c r="L128" s="705" t="e">
        <f>AVERAGE(K128:K142)</f>
        <v>#DIV/0!</v>
      </c>
      <c r="M128" s="198" t="e">
        <f>RANK(K128, K$128:$K$142)</f>
        <v>#DIV/0!</v>
      </c>
    </row>
    <row r="129" spans="2:39">
      <c r="B129" s="649"/>
      <c r="C129" s="303">
        <v>2</v>
      </c>
      <c r="D129" s="225"/>
      <c r="E129" s="181"/>
      <c r="F129" s="303"/>
      <c r="G129" s="306"/>
      <c r="H129" s="703"/>
      <c r="I129" s="198"/>
      <c r="J129" s="198"/>
      <c r="K129" s="198"/>
      <c r="L129" s="706"/>
      <c r="M129" s="198" t="e">
        <f>RANK(K129, K$128:$K$142)</f>
        <v>#DIV/0!</v>
      </c>
      <c r="N129" s="107"/>
      <c r="O129" s="107"/>
      <c r="P129" s="107"/>
      <c r="Q129" s="107"/>
      <c r="R129" s="107"/>
      <c r="S129" s="107"/>
      <c r="T129" s="107"/>
      <c r="X129" s="107"/>
      <c r="AC129" s="107"/>
      <c r="AH129" s="107"/>
      <c r="AM129" s="107"/>
    </row>
    <row r="130" spans="2:39">
      <c r="B130" s="649"/>
      <c r="C130" s="303">
        <v>3</v>
      </c>
      <c r="D130" s="225"/>
      <c r="E130" s="181"/>
      <c r="F130" s="303"/>
      <c r="G130" s="306"/>
      <c r="H130" s="703"/>
      <c r="I130" s="198"/>
      <c r="J130" s="198"/>
      <c r="K130" s="198"/>
      <c r="L130" s="706"/>
      <c r="M130" s="198" t="e">
        <f>RANK(K130, K$128:$K$142)</f>
        <v>#DIV/0!</v>
      </c>
      <c r="N130" s="107"/>
      <c r="O130" s="107"/>
      <c r="P130" s="107"/>
      <c r="Q130" s="107"/>
      <c r="R130" s="107"/>
      <c r="S130" s="107"/>
      <c r="T130" s="107"/>
      <c r="X130" s="107"/>
      <c r="AC130" s="107"/>
      <c r="AH130" s="107"/>
      <c r="AM130" s="107"/>
    </row>
    <row r="131" spans="2:39">
      <c r="B131" s="649"/>
      <c r="C131" s="303">
        <v>4</v>
      </c>
      <c r="D131" s="225"/>
      <c r="E131" s="181"/>
      <c r="F131" s="303"/>
      <c r="G131" s="306"/>
      <c r="H131" s="703"/>
      <c r="I131" s="198"/>
      <c r="J131" s="198"/>
      <c r="K131" s="198"/>
      <c r="L131" s="706"/>
      <c r="M131" s="198" t="e">
        <f>RANK(K131, K$128:$K$142)</f>
        <v>#DIV/0!</v>
      </c>
      <c r="N131" s="107"/>
      <c r="O131" s="107"/>
      <c r="P131" s="107"/>
      <c r="Q131" s="107"/>
      <c r="R131" s="107"/>
      <c r="S131" s="107"/>
      <c r="T131" s="107"/>
      <c r="X131" s="107"/>
      <c r="AC131" s="107"/>
      <c r="AH131" s="107"/>
      <c r="AM131" s="107"/>
    </row>
    <row r="132" spans="2:39">
      <c r="B132" s="649"/>
      <c r="C132" s="303">
        <v>5</v>
      </c>
      <c r="D132" s="225"/>
      <c r="E132" s="181"/>
      <c r="F132" s="303"/>
      <c r="G132" s="306"/>
      <c r="H132" s="703"/>
      <c r="I132" s="198"/>
      <c r="J132" s="198"/>
      <c r="K132" s="198"/>
      <c r="L132" s="706"/>
      <c r="M132" s="198" t="e">
        <f>RANK(K132, K$128:$K$142)</f>
        <v>#DIV/0!</v>
      </c>
      <c r="N132" s="107"/>
      <c r="O132" s="107"/>
      <c r="P132" s="107"/>
      <c r="Q132" s="107"/>
      <c r="R132" s="107"/>
      <c r="S132" s="107"/>
      <c r="T132" s="107"/>
      <c r="X132" s="107"/>
      <c r="AC132" s="107"/>
      <c r="AH132" s="107"/>
      <c r="AM132" s="107"/>
    </row>
    <row r="133" spans="2:39">
      <c r="B133" s="649"/>
      <c r="C133" s="303">
        <v>6</v>
      </c>
      <c r="D133" s="312"/>
      <c r="E133" s="181"/>
      <c r="F133" s="303"/>
      <c r="G133" s="306"/>
      <c r="H133" s="703"/>
      <c r="I133" s="198"/>
      <c r="J133" s="198"/>
      <c r="K133" s="198"/>
      <c r="L133" s="706"/>
      <c r="M133" s="198" t="e">
        <f>RANK(K133, K$128:$K$142)</f>
        <v>#DIV/0!</v>
      </c>
      <c r="N133" s="107"/>
      <c r="O133" s="107"/>
      <c r="P133" s="107"/>
      <c r="Q133" s="107"/>
      <c r="R133" s="107"/>
      <c r="S133" s="107"/>
      <c r="T133" s="107"/>
      <c r="X133" s="107"/>
      <c r="AC133" s="107"/>
      <c r="AH133" s="107"/>
      <c r="AM133" s="107"/>
    </row>
    <row r="134" spans="2:39">
      <c r="B134" s="649"/>
      <c r="C134" s="303">
        <v>7</v>
      </c>
      <c r="D134" s="225"/>
      <c r="E134" s="181"/>
      <c r="F134" s="303"/>
      <c r="G134" s="306"/>
      <c r="H134" s="703"/>
      <c r="I134" s="198"/>
      <c r="J134" s="198"/>
      <c r="K134" s="198"/>
      <c r="L134" s="706"/>
      <c r="M134" s="198" t="e">
        <f>RANK(K134, K$128:$K$142)</f>
        <v>#DIV/0!</v>
      </c>
      <c r="N134" s="107"/>
      <c r="O134" s="107"/>
      <c r="P134" s="107"/>
      <c r="Q134" s="107"/>
      <c r="R134" s="107"/>
      <c r="S134" s="107"/>
      <c r="T134" s="107"/>
      <c r="X134" s="107"/>
      <c r="AC134" s="107"/>
      <c r="AH134" s="107"/>
      <c r="AM134" s="107"/>
    </row>
    <row r="135" spans="2:39">
      <c r="B135" s="649"/>
      <c r="C135" s="303">
        <v>8</v>
      </c>
      <c r="D135" s="225"/>
      <c r="E135" s="181"/>
      <c r="F135" s="303"/>
      <c r="G135" s="306"/>
      <c r="H135" s="703"/>
      <c r="I135" s="198"/>
      <c r="J135" s="198"/>
      <c r="K135" s="198"/>
      <c r="L135" s="706"/>
      <c r="M135" s="198" t="e">
        <f>RANK(K135, K$128:$K$142)</f>
        <v>#DIV/0!</v>
      </c>
      <c r="N135" s="107"/>
      <c r="O135" s="107"/>
      <c r="P135" s="107"/>
      <c r="Q135" s="107"/>
      <c r="R135" s="107"/>
      <c r="S135" s="107"/>
      <c r="T135" s="107"/>
      <c r="X135" s="107"/>
      <c r="AC135" s="107"/>
      <c r="AH135" s="107"/>
      <c r="AM135" s="107"/>
    </row>
    <row r="136" spans="2:39">
      <c r="B136" s="649"/>
      <c r="C136" s="303">
        <v>9</v>
      </c>
      <c r="D136" s="225"/>
      <c r="E136" s="303"/>
      <c r="F136" s="303"/>
      <c r="G136" s="303"/>
      <c r="H136" s="703"/>
      <c r="I136" s="198"/>
      <c r="J136" s="198"/>
      <c r="K136" s="198"/>
      <c r="L136" s="706"/>
      <c r="M136" s="198" t="e">
        <f>RANK(K136, K$128:$K$142)</f>
        <v>#DIV/0!</v>
      </c>
      <c r="N136" s="107"/>
      <c r="O136" s="107"/>
      <c r="P136" s="107"/>
      <c r="Q136" s="107"/>
      <c r="R136" s="107"/>
      <c r="S136" s="107"/>
      <c r="T136" s="107"/>
      <c r="X136" s="107"/>
      <c r="AC136" s="107"/>
      <c r="AH136" s="107"/>
      <c r="AM136" s="107"/>
    </row>
    <row r="137" spans="2:39">
      <c r="B137" s="649"/>
      <c r="C137" s="303">
        <v>10</v>
      </c>
      <c r="D137" s="225"/>
      <c r="E137" s="303"/>
      <c r="F137" s="303"/>
      <c r="G137" s="303"/>
      <c r="H137" s="703"/>
      <c r="I137" s="198"/>
      <c r="J137" s="198"/>
      <c r="K137" s="198"/>
      <c r="L137" s="706"/>
      <c r="M137" s="198" t="e">
        <f>RANK(K137, K$128:$K$142)</f>
        <v>#DIV/0!</v>
      </c>
      <c r="N137" s="107"/>
      <c r="O137" s="107"/>
      <c r="P137" s="107"/>
      <c r="Q137" s="107"/>
      <c r="R137" s="107"/>
      <c r="S137" s="107"/>
      <c r="T137" s="107"/>
      <c r="X137" s="107"/>
      <c r="AC137" s="107"/>
      <c r="AH137" s="107"/>
      <c r="AM137" s="107"/>
    </row>
    <row r="138" spans="2:39">
      <c r="B138" s="649"/>
      <c r="C138" s="303">
        <v>11</v>
      </c>
      <c r="D138" s="225"/>
      <c r="E138" s="303"/>
      <c r="F138" s="303"/>
      <c r="G138" s="303"/>
      <c r="H138" s="703"/>
      <c r="I138" s="198"/>
      <c r="J138" s="198"/>
      <c r="K138" s="198"/>
      <c r="L138" s="706"/>
      <c r="M138" s="198" t="e">
        <f>RANK(K138, K$128:$K$142)</f>
        <v>#DIV/0!</v>
      </c>
      <c r="N138" s="107"/>
      <c r="O138" s="107"/>
      <c r="P138" s="107"/>
      <c r="Q138" s="107"/>
      <c r="R138" s="107"/>
      <c r="S138" s="107"/>
      <c r="T138" s="107"/>
      <c r="X138" s="107"/>
      <c r="AC138" s="107"/>
      <c r="AH138" s="107"/>
      <c r="AM138" s="107"/>
    </row>
    <row r="139" spans="2:39">
      <c r="B139" s="649"/>
      <c r="C139" s="303">
        <v>12</v>
      </c>
      <c r="D139" s="225"/>
      <c r="E139" s="303"/>
      <c r="F139" s="303"/>
      <c r="G139" s="303"/>
      <c r="H139" s="703"/>
      <c r="I139" s="198"/>
      <c r="J139" s="198"/>
      <c r="K139" s="198"/>
      <c r="L139" s="706"/>
      <c r="M139" s="198" t="e">
        <f>RANK(K139, K$128:$K$142)</f>
        <v>#DIV/0!</v>
      </c>
      <c r="N139" s="107"/>
      <c r="O139" s="107"/>
      <c r="P139" s="107"/>
      <c r="Q139" s="107"/>
      <c r="R139" s="107"/>
      <c r="S139" s="107"/>
      <c r="T139" s="107"/>
      <c r="X139" s="107"/>
      <c r="AC139" s="107"/>
      <c r="AH139" s="107"/>
      <c r="AM139" s="107"/>
    </row>
    <row r="140" spans="2:39">
      <c r="B140" s="649"/>
      <c r="C140" s="303">
        <v>13</v>
      </c>
      <c r="D140" s="225"/>
      <c r="E140" s="303"/>
      <c r="F140" s="303"/>
      <c r="G140" s="303"/>
      <c r="H140" s="703"/>
      <c r="I140" s="198"/>
      <c r="J140" s="198"/>
      <c r="K140" s="198"/>
      <c r="L140" s="706"/>
      <c r="M140" s="198" t="e">
        <f>RANK(K140, K$128:$K$142)</f>
        <v>#DIV/0!</v>
      </c>
      <c r="N140" s="107"/>
      <c r="O140" s="107"/>
      <c r="P140" s="107"/>
      <c r="Q140" s="107"/>
      <c r="R140" s="107"/>
      <c r="S140" s="107"/>
      <c r="T140" s="107"/>
      <c r="X140" s="107"/>
      <c r="AC140" s="107"/>
      <c r="AH140" s="107"/>
      <c r="AM140" s="107"/>
    </row>
    <row r="141" spans="2:39">
      <c r="B141" s="649"/>
      <c r="C141" s="303">
        <v>14</v>
      </c>
      <c r="D141" s="225"/>
      <c r="E141" s="303"/>
      <c r="F141" s="303"/>
      <c r="G141" s="303"/>
      <c r="H141" s="703"/>
      <c r="I141" s="198"/>
      <c r="J141" s="198"/>
      <c r="K141" s="198"/>
      <c r="L141" s="706"/>
      <c r="M141" s="198" t="e">
        <f>RANK(K141, K$128:$K$142)</f>
        <v>#DIV/0!</v>
      </c>
      <c r="N141" s="107"/>
      <c r="O141" s="107"/>
      <c r="P141" s="107"/>
      <c r="Q141" s="107"/>
      <c r="R141" s="107"/>
      <c r="S141" s="107"/>
      <c r="T141" s="107"/>
      <c r="X141" s="107"/>
      <c r="AC141" s="107"/>
      <c r="AH141" s="107"/>
      <c r="AM141" s="107"/>
    </row>
    <row r="142" spans="2:39">
      <c r="B142" s="649"/>
      <c r="C142" s="303">
        <v>15</v>
      </c>
      <c r="D142" s="225"/>
      <c r="E142" s="303"/>
      <c r="F142" s="303"/>
      <c r="G142" s="303"/>
      <c r="H142" s="704"/>
      <c r="I142" s="198"/>
      <c r="J142" s="198"/>
      <c r="K142" s="198"/>
      <c r="L142" s="707"/>
      <c r="M142" s="198" t="e">
        <f>RANK(K142, K$128:$K$142)</f>
        <v>#DIV/0!</v>
      </c>
      <c r="N142" s="107"/>
      <c r="O142" s="107"/>
      <c r="P142" s="107"/>
      <c r="Q142" s="107"/>
      <c r="R142" s="107"/>
      <c r="S142" s="107"/>
      <c r="T142" s="107"/>
      <c r="X142" s="107"/>
      <c r="AC142" s="107"/>
      <c r="AH142" s="107"/>
      <c r="AM142" s="107"/>
    </row>
  </sheetData>
  <mergeCells count="379">
    <mergeCell ref="BA87:BA101"/>
    <mergeCell ref="BA104:BA106"/>
    <mergeCell ref="BA107:BA121"/>
    <mergeCell ref="BA4:BA6"/>
    <mergeCell ref="BA7:BA21"/>
    <mergeCell ref="BA24:BA26"/>
    <mergeCell ref="BA27:BA41"/>
    <mergeCell ref="BA44:BA46"/>
    <mergeCell ref="BA47:BA61"/>
    <mergeCell ref="BA64:BA66"/>
    <mergeCell ref="BA67:BA81"/>
    <mergeCell ref="BA84:BA86"/>
    <mergeCell ref="B87:B101"/>
    <mergeCell ref="AS87:AS101"/>
    <mergeCell ref="AX87:AX101"/>
    <mergeCell ref="AO85:AR85"/>
    <mergeCell ref="AT85:AW85"/>
    <mergeCell ref="AO84:AR84"/>
    <mergeCell ref="AS84:AS86"/>
    <mergeCell ref="AT84:AW84"/>
    <mergeCell ref="AX84:AX86"/>
    <mergeCell ref="AJ85:AM85"/>
    <mergeCell ref="AN87:AN101"/>
    <mergeCell ref="AN84:AN86"/>
    <mergeCell ref="AJ84:AM84"/>
    <mergeCell ref="C84:D86"/>
    <mergeCell ref="E84:G84"/>
    <mergeCell ref="H84:H86"/>
    <mergeCell ref="I84:K84"/>
    <mergeCell ref="L84:L86"/>
    <mergeCell ref="AD84:AD86"/>
    <mergeCell ref="AE84:AH84"/>
    <mergeCell ref="AI84:AI86"/>
    <mergeCell ref="AE85:AH85"/>
    <mergeCell ref="Z85:AC85"/>
    <mergeCell ref="Y84:Y86"/>
    <mergeCell ref="Z84:AC84"/>
    <mergeCell ref="P84:S84"/>
    <mergeCell ref="T84:T86"/>
    <mergeCell ref="U84:X84"/>
    <mergeCell ref="E85:G85"/>
    <mergeCell ref="I85:K85"/>
    <mergeCell ref="P85:S85"/>
    <mergeCell ref="U85:X85"/>
    <mergeCell ref="M84:M86"/>
    <mergeCell ref="N84:N101"/>
    <mergeCell ref="O84:O101"/>
    <mergeCell ref="H87:H101"/>
    <mergeCell ref="L87:L101"/>
    <mergeCell ref="T87:T101"/>
    <mergeCell ref="Y87:Y101"/>
    <mergeCell ref="AX67:AX81"/>
    <mergeCell ref="B82:H83"/>
    <mergeCell ref="N82:N83"/>
    <mergeCell ref="O82:O83"/>
    <mergeCell ref="P82:T82"/>
    <mergeCell ref="U82:Y82"/>
    <mergeCell ref="Z82:AD82"/>
    <mergeCell ref="AE82:AI82"/>
    <mergeCell ref="AJ82:AN82"/>
    <mergeCell ref="AO82:AS82"/>
    <mergeCell ref="AT82:AX82"/>
    <mergeCell ref="P83:T83"/>
    <mergeCell ref="U83:Y83"/>
    <mergeCell ref="Z83:AD83"/>
    <mergeCell ref="AE83:AI83"/>
    <mergeCell ref="AJ83:AN83"/>
    <mergeCell ref="AO83:AS83"/>
    <mergeCell ref="AT83:AX83"/>
    <mergeCell ref="AO65:AR65"/>
    <mergeCell ref="AT65:AW65"/>
    <mergeCell ref="B67:B81"/>
    <mergeCell ref="H67:H81"/>
    <mergeCell ref="L67:L81"/>
    <mergeCell ref="T67:T81"/>
    <mergeCell ref="Y67:Y81"/>
    <mergeCell ref="AD67:AD81"/>
    <mergeCell ref="AI67:AI81"/>
    <mergeCell ref="AN67:AN81"/>
    <mergeCell ref="AN64:AN66"/>
    <mergeCell ref="AO64:AR64"/>
    <mergeCell ref="AS64:AS66"/>
    <mergeCell ref="AT64:AW64"/>
    <mergeCell ref="B64:B66"/>
    <mergeCell ref="C64:D66"/>
    <mergeCell ref="AS67:AS81"/>
    <mergeCell ref="H64:H66"/>
    <mergeCell ref="I64:K64"/>
    <mergeCell ref="L64:L66"/>
    <mergeCell ref="AD87:AD101"/>
    <mergeCell ref="AI87:AI101"/>
    <mergeCell ref="B84:B86"/>
    <mergeCell ref="AX64:AX66"/>
    <mergeCell ref="E65:G65"/>
    <mergeCell ref="I65:K65"/>
    <mergeCell ref="P65:S65"/>
    <mergeCell ref="U65:X65"/>
    <mergeCell ref="Z65:AC65"/>
    <mergeCell ref="Y64:Y66"/>
    <mergeCell ref="Z64:AC64"/>
    <mergeCell ref="AD64:AD66"/>
    <mergeCell ref="AE64:AH64"/>
    <mergeCell ref="AI64:AI66"/>
    <mergeCell ref="AJ64:AM64"/>
    <mergeCell ref="AE65:AH65"/>
    <mergeCell ref="AJ65:AM65"/>
    <mergeCell ref="M64:M66"/>
    <mergeCell ref="N64:N81"/>
    <mergeCell ref="O64:O81"/>
    <mergeCell ref="P64:S64"/>
    <mergeCell ref="T64:T66"/>
    <mergeCell ref="U64:X64"/>
    <mergeCell ref="E64:G64"/>
    <mergeCell ref="AX47:AX61"/>
    <mergeCell ref="B62:H63"/>
    <mergeCell ref="N62:N63"/>
    <mergeCell ref="O62:O63"/>
    <mergeCell ref="P62:T62"/>
    <mergeCell ref="U62:Y62"/>
    <mergeCell ref="Z62:AD62"/>
    <mergeCell ref="AE62:AI62"/>
    <mergeCell ref="AJ62:AN62"/>
    <mergeCell ref="AO62:AS62"/>
    <mergeCell ref="AT62:AX62"/>
    <mergeCell ref="P63:T63"/>
    <mergeCell ref="U63:Y63"/>
    <mergeCell ref="Z63:AD63"/>
    <mergeCell ref="AE63:AI63"/>
    <mergeCell ref="AJ63:AN63"/>
    <mergeCell ref="AO63:AS63"/>
    <mergeCell ref="AT63:AX63"/>
    <mergeCell ref="AO45:AR45"/>
    <mergeCell ref="AT45:AW45"/>
    <mergeCell ref="B47:B61"/>
    <mergeCell ref="H47:H61"/>
    <mergeCell ref="L47:L61"/>
    <mergeCell ref="T47:T61"/>
    <mergeCell ref="Y47:Y61"/>
    <mergeCell ref="AD47:AD61"/>
    <mergeCell ref="AI47:AI61"/>
    <mergeCell ref="AN47:AN61"/>
    <mergeCell ref="AN44:AN46"/>
    <mergeCell ref="AO44:AR44"/>
    <mergeCell ref="AS44:AS46"/>
    <mergeCell ref="AT44:AW44"/>
    <mergeCell ref="B44:B46"/>
    <mergeCell ref="C44:D46"/>
    <mergeCell ref="AS47:AS61"/>
    <mergeCell ref="AX44:AX46"/>
    <mergeCell ref="E45:G45"/>
    <mergeCell ref="I45:K45"/>
    <mergeCell ref="P45:S45"/>
    <mergeCell ref="U45:X45"/>
    <mergeCell ref="Z45:AC45"/>
    <mergeCell ref="Y44:Y46"/>
    <mergeCell ref="Z44:AC44"/>
    <mergeCell ref="AD44:AD46"/>
    <mergeCell ref="AE44:AH44"/>
    <mergeCell ref="AI44:AI46"/>
    <mergeCell ref="AJ44:AM44"/>
    <mergeCell ref="AE45:AH45"/>
    <mergeCell ref="AJ45:AM45"/>
    <mergeCell ref="M44:M46"/>
    <mergeCell ref="N44:N61"/>
    <mergeCell ref="O44:O61"/>
    <mergeCell ref="P44:S44"/>
    <mergeCell ref="T44:T46"/>
    <mergeCell ref="U44:X44"/>
    <mergeCell ref="E44:G44"/>
    <mergeCell ref="H44:H46"/>
    <mergeCell ref="I44:K44"/>
    <mergeCell ref="L44:L46"/>
    <mergeCell ref="AX27:AX41"/>
    <mergeCell ref="B42:H43"/>
    <mergeCell ref="N42:N43"/>
    <mergeCell ref="O42:O43"/>
    <mergeCell ref="P42:T42"/>
    <mergeCell ref="U42:Y42"/>
    <mergeCell ref="Z42:AD42"/>
    <mergeCell ref="AE42:AI42"/>
    <mergeCell ref="AJ42:AN42"/>
    <mergeCell ref="AO42:AS42"/>
    <mergeCell ref="AT42:AX42"/>
    <mergeCell ref="P43:T43"/>
    <mergeCell ref="U43:Y43"/>
    <mergeCell ref="Z43:AD43"/>
    <mergeCell ref="AE43:AI43"/>
    <mergeCell ref="AJ43:AN43"/>
    <mergeCell ref="AO43:AS43"/>
    <mergeCell ref="AT43:AX43"/>
    <mergeCell ref="AO25:AR25"/>
    <mergeCell ref="AT25:AW25"/>
    <mergeCell ref="B27:B41"/>
    <mergeCell ref="H27:H41"/>
    <mergeCell ref="L27:L41"/>
    <mergeCell ref="T27:T41"/>
    <mergeCell ref="Y27:Y41"/>
    <mergeCell ref="AD27:AD41"/>
    <mergeCell ref="AI27:AI41"/>
    <mergeCell ref="AN27:AN41"/>
    <mergeCell ref="AN24:AN26"/>
    <mergeCell ref="AO24:AR24"/>
    <mergeCell ref="AS24:AS26"/>
    <mergeCell ref="AT24:AW24"/>
    <mergeCell ref="B24:B26"/>
    <mergeCell ref="C24:D26"/>
    <mergeCell ref="AS27:AS41"/>
    <mergeCell ref="AX24:AX26"/>
    <mergeCell ref="E25:G25"/>
    <mergeCell ref="I25:K25"/>
    <mergeCell ref="P25:S25"/>
    <mergeCell ref="U25:X25"/>
    <mergeCell ref="Z25:AC25"/>
    <mergeCell ref="Y24:Y26"/>
    <mergeCell ref="Z24:AC24"/>
    <mergeCell ref="AD24:AD26"/>
    <mergeCell ref="AE24:AH24"/>
    <mergeCell ref="AI24:AI26"/>
    <mergeCell ref="AJ24:AM24"/>
    <mergeCell ref="AE25:AH25"/>
    <mergeCell ref="AJ25:AM25"/>
    <mergeCell ref="M24:M26"/>
    <mergeCell ref="N24:N41"/>
    <mergeCell ref="O24:O41"/>
    <mergeCell ref="P24:S24"/>
    <mergeCell ref="T24:T26"/>
    <mergeCell ref="U24:X24"/>
    <mergeCell ref="E24:G24"/>
    <mergeCell ref="H24:H26"/>
    <mergeCell ref="I24:K24"/>
    <mergeCell ref="L24:L26"/>
    <mergeCell ref="AT22:AX22"/>
    <mergeCell ref="P23:T23"/>
    <mergeCell ref="U23:Y23"/>
    <mergeCell ref="Z23:AD23"/>
    <mergeCell ref="AE23:AI23"/>
    <mergeCell ref="AJ23:AN23"/>
    <mergeCell ref="AO23:AS23"/>
    <mergeCell ref="AT23:AX23"/>
    <mergeCell ref="AX7:AX21"/>
    <mergeCell ref="B22:H23"/>
    <mergeCell ref="N22:N23"/>
    <mergeCell ref="O22:O23"/>
    <mergeCell ref="P22:T22"/>
    <mergeCell ref="U22:Y22"/>
    <mergeCell ref="Z22:AD22"/>
    <mergeCell ref="AE22:AI22"/>
    <mergeCell ref="AJ22:AN22"/>
    <mergeCell ref="AO22:AS22"/>
    <mergeCell ref="AD4:AD6"/>
    <mergeCell ref="AT5:AW5"/>
    <mergeCell ref="B7:B21"/>
    <mergeCell ref="H7:H21"/>
    <mergeCell ref="L7:L21"/>
    <mergeCell ref="T7:T21"/>
    <mergeCell ref="Y7:Y21"/>
    <mergeCell ref="AD7:AD21"/>
    <mergeCell ref="AI7:AI21"/>
    <mergeCell ref="AN7:AN21"/>
    <mergeCell ref="AS7:AS21"/>
    <mergeCell ref="B4:B6"/>
    <mergeCell ref="C4:D6"/>
    <mergeCell ref="E4:G4"/>
    <mergeCell ref="H4:H6"/>
    <mergeCell ref="I4:K4"/>
    <mergeCell ref="L4:L6"/>
    <mergeCell ref="M4:M6"/>
    <mergeCell ref="N4:N21"/>
    <mergeCell ref="O4:O21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102:H103"/>
    <mergeCell ref="N102:N103"/>
    <mergeCell ref="O102:O103"/>
    <mergeCell ref="P102:T102"/>
    <mergeCell ref="U102:Y102"/>
    <mergeCell ref="Z102:AD102"/>
    <mergeCell ref="AE102:AI102"/>
    <mergeCell ref="AJ102:AN102"/>
    <mergeCell ref="AO102:AS102"/>
    <mergeCell ref="AT102:AX102"/>
    <mergeCell ref="P103:T103"/>
    <mergeCell ref="U103:Y103"/>
    <mergeCell ref="Z103:AD103"/>
    <mergeCell ref="AE103:AI103"/>
    <mergeCell ref="AJ103:AN103"/>
    <mergeCell ref="AO103:AS103"/>
    <mergeCell ref="AT103:AX103"/>
    <mergeCell ref="B104:B106"/>
    <mergeCell ref="C104:D106"/>
    <mergeCell ref="E104:G104"/>
    <mergeCell ref="H104:H106"/>
    <mergeCell ref="I104:K104"/>
    <mergeCell ref="L104:L106"/>
    <mergeCell ref="M104:M106"/>
    <mergeCell ref="N104:N121"/>
    <mergeCell ref="O104:O121"/>
    <mergeCell ref="P104:S104"/>
    <mergeCell ref="T104:T106"/>
    <mergeCell ref="U104:X104"/>
    <mergeCell ref="Y104:Y106"/>
    <mergeCell ref="Z104:AC104"/>
    <mergeCell ref="AD104:AD106"/>
    <mergeCell ref="AE104:AH104"/>
    <mergeCell ref="AI104:AI106"/>
    <mergeCell ref="AJ104:AM104"/>
    <mergeCell ref="AN104:AN106"/>
    <mergeCell ref="AO104:AR104"/>
    <mergeCell ref="AS104:AS106"/>
    <mergeCell ref="AT104:AW104"/>
    <mergeCell ref="AX104:AX106"/>
    <mergeCell ref="E105:G105"/>
    <mergeCell ref="I105:K105"/>
    <mergeCell ref="P105:S105"/>
    <mergeCell ref="U105:X105"/>
    <mergeCell ref="Z105:AC105"/>
    <mergeCell ref="AE105:AH105"/>
    <mergeCell ref="AJ105:AM105"/>
    <mergeCell ref="AO105:AR105"/>
    <mergeCell ref="AT105:AW105"/>
    <mergeCell ref="B128:B142"/>
    <mergeCell ref="H128:H142"/>
    <mergeCell ref="L128:L142"/>
    <mergeCell ref="AX107:AX121"/>
    <mergeCell ref="B123:H124"/>
    <mergeCell ref="B125:B127"/>
    <mergeCell ref="C125:D127"/>
    <mergeCell ref="E125:G125"/>
    <mergeCell ref="H125:H127"/>
    <mergeCell ref="I125:K125"/>
    <mergeCell ref="L125:L127"/>
    <mergeCell ref="M125:M127"/>
    <mergeCell ref="E126:G126"/>
    <mergeCell ref="I126:K126"/>
    <mergeCell ref="B107:B121"/>
    <mergeCell ref="H107:H121"/>
    <mergeCell ref="L107:L121"/>
    <mergeCell ref="T107:T121"/>
    <mergeCell ref="Y107:Y121"/>
    <mergeCell ref="AD107:AD121"/>
    <mergeCell ref="AI107:AI121"/>
    <mergeCell ref="AN107:AN121"/>
    <mergeCell ref="AS107:AS121"/>
  </mergeCells>
  <phoneticPr fontId="13" type="noConversion"/>
  <pageMargins left="0.7" right="0.7" top="0.75" bottom="0.75" header="0.3" footer="0.3"/>
  <pageSetup paperSize="9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A1:BA247"/>
  <sheetViews>
    <sheetView zoomScale="40" zoomScaleNormal="40" workbookViewId="0">
      <pane xSplit="15" topLeftCell="P1" activePane="topRight" state="frozen"/>
      <selection activeCell="H7" sqref="H7:H21"/>
      <selection pane="topRight" activeCell="T7" sqref="S7:T36"/>
    </sheetView>
  </sheetViews>
  <sheetFormatPr defaultColWidth="8.85546875" defaultRowHeight="12.75"/>
  <cols>
    <col min="1" max="1" width="5.5703125" style="107" customWidth="1"/>
    <col min="2" max="2" width="12.42578125" style="107" customWidth="1"/>
    <col min="3" max="3" width="8.85546875" style="106"/>
    <col min="4" max="4" width="26.42578125" style="106" customWidth="1"/>
    <col min="5" max="7" width="8.42578125" style="106" customWidth="1"/>
    <col min="8" max="8" width="11.140625" style="106" bestFit="1" customWidth="1"/>
    <col min="9" max="12" width="11.140625" style="106" customWidth="1"/>
    <col min="13" max="13" width="13.5703125" style="106" customWidth="1"/>
    <col min="14" max="14" width="9.85546875" style="106" customWidth="1"/>
    <col min="15" max="15" width="7.140625" style="106" customWidth="1"/>
    <col min="16" max="18" width="12.85546875" style="106" customWidth="1"/>
    <col min="19" max="19" width="5.42578125" style="106" customWidth="1"/>
    <col min="20" max="20" width="12.85546875" style="106" customWidth="1"/>
    <col min="21" max="23" width="12.85546875" style="107" customWidth="1"/>
    <col min="24" max="24" width="5.42578125" style="106" customWidth="1"/>
    <col min="25" max="28" width="12.85546875" style="107" customWidth="1"/>
    <col min="29" max="29" width="5.42578125" style="106" customWidth="1"/>
    <col min="30" max="30" width="12.85546875" style="107" customWidth="1"/>
    <col min="31" max="33" width="12.5703125" style="107" customWidth="1"/>
    <col min="34" max="34" width="5.42578125" style="106" customWidth="1"/>
    <col min="35" max="35" width="13" style="107" customWidth="1"/>
    <col min="36" max="38" width="12.5703125" style="107" customWidth="1"/>
    <col min="39" max="39" width="5.42578125" style="106" customWidth="1"/>
    <col min="40" max="40" width="13" style="107" customWidth="1"/>
    <col min="41" max="43" width="13.140625" style="107" customWidth="1"/>
    <col min="44" max="44" width="5.42578125" style="107" customWidth="1"/>
    <col min="45" max="48" width="13.140625" style="107" customWidth="1"/>
    <col min="49" max="49" width="5.42578125" style="107" customWidth="1"/>
    <col min="50" max="50" width="13.140625" style="107" customWidth="1"/>
    <col min="51" max="51" width="8.85546875" style="107"/>
    <col min="52" max="52" width="5.42578125" style="107" customWidth="1"/>
    <col min="53" max="53" width="13.140625" style="107" customWidth="1"/>
    <col min="54" max="16384" width="8.85546875" style="107"/>
  </cols>
  <sheetData>
    <row r="1" spans="1:53" ht="24">
      <c r="A1" s="75"/>
      <c r="B1" s="220" t="s">
        <v>313</v>
      </c>
      <c r="C1" s="219">
        <f>AVERAGE(L7,L42,L77,L112,L147,L182)</f>
        <v>88.879798284433988</v>
      </c>
    </row>
    <row r="2" spans="1:53" ht="15.75">
      <c r="A2" s="81"/>
      <c r="B2" s="671" t="s">
        <v>162</v>
      </c>
      <c r="C2" s="672"/>
      <c r="D2" s="672"/>
      <c r="E2" s="672"/>
      <c r="F2" s="672"/>
      <c r="G2" s="672"/>
      <c r="H2" s="673"/>
      <c r="I2" s="207"/>
      <c r="J2" s="207"/>
      <c r="K2" s="207"/>
      <c r="L2" s="207"/>
      <c r="M2" s="206"/>
      <c r="N2" s="645" t="s">
        <v>156</v>
      </c>
      <c r="O2" s="645" t="s">
        <v>105</v>
      </c>
      <c r="P2" s="667">
        <v>46266</v>
      </c>
      <c r="Q2" s="668"/>
      <c r="R2" s="668"/>
      <c r="S2" s="668"/>
      <c r="T2" s="669"/>
      <c r="U2" s="667">
        <f>P2+1</f>
        <v>46267</v>
      </c>
      <c r="V2" s="668"/>
      <c r="W2" s="668"/>
      <c r="X2" s="668"/>
      <c r="Y2" s="669"/>
      <c r="Z2" s="667">
        <f>U2+1</f>
        <v>46268</v>
      </c>
      <c r="AA2" s="668"/>
      <c r="AB2" s="668"/>
      <c r="AC2" s="668"/>
      <c r="AD2" s="669"/>
      <c r="AE2" s="667">
        <f>Z2+1</f>
        <v>46269</v>
      </c>
      <c r="AF2" s="668"/>
      <c r="AG2" s="668"/>
      <c r="AH2" s="668"/>
      <c r="AI2" s="669"/>
      <c r="AJ2" s="667">
        <f>AE2+1</f>
        <v>46270</v>
      </c>
      <c r="AK2" s="668"/>
      <c r="AL2" s="668"/>
      <c r="AM2" s="668"/>
      <c r="AN2" s="669"/>
      <c r="AO2" s="667">
        <f>AJ2+1</f>
        <v>46271</v>
      </c>
      <c r="AP2" s="668"/>
      <c r="AQ2" s="668"/>
      <c r="AR2" s="668"/>
      <c r="AS2" s="669"/>
      <c r="AT2" s="667">
        <f>AO2+1</f>
        <v>46272</v>
      </c>
      <c r="AU2" s="668"/>
      <c r="AV2" s="668"/>
      <c r="AW2" s="668"/>
      <c r="AX2" s="669"/>
    </row>
    <row r="3" spans="1:53" ht="15.75">
      <c r="A3" s="81"/>
      <c r="B3" s="674"/>
      <c r="C3" s="674"/>
      <c r="D3" s="674"/>
      <c r="E3" s="674"/>
      <c r="F3" s="674"/>
      <c r="G3" s="674"/>
      <c r="H3" s="674"/>
      <c r="I3" s="204"/>
      <c r="J3" s="204"/>
      <c r="K3" s="204"/>
      <c r="L3" s="204"/>
      <c r="M3" s="205"/>
      <c r="N3" s="647"/>
      <c r="O3" s="647"/>
      <c r="P3" s="670" t="s">
        <v>158</v>
      </c>
      <c r="Q3" s="649"/>
      <c r="R3" s="649"/>
      <c r="S3" s="649"/>
      <c r="T3" s="649"/>
      <c r="U3" s="670" t="s">
        <v>114</v>
      </c>
      <c r="V3" s="649"/>
      <c r="W3" s="649"/>
      <c r="X3" s="649"/>
      <c r="Y3" s="649"/>
      <c r="Z3" s="670" t="s">
        <v>159</v>
      </c>
      <c r="AA3" s="649"/>
      <c r="AB3" s="649"/>
      <c r="AC3" s="649"/>
      <c r="AD3" s="649"/>
      <c r="AE3" s="670" t="s">
        <v>157</v>
      </c>
      <c r="AF3" s="649"/>
      <c r="AG3" s="649"/>
      <c r="AH3" s="649"/>
      <c r="AI3" s="649"/>
      <c r="AJ3" s="670" t="s">
        <v>160</v>
      </c>
      <c r="AK3" s="649"/>
      <c r="AL3" s="649"/>
      <c r="AM3" s="649"/>
      <c r="AN3" s="649"/>
      <c r="AO3" s="670" t="s">
        <v>115</v>
      </c>
      <c r="AP3" s="649"/>
      <c r="AQ3" s="649"/>
      <c r="AR3" s="649"/>
      <c r="AS3" s="649"/>
      <c r="AT3" s="670" t="s">
        <v>161</v>
      </c>
      <c r="AU3" s="649"/>
      <c r="AV3" s="649"/>
      <c r="AW3" s="649"/>
      <c r="AX3" s="649"/>
    </row>
    <row r="4" spans="1:53" ht="14.25">
      <c r="A4" s="81"/>
      <c r="B4" s="643" t="s">
        <v>154</v>
      </c>
      <c r="C4" s="643" t="s">
        <v>372</v>
      </c>
      <c r="D4" s="643"/>
      <c r="E4" s="643" t="s">
        <v>363</v>
      </c>
      <c r="F4" s="643"/>
      <c r="G4" s="643"/>
      <c r="H4" s="675" t="s">
        <v>359</v>
      </c>
      <c r="I4" s="690" t="s">
        <v>364</v>
      </c>
      <c r="J4" s="690"/>
      <c r="K4" s="690"/>
      <c r="L4" s="691" t="s">
        <v>359</v>
      </c>
      <c r="M4" s="679" t="s">
        <v>360</v>
      </c>
      <c r="N4" s="643"/>
      <c r="O4" s="643" t="s">
        <v>365</v>
      </c>
      <c r="P4" s="661" t="s">
        <v>361</v>
      </c>
      <c r="Q4" s="662"/>
      <c r="R4" s="662"/>
      <c r="S4" s="663"/>
      <c r="T4" s="643" t="s">
        <v>359</v>
      </c>
      <c r="U4" s="661" t="s">
        <v>361</v>
      </c>
      <c r="V4" s="662"/>
      <c r="W4" s="662"/>
      <c r="X4" s="663"/>
      <c r="Y4" s="643" t="s">
        <v>359</v>
      </c>
      <c r="Z4" s="661" t="s">
        <v>361</v>
      </c>
      <c r="AA4" s="662"/>
      <c r="AB4" s="662"/>
      <c r="AC4" s="663"/>
      <c r="AD4" s="643" t="s">
        <v>359</v>
      </c>
      <c r="AE4" s="661" t="s">
        <v>361</v>
      </c>
      <c r="AF4" s="662"/>
      <c r="AG4" s="662"/>
      <c r="AH4" s="663"/>
      <c r="AI4" s="643" t="s">
        <v>359</v>
      </c>
      <c r="AJ4" s="661" t="s">
        <v>361</v>
      </c>
      <c r="AK4" s="662"/>
      <c r="AL4" s="662"/>
      <c r="AM4" s="663"/>
      <c r="AN4" s="643" t="s">
        <v>359</v>
      </c>
      <c r="AO4" s="661" t="s">
        <v>361</v>
      </c>
      <c r="AP4" s="662"/>
      <c r="AQ4" s="662"/>
      <c r="AR4" s="663"/>
      <c r="AS4" s="643" t="s">
        <v>359</v>
      </c>
      <c r="AT4" s="661" t="s">
        <v>361</v>
      </c>
      <c r="AU4" s="662"/>
      <c r="AV4" s="662"/>
      <c r="AW4" s="663"/>
      <c r="AX4" s="643" t="s">
        <v>359</v>
      </c>
      <c r="BA4" s="643" t="s">
        <v>359</v>
      </c>
    </row>
    <row r="5" spans="1:53" ht="14.25">
      <c r="A5" s="81"/>
      <c r="B5" s="643"/>
      <c r="C5" s="643"/>
      <c r="D5" s="643"/>
      <c r="E5" s="643" t="s">
        <v>366</v>
      </c>
      <c r="F5" s="643"/>
      <c r="G5" s="643"/>
      <c r="H5" s="676"/>
      <c r="I5" s="690" t="s">
        <v>366</v>
      </c>
      <c r="J5" s="690"/>
      <c r="K5" s="690"/>
      <c r="L5" s="692"/>
      <c r="M5" s="680"/>
      <c r="N5" s="643"/>
      <c r="O5" s="643"/>
      <c r="P5" s="661" t="s">
        <v>367</v>
      </c>
      <c r="Q5" s="662"/>
      <c r="R5" s="662"/>
      <c r="S5" s="663"/>
      <c r="T5" s="643"/>
      <c r="U5" s="661" t="s">
        <v>367</v>
      </c>
      <c r="V5" s="662"/>
      <c r="W5" s="662"/>
      <c r="X5" s="663"/>
      <c r="Y5" s="643"/>
      <c r="Z5" s="661" t="s">
        <v>367</v>
      </c>
      <c r="AA5" s="662"/>
      <c r="AB5" s="662"/>
      <c r="AC5" s="663"/>
      <c r="AD5" s="643"/>
      <c r="AE5" s="661" t="s">
        <v>367</v>
      </c>
      <c r="AF5" s="662"/>
      <c r="AG5" s="662"/>
      <c r="AH5" s="663"/>
      <c r="AI5" s="643"/>
      <c r="AJ5" s="661" t="s">
        <v>367</v>
      </c>
      <c r="AK5" s="662"/>
      <c r="AL5" s="662"/>
      <c r="AM5" s="663"/>
      <c r="AN5" s="643"/>
      <c r="AO5" s="661" t="s">
        <v>367</v>
      </c>
      <c r="AP5" s="662"/>
      <c r="AQ5" s="662"/>
      <c r="AR5" s="663"/>
      <c r="AS5" s="643"/>
      <c r="AT5" s="661" t="s">
        <v>367</v>
      </c>
      <c r="AU5" s="662"/>
      <c r="AV5" s="662"/>
      <c r="AW5" s="663"/>
      <c r="AX5" s="643"/>
      <c r="BA5" s="643"/>
    </row>
    <row r="6" spans="1:53" ht="14.25">
      <c r="A6" s="79"/>
      <c r="B6" s="643"/>
      <c r="C6" s="643"/>
      <c r="D6" s="643"/>
      <c r="E6" s="525" t="s">
        <v>368</v>
      </c>
      <c r="F6" s="525" t="s">
        <v>369</v>
      </c>
      <c r="G6" s="525" t="s">
        <v>370</v>
      </c>
      <c r="H6" s="677"/>
      <c r="I6" s="524" t="s">
        <v>368</v>
      </c>
      <c r="J6" s="524" t="s">
        <v>369</v>
      </c>
      <c r="K6" s="524" t="s">
        <v>370</v>
      </c>
      <c r="L6" s="693"/>
      <c r="M6" s="681"/>
      <c r="N6" s="643"/>
      <c r="O6" s="643"/>
      <c r="P6" s="525" t="s">
        <v>368</v>
      </c>
      <c r="Q6" s="525" t="s">
        <v>369</v>
      </c>
      <c r="R6" s="525" t="s">
        <v>370</v>
      </c>
      <c r="S6" s="525" t="s">
        <v>360</v>
      </c>
      <c r="T6" s="643"/>
      <c r="U6" s="525" t="s">
        <v>368</v>
      </c>
      <c r="V6" s="525" t="s">
        <v>369</v>
      </c>
      <c r="W6" s="525" t="s">
        <v>370</v>
      </c>
      <c r="X6" s="525" t="s">
        <v>360</v>
      </c>
      <c r="Y6" s="643"/>
      <c r="Z6" s="525" t="s">
        <v>368</v>
      </c>
      <c r="AA6" s="525" t="s">
        <v>369</v>
      </c>
      <c r="AB6" s="525" t="s">
        <v>370</v>
      </c>
      <c r="AC6" s="525" t="s">
        <v>360</v>
      </c>
      <c r="AD6" s="643"/>
      <c r="AE6" s="525" t="s">
        <v>368</v>
      </c>
      <c r="AF6" s="525" t="s">
        <v>369</v>
      </c>
      <c r="AG6" s="525" t="s">
        <v>370</v>
      </c>
      <c r="AH6" s="525" t="s">
        <v>360</v>
      </c>
      <c r="AI6" s="643"/>
      <c r="AJ6" s="525" t="s">
        <v>368</v>
      </c>
      <c r="AK6" s="525" t="s">
        <v>369</v>
      </c>
      <c r="AL6" s="525" t="s">
        <v>370</v>
      </c>
      <c r="AM6" s="525" t="s">
        <v>360</v>
      </c>
      <c r="AN6" s="643"/>
      <c r="AO6" s="525" t="s">
        <v>368</v>
      </c>
      <c r="AP6" s="525" t="s">
        <v>369</v>
      </c>
      <c r="AQ6" s="525" t="s">
        <v>370</v>
      </c>
      <c r="AR6" s="525" t="s">
        <v>360</v>
      </c>
      <c r="AS6" s="643"/>
      <c r="AT6" s="525" t="s">
        <v>368</v>
      </c>
      <c r="AU6" s="525" t="s">
        <v>369</v>
      </c>
      <c r="AV6" s="525" t="s">
        <v>370</v>
      </c>
      <c r="AW6" s="525" t="s">
        <v>360</v>
      </c>
      <c r="AX6" s="643"/>
      <c r="AZ6" s="367" t="s">
        <v>360</v>
      </c>
      <c r="BA6" s="643"/>
    </row>
    <row r="7" spans="1:53" ht="14.25">
      <c r="A7" s="81"/>
      <c r="B7" s="643" t="s">
        <v>134</v>
      </c>
      <c r="C7" s="526">
        <v>1</v>
      </c>
      <c r="D7" s="201" t="s">
        <v>338</v>
      </c>
      <c r="E7" s="529">
        <v>6</v>
      </c>
      <c r="F7" s="201">
        <v>1500</v>
      </c>
      <c r="G7" s="199">
        <v>250</v>
      </c>
      <c r="H7" s="702">
        <f>AVERAGE(G7:G36)</f>
        <v>100.37471681655114</v>
      </c>
      <c r="I7" s="529">
        <f>IFERROR(AVERAGE(P7,U7,Z7,AE7,AJ7,AO7,AT7),"-")</f>
        <v>6</v>
      </c>
      <c r="J7" s="529">
        <f>IFERROR(AVERAGE(Q7,V7,AA7,AF7,AK7,AP7,AU7),"-")</f>
        <v>1468.7404368145812</v>
      </c>
      <c r="K7" s="199">
        <f>IFERROR(AVERAGE(R7,W7,AB7,AG7,AL7,AQ7,AV7),"-")</f>
        <v>244.79007280243022</v>
      </c>
      <c r="L7" s="658">
        <f>IFERROR(AVERAGE(K7:K36),"-")</f>
        <v>88.879798284433988</v>
      </c>
      <c r="M7" s="530">
        <f>RANK(K7, K$7:$K$36)</f>
        <v>1</v>
      </c>
      <c r="N7" s="643"/>
      <c r="O7" s="643"/>
      <c r="P7" s="576">
        <v>6</v>
      </c>
      <c r="Q7" s="578">
        <v>1479.2598425196848</v>
      </c>
      <c r="R7" s="578">
        <v>246.54330708661413</v>
      </c>
      <c r="S7" s="576">
        <f>RANK(R7, R$7:R$36)</f>
        <v>1</v>
      </c>
      <c r="T7" s="644">
        <f>AVERAGE(R7:R36)</f>
        <v>89.227956533216343</v>
      </c>
      <c r="U7" s="576">
        <v>6</v>
      </c>
      <c r="V7" s="578">
        <v>1485.107462686567</v>
      </c>
      <c r="W7" s="578">
        <v>247.51791044776118</v>
      </c>
      <c r="X7" s="576">
        <f>RANK(W7, W$7:W$36)</f>
        <v>1</v>
      </c>
      <c r="Y7" s="644">
        <f>AVERAGE(W7:W36)</f>
        <v>86.359172745938935</v>
      </c>
      <c r="Z7" s="576">
        <v>6</v>
      </c>
      <c r="AA7" s="578">
        <v>1469.4139534883716</v>
      </c>
      <c r="AB7" s="578">
        <v>244.90232558139527</v>
      </c>
      <c r="AC7" s="576">
        <f>RANK(AB7, AB$7:AB$36)</f>
        <v>2</v>
      </c>
      <c r="AD7" s="644">
        <f>AVERAGE(AB7:AB36)</f>
        <v>89.856126237557163</v>
      </c>
      <c r="AE7" s="576">
        <v>6</v>
      </c>
      <c r="AF7" s="578">
        <v>1479.5550000000003</v>
      </c>
      <c r="AG7" s="578">
        <v>246.59250000000006</v>
      </c>
      <c r="AH7" s="576">
        <f>RANK(AG7, AG$7:AG$36)</f>
        <v>1</v>
      </c>
      <c r="AI7" s="644">
        <f>AVERAGE(AG7:AG36)</f>
        <v>89.558881565210498</v>
      </c>
      <c r="AJ7" s="576">
        <v>6</v>
      </c>
      <c r="AK7" s="578">
        <v>1449.646153846154</v>
      </c>
      <c r="AL7" s="578">
        <v>241.60769230769233</v>
      </c>
      <c r="AM7" s="576">
        <f>RANK(AL7, AL$7:AL$36)</f>
        <v>1</v>
      </c>
      <c r="AN7" s="644">
        <f>AVERAGE(AL7:AL36)</f>
        <v>89.807138832486714</v>
      </c>
      <c r="AO7" s="576">
        <v>6</v>
      </c>
      <c r="AP7" s="578">
        <v>1450.30064516129</v>
      </c>
      <c r="AQ7" s="578">
        <v>241.71677419354833</v>
      </c>
      <c r="AR7" s="576">
        <f>RANK(AQ7, AQ$7:AQ$36)</f>
        <v>2</v>
      </c>
      <c r="AS7" s="644">
        <f>AVERAGE(AQ7:AQ36)</f>
        <v>89.028121209525111</v>
      </c>
      <c r="AT7" s="576">
        <v>6</v>
      </c>
      <c r="AU7" s="578">
        <v>1467.9</v>
      </c>
      <c r="AV7" s="578">
        <v>244.65</v>
      </c>
      <c r="AW7" s="576">
        <f>RANK(AV7, AV$7:AV$36)</f>
        <v>2</v>
      </c>
      <c r="AX7" s="644">
        <f>AVERAGE(AV7:AV36)</f>
        <v>88.321190867103084</v>
      </c>
      <c r="AZ7" s="368" t="e">
        <f>RANK(AY7, AY$7:AY$36)</f>
        <v>#N/A</v>
      </c>
      <c r="BA7" s="644" t="e">
        <f>AVERAGE(AY7:AY36)</f>
        <v>#DIV/0!</v>
      </c>
    </row>
    <row r="8" spans="1:53" ht="15" customHeight="1">
      <c r="A8" s="81"/>
      <c r="B8" s="649"/>
      <c r="C8" s="526">
        <v>2</v>
      </c>
      <c r="D8" s="201" t="s">
        <v>565</v>
      </c>
      <c r="E8" s="529">
        <v>6</v>
      </c>
      <c r="F8" s="201">
        <v>1636</v>
      </c>
      <c r="G8" s="199">
        <v>272.66666666666669</v>
      </c>
      <c r="H8" s="703"/>
      <c r="I8" s="529">
        <f t="shared" ref="I8:I36" si="0">IFERROR(AVERAGE(P8,U8,Z8,AE8,AJ8,AO8,AT8),"-")</f>
        <v>6</v>
      </c>
      <c r="J8" s="529">
        <f t="shared" ref="J8:J36" si="1">IFERROR(AVERAGE(Q8,V8,AA8,AF8,AK8,AP8,AU8),"-")</f>
        <v>1453.208482362727</v>
      </c>
      <c r="K8" s="199">
        <f t="shared" ref="K8:K36" si="2">IFERROR(AVERAGE(R8,W8,AB8,AG8,AL8,AQ8,AV8),"-")</f>
        <v>242.20141372712118</v>
      </c>
      <c r="L8" s="659"/>
      <c r="M8" s="552">
        <f>RANK(K8, K$7:$K$36)</f>
        <v>2</v>
      </c>
      <c r="N8" s="643"/>
      <c r="O8" s="643"/>
      <c r="P8" s="576">
        <v>6</v>
      </c>
      <c r="Q8" s="578">
        <v>1446.3636363636363</v>
      </c>
      <c r="R8" s="578">
        <v>241.06060606060603</v>
      </c>
      <c r="S8" s="576">
        <f t="shared" ref="S8:S36" si="3">RANK(R8, R$7:R$36)</f>
        <v>2</v>
      </c>
      <c r="T8" s="644"/>
      <c r="U8" s="576">
        <v>6</v>
      </c>
      <c r="V8" s="578">
        <v>1441.7391304347825</v>
      </c>
      <c r="W8" s="578">
        <v>240.28985507246375</v>
      </c>
      <c r="X8" s="576">
        <f t="shared" ref="X8:X36" si="4">RANK(W8, W$7:W$36)</f>
        <v>2</v>
      </c>
      <c r="Y8" s="644"/>
      <c r="Z8" s="576">
        <v>6</v>
      </c>
      <c r="AA8" s="578">
        <v>1473.8709677419349</v>
      </c>
      <c r="AB8" s="578">
        <v>245.64516129032248</v>
      </c>
      <c r="AC8" s="576">
        <f t="shared" ref="AC8:AC36" si="5">RANK(AB8, AB$7:AB$36)</f>
        <v>1</v>
      </c>
      <c r="AD8" s="644"/>
      <c r="AE8" s="576">
        <v>6</v>
      </c>
      <c r="AF8" s="578">
        <v>1444.8000000000004</v>
      </c>
      <c r="AG8" s="578">
        <v>240.80000000000007</v>
      </c>
      <c r="AH8" s="576">
        <f t="shared" ref="AH8:AH36" si="6">RANK(AG8, AG$7:AG$36)</f>
        <v>2</v>
      </c>
      <c r="AI8" s="644"/>
      <c r="AJ8" s="576">
        <v>6</v>
      </c>
      <c r="AK8" s="578">
        <v>1430.6666666666667</v>
      </c>
      <c r="AL8" s="578">
        <v>238.44444444444446</v>
      </c>
      <c r="AM8" s="576">
        <f t="shared" ref="AM8:AM36" si="7">RANK(AL8, AL$7:AL$36)</f>
        <v>2</v>
      </c>
      <c r="AN8" s="644"/>
      <c r="AO8" s="576">
        <v>6</v>
      </c>
      <c r="AP8" s="578">
        <v>1453.5483870967737</v>
      </c>
      <c r="AQ8" s="578">
        <v>242.25806451612894</v>
      </c>
      <c r="AR8" s="576">
        <f t="shared" ref="AR8:AR36" si="8">RANK(AQ8, AQ$7:AQ$36)</f>
        <v>1</v>
      </c>
      <c r="AS8" s="644"/>
      <c r="AT8" s="576">
        <v>6</v>
      </c>
      <c r="AU8" s="578">
        <v>1481.4705882352941</v>
      </c>
      <c r="AV8" s="578">
        <v>246.91176470588235</v>
      </c>
      <c r="AW8" s="576">
        <f t="shared" ref="AW8:AW36" si="9">RANK(AV8, AV$7:AV$36)</f>
        <v>1</v>
      </c>
      <c r="AX8" s="644"/>
      <c r="AZ8" s="368" t="e">
        <f t="shared" ref="AZ8:AZ36" si="10">RANK(AY8, AY$7:AY$36)</f>
        <v>#N/A</v>
      </c>
      <c r="BA8" s="644"/>
    </row>
    <row r="9" spans="1:53" ht="14.25">
      <c r="A9" s="81"/>
      <c r="B9" s="649"/>
      <c r="C9" s="526">
        <v>3</v>
      </c>
      <c r="D9" s="201" t="s">
        <v>559</v>
      </c>
      <c r="E9" s="529">
        <v>16</v>
      </c>
      <c r="F9" s="201">
        <v>1500</v>
      </c>
      <c r="G9" s="199">
        <v>93.75</v>
      </c>
      <c r="H9" s="703"/>
      <c r="I9" s="529">
        <f t="shared" si="0"/>
        <v>16.571428571428573</v>
      </c>
      <c r="J9" s="529">
        <f t="shared" si="1"/>
        <v>1300.9693271388019</v>
      </c>
      <c r="K9" s="199">
        <f t="shared" si="2"/>
        <v>78.575252388989881</v>
      </c>
      <c r="L9" s="659"/>
      <c r="M9" s="552">
        <f>RANK(K9, K$7:$K$36)</f>
        <v>10</v>
      </c>
      <c r="N9" s="643"/>
      <c r="O9" s="643"/>
      <c r="P9" s="576">
        <v>17</v>
      </c>
      <c r="Q9" s="578">
        <v>1328.3999999999985</v>
      </c>
      <c r="R9" s="578">
        <v>78.14117647058815</v>
      </c>
      <c r="S9" s="576">
        <f t="shared" si="3"/>
        <v>14</v>
      </c>
      <c r="T9" s="644"/>
      <c r="U9" s="576">
        <v>16</v>
      </c>
      <c r="V9" s="578">
        <v>1291.0909090909104</v>
      </c>
      <c r="W9" s="578">
        <v>80.693181818181898</v>
      </c>
      <c r="X9" s="576">
        <f t="shared" si="4"/>
        <v>10</v>
      </c>
      <c r="Y9" s="644"/>
      <c r="Z9" s="576">
        <v>16</v>
      </c>
      <c r="AA9" s="578">
        <v>1301.6250000000014</v>
      </c>
      <c r="AB9" s="578">
        <v>81.351562500000085</v>
      </c>
      <c r="AC9" s="576">
        <f t="shared" si="5"/>
        <v>11</v>
      </c>
      <c r="AD9" s="644"/>
      <c r="AE9" s="576">
        <v>17</v>
      </c>
      <c r="AF9" s="578">
        <v>1288.192771084337</v>
      </c>
      <c r="AG9" s="578">
        <v>75.776045357902177</v>
      </c>
      <c r="AH9" s="576">
        <f t="shared" si="6"/>
        <v>15</v>
      </c>
      <c r="AI9" s="644"/>
      <c r="AJ9" s="576">
        <v>17</v>
      </c>
      <c r="AK9" s="578">
        <v>1294.5652173913043</v>
      </c>
      <c r="AL9" s="578">
        <v>76.150895140664957</v>
      </c>
      <c r="AM9" s="576">
        <f t="shared" si="7"/>
        <v>15</v>
      </c>
      <c r="AN9" s="644"/>
      <c r="AO9" s="576">
        <v>16</v>
      </c>
      <c r="AP9" s="578">
        <v>1306.0000000000005</v>
      </c>
      <c r="AQ9" s="578">
        <v>81.625000000000028</v>
      </c>
      <c r="AR9" s="576">
        <f t="shared" si="8"/>
        <v>8</v>
      </c>
      <c r="AS9" s="644"/>
      <c r="AT9" s="576">
        <v>17</v>
      </c>
      <c r="AU9" s="578">
        <v>1296.9113924050625</v>
      </c>
      <c r="AV9" s="578">
        <v>76.288905435591914</v>
      </c>
      <c r="AW9" s="576">
        <f t="shared" si="9"/>
        <v>15</v>
      </c>
      <c r="AX9" s="644"/>
      <c r="AZ9" s="368" t="e">
        <f t="shared" si="10"/>
        <v>#N/A</v>
      </c>
      <c r="BA9" s="644"/>
    </row>
    <row r="10" spans="1:53" ht="14.25">
      <c r="A10" s="81"/>
      <c r="B10" s="649"/>
      <c r="C10" s="526">
        <v>4</v>
      </c>
      <c r="D10" s="201" t="s">
        <v>540</v>
      </c>
      <c r="E10" s="529">
        <v>18</v>
      </c>
      <c r="F10" s="201">
        <v>1500</v>
      </c>
      <c r="G10" s="199">
        <v>83.333333333333329</v>
      </c>
      <c r="H10" s="703"/>
      <c r="I10" s="529">
        <f t="shared" si="0"/>
        <v>18</v>
      </c>
      <c r="J10" s="529">
        <f t="shared" si="1"/>
        <v>1245.1915935484933</v>
      </c>
      <c r="K10" s="199">
        <f t="shared" si="2"/>
        <v>69.177310752694069</v>
      </c>
      <c r="L10" s="659"/>
      <c r="M10" s="552">
        <f>RANK(K10, K$7:$K$36)</f>
        <v>20</v>
      </c>
      <c r="N10" s="643"/>
      <c r="O10" s="643"/>
      <c r="P10" s="576">
        <v>18</v>
      </c>
      <c r="Q10" s="578">
        <v>1258.7142857142858</v>
      </c>
      <c r="R10" s="578">
        <v>69.928571428571431</v>
      </c>
      <c r="S10" s="576">
        <f t="shared" si="3"/>
        <v>18</v>
      </c>
      <c r="T10" s="644"/>
      <c r="U10" s="576">
        <v>18</v>
      </c>
      <c r="V10" s="578">
        <v>1243.8805970149253</v>
      </c>
      <c r="W10" s="578">
        <v>69.104477611940297</v>
      </c>
      <c r="X10" s="576">
        <f t="shared" si="4"/>
        <v>18</v>
      </c>
      <c r="Y10" s="644"/>
      <c r="Z10" s="576">
        <v>18</v>
      </c>
      <c r="AA10" s="578">
        <v>1259.9999999999993</v>
      </c>
      <c r="AB10" s="578">
        <v>69.999999999999957</v>
      </c>
      <c r="AC10" s="576">
        <f t="shared" si="5"/>
        <v>19</v>
      </c>
      <c r="AD10" s="644"/>
      <c r="AE10" s="576">
        <v>18</v>
      </c>
      <c r="AF10" s="578">
        <v>1225.3124999999998</v>
      </c>
      <c r="AG10" s="578">
        <v>68.072916666666657</v>
      </c>
      <c r="AH10" s="576">
        <f t="shared" si="6"/>
        <v>20</v>
      </c>
      <c r="AI10" s="644"/>
      <c r="AJ10" s="576">
        <v>18</v>
      </c>
      <c r="AK10" s="578">
        <v>1247.6470588235293</v>
      </c>
      <c r="AL10" s="578">
        <v>69.313725490196077</v>
      </c>
      <c r="AM10" s="576">
        <f t="shared" si="7"/>
        <v>20</v>
      </c>
      <c r="AN10" s="644"/>
      <c r="AO10" s="576">
        <v>18</v>
      </c>
      <c r="AP10" s="578">
        <v>1236.3636363636358</v>
      </c>
      <c r="AQ10" s="578">
        <v>68.68686868686865</v>
      </c>
      <c r="AR10" s="576">
        <f t="shared" si="8"/>
        <v>19</v>
      </c>
      <c r="AS10" s="644"/>
      <c r="AT10" s="576">
        <v>18</v>
      </c>
      <c r="AU10" s="578">
        <v>1244.4230769230767</v>
      </c>
      <c r="AV10" s="578">
        <v>69.134615384615373</v>
      </c>
      <c r="AW10" s="576">
        <f t="shared" si="9"/>
        <v>19</v>
      </c>
      <c r="AX10" s="644"/>
      <c r="AZ10" s="368" t="e">
        <f t="shared" si="10"/>
        <v>#N/A</v>
      </c>
      <c r="BA10" s="644"/>
    </row>
    <row r="11" spans="1:53" ht="14.25">
      <c r="A11" s="81"/>
      <c r="B11" s="649"/>
      <c r="C11" s="526">
        <v>5</v>
      </c>
      <c r="D11" s="201" t="s">
        <v>760</v>
      </c>
      <c r="E11" s="529">
        <v>16</v>
      </c>
      <c r="F11" s="201">
        <v>1565</v>
      </c>
      <c r="G11" s="199">
        <v>97.8125</v>
      </c>
      <c r="H11" s="703"/>
      <c r="I11" s="529">
        <f t="shared" si="0"/>
        <v>16</v>
      </c>
      <c r="J11" s="529">
        <f t="shared" si="1"/>
        <v>1312.8447142754178</v>
      </c>
      <c r="K11" s="199">
        <f t="shared" si="2"/>
        <v>82.052794642213613</v>
      </c>
      <c r="L11" s="659"/>
      <c r="M11" s="552">
        <f>RANK(K11, K$7:$K$36)</f>
        <v>7</v>
      </c>
      <c r="N11" s="643"/>
      <c r="O11" s="643"/>
      <c r="P11" s="576">
        <v>16</v>
      </c>
      <c r="Q11" s="578">
        <v>1322.5806451612905</v>
      </c>
      <c r="R11" s="578">
        <v>82.661290322580655</v>
      </c>
      <c r="S11" s="576">
        <f t="shared" si="3"/>
        <v>9</v>
      </c>
      <c r="T11" s="644"/>
      <c r="U11" s="576">
        <v>16</v>
      </c>
      <c r="V11" s="578">
        <v>1338.3529411764703</v>
      </c>
      <c r="W11" s="578">
        <v>83.647058823529392</v>
      </c>
      <c r="X11" s="576">
        <f t="shared" si="4"/>
        <v>7</v>
      </c>
      <c r="Y11" s="644"/>
      <c r="Z11" s="576">
        <v>16</v>
      </c>
      <c r="AA11" s="578">
        <v>1326.1016949152554</v>
      </c>
      <c r="AB11" s="578">
        <v>82.881355932203462</v>
      </c>
      <c r="AC11" s="576">
        <f t="shared" si="5"/>
        <v>8</v>
      </c>
      <c r="AD11" s="644"/>
      <c r="AE11" s="576">
        <v>16</v>
      </c>
      <c r="AF11" s="578">
        <v>1304.0000000000014</v>
      </c>
      <c r="AG11" s="578">
        <v>81.500000000000085</v>
      </c>
      <c r="AH11" s="576">
        <f t="shared" si="6"/>
        <v>9</v>
      </c>
      <c r="AI11" s="644"/>
      <c r="AJ11" s="576">
        <v>16</v>
      </c>
      <c r="AK11" s="578">
        <v>1321.6438356164372</v>
      </c>
      <c r="AL11" s="578">
        <v>82.602739726027323</v>
      </c>
      <c r="AM11" s="576">
        <f t="shared" si="7"/>
        <v>9</v>
      </c>
      <c r="AN11" s="644"/>
      <c r="AO11" s="576">
        <v>16</v>
      </c>
      <c r="AP11" s="578">
        <v>1293.1034482758619</v>
      </c>
      <c r="AQ11" s="578">
        <v>80.818965517241367</v>
      </c>
      <c r="AR11" s="576">
        <f t="shared" si="8"/>
        <v>9</v>
      </c>
      <c r="AS11" s="644"/>
      <c r="AT11" s="576">
        <v>16</v>
      </c>
      <c r="AU11" s="578">
        <v>1284.1304347826085</v>
      </c>
      <c r="AV11" s="578">
        <v>80.258152173913032</v>
      </c>
      <c r="AW11" s="576">
        <f t="shared" si="9"/>
        <v>9</v>
      </c>
      <c r="AX11" s="644"/>
      <c r="AZ11" s="368" t="e">
        <f t="shared" si="10"/>
        <v>#N/A</v>
      </c>
      <c r="BA11" s="644"/>
    </row>
    <row r="12" spans="1:53" ht="14.25">
      <c r="A12" s="81"/>
      <c r="B12" s="649"/>
      <c r="C12" s="526">
        <v>6</v>
      </c>
      <c r="D12" s="201" t="s">
        <v>594</v>
      </c>
      <c r="E12" s="529">
        <v>20</v>
      </c>
      <c r="F12" s="201">
        <v>1440</v>
      </c>
      <c r="G12" s="199">
        <v>72</v>
      </c>
      <c r="H12" s="703"/>
      <c r="I12" s="529">
        <f t="shared" si="0"/>
        <v>20.142857142857142</v>
      </c>
      <c r="J12" s="529">
        <f t="shared" si="1"/>
        <v>1206.827255393089</v>
      </c>
      <c r="K12" s="199">
        <f t="shared" si="2"/>
        <v>59.932227687049988</v>
      </c>
      <c r="L12" s="659"/>
      <c r="M12" s="552">
        <f>RANK(K12, K$7:$K$36)</f>
        <v>23</v>
      </c>
      <c r="N12" s="643"/>
      <c r="O12" s="643"/>
      <c r="P12" s="576">
        <v>20</v>
      </c>
      <c r="Q12" s="578">
        <v>1244.2105263157903</v>
      </c>
      <c r="R12" s="578">
        <v>62.210526315789515</v>
      </c>
      <c r="S12" s="576">
        <f t="shared" si="3"/>
        <v>23</v>
      </c>
      <c r="T12" s="644"/>
      <c r="U12" s="576">
        <v>20</v>
      </c>
      <c r="V12" s="578">
        <v>1226.3157894736851</v>
      </c>
      <c r="W12" s="578">
        <v>61.315789473684255</v>
      </c>
      <c r="X12" s="576">
        <f t="shared" si="4"/>
        <v>22</v>
      </c>
      <c r="Y12" s="644"/>
      <c r="Z12" s="576">
        <v>20</v>
      </c>
      <c r="AA12" s="578">
        <v>1197.8181818181824</v>
      </c>
      <c r="AB12" s="578">
        <v>59.890909090909119</v>
      </c>
      <c r="AC12" s="576">
        <f t="shared" si="5"/>
        <v>23</v>
      </c>
      <c r="AD12" s="644"/>
      <c r="AE12" s="576">
        <v>20</v>
      </c>
      <c r="AF12" s="578">
        <v>1183.2558139534881</v>
      </c>
      <c r="AG12" s="578">
        <v>59.162790697674403</v>
      </c>
      <c r="AH12" s="576">
        <f t="shared" si="6"/>
        <v>24</v>
      </c>
      <c r="AI12" s="644"/>
      <c r="AJ12" s="576">
        <v>20</v>
      </c>
      <c r="AK12" s="578">
        <v>1213.3333333333333</v>
      </c>
      <c r="AL12" s="578">
        <v>60.666666666666664</v>
      </c>
      <c r="AM12" s="576">
        <f t="shared" si="7"/>
        <v>23</v>
      </c>
      <c r="AN12" s="644"/>
      <c r="AO12" s="576">
        <v>20</v>
      </c>
      <c r="AP12" s="578">
        <v>1180.0000000000011</v>
      </c>
      <c r="AQ12" s="578">
        <v>59.000000000000057</v>
      </c>
      <c r="AR12" s="576">
        <f t="shared" si="8"/>
        <v>23</v>
      </c>
      <c r="AS12" s="644"/>
      <c r="AT12" s="576">
        <v>21</v>
      </c>
      <c r="AU12" s="578">
        <v>1202.857142857144</v>
      </c>
      <c r="AV12" s="578">
        <v>57.278911564625908</v>
      </c>
      <c r="AW12" s="576">
        <f t="shared" si="9"/>
        <v>24</v>
      </c>
      <c r="AX12" s="644"/>
      <c r="AZ12" s="368" t="e">
        <f t="shared" si="10"/>
        <v>#N/A</v>
      </c>
      <c r="BA12" s="644"/>
    </row>
    <row r="13" spans="1:53" ht="14.25">
      <c r="A13" s="81"/>
      <c r="B13" s="649"/>
      <c r="C13" s="526">
        <v>7</v>
      </c>
      <c r="D13" s="201" t="s">
        <v>761</v>
      </c>
      <c r="E13" s="529">
        <v>16</v>
      </c>
      <c r="F13" s="201">
        <v>1500</v>
      </c>
      <c r="G13" s="199">
        <v>93.75</v>
      </c>
      <c r="H13" s="703"/>
      <c r="I13" s="529">
        <f t="shared" si="0"/>
        <v>16</v>
      </c>
      <c r="J13" s="529">
        <f t="shared" si="1"/>
        <v>1301.4218110377562</v>
      </c>
      <c r="K13" s="199">
        <f t="shared" si="2"/>
        <v>81.338863189859765</v>
      </c>
      <c r="L13" s="659"/>
      <c r="M13" s="552">
        <f>RANK(K13, K$7:$K$36)</f>
        <v>9</v>
      </c>
      <c r="N13" s="643"/>
      <c r="O13" s="643"/>
      <c r="P13" s="576">
        <v>16</v>
      </c>
      <c r="Q13" s="578">
        <v>1311.891891891891</v>
      </c>
      <c r="R13" s="578">
        <v>81.993243243243185</v>
      </c>
      <c r="S13" s="576">
        <f t="shared" si="3"/>
        <v>10</v>
      </c>
      <c r="T13" s="644"/>
      <c r="U13" s="576">
        <v>16</v>
      </c>
      <c r="V13" s="578">
        <v>1319.104477611942</v>
      </c>
      <c r="W13" s="578">
        <v>82.444029850746375</v>
      </c>
      <c r="X13" s="576">
        <f t="shared" si="4"/>
        <v>8</v>
      </c>
      <c r="Y13" s="644"/>
      <c r="Z13" s="576">
        <v>16</v>
      </c>
      <c r="AA13" s="578">
        <v>1308.6956521739119</v>
      </c>
      <c r="AB13" s="578">
        <v>81.793478260869492</v>
      </c>
      <c r="AC13" s="576">
        <f t="shared" si="5"/>
        <v>9</v>
      </c>
      <c r="AD13" s="644"/>
      <c r="AE13" s="576">
        <v>16</v>
      </c>
      <c r="AF13" s="578">
        <v>1291.4999999999995</v>
      </c>
      <c r="AG13" s="578">
        <v>80.718749999999972</v>
      </c>
      <c r="AH13" s="576">
        <f t="shared" si="6"/>
        <v>10</v>
      </c>
      <c r="AI13" s="644"/>
      <c r="AJ13" s="576">
        <v>16</v>
      </c>
      <c r="AK13" s="578">
        <v>1328.9361702127662</v>
      </c>
      <c r="AL13" s="578">
        <v>83.058510638297889</v>
      </c>
      <c r="AM13" s="576">
        <f t="shared" si="7"/>
        <v>8</v>
      </c>
      <c r="AN13" s="644"/>
      <c r="AO13" s="576">
        <v>16</v>
      </c>
      <c r="AP13" s="578">
        <v>1272.9230769230783</v>
      </c>
      <c r="AQ13" s="578">
        <v>79.557692307692392</v>
      </c>
      <c r="AR13" s="576">
        <f t="shared" si="8"/>
        <v>11</v>
      </c>
      <c r="AS13" s="644"/>
      <c r="AT13" s="576">
        <v>16</v>
      </c>
      <c r="AU13" s="578">
        <v>1276.901408450703</v>
      </c>
      <c r="AV13" s="578">
        <v>79.806338028168938</v>
      </c>
      <c r="AW13" s="576">
        <f t="shared" si="9"/>
        <v>10</v>
      </c>
      <c r="AX13" s="644"/>
      <c r="AZ13" s="368" t="e">
        <f t="shared" si="10"/>
        <v>#N/A</v>
      </c>
      <c r="BA13" s="644"/>
    </row>
    <row r="14" spans="1:53" ht="14.25">
      <c r="A14" s="81"/>
      <c r="B14" s="649"/>
      <c r="C14" s="526">
        <v>8</v>
      </c>
      <c r="D14" s="201" t="s">
        <v>762</v>
      </c>
      <c r="E14" s="529">
        <v>18</v>
      </c>
      <c r="F14" s="201">
        <v>1636</v>
      </c>
      <c r="G14" s="199">
        <v>90.888888888888886</v>
      </c>
      <c r="H14" s="703"/>
      <c r="I14" s="529">
        <f t="shared" si="0"/>
        <v>18</v>
      </c>
      <c r="J14" s="529">
        <f t="shared" si="1"/>
        <v>1399.9843216681113</v>
      </c>
      <c r="K14" s="199">
        <f t="shared" si="2"/>
        <v>77.776906759339525</v>
      </c>
      <c r="L14" s="659"/>
      <c r="M14" s="552">
        <f>RANK(K14, K$7:$K$36)</f>
        <v>14</v>
      </c>
      <c r="N14" s="643"/>
      <c r="O14" s="643"/>
      <c r="P14" s="576">
        <v>18</v>
      </c>
      <c r="Q14" s="578">
        <v>1426.7796610169505</v>
      </c>
      <c r="R14" s="578">
        <v>79.265536723163919</v>
      </c>
      <c r="S14" s="576">
        <f t="shared" si="3"/>
        <v>13</v>
      </c>
      <c r="T14" s="644"/>
      <c r="U14" s="576">
        <v>18</v>
      </c>
      <c r="V14" s="578">
        <v>1399.2857142857154</v>
      </c>
      <c r="W14" s="578">
        <v>77.738095238095298</v>
      </c>
      <c r="X14" s="576">
        <f t="shared" si="4"/>
        <v>14</v>
      </c>
      <c r="Y14" s="644"/>
      <c r="Z14" s="576">
        <v>18</v>
      </c>
      <c r="AA14" s="578">
        <v>1383.9130434782608</v>
      </c>
      <c r="AB14" s="578">
        <v>76.884057971014485</v>
      </c>
      <c r="AC14" s="576">
        <f t="shared" si="5"/>
        <v>15</v>
      </c>
      <c r="AD14" s="644"/>
      <c r="AE14" s="576">
        <v>18</v>
      </c>
      <c r="AF14" s="578">
        <v>1389.7959183673472</v>
      </c>
      <c r="AG14" s="578">
        <v>77.210884353741505</v>
      </c>
      <c r="AH14" s="576">
        <f t="shared" si="6"/>
        <v>13</v>
      </c>
      <c r="AI14" s="644"/>
      <c r="AJ14" s="576">
        <v>18</v>
      </c>
      <c r="AK14" s="578">
        <v>1385.8064516129045</v>
      </c>
      <c r="AL14" s="578">
        <v>76.989247311828024</v>
      </c>
      <c r="AM14" s="576">
        <f t="shared" si="7"/>
        <v>14</v>
      </c>
      <c r="AN14" s="644"/>
      <c r="AO14" s="576">
        <v>18</v>
      </c>
      <c r="AP14" s="578">
        <v>1406.9565217391289</v>
      </c>
      <c r="AQ14" s="578">
        <v>78.164251207729379</v>
      </c>
      <c r="AR14" s="576">
        <f t="shared" si="8"/>
        <v>13</v>
      </c>
      <c r="AS14" s="644"/>
      <c r="AT14" s="576">
        <v>18</v>
      </c>
      <c r="AU14" s="578">
        <v>1407.3529411764723</v>
      </c>
      <c r="AV14" s="578">
        <v>78.186274509804022</v>
      </c>
      <c r="AW14" s="576">
        <f t="shared" si="9"/>
        <v>11</v>
      </c>
      <c r="AX14" s="644"/>
      <c r="AZ14" s="368" t="e">
        <f t="shared" si="10"/>
        <v>#N/A</v>
      </c>
      <c r="BA14" s="644"/>
    </row>
    <row r="15" spans="1:53" ht="14.25">
      <c r="A15" s="81"/>
      <c r="B15" s="649"/>
      <c r="C15" s="526">
        <v>9</v>
      </c>
      <c r="D15" s="201" t="s">
        <v>763</v>
      </c>
      <c r="E15" s="529">
        <v>18</v>
      </c>
      <c r="F15" s="201">
        <v>1636</v>
      </c>
      <c r="G15" s="199">
        <v>90.888888888888886</v>
      </c>
      <c r="H15" s="703"/>
      <c r="I15" s="529">
        <f t="shared" si="0"/>
        <v>18</v>
      </c>
      <c r="J15" s="529">
        <f t="shared" si="1"/>
        <v>1414.0807471461383</v>
      </c>
      <c r="K15" s="199">
        <f t="shared" si="2"/>
        <v>78.5600415081188</v>
      </c>
      <c r="L15" s="659"/>
      <c r="M15" s="552">
        <f>RANK(K15, K$7:$K$36)</f>
        <v>11</v>
      </c>
      <c r="N15" s="643"/>
      <c r="O15" s="643"/>
      <c r="P15" s="576">
        <v>18</v>
      </c>
      <c r="Q15" s="578">
        <v>1431.0638297872342</v>
      </c>
      <c r="R15" s="578">
        <v>79.503546099290787</v>
      </c>
      <c r="S15" s="576">
        <f t="shared" si="3"/>
        <v>12</v>
      </c>
      <c r="T15" s="644"/>
      <c r="U15" s="576">
        <v>18</v>
      </c>
      <c r="V15" s="578">
        <v>1425.3333333333335</v>
      </c>
      <c r="W15" s="578">
        <v>79.18518518518519</v>
      </c>
      <c r="X15" s="576">
        <f t="shared" si="4"/>
        <v>13</v>
      </c>
      <c r="Y15" s="644"/>
      <c r="Z15" s="576">
        <v>18</v>
      </c>
      <c r="AA15" s="578">
        <v>1406.8421052631568</v>
      </c>
      <c r="AB15" s="578">
        <v>78.157894736842039</v>
      </c>
      <c r="AC15" s="576">
        <f t="shared" si="5"/>
        <v>12</v>
      </c>
      <c r="AD15" s="644"/>
      <c r="AE15" s="576">
        <v>18</v>
      </c>
      <c r="AF15" s="578">
        <v>1422.8571428571422</v>
      </c>
      <c r="AG15" s="578">
        <v>79.047619047619008</v>
      </c>
      <c r="AH15" s="576">
        <f t="shared" si="6"/>
        <v>12</v>
      </c>
      <c r="AI15" s="644"/>
      <c r="AJ15" s="576">
        <v>18</v>
      </c>
      <c r="AK15" s="578">
        <v>1415.744680851064</v>
      </c>
      <c r="AL15" s="578">
        <v>78.652482269503551</v>
      </c>
      <c r="AM15" s="576">
        <f t="shared" si="7"/>
        <v>13</v>
      </c>
      <c r="AN15" s="644"/>
      <c r="AO15" s="576">
        <v>18</v>
      </c>
      <c r="AP15" s="578">
        <v>1401.7241379310356</v>
      </c>
      <c r="AQ15" s="578">
        <v>77.873563218390871</v>
      </c>
      <c r="AR15" s="576">
        <f t="shared" si="8"/>
        <v>14</v>
      </c>
      <c r="AS15" s="644"/>
      <c r="AT15" s="576">
        <v>18</v>
      </c>
      <c r="AU15" s="578">
        <v>1395.0000000000011</v>
      </c>
      <c r="AV15" s="578">
        <v>77.500000000000057</v>
      </c>
      <c r="AW15" s="576">
        <f t="shared" si="9"/>
        <v>12</v>
      </c>
      <c r="AX15" s="644"/>
      <c r="AZ15" s="368" t="e">
        <f t="shared" si="10"/>
        <v>#N/A</v>
      </c>
      <c r="BA15" s="644"/>
    </row>
    <row r="16" spans="1:53" ht="14.25">
      <c r="A16" s="81"/>
      <c r="B16" s="649"/>
      <c r="C16" s="526">
        <v>10</v>
      </c>
      <c r="D16" s="201" t="s">
        <v>330</v>
      </c>
      <c r="E16" s="529">
        <v>17</v>
      </c>
      <c r="F16" s="201">
        <v>1500</v>
      </c>
      <c r="G16" s="199">
        <v>88.235294117647058</v>
      </c>
      <c r="H16" s="703"/>
      <c r="I16" s="529">
        <f t="shared" si="0"/>
        <v>17</v>
      </c>
      <c r="J16" s="529">
        <f t="shared" si="1"/>
        <v>1334.5906074560555</v>
      </c>
      <c r="K16" s="199">
        <f t="shared" si="2"/>
        <v>78.505329850356219</v>
      </c>
      <c r="L16" s="659"/>
      <c r="M16" s="552">
        <f>RANK(K16, K$7:$K$36)</f>
        <v>13</v>
      </c>
      <c r="N16" s="643"/>
      <c r="O16" s="643"/>
      <c r="P16" s="576">
        <v>17</v>
      </c>
      <c r="Q16" s="578">
        <v>1318.6046511627903</v>
      </c>
      <c r="R16" s="578">
        <v>77.564979480164141</v>
      </c>
      <c r="S16" s="576">
        <f t="shared" si="3"/>
        <v>15</v>
      </c>
      <c r="T16" s="644"/>
      <c r="U16" s="576">
        <v>17</v>
      </c>
      <c r="V16" s="578">
        <v>1357.1428571428567</v>
      </c>
      <c r="W16" s="578">
        <v>79.831932773109216</v>
      </c>
      <c r="X16" s="576">
        <f t="shared" si="4"/>
        <v>12</v>
      </c>
      <c r="Y16" s="644"/>
      <c r="Z16" s="576">
        <v>17</v>
      </c>
      <c r="AA16" s="578">
        <v>1321.6666666666656</v>
      </c>
      <c r="AB16" s="578">
        <v>77.74509803921562</v>
      </c>
      <c r="AC16" s="576">
        <f t="shared" si="5"/>
        <v>13</v>
      </c>
      <c r="AD16" s="644"/>
      <c r="AE16" s="576">
        <v>17</v>
      </c>
      <c r="AF16" s="578">
        <v>1308.6486486486476</v>
      </c>
      <c r="AG16" s="578">
        <v>76.979332273449856</v>
      </c>
      <c r="AH16" s="576">
        <f t="shared" si="6"/>
        <v>14</v>
      </c>
      <c r="AI16" s="644"/>
      <c r="AJ16" s="576">
        <v>17</v>
      </c>
      <c r="AK16" s="578">
        <v>1372.8571428571424</v>
      </c>
      <c r="AL16" s="578">
        <v>80.756302521008379</v>
      </c>
      <c r="AM16" s="576">
        <f t="shared" si="7"/>
        <v>11</v>
      </c>
      <c r="AN16" s="644"/>
      <c r="AO16" s="576">
        <v>17</v>
      </c>
      <c r="AP16" s="578">
        <v>1345.714285714286</v>
      </c>
      <c r="AQ16" s="578">
        <v>79.159663865546236</v>
      </c>
      <c r="AR16" s="576">
        <f t="shared" si="8"/>
        <v>12</v>
      </c>
      <c r="AS16" s="644"/>
      <c r="AT16" s="576">
        <v>17</v>
      </c>
      <c r="AU16" s="578">
        <v>1317.5000000000005</v>
      </c>
      <c r="AV16" s="578">
        <v>77.500000000000028</v>
      </c>
      <c r="AW16" s="576">
        <f t="shared" si="9"/>
        <v>13</v>
      </c>
      <c r="AX16" s="644"/>
      <c r="AZ16" s="368" t="e">
        <f t="shared" si="10"/>
        <v>#N/A</v>
      </c>
      <c r="BA16" s="644"/>
    </row>
    <row r="17" spans="2:53">
      <c r="B17" s="649"/>
      <c r="C17" s="526">
        <v>11</v>
      </c>
      <c r="D17" s="201" t="s">
        <v>764</v>
      </c>
      <c r="E17" s="529">
        <v>20</v>
      </c>
      <c r="F17" s="201">
        <v>1440</v>
      </c>
      <c r="G17" s="199">
        <v>72</v>
      </c>
      <c r="H17" s="703"/>
      <c r="I17" s="529">
        <f t="shared" si="0"/>
        <v>20</v>
      </c>
      <c r="J17" s="529">
        <f t="shared" si="1"/>
        <v>1342.2951832157905</v>
      </c>
      <c r="K17" s="199">
        <f t="shared" si="2"/>
        <v>67.114759160789532</v>
      </c>
      <c r="L17" s="659"/>
      <c r="M17" s="552">
        <f>RANK(K17, K$7:$K$36)</f>
        <v>22</v>
      </c>
      <c r="N17" s="643"/>
      <c r="O17" s="643"/>
      <c r="P17" s="576">
        <v>20</v>
      </c>
      <c r="Q17" s="578">
        <v>1359.9999999999986</v>
      </c>
      <c r="R17" s="578">
        <v>67.999999999999929</v>
      </c>
      <c r="S17" s="576">
        <f t="shared" si="3"/>
        <v>21</v>
      </c>
      <c r="T17" s="644"/>
      <c r="U17" s="576">
        <v>20</v>
      </c>
      <c r="V17" s="578">
        <v>1370.5714285714273</v>
      </c>
      <c r="W17" s="578">
        <v>68.528571428571368</v>
      </c>
      <c r="X17" s="576">
        <f t="shared" si="4"/>
        <v>19</v>
      </c>
      <c r="Y17" s="644"/>
      <c r="Z17" s="576">
        <v>20</v>
      </c>
      <c r="AA17" s="578">
        <v>1351.5789473684222</v>
      </c>
      <c r="AB17" s="578">
        <v>67.578947368421112</v>
      </c>
      <c r="AC17" s="576">
        <f t="shared" si="5"/>
        <v>22</v>
      </c>
      <c r="AD17" s="644"/>
      <c r="AE17" s="576">
        <v>20</v>
      </c>
      <c r="AF17" s="578">
        <v>1354.4444444444453</v>
      </c>
      <c r="AG17" s="578">
        <v>67.722222222222257</v>
      </c>
      <c r="AH17" s="576">
        <f t="shared" si="6"/>
        <v>22</v>
      </c>
      <c r="AI17" s="644"/>
      <c r="AJ17" s="576">
        <v>20</v>
      </c>
      <c r="AK17" s="578">
        <v>1334.7826086956507</v>
      </c>
      <c r="AL17" s="578">
        <v>66.739130434782538</v>
      </c>
      <c r="AM17" s="576">
        <f t="shared" si="7"/>
        <v>22</v>
      </c>
      <c r="AN17" s="644"/>
      <c r="AO17" s="576">
        <v>20</v>
      </c>
      <c r="AP17" s="578">
        <v>1319.2682926829264</v>
      </c>
      <c r="AQ17" s="578">
        <v>65.963414634146318</v>
      </c>
      <c r="AR17" s="576">
        <f t="shared" si="8"/>
        <v>21</v>
      </c>
      <c r="AS17" s="644"/>
      <c r="AT17" s="576">
        <v>20</v>
      </c>
      <c r="AU17" s="578">
        <v>1305.4205607476642</v>
      </c>
      <c r="AV17" s="578">
        <v>65.271028037383218</v>
      </c>
      <c r="AW17" s="576">
        <f t="shared" si="9"/>
        <v>21</v>
      </c>
      <c r="AX17" s="644"/>
      <c r="AZ17" s="368" t="e">
        <f t="shared" si="10"/>
        <v>#N/A</v>
      </c>
      <c r="BA17" s="644"/>
    </row>
    <row r="18" spans="2:53">
      <c r="B18" s="649"/>
      <c r="C18" s="526">
        <v>12</v>
      </c>
      <c r="D18" s="201" t="s">
        <v>340</v>
      </c>
      <c r="E18" s="529">
        <v>14</v>
      </c>
      <c r="F18" s="201">
        <v>1440</v>
      </c>
      <c r="G18" s="199">
        <v>102.85714285714286</v>
      </c>
      <c r="H18" s="703"/>
      <c r="I18" s="529">
        <f t="shared" si="0"/>
        <v>14.285714285714286</v>
      </c>
      <c r="J18" s="529">
        <f t="shared" si="1"/>
        <v>1330.3573494719301</v>
      </c>
      <c r="K18" s="199">
        <f t="shared" si="2"/>
        <v>93.240006744968724</v>
      </c>
      <c r="L18" s="659"/>
      <c r="M18" s="552">
        <f>RANK(K18, K$7:$K$36)</f>
        <v>5</v>
      </c>
      <c r="N18" s="643"/>
      <c r="O18" s="643"/>
      <c r="P18" s="576">
        <v>15</v>
      </c>
      <c r="Q18" s="578">
        <v>1329.4736842105272</v>
      </c>
      <c r="R18" s="578">
        <v>88.631578947368482</v>
      </c>
      <c r="S18" s="576">
        <f t="shared" si="3"/>
        <v>5</v>
      </c>
      <c r="T18" s="644"/>
      <c r="U18" s="576">
        <v>14</v>
      </c>
      <c r="V18" s="578">
        <v>1316.7857142857151</v>
      </c>
      <c r="W18" s="578">
        <v>94.05612244897965</v>
      </c>
      <c r="X18" s="576">
        <f t="shared" si="4"/>
        <v>4</v>
      </c>
      <c r="Y18" s="644"/>
      <c r="Z18" s="576">
        <v>14</v>
      </c>
      <c r="AA18" s="578">
        <v>1328.1818181818182</v>
      </c>
      <c r="AB18" s="578">
        <v>94.870129870129873</v>
      </c>
      <c r="AC18" s="576">
        <f t="shared" si="5"/>
        <v>4</v>
      </c>
      <c r="AD18" s="644"/>
      <c r="AE18" s="576">
        <v>14</v>
      </c>
      <c r="AF18" s="578">
        <v>1353.9130434782608</v>
      </c>
      <c r="AG18" s="578">
        <v>96.708074534161483</v>
      </c>
      <c r="AH18" s="576">
        <f t="shared" si="6"/>
        <v>3</v>
      </c>
      <c r="AI18" s="644"/>
      <c r="AJ18" s="576">
        <v>14</v>
      </c>
      <c r="AK18" s="578">
        <v>1351.6363636363644</v>
      </c>
      <c r="AL18" s="578">
        <v>96.545454545454604</v>
      </c>
      <c r="AM18" s="576">
        <f t="shared" si="7"/>
        <v>3</v>
      </c>
      <c r="AN18" s="644"/>
      <c r="AO18" s="576">
        <v>14</v>
      </c>
      <c r="AP18" s="578">
        <v>1337.2727272727286</v>
      </c>
      <c r="AQ18" s="578">
        <v>95.519480519480609</v>
      </c>
      <c r="AR18" s="576">
        <f t="shared" si="8"/>
        <v>5</v>
      </c>
      <c r="AS18" s="644"/>
      <c r="AT18" s="576">
        <v>15</v>
      </c>
      <c r="AU18" s="578">
        <v>1295.2380952380965</v>
      </c>
      <c r="AV18" s="578">
        <v>86.34920634920644</v>
      </c>
      <c r="AW18" s="576">
        <f t="shared" si="9"/>
        <v>5</v>
      </c>
      <c r="AX18" s="644"/>
      <c r="AZ18" s="368" t="e">
        <f t="shared" si="10"/>
        <v>#N/A</v>
      </c>
      <c r="BA18" s="644"/>
    </row>
    <row r="19" spans="2:53">
      <c r="B19" s="649"/>
      <c r="C19" s="526">
        <v>13</v>
      </c>
      <c r="D19" s="201" t="s">
        <v>765</v>
      </c>
      <c r="E19" s="529">
        <v>19</v>
      </c>
      <c r="F19" s="201">
        <v>1440</v>
      </c>
      <c r="G19" s="199">
        <v>75.78947368421052</v>
      </c>
      <c r="H19" s="703"/>
      <c r="I19" s="529">
        <f t="shared" si="0"/>
        <v>19</v>
      </c>
      <c r="J19" s="529">
        <f t="shared" si="1"/>
        <v>1327.7794356443592</v>
      </c>
      <c r="K19" s="199">
        <f t="shared" si="2"/>
        <v>69.883128191808368</v>
      </c>
      <c r="L19" s="659"/>
      <c r="M19" s="552">
        <f>RANK(K19, K$7:$K$36)</f>
        <v>19</v>
      </c>
      <c r="N19" s="643"/>
      <c r="O19" s="643"/>
      <c r="P19" s="576">
        <v>19</v>
      </c>
      <c r="Q19" s="578">
        <v>1329.6296296296291</v>
      </c>
      <c r="R19" s="578">
        <v>69.980506822612057</v>
      </c>
      <c r="S19" s="576">
        <f t="shared" si="3"/>
        <v>17</v>
      </c>
      <c r="T19" s="644"/>
      <c r="U19" s="576">
        <v>19</v>
      </c>
      <c r="V19" s="578">
        <v>1328.799999999999</v>
      </c>
      <c r="W19" s="578">
        <v>69.936842105263111</v>
      </c>
      <c r="X19" s="576">
        <f t="shared" si="4"/>
        <v>17</v>
      </c>
      <c r="Y19" s="644"/>
      <c r="Z19" s="576">
        <v>19</v>
      </c>
      <c r="AA19" s="578">
        <v>1360.6451612903238</v>
      </c>
      <c r="AB19" s="578">
        <v>71.612903225806519</v>
      </c>
      <c r="AC19" s="576">
        <f t="shared" si="5"/>
        <v>17</v>
      </c>
      <c r="AD19" s="644"/>
      <c r="AE19" s="576">
        <v>19</v>
      </c>
      <c r="AF19" s="578">
        <v>1334.7692307692323</v>
      </c>
      <c r="AG19" s="578">
        <v>70.251012145749073</v>
      </c>
      <c r="AH19" s="576">
        <f t="shared" si="6"/>
        <v>17</v>
      </c>
      <c r="AI19" s="644"/>
      <c r="AJ19" s="576">
        <v>19</v>
      </c>
      <c r="AK19" s="578">
        <v>1339.4594594594585</v>
      </c>
      <c r="AL19" s="578">
        <v>70.497866287339917</v>
      </c>
      <c r="AM19" s="576">
        <f t="shared" si="7"/>
        <v>17</v>
      </c>
      <c r="AN19" s="644"/>
      <c r="AO19" s="576">
        <v>19</v>
      </c>
      <c r="AP19" s="578">
        <v>1296.9767441860463</v>
      </c>
      <c r="AQ19" s="578">
        <v>68.261933904528746</v>
      </c>
      <c r="AR19" s="576">
        <f t="shared" si="8"/>
        <v>20</v>
      </c>
      <c r="AS19" s="644"/>
      <c r="AT19" s="576">
        <v>19</v>
      </c>
      <c r="AU19" s="578">
        <v>1304.1758241758243</v>
      </c>
      <c r="AV19" s="578">
        <v>68.640832851359178</v>
      </c>
      <c r="AW19" s="576">
        <f t="shared" si="9"/>
        <v>20</v>
      </c>
      <c r="AX19" s="644"/>
      <c r="AZ19" s="368" t="e">
        <f t="shared" si="10"/>
        <v>#N/A</v>
      </c>
      <c r="BA19" s="644"/>
    </row>
    <row r="20" spans="2:53">
      <c r="B20" s="649"/>
      <c r="C20" s="526">
        <v>14</v>
      </c>
      <c r="D20" s="201" t="s">
        <v>339</v>
      </c>
      <c r="E20" s="529">
        <v>19</v>
      </c>
      <c r="F20" s="201">
        <v>1440</v>
      </c>
      <c r="G20" s="199">
        <v>75.78947368421052</v>
      </c>
      <c r="H20" s="703"/>
      <c r="I20" s="529">
        <f t="shared" si="0"/>
        <v>19</v>
      </c>
      <c r="J20" s="529">
        <f t="shared" si="1"/>
        <v>1336.6741563090843</v>
      </c>
      <c r="K20" s="199">
        <f t="shared" si="2"/>
        <v>70.351271384688644</v>
      </c>
      <c r="L20" s="659"/>
      <c r="M20" s="552">
        <f>RANK(K20, K$7:$K$36)</f>
        <v>17</v>
      </c>
      <c r="N20" s="643"/>
      <c r="O20" s="643"/>
      <c r="P20" s="576">
        <v>19</v>
      </c>
      <c r="Q20" s="578">
        <v>1323.0769230769224</v>
      </c>
      <c r="R20" s="578">
        <v>69.635627530364332</v>
      </c>
      <c r="S20" s="576">
        <f t="shared" si="3"/>
        <v>19</v>
      </c>
      <c r="T20" s="644"/>
      <c r="U20" s="576">
        <v>19</v>
      </c>
      <c r="V20" s="578">
        <v>1353.4285714285702</v>
      </c>
      <c r="W20" s="578">
        <v>71.233082706766851</v>
      </c>
      <c r="X20" s="576">
        <f t="shared" si="4"/>
        <v>15</v>
      </c>
      <c r="Y20" s="644"/>
      <c r="Z20" s="576">
        <v>19</v>
      </c>
      <c r="AA20" s="578">
        <v>1346.896551724139</v>
      </c>
      <c r="AB20" s="578">
        <v>70.889292196007318</v>
      </c>
      <c r="AC20" s="576">
        <f t="shared" si="5"/>
        <v>18</v>
      </c>
      <c r="AD20" s="644"/>
      <c r="AE20" s="576">
        <v>19</v>
      </c>
      <c r="AF20" s="578">
        <v>1320.9523809523823</v>
      </c>
      <c r="AG20" s="578">
        <v>69.523809523809589</v>
      </c>
      <c r="AH20" s="576">
        <f t="shared" si="6"/>
        <v>19</v>
      </c>
      <c r="AI20" s="644"/>
      <c r="AJ20" s="576">
        <v>19</v>
      </c>
      <c r="AK20" s="578">
        <v>1327.2413793103458</v>
      </c>
      <c r="AL20" s="578">
        <v>69.854809437386621</v>
      </c>
      <c r="AM20" s="576">
        <f t="shared" si="7"/>
        <v>19</v>
      </c>
      <c r="AN20" s="644"/>
      <c r="AO20" s="576">
        <v>19</v>
      </c>
      <c r="AP20" s="578">
        <v>1347.123287671232</v>
      </c>
      <c r="AQ20" s="578">
        <v>70.901225666906953</v>
      </c>
      <c r="AR20" s="576">
        <f t="shared" si="8"/>
        <v>17</v>
      </c>
      <c r="AS20" s="644"/>
      <c r="AT20" s="576">
        <v>19</v>
      </c>
      <c r="AU20" s="578">
        <v>1337.9999999999986</v>
      </c>
      <c r="AV20" s="578">
        <v>70.421052631578874</v>
      </c>
      <c r="AW20" s="576">
        <f t="shared" si="9"/>
        <v>18</v>
      </c>
      <c r="AX20" s="644"/>
      <c r="AZ20" s="368" t="e">
        <f t="shared" si="10"/>
        <v>#N/A</v>
      </c>
      <c r="BA20" s="644"/>
    </row>
    <row r="21" spans="2:53">
      <c r="B21" s="649"/>
      <c r="C21" s="526">
        <v>15</v>
      </c>
      <c r="D21" s="201" t="s">
        <v>766</v>
      </c>
      <c r="E21" s="529">
        <v>18</v>
      </c>
      <c r="F21" s="201">
        <v>1500</v>
      </c>
      <c r="G21" s="199">
        <v>83.333333333333329</v>
      </c>
      <c r="H21" s="703"/>
      <c r="I21" s="529">
        <f t="shared" si="0"/>
        <v>18</v>
      </c>
      <c r="J21" s="529">
        <f t="shared" si="1"/>
        <v>1293.6281597676793</v>
      </c>
      <c r="K21" s="199">
        <f t="shared" si="2"/>
        <v>71.868231098204404</v>
      </c>
      <c r="L21" s="659"/>
      <c r="M21" s="552">
        <f>RANK(K21, K$7:$K$36)</f>
        <v>16</v>
      </c>
      <c r="N21" s="643"/>
      <c r="O21" s="643"/>
      <c r="P21" s="576">
        <v>18</v>
      </c>
      <c r="Q21" s="578">
        <v>1308.4210526315799</v>
      </c>
      <c r="R21" s="578">
        <v>72.690058479532212</v>
      </c>
      <c r="S21" s="576">
        <f t="shared" si="3"/>
        <v>16</v>
      </c>
      <c r="T21" s="644"/>
      <c r="U21" s="576">
        <v>18</v>
      </c>
      <c r="V21" s="578">
        <v>1201.7454545454586</v>
      </c>
      <c r="W21" s="578">
        <v>66.763636363636593</v>
      </c>
      <c r="X21" s="576">
        <f t="shared" si="4"/>
        <v>20</v>
      </c>
      <c r="Y21" s="644"/>
      <c r="Z21" s="576">
        <v>18</v>
      </c>
      <c r="AA21" s="578">
        <v>1315.6363636363644</v>
      </c>
      <c r="AB21" s="578">
        <v>73.090909090909136</v>
      </c>
      <c r="AC21" s="576">
        <f t="shared" si="5"/>
        <v>16</v>
      </c>
      <c r="AD21" s="644"/>
      <c r="AE21" s="576">
        <v>18</v>
      </c>
      <c r="AF21" s="578">
        <v>1298.1818181818182</v>
      </c>
      <c r="AG21" s="578">
        <v>72.121212121212125</v>
      </c>
      <c r="AH21" s="576">
        <f t="shared" si="6"/>
        <v>16</v>
      </c>
      <c r="AI21" s="644"/>
      <c r="AJ21" s="576">
        <v>18</v>
      </c>
      <c r="AK21" s="578">
        <v>1330.6666666666665</v>
      </c>
      <c r="AL21" s="578">
        <v>73.925925925925924</v>
      </c>
      <c r="AM21" s="576">
        <f t="shared" si="7"/>
        <v>16</v>
      </c>
      <c r="AN21" s="644"/>
      <c r="AO21" s="576">
        <v>18</v>
      </c>
      <c r="AP21" s="578">
        <v>1304.7457627118656</v>
      </c>
      <c r="AQ21" s="578">
        <v>72.485875706214756</v>
      </c>
      <c r="AR21" s="576">
        <f t="shared" si="8"/>
        <v>16</v>
      </c>
      <c r="AS21" s="644"/>
      <c r="AT21" s="576">
        <v>18</v>
      </c>
      <c r="AU21" s="578">
        <v>1296.0000000000014</v>
      </c>
      <c r="AV21" s="578">
        <v>72.000000000000071</v>
      </c>
      <c r="AW21" s="576">
        <f t="shared" si="9"/>
        <v>16</v>
      </c>
      <c r="AX21" s="644"/>
      <c r="AZ21" s="368" t="e">
        <f t="shared" si="10"/>
        <v>#N/A</v>
      </c>
      <c r="BA21" s="644"/>
    </row>
    <row r="22" spans="2:53">
      <c r="B22" s="649"/>
      <c r="C22" s="526">
        <v>16</v>
      </c>
      <c r="D22" s="201" t="s">
        <v>501</v>
      </c>
      <c r="E22" s="529">
        <v>17</v>
      </c>
      <c r="F22" s="201">
        <v>1440</v>
      </c>
      <c r="G22" s="199">
        <v>84.705882352941174</v>
      </c>
      <c r="H22" s="703"/>
      <c r="I22" s="529">
        <f t="shared" si="0"/>
        <v>17</v>
      </c>
      <c r="J22" s="529">
        <f t="shared" si="1"/>
        <v>1335.3906617891728</v>
      </c>
      <c r="K22" s="199">
        <f t="shared" si="2"/>
        <v>78.552391869951336</v>
      </c>
      <c r="L22" s="659"/>
      <c r="M22" s="552">
        <f>RANK(K22, K$7:$K$36)</f>
        <v>12</v>
      </c>
      <c r="N22" s="643"/>
      <c r="O22" s="643"/>
      <c r="P22" s="576">
        <v>17</v>
      </c>
      <c r="Q22" s="578">
        <v>1361.5384615384608</v>
      </c>
      <c r="R22" s="578">
        <v>80.090497737556518</v>
      </c>
      <c r="S22" s="576">
        <f t="shared" si="3"/>
        <v>11</v>
      </c>
      <c r="T22" s="644"/>
      <c r="U22" s="576">
        <v>17</v>
      </c>
      <c r="V22" s="578">
        <v>1370.5263157894726</v>
      </c>
      <c r="W22" s="578">
        <v>80.619195046439572</v>
      </c>
      <c r="X22" s="576">
        <f t="shared" si="4"/>
        <v>11</v>
      </c>
      <c r="Y22" s="644"/>
      <c r="Z22" s="576">
        <v>17</v>
      </c>
      <c r="AA22" s="578">
        <v>1319.9999999999982</v>
      </c>
      <c r="AB22" s="578">
        <v>77.647058823529306</v>
      </c>
      <c r="AC22" s="576">
        <f t="shared" si="5"/>
        <v>14</v>
      </c>
      <c r="AD22" s="644"/>
      <c r="AE22" s="576">
        <v>17</v>
      </c>
      <c r="AF22" s="578">
        <v>1347.2727272727254</v>
      </c>
      <c r="AG22" s="578">
        <v>79.251336898395607</v>
      </c>
      <c r="AH22" s="576">
        <f t="shared" si="6"/>
        <v>11</v>
      </c>
      <c r="AI22" s="644"/>
      <c r="AJ22" s="576">
        <v>17</v>
      </c>
      <c r="AK22" s="578">
        <v>1344.6153846153838</v>
      </c>
      <c r="AL22" s="578">
        <v>79.09502262443435</v>
      </c>
      <c r="AM22" s="576">
        <f t="shared" si="7"/>
        <v>12</v>
      </c>
      <c r="AN22" s="644"/>
      <c r="AO22" s="576">
        <v>17</v>
      </c>
      <c r="AP22" s="578">
        <v>1305.4838709677433</v>
      </c>
      <c r="AQ22" s="578">
        <v>76.793168880455482</v>
      </c>
      <c r="AR22" s="576">
        <f t="shared" si="8"/>
        <v>15</v>
      </c>
      <c r="AS22" s="644"/>
      <c r="AT22" s="576">
        <v>17</v>
      </c>
      <c r="AU22" s="578">
        <v>1298.2978723404256</v>
      </c>
      <c r="AV22" s="578">
        <v>76.370463078848559</v>
      </c>
      <c r="AW22" s="576">
        <f t="shared" si="9"/>
        <v>14</v>
      </c>
      <c r="AX22" s="644"/>
      <c r="AZ22" s="368" t="e">
        <f t="shared" si="10"/>
        <v>#N/A</v>
      </c>
      <c r="BA22" s="644"/>
    </row>
    <row r="23" spans="2:53">
      <c r="B23" s="649"/>
      <c r="C23" s="526">
        <v>17</v>
      </c>
      <c r="D23" s="201" t="s">
        <v>580</v>
      </c>
      <c r="E23" s="529">
        <v>16</v>
      </c>
      <c r="F23" s="201">
        <v>1636</v>
      </c>
      <c r="G23" s="199">
        <v>102.25</v>
      </c>
      <c r="H23" s="703"/>
      <c r="I23" s="529">
        <f t="shared" si="0"/>
        <v>16</v>
      </c>
      <c r="J23" s="529">
        <f t="shared" si="1"/>
        <v>1207.0715447540567</v>
      </c>
      <c r="K23" s="199">
        <f t="shared" si="2"/>
        <v>75.441971547128546</v>
      </c>
      <c r="L23" s="659"/>
      <c r="M23" s="552">
        <f>RANK(K23, K$7:$K$36)</f>
        <v>15</v>
      </c>
      <c r="N23" s="643"/>
      <c r="O23" s="643"/>
      <c r="P23" s="576">
        <v>16</v>
      </c>
      <c r="Q23" s="578">
        <v>1389.9999999999995</v>
      </c>
      <c r="R23" s="578">
        <v>86.874999999999972</v>
      </c>
      <c r="S23" s="576">
        <f t="shared" si="3"/>
        <v>6</v>
      </c>
      <c r="T23" s="644"/>
      <c r="U23" s="576">
        <v>16</v>
      </c>
      <c r="V23" s="578">
        <v>0</v>
      </c>
      <c r="W23" s="578">
        <v>0</v>
      </c>
      <c r="X23" s="576">
        <f t="shared" si="4"/>
        <v>25</v>
      </c>
      <c r="Y23" s="644"/>
      <c r="Z23" s="576">
        <v>16</v>
      </c>
      <c r="AA23" s="578">
        <v>1449.9999999999975</v>
      </c>
      <c r="AB23" s="578">
        <v>90.624999999999844</v>
      </c>
      <c r="AC23" s="576">
        <f t="shared" si="5"/>
        <v>6</v>
      </c>
      <c r="AD23" s="644"/>
      <c r="AE23" s="576">
        <v>16</v>
      </c>
      <c r="AF23" s="578">
        <v>1441.9354838709653</v>
      </c>
      <c r="AG23" s="578">
        <v>90.120967741935331</v>
      </c>
      <c r="AH23" s="576">
        <f t="shared" si="6"/>
        <v>6</v>
      </c>
      <c r="AI23" s="644"/>
      <c r="AJ23" s="576">
        <v>16</v>
      </c>
      <c r="AK23" s="578">
        <v>1463.6842105263147</v>
      </c>
      <c r="AL23" s="578">
        <v>91.480263157894669</v>
      </c>
      <c r="AM23" s="576">
        <f t="shared" si="7"/>
        <v>6</v>
      </c>
      <c r="AN23" s="644"/>
      <c r="AO23" s="576">
        <v>16</v>
      </c>
      <c r="AP23" s="578">
        <v>1336.1538461538469</v>
      </c>
      <c r="AQ23" s="578">
        <v>83.509615384615429</v>
      </c>
      <c r="AR23" s="576">
        <f t="shared" si="8"/>
        <v>6</v>
      </c>
      <c r="AS23" s="644"/>
      <c r="AT23" s="576">
        <v>16</v>
      </c>
      <c r="AU23" s="578">
        <v>1367.7272727272727</v>
      </c>
      <c r="AV23" s="578">
        <v>85.482954545454547</v>
      </c>
      <c r="AW23" s="576">
        <f t="shared" si="9"/>
        <v>6</v>
      </c>
      <c r="AX23" s="644"/>
      <c r="AZ23" s="368" t="e">
        <f t="shared" si="10"/>
        <v>#N/A</v>
      </c>
      <c r="BA23" s="644"/>
    </row>
    <row r="24" spans="2:53">
      <c r="B24" s="649"/>
      <c r="C24" s="526">
        <v>18</v>
      </c>
      <c r="D24" s="201" t="s">
        <v>767</v>
      </c>
      <c r="E24" s="529">
        <v>16</v>
      </c>
      <c r="F24" s="201">
        <v>1500</v>
      </c>
      <c r="G24" s="199">
        <v>93.75</v>
      </c>
      <c r="H24" s="703"/>
      <c r="I24" s="529">
        <f t="shared" si="0"/>
        <v>16</v>
      </c>
      <c r="J24" s="529">
        <f t="shared" si="1"/>
        <v>1312.7603024121277</v>
      </c>
      <c r="K24" s="199">
        <f t="shared" si="2"/>
        <v>82.047518900757979</v>
      </c>
      <c r="L24" s="659"/>
      <c r="M24" s="552">
        <f>RANK(K24, K$7:$K$36)</f>
        <v>8</v>
      </c>
      <c r="N24" s="643"/>
      <c r="O24" s="643"/>
      <c r="P24" s="576">
        <v>16</v>
      </c>
      <c r="Q24" s="578">
        <v>1330.4347826086957</v>
      </c>
      <c r="R24" s="578">
        <v>83.152173913043484</v>
      </c>
      <c r="S24" s="576">
        <f t="shared" si="3"/>
        <v>8</v>
      </c>
      <c r="T24" s="644"/>
      <c r="U24" s="576">
        <v>16</v>
      </c>
      <c r="V24" s="578">
        <v>1300.8510638297876</v>
      </c>
      <c r="W24" s="578">
        <v>81.303191489361723</v>
      </c>
      <c r="X24" s="576">
        <f t="shared" si="4"/>
        <v>9</v>
      </c>
      <c r="Y24" s="644"/>
      <c r="Z24" s="576">
        <v>16</v>
      </c>
      <c r="AA24" s="578">
        <v>1304.2105263157887</v>
      </c>
      <c r="AB24" s="578">
        <v>81.513157894736793</v>
      </c>
      <c r="AC24" s="576">
        <f t="shared" si="5"/>
        <v>10</v>
      </c>
      <c r="AD24" s="644"/>
      <c r="AE24" s="576">
        <v>16</v>
      </c>
      <c r="AF24" s="578">
        <v>1328.1081081081072</v>
      </c>
      <c r="AG24" s="578">
        <v>83.006756756756701</v>
      </c>
      <c r="AH24" s="576">
        <f t="shared" si="6"/>
        <v>8</v>
      </c>
      <c r="AI24" s="644"/>
      <c r="AJ24" s="576">
        <v>16</v>
      </c>
      <c r="AK24" s="578">
        <v>1309.7560975609751</v>
      </c>
      <c r="AL24" s="578">
        <v>81.859756097560947</v>
      </c>
      <c r="AM24" s="576">
        <f t="shared" si="7"/>
        <v>10</v>
      </c>
      <c r="AN24" s="644"/>
      <c r="AO24" s="576">
        <v>16</v>
      </c>
      <c r="AP24" s="578">
        <v>1323.4615384615392</v>
      </c>
      <c r="AQ24" s="578">
        <v>82.716346153846203</v>
      </c>
      <c r="AR24" s="576">
        <f t="shared" si="8"/>
        <v>7</v>
      </c>
      <c r="AS24" s="644"/>
      <c r="AT24" s="576">
        <v>16</v>
      </c>
      <c r="AU24" s="578">
        <v>1292.5000000000002</v>
      </c>
      <c r="AV24" s="578">
        <v>80.781250000000014</v>
      </c>
      <c r="AW24" s="576">
        <f t="shared" si="9"/>
        <v>7</v>
      </c>
      <c r="AX24" s="644"/>
      <c r="AZ24" s="368" t="e">
        <f t="shared" si="10"/>
        <v>#N/A</v>
      </c>
      <c r="BA24" s="644"/>
    </row>
    <row r="25" spans="2:53">
      <c r="B25" s="649"/>
      <c r="C25" s="526">
        <v>19</v>
      </c>
      <c r="D25" s="201" t="s">
        <v>768</v>
      </c>
      <c r="E25" s="529">
        <v>16</v>
      </c>
      <c r="F25" s="201">
        <v>1500</v>
      </c>
      <c r="G25" s="199">
        <v>93.75</v>
      </c>
      <c r="H25" s="703"/>
      <c r="I25" s="529">
        <f t="shared" si="0"/>
        <v>16</v>
      </c>
      <c r="J25" s="529">
        <f t="shared" si="1"/>
        <v>1328.6298540836885</v>
      </c>
      <c r="K25" s="199">
        <f t="shared" si="2"/>
        <v>83.039365880230534</v>
      </c>
      <c r="L25" s="659"/>
      <c r="M25" s="552">
        <f>RANK(K25, K$7:$K$36)</f>
        <v>6</v>
      </c>
      <c r="N25" s="643"/>
      <c r="O25" s="643"/>
      <c r="P25" s="576">
        <v>16</v>
      </c>
      <c r="Q25" s="578">
        <v>1331.8181818181831</v>
      </c>
      <c r="R25" s="578">
        <v>83.238636363636445</v>
      </c>
      <c r="S25" s="576">
        <f t="shared" si="3"/>
        <v>7</v>
      </c>
      <c r="T25" s="644"/>
      <c r="U25" s="576">
        <v>16</v>
      </c>
      <c r="V25" s="578">
        <v>1348.5245901639357</v>
      </c>
      <c r="W25" s="578">
        <v>84.282786885245983</v>
      </c>
      <c r="X25" s="576">
        <f t="shared" si="4"/>
        <v>6</v>
      </c>
      <c r="Y25" s="644"/>
      <c r="Z25" s="576">
        <v>16</v>
      </c>
      <c r="AA25" s="578">
        <v>1361.2500000000005</v>
      </c>
      <c r="AB25" s="578">
        <v>85.078125000000028</v>
      </c>
      <c r="AC25" s="576">
        <f t="shared" si="5"/>
        <v>7</v>
      </c>
      <c r="AD25" s="644"/>
      <c r="AE25" s="576">
        <v>16</v>
      </c>
      <c r="AF25" s="578">
        <v>1330.9090909090919</v>
      </c>
      <c r="AG25" s="578">
        <v>83.181818181818244</v>
      </c>
      <c r="AH25" s="576">
        <f t="shared" si="6"/>
        <v>7</v>
      </c>
      <c r="AI25" s="644"/>
      <c r="AJ25" s="576">
        <v>16</v>
      </c>
      <c r="AK25" s="578">
        <v>1347.0967741935494</v>
      </c>
      <c r="AL25" s="578">
        <v>84.19354838709684</v>
      </c>
      <c r="AM25" s="576">
        <f t="shared" si="7"/>
        <v>7</v>
      </c>
      <c r="AN25" s="644"/>
      <c r="AO25" s="576">
        <v>16</v>
      </c>
      <c r="AP25" s="578">
        <v>1291.2328767123277</v>
      </c>
      <c r="AQ25" s="578">
        <v>80.702054794520478</v>
      </c>
      <c r="AR25" s="576">
        <f t="shared" si="8"/>
        <v>10</v>
      </c>
      <c r="AS25" s="644"/>
      <c r="AT25" s="576">
        <v>16</v>
      </c>
      <c r="AU25" s="578">
        <v>1289.577464788731</v>
      </c>
      <c r="AV25" s="578">
        <v>80.598591549295691</v>
      </c>
      <c r="AW25" s="576">
        <f t="shared" si="9"/>
        <v>8</v>
      </c>
      <c r="AX25" s="644"/>
      <c r="AZ25" s="368" t="e">
        <f t="shared" si="10"/>
        <v>#N/A</v>
      </c>
      <c r="BA25" s="644"/>
    </row>
    <row r="26" spans="2:53">
      <c r="B26" s="649"/>
      <c r="C26" s="526">
        <v>20</v>
      </c>
      <c r="D26" s="201" t="s">
        <v>596</v>
      </c>
      <c r="E26" s="529">
        <v>19</v>
      </c>
      <c r="F26" s="201">
        <v>1440</v>
      </c>
      <c r="G26" s="199">
        <v>75.78947368421052</v>
      </c>
      <c r="H26" s="703"/>
      <c r="I26" s="529">
        <f t="shared" si="0"/>
        <v>19</v>
      </c>
      <c r="J26" s="529">
        <f t="shared" si="1"/>
        <v>1276.4847795620033</v>
      </c>
      <c r="K26" s="199">
        <f t="shared" si="2"/>
        <v>67.183409450631743</v>
      </c>
      <c r="L26" s="659"/>
      <c r="M26" s="552">
        <f>RANK(K26, K$7:$K$36)</f>
        <v>21</v>
      </c>
      <c r="N26" s="643"/>
      <c r="O26" s="643"/>
      <c r="P26" s="576">
        <v>19</v>
      </c>
      <c r="Q26" s="578">
        <v>1278.7500000000005</v>
      </c>
      <c r="R26" s="578">
        <v>67.302631578947398</v>
      </c>
      <c r="S26" s="576">
        <f t="shared" si="3"/>
        <v>22</v>
      </c>
      <c r="T26" s="644"/>
      <c r="U26" s="576">
        <v>19</v>
      </c>
      <c r="V26" s="578">
        <v>1267.2000000000003</v>
      </c>
      <c r="W26" s="578">
        <v>66.694736842105272</v>
      </c>
      <c r="X26" s="576">
        <f t="shared" si="4"/>
        <v>21</v>
      </c>
      <c r="Y26" s="644"/>
      <c r="Z26" s="576">
        <v>19</v>
      </c>
      <c r="AA26" s="578">
        <v>1321.6216216216205</v>
      </c>
      <c r="AB26" s="578">
        <v>69.559032716927391</v>
      </c>
      <c r="AC26" s="576">
        <f t="shared" si="5"/>
        <v>21</v>
      </c>
      <c r="AD26" s="644"/>
      <c r="AE26" s="576">
        <v>19</v>
      </c>
      <c r="AF26" s="578">
        <v>1287.5675675675666</v>
      </c>
      <c r="AG26" s="578">
        <v>67.766714082503498</v>
      </c>
      <c r="AH26" s="576">
        <f t="shared" si="6"/>
        <v>21</v>
      </c>
      <c r="AI26" s="644"/>
      <c r="AJ26" s="576">
        <v>19</v>
      </c>
      <c r="AK26" s="578">
        <v>1302.6666666666667</v>
      </c>
      <c r="AL26" s="578">
        <v>68.561403508771932</v>
      </c>
      <c r="AM26" s="576">
        <f t="shared" si="7"/>
        <v>21</v>
      </c>
      <c r="AN26" s="644"/>
      <c r="AO26" s="576">
        <v>19</v>
      </c>
      <c r="AP26" s="578">
        <v>1249.2857142857151</v>
      </c>
      <c r="AQ26" s="578">
        <v>65.751879699248164</v>
      </c>
      <c r="AR26" s="576">
        <f t="shared" si="8"/>
        <v>22</v>
      </c>
      <c r="AS26" s="644"/>
      <c r="AT26" s="576">
        <v>19</v>
      </c>
      <c r="AU26" s="578">
        <v>1228.3018867924536</v>
      </c>
      <c r="AV26" s="578">
        <v>64.647467725918617</v>
      </c>
      <c r="AW26" s="576">
        <f t="shared" si="9"/>
        <v>22</v>
      </c>
      <c r="AX26" s="644"/>
      <c r="AZ26" s="368" t="e">
        <f t="shared" si="10"/>
        <v>#N/A</v>
      </c>
      <c r="BA26" s="644"/>
    </row>
    <row r="27" spans="2:53">
      <c r="B27" s="649"/>
      <c r="C27" s="526">
        <v>21</v>
      </c>
      <c r="D27" s="201" t="s">
        <v>654</v>
      </c>
      <c r="E27" s="529">
        <v>21</v>
      </c>
      <c r="F27" s="201">
        <v>1440</v>
      </c>
      <c r="G27" s="199">
        <v>68.571428571428569</v>
      </c>
      <c r="H27" s="703"/>
      <c r="I27" s="529">
        <f t="shared" si="0"/>
        <v>20.714285714285715</v>
      </c>
      <c r="J27" s="529">
        <f t="shared" si="1"/>
        <v>1091.4408852471554</v>
      </c>
      <c r="K27" s="199">
        <f t="shared" si="2"/>
        <v>52.737118643758699</v>
      </c>
      <c r="L27" s="659"/>
      <c r="M27" s="552">
        <f>RANK(K27, K$7:$K$36)</f>
        <v>25</v>
      </c>
      <c r="N27" s="643"/>
      <c r="O27" s="643"/>
      <c r="P27" s="576">
        <v>21</v>
      </c>
      <c r="Q27" s="578">
        <v>1100.5714285714275</v>
      </c>
      <c r="R27" s="578">
        <v>52.408163265306072</v>
      </c>
      <c r="S27" s="576">
        <f t="shared" si="3"/>
        <v>25</v>
      </c>
      <c r="T27" s="644"/>
      <c r="U27" s="576">
        <v>21</v>
      </c>
      <c r="V27" s="578">
        <v>1109.142857142856</v>
      </c>
      <c r="W27" s="578">
        <v>52.816326530612187</v>
      </c>
      <c r="X27" s="576">
        <f t="shared" si="4"/>
        <v>24</v>
      </c>
      <c r="Y27" s="644"/>
      <c r="Z27" s="576">
        <v>21</v>
      </c>
      <c r="AA27" s="578">
        <v>971.53846153845905</v>
      </c>
      <c r="AB27" s="578">
        <v>46.263736263736142</v>
      </c>
      <c r="AC27" s="576">
        <f t="shared" si="5"/>
        <v>25</v>
      </c>
      <c r="AD27" s="644"/>
      <c r="AE27" s="576">
        <v>20</v>
      </c>
      <c r="AF27" s="578">
        <v>1137.599999999997</v>
      </c>
      <c r="AG27" s="578">
        <v>56.879999999999846</v>
      </c>
      <c r="AH27" s="576">
        <f t="shared" si="6"/>
        <v>25</v>
      </c>
      <c r="AI27" s="644"/>
      <c r="AJ27" s="576">
        <v>21</v>
      </c>
      <c r="AK27" s="578">
        <v>1129.999999999998</v>
      </c>
      <c r="AL27" s="578">
        <v>53.809523809523711</v>
      </c>
      <c r="AM27" s="576">
        <f t="shared" si="7"/>
        <v>25</v>
      </c>
      <c r="AN27" s="644"/>
      <c r="AO27" s="576">
        <v>20</v>
      </c>
      <c r="AP27" s="578">
        <v>1107.8048780487802</v>
      </c>
      <c r="AQ27" s="578">
        <v>55.390243902439011</v>
      </c>
      <c r="AR27" s="576">
        <f t="shared" si="8"/>
        <v>25</v>
      </c>
      <c r="AS27" s="644"/>
      <c r="AT27" s="576">
        <v>21</v>
      </c>
      <c r="AU27" s="578">
        <v>1083.4285714285704</v>
      </c>
      <c r="AV27" s="578">
        <v>51.591836734693828</v>
      </c>
      <c r="AW27" s="576">
        <f t="shared" si="9"/>
        <v>25</v>
      </c>
      <c r="AX27" s="644"/>
      <c r="AZ27" s="368" t="e">
        <f t="shared" si="10"/>
        <v>#N/A</v>
      </c>
      <c r="BA27" s="644"/>
    </row>
    <row r="28" spans="2:53">
      <c r="B28" s="649"/>
      <c r="C28" s="526">
        <v>22</v>
      </c>
      <c r="D28" s="201" t="s">
        <v>655</v>
      </c>
      <c r="E28" s="529">
        <v>19</v>
      </c>
      <c r="F28" s="201">
        <v>1440</v>
      </c>
      <c r="G28" s="199">
        <v>75.78947368421052</v>
      </c>
      <c r="H28" s="703"/>
      <c r="I28" s="529">
        <f t="shared" si="0"/>
        <v>19</v>
      </c>
      <c r="J28" s="529">
        <f t="shared" si="1"/>
        <v>1330.4167642793484</v>
      </c>
      <c r="K28" s="199">
        <f t="shared" si="2"/>
        <v>70.021934962070958</v>
      </c>
      <c r="L28" s="659"/>
      <c r="M28" s="552">
        <f>RANK(K28, K$7:$K$36)</f>
        <v>18</v>
      </c>
      <c r="N28" s="643"/>
      <c r="O28" s="643"/>
      <c r="P28" s="576">
        <v>19</v>
      </c>
      <c r="Q28" s="578">
        <v>1318.9830508474586</v>
      </c>
      <c r="R28" s="578">
        <v>69.420160570918867</v>
      </c>
      <c r="S28" s="576">
        <f t="shared" si="3"/>
        <v>20</v>
      </c>
      <c r="T28" s="644"/>
      <c r="U28" s="576">
        <v>19</v>
      </c>
      <c r="V28" s="578">
        <v>1340.0000000000009</v>
      </c>
      <c r="W28" s="578">
        <v>70.526315789473728</v>
      </c>
      <c r="X28" s="576">
        <f t="shared" si="4"/>
        <v>16</v>
      </c>
      <c r="Y28" s="644"/>
      <c r="Z28" s="576">
        <v>19</v>
      </c>
      <c r="AA28" s="578">
        <v>1327.8260869565217</v>
      </c>
      <c r="AB28" s="578">
        <v>69.885583524027467</v>
      </c>
      <c r="AC28" s="576">
        <f t="shared" si="5"/>
        <v>20</v>
      </c>
      <c r="AD28" s="644"/>
      <c r="AE28" s="576">
        <v>19</v>
      </c>
      <c r="AF28" s="578">
        <v>1324.8979591836739</v>
      </c>
      <c r="AG28" s="578">
        <v>69.731471535982834</v>
      </c>
      <c r="AH28" s="576">
        <f t="shared" si="6"/>
        <v>18</v>
      </c>
      <c r="AI28" s="644"/>
      <c r="AJ28" s="576">
        <v>19</v>
      </c>
      <c r="AK28" s="578">
        <v>1331.3793103448284</v>
      </c>
      <c r="AL28" s="578">
        <v>70.072595281306761</v>
      </c>
      <c r="AM28" s="576">
        <f t="shared" si="7"/>
        <v>18</v>
      </c>
      <c r="AN28" s="644"/>
      <c r="AO28" s="576">
        <v>19</v>
      </c>
      <c r="AP28" s="578">
        <v>1313.4375000000016</v>
      </c>
      <c r="AQ28" s="578">
        <v>69.128289473684291</v>
      </c>
      <c r="AR28" s="576">
        <f t="shared" si="8"/>
        <v>18</v>
      </c>
      <c r="AS28" s="644"/>
      <c r="AT28" s="576">
        <v>19</v>
      </c>
      <c r="AU28" s="578">
        <v>1356.3934426229521</v>
      </c>
      <c r="AV28" s="578">
        <v>71.389128559102744</v>
      </c>
      <c r="AW28" s="576">
        <f t="shared" si="9"/>
        <v>17</v>
      </c>
      <c r="AX28" s="644"/>
      <c r="AZ28" s="368" t="e">
        <f t="shared" si="10"/>
        <v>#N/A</v>
      </c>
      <c r="BA28" s="644"/>
    </row>
    <row r="29" spans="2:53">
      <c r="B29" s="649"/>
      <c r="C29" s="526">
        <v>23</v>
      </c>
      <c r="D29" s="201" t="s">
        <v>679</v>
      </c>
      <c r="E29" s="529">
        <v>14</v>
      </c>
      <c r="F29" s="201">
        <v>1440</v>
      </c>
      <c r="G29" s="199">
        <v>102.85714285714286</v>
      </c>
      <c r="H29" s="703"/>
      <c r="I29" s="529">
        <f t="shared" si="0"/>
        <v>14</v>
      </c>
      <c r="J29" s="529">
        <f t="shared" si="1"/>
        <v>1320.2829807526989</v>
      </c>
      <c r="K29" s="199">
        <f t="shared" si="2"/>
        <v>94.30592719662134</v>
      </c>
      <c r="L29" s="659"/>
      <c r="M29" s="552">
        <f>RANK(K29, K$7:$K$36)</f>
        <v>3</v>
      </c>
      <c r="N29" s="643"/>
      <c r="O29" s="643"/>
      <c r="P29" s="576">
        <v>14</v>
      </c>
      <c r="Q29" s="578">
        <v>1312.5000000000016</v>
      </c>
      <c r="R29" s="578">
        <v>93.750000000000114</v>
      </c>
      <c r="S29" s="576">
        <f t="shared" si="3"/>
        <v>3</v>
      </c>
      <c r="T29" s="644"/>
      <c r="U29" s="576">
        <v>14</v>
      </c>
      <c r="V29" s="578">
        <v>1308.3870967741948</v>
      </c>
      <c r="W29" s="578">
        <v>93.456221198156769</v>
      </c>
      <c r="X29" s="576">
        <f t="shared" si="4"/>
        <v>5</v>
      </c>
      <c r="Y29" s="644"/>
      <c r="Z29" s="576">
        <v>14</v>
      </c>
      <c r="AA29" s="578">
        <v>1331.0204081632658</v>
      </c>
      <c r="AB29" s="578">
        <v>95.07288629737613</v>
      </c>
      <c r="AC29" s="576">
        <f t="shared" si="5"/>
        <v>3</v>
      </c>
      <c r="AD29" s="644"/>
      <c r="AE29" s="576">
        <v>14</v>
      </c>
      <c r="AF29" s="578">
        <v>1305.5555555555561</v>
      </c>
      <c r="AG29" s="578">
        <v>93.253968253968296</v>
      </c>
      <c r="AH29" s="576">
        <f t="shared" si="6"/>
        <v>4</v>
      </c>
      <c r="AI29" s="644"/>
      <c r="AJ29" s="576">
        <v>14</v>
      </c>
      <c r="AK29" s="578">
        <v>1326.5454545454554</v>
      </c>
      <c r="AL29" s="578">
        <v>94.753246753246813</v>
      </c>
      <c r="AM29" s="576">
        <f t="shared" si="7"/>
        <v>5</v>
      </c>
      <c r="AN29" s="644"/>
      <c r="AO29" s="576">
        <v>14</v>
      </c>
      <c r="AP29" s="578">
        <v>1345.7142857142871</v>
      </c>
      <c r="AQ29" s="578">
        <v>96.122448979591937</v>
      </c>
      <c r="AR29" s="576">
        <f t="shared" si="8"/>
        <v>3</v>
      </c>
      <c r="AS29" s="644"/>
      <c r="AT29" s="576">
        <v>14</v>
      </c>
      <c r="AU29" s="578">
        <v>1312.2580645161304</v>
      </c>
      <c r="AV29" s="578">
        <v>93.732718894009309</v>
      </c>
      <c r="AW29" s="576">
        <f t="shared" si="9"/>
        <v>4</v>
      </c>
      <c r="AX29" s="644"/>
      <c r="AZ29" s="368" t="e">
        <f t="shared" si="10"/>
        <v>#N/A</v>
      </c>
      <c r="BA29" s="644"/>
    </row>
    <row r="30" spans="2:53">
      <c r="B30" s="649"/>
      <c r="C30" s="526">
        <v>24</v>
      </c>
      <c r="D30" s="201" t="s">
        <v>699</v>
      </c>
      <c r="E30" s="529">
        <v>21</v>
      </c>
      <c r="F30" s="201">
        <v>1385</v>
      </c>
      <c r="G30" s="199">
        <v>65.952380952380949</v>
      </c>
      <c r="H30" s="703"/>
      <c r="I30" s="529">
        <f t="shared" si="0"/>
        <v>20.571428571428573</v>
      </c>
      <c r="J30" s="529">
        <f t="shared" si="1"/>
        <v>1218.1266342296135</v>
      </c>
      <c r="K30" s="199">
        <f t="shared" si="2"/>
        <v>59.247296340518865</v>
      </c>
      <c r="L30" s="659"/>
      <c r="M30" s="552">
        <f>RANK(K30, K$7:$K$36)</f>
        <v>24</v>
      </c>
      <c r="N30" s="643"/>
      <c r="O30" s="643"/>
      <c r="P30" s="576">
        <v>21</v>
      </c>
      <c r="Q30" s="578">
        <v>1209.6000000000004</v>
      </c>
      <c r="R30" s="578">
        <v>57.600000000000016</v>
      </c>
      <c r="S30" s="576">
        <f t="shared" si="3"/>
        <v>24</v>
      </c>
      <c r="T30" s="644"/>
      <c r="U30" s="576">
        <v>20</v>
      </c>
      <c r="V30" s="578">
        <v>1221.4285714285722</v>
      </c>
      <c r="W30" s="578">
        <v>61.071428571428612</v>
      </c>
      <c r="X30" s="576">
        <f t="shared" si="4"/>
        <v>23</v>
      </c>
      <c r="Y30" s="644"/>
      <c r="Z30" s="576">
        <v>21</v>
      </c>
      <c r="AA30" s="578">
        <v>1235.5555555555561</v>
      </c>
      <c r="AB30" s="578">
        <v>58.835978835978864</v>
      </c>
      <c r="AC30" s="576">
        <f t="shared" si="5"/>
        <v>24</v>
      </c>
      <c r="AD30" s="644"/>
      <c r="AE30" s="576">
        <v>20</v>
      </c>
      <c r="AF30" s="578">
        <v>1214.6938775510207</v>
      </c>
      <c r="AG30" s="578">
        <v>60.734693877551038</v>
      </c>
      <c r="AH30" s="576">
        <f t="shared" si="6"/>
        <v>23</v>
      </c>
      <c r="AI30" s="644"/>
      <c r="AJ30" s="576">
        <v>20</v>
      </c>
      <c r="AK30" s="578">
        <v>1213.2000000000003</v>
      </c>
      <c r="AL30" s="578">
        <v>60.660000000000011</v>
      </c>
      <c r="AM30" s="576">
        <f t="shared" si="7"/>
        <v>24</v>
      </c>
      <c r="AN30" s="644"/>
      <c r="AO30" s="576">
        <v>21</v>
      </c>
      <c r="AP30" s="578">
        <v>1213.5849056603779</v>
      </c>
      <c r="AQ30" s="578">
        <v>57.789757412398949</v>
      </c>
      <c r="AR30" s="576">
        <f t="shared" si="8"/>
        <v>24</v>
      </c>
      <c r="AS30" s="644"/>
      <c r="AT30" s="576">
        <v>21</v>
      </c>
      <c r="AU30" s="578">
        <v>1218.8235294117653</v>
      </c>
      <c r="AV30" s="578">
        <v>58.039215686274538</v>
      </c>
      <c r="AW30" s="576">
        <f t="shared" si="9"/>
        <v>23</v>
      </c>
      <c r="AX30" s="644"/>
      <c r="AZ30" s="368" t="e">
        <f t="shared" si="10"/>
        <v>#N/A</v>
      </c>
      <c r="BA30" s="644"/>
    </row>
    <row r="31" spans="2:53">
      <c r="B31" s="649"/>
      <c r="C31" s="526">
        <v>25</v>
      </c>
      <c r="D31" s="201" t="s">
        <v>708</v>
      </c>
      <c r="E31" s="529">
        <v>14</v>
      </c>
      <c r="F31" s="201">
        <v>1440</v>
      </c>
      <c r="G31" s="199">
        <v>102.85714285714286</v>
      </c>
      <c r="H31" s="703"/>
      <c r="I31" s="529">
        <f t="shared" si="0"/>
        <v>14.142857142857142</v>
      </c>
      <c r="J31" s="529">
        <f t="shared" si="1"/>
        <v>1329.4273590120122</v>
      </c>
      <c r="K31" s="199">
        <f t="shared" si="2"/>
        <v>94.050412430546686</v>
      </c>
      <c r="L31" s="659"/>
      <c r="M31" s="552">
        <f>RANK(K31, K$7:$K$36)</f>
        <v>4</v>
      </c>
      <c r="N31" s="643"/>
      <c r="O31" s="643"/>
      <c r="P31" s="576">
        <v>15</v>
      </c>
      <c r="Q31" s="578">
        <v>1335.7664233576643</v>
      </c>
      <c r="R31" s="578">
        <v>89.051094890510953</v>
      </c>
      <c r="S31" s="576">
        <f t="shared" si="3"/>
        <v>4</v>
      </c>
      <c r="T31" s="644"/>
      <c r="U31" s="576">
        <v>14</v>
      </c>
      <c r="V31" s="578">
        <v>1342.9268292682923</v>
      </c>
      <c r="W31" s="578">
        <v>95.92334494773516</v>
      </c>
      <c r="X31" s="576">
        <f t="shared" si="4"/>
        <v>3</v>
      </c>
      <c r="Y31" s="644"/>
      <c r="Z31" s="576">
        <v>14</v>
      </c>
      <c r="AA31" s="578">
        <v>1324.799999999999</v>
      </c>
      <c r="AB31" s="578">
        <v>94.628571428571362</v>
      </c>
      <c r="AC31" s="576">
        <f t="shared" si="5"/>
        <v>5</v>
      </c>
      <c r="AD31" s="644"/>
      <c r="AE31" s="576">
        <v>14</v>
      </c>
      <c r="AF31" s="578">
        <v>1300.0000000000011</v>
      </c>
      <c r="AG31" s="578">
        <v>92.857142857142932</v>
      </c>
      <c r="AH31" s="576">
        <f t="shared" si="6"/>
        <v>5</v>
      </c>
      <c r="AI31" s="644"/>
      <c r="AJ31" s="576">
        <v>14</v>
      </c>
      <c r="AK31" s="578">
        <v>1328.4210526315801</v>
      </c>
      <c r="AL31" s="578">
        <v>94.88721804511286</v>
      </c>
      <c r="AM31" s="576">
        <f t="shared" si="7"/>
        <v>4</v>
      </c>
      <c r="AN31" s="644"/>
      <c r="AO31" s="576">
        <v>14</v>
      </c>
      <c r="AP31" s="578">
        <v>1341.2903225806465</v>
      </c>
      <c r="AQ31" s="578">
        <v>95.806451612903317</v>
      </c>
      <c r="AR31" s="576">
        <f t="shared" si="8"/>
        <v>4</v>
      </c>
      <c r="AS31" s="644"/>
      <c r="AT31" s="576">
        <v>14</v>
      </c>
      <c r="AU31" s="578">
        <v>1332.7868852459028</v>
      </c>
      <c r="AV31" s="578">
        <v>95.199063231850204</v>
      </c>
      <c r="AW31" s="576">
        <f t="shared" si="9"/>
        <v>3</v>
      </c>
      <c r="AX31" s="644"/>
      <c r="AZ31" s="368" t="e">
        <f t="shared" si="10"/>
        <v>#N/A</v>
      </c>
      <c r="BA31" s="644"/>
    </row>
    <row r="32" spans="2:53">
      <c r="B32" s="649"/>
      <c r="C32" s="526">
        <v>26</v>
      </c>
      <c r="D32" s="201"/>
      <c r="E32" s="529"/>
      <c r="F32" s="201"/>
      <c r="G32" s="199"/>
      <c r="H32" s="703"/>
      <c r="I32" s="529" t="str">
        <f t="shared" si="0"/>
        <v>-</v>
      </c>
      <c r="J32" s="529" t="str">
        <f t="shared" si="1"/>
        <v>-</v>
      </c>
      <c r="K32" s="199" t="str">
        <f t="shared" si="2"/>
        <v>-</v>
      </c>
      <c r="L32" s="659"/>
      <c r="M32" s="552" t="e">
        <f>RANK(K32, K$7:$K$36)</f>
        <v>#VALUE!</v>
      </c>
      <c r="N32" s="643"/>
      <c r="O32" s="643"/>
      <c r="P32" s="576" t="s">
        <v>564</v>
      </c>
      <c r="Q32" s="578" t="s">
        <v>564</v>
      </c>
      <c r="R32" s="578" t="s">
        <v>564</v>
      </c>
      <c r="S32" s="576" t="e">
        <f t="shared" si="3"/>
        <v>#VALUE!</v>
      </c>
      <c r="T32" s="644"/>
      <c r="U32" s="576" t="s">
        <v>564</v>
      </c>
      <c r="V32" s="578" t="s">
        <v>564</v>
      </c>
      <c r="W32" s="578" t="s">
        <v>564</v>
      </c>
      <c r="X32" s="576" t="e">
        <f t="shared" si="4"/>
        <v>#VALUE!</v>
      </c>
      <c r="Y32" s="644"/>
      <c r="Z32" s="576" t="s">
        <v>564</v>
      </c>
      <c r="AA32" s="578" t="s">
        <v>564</v>
      </c>
      <c r="AB32" s="578" t="s">
        <v>564</v>
      </c>
      <c r="AC32" s="576" t="e">
        <f t="shared" si="5"/>
        <v>#VALUE!</v>
      </c>
      <c r="AD32" s="644"/>
      <c r="AE32" s="576" t="s">
        <v>564</v>
      </c>
      <c r="AF32" s="578" t="s">
        <v>564</v>
      </c>
      <c r="AG32" s="578" t="s">
        <v>564</v>
      </c>
      <c r="AH32" s="576" t="e">
        <f t="shared" si="6"/>
        <v>#VALUE!</v>
      </c>
      <c r="AI32" s="644"/>
      <c r="AJ32" s="576" t="s">
        <v>564</v>
      </c>
      <c r="AK32" s="578" t="s">
        <v>564</v>
      </c>
      <c r="AL32" s="578" t="s">
        <v>564</v>
      </c>
      <c r="AM32" s="576" t="e">
        <f t="shared" si="7"/>
        <v>#VALUE!</v>
      </c>
      <c r="AN32" s="644"/>
      <c r="AO32" s="576" t="s">
        <v>564</v>
      </c>
      <c r="AP32" s="578" t="s">
        <v>564</v>
      </c>
      <c r="AQ32" s="578" t="s">
        <v>564</v>
      </c>
      <c r="AR32" s="576" t="e">
        <f t="shared" si="8"/>
        <v>#VALUE!</v>
      </c>
      <c r="AS32" s="644"/>
      <c r="AT32" s="576" t="s">
        <v>564</v>
      </c>
      <c r="AU32" s="578" t="s">
        <v>564</v>
      </c>
      <c r="AV32" s="578" t="s">
        <v>564</v>
      </c>
      <c r="AW32" s="576" t="e">
        <f t="shared" si="9"/>
        <v>#VALUE!</v>
      </c>
      <c r="AX32" s="644"/>
      <c r="AZ32" s="368" t="e">
        <f t="shared" si="10"/>
        <v>#N/A</v>
      </c>
      <c r="BA32" s="644"/>
    </row>
    <row r="33" spans="2:53">
      <c r="B33" s="649"/>
      <c r="C33" s="526">
        <v>27</v>
      </c>
      <c r="D33" s="201"/>
      <c r="E33" s="529"/>
      <c r="F33" s="201"/>
      <c r="G33" s="199"/>
      <c r="H33" s="703"/>
      <c r="I33" s="529" t="str">
        <f t="shared" si="0"/>
        <v>-</v>
      </c>
      <c r="J33" s="529" t="str">
        <f t="shared" si="1"/>
        <v>-</v>
      </c>
      <c r="K33" s="199" t="str">
        <f t="shared" si="2"/>
        <v>-</v>
      </c>
      <c r="L33" s="659"/>
      <c r="M33" s="552" t="e">
        <f>RANK(K33, K$7:$K$36)</f>
        <v>#VALUE!</v>
      </c>
      <c r="N33" s="643"/>
      <c r="O33" s="643"/>
      <c r="P33" s="576" t="s">
        <v>564</v>
      </c>
      <c r="Q33" s="578" t="s">
        <v>564</v>
      </c>
      <c r="R33" s="578" t="s">
        <v>564</v>
      </c>
      <c r="S33" s="576" t="e">
        <f t="shared" si="3"/>
        <v>#VALUE!</v>
      </c>
      <c r="T33" s="644"/>
      <c r="U33" s="576" t="s">
        <v>564</v>
      </c>
      <c r="V33" s="578" t="s">
        <v>564</v>
      </c>
      <c r="W33" s="578" t="s">
        <v>564</v>
      </c>
      <c r="X33" s="576" t="e">
        <f t="shared" si="4"/>
        <v>#VALUE!</v>
      </c>
      <c r="Y33" s="644"/>
      <c r="Z33" s="576" t="s">
        <v>564</v>
      </c>
      <c r="AA33" s="578" t="s">
        <v>564</v>
      </c>
      <c r="AB33" s="578" t="s">
        <v>564</v>
      </c>
      <c r="AC33" s="576" t="e">
        <f t="shared" si="5"/>
        <v>#VALUE!</v>
      </c>
      <c r="AD33" s="644"/>
      <c r="AE33" s="576" t="s">
        <v>564</v>
      </c>
      <c r="AF33" s="578" t="s">
        <v>564</v>
      </c>
      <c r="AG33" s="578" t="s">
        <v>564</v>
      </c>
      <c r="AH33" s="576" t="e">
        <f t="shared" si="6"/>
        <v>#VALUE!</v>
      </c>
      <c r="AI33" s="644"/>
      <c r="AJ33" s="576" t="s">
        <v>564</v>
      </c>
      <c r="AK33" s="578" t="s">
        <v>564</v>
      </c>
      <c r="AL33" s="578" t="s">
        <v>564</v>
      </c>
      <c r="AM33" s="576" t="e">
        <f t="shared" si="7"/>
        <v>#VALUE!</v>
      </c>
      <c r="AN33" s="644"/>
      <c r="AO33" s="576" t="s">
        <v>564</v>
      </c>
      <c r="AP33" s="578" t="s">
        <v>564</v>
      </c>
      <c r="AQ33" s="578" t="s">
        <v>564</v>
      </c>
      <c r="AR33" s="576" t="e">
        <f t="shared" si="8"/>
        <v>#VALUE!</v>
      </c>
      <c r="AS33" s="644"/>
      <c r="AT33" s="576" t="s">
        <v>564</v>
      </c>
      <c r="AU33" s="578" t="s">
        <v>564</v>
      </c>
      <c r="AV33" s="578" t="s">
        <v>564</v>
      </c>
      <c r="AW33" s="576" t="e">
        <f t="shared" si="9"/>
        <v>#VALUE!</v>
      </c>
      <c r="AX33" s="644"/>
      <c r="AZ33" s="368" t="e">
        <f t="shared" si="10"/>
        <v>#N/A</v>
      </c>
      <c r="BA33" s="644"/>
    </row>
    <row r="34" spans="2:53">
      <c r="B34" s="649"/>
      <c r="C34" s="526">
        <v>28</v>
      </c>
      <c r="D34" s="201"/>
      <c r="E34" s="529"/>
      <c r="F34" s="201"/>
      <c r="G34" s="199"/>
      <c r="H34" s="703"/>
      <c r="I34" s="529" t="str">
        <f t="shared" si="0"/>
        <v>-</v>
      </c>
      <c r="J34" s="529" t="str">
        <f t="shared" si="1"/>
        <v>-</v>
      </c>
      <c r="K34" s="199" t="str">
        <f t="shared" si="2"/>
        <v>-</v>
      </c>
      <c r="L34" s="659"/>
      <c r="M34" s="552" t="e">
        <f>RANK(K34, K$7:$K$36)</f>
        <v>#VALUE!</v>
      </c>
      <c r="N34" s="643"/>
      <c r="O34" s="643"/>
      <c r="P34" s="576" t="s">
        <v>564</v>
      </c>
      <c r="Q34" s="578" t="s">
        <v>564</v>
      </c>
      <c r="R34" s="578" t="s">
        <v>564</v>
      </c>
      <c r="S34" s="576" t="e">
        <f t="shared" si="3"/>
        <v>#VALUE!</v>
      </c>
      <c r="T34" s="644"/>
      <c r="U34" s="576" t="s">
        <v>564</v>
      </c>
      <c r="V34" s="578" t="s">
        <v>564</v>
      </c>
      <c r="W34" s="578" t="s">
        <v>564</v>
      </c>
      <c r="X34" s="576" t="e">
        <f t="shared" si="4"/>
        <v>#VALUE!</v>
      </c>
      <c r="Y34" s="644"/>
      <c r="Z34" s="576" t="s">
        <v>564</v>
      </c>
      <c r="AA34" s="578" t="s">
        <v>564</v>
      </c>
      <c r="AB34" s="578" t="s">
        <v>564</v>
      </c>
      <c r="AC34" s="576" t="e">
        <f t="shared" si="5"/>
        <v>#VALUE!</v>
      </c>
      <c r="AD34" s="644"/>
      <c r="AE34" s="576" t="s">
        <v>564</v>
      </c>
      <c r="AF34" s="578" t="s">
        <v>564</v>
      </c>
      <c r="AG34" s="578" t="s">
        <v>564</v>
      </c>
      <c r="AH34" s="576" t="e">
        <f t="shared" si="6"/>
        <v>#VALUE!</v>
      </c>
      <c r="AI34" s="644"/>
      <c r="AJ34" s="576" t="s">
        <v>564</v>
      </c>
      <c r="AK34" s="578" t="s">
        <v>564</v>
      </c>
      <c r="AL34" s="578" t="s">
        <v>564</v>
      </c>
      <c r="AM34" s="576" t="e">
        <f t="shared" si="7"/>
        <v>#VALUE!</v>
      </c>
      <c r="AN34" s="644"/>
      <c r="AO34" s="576" t="s">
        <v>564</v>
      </c>
      <c r="AP34" s="578" t="s">
        <v>564</v>
      </c>
      <c r="AQ34" s="578" t="s">
        <v>564</v>
      </c>
      <c r="AR34" s="576" t="e">
        <f t="shared" si="8"/>
        <v>#VALUE!</v>
      </c>
      <c r="AS34" s="644"/>
      <c r="AT34" s="576" t="s">
        <v>564</v>
      </c>
      <c r="AU34" s="578" t="s">
        <v>564</v>
      </c>
      <c r="AV34" s="578" t="s">
        <v>564</v>
      </c>
      <c r="AW34" s="576" t="e">
        <f t="shared" si="9"/>
        <v>#VALUE!</v>
      </c>
      <c r="AX34" s="644"/>
      <c r="AZ34" s="368" t="e">
        <f t="shared" si="10"/>
        <v>#N/A</v>
      </c>
      <c r="BA34" s="644"/>
    </row>
    <row r="35" spans="2:53">
      <c r="B35" s="649"/>
      <c r="C35" s="526">
        <v>29</v>
      </c>
      <c r="D35" s="201"/>
      <c r="E35" s="529"/>
      <c r="F35" s="201"/>
      <c r="G35" s="199"/>
      <c r="H35" s="703"/>
      <c r="I35" s="529" t="str">
        <f t="shared" si="0"/>
        <v>-</v>
      </c>
      <c r="J35" s="529" t="str">
        <f t="shared" si="1"/>
        <v>-</v>
      </c>
      <c r="K35" s="199" t="str">
        <f t="shared" si="2"/>
        <v>-</v>
      </c>
      <c r="L35" s="659"/>
      <c r="M35" s="552" t="e">
        <f>RANK(K35, K$7:$K$36)</f>
        <v>#VALUE!</v>
      </c>
      <c r="N35" s="643"/>
      <c r="O35" s="643"/>
      <c r="P35" s="576" t="s">
        <v>564</v>
      </c>
      <c r="Q35" s="578" t="s">
        <v>564</v>
      </c>
      <c r="R35" s="578" t="s">
        <v>564</v>
      </c>
      <c r="S35" s="576" t="e">
        <f t="shared" si="3"/>
        <v>#VALUE!</v>
      </c>
      <c r="T35" s="644"/>
      <c r="U35" s="576" t="s">
        <v>564</v>
      </c>
      <c r="V35" s="578" t="s">
        <v>564</v>
      </c>
      <c r="W35" s="578" t="s">
        <v>564</v>
      </c>
      <c r="X35" s="576" t="e">
        <f t="shared" si="4"/>
        <v>#VALUE!</v>
      </c>
      <c r="Y35" s="644"/>
      <c r="Z35" s="576" t="s">
        <v>564</v>
      </c>
      <c r="AA35" s="578" t="s">
        <v>564</v>
      </c>
      <c r="AB35" s="578" t="s">
        <v>564</v>
      </c>
      <c r="AC35" s="576" t="e">
        <f t="shared" si="5"/>
        <v>#VALUE!</v>
      </c>
      <c r="AD35" s="644"/>
      <c r="AE35" s="576" t="s">
        <v>564</v>
      </c>
      <c r="AF35" s="578" t="s">
        <v>564</v>
      </c>
      <c r="AG35" s="578" t="s">
        <v>564</v>
      </c>
      <c r="AH35" s="576" t="e">
        <f t="shared" si="6"/>
        <v>#VALUE!</v>
      </c>
      <c r="AI35" s="644"/>
      <c r="AJ35" s="576" t="s">
        <v>564</v>
      </c>
      <c r="AK35" s="578" t="s">
        <v>564</v>
      </c>
      <c r="AL35" s="578" t="s">
        <v>564</v>
      </c>
      <c r="AM35" s="576" t="e">
        <f t="shared" si="7"/>
        <v>#VALUE!</v>
      </c>
      <c r="AN35" s="644"/>
      <c r="AO35" s="576" t="s">
        <v>564</v>
      </c>
      <c r="AP35" s="578" t="s">
        <v>564</v>
      </c>
      <c r="AQ35" s="578" t="s">
        <v>564</v>
      </c>
      <c r="AR35" s="576" t="e">
        <f t="shared" si="8"/>
        <v>#VALUE!</v>
      </c>
      <c r="AS35" s="644"/>
      <c r="AT35" s="576" t="s">
        <v>564</v>
      </c>
      <c r="AU35" s="578" t="s">
        <v>564</v>
      </c>
      <c r="AV35" s="578" t="s">
        <v>564</v>
      </c>
      <c r="AW35" s="576" t="e">
        <f t="shared" si="9"/>
        <v>#VALUE!</v>
      </c>
      <c r="AX35" s="644"/>
      <c r="AZ35" s="368" t="e">
        <f t="shared" si="10"/>
        <v>#N/A</v>
      </c>
      <c r="BA35" s="644"/>
    </row>
    <row r="36" spans="2:53">
      <c r="B36" s="649"/>
      <c r="C36" s="526">
        <v>30</v>
      </c>
      <c r="D36" s="201"/>
      <c r="E36" s="529"/>
      <c r="F36" s="201"/>
      <c r="G36" s="199"/>
      <c r="H36" s="704"/>
      <c r="I36" s="529" t="str">
        <f t="shared" si="0"/>
        <v>-</v>
      </c>
      <c r="J36" s="529" t="str">
        <f t="shared" si="1"/>
        <v>-</v>
      </c>
      <c r="K36" s="199" t="str">
        <f t="shared" si="2"/>
        <v>-</v>
      </c>
      <c r="L36" s="660"/>
      <c r="M36" s="552" t="e">
        <f>RANK(K36, K$7:$K$36)</f>
        <v>#VALUE!</v>
      </c>
      <c r="N36" s="643"/>
      <c r="O36" s="643"/>
      <c r="P36" s="576" t="s">
        <v>564</v>
      </c>
      <c r="Q36" s="578" t="s">
        <v>564</v>
      </c>
      <c r="R36" s="578" t="s">
        <v>564</v>
      </c>
      <c r="S36" s="576" t="e">
        <f t="shared" si="3"/>
        <v>#VALUE!</v>
      </c>
      <c r="T36" s="644"/>
      <c r="U36" s="576" t="s">
        <v>564</v>
      </c>
      <c r="V36" s="578" t="s">
        <v>564</v>
      </c>
      <c r="W36" s="578" t="s">
        <v>564</v>
      </c>
      <c r="X36" s="576" t="e">
        <f t="shared" si="4"/>
        <v>#VALUE!</v>
      </c>
      <c r="Y36" s="644"/>
      <c r="Z36" s="576" t="s">
        <v>564</v>
      </c>
      <c r="AA36" s="578" t="s">
        <v>564</v>
      </c>
      <c r="AB36" s="578" t="s">
        <v>564</v>
      </c>
      <c r="AC36" s="576" t="e">
        <f t="shared" si="5"/>
        <v>#VALUE!</v>
      </c>
      <c r="AD36" s="644"/>
      <c r="AE36" s="576" t="s">
        <v>564</v>
      </c>
      <c r="AF36" s="578" t="s">
        <v>564</v>
      </c>
      <c r="AG36" s="578" t="s">
        <v>564</v>
      </c>
      <c r="AH36" s="576" t="e">
        <f t="shared" si="6"/>
        <v>#VALUE!</v>
      </c>
      <c r="AI36" s="644"/>
      <c r="AJ36" s="576" t="s">
        <v>564</v>
      </c>
      <c r="AK36" s="578" t="s">
        <v>564</v>
      </c>
      <c r="AL36" s="578" t="s">
        <v>564</v>
      </c>
      <c r="AM36" s="576" t="e">
        <f t="shared" si="7"/>
        <v>#VALUE!</v>
      </c>
      <c r="AN36" s="644"/>
      <c r="AO36" s="576" t="s">
        <v>564</v>
      </c>
      <c r="AP36" s="578" t="s">
        <v>564</v>
      </c>
      <c r="AQ36" s="578" t="s">
        <v>564</v>
      </c>
      <c r="AR36" s="576" t="e">
        <f t="shared" si="8"/>
        <v>#VALUE!</v>
      </c>
      <c r="AS36" s="644"/>
      <c r="AT36" s="576" t="s">
        <v>564</v>
      </c>
      <c r="AU36" s="578" t="s">
        <v>564</v>
      </c>
      <c r="AV36" s="578" t="s">
        <v>564</v>
      </c>
      <c r="AW36" s="576" t="e">
        <f t="shared" si="9"/>
        <v>#VALUE!</v>
      </c>
      <c r="AX36" s="644"/>
      <c r="AZ36" s="368" t="e">
        <f t="shared" si="10"/>
        <v>#N/A</v>
      </c>
      <c r="BA36" s="644"/>
    </row>
    <row r="37" spans="2:53" ht="15.75">
      <c r="B37" s="682" t="s">
        <v>162</v>
      </c>
      <c r="C37" s="683"/>
      <c r="D37" s="683"/>
      <c r="E37" s="683"/>
      <c r="F37" s="683"/>
      <c r="G37" s="683"/>
      <c r="H37" s="683"/>
      <c r="I37" s="202"/>
      <c r="J37" s="202"/>
      <c r="K37" s="202"/>
      <c r="L37" s="202"/>
      <c r="M37" s="203"/>
      <c r="N37" s="645" t="s">
        <v>156</v>
      </c>
      <c r="O37" s="645" t="s">
        <v>105</v>
      </c>
      <c r="P37" s="670">
        <f>AT2+1</f>
        <v>46273</v>
      </c>
      <c r="Q37" s="649"/>
      <c r="R37" s="649"/>
      <c r="S37" s="649"/>
      <c r="T37" s="649"/>
      <c r="U37" s="670">
        <f>P37+1</f>
        <v>46274</v>
      </c>
      <c r="V37" s="649"/>
      <c r="W37" s="649"/>
      <c r="X37" s="649"/>
      <c r="Y37" s="649"/>
      <c r="Z37" s="670">
        <f>U37+1</f>
        <v>46275</v>
      </c>
      <c r="AA37" s="649"/>
      <c r="AB37" s="649"/>
      <c r="AC37" s="649"/>
      <c r="AD37" s="649"/>
      <c r="AE37" s="670">
        <f>Z37+1</f>
        <v>46276</v>
      </c>
      <c r="AF37" s="649"/>
      <c r="AG37" s="649"/>
      <c r="AH37" s="649"/>
      <c r="AI37" s="649"/>
      <c r="AJ37" s="670">
        <f>AE37+1</f>
        <v>46277</v>
      </c>
      <c r="AK37" s="649"/>
      <c r="AL37" s="649"/>
      <c r="AM37" s="649"/>
      <c r="AN37" s="649"/>
      <c r="AO37" s="670">
        <f>AJ37+1</f>
        <v>46278</v>
      </c>
      <c r="AP37" s="649"/>
      <c r="AQ37" s="649"/>
      <c r="AR37" s="649"/>
      <c r="AS37" s="649"/>
      <c r="AT37" s="670">
        <f>AO37+1</f>
        <v>46279</v>
      </c>
      <c r="AU37" s="649"/>
      <c r="AV37" s="649"/>
      <c r="AW37" s="649"/>
      <c r="AX37" s="649"/>
    </row>
    <row r="38" spans="2:53" ht="15.75">
      <c r="B38" s="674"/>
      <c r="C38" s="674"/>
      <c r="D38" s="674"/>
      <c r="E38" s="674"/>
      <c r="F38" s="674"/>
      <c r="G38" s="674"/>
      <c r="H38" s="674"/>
      <c r="I38" s="204"/>
      <c r="J38" s="204"/>
      <c r="K38" s="204"/>
      <c r="L38" s="204"/>
      <c r="M38" s="205"/>
      <c r="N38" s="647"/>
      <c r="O38" s="647"/>
      <c r="P38" s="670" t="s">
        <v>317</v>
      </c>
      <c r="Q38" s="649"/>
      <c r="R38" s="649"/>
      <c r="S38" s="649"/>
      <c r="T38" s="649"/>
      <c r="U38" s="670" t="s">
        <v>318</v>
      </c>
      <c r="V38" s="649"/>
      <c r="W38" s="649"/>
      <c r="X38" s="649"/>
      <c r="Y38" s="649"/>
      <c r="Z38" s="670" t="s">
        <v>319</v>
      </c>
      <c r="AA38" s="649"/>
      <c r="AB38" s="649"/>
      <c r="AC38" s="649"/>
      <c r="AD38" s="649"/>
      <c r="AE38" s="670" t="s">
        <v>320</v>
      </c>
      <c r="AF38" s="649"/>
      <c r="AG38" s="649"/>
      <c r="AH38" s="649"/>
      <c r="AI38" s="649"/>
      <c r="AJ38" s="670" t="s">
        <v>321</v>
      </c>
      <c r="AK38" s="649"/>
      <c r="AL38" s="649"/>
      <c r="AM38" s="649"/>
      <c r="AN38" s="649"/>
      <c r="AO38" s="670" t="s">
        <v>322</v>
      </c>
      <c r="AP38" s="649"/>
      <c r="AQ38" s="649"/>
      <c r="AR38" s="649"/>
      <c r="AS38" s="649"/>
      <c r="AT38" s="670" t="s">
        <v>323</v>
      </c>
      <c r="AU38" s="649"/>
      <c r="AV38" s="649"/>
      <c r="AW38" s="649"/>
      <c r="AX38" s="649"/>
    </row>
    <row r="39" spans="2:53">
      <c r="B39" s="643" t="s">
        <v>400</v>
      </c>
      <c r="C39" s="643" t="s">
        <v>401</v>
      </c>
      <c r="D39" s="643"/>
      <c r="E39" s="643" t="s">
        <v>402</v>
      </c>
      <c r="F39" s="643"/>
      <c r="G39" s="643"/>
      <c r="H39" s="675" t="s">
        <v>403</v>
      </c>
      <c r="I39" s="690" t="s">
        <v>404</v>
      </c>
      <c r="J39" s="690"/>
      <c r="K39" s="690"/>
      <c r="L39" s="691" t="s">
        <v>403</v>
      </c>
      <c r="M39" s="679" t="s">
        <v>405</v>
      </c>
      <c r="N39" s="643"/>
      <c r="O39" s="643" t="s">
        <v>406</v>
      </c>
      <c r="P39" s="661" t="s">
        <v>407</v>
      </c>
      <c r="Q39" s="662"/>
      <c r="R39" s="662"/>
      <c r="S39" s="663"/>
      <c r="T39" s="643" t="s">
        <v>403</v>
      </c>
      <c r="U39" s="661" t="s">
        <v>407</v>
      </c>
      <c r="V39" s="662"/>
      <c r="W39" s="662"/>
      <c r="X39" s="663"/>
      <c r="Y39" s="643" t="s">
        <v>403</v>
      </c>
      <c r="Z39" s="661" t="s">
        <v>407</v>
      </c>
      <c r="AA39" s="662"/>
      <c r="AB39" s="662"/>
      <c r="AC39" s="663"/>
      <c r="AD39" s="643" t="s">
        <v>403</v>
      </c>
      <c r="AE39" s="661" t="s">
        <v>407</v>
      </c>
      <c r="AF39" s="662"/>
      <c r="AG39" s="662"/>
      <c r="AH39" s="663"/>
      <c r="AI39" s="643" t="s">
        <v>403</v>
      </c>
      <c r="AJ39" s="661" t="s">
        <v>407</v>
      </c>
      <c r="AK39" s="662"/>
      <c r="AL39" s="662"/>
      <c r="AM39" s="663"/>
      <c r="AN39" s="643" t="s">
        <v>403</v>
      </c>
      <c r="AO39" s="661" t="s">
        <v>407</v>
      </c>
      <c r="AP39" s="662"/>
      <c r="AQ39" s="662"/>
      <c r="AR39" s="663"/>
      <c r="AS39" s="643" t="s">
        <v>403</v>
      </c>
      <c r="AT39" s="661" t="s">
        <v>407</v>
      </c>
      <c r="AU39" s="662"/>
      <c r="AV39" s="662"/>
      <c r="AW39" s="663"/>
      <c r="AX39" s="643" t="s">
        <v>403</v>
      </c>
      <c r="BA39" s="643" t="s">
        <v>359</v>
      </c>
    </row>
    <row r="40" spans="2:53">
      <c r="B40" s="643"/>
      <c r="C40" s="643"/>
      <c r="D40" s="643"/>
      <c r="E40" s="643" t="s">
        <v>408</v>
      </c>
      <c r="F40" s="643"/>
      <c r="G40" s="643"/>
      <c r="H40" s="676"/>
      <c r="I40" s="690" t="s">
        <v>408</v>
      </c>
      <c r="J40" s="690"/>
      <c r="K40" s="690"/>
      <c r="L40" s="692"/>
      <c r="M40" s="680"/>
      <c r="N40" s="643"/>
      <c r="O40" s="643"/>
      <c r="P40" s="661" t="s">
        <v>409</v>
      </c>
      <c r="Q40" s="662"/>
      <c r="R40" s="662"/>
      <c r="S40" s="663"/>
      <c r="T40" s="643"/>
      <c r="U40" s="661" t="s">
        <v>409</v>
      </c>
      <c r="V40" s="662"/>
      <c r="W40" s="662"/>
      <c r="X40" s="663"/>
      <c r="Y40" s="643"/>
      <c r="Z40" s="661" t="s">
        <v>409</v>
      </c>
      <c r="AA40" s="662"/>
      <c r="AB40" s="662"/>
      <c r="AC40" s="663"/>
      <c r="AD40" s="643"/>
      <c r="AE40" s="661" t="s">
        <v>409</v>
      </c>
      <c r="AF40" s="662"/>
      <c r="AG40" s="662"/>
      <c r="AH40" s="663"/>
      <c r="AI40" s="643"/>
      <c r="AJ40" s="661" t="s">
        <v>409</v>
      </c>
      <c r="AK40" s="662"/>
      <c r="AL40" s="662"/>
      <c r="AM40" s="663"/>
      <c r="AN40" s="643"/>
      <c r="AO40" s="661" t="s">
        <v>409</v>
      </c>
      <c r="AP40" s="662"/>
      <c r="AQ40" s="662"/>
      <c r="AR40" s="663"/>
      <c r="AS40" s="643"/>
      <c r="AT40" s="661" t="s">
        <v>409</v>
      </c>
      <c r="AU40" s="662"/>
      <c r="AV40" s="662"/>
      <c r="AW40" s="663"/>
      <c r="AX40" s="643"/>
      <c r="BA40" s="643"/>
    </row>
    <row r="41" spans="2:53">
      <c r="B41" s="643"/>
      <c r="C41" s="643"/>
      <c r="D41" s="643"/>
      <c r="E41" s="282" t="s">
        <v>410</v>
      </c>
      <c r="F41" s="282" t="s">
        <v>411</v>
      </c>
      <c r="G41" s="282" t="s">
        <v>412</v>
      </c>
      <c r="H41" s="677"/>
      <c r="I41" s="281" t="s">
        <v>410</v>
      </c>
      <c r="J41" s="281" t="s">
        <v>411</v>
      </c>
      <c r="K41" s="281" t="s">
        <v>412</v>
      </c>
      <c r="L41" s="693"/>
      <c r="M41" s="681"/>
      <c r="N41" s="643"/>
      <c r="O41" s="643"/>
      <c r="P41" s="282" t="s">
        <v>410</v>
      </c>
      <c r="Q41" s="282" t="s">
        <v>411</v>
      </c>
      <c r="R41" s="282" t="s">
        <v>412</v>
      </c>
      <c r="S41" s="282" t="s">
        <v>405</v>
      </c>
      <c r="T41" s="643"/>
      <c r="U41" s="282" t="s">
        <v>410</v>
      </c>
      <c r="V41" s="282" t="s">
        <v>411</v>
      </c>
      <c r="W41" s="282" t="s">
        <v>412</v>
      </c>
      <c r="X41" s="282" t="s">
        <v>405</v>
      </c>
      <c r="Y41" s="643"/>
      <c r="Z41" s="282" t="s">
        <v>410</v>
      </c>
      <c r="AA41" s="282" t="s">
        <v>411</v>
      </c>
      <c r="AB41" s="282" t="s">
        <v>412</v>
      </c>
      <c r="AC41" s="282" t="s">
        <v>405</v>
      </c>
      <c r="AD41" s="643"/>
      <c r="AE41" s="282" t="s">
        <v>410</v>
      </c>
      <c r="AF41" s="282" t="s">
        <v>411</v>
      </c>
      <c r="AG41" s="282" t="s">
        <v>412</v>
      </c>
      <c r="AH41" s="282" t="s">
        <v>405</v>
      </c>
      <c r="AI41" s="643"/>
      <c r="AJ41" s="282" t="s">
        <v>410</v>
      </c>
      <c r="AK41" s="282" t="s">
        <v>411</v>
      </c>
      <c r="AL41" s="282" t="s">
        <v>412</v>
      </c>
      <c r="AM41" s="282" t="s">
        <v>405</v>
      </c>
      <c r="AN41" s="643"/>
      <c r="AO41" s="282" t="s">
        <v>410</v>
      </c>
      <c r="AP41" s="282" t="s">
        <v>411</v>
      </c>
      <c r="AQ41" s="282" t="s">
        <v>412</v>
      </c>
      <c r="AR41" s="282" t="s">
        <v>405</v>
      </c>
      <c r="AS41" s="643"/>
      <c r="AT41" s="282" t="s">
        <v>410</v>
      </c>
      <c r="AU41" s="282" t="s">
        <v>411</v>
      </c>
      <c r="AV41" s="282" t="s">
        <v>412</v>
      </c>
      <c r="AW41" s="282" t="s">
        <v>405</v>
      </c>
      <c r="AX41" s="643"/>
      <c r="AZ41" s="367" t="s">
        <v>360</v>
      </c>
      <c r="BA41" s="643"/>
    </row>
    <row r="42" spans="2:53">
      <c r="B42" s="643" t="s">
        <v>413</v>
      </c>
      <c r="C42" s="283">
        <v>1</v>
      </c>
      <c r="D42" s="201"/>
      <c r="E42" s="529"/>
      <c r="F42" s="201"/>
      <c r="G42" s="199"/>
      <c r="H42" s="702" t="e">
        <f>AVERAGE(G42:G71)</f>
        <v>#DIV/0!</v>
      </c>
      <c r="I42" s="363" t="str">
        <f>IFERROR(AVERAGE(P42,U42,Z42,AE42,AJ42,AO42,AT42),"-")</f>
        <v>-</v>
      </c>
      <c r="J42" s="363" t="str">
        <f>IFERROR(AVERAGE(Q42,V42,AA42,AF42,AK42,AP42,AU42),"-")</f>
        <v>-</v>
      </c>
      <c r="K42" s="199" t="str">
        <f>IFERROR(AVERAGE(R42,W42,AB42,AG42,AL42,AQ42,AV42),"-")</f>
        <v>-</v>
      </c>
      <c r="L42" s="658" t="str">
        <f>IFERROR(AVERAGE(K42:K71),"-")</f>
        <v>-</v>
      </c>
      <c r="M42" s="200" t="e">
        <f>RANK(K42, K$42:$K$71)</f>
        <v>#VALUE!</v>
      </c>
      <c r="N42" s="643"/>
      <c r="O42" s="643"/>
      <c r="P42" s="547"/>
      <c r="Q42" s="548"/>
      <c r="R42" s="548"/>
      <c r="S42" s="547"/>
      <c r="T42" s="644"/>
      <c r="U42" s="547"/>
      <c r="V42" s="548"/>
      <c r="W42" s="548"/>
      <c r="X42" s="547"/>
      <c r="Y42" s="644"/>
      <c r="Z42" s="547"/>
      <c r="AA42" s="548"/>
      <c r="AB42" s="548"/>
      <c r="AC42" s="547"/>
      <c r="AD42" s="644"/>
      <c r="AE42" s="547"/>
      <c r="AF42" s="548"/>
      <c r="AG42" s="548"/>
      <c r="AH42" s="547"/>
      <c r="AI42" s="644"/>
      <c r="AJ42" s="547"/>
      <c r="AK42" s="548"/>
      <c r="AL42" s="548"/>
      <c r="AM42" s="547"/>
      <c r="AN42" s="644"/>
      <c r="AO42" s="547"/>
      <c r="AP42" s="548"/>
      <c r="AQ42" s="548"/>
      <c r="AR42" s="547"/>
      <c r="AS42" s="644"/>
      <c r="AT42" s="547"/>
      <c r="AU42" s="548"/>
      <c r="AV42" s="548"/>
      <c r="AW42" s="547"/>
      <c r="AX42" s="644"/>
      <c r="AZ42" s="368" t="e">
        <f t="shared" ref="AZ42:AZ71" si="11">RANK(AY42, AY$42:AY$71)</f>
        <v>#N/A</v>
      </c>
      <c r="BA42" s="644" t="e">
        <f>AVERAGE(AY42:AY71)</f>
        <v>#DIV/0!</v>
      </c>
    </row>
    <row r="43" spans="2:53">
      <c r="B43" s="649"/>
      <c r="C43" s="283">
        <v>2</v>
      </c>
      <c r="D43" s="201"/>
      <c r="E43" s="529"/>
      <c r="F43" s="201"/>
      <c r="G43" s="199"/>
      <c r="H43" s="703"/>
      <c r="I43" s="363" t="str">
        <f t="shared" ref="I43:I71" si="12">IFERROR(AVERAGE(P43,U43,Z43,AE43,AJ43,AO43,AT43),"-")</f>
        <v>-</v>
      </c>
      <c r="J43" s="363" t="str">
        <f t="shared" ref="J43:J71" si="13">IFERROR(AVERAGE(Q43,V43,AA43,AF43,AK43,AP43,AU43),"-")</f>
        <v>-</v>
      </c>
      <c r="K43" s="199" t="str">
        <f t="shared" ref="K43:K71" si="14">IFERROR(AVERAGE(R43,W43,AB43,AG43,AL43,AQ43,AV43),"-")</f>
        <v>-</v>
      </c>
      <c r="L43" s="659"/>
      <c r="M43" s="200" t="e">
        <f>RANK(K43, K$42:$K$71)</f>
        <v>#VALUE!</v>
      </c>
      <c r="N43" s="643"/>
      <c r="O43" s="643"/>
      <c r="P43" s="547"/>
      <c r="Q43" s="548"/>
      <c r="R43" s="548"/>
      <c r="S43" s="547"/>
      <c r="T43" s="644"/>
      <c r="U43" s="547"/>
      <c r="V43" s="548"/>
      <c r="W43" s="548"/>
      <c r="X43" s="547"/>
      <c r="Y43" s="644"/>
      <c r="Z43" s="547"/>
      <c r="AA43" s="548"/>
      <c r="AB43" s="548"/>
      <c r="AC43" s="547"/>
      <c r="AD43" s="644"/>
      <c r="AE43" s="547"/>
      <c r="AF43" s="548"/>
      <c r="AG43" s="548"/>
      <c r="AH43" s="547"/>
      <c r="AI43" s="644"/>
      <c r="AJ43" s="547"/>
      <c r="AK43" s="548"/>
      <c r="AL43" s="548"/>
      <c r="AM43" s="547"/>
      <c r="AN43" s="644"/>
      <c r="AO43" s="547"/>
      <c r="AP43" s="548"/>
      <c r="AQ43" s="548"/>
      <c r="AR43" s="547"/>
      <c r="AS43" s="644"/>
      <c r="AT43" s="547"/>
      <c r="AU43" s="548"/>
      <c r="AV43" s="548"/>
      <c r="AW43" s="547"/>
      <c r="AX43" s="644"/>
      <c r="AZ43" s="368" t="e">
        <f t="shared" si="11"/>
        <v>#N/A</v>
      </c>
      <c r="BA43" s="644"/>
    </row>
    <row r="44" spans="2:53">
      <c r="B44" s="649"/>
      <c r="C44" s="283">
        <v>3</v>
      </c>
      <c r="D44" s="201"/>
      <c r="E44" s="529"/>
      <c r="F44" s="201"/>
      <c r="G44" s="199"/>
      <c r="H44" s="703"/>
      <c r="I44" s="363" t="str">
        <f t="shared" si="12"/>
        <v>-</v>
      </c>
      <c r="J44" s="363" t="str">
        <f t="shared" si="13"/>
        <v>-</v>
      </c>
      <c r="K44" s="199" t="str">
        <f t="shared" si="14"/>
        <v>-</v>
      </c>
      <c r="L44" s="659"/>
      <c r="M44" s="200" t="e">
        <f>RANK(K44, K$42:$K$71)</f>
        <v>#VALUE!</v>
      </c>
      <c r="N44" s="643"/>
      <c r="O44" s="643"/>
      <c r="P44" s="547"/>
      <c r="Q44" s="548"/>
      <c r="R44" s="548"/>
      <c r="S44" s="547"/>
      <c r="T44" s="644"/>
      <c r="U44" s="547"/>
      <c r="V44" s="548"/>
      <c r="W44" s="548"/>
      <c r="X44" s="547"/>
      <c r="Y44" s="644"/>
      <c r="Z44" s="547"/>
      <c r="AA44" s="548"/>
      <c r="AB44" s="548"/>
      <c r="AC44" s="547"/>
      <c r="AD44" s="644"/>
      <c r="AE44" s="547"/>
      <c r="AF44" s="548"/>
      <c r="AG44" s="548"/>
      <c r="AH44" s="547"/>
      <c r="AI44" s="644"/>
      <c r="AJ44" s="547"/>
      <c r="AK44" s="548"/>
      <c r="AL44" s="548"/>
      <c r="AM44" s="547"/>
      <c r="AN44" s="644"/>
      <c r="AO44" s="547"/>
      <c r="AP44" s="548"/>
      <c r="AQ44" s="548"/>
      <c r="AR44" s="547"/>
      <c r="AS44" s="644"/>
      <c r="AT44" s="547"/>
      <c r="AU44" s="548"/>
      <c r="AV44" s="548"/>
      <c r="AW44" s="547"/>
      <c r="AX44" s="644"/>
      <c r="AZ44" s="368" t="e">
        <f t="shared" si="11"/>
        <v>#N/A</v>
      </c>
      <c r="BA44" s="644"/>
    </row>
    <row r="45" spans="2:53">
      <c r="B45" s="649"/>
      <c r="C45" s="283">
        <v>4</v>
      </c>
      <c r="D45" s="201"/>
      <c r="E45" s="529"/>
      <c r="F45" s="201"/>
      <c r="G45" s="199"/>
      <c r="H45" s="703"/>
      <c r="I45" s="363" t="str">
        <f t="shared" si="12"/>
        <v>-</v>
      </c>
      <c r="J45" s="363" t="str">
        <f t="shared" si="13"/>
        <v>-</v>
      </c>
      <c r="K45" s="199" t="str">
        <f t="shared" si="14"/>
        <v>-</v>
      </c>
      <c r="L45" s="659"/>
      <c r="M45" s="200" t="e">
        <f>RANK(K45, K$42:$K$71)</f>
        <v>#VALUE!</v>
      </c>
      <c r="N45" s="643"/>
      <c r="O45" s="643"/>
      <c r="P45" s="547"/>
      <c r="Q45" s="548"/>
      <c r="R45" s="548"/>
      <c r="S45" s="547"/>
      <c r="T45" s="644"/>
      <c r="U45" s="547"/>
      <c r="V45" s="548"/>
      <c r="W45" s="548"/>
      <c r="X45" s="547"/>
      <c r="Y45" s="644"/>
      <c r="Z45" s="547"/>
      <c r="AA45" s="548"/>
      <c r="AB45" s="548"/>
      <c r="AC45" s="547"/>
      <c r="AD45" s="644"/>
      <c r="AE45" s="547"/>
      <c r="AF45" s="548"/>
      <c r="AG45" s="548"/>
      <c r="AH45" s="547"/>
      <c r="AI45" s="644"/>
      <c r="AJ45" s="547"/>
      <c r="AK45" s="548"/>
      <c r="AL45" s="548"/>
      <c r="AM45" s="547"/>
      <c r="AN45" s="644"/>
      <c r="AO45" s="547"/>
      <c r="AP45" s="548"/>
      <c r="AQ45" s="548"/>
      <c r="AR45" s="547"/>
      <c r="AS45" s="644"/>
      <c r="AT45" s="547"/>
      <c r="AU45" s="548"/>
      <c r="AV45" s="548"/>
      <c r="AW45" s="547"/>
      <c r="AX45" s="644"/>
      <c r="AZ45" s="368" t="e">
        <f t="shared" si="11"/>
        <v>#N/A</v>
      </c>
      <c r="BA45" s="644"/>
    </row>
    <row r="46" spans="2:53">
      <c r="B46" s="649"/>
      <c r="C46" s="283">
        <v>5</v>
      </c>
      <c r="D46" s="201"/>
      <c r="E46" s="529"/>
      <c r="F46" s="201"/>
      <c r="G46" s="199"/>
      <c r="H46" s="703"/>
      <c r="I46" s="363" t="str">
        <f t="shared" si="12"/>
        <v>-</v>
      </c>
      <c r="J46" s="363" t="str">
        <f t="shared" si="13"/>
        <v>-</v>
      </c>
      <c r="K46" s="199" t="str">
        <f t="shared" si="14"/>
        <v>-</v>
      </c>
      <c r="L46" s="659"/>
      <c r="M46" s="200" t="e">
        <f>RANK(K46, K$42:$K$71)</f>
        <v>#VALUE!</v>
      </c>
      <c r="N46" s="643"/>
      <c r="O46" s="643"/>
      <c r="P46" s="547"/>
      <c r="Q46" s="548"/>
      <c r="R46" s="548"/>
      <c r="S46" s="547"/>
      <c r="T46" s="644"/>
      <c r="U46" s="547"/>
      <c r="V46" s="548"/>
      <c r="W46" s="548"/>
      <c r="X46" s="547"/>
      <c r="Y46" s="644"/>
      <c r="Z46" s="547"/>
      <c r="AA46" s="548"/>
      <c r="AB46" s="548"/>
      <c r="AC46" s="547"/>
      <c r="AD46" s="644"/>
      <c r="AE46" s="547"/>
      <c r="AF46" s="548"/>
      <c r="AG46" s="548"/>
      <c r="AH46" s="547"/>
      <c r="AI46" s="644"/>
      <c r="AJ46" s="547"/>
      <c r="AK46" s="548"/>
      <c r="AL46" s="548"/>
      <c r="AM46" s="547"/>
      <c r="AN46" s="644"/>
      <c r="AO46" s="547"/>
      <c r="AP46" s="548"/>
      <c r="AQ46" s="548"/>
      <c r="AR46" s="547"/>
      <c r="AS46" s="644"/>
      <c r="AT46" s="547"/>
      <c r="AU46" s="548"/>
      <c r="AV46" s="548"/>
      <c r="AW46" s="547"/>
      <c r="AX46" s="644"/>
      <c r="AZ46" s="368" t="e">
        <f t="shared" si="11"/>
        <v>#N/A</v>
      </c>
      <c r="BA46" s="644"/>
    </row>
    <row r="47" spans="2:53">
      <c r="B47" s="649"/>
      <c r="C47" s="283">
        <v>6</v>
      </c>
      <c r="D47" s="201"/>
      <c r="E47" s="529"/>
      <c r="F47" s="201"/>
      <c r="G47" s="199"/>
      <c r="H47" s="703"/>
      <c r="I47" s="363" t="str">
        <f t="shared" si="12"/>
        <v>-</v>
      </c>
      <c r="J47" s="363" t="str">
        <f t="shared" si="13"/>
        <v>-</v>
      </c>
      <c r="K47" s="199" t="str">
        <f t="shared" si="14"/>
        <v>-</v>
      </c>
      <c r="L47" s="659"/>
      <c r="M47" s="200" t="e">
        <f>RANK(K47, K$42:$K$71)</f>
        <v>#VALUE!</v>
      </c>
      <c r="N47" s="643"/>
      <c r="O47" s="643"/>
      <c r="P47" s="547"/>
      <c r="Q47" s="548"/>
      <c r="R47" s="548"/>
      <c r="S47" s="547"/>
      <c r="T47" s="644"/>
      <c r="U47" s="547"/>
      <c r="V47" s="548"/>
      <c r="W47" s="548"/>
      <c r="X47" s="547"/>
      <c r="Y47" s="644"/>
      <c r="Z47" s="547"/>
      <c r="AA47" s="548"/>
      <c r="AB47" s="548"/>
      <c r="AC47" s="547"/>
      <c r="AD47" s="644"/>
      <c r="AE47" s="547"/>
      <c r="AF47" s="548"/>
      <c r="AG47" s="548"/>
      <c r="AH47" s="547"/>
      <c r="AI47" s="644"/>
      <c r="AJ47" s="547"/>
      <c r="AK47" s="548"/>
      <c r="AL47" s="548"/>
      <c r="AM47" s="547"/>
      <c r="AN47" s="644"/>
      <c r="AO47" s="547"/>
      <c r="AP47" s="548"/>
      <c r="AQ47" s="548"/>
      <c r="AR47" s="547"/>
      <c r="AS47" s="644"/>
      <c r="AT47" s="547"/>
      <c r="AU47" s="548"/>
      <c r="AV47" s="548"/>
      <c r="AW47" s="547"/>
      <c r="AX47" s="644"/>
      <c r="AZ47" s="368" t="e">
        <f t="shared" si="11"/>
        <v>#N/A</v>
      </c>
      <c r="BA47" s="644"/>
    </row>
    <row r="48" spans="2:53">
      <c r="B48" s="649"/>
      <c r="C48" s="283">
        <v>7</v>
      </c>
      <c r="D48" s="201"/>
      <c r="E48" s="529"/>
      <c r="F48" s="201"/>
      <c r="G48" s="199"/>
      <c r="H48" s="703"/>
      <c r="I48" s="363" t="str">
        <f t="shared" si="12"/>
        <v>-</v>
      </c>
      <c r="J48" s="363" t="str">
        <f t="shared" si="13"/>
        <v>-</v>
      </c>
      <c r="K48" s="199" t="str">
        <f t="shared" si="14"/>
        <v>-</v>
      </c>
      <c r="L48" s="659"/>
      <c r="M48" s="200" t="e">
        <f>RANK(K48, K$42:$K$71)</f>
        <v>#VALUE!</v>
      </c>
      <c r="N48" s="643"/>
      <c r="O48" s="643"/>
      <c r="P48" s="547"/>
      <c r="Q48" s="548"/>
      <c r="R48" s="548"/>
      <c r="S48" s="547"/>
      <c r="T48" s="644"/>
      <c r="U48" s="547"/>
      <c r="V48" s="548"/>
      <c r="W48" s="548"/>
      <c r="X48" s="547"/>
      <c r="Y48" s="644"/>
      <c r="Z48" s="547"/>
      <c r="AA48" s="548"/>
      <c r="AB48" s="548"/>
      <c r="AC48" s="547"/>
      <c r="AD48" s="644"/>
      <c r="AE48" s="547"/>
      <c r="AF48" s="548"/>
      <c r="AG48" s="548"/>
      <c r="AH48" s="547"/>
      <c r="AI48" s="644"/>
      <c r="AJ48" s="547"/>
      <c r="AK48" s="548"/>
      <c r="AL48" s="548"/>
      <c r="AM48" s="547"/>
      <c r="AN48" s="644"/>
      <c r="AO48" s="547"/>
      <c r="AP48" s="548"/>
      <c r="AQ48" s="548"/>
      <c r="AR48" s="547"/>
      <c r="AS48" s="644"/>
      <c r="AT48" s="547"/>
      <c r="AU48" s="548"/>
      <c r="AV48" s="548"/>
      <c r="AW48" s="547"/>
      <c r="AX48" s="644"/>
      <c r="AZ48" s="368" t="e">
        <f t="shared" si="11"/>
        <v>#N/A</v>
      </c>
      <c r="BA48" s="644"/>
    </row>
    <row r="49" spans="2:53">
      <c r="B49" s="649"/>
      <c r="C49" s="283">
        <v>8</v>
      </c>
      <c r="D49" s="201"/>
      <c r="E49" s="529"/>
      <c r="F49" s="201"/>
      <c r="G49" s="199"/>
      <c r="H49" s="703"/>
      <c r="I49" s="363" t="str">
        <f t="shared" si="12"/>
        <v>-</v>
      </c>
      <c r="J49" s="363" t="str">
        <f t="shared" si="13"/>
        <v>-</v>
      </c>
      <c r="K49" s="199" t="str">
        <f t="shared" si="14"/>
        <v>-</v>
      </c>
      <c r="L49" s="659"/>
      <c r="M49" s="200" t="e">
        <f>RANK(K49, K$42:$K$71)</f>
        <v>#VALUE!</v>
      </c>
      <c r="N49" s="643"/>
      <c r="O49" s="643"/>
      <c r="P49" s="547"/>
      <c r="Q49" s="548"/>
      <c r="R49" s="548"/>
      <c r="S49" s="547"/>
      <c r="T49" s="644"/>
      <c r="U49" s="547"/>
      <c r="V49" s="548"/>
      <c r="W49" s="548"/>
      <c r="X49" s="547"/>
      <c r="Y49" s="644"/>
      <c r="Z49" s="547"/>
      <c r="AA49" s="548"/>
      <c r="AB49" s="548"/>
      <c r="AC49" s="547"/>
      <c r="AD49" s="644"/>
      <c r="AE49" s="547"/>
      <c r="AF49" s="548"/>
      <c r="AG49" s="548"/>
      <c r="AH49" s="547"/>
      <c r="AI49" s="644"/>
      <c r="AJ49" s="547"/>
      <c r="AK49" s="548"/>
      <c r="AL49" s="548"/>
      <c r="AM49" s="547"/>
      <c r="AN49" s="644"/>
      <c r="AO49" s="547"/>
      <c r="AP49" s="548"/>
      <c r="AQ49" s="548"/>
      <c r="AR49" s="547"/>
      <c r="AS49" s="644"/>
      <c r="AT49" s="547"/>
      <c r="AU49" s="548"/>
      <c r="AV49" s="548"/>
      <c r="AW49" s="547"/>
      <c r="AX49" s="644"/>
      <c r="AZ49" s="368" t="e">
        <f t="shared" si="11"/>
        <v>#N/A</v>
      </c>
      <c r="BA49" s="644"/>
    </row>
    <row r="50" spans="2:53">
      <c r="B50" s="649"/>
      <c r="C50" s="283">
        <v>9</v>
      </c>
      <c r="D50" s="201"/>
      <c r="E50" s="529"/>
      <c r="F50" s="201"/>
      <c r="G50" s="199"/>
      <c r="H50" s="703"/>
      <c r="I50" s="363" t="str">
        <f t="shared" si="12"/>
        <v>-</v>
      </c>
      <c r="J50" s="363" t="str">
        <f t="shared" si="13"/>
        <v>-</v>
      </c>
      <c r="K50" s="199" t="str">
        <f t="shared" si="14"/>
        <v>-</v>
      </c>
      <c r="L50" s="659"/>
      <c r="M50" s="200" t="e">
        <f>RANK(K50, K$42:$K$71)</f>
        <v>#VALUE!</v>
      </c>
      <c r="N50" s="643"/>
      <c r="O50" s="643"/>
      <c r="P50" s="547"/>
      <c r="Q50" s="548"/>
      <c r="R50" s="548"/>
      <c r="S50" s="547"/>
      <c r="T50" s="644"/>
      <c r="U50" s="547"/>
      <c r="V50" s="548"/>
      <c r="W50" s="548"/>
      <c r="X50" s="547"/>
      <c r="Y50" s="644"/>
      <c r="Z50" s="547"/>
      <c r="AA50" s="548"/>
      <c r="AB50" s="548"/>
      <c r="AC50" s="547"/>
      <c r="AD50" s="644"/>
      <c r="AE50" s="547"/>
      <c r="AF50" s="548"/>
      <c r="AG50" s="548"/>
      <c r="AH50" s="547"/>
      <c r="AI50" s="644"/>
      <c r="AJ50" s="547"/>
      <c r="AK50" s="548"/>
      <c r="AL50" s="548"/>
      <c r="AM50" s="547"/>
      <c r="AN50" s="644"/>
      <c r="AO50" s="547"/>
      <c r="AP50" s="548"/>
      <c r="AQ50" s="548"/>
      <c r="AR50" s="547"/>
      <c r="AS50" s="644"/>
      <c r="AT50" s="547"/>
      <c r="AU50" s="548"/>
      <c r="AV50" s="548"/>
      <c r="AW50" s="547"/>
      <c r="AX50" s="644"/>
      <c r="AZ50" s="368" t="e">
        <f t="shared" si="11"/>
        <v>#N/A</v>
      </c>
      <c r="BA50" s="644"/>
    </row>
    <row r="51" spans="2:53">
      <c r="B51" s="649"/>
      <c r="C51" s="283">
        <v>10</v>
      </c>
      <c r="D51" s="201"/>
      <c r="E51" s="529"/>
      <c r="F51" s="201"/>
      <c r="G51" s="199"/>
      <c r="H51" s="703"/>
      <c r="I51" s="363" t="str">
        <f t="shared" si="12"/>
        <v>-</v>
      </c>
      <c r="J51" s="363" t="str">
        <f t="shared" si="13"/>
        <v>-</v>
      </c>
      <c r="K51" s="199" t="str">
        <f t="shared" si="14"/>
        <v>-</v>
      </c>
      <c r="L51" s="659"/>
      <c r="M51" s="200" t="e">
        <f>RANK(K51, K$42:$K$71)</f>
        <v>#VALUE!</v>
      </c>
      <c r="N51" s="643"/>
      <c r="O51" s="643"/>
      <c r="P51" s="547"/>
      <c r="Q51" s="548"/>
      <c r="R51" s="548"/>
      <c r="S51" s="547"/>
      <c r="T51" s="644"/>
      <c r="U51" s="547"/>
      <c r="V51" s="548"/>
      <c r="W51" s="548"/>
      <c r="X51" s="547"/>
      <c r="Y51" s="644"/>
      <c r="Z51" s="547"/>
      <c r="AA51" s="548"/>
      <c r="AB51" s="548"/>
      <c r="AC51" s="547"/>
      <c r="AD51" s="644"/>
      <c r="AE51" s="547"/>
      <c r="AF51" s="548"/>
      <c r="AG51" s="548"/>
      <c r="AH51" s="547"/>
      <c r="AI51" s="644"/>
      <c r="AJ51" s="547"/>
      <c r="AK51" s="548"/>
      <c r="AL51" s="548"/>
      <c r="AM51" s="547"/>
      <c r="AN51" s="644"/>
      <c r="AO51" s="547"/>
      <c r="AP51" s="548"/>
      <c r="AQ51" s="548"/>
      <c r="AR51" s="547"/>
      <c r="AS51" s="644"/>
      <c r="AT51" s="547"/>
      <c r="AU51" s="548"/>
      <c r="AV51" s="548"/>
      <c r="AW51" s="547"/>
      <c r="AX51" s="644"/>
      <c r="AZ51" s="368" t="e">
        <f t="shared" si="11"/>
        <v>#N/A</v>
      </c>
      <c r="BA51" s="644"/>
    </row>
    <row r="52" spans="2:53">
      <c r="B52" s="649"/>
      <c r="C52" s="283">
        <v>11</v>
      </c>
      <c r="D52" s="201"/>
      <c r="E52" s="529"/>
      <c r="F52" s="201"/>
      <c r="G52" s="199"/>
      <c r="H52" s="703"/>
      <c r="I52" s="363" t="str">
        <f t="shared" si="12"/>
        <v>-</v>
      </c>
      <c r="J52" s="363" t="str">
        <f t="shared" si="13"/>
        <v>-</v>
      </c>
      <c r="K52" s="199" t="str">
        <f t="shared" si="14"/>
        <v>-</v>
      </c>
      <c r="L52" s="659"/>
      <c r="M52" s="200" t="e">
        <f>RANK(K52, K$42:$K$71)</f>
        <v>#VALUE!</v>
      </c>
      <c r="N52" s="643"/>
      <c r="O52" s="643"/>
      <c r="P52" s="547"/>
      <c r="Q52" s="548"/>
      <c r="R52" s="548"/>
      <c r="S52" s="547"/>
      <c r="T52" s="644"/>
      <c r="U52" s="547"/>
      <c r="V52" s="548"/>
      <c r="W52" s="548"/>
      <c r="X52" s="547"/>
      <c r="Y52" s="644"/>
      <c r="Z52" s="547"/>
      <c r="AA52" s="548"/>
      <c r="AB52" s="548"/>
      <c r="AC52" s="547"/>
      <c r="AD52" s="644"/>
      <c r="AE52" s="547"/>
      <c r="AF52" s="548"/>
      <c r="AG52" s="548"/>
      <c r="AH52" s="547"/>
      <c r="AI52" s="644"/>
      <c r="AJ52" s="547"/>
      <c r="AK52" s="548"/>
      <c r="AL52" s="548"/>
      <c r="AM52" s="547"/>
      <c r="AN52" s="644"/>
      <c r="AO52" s="547"/>
      <c r="AP52" s="548"/>
      <c r="AQ52" s="548"/>
      <c r="AR52" s="547"/>
      <c r="AS52" s="644"/>
      <c r="AT52" s="547"/>
      <c r="AU52" s="548"/>
      <c r="AV52" s="548"/>
      <c r="AW52" s="547"/>
      <c r="AX52" s="644"/>
      <c r="AZ52" s="368" t="e">
        <f t="shared" si="11"/>
        <v>#N/A</v>
      </c>
      <c r="BA52" s="644"/>
    </row>
    <row r="53" spans="2:53">
      <c r="B53" s="649"/>
      <c r="C53" s="283">
        <v>12</v>
      </c>
      <c r="D53" s="201"/>
      <c r="E53" s="529"/>
      <c r="F53" s="201"/>
      <c r="G53" s="199"/>
      <c r="H53" s="703"/>
      <c r="I53" s="363" t="str">
        <f t="shared" si="12"/>
        <v>-</v>
      </c>
      <c r="J53" s="363" t="str">
        <f t="shared" si="13"/>
        <v>-</v>
      </c>
      <c r="K53" s="199" t="str">
        <f t="shared" si="14"/>
        <v>-</v>
      </c>
      <c r="L53" s="659"/>
      <c r="M53" s="200" t="e">
        <f>RANK(K53, K$42:$K$71)</f>
        <v>#VALUE!</v>
      </c>
      <c r="N53" s="643"/>
      <c r="O53" s="643"/>
      <c r="P53" s="547"/>
      <c r="Q53" s="548"/>
      <c r="R53" s="548"/>
      <c r="S53" s="547"/>
      <c r="T53" s="644"/>
      <c r="U53" s="547"/>
      <c r="V53" s="548"/>
      <c r="W53" s="548"/>
      <c r="X53" s="547"/>
      <c r="Y53" s="644"/>
      <c r="Z53" s="547"/>
      <c r="AA53" s="548"/>
      <c r="AB53" s="548"/>
      <c r="AC53" s="547"/>
      <c r="AD53" s="644"/>
      <c r="AE53" s="547"/>
      <c r="AF53" s="548"/>
      <c r="AG53" s="548"/>
      <c r="AH53" s="547"/>
      <c r="AI53" s="644"/>
      <c r="AJ53" s="547"/>
      <c r="AK53" s="548"/>
      <c r="AL53" s="548"/>
      <c r="AM53" s="547"/>
      <c r="AN53" s="644"/>
      <c r="AO53" s="547"/>
      <c r="AP53" s="548"/>
      <c r="AQ53" s="548"/>
      <c r="AR53" s="547"/>
      <c r="AS53" s="644"/>
      <c r="AT53" s="547"/>
      <c r="AU53" s="548"/>
      <c r="AV53" s="548"/>
      <c r="AW53" s="547"/>
      <c r="AX53" s="644"/>
      <c r="AZ53" s="368" t="e">
        <f t="shared" si="11"/>
        <v>#N/A</v>
      </c>
      <c r="BA53" s="644"/>
    </row>
    <row r="54" spans="2:53">
      <c r="B54" s="649"/>
      <c r="C54" s="283">
        <v>13</v>
      </c>
      <c r="D54" s="201"/>
      <c r="E54" s="529"/>
      <c r="F54" s="201"/>
      <c r="G54" s="199"/>
      <c r="H54" s="703"/>
      <c r="I54" s="363" t="str">
        <f t="shared" si="12"/>
        <v>-</v>
      </c>
      <c r="J54" s="363" t="str">
        <f t="shared" si="13"/>
        <v>-</v>
      </c>
      <c r="K54" s="199" t="str">
        <f t="shared" si="14"/>
        <v>-</v>
      </c>
      <c r="L54" s="659"/>
      <c r="M54" s="200" t="e">
        <f>RANK(K54, K$42:$K$71)</f>
        <v>#VALUE!</v>
      </c>
      <c r="N54" s="643"/>
      <c r="O54" s="643"/>
      <c r="P54" s="547"/>
      <c r="Q54" s="548"/>
      <c r="R54" s="548"/>
      <c r="S54" s="547"/>
      <c r="T54" s="644"/>
      <c r="U54" s="547"/>
      <c r="V54" s="548"/>
      <c r="W54" s="548"/>
      <c r="X54" s="547"/>
      <c r="Y54" s="644"/>
      <c r="Z54" s="547"/>
      <c r="AA54" s="548"/>
      <c r="AB54" s="548"/>
      <c r="AC54" s="547"/>
      <c r="AD54" s="644"/>
      <c r="AE54" s="547"/>
      <c r="AF54" s="548"/>
      <c r="AG54" s="548"/>
      <c r="AH54" s="547"/>
      <c r="AI54" s="644"/>
      <c r="AJ54" s="547"/>
      <c r="AK54" s="548"/>
      <c r="AL54" s="548"/>
      <c r="AM54" s="547"/>
      <c r="AN54" s="644"/>
      <c r="AO54" s="547"/>
      <c r="AP54" s="548"/>
      <c r="AQ54" s="548"/>
      <c r="AR54" s="547"/>
      <c r="AS54" s="644"/>
      <c r="AT54" s="547"/>
      <c r="AU54" s="548"/>
      <c r="AV54" s="548"/>
      <c r="AW54" s="547"/>
      <c r="AX54" s="644"/>
      <c r="AZ54" s="368" t="e">
        <f t="shared" si="11"/>
        <v>#N/A</v>
      </c>
      <c r="BA54" s="644"/>
    </row>
    <row r="55" spans="2:53">
      <c r="B55" s="649"/>
      <c r="C55" s="283">
        <v>14</v>
      </c>
      <c r="D55" s="201"/>
      <c r="E55" s="529"/>
      <c r="F55" s="201"/>
      <c r="G55" s="199"/>
      <c r="H55" s="703"/>
      <c r="I55" s="363" t="str">
        <f t="shared" si="12"/>
        <v>-</v>
      </c>
      <c r="J55" s="363" t="str">
        <f t="shared" si="13"/>
        <v>-</v>
      </c>
      <c r="K55" s="199" t="str">
        <f t="shared" si="14"/>
        <v>-</v>
      </c>
      <c r="L55" s="659"/>
      <c r="M55" s="200" t="e">
        <f>RANK(K55, K$42:$K$71)</f>
        <v>#VALUE!</v>
      </c>
      <c r="N55" s="643"/>
      <c r="O55" s="643"/>
      <c r="P55" s="547"/>
      <c r="Q55" s="548"/>
      <c r="R55" s="548"/>
      <c r="S55" s="547"/>
      <c r="T55" s="644"/>
      <c r="U55" s="547"/>
      <c r="V55" s="548"/>
      <c r="W55" s="548"/>
      <c r="X55" s="547"/>
      <c r="Y55" s="644"/>
      <c r="Z55" s="547"/>
      <c r="AA55" s="548"/>
      <c r="AB55" s="548"/>
      <c r="AC55" s="547"/>
      <c r="AD55" s="644"/>
      <c r="AE55" s="547"/>
      <c r="AF55" s="548"/>
      <c r="AG55" s="548"/>
      <c r="AH55" s="547"/>
      <c r="AI55" s="644"/>
      <c r="AJ55" s="547"/>
      <c r="AK55" s="548"/>
      <c r="AL55" s="548"/>
      <c r="AM55" s="547"/>
      <c r="AN55" s="644"/>
      <c r="AO55" s="547"/>
      <c r="AP55" s="548"/>
      <c r="AQ55" s="548"/>
      <c r="AR55" s="547"/>
      <c r="AS55" s="644"/>
      <c r="AT55" s="547"/>
      <c r="AU55" s="548"/>
      <c r="AV55" s="548"/>
      <c r="AW55" s="547"/>
      <c r="AX55" s="644"/>
      <c r="AZ55" s="368" t="e">
        <f t="shared" si="11"/>
        <v>#N/A</v>
      </c>
      <c r="BA55" s="644"/>
    </row>
    <row r="56" spans="2:53">
      <c r="B56" s="649"/>
      <c r="C56" s="283">
        <v>15</v>
      </c>
      <c r="D56" s="201"/>
      <c r="E56" s="529"/>
      <c r="F56" s="201"/>
      <c r="G56" s="199"/>
      <c r="H56" s="703"/>
      <c r="I56" s="363" t="str">
        <f t="shared" si="12"/>
        <v>-</v>
      </c>
      <c r="J56" s="363" t="str">
        <f t="shared" si="13"/>
        <v>-</v>
      </c>
      <c r="K56" s="199" t="str">
        <f t="shared" si="14"/>
        <v>-</v>
      </c>
      <c r="L56" s="659"/>
      <c r="M56" s="198" t="e">
        <f>RANK(K56, K$42:$K$71)</f>
        <v>#VALUE!</v>
      </c>
      <c r="N56" s="643"/>
      <c r="O56" s="643"/>
      <c r="P56" s="547"/>
      <c r="Q56" s="548"/>
      <c r="R56" s="548"/>
      <c r="S56" s="547"/>
      <c r="T56" s="644"/>
      <c r="U56" s="547"/>
      <c r="V56" s="548"/>
      <c r="W56" s="548"/>
      <c r="X56" s="547"/>
      <c r="Y56" s="644"/>
      <c r="Z56" s="547"/>
      <c r="AA56" s="548"/>
      <c r="AB56" s="548"/>
      <c r="AC56" s="547"/>
      <c r="AD56" s="644"/>
      <c r="AE56" s="547"/>
      <c r="AF56" s="548"/>
      <c r="AG56" s="548"/>
      <c r="AH56" s="547"/>
      <c r="AI56" s="644"/>
      <c r="AJ56" s="547"/>
      <c r="AK56" s="548"/>
      <c r="AL56" s="548"/>
      <c r="AM56" s="547"/>
      <c r="AN56" s="644"/>
      <c r="AO56" s="547"/>
      <c r="AP56" s="548"/>
      <c r="AQ56" s="548"/>
      <c r="AR56" s="547"/>
      <c r="AS56" s="644"/>
      <c r="AT56" s="547"/>
      <c r="AU56" s="548"/>
      <c r="AV56" s="548"/>
      <c r="AW56" s="547"/>
      <c r="AX56" s="644"/>
      <c r="AZ56" s="368" t="e">
        <f t="shared" si="11"/>
        <v>#N/A</v>
      </c>
      <c r="BA56" s="644"/>
    </row>
    <row r="57" spans="2:53">
      <c r="B57" s="649"/>
      <c r="C57" s="283">
        <v>16</v>
      </c>
      <c r="D57" s="201"/>
      <c r="E57" s="529"/>
      <c r="F57" s="201"/>
      <c r="G57" s="199"/>
      <c r="H57" s="703"/>
      <c r="I57" s="363" t="str">
        <f t="shared" si="12"/>
        <v>-</v>
      </c>
      <c r="J57" s="363" t="str">
        <f t="shared" si="13"/>
        <v>-</v>
      </c>
      <c r="K57" s="199" t="str">
        <f t="shared" si="14"/>
        <v>-</v>
      </c>
      <c r="L57" s="659"/>
      <c r="M57" s="198" t="e">
        <f>RANK(K57, K$42:$K$71)</f>
        <v>#VALUE!</v>
      </c>
      <c r="N57" s="643"/>
      <c r="O57" s="643"/>
      <c r="P57" s="547"/>
      <c r="Q57" s="548"/>
      <c r="R57" s="548"/>
      <c r="S57" s="547"/>
      <c r="T57" s="644"/>
      <c r="U57" s="547"/>
      <c r="V57" s="548"/>
      <c r="W57" s="548"/>
      <c r="X57" s="547"/>
      <c r="Y57" s="644"/>
      <c r="Z57" s="547"/>
      <c r="AA57" s="548"/>
      <c r="AB57" s="548"/>
      <c r="AC57" s="547"/>
      <c r="AD57" s="644"/>
      <c r="AE57" s="547"/>
      <c r="AF57" s="548"/>
      <c r="AG57" s="548"/>
      <c r="AH57" s="547"/>
      <c r="AI57" s="644"/>
      <c r="AJ57" s="547"/>
      <c r="AK57" s="548"/>
      <c r="AL57" s="548"/>
      <c r="AM57" s="547"/>
      <c r="AN57" s="644"/>
      <c r="AO57" s="547"/>
      <c r="AP57" s="548"/>
      <c r="AQ57" s="548"/>
      <c r="AR57" s="547"/>
      <c r="AS57" s="644"/>
      <c r="AT57" s="547"/>
      <c r="AU57" s="548"/>
      <c r="AV57" s="548"/>
      <c r="AW57" s="547"/>
      <c r="AX57" s="644"/>
      <c r="AZ57" s="368" t="e">
        <f t="shared" si="11"/>
        <v>#N/A</v>
      </c>
      <c r="BA57" s="644"/>
    </row>
    <row r="58" spans="2:53">
      <c r="B58" s="649"/>
      <c r="C58" s="283">
        <v>17</v>
      </c>
      <c r="D58" s="201"/>
      <c r="E58" s="529"/>
      <c r="F58" s="201"/>
      <c r="G58" s="199"/>
      <c r="H58" s="703"/>
      <c r="I58" s="363" t="str">
        <f t="shared" si="12"/>
        <v>-</v>
      </c>
      <c r="J58" s="363" t="str">
        <f t="shared" si="13"/>
        <v>-</v>
      </c>
      <c r="K58" s="199" t="str">
        <f t="shared" si="14"/>
        <v>-</v>
      </c>
      <c r="L58" s="659"/>
      <c r="M58" s="198" t="e">
        <f>RANK(K58, K$42:$K$71)</f>
        <v>#VALUE!</v>
      </c>
      <c r="N58" s="643"/>
      <c r="O58" s="643"/>
      <c r="P58" s="547"/>
      <c r="Q58" s="548"/>
      <c r="R58" s="548"/>
      <c r="S58" s="547"/>
      <c r="T58" s="644"/>
      <c r="U58" s="547"/>
      <c r="V58" s="548"/>
      <c r="W58" s="548"/>
      <c r="X58" s="547"/>
      <c r="Y58" s="644"/>
      <c r="Z58" s="547"/>
      <c r="AA58" s="548"/>
      <c r="AB58" s="548"/>
      <c r="AC58" s="547"/>
      <c r="AD58" s="644"/>
      <c r="AE58" s="547"/>
      <c r="AF58" s="548"/>
      <c r="AG58" s="548"/>
      <c r="AH58" s="547"/>
      <c r="AI58" s="644"/>
      <c r="AJ58" s="547"/>
      <c r="AK58" s="548"/>
      <c r="AL58" s="548"/>
      <c r="AM58" s="547"/>
      <c r="AN58" s="644"/>
      <c r="AO58" s="547"/>
      <c r="AP58" s="548"/>
      <c r="AQ58" s="548"/>
      <c r="AR58" s="547"/>
      <c r="AS58" s="644"/>
      <c r="AT58" s="547"/>
      <c r="AU58" s="548"/>
      <c r="AV58" s="548"/>
      <c r="AW58" s="547"/>
      <c r="AX58" s="644"/>
      <c r="AZ58" s="368" t="e">
        <f t="shared" si="11"/>
        <v>#N/A</v>
      </c>
      <c r="BA58" s="644"/>
    </row>
    <row r="59" spans="2:53">
      <c r="B59" s="649"/>
      <c r="C59" s="283">
        <v>18</v>
      </c>
      <c r="D59" s="201"/>
      <c r="E59" s="529"/>
      <c r="F59" s="201"/>
      <c r="G59" s="199"/>
      <c r="H59" s="703"/>
      <c r="I59" s="363" t="str">
        <f t="shared" si="12"/>
        <v>-</v>
      </c>
      <c r="J59" s="363" t="str">
        <f t="shared" si="13"/>
        <v>-</v>
      </c>
      <c r="K59" s="199" t="str">
        <f t="shared" si="14"/>
        <v>-</v>
      </c>
      <c r="L59" s="659"/>
      <c r="M59" s="198" t="e">
        <f>RANK(K59, K$42:$K$71)</f>
        <v>#VALUE!</v>
      </c>
      <c r="N59" s="643"/>
      <c r="O59" s="643"/>
      <c r="P59" s="547"/>
      <c r="Q59" s="548"/>
      <c r="R59" s="548"/>
      <c r="S59" s="547"/>
      <c r="T59" s="644"/>
      <c r="U59" s="547"/>
      <c r="V59" s="548"/>
      <c r="W59" s="548"/>
      <c r="X59" s="547"/>
      <c r="Y59" s="644"/>
      <c r="Z59" s="547"/>
      <c r="AA59" s="548"/>
      <c r="AB59" s="548"/>
      <c r="AC59" s="547"/>
      <c r="AD59" s="644"/>
      <c r="AE59" s="547"/>
      <c r="AF59" s="548"/>
      <c r="AG59" s="548"/>
      <c r="AH59" s="547"/>
      <c r="AI59" s="644"/>
      <c r="AJ59" s="547"/>
      <c r="AK59" s="548"/>
      <c r="AL59" s="548"/>
      <c r="AM59" s="547"/>
      <c r="AN59" s="644"/>
      <c r="AO59" s="547"/>
      <c r="AP59" s="548"/>
      <c r="AQ59" s="548"/>
      <c r="AR59" s="547"/>
      <c r="AS59" s="644"/>
      <c r="AT59" s="547"/>
      <c r="AU59" s="548"/>
      <c r="AV59" s="548"/>
      <c r="AW59" s="547"/>
      <c r="AX59" s="644"/>
      <c r="AZ59" s="368" t="e">
        <f t="shared" si="11"/>
        <v>#N/A</v>
      </c>
      <c r="BA59" s="644"/>
    </row>
    <row r="60" spans="2:53">
      <c r="B60" s="649"/>
      <c r="C60" s="283">
        <v>19</v>
      </c>
      <c r="D60" s="201"/>
      <c r="E60" s="529"/>
      <c r="F60" s="201"/>
      <c r="G60" s="199"/>
      <c r="H60" s="703"/>
      <c r="I60" s="363" t="str">
        <f t="shared" si="12"/>
        <v>-</v>
      </c>
      <c r="J60" s="363" t="str">
        <f t="shared" si="13"/>
        <v>-</v>
      </c>
      <c r="K60" s="199" t="str">
        <f t="shared" si="14"/>
        <v>-</v>
      </c>
      <c r="L60" s="659"/>
      <c r="M60" s="198" t="e">
        <f>RANK(K60, K$42:$K$71)</f>
        <v>#VALUE!</v>
      </c>
      <c r="N60" s="643"/>
      <c r="O60" s="643"/>
      <c r="P60" s="547"/>
      <c r="Q60" s="548"/>
      <c r="R60" s="548"/>
      <c r="S60" s="547"/>
      <c r="T60" s="644"/>
      <c r="U60" s="547"/>
      <c r="V60" s="548"/>
      <c r="W60" s="548"/>
      <c r="X60" s="547"/>
      <c r="Y60" s="644"/>
      <c r="Z60" s="547"/>
      <c r="AA60" s="548"/>
      <c r="AB60" s="548"/>
      <c r="AC60" s="547"/>
      <c r="AD60" s="644"/>
      <c r="AE60" s="547"/>
      <c r="AF60" s="548"/>
      <c r="AG60" s="548"/>
      <c r="AH60" s="547"/>
      <c r="AI60" s="644"/>
      <c r="AJ60" s="547"/>
      <c r="AK60" s="548"/>
      <c r="AL60" s="548"/>
      <c r="AM60" s="547"/>
      <c r="AN60" s="644"/>
      <c r="AO60" s="547"/>
      <c r="AP60" s="548"/>
      <c r="AQ60" s="548"/>
      <c r="AR60" s="547"/>
      <c r="AS60" s="644"/>
      <c r="AT60" s="547"/>
      <c r="AU60" s="548"/>
      <c r="AV60" s="548"/>
      <c r="AW60" s="547"/>
      <c r="AX60" s="644"/>
      <c r="AZ60" s="368" t="e">
        <f t="shared" si="11"/>
        <v>#N/A</v>
      </c>
      <c r="BA60" s="644"/>
    </row>
    <row r="61" spans="2:53">
      <c r="B61" s="649"/>
      <c r="C61" s="283">
        <v>20</v>
      </c>
      <c r="D61" s="201"/>
      <c r="E61" s="529"/>
      <c r="F61" s="201"/>
      <c r="G61" s="199"/>
      <c r="H61" s="703"/>
      <c r="I61" s="363" t="str">
        <f t="shared" si="12"/>
        <v>-</v>
      </c>
      <c r="J61" s="363" t="str">
        <f t="shared" si="13"/>
        <v>-</v>
      </c>
      <c r="K61" s="199" t="str">
        <f t="shared" si="14"/>
        <v>-</v>
      </c>
      <c r="L61" s="659"/>
      <c r="M61" s="198" t="e">
        <f>RANK(K61, K$42:$K$71)</f>
        <v>#VALUE!</v>
      </c>
      <c r="N61" s="643"/>
      <c r="O61" s="643"/>
      <c r="P61" s="547"/>
      <c r="Q61" s="548"/>
      <c r="R61" s="548"/>
      <c r="S61" s="547"/>
      <c r="T61" s="644"/>
      <c r="U61" s="547"/>
      <c r="V61" s="548"/>
      <c r="W61" s="548"/>
      <c r="X61" s="547"/>
      <c r="Y61" s="644"/>
      <c r="Z61" s="547"/>
      <c r="AA61" s="548"/>
      <c r="AB61" s="548"/>
      <c r="AC61" s="547"/>
      <c r="AD61" s="644"/>
      <c r="AE61" s="547"/>
      <c r="AF61" s="548"/>
      <c r="AG61" s="548"/>
      <c r="AH61" s="547"/>
      <c r="AI61" s="644"/>
      <c r="AJ61" s="547"/>
      <c r="AK61" s="548"/>
      <c r="AL61" s="548"/>
      <c r="AM61" s="547"/>
      <c r="AN61" s="644"/>
      <c r="AO61" s="547"/>
      <c r="AP61" s="548"/>
      <c r="AQ61" s="548"/>
      <c r="AR61" s="547"/>
      <c r="AS61" s="644"/>
      <c r="AT61" s="547"/>
      <c r="AU61" s="548"/>
      <c r="AV61" s="548"/>
      <c r="AW61" s="547"/>
      <c r="AX61" s="644"/>
      <c r="AZ61" s="368" t="e">
        <f t="shared" si="11"/>
        <v>#N/A</v>
      </c>
      <c r="BA61" s="644"/>
    </row>
    <row r="62" spans="2:53">
      <c r="B62" s="649"/>
      <c r="C62" s="283">
        <v>21</v>
      </c>
      <c r="D62" s="201"/>
      <c r="E62" s="529"/>
      <c r="F62" s="201"/>
      <c r="G62" s="199"/>
      <c r="H62" s="703"/>
      <c r="I62" s="363" t="str">
        <f t="shared" si="12"/>
        <v>-</v>
      </c>
      <c r="J62" s="363" t="str">
        <f t="shared" si="13"/>
        <v>-</v>
      </c>
      <c r="K62" s="199" t="str">
        <f t="shared" si="14"/>
        <v>-</v>
      </c>
      <c r="L62" s="659"/>
      <c r="M62" s="198" t="e">
        <f>RANK(K62, K$42:$K$71)</f>
        <v>#VALUE!</v>
      </c>
      <c r="N62" s="643"/>
      <c r="O62" s="643"/>
      <c r="P62" s="547"/>
      <c r="Q62" s="548"/>
      <c r="R62" s="548"/>
      <c r="S62" s="547"/>
      <c r="T62" s="644"/>
      <c r="U62" s="547"/>
      <c r="V62" s="548"/>
      <c r="W62" s="548"/>
      <c r="X62" s="547"/>
      <c r="Y62" s="644"/>
      <c r="Z62" s="547"/>
      <c r="AA62" s="548"/>
      <c r="AB62" s="548"/>
      <c r="AC62" s="547"/>
      <c r="AD62" s="644"/>
      <c r="AE62" s="547"/>
      <c r="AF62" s="548"/>
      <c r="AG62" s="548"/>
      <c r="AH62" s="547"/>
      <c r="AI62" s="644"/>
      <c r="AJ62" s="547"/>
      <c r="AK62" s="548"/>
      <c r="AL62" s="548"/>
      <c r="AM62" s="547"/>
      <c r="AN62" s="644"/>
      <c r="AO62" s="547"/>
      <c r="AP62" s="548"/>
      <c r="AQ62" s="548"/>
      <c r="AR62" s="547"/>
      <c r="AS62" s="644"/>
      <c r="AT62" s="547"/>
      <c r="AU62" s="548"/>
      <c r="AV62" s="548"/>
      <c r="AW62" s="547"/>
      <c r="AX62" s="644"/>
      <c r="AZ62" s="368" t="e">
        <f t="shared" si="11"/>
        <v>#N/A</v>
      </c>
      <c r="BA62" s="644"/>
    </row>
    <row r="63" spans="2:53">
      <c r="B63" s="649"/>
      <c r="C63" s="283">
        <v>22</v>
      </c>
      <c r="D63" s="201"/>
      <c r="E63" s="529"/>
      <c r="F63" s="201"/>
      <c r="G63" s="199"/>
      <c r="H63" s="703"/>
      <c r="I63" s="363" t="str">
        <f t="shared" si="12"/>
        <v>-</v>
      </c>
      <c r="J63" s="363" t="str">
        <f t="shared" si="13"/>
        <v>-</v>
      </c>
      <c r="K63" s="199" t="str">
        <f t="shared" si="14"/>
        <v>-</v>
      </c>
      <c r="L63" s="659"/>
      <c r="M63" s="198" t="e">
        <f>RANK(K63, K$42:$K$71)</f>
        <v>#VALUE!</v>
      </c>
      <c r="N63" s="643"/>
      <c r="O63" s="643"/>
      <c r="P63" s="547"/>
      <c r="Q63" s="548"/>
      <c r="R63" s="548"/>
      <c r="S63" s="547"/>
      <c r="T63" s="644"/>
      <c r="U63" s="547"/>
      <c r="V63" s="548"/>
      <c r="W63" s="548"/>
      <c r="X63" s="547"/>
      <c r="Y63" s="644"/>
      <c r="Z63" s="547"/>
      <c r="AA63" s="548"/>
      <c r="AB63" s="548"/>
      <c r="AC63" s="547"/>
      <c r="AD63" s="644"/>
      <c r="AE63" s="547"/>
      <c r="AF63" s="548"/>
      <c r="AG63" s="548"/>
      <c r="AH63" s="547"/>
      <c r="AI63" s="644"/>
      <c r="AJ63" s="547"/>
      <c r="AK63" s="548"/>
      <c r="AL63" s="548"/>
      <c r="AM63" s="547"/>
      <c r="AN63" s="644"/>
      <c r="AO63" s="547"/>
      <c r="AP63" s="548"/>
      <c r="AQ63" s="548"/>
      <c r="AR63" s="547"/>
      <c r="AS63" s="644"/>
      <c r="AT63" s="547"/>
      <c r="AU63" s="548"/>
      <c r="AV63" s="548"/>
      <c r="AW63" s="547"/>
      <c r="AX63" s="644"/>
      <c r="AZ63" s="368" t="e">
        <f t="shared" si="11"/>
        <v>#N/A</v>
      </c>
      <c r="BA63" s="644"/>
    </row>
    <row r="64" spans="2:53">
      <c r="B64" s="649"/>
      <c r="C64" s="283">
        <v>23</v>
      </c>
      <c r="D64" s="201"/>
      <c r="E64" s="529"/>
      <c r="F64" s="201"/>
      <c r="G64" s="199"/>
      <c r="H64" s="703"/>
      <c r="I64" s="363" t="str">
        <f t="shared" si="12"/>
        <v>-</v>
      </c>
      <c r="J64" s="363" t="str">
        <f t="shared" si="13"/>
        <v>-</v>
      </c>
      <c r="K64" s="199" t="str">
        <f t="shared" si="14"/>
        <v>-</v>
      </c>
      <c r="L64" s="659"/>
      <c r="M64" s="198" t="e">
        <f>RANK(K64, K$42:$K$71)</f>
        <v>#VALUE!</v>
      </c>
      <c r="N64" s="643"/>
      <c r="O64" s="643"/>
      <c r="P64" s="547"/>
      <c r="Q64" s="548"/>
      <c r="R64" s="548"/>
      <c r="S64" s="547"/>
      <c r="T64" s="644"/>
      <c r="U64" s="547"/>
      <c r="V64" s="548"/>
      <c r="W64" s="548"/>
      <c r="X64" s="547"/>
      <c r="Y64" s="644"/>
      <c r="Z64" s="547"/>
      <c r="AA64" s="548"/>
      <c r="AB64" s="548"/>
      <c r="AC64" s="547"/>
      <c r="AD64" s="644"/>
      <c r="AE64" s="547"/>
      <c r="AF64" s="548"/>
      <c r="AG64" s="548"/>
      <c r="AH64" s="547"/>
      <c r="AI64" s="644"/>
      <c r="AJ64" s="547"/>
      <c r="AK64" s="548"/>
      <c r="AL64" s="548"/>
      <c r="AM64" s="547"/>
      <c r="AN64" s="644"/>
      <c r="AO64" s="547"/>
      <c r="AP64" s="548"/>
      <c r="AQ64" s="548"/>
      <c r="AR64" s="547"/>
      <c r="AS64" s="644"/>
      <c r="AT64" s="547"/>
      <c r="AU64" s="548"/>
      <c r="AV64" s="548"/>
      <c r="AW64" s="547"/>
      <c r="AX64" s="644"/>
      <c r="AZ64" s="368" t="e">
        <f t="shared" si="11"/>
        <v>#N/A</v>
      </c>
      <c r="BA64" s="644"/>
    </row>
    <row r="65" spans="2:53">
      <c r="B65" s="649"/>
      <c r="C65" s="283">
        <v>24</v>
      </c>
      <c r="D65" s="201"/>
      <c r="E65" s="529"/>
      <c r="F65" s="201"/>
      <c r="G65" s="199"/>
      <c r="H65" s="703"/>
      <c r="I65" s="363" t="str">
        <f t="shared" si="12"/>
        <v>-</v>
      </c>
      <c r="J65" s="363" t="str">
        <f t="shared" si="13"/>
        <v>-</v>
      </c>
      <c r="K65" s="199" t="str">
        <f t="shared" si="14"/>
        <v>-</v>
      </c>
      <c r="L65" s="659"/>
      <c r="M65" s="198" t="e">
        <f>RANK(K65, K$42:$K$71)</f>
        <v>#VALUE!</v>
      </c>
      <c r="N65" s="643"/>
      <c r="O65" s="643"/>
      <c r="P65" s="547"/>
      <c r="Q65" s="548"/>
      <c r="R65" s="548"/>
      <c r="S65" s="547"/>
      <c r="T65" s="644"/>
      <c r="U65" s="547"/>
      <c r="V65" s="548"/>
      <c r="W65" s="548"/>
      <c r="X65" s="547"/>
      <c r="Y65" s="644"/>
      <c r="Z65" s="547"/>
      <c r="AA65" s="548"/>
      <c r="AB65" s="548"/>
      <c r="AC65" s="547"/>
      <c r="AD65" s="644"/>
      <c r="AE65" s="547"/>
      <c r="AF65" s="548"/>
      <c r="AG65" s="548"/>
      <c r="AH65" s="547"/>
      <c r="AI65" s="644"/>
      <c r="AJ65" s="547"/>
      <c r="AK65" s="548"/>
      <c r="AL65" s="548"/>
      <c r="AM65" s="547"/>
      <c r="AN65" s="644"/>
      <c r="AO65" s="547"/>
      <c r="AP65" s="548"/>
      <c r="AQ65" s="548"/>
      <c r="AR65" s="547"/>
      <c r="AS65" s="644"/>
      <c r="AT65" s="547"/>
      <c r="AU65" s="548"/>
      <c r="AV65" s="548"/>
      <c r="AW65" s="547"/>
      <c r="AX65" s="644"/>
      <c r="AZ65" s="368" t="e">
        <f t="shared" si="11"/>
        <v>#N/A</v>
      </c>
      <c r="BA65" s="644"/>
    </row>
    <row r="66" spans="2:53">
      <c r="B66" s="649"/>
      <c r="C66" s="283">
        <v>25</v>
      </c>
      <c r="D66" s="201"/>
      <c r="E66" s="529"/>
      <c r="F66" s="201"/>
      <c r="G66" s="199"/>
      <c r="H66" s="703"/>
      <c r="I66" s="363" t="str">
        <f t="shared" si="12"/>
        <v>-</v>
      </c>
      <c r="J66" s="363" t="str">
        <f t="shared" si="13"/>
        <v>-</v>
      </c>
      <c r="K66" s="199" t="str">
        <f t="shared" si="14"/>
        <v>-</v>
      </c>
      <c r="L66" s="659"/>
      <c r="M66" s="198" t="e">
        <f>RANK(K66, K$42:$K$71)</f>
        <v>#VALUE!</v>
      </c>
      <c r="N66" s="643"/>
      <c r="O66" s="643"/>
      <c r="P66" s="547"/>
      <c r="Q66" s="548"/>
      <c r="R66" s="548"/>
      <c r="S66" s="547"/>
      <c r="T66" s="644"/>
      <c r="U66" s="547"/>
      <c r="V66" s="548"/>
      <c r="W66" s="548"/>
      <c r="X66" s="547"/>
      <c r="Y66" s="644"/>
      <c r="Z66" s="547"/>
      <c r="AA66" s="548"/>
      <c r="AB66" s="548"/>
      <c r="AC66" s="547"/>
      <c r="AD66" s="644"/>
      <c r="AE66" s="547"/>
      <c r="AF66" s="548"/>
      <c r="AG66" s="548"/>
      <c r="AH66" s="547"/>
      <c r="AI66" s="644"/>
      <c r="AJ66" s="547"/>
      <c r="AK66" s="548"/>
      <c r="AL66" s="548"/>
      <c r="AM66" s="547"/>
      <c r="AN66" s="644"/>
      <c r="AO66" s="547"/>
      <c r="AP66" s="548"/>
      <c r="AQ66" s="548"/>
      <c r="AR66" s="547"/>
      <c r="AS66" s="644"/>
      <c r="AT66" s="547"/>
      <c r="AU66" s="548"/>
      <c r="AV66" s="548"/>
      <c r="AW66" s="547"/>
      <c r="AX66" s="644"/>
      <c r="AZ66" s="368" t="e">
        <f t="shared" si="11"/>
        <v>#N/A</v>
      </c>
      <c r="BA66" s="644"/>
    </row>
    <row r="67" spans="2:53">
      <c r="B67" s="649"/>
      <c r="C67" s="283">
        <v>26</v>
      </c>
      <c r="D67" s="201"/>
      <c r="E67" s="529"/>
      <c r="F67" s="201"/>
      <c r="G67" s="199"/>
      <c r="H67" s="703"/>
      <c r="I67" s="363" t="str">
        <f t="shared" si="12"/>
        <v>-</v>
      </c>
      <c r="J67" s="363" t="str">
        <f t="shared" si="13"/>
        <v>-</v>
      </c>
      <c r="K67" s="199" t="str">
        <f t="shared" si="14"/>
        <v>-</v>
      </c>
      <c r="L67" s="659"/>
      <c r="M67" s="198" t="e">
        <f>RANK(K67, K$42:$K$71)</f>
        <v>#VALUE!</v>
      </c>
      <c r="N67" s="643"/>
      <c r="O67" s="643"/>
      <c r="P67" s="547"/>
      <c r="Q67" s="548"/>
      <c r="R67" s="548"/>
      <c r="S67" s="547"/>
      <c r="T67" s="644"/>
      <c r="U67" s="547"/>
      <c r="V67" s="548"/>
      <c r="W67" s="548"/>
      <c r="X67" s="547"/>
      <c r="Y67" s="644"/>
      <c r="Z67" s="547"/>
      <c r="AA67" s="548"/>
      <c r="AB67" s="548"/>
      <c r="AC67" s="547"/>
      <c r="AD67" s="644"/>
      <c r="AE67" s="547"/>
      <c r="AF67" s="548"/>
      <c r="AG67" s="548"/>
      <c r="AH67" s="547"/>
      <c r="AI67" s="644"/>
      <c r="AJ67" s="547"/>
      <c r="AK67" s="548"/>
      <c r="AL67" s="548"/>
      <c r="AM67" s="547"/>
      <c r="AN67" s="644"/>
      <c r="AO67" s="547"/>
      <c r="AP67" s="548"/>
      <c r="AQ67" s="548"/>
      <c r="AR67" s="547"/>
      <c r="AS67" s="644"/>
      <c r="AT67" s="547"/>
      <c r="AU67" s="548"/>
      <c r="AV67" s="548"/>
      <c r="AW67" s="547"/>
      <c r="AX67" s="644"/>
      <c r="AZ67" s="368" t="e">
        <f t="shared" si="11"/>
        <v>#N/A</v>
      </c>
      <c r="BA67" s="644"/>
    </row>
    <row r="68" spans="2:53">
      <c r="B68" s="649"/>
      <c r="C68" s="283">
        <v>27</v>
      </c>
      <c r="D68" s="201"/>
      <c r="E68" s="529"/>
      <c r="F68" s="201"/>
      <c r="G68" s="199"/>
      <c r="H68" s="703"/>
      <c r="I68" s="363" t="str">
        <f t="shared" si="12"/>
        <v>-</v>
      </c>
      <c r="J68" s="363" t="str">
        <f t="shared" si="13"/>
        <v>-</v>
      </c>
      <c r="K68" s="199" t="str">
        <f t="shared" si="14"/>
        <v>-</v>
      </c>
      <c r="L68" s="659"/>
      <c r="M68" s="198" t="e">
        <f>RANK(K68, K$42:$K$71)</f>
        <v>#VALUE!</v>
      </c>
      <c r="N68" s="643"/>
      <c r="O68" s="643"/>
      <c r="P68" s="547"/>
      <c r="Q68" s="548"/>
      <c r="R68" s="548"/>
      <c r="S68" s="547"/>
      <c r="T68" s="644"/>
      <c r="U68" s="547"/>
      <c r="V68" s="548"/>
      <c r="W68" s="548"/>
      <c r="X68" s="547"/>
      <c r="Y68" s="644"/>
      <c r="Z68" s="547"/>
      <c r="AA68" s="548"/>
      <c r="AB68" s="548"/>
      <c r="AC68" s="547"/>
      <c r="AD68" s="644"/>
      <c r="AE68" s="547"/>
      <c r="AF68" s="548"/>
      <c r="AG68" s="548"/>
      <c r="AH68" s="547"/>
      <c r="AI68" s="644"/>
      <c r="AJ68" s="547"/>
      <c r="AK68" s="548"/>
      <c r="AL68" s="548"/>
      <c r="AM68" s="547"/>
      <c r="AN68" s="644"/>
      <c r="AO68" s="547"/>
      <c r="AP68" s="548"/>
      <c r="AQ68" s="548"/>
      <c r="AR68" s="547"/>
      <c r="AS68" s="644"/>
      <c r="AT68" s="547"/>
      <c r="AU68" s="548"/>
      <c r="AV68" s="548"/>
      <c r="AW68" s="547"/>
      <c r="AX68" s="644"/>
      <c r="AZ68" s="368" t="e">
        <f t="shared" si="11"/>
        <v>#N/A</v>
      </c>
      <c r="BA68" s="644"/>
    </row>
    <row r="69" spans="2:53">
      <c r="B69" s="649"/>
      <c r="C69" s="283">
        <v>28</v>
      </c>
      <c r="D69" s="201"/>
      <c r="E69" s="529"/>
      <c r="F69" s="201"/>
      <c r="G69" s="199"/>
      <c r="H69" s="703"/>
      <c r="I69" s="363" t="str">
        <f t="shared" si="12"/>
        <v>-</v>
      </c>
      <c r="J69" s="363" t="str">
        <f t="shared" si="13"/>
        <v>-</v>
      </c>
      <c r="K69" s="199" t="str">
        <f t="shared" si="14"/>
        <v>-</v>
      </c>
      <c r="L69" s="659"/>
      <c r="M69" s="198" t="e">
        <f>RANK(K69, K$42:$K$71)</f>
        <v>#VALUE!</v>
      </c>
      <c r="N69" s="643"/>
      <c r="O69" s="643"/>
      <c r="P69" s="547"/>
      <c r="Q69" s="548"/>
      <c r="R69" s="548"/>
      <c r="S69" s="547"/>
      <c r="T69" s="644"/>
      <c r="U69" s="547"/>
      <c r="V69" s="548"/>
      <c r="W69" s="548"/>
      <c r="X69" s="547"/>
      <c r="Y69" s="644"/>
      <c r="Z69" s="547"/>
      <c r="AA69" s="548"/>
      <c r="AB69" s="548"/>
      <c r="AC69" s="547"/>
      <c r="AD69" s="644"/>
      <c r="AE69" s="547"/>
      <c r="AF69" s="548"/>
      <c r="AG69" s="548"/>
      <c r="AH69" s="547"/>
      <c r="AI69" s="644"/>
      <c r="AJ69" s="547"/>
      <c r="AK69" s="548"/>
      <c r="AL69" s="548"/>
      <c r="AM69" s="547"/>
      <c r="AN69" s="644"/>
      <c r="AO69" s="547"/>
      <c r="AP69" s="548"/>
      <c r="AQ69" s="548"/>
      <c r="AR69" s="547"/>
      <c r="AS69" s="644"/>
      <c r="AT69" s="547"/>
      <c r="AU69" s="548"/>
      <c r="AV69" s="548"/>
      <c r="AW69" s="547"/>
      <c r="AX69" s="644"/>
      <c r="AZ69" s="368" t="e">
        <f t="shared" si="11"/>
        <v>#N/A</v>
      </c>
      <c r="BA69" s="644"/>
    </row>
    <row r="70" spans="2:53">
      <c r="B70" s="649"/>
      <c r="C70" s="283">
        <v>29</v>
      </c>
      <c r="D70" s="201"/>
      <c r="E70" s="529"/>
      <c r="F70" s="201"/>
      <c r="G70" s="199"/>
      <c r="H70" s="703"/>
      <c r="I70" s="363" t="str">
        <f t="shared" si="12"/>
        <v>-</v>
      </c>
      <c r="J70" s="363" t="str">
        <f t="shared" si="13"/>
        <v>-</v>
      </c>
      <c r="K70" s="199" t="str">
        <f t="shared" si="14"/>
        <v>-</v>
      </c>
      <c r="L70" s="659"/>
      <c r="M70" s="198" t="e">
        <f>RANK(K70, K$42:$K$71)</f>
        <v>#VALUE!</v>
      </c>
      <c r="N70" s="643"/>
      <c r="O70" s="643"/>
      <c r="P70" s="547"/>
      <c r="Q70" s="548"/>
      <c r="R70" s="548"/>
      <c r="S70" s="547"/>
      <c r="T70" s="644"/>
      <c r="U70" s="547"/>
      <c r="V70" s="548"/>
      <c r="W70" s="548"/>
      <c r="X70" s="547"/>
      <c r="Y70" s="644"/>
      <c r="Z70" s="547"/>
      <c r="AA70" s="548"/>
      <c r="AB70" s="548"/>
      <c r="AC70" s="547"/>
      <c r="AD70" s="644"/>
      <c r="AE70" s="547"/>
      <c r="AF70" s="548"/>
      <c r="AG70" s="548"/>
      <c r="AH70" s="547"/>
      <c r="AI70" s="644"/>
      <c r="AJ70" s="547"/>
      <c r="AK70" s="548"/>
      <c r="AL70" s="548"/>
      <c r="AM70" s="547"/>
      <c r="AN70" s="644"/>
      <c r="AO70" s="547"/>
      <c r="AP70" s="548"/>
      <c r="AQ70" s="548"/>
      <c r="AR70" s="547"/>
      <c r="AS70" s="644"/>
      <c r="AT70" s="547"/>
      <c r="AU70" s="548"/>
      <c r="AV70" s="548"/>
      <c r="AW70" s="547"/>
      <c r="AX70" s="644"/>
      <c r="AZ70" s="368" t="e">
        <f t="shared" si="11"/>
        <v>#N/A</v>
      </c>
      <c r="BA70" s="644"/>
    </row>
    <row r="71" spans="2:53">
      <c r="B71" s="649"/>
      <c r="C71" s="283">
        <v>30</v>
      </c>
      <c r="D71" s="201"/>
      <c r="E71" s="529"/>
      <c r="F71" s="201"/>
      <c r="G71" s="199"/>
      <c r="H71" s="704"/>
      <c r="I71" s="363" t="str">
        <f t="shared" si="12"/>
        <v>-</v>
      </c>
      <c r="J71" s="363" t="str">
        <f t="shared" si="13"/>
        <v>-</v>
      </c>
      <c r="K71" s="199" t="str">
        <f t="shared" si="14"/>
        <v>-</v>
      </c>
      <c r="L71" s="660"/>
      <c r="M71" s="198" t="e">
        <f>RANK(K71, K$42:$K$71)</f>
        <v>#VALUE!</v>
      </c>
      <c r="N71" s="643"/>
      <c r="O71" s="643"/>
      <c r="P71" s="547"/>
      <c r="Q71" s="548"/>
      <c r="R71" s="548"/>
      <c r="S71" s="547"/>
      <c r="T71" s="644"/>
      <c r="U71" s="547"/>
      <c r="V71" s="548"/>
      <c r="W71" s="548"/>
      <c r="X71" s="547"/>
      <c r="Y71" s="644"/>
      <c r="Z71" s="547"/>
      <c r="AA71" s="548"/>
      <c r="AB71" s="548"/>
      <c r="AC71" s="547"/>
      <c r="AD71" s="644"/>
      <c r="AE71" s="547"/>
      <c r="AF71" s="548"/>
      <c r="AG71" s="548"/>
      <c r="AH71" s="547"/>
      <c r="AI71" s="644"/>
      <c r="AJ71" s="547"/>
      <c r="AK71" s="548"/>
      <c r="AL71" s="548"/>
      <c r="AM71" s="547"/>
      <c r="AN71" s="644"/>
      <c r="AO71" s="547"/>
      <c r="AP71" s="548"/>
      <c r="AQ71" s="548"/>
      <c r="AR71" s="547"/>
      <c r="AS71" s="644"/>
      <c r="AT71" s="547"/>
      <c r="AU71" s="548"/>
      <c r="AV71" s="548"/>
      <c r="AW71" s="547"/>
      <c r="AX71" s="644"/>
      <c r="AZ71" s="368" t="e">
        <f t="shared" si="11"/>
        <v>#N/A</v>
      </c>
      <c r="BA71" s="644"/>
    </row>
    <row r="72" spans="2:53" ht="15.75">
      <c r="B72" s="682" t="s">
        <v>162</v>
      </c>
      <c r="C72" s="683"/>
      <c r="D72" s="683"/>
      <c r="E72" s="683"/>
      <c r="F72" s="683"/>
      <c r="G72" s="683"/>
      <c r="H72" s="683"/>
      <c r="I72" s="207"/>
      <c r="J72" s="202"/>
      <c r="K72" s="207"/>
      <c r="L72" s="207"/>
      <c r="M72" s="203"/>
      <c r="N72" s="645" t="s">
        <v>156</v>
      </c>
      <c r="O72" s="645" t="s">
        <v>105</v>
      </c>
      <c r="P72" s="667">
        <f>P37+7</f>
        <v>46280</v>
      </c>
      <c r="Q72" s="668"/>
      <c r="R72" s="668"/>
      <c r="S72" s="668"/>
      <c r="T72" s="669"/>
      <c r="U72" s="667">
        <f>P72+1</f>
        <v>46281</v>
      </c>
      <c r="V72" s="668"/>
      <c r="W72" s="668"/>
      <c r="X72" s="668"/>
      <c r="Y72" s="669"/>
      <c r="Z72" s="667">
        <f>U72+1</f>
        <v>46282</v>
      </c>
      <c r="AA72" s="668"/>
      <c r="AB72" s="668"/>
      <c r="AC72" s="668"/>
      <c r="AD72" s="669"/>
      <c r="AE72" s="667">
        <f>Z72+1</f>
        <v>46283</v>
      </c>
      <c r="AF72" s="668"/>
      <c r="AG72" s="668"/>
      <c r="AH72" s="668"/>
      <c r="AI72" s="669"/>
      <c r="AJ72" s="667">
        <f>AE72+1</f>
        <v>46284</v>
      </c>
      <c r="AK72" s="668"/>
      <c r="AL72" s="668"/>
      <c r="AM72" s="668"/>
      <c r="AN72" s="669"/>
      <c r="AO72" s="667">
        <f>AJ72+1</f>
        <v>46285</v>
      </c>
      <c r="AP72" s="668"/>
      <c r="AQ72" s="668"/>
      <c r="AR72" s="668"/>
      <c r="AS72" s="669"/>
      <c r="AT72" s="667">
        <f>AO72+1</f>
        <v>46286</v>
      </c>
      <c r="AU72" s="668"/>
      <c r="AV72" s="668"/>
      <c r="AW72" s="668"/>
      <c r="AX72" s="669"/>
    </row>
    <row r="73" spans="2:53" ht="15.75">
      <c r="B73" s="674"/>
      <c r="C73" s="674"/>
      <c r="D73" s="674"/>
      <c r="E73" s="674"/>
      <c r="F73" s="674"/>
      <c r="G73" s="674"/>
      <c r="H73" s="674"/>
      <c r="I73" s="204"/>
      <c r="J73" s="204"/>
      <c r="K73" s="204"/>
      <c r="L73" s="204"/>
      <c r="M73" s="205"/>
      <c r="N73" s="647"/>
      <c r="O73" s="647"/>
      <c r="P73" s="667" t="s">
        <v>317</v>
      </c>
      <c r="Q73" s="668"/>
      <c r="R73" s="668"/>
      <c r="S73" s="668"/>
      <c r="T73" s="669"/>
      <c r="U73" s="667" t="s">
        <v>318</v>
      </c>
      <c r="V73" s="668"/>
      <c r="W73" s="668"/>
      <c r="X73" s="668"/>
      <c r="Y73" s="669"/>
      <c r="Z73" s="667" t="s">
        <v>319</v>
      </c>
      <c r="AA73" s="668"/>
      <c r="AB73" s="668"/>
      <c r="AC73" s="668"/>
      <c r="AD73" s="669"/>
      <c r="AE73" s="667" t="s">
        <v>320</v>
      </c>
      <c r="AF73" s="668"/>
      <c r="AG73" s="668"/>
      <c r="AH73" s="668"/>
      <c r="AI73" s="669"/>
      <c r="AJ73" s="667" t="s">
        <v>321</v>
      </c>
      <c r="AK73" s="668"/>
      <c r="AL73" s="668"/>
      <c r="AM73" s="668"/>
      <c r="AN73" s="669"/>
      <c r="AO73" s="667" t="s">
        <v>322</v>
      </c>
      <c r="AP73" s="668"/>
      <c r="AQ73" s="668"/>
      <c r="AR73" s="668"/>
      <c r="AS73" s="669"/>
      <c r="AT73" s="667" t="s">
        <v>323</v>
      </c>
      <c r="AU73" s="668"/>
      <c r="AV73" s="668"/>
      <c r="AW73" s="668"/>
      <c r="AX73" s="669"/>
    </row>
    <row r="74" spans="2:53">
      <c r="B74" s="643" t="s">
        <v>400</v>
      </c>
      <c r="C74" s="643" t="s">
        <v>401</v>
      </c>
      <c r="D74" s="643"/>
      <c r="E74" s="643" t="s">
        <v>402</v>
      </c>
      <c r="F74" s="643"/>
      <c r="G74" s="643"/>
      <c r="H74" s="675" t="s">
        <v>403</v>
      </c>
      <c r="I74" s="690" t="s">
        <v>404</v>
      </c>
      <c r="J74" s="690"/>
      <c r="K74" s="690"/>
      <c r="L74" s="691" t="s">
        <v>403</v>
      </c>
      <c r="M74" s="679" t="s">
        <v>405</v>
      </c>
      <c r="N74" s="643"/>
      <c r="O74" s="643" t="s">
        <v>406</v>
      </c>
      <c r="P74" s="661" t="s">
        <v>407</v>
      </c>
      <c r="Q74" s="662"/>
      <c r="R74" s="662"/>
      <c r="S74" s="663"/>
      <c r="T74" s="643" t="s">
        <v>403</v>
      </c>
      <c r="U74" s="661" t="s">
        <v>407</v>
      </c>
      <c r="V74" s="662"/>
      <c r="W74" s="662"/>
      <c r="X74" s="663"/>
      <c r="Y74" s="643" t="s">
        <v>403</v>
      </c>
      <c r="Z74" s="661" t="s">
        <v>407</v>
      </c>
      <c r="AA74" s="662"/>
      <c r="AB74" s="662"/>
      <c r="AC74" s="663"/>
      <c r="AD74" s="643" t="s">
        <v>403</v>
      </c>
      <c r="AE74" s="661" t="s">
        <v>407</v>
      </c>
      <c r="AF74" s="662"/>
      <c r="AG74" s="662"/>
      <c r="AH74" s="663"/>
      <c r="AI74" s="643" t="s">
        <v>403</v>
      </c>
      <c r="AJ74" s="661" t="s">
        <v>407</v>
      </c>
      <c r="AK74" s="662"/>
      <c r="AL74" s="662"/>
      <c r="AM74" s="663"/>
      <c r="AN74" s="643" t="s">
        <v>403</v>
      </c>
      <c r="AO74" s="661" t="s">
        <v>407</v>
      </c>
      <c r="AP74" s="662"/>
      <c r="AQ74" s="662"/>
      <c r="AR74" s="663"/>
      <c r="AS74" s="643" t="s">
        <v>403</v>
      </c>
      <c r="AT74" s="661" t="s">
        <v>407</v>
      </c>
      <c r="AU74" s="662"/>
      <c r="AV74" s="662"/>
      <c r="AW74" s="663"/>
      <c r="AX74" s="643" t="s">
        <v>403</v>
      </c>
      <c r="BA74" s="643" t="s">
        <v>359</v>
      </c>
    </row>
    <row r="75" spans="2:53">
      <c r="B75" s="643"/>
      <c r="C75" s="643"/>
      <c r="D75" s="643"/>
      <c r="E75" s="643" t="s">
        <v>408</v>
      </c>
      <c r="F75" s="643"/>
      <c r="G75" s="643"/>
      <c r="H75" s="676"/>
      <c r="I75" s="690" t="s">
        <v>408</v>
      </c>
      <c r="J75" s="690"/>
      <c r="K75" s="690"/>
      <c r="L75" s="692"/>
      <c r="M75" s="680"/>
      <c r="N75" s="643"/>
      <c r="O75" s="643"/>
      <c r="P75" s="661" t="s">
        <v>409</v>
      </c>
      <c r="Q75" s="662"/>
      <c r="R75" s="662"/>
      <c r="S75" s="663"/>
      <c r="T75" s="643"/>
      <c r="U75" s="661" t="s">
        <v>409</v>
      </c>
      <c r="V75" s="662"/>
      <c r="W75" s="662"/>
      <c r="X75" s="663"/>
      <c r="Y75" s="643"/>
      <c r="Z75" s="661" t="s">
        <v>409</v>
      </c>
      <c r="AA75" s="662"/>
      <c r="AB75" s="662"/>
      <c r="AC75" s="663"/>
      <c r="AD75" s="643"/>
      <c r="AE75" s="661" t="s">
        <v>409</v>
      </c>
      <c r="AF75" s="662"/>
      <c r="AG75" s="662"/>
      <c r="AH75" s="663"/>
      <c r="AI75" s="643"/>
      <c r="AJ75" s="661" t="s">
        <v>409</v>
      </c>
      <c r="AK75" s="662"/>
      <c r="AL75" s="662"/>
      <c r="AM75" s="663"/>
      <c r="AN75" s="643"/>
      <c r="AO75" s="661" t="s">
        <v>409</v>
      </c>
      <c r="AP75" s="662"/>
      <c r="AQ75" s="662"/>
      <c r="AR75" s="663"/>
      <c r="AS75" s="643"/>
      <c r="AT75" s="661" t="s">
        <v>409</v>
      </c>
      <c r="AU75" s="662"/>
      <c r="AV75" s="662"/>
      <c r="AW75" s="663"/>
      <c r="AX75" s="643"/>
      <c r="BA75" s="643"/>
    </row>
    <row r="76" spans="2:53">
      <c r="B76" s="643"/>
      <c r="C76" s="643"/>
      <c r="D76" s="643"/>
      <c r="E76" s="282" t="s">
        <v>410</v>
      </c>
      <c r="F76" s="282" t="s">
        <v>411</v>
      </c>
      <c r="G76" s="282" t="s">
        <v>412</v>
      </c>
      <c r="H76" s="677"/>
      <c r="I76" s="281" t="s">
        <v>410</v>
      </c>
      <c r="J76" s="281" t="s">
        <v>411</v>
      </c>
      <c r="K76" s="281" t="s">
        <v>412</v>
      </c>
      <c r="L76" s="693"/>
      <c r="M76" s="681"/>
      <c r="N76" s="643"/>
      <c r="O76" s="643"/>
      <c r="P76" s="282" t="s">
        <v>410</v>
      </c>
      <c r="Q76" s="282" t="s">
        <v>411</v>
      </c>
      <c r="R76" s="282" t="s">
        <v>412</v>
      </c>
      <c r="S76" s="282" t="s">
        <v>405</v>
      </c>
      <c r="T76" s="643"/>
      <c r="U76" s="282" t="s">
        <v>410</v>
      </c>
      <c r="V76" s="282" t="s">
        <v>411</v>
      </c>
      <c r="W76" s="282" t="s">
        <v>412</v>
      </c>
      <c r="X76" s="282" t="s">
        <v>405</v>
      </c>
      <c r="Y76" s="643"/>
      <c r="Z76" s="282" t="s">
        <v>410</v>
      </c>
      <c r="AA76" s="282" t="s">
        <v>411</v>
      </c>
      <c r="AB76" s="282" t="s">
        <v>412</v>
      </c>
      <c r="AC76" s="282" t="s">
        <v>405</v>
      </c>
      <c r="AD76" s="643"/>
      <c r="AE76" s="282" t="s">
        <v>410</v>
      </c>
      <c r="AF76" s="282" t="s">
        <v>411</v>
      </c>
      <c r="AG76" s="282" t="s">
        <v>412</v>
      </c>
      <c r="AH76" s="282" t="s">
        <v>405</v>
      </c>
      <c r="AI76" s="643"/>
      <c r="AJ76" s="282" t="s">
        <v>410</v>
      </c>
      <c r="AK76" s="282" t="s">
        <v>411</v>
      </c>
      <c r="AL76" s="282" t="s">
        <v>412</v>
      </c>
      <c r="AM76" s="282" t="s">
        <v>405</v>
      </c>
      <c r="AN76" s="643"/>
      <c r="AO76" s="282" t="s">
        <v>410</v>
      </c>
      <c r="AP76" s="282" t="s">
        <v>411</v>
      </c>
      <c r="AQ76" s="282" t="s">
        <v>412</v>
      </c>
      <c r="AR76" s="282" t="s">
        <v>405</v>
      </c>
      <c r="AS76" s="643"/>
      <c r="AT76" s="282" t="s">
        <v>410</v>
      </c>
      <c r="AU76" s="282" t="s">
        <v>411</v>
      </c>
      <c r="AV76" s="282" t="s">
        <v>412</v>
      </c>
      <c r="AW76" s="282" t="s">
        <v>405</v>
      </c>
      <c r="AX76" s="643"/>
      <c r="AZ76" s="367" t="s">
        <v>360</v>
      </c>
      <c r="BA76" s="643"/>
    </row>
    <row r="77" spans="2:53">
      <c r="B77" s="643" t="s">
        <v>413</v>
      </c>
      <c r="C77" s="283">
        <v>1</v>
      </c>
      <c r="D77" s="201"/>
      <c r="E77" s="529"/>
      <c r="F77" s="201"/>
      <c r="G77" s="199"/>
      <c r="H77" s="702" t="e">
        <f>AVERAGE(G77:G106)</f>
        <v>#DIV/0!</v>
      </c>
      <c r="I77" s="363" t="str">
        <f>IFERROR(AVERAGE(P77,U77,Z77,AE77,AJ77,AO77,AT77),"-")</f>
        <v>-</v>
      </c>
      <c r="J77" s="363" t="str">
        <f>IFERROR(AVERAGE(Q77,V77,AA77,AF77,AK77,AP77,AU77),"-")</f>
        <v>-</v>
      </c>
      <c r="K77" s="199" t="str">
        <f>IFERROR(AVERAGE(R77,W77,AB77,AG77,AL77,AQ77,AV77),"-")</f>
        <v>-</v>
      </c>
      <c r="L77" s="658" t="str">
        <f>IFERROR(AVERAGE(K77:K106),"-")</f>
        <v>-</v>
      </c>
      <c r="M77" s="200" t="e">
        <f>RANK(K77, K$77:$K$106)</f>
        <v>#VALUE!</v>
      </c>
      <c r="N77" s="643"/>
      <c r="O77" s="643"/>
      <c r="P77" s="549"/>
      <c r="Q77" s="553"/>
      <c r="R77" s="553"/>
      <c r="S77" s="549"/>
      <c r="T77" s="644"/>
      <c r="U77" s="549"/>
      <c r="V77" s="553"/>
      <c r="W77" s="553"/>
      <c r="X77" s="549"/>
      <c r="Y77" s="644"/>
      <c r="Z77" s="549"/>
      <c r="AA77" s="553"/>
      <c r="AB77" s="553"/>
      <c r="AC77" s="549"/>
      <c r="AD77" s="644"/>
      <c r="AE77" s="549"/>
      <c r="AF77" s="553"/>
      <c r="AG77" s="553"/>
      <c r="AH77" s="549"/>
      <c r="AI77" s="644"/>
      <c r="AJ77" s="549"/>
      <c r="AK77" s="553"/>
      <c r="AL77" s="553"/>
      <c r="AM77" s="549"/>
      <c r="AN77" s="644"/>
      <c r="AO77" s="549"/>
      <c r="AP77" s="553"/>
      <c r="AQ77" s="553"/>
      <c r="AR77" s="549"/>
      <c r="AS77" s="644"/>
      <c r="AT77" s="549"/>
      <c r="AU77" s="553"/>
      <c r="AV77" s="553"/>
      <c r="AW77" s="549"/>
      <c r="AX77" s="644"/>
      <c r="AZ77" s="368" t="e">
        <f>RANK(AY77, AY$77:AY$106)</f>
        <v>#N/A</v>
      </c>
      <c r="BA77" s="644" t="e">
        <f>AVERAGE(AY77:AY106)</f>
        <v>#DIV/0!</v>
      </c>
    </row>
    <row r="78" spans="2:53">
      <c r="B78" s="649"/>
      <c r="C78" s="283">
        <v>2</v>
      </c>
      <c r="D78" s="201"/>
      <c r="E78" s="529"/>
      <c r="F78" s="201"/>
      <c r="G78" s="199"/>
      <c r="H78" s="703"/>
      <c r="I78" s="363" t="str">
        <f t="shared" ref="I78:I106" si="15">IFERROR(AVERAGE(P78,U78,Z78,AE78,AJ78,AO78,AT78),"-")</f>
        <v>-</v>
      </c>
      <c r="J78" s="363" t="str">
        <f t="shared" ref="J78:J106" si="16">IFERROR(AVERAGE(Q78,V78,AA78,AF78,AK78,AP78,AU78),"-")</f>
        <v>-</v>
      </c>
      <c r="K78" s="199" t="str">
        <f t="shared" ref="K78:K106" si="17">IFERROR(AVERAGE(R78,W78,AB78,AG78,AL78,AQ78,AV78),"-")</f>
        <v>-</v>
      </c>
      <c r="L78" s="659"/>
      <c r="M78" s="200" t="e">
        <f>RANK(K78, K$77:$K$106)</f>
        <v>#VALUE!</v>
      </c>
      <c r="N78" s="643"/>
      <c r="O78" s="643"/>
      <c r="P78" s="549"/>
      <c r="Q78" s="553"/>
      <c r="R78" s="553"/>
      <c r="S78" s="549"/>
      <c r="T78" s="644"/>
      <c r="U78" s="549"/>
      <c r="V78" s="553"/>
      <c r="W78" s="553"/>
      <c r="X78" s="549"/>
      <c r="Y78" s="644"/>
      <c r="Z78" s="549"/>
      <c r="AA78" s="553"/>
      <c r="AB78" s="553"/>
      <c r="AC78" s="549"/>
      <c r="AD78" s="644"/>
      <c r="AE78" s="549"/>
      <c r="AF78" s="553"/>
      <c r="AG78" s="553"/>
      <c r="AH78" s="549"/>
      <c r="AI78" s="644"/>
      <c r="AJ78" s="549"/>
      <c r="AK78" s="553"/>
      <c r="AL78" s="553"/>
      <c r="AM78" s="549"/>
      <c r="AN78" s="644"/>
      <c r="AO78" s="549"/>
      <c r="AP78" s="553"/>
      <c r="AQ78" s="553"/>
      <c r="AR78" s="549"/>
      <c r="AS78" s="644"/>
      <c r="AT78" s="549"/>
      <c r="AU78" s="553"/>
      <c r="AV78" s="553"/>
      <c r="AW78" s="549"/>
      <c r="AX78" s="644"/>
      <c r="AZ78" s="368" t="e">
        <f t="shared" ref="AZ78:AZ106" si="18">RANK(AY78, AY$77:AY$106)</f>
        <v>#N/A</v>
      </c>
      <c r="BA78" s="644"/>
    </row>
    <row r="79" spans="2:53">
      <c r="B79" s="649"/>
      <c r="C79" s="283">
        <v>3</v>
      </c>
      <c r="D79" s="201"/>
      <c r="E79" s="529"/>
      <c r="F79" s="201"/>
      <c r="G79" s="199"/>
      <c r="H79" s="703"/>
      <c r="I79" s="363" t="str">
        <f t="shared" si="15"/>
        <v>-</v>
      </c>
      <c r="J79" s="363" t="str">
        <f t="shared" si="16"/>
        <v>-</v>
      </c>
      <c r="K79" s="199" t="str">
        <f t="shared" si="17"/>
        <v>-</v>
      </c>
      <c r="L79" s="659"/>
      <c r="M79" s="200" t="e">
        <f>RANK(K79, K$77:$K$106)</f>
        <v>#VALUE!</v>
      </c>
      <c r="N79" s="643"/>
      <c r="O79" s="643"/>
      <c r="P79" s="549"/>
      <c r="Q79" s="553"/>
      <c r="R79" s="553"/>
      <c r="S79" s="549"/>
      <c r="T79" s="644"/>
      <c r="U79" s="549"/>
      <c r="V79" s="553"/>
      <c r="W79" s="553"/>
      <c r="X79" s="549"/>
      <c r="Y79" s="644"/>
      <c r="Z79" s="549"/>
      <c r="AA79" s="553"/>
      <c r="AB79" s="553"/>
      <c r="AC79" s="549"/>
      <c r="AD79" s="644"/>
      <c r="AE79" s="549"/>
      <c r="AF79" s="553"/>
      <c r="AG79" s="553"/>
      <c r="AH79" s="549"/>
      <c r="AI79" s="644"/>
      <c r="AJ79" s="549"/>
      <c r="AK79" s="553"/>
      <c r="AL79" s="553"/>
      <c r="AM79" s="549"/>
      <c r="AN79" s="644"/>
      <c r="AO79" s="549"/>
      <c r="AP79" s="553"/>
      <c r="AQ79" s="553"/>
      <c r="AR79" s="549"/>
      <c r="AS79" s="644"/>
      <c r="AT79" s="549"/>
      <c r="AU79" s="553"/>
      <c r="AV79" s="553"/>
      <c r="AW79" s="549"/>
      <c r="AX79" s="644"/>
      <c r="AZ79" s="368" t="e">
        <f t="shared" si="18"/>
        <v>#N/A</v>
      </c>
      <c r="BA79" s="644"/>
    </row>
    <row r="80" spans="2:53">
      <c r="B80" s="649"/>
      <c r="C80" s="283">
        <v>4</v>
      </c>
      <c r="D80" s="201"/>
      <c r="E80" s="529"/>
      <c r="F80" s="201"/>
      <c r="G80" s="199"/>
      <c r="H80" s="703"/>
      <c r="I80" s="363" t="str">
        <f t="shared" si="15"/>
        <v>-</v>
      </c>
      <c r="J80" s="363" t="str">
        <f t="shared" si="16"/>
        <v>-</v>
      </c>
      <c r="K80" s="199" t="str">
        <f t="shared" si="17"/>
        <v>-</v>
      </c>
      <c r="L80" s="659"/>
      <c r="M80" s="200" t="e">
        <f>RANK(K80, K$77:$K$106)</f>
        <v>#VALUE!</v>
      </c>
      <c r="N80" s="643"/>
      <c r="O80" s="643"/>
      <c r="P80" s="549"/>
      <c r="Q80" s="553"/>
      <c r="R80" s="553"/>
      <c r="S80" s="549"/>
      <c r="T80" s="644"/>
      <c r="U80" s="549"/>
      <c r="V80" s="553"/>
      <c r="W80" s="553"/>
      <c r="X80" s="549"/>
      <c r="Y80" s="644"/>
      <c r="Z80" s="549"/>
      <c r="AA80" s="553"/>
      <c r="AB80" s="553"/>
      <c r="AC80" s="549"/>
      <c r="AD80" s="644"/>
      <c r="AE80" s="549"/>
      <c r="AF80" s="553"/>
      <c r="AG80" s="553"/>
      <c r="AH80" s="549"/>
      <c r="AI80" s="644"/>
      <c r="AJ80" s="549"/>
      <c r="AK80" s="553"/>
      <c r="AL80" s="553"/>
      <c r="AM80" s="549"/>
      <c r="AN80" s="644"/>
      <c r="AO80" s="549"/>
      <c r="AP80" s="553"/>
      <c r="AQ80" s="553"/>
      <c r="AR80" s="549"/>
      <c r="AS80" s="644"/>
      <c r="AT80" s="549"/>
      <c r="AU80" s="553"/>
      <c r="AV80" s="553"/>
      <c r="AW80" s="549"/>
      <c r="AX80" s="644"/>
      <c r="AZ80" s="368" t="e">
        <f t="shared" si="18"/>
        <v>#N/A</v>
      </c>
      <c r="BA80" s="644"/>
    </row>
    <row r="81" spans="2:53">
      <c r="B81" s="649"/>
      <c r="C81" s="283">
        <v>5</v>
      </c>
      <c r="D81" s="201"/>
      <c r="E81" s="529"/>
      <c r="F81" s="201"/>
      <c r="G81" s="199"/>
      <c r="H81" s="703"/>
      <c r="I81" s="363" t="str">
        <f t="shared" si="15"/>
        <v>-</v>
      </c>
      <c r="J81" s="363" t="str">
        <f t="shared" si="16"/>
        <v>-</v>
      </c>
      <c r="K81" s="199" t="str">
        <f t="shared" si="17"/>
        <v>-</v>
      </c>
      <c r="L81" s="659"/>
      <c r="M81" s="200" t="e">
        <f>RANK(K81, K$77:$K$106)</f>
        <v>#VALUE!</v>
      </c>
      <c r="N81" s="643"/>
      <c r="O81" s="643"/>
      <c r="P81" s="549"/>
      <c r="Q81" s="553"/>
      <c r="R81" s="553"/>
      <c r="S81" s="549"/>
      <c r="T81" s="644"/>
      <c r="U81" s="549"/>
      <c r="V81" s="553"/>
      <c r="W81" s="553"/>
      <c r="X81" s="549"/>
      <c r="Y81" s="644"/>
      <c r="Z81" s="549"/>
      <c r="AA81" s="553"/>
      <c r="AB81" s="553"/>
      <c r="AC81" s="549"/>
      <c r="AD81" s="644"/>
      <c r="AE81" s="549"/>
      <c r="AF81" s="553"/>
      <c r="AG81" s="553"/>
      <c r="AH81" s="549"/>
      <c r="AI81" s="644"/>
      <c r="AJ81" s="549"/>
      <c r="AK81" s="553"/>
      <c r="AL81" s="553"/>
      <c r="AM81" s="549"/>
      <c r="AN81" s="644"/>
      <c r="AO81" s="549"/>
      <c r="AP81" s="553"/>
      <c r="AQ81" s="553"/>
      <c r="AR81" s="549"/>
      <c r="AS81" s="644"/>
      <c r="AT81" s="549"/>
      <c r="AU81" s="553"/>
      <c r="AV81" s="553"/>
      <c r="AW81" s="549"/>
      <c r="AX81" s="644"/>
      <c r="AZ81" s="368" t="e">
        <f t="shared" si="18"/>
        <v>#N/A</v>
      </c>
      <c r="BA81" s="644"/>
    </row>
    <row r="82" spans="2:53">
      <c r="B82" s="649"/>
      <c r="C82" s="283">
        <v>6</v>
      </c>
      <c r="D82" s="201"/>
      <c r="E82" s="529"/>
      <c r="F82" s="201"/>
      <c r="G82" s="199"/>
      <c r="H82" s="703"/>
      <c r="I82" s="363" t="str">
        <f t="shared" si="15"/>
        <v>-</v>
      </c>
      <c r="J82" s="363" t="str">
        <f t="shared" si="16"/>
        <v>-</v>
      </c>
      <c r="K82" s="199" t="str">
        <f t="shared" si="17"/>
        <v>-</v>
      </c>
      <c r="L82" s="659"/>
      <c r="M82" s="200" t="e">
        <f>RANK(K82, K$77:$K$106)</f>
        <v>#VALUE!</v>
      </c>
      <c r="N82" s="643"/>
      <c r="O82" s="643"/>
      <c r="P82" s="549"/>
      <c r="Q82" s="553"/>
      <c r="R82" s="553"/>
      <c r="S82" s="549"/>
      <c r="T82" s="644"/>
      <c r="U82" s="549"/>
      <c r="V82" s="553"/>
      <c r="W82" s="553"/>
      <c r="X82" s="549"/>
      <c r="Y82" s="644"/>
      <c r="Z82" s="549"/>
      <c r="AA82" s="553"/>
      <c r="AB82" s="553"/>
      <c r="AC82" s="549"/>
      <c r="AD82" s="644"/>
      <c r="AE82" s="549"/>
      <c r="AF82" s="553"/>
      <c r="AG82" s="553"/>
      <c r="AH82" s="549"/>
      <c r="AI82" s="644"/>
      <c r="AJ82" s="549"/>
      <c r="AK82" s="553"/>
      <c r="AL82" s="553"/>
      <c r="AM82" s="549"/>
      <c r="AN82" s="644"/>
      <c r="AO82" s="549"/>
      <c r="AP82" s="553"/>
      <c r="AQ82" s="553"/>
      <c r="AR82" s="549"/>
      <c r="AS82" s="644"/>
      <c r="AT82" s="549"/>
      <c r="AU82" s="553"/>
      <c r="AV82" s="553"/>
      <c r="AW82" s="549"/>
      <c r="AX82" s="644"/>
      <c r="AZ82" s="368" t="e">
        <f t="shared" si="18"/>
        <v>#N/A</v>
      </c>
      <c r="BA82" s="644"/>
    </row>
    <row r="83" spans="2:53">
      <c r="B83" s="649"/>
      <c r="C83" s="283">
        <v>7</v>
      </c>
      <c r="D83" s="201"/>
      <c r="E83" s="529"/>
      <c r="F83" s="201"/>
      <c r="G83" s="199"/>
      <c r="H83" s="703"/>
      <c r="I83" s="363" t="str">
        <f t="shared" si="15"/>
        <v>-</v>
      </c>
      <c r="J83" s="363" t="str">
        <f t="shared" si="16"/>
        <v>-</v>
      </c>
      <c r="K83" s="199" t="str">
        <f t="shared" si="17"/>
        <v>-</v>
      </c>
      <c r="L83" s="659"/>
      <c r="M83" s="200" t="e">
        <f>RANK(K83, K$77:$K$106)</f>
        <v>#VALUE!</v>
      </c>
      <c r="N83" s="643"/>
      <c r="O83" s="643"/>
      <c r="P83" s="549"/>
      <c r="Q83" s="553"/>
      <c r="R83" s="553"/>
      <c r="S83" s="549"/>
      <c r="T83" s="644"/>
      <c r="U83" s="549"/>
      <c r="V83" s="553"/>
      <c r="W83" s="553"/>
      <c r="X83" s="549"/>
      <c r="Y83" s="644"/>
      <c r="Z83" s="549"/>
      <c r="AA83" s="553"/>
      <c r="AB83" s="553"/>
      <c r="AC83" s="549"/>
      <c r="AD83" s="644"/>
      <c r="AE83" s="549"/>
      <c r="AF83" s="553"/>
      <c r="AG83" s="553"/>
      <c r="AH83" s="549"/>
      <c r="AI83" s="644"/>
      <c r="AJ83" s="549"/>
      <c r="AK83" s="553"/>
      <c r="AL83" s="553"/>
      <c r="AM83" s="549"/>
      <c r="AN83" s="644"/>
      <c r="AO83" s="549"/>
      <c r="AP83" s="553"/>
      <c r="AQ83" s="553"/>
      <c r="AR83" s="549"/>
      <c r="AS83" s="644"/>
      <c r="AT83" s="549"/>
      <c r="AU83" s="553"/>
      <c r="AV83" s="553"/>
      <c r="AW83" s="549"/>
      <c r="AX83" s="644"/>
      <c r="AZ83" s="368" t="e">
        <f t="shared" si="18"/>
        <v>#N/A</v>
      </c>
      <c r="BA83" s="644"/>
    </row>
    <row r="84" spans="2:53">
      <c r="B84" s="649"/>
      <c r="C84" s="283">
        <v>8</v>
      </c>
      <c r="D84" s="201"/>
      <c r="E84" s="529"/>
      <c r="F84" s="201"/>
      <c r="G84" s="199"/>
      <c r="H84" s="703"/>
      <c r="I84" s="363" t="str">
        <f t="shared" si="15"/>
        <v>-</v>
      </c>
      <c r="J84" s="363" t="str">
        <f t="shared" si="16"/>
        <v>-</v>
      </c>
      <c r="K84" s="199" t="str">
        <f t="shared" si="17"/>
        <v>-</v>
      </c>
      <c r="L84" s="659"/>
      <c r="M84" s="200" t="e">
        <f>RANK(K84, K$77:$K$106)</f>
        <v>#VALUE!</v>
      </c>
      <c r="N84" s="643"/>
      <c r="O84" s="643"/>
      <c r="P84" s="549"/>
      <c r="Q84" s="553"/>
      <c r="R84" s="553"/>
      <c r="S84" s="549"/>
      <c r="T84" s="644"/>
      <c r="U84" s="549"/>
      <c r="V84" s="553"/>
      <c r="W84" s="553"/>
      <c r="X84" s="549"/>
      <c r="Y84" s="644"/>
      <c r="Z84" s="549"/>
      <c r="AA84" s="553"/>
      <c r="AB84" s="553"/>
      <c r="AC84" s="549"/>
      <c r="AD84" s="644"/>
      <c r="AE84" s="549"/>
      <c r="AF84" s="553"/>
      <c r="AG84" s="553"/>
      <c r="AH84" s="549"/>
      <c r="AI84" s="644"/>
      <c r="AJ84" s="549"/>
      <c r="AK84" s="553"/>
      <c r="AL84" s="553"/>
      <c r="AM84" s="549"/>
      <c r="AN84" s="644"/>
      <c r="AO84" s="549"/>
      <c r="AP84" s="553"/>
      <c r="AQ84" s="553"/>
      <c r="AR84" s="549"/>
      <c r="AS84" s="644"/>
      <c r="AT84" s="549"/>
      <c r="AU84" s="553"/>
      <c r="AV84" s="553"/>
      <c r="AW84" s="549"/>
      <c r="AX84" s="644"/>
      <c r="AZ84" s="368" t="e">
        <f t="shared" si="18"/>
        <v>#N/A</v>
      </c>
      <c r="BA84" s="644"/>
    </row>
    <row r="85" spans="2:53">
      <c r="B85" s="649"/>
      <c r="C85" s="283">
        <v>9</v>
      </c>
      <c r="D85" s="201"/>
      <c r="E85" s="529"/>
      <c r="F85" s="201"/>
      <c r="G85" s="199"/>
      <c r="H85" s="703"/>
      <c r="I85" s="363" t="str">
        <f t="shared" si="15"/>
        <v>-</v>
      </c>
      <c r="J85" s="363" t="str">
        <f t="shared" si="16"/>
        <v>-</v>
      </c>
      <c r="K85" s="199" t="str">
        <f t="shared" si="17"/>
        <v>-</v>
      </c>
      <c r="L85" s="659"/>
      <c r="M85" s="200" t="e">
        <f>RANK(K85, K$77:$K$106)</f>
        <v>#VALUE!</v>
      </c>
      <c r="N85" s="643"/>
      <c r="O85" s="643"/>
      <c r="P85" s="549"/>
      <c r="Q85" s="553"/>
      <c r="R85" s="553"/>
      <c r="S85" s="549"/>
      <c r="T85" s="644"/>
      <c r="U85" s="549"/>
      <c r="V85" s="553"/>
      <c r="W85" s="553"/>
      <c r="X85" s="549"/>
      <c r="Y85" s="644"/>
      <c r="Z85" s="549"/>
      <c r="AA85" s="553"/>
      <c r="AB85" s="553"/>
      <c r="AC85" s="549"/>
      <c r="AD85" s="644"/>
      <c r="AE85" s="549"/>
      <c r="AF85" s="553"/>
      <c r="AG85" s="553"/>
      <c r="AH85" s="549"/>
      <c r="AI85" s="644"/>
      <c r="AJ85" s="549"/>
      <c r="AK85" s="553"/>
      <c r="AL85" s="553"/>
      <c r="AM85" s="549"/>
      <c r="AN85" s="644"/>
      <c r="AO85" s="549"/>
      <c r="AP85" s="553"/>
      <c r="AQ85" s="553"/>
      <c r="AR85" s="549"/>
      <c r="AS85" s="644"/>
      <c r="AT85" s="549"/>
      <c r="AU85" s="553"/>
      <c r="AV85" s="553"/>
      <c r="AW85" s="549"/>
      <c r="AX85" s="644"/>
      <c r="AZ85" s="368" t="e">
        <f t="shared" si="18"/>
        <v>#N/A</v>
      </c>
      <c r="BA85" s="644"/>
    </row>
    <row r="86" spans="2:53">
      <c r="B86" s="649"/>
      <c r="C86" s="283">
        <v>10</v>
      </c>
      <c r="D86" s="201"/>
      <c r="E86" s="529"/>
      <c r="F86" s="201"/>
      <c r="G86" s="199"/>
      <c r="H86" s="703"/>
      <c r="I86" s="363" t="str">
        <f t="shared" si="15"/>
        <v>-</v>
      </c>
      <c r="J86" s="363" t="str">
        <f t="shared" si="16"/>
        <v>-</v>
      </c>
      <c r="K86" s="199" t="str">
        <f t="shared" si="17"/>
        <v>-</v>
      </c>
      <c r="L86" s="659"/>
      <c r="M86" s="200" t="e">
        <f>RANK(K86, K$77:$K$106)</f>
        <v>#VALUE!</v>
      </c>
      <c r="N86" s="643"/>
      <c r="O86" s="643"/>
      <c r="P86" s="549"/>
      <c r="Q86" s="553"/>
      <c r="R86" s="553"/>
      <c r="S86" s="549"/>
      <c r="T86" s="644"/>
      <c r="U86" s="549"/>
      <c r="V86" s="553"/>
      <c r="W86" s="553"/>
      <c r="X86" s="549"/>
      <c r="Y86" s="644"/>
      <c r="Z86" s="549"/>
      <c r="AA86" s="553"/>
      <c r="AB86" s="553"/>
      <c r="AC86" s="549"/>
      <c r="AD86" s="644"/>
      <c r="AE86" s="549"/>
      <c r="AF86" s="553"/>
      <c r="AG86" s="553"/>
      <c r="AH86" s="549"/>
      <c r="AI86" s="644"/>
      <c r="AJ86" s="549"/>
      <c r="AK86" s="553"/>
      <c r="AL86" s="553"/>
      <c r="AM86" s="549"/>
      <c r="AN86" s="644"/>
      <c r="AO86" s="549"/>
      <c r="AP86" s="553"/>
      <c r="AQ86" s="553"/>
      <c r="AR86" s="549"/>
      <c r="AS86" s="644"/>
      <c r="AT86" s="549"/>
      <c r="AU86" s="553"/>
      <c r="AV86" s="553"/>
      <c r="AW86" s="549"/>
      <c r="AX86" s="644"/>
      <c r="AZ86" s="368" t="e">
        <f t="shared" si="18"/>
        <v>#N/A</v>
      </c>
      <c r="BA86" s="644"/>
    </row>
    <row r="87" spans="2:53">
      <c r="B87" s="649"/>
      <c r="C87" s="283">
        <v>11</v>
      </c>
      <c r="D87" s="201"/>
      <c r="E87" s="529"/>
      <c r="F87" s="201"/>
      <c r="G87" s="199"/>
      <c r="H87" s="703"/>
      <c r="I87" s="363" t="str">
        <f t="shared" si="15"/>
        <v>-</v>
      </c>
      <c r="J87" s="363" t="str">
        <f t="shared" si="16"/>
        <v>-</v>
      </c>
      <c r="K87" s="199" t="str">
        <f t="shared" si="17"/>
        <v>-</v>
      </c>
      <c r="L87" s="659"/>
      <c r="M87" s="200" t="e">
        <f>RANK(K87, K$77:$K$106)</f>
        <v>#VALUE!</v>
      </c>
      <c r="N87" s="643"/>
      <c r="O87" s="643"/>
      <c r="P87" s="549"/>
      <c r="Q87" s="553"/>
      <c r="R87" s="553"/>
      <c r="S87" s="549"/>
      <c r="T87" s="644"/>
      <c r="U87" s="549"/>
      <c r="V87" s="553"/>
      <c r="W87" s="553"/>
      <c r="X87" s="549"/>
      <c r="Y87" s="644"/>
      <c r="Z87" s="549"/>
      <c r="AA87" s="553"/>
      <c r="AB87" s="553"/>
      <c r="AC87" s="549"/>
      <c r="AD87" s="644"/>
      <c r="AE87" s="549"/>
      <c r="AF87" s="553"/>
      <c r="AG87" s="553"/>
      <c r="AH87" s="549"/>
      <c r="AI87" s="644"/>
      <c r="AJ87" s="549"/>
      <c r="AK87" s="553"/>
      <c r="AL87" s="553"/>
      <c r="AM87" s="549"/>
      <c r="AN87" s="644"/>
      <c r="AO87" s="549"/>
      <c r="AP87" s="553"/>
      <c r="AQ87" s="553"/>
      <c r="AR87" s="549"/>
      <c r="AS87" s="644"/>
      <c r="AT87" s="549"/>
      <c r="AU87" s="553"/>
      <c r="AV87" s="553"/>
      <c r="AW87" s="549"/>
      <c r="AX87" s="644"/>
      <c r="AZ87" s="368" t="e">
        <f t="shared" si="18"/>
        <v>#N/A</v>
      </c>
      <c r="BA87" s="644"/>
    </row>
    <row r="88" spans="2:53">
      <c r="B88" s="649"/>
      <c r="C88" s="283">
        <v>12</v>
      </c>
      <c r="D88" s="201"/>
      <c r="E88" s="529"/>
      <c r="F88" s="201"/>
      <c r="G88" s="199"/>
      <c r="H88" s="703"/>
      <c r="I88" s="363" t="str">
        <f t="shared" si="15"/>
        <v>-</v>
      </c>
      <c r="J88" s="363" t="str">
        <f t="shared" si="16"/>
        <v>-</v>
      </c>
      <c r="K88" s="199" t="str">
        <f t="shared" si="17"/>
        <v>-</v>
      </c>
      <c r="L88" s="659"/>
      <c r="M88" s="200" t="e">
        <f>RANK(K88, K$77:$K$106)</f>
        <v>#VALUE!</v>
      </c>
      <c r="N88" s="643"/>
      <c r="O88" s="643"/>
      <c r="P88" s="549"/>
      <c r="Q88" s="553"/>
      <c r="R88" s="553"/>
      <c r="S88" s="549"/>
      <c r="T88" s="644"/>
      <c r="U88" s="549"/>
      <c r="V88" s="553"/>
      <c r="W88" s="553"/>
      <c r="X88" s="549"/>
      <c r="Y88" s="644"/>
      <c r="Z88" s="549"/>
      <c r="AA88" s="553"/>
      <c r="AB88" s="553"/>
      <c r="AC88" s="549"/>
      <c r="AD88" s="644"/>
      <c r="AE88" s="549"/>
      <c r="AF88" s="553"/>
      <c r="AG88" s="553"/>
      <c r="AH88" s="549"/>
      <c r="AI88" s="644"/>
      <c r="AJ88" s="549"/>
      <c r="AK88" s="553"/>
      <c r="AL88" s="553"/>
      <c r="AM88" s="549"/>
      <c r="AN88" s="644"/>
      <c r="AO88" s="549"/>
      <c r="AP88" s="553"/>
      <c r="AQ88" s="553"/>
      <c r="AR88" s="549"/>
      <c r="AS88" s="644"/>
      <c r="AT88" s="549"/>
      <c r="AU88" s="553"/>
      <c r="AV88" s="553"/>
      <c r="AW88" s="549"/>
      <c r="AX88" s="644"/>
      <c r="AZ88" s="368" t="e">
        <f t="shared" si="18"/>
        <v>#N/A</v>
      </c>
      <c r="BA88" s="644"/>
    </row>
    <row r="89" spans="2:53">
      <c r="B89" s="649"/>
      <c r="C89" s="283">
        <v>13</v>
      </c>
      <c r="D89" s="201"/>
      <c r="E89" s="529"/>
      <c r="F89" s="201"/>
      <c r="G89" s="199"/>
      <c r="H89" s="703"/>
      <c r="I89" s="363" t="str">
        <f t="shared" si="15"/>
        <v>-</v>
      </c>
      <c r="J89" s="363" t="str">
        <f t="shared" si="16"/>
        <v>-</v>
      </c>
      <c r="K89" s="199" t="str">
        <f t="shared" si="17"/>
        <v>-</v>
      </c>
      <c r="L89" s="659"/>
      <c r="M89" s="200" t="e">
        <f>RANK(K89, K$77:$K$106)</f>
        <v>#VALUE!</v>
      </c>
      <c r="N89" s="643"/>
      <c r="O89" s="643"/>
      <c r="P89" s="549"/>
      <c r="Q89" s="553"/>
      <c r="R89" s="553"/>
      <c r="S89" s="549"/>
      <c r="T89" s="644"/>
      <c r="U89" s="549"/>
      <c r="V89" s="553"/>
      <c r="W89" s="553"/>
      <c r="X89" s="549"/>
      <c r="Y89" s="644"/>
      <c r="Z89" s="549"/>
      <c r="AA89" s="553"/>
      <c r="AB89" s="553"/>
      <c r="AC89" s="549"/>
      <c r="AD89" s="644"/>
      <c r="AE89" s="549"/>
      <c r="AF89" s="553"/>
      <c r="AG89" s="553"/>
      <c r="AH89" s="549"/>
      <c r="AI89" s="644"/>
      <c r="AJ89" s="549"/>
      <c r="AK89" s="553"/>
      <c r="AL89" s="553"/>
      <c r="AM89" s="549"/>
      <c r="AN89" s="644"/>
      <c r="AO89" s="549"/>
      <c r="AP89" s="553"/>
      <c r="AQ89" s="553"/>
      <c r="AR89" s="549"/>
      <c r="AS89" s="644"/>
      <c r="AT89" s="549"/>
      <c r="AU89" s="553"/>
      <c r="AV89" s="553"/>
      <c r="AW89" s="549"/>
      <c r="AX89" s="644"/>
      <c r="AZ89" s="368" t="e">
        <f t="shared" si="18"/>
        <v>#N/A</v>
      </c>
      <c r="BA89" s="644"/>
    </row>
    <row r="90" spans="2:53">
      <c r="B90" s="649"/>
      <c r="C90" s="283">
        <v>14</v>
      </c>
      <c r="D90" s="201"/>
      <c r="E90" s="529"/>
      <c r="F90" s="201"/>
      <c r="G90" s="199"/>
      <c r="H90" s="703"/>
      <c r="I90" s="363" t="str">
        <f t="shared" si="15"/>
        <v>-</v>
      </c>
      <c r="J90" s="363" t="str">
        <f t="shared" si="16"/>
        <v>-</v>
      </c>
      <c r="K90" s="199" t="str">
        <f t="shared" si="17"/>
        <v>-</v>
      </c>
      <c r="L90" s="659"/>
      <c r="M90" s="200" t="e">
        <f>RANK(K90, K$77:$K$106)</f>
        <v>#VALUE!</v>
      </c>
      <c r="N90" s="643"/>
      <c r="O90" s="643"/>
      <c r="P90" s="549"/>
      <c r="Q90" s="553"/>
      <c r="R90" s="553"/>
      <c r="S90" s="549"/>
      <c r="T90" s="644"/>
      <c r="U90" s="549"/>
      <c r="V90" s="553"/>
      <c r="W90" s="553"/>
      <c r="X90" s="549"/>
      <c r="Y90" s="644"/>
      <c r="Z90" s="549"/>
      <c r="AA90" s="553"/>
      <c r="AB90" s="553"/>
      <c r="AC90" s="549"/>
      <c r="AD90" s="644"/>
      <c r="AE90" s="549"/>
      <c r="AF90" s="553"/>
      <c r="AG90" s="553"/>
      <c r="AH90" s="549"/>
      <c r="AI90" s="644"/>
      <c r="AJ90" s="549"/>
      <c r="AK90" s="553"/>
      <c r="AL90" s="553"/>
      <c r="AM90" s="549"/>
      <c r="AN90" s="644"/>
      <c r="AO90" s="549"/>
      <c r="AP90" s="553"/>
      <c r="AQ90" s="553"/>
      <c r="AR90" s="549"/>
      <c r="AS90" s="644"/>
      <c r="AT90" s="549"/>
      <c r="AU90" s="553"/>
      <c r="AV90" s="553"/>
      <c r="AW90" s="549"/>
      <c r="AX90" s="644"/>
      <c r="AZ90" s="368" t="e">
        <f t="shared" si="18"/>
        <v>#N/A</v>
      </c>
      <c r="BA90" s="644"/>
    </row>
    <row r="91" spans="2:53">
      <c r="B91" s="649"/>
      <c r="C91" s="283">
        <v>15</v>
      </c>
      <c r="D91" s="201"/>
      <c r="E91" s="529"/>
      <c r="F91" s="201"/>
      <c r="G91" s="199"/>
      <c r="H91" s="703"/>
      <c r="I91" s="363" t="str">
        <f t="shared" si="15"/>
        <v>-</v>
      </c>
      <c r="J91" s="363" t="str">
        <f t="shared" si="16"/>
        <v>-</v>
      </c>
      <c r="K91" s="199" t="str">
        <f t="shared" si="17"/>
        <v>-</v>
      </c>
      <c r="L91" s="659"/>
      <c r="M91" s="200" t="e">
        <f>RANK(K91, K$77:$K$106)</f>
        <v>#VALUE!</v>
      </c>
      <c r="N91" s="643"/>
      <c r="O91" s="643"/>
      <c r="P91" s="549"/>
      <c r="Q91" s="553"/>
      <c r="R91" s="553"/>
      <c r="S91" s="549"/>
      <c r="T91" s="644"/>
      <c r="U91" s="549"/>
      <c r="V91" s="553"/>
      <c r="W91" s="553"/>
      <c r="X91" s="549"/>
      <c r="Y91" s="644"/>
      <c r="Z91" s="549"/>
      <c r="AA91" s="553"/>
      <c r="AB91" s="553"/>
      <c r="AC91" s="549"/>
      <c r="AD91" s="644"/>
      <c r="AE91" s="549"/>
      <c r="AF91" s="553"/>
      <c r="AG91" s="553"/>
      <c r="AH91" s="549"/>
      <c r="AI91" s="644"/>
      <c r="AJ91" s="549"/>
      <c r="AK91" s="553"/>
      <c r="AL91" s="553"/>
      <c r="AM91" s="549"/>
      <c r="AN91" s="644"/>
      <c r="AO91" s="549"/>
      <c r="AP91" s="553"/>
      <c r="AQ91" s="553"/>
      <c r="AR91" s="549"/>
      <c r="AS91" s="644"/>
      <c r="AT91" s="549"/>
      <c r="AU91" s="553"/>
      <c r="AV91" s="553"/>
      <c r="AW91" s="549"/>
      <c r="AX91" s="644"/>
      <c r="AZ91" s="368" t="e">
        <f t="shared" si="18"/>
        <v>#N/A</v>
      </c>
      <c r="BA91" s="644"/>
    </row>
    <row r="92" spans="2:53">
      <c r="B92" s="649"/>
      <c r="C92" s="283">
        <v>16</v>
      </c>
      <c r="D92" s="201"/>
      <c r="E92" s="529"/>
      <c r="F92" s="201"/>
      <c r="G92" s="199"/>
      <c r="H92" s="703"/>
      <c r="I92" s="363" t="str">
        <f t="shared" si="15"/>
        <v>-</v>
      </c>
      <c r="J92" s="363" t="str">
        <f t="shared" si="16"/>
        <v>-</v>
      </c>
      <c r="K92" s="199" t="str">
        <f t="shared" si="17"/>
        <v>-</v>
      </c>
      <c r="L92" s="659"/>
      <c r="M92" s="200" t="e">
        <f>RANK(K92, K$77:$K$106)</f>
        <v>#VALUE!</v>
      </c>
      <c r="N92" s="643"/>
      <c r="O92" s="643"/>
      <c r="P92" s="549"/>
      <c r="Q92" s="553"/>
      <c r="R92" s="553"/>
      <c r="S92" s="549"/>
      <c r="T92" s="644"/>
      <c r="U92" s="549"/>
      <c r="V92" s="553"/>
      <c r="W92" s="553"/>
      <c r="X92" s="549"/>
      <c r="Y92" s="644"/>
      <c r="Z92" s="549"/>
      <c r="AA92" s="553"/>
      <c r="AB92" s="553"/>
      <c r="AC92" s="549"/>
      <c r="AD92" s="644"/>
      <c r="AE92" s="549"/>
      <c r="AF92" s="553"/>
      <c r="AG92" s="553"/>
      <c r="AH92" s="549"/>
      <c r="AI92" s="644"/>
      <c r="AJ92" s="549"/>
      <c r="AK92" s="553"/>
      <c r="AL92" s="553"/>
      <c r="AM92" s="549"/>
      <c r="AN92" s="644"/>
      <c r="AO92" s="549"/>
      <c r="AP92" s="553"/>
      <c r="AQ92" s="553"/>
      <c r="AR92" s="549"/>
      <c r="AS92" s="644"/>
      <c r="AT92" s="549"/>
      <c r="AU92" s="553"/>
      <c r="AV92" s="553"/>
      <c r="AW92" s="549"/>
      <c r="AX92" s="644"/>
      <c r="AZ92" s="368" t="e">
        <f t="shared" si="18"/>
        <v>#N/A</v>
      </c>
      <c r="BA92" s="644"/>
    </row>
    <row r="93" spans="2:53">
      <c r="B93" s="649"/>
      <c r="C93" s="283">
        <v>17</v>
      </c>
      <c r="D93" s="201"/>
      <c r="E93" s="529"/>
      <c r="F93" s="201"/>
      <c r="G93" s="199"/>
      <c r="H93" s="703"/>
      <c r="I93" s="363" t="str">
        <f t="shared" si="15"/>
        <v>-</v>
      </c>
      <c r="J93" s="363" t="str">
        <f t="shared" si="16"/>
        <v>-</v>
      </c>
      <c r="K93" s="199" t="str">
        <f t="shared" si="17"/>
        <v>-</v>
      </c>
      <c r="L93" s="659"/>
      <c r="M93" s="200" t="e">
        <f>RANK(K93, K$77:$K$106)</f>
        <v>#VALUE!</v>
      </c>
      <c r="N93" s="643"/>
      <c r="O93" s="643"/>
      <c r="P93" s="549"/>
      <c r="Q93" s="553"/>
      <c r="R93" s="553"/>
      <c r="S93" s="549"/>
      <c r="T93" s="644"/>
      <c r="U93" s="549"/>
      <c r="V93" s="553"/>
      <c r="W93" s="553"/>
      <c r="X93" s="549"/>
      <c r="Y93" s="644"/>
      <c r="Z93" s="549"/>
      <c r="AA93" s="553"/>
      <c r="AB93" s="553"/>
      <c r="AC93" s="549"/>
      <c r="AD93" s="644"/>
      <c r="AE93" s="549"/>
      <c r="AF93" s="553"/>
      <c r="AG93" s="553"/>
      <c r="AH93" s="549"/>
      <c r="AI93" s="644"/>
      <c r="AJ93" s="549"/>
      <c r="AK93" s="553"/>
      <c r="AL93" s="553"/>
      <c r="AM93" s="549"/>
      <c r="AN93" s="644"/>
      <c r="AO93" s="549"/>
      <c r="AP93" s="553"/>
      <c r="AQ93" s="553"/>
      <c r="AR93" s="549"/>
      <c r="AS93" s="644"/>
      <c r="AT93" s="549"/>
      <c r="AU93" s="553"/>
      <c r="AV93" s="553"/>
      <c r="AW93" s="549"/>
      <c r="AX93" s="644"/>
      <c r="AZ93" s="368" t="e">
        <f t="shared" si="18"/>
        <v>#N/A</v>
      </c>
      <c r="BA93" s="644"/>
    </row>
    <row r="94" spans="2:53">
      <c r="B94" s="649"/>
      <c r="C94" s="283">
        <v>18</v>
      </c>
      <c r="D94" s="201"/>
      <c r="E94" s="529"/>
      <c r="F94" s="201"/>
      <c r="G94" s="199"/>
      <c r="H94" s="703"/>
      <c r="I94" s="363" t="str">
        <f t="shared" si="15"/>
        <v>-</v>
      </c>
      <c r="J94" s="363" t="str">
        <f t="shared" si="16"/>
        <v>-</v>
      </c>
      <c r="K94" s="199" t="str">
        <f t="shared" si="17"/>
        <v>-</v>
      </c>
      <c r="L94" s="659"/>
      <c r="M94" s="200" t="e">
        <f>RANK(K94, K$77:$K$106)</f>
        <v>#VALUE!</v>
      </c>
      <c r="N94" s="643"/>
      <c r="O94" s="643"/>
      <c r="P94" s="549"/>
      <c r="Q94" s="553"/>
      <c r="R94" s="553"/>
      <c r="S94" s="549"/>
      <c r="T94" s="644"/>
      <c r="U94" s="549"/>
      <c r="V94" s="553"/>
      <c r="W94" s="553"/>
      <c r="X94" s="549"/>
      <c r="Y94" s="644"/>
      <c r="Z94" s="549"/>
      <c r="AA94" s="553"/>
      <c r="AB94" s="553"/>
      <c r="AC94" s="549"/>
      <c r="AD94" s="644"/>
      <c r="AE94" s="549"/>
      <c r="AF94" s="553"/>
      <c r="AG94" s="553"/>
      <c r="AH94" s="549"/>
      <c r="AI94" s="644"/>
      <c r="AJ94" s="549"/>
      <c r="AK94" s="553"/>
      <c r="AL94" s="553"/>
      <c r="AM94" s="549"/>
      <c r="AN94" s="644"/>
      <c r="AO94" s="549"/>
      <c r="AP94" s="553"/>
      <c r="AQ94" s="553"/>
      <c r="AR94" s="549"/>
      <c r="AS94" s="644"/>
      <c r="AT94" s="549"/>
      <c r="AU94" s="553"/>
      <c r="AV94" s="553"/>
      <c r="AW94" s="549"/>
      <c r="AX94" s="644"/>
      <c r="AZ94" s="368" t="e">
        <f t="shared" si="18"/>
        <v>#N/A</v>
      </c>
      <c r="BA94" s="644"/>
    </row>
    <row r="95" spans="2:53">
      <c r="B95" s="649"/>
      <c r="C95" s="283">
        <v>19</v>
      </c>
      <c r="D95" s="201"/>
      <c r="E95" s="529"/>
      <c r="F95" s="201"/>
      <c r="G95" s="199"/>
      <c r="H95" s="703"/>
      <c r="I95" s="363" t="str">
        <f t="shared" si="15"/>
        <v>-</v>
      </c>
      <c r="J95" s="363" t="str">
        <f t="shared" si="16"/>
        <v>-</v>
      </c>
      <c r="K95" s="199" t="str">
        <f t="shared" si="17"/>
        <v>-</v>
      </c>
      <c r="L95" s="659"/>
      <c r="M95" s="200" t="e">
        <f>RANK(K95, K$77:$K$106)</f>
        <v>#VALUE!</v>
      </c>
      <c r="N95" s="643"/>
      <c r="O95" s="643"/>
      <c r="P95" s="549"/>
      <c r="Q95" s="553"/>
      <c r="R95" s="553"/>
      <c r="S95" s="549"/>
      <c r="T95" s="644"/>
      <c r="U95" s="549"/>
      <c r="V95" s="553"/>
      <c r="W95" s="553"/>
      <c r="X95" s="549"/>
      <c r="Y95" s="644"/>
      <c r="Z95" s="549"/>
      <c r="AA95" s="553"/>
      <c r="AB95" s="553"/>
      <c r="AC95" s="549"/>
      <c r="AD95" s="644"/>
      <c r="AE95" s="549"/>
      <c r="AF95" s="553"/>
      <c r="AG95" s="553"/>
      <c r="AH95" s="549"/>
      <c r="AI95" s="644"/>
      <c r="AJ95" s="549"/>
      <c r="AK95" s="553"/>
      <c r="AL95" s="553"/>
      <c r="AM95" s="549"/>
      <c r="AN95" s="644"/>
      <c r="AO95" s="549"/>
      <c r="AP95" s="553"/>
      <c r="AQ95" s="553"/>
      <c r="AR95" s="549"/>
      <c r="AS95" s="644"/>
      <c r="AT95" s="549"/>
      <c r="AU95" s="553"/>
      <c r="AV95" s="553"/>
      <c r="AW95" s="549"/>
      <c r="AX95" s="644"/>
      <c r="AZ95" s="368" t="e">
        <f t="shared" si="18"/>
        <v>#N/A</v>
      </c>
      <c r="BA95" s="644"/>
    </row>
    <row r="96" spans="2:53">
      <c r="B96" s="649"/>
      <c r="C96" s="283">
        <v>20</v>
      </c>
      <c r="D96" s="201"/>
      <c r="E96" s="529"/>
      <c r="F96" s="201"/>
      <c r="G96" s="199"/>
      <c r="H96" s="703"/>
      <c r="I96" s="363" t="str">
        <f t="shared" si="15"/>
        <v>-</v>
      </c>
      <c r="J96" s="363" t="str">
        <f t="shared" si="16"/>
        <v>-</v>
      </c>
      <c r="K96" s="199" t="str">
        <f t="shared" si="17"/>
        <v>-</v>
      </c>
      <c r="L96" s="659"/>
      <c r="M96" s="200" t="e">
        <f>RANK(K96, K$77:$K$106)</f>
        <v>#VALUE!</v>
      </c>
      <c r="N96" s="643"/>
      <c r="O96" s="643"/>
      <c r="P96" s="549"/>
      <c r="Q96" s="553"/>
      <c r="R96" s="553"/>
      <c r="S96" s="549"/>
      <c r="T96" s="644"/>
      <c r="U96" s="549"/>
      <c r="V96" s="553"/>
      <c r="W96" s="553"/>
      <c r="X96" s="549"/>
      <c r="Y96" s="644"/>
      <c r="Z96" s="549"/>
      <c r="AA96" s="553"/>
      <c r="AB96" s="553"/>
      <c r="AC96" s="549"/>
      <c r="AD96" s="644"/>
      <c r="AE96" s="549"/>
      <c r="AF96" s="553"/>
      <c r="AG96" s="553"/>
      <c r="AH96" s="549"/>
      <c r="AI96" s="644"/>
      <c r="AJ96" s="549"/>
      <c r="AK96" s="553"/>
      <c r="AL96" s="553"/>
      <c r="AM96" s="549"/>
      <c r="AN96" s="644"/>
      <c r="AO96" s="549"/>
      <c r="AP96" s="553"/>
      <c r="AQ96" s="553"/>
      <c r="AR96" s="549"/>
      <c r="AS96" s="644"/>
      <c r="AT96" s="549"/>
      <c r="AU96" s="553"/>
      <c r="AV96" s="553"/>
      <c r="AW96" s="549"/>
      <c r="AX96" s="644"/>
      <c r="AZ96" s="368" t="e">
        <f t="shared" si="18"/>
        <v>#N/A</v>
      </c>
      <c r="BA96" s="644"/>
    </row>
    <row r="97" spans="2:53">
      <c r="B97" s="649"/>
      <c r="C97" s="283">
        <v>21</v>
      </c>
      <c r="D97" s="201"/>
      <c r="E97" s="529"/>
      <c r="F97" s="201"/>
      <c r="G97" s="199"/>
      <c r="H97" s="703"/>
      <c r="I97" s="363" t="str">
        <f t="shared" si="15"/>
        <v>-</v>
      </c>
      <c r="J97" s="363" t="str">
        <f t="shared" si="16"/>
        <v>-</v>
      </c>
      <c r="K97" s="199" t="str">
        <f t="shared" si="17"/>
        <v>-</v>
      </c>
      <c r="L97" s="659"/>
      <c r="M97" s="200" t="e">
        <f>RANK(K97, K$77:$K$106)</f>
        <v>#VALUE!</v>
      </c>
      <c r="N97" s="643"/>
      <c r="O97" s="643"/>
      <c r="P97" s="549"/>
      <c r="Q97" s="553"/>
      <c r="R97" s="553"/>
      <c r="S97" s="549"/>
      <c r="T97" s="644"/>
      <c r="U97" s="549"/>
      <c r="V97" s="553"/>
      <c r="W97" s="553"/>
      <c r="X97" s="549"/>
      <c r="Y97" s="644"/>
      <c r="Z97" s="549"/>
      <c r="AA97" s="553"/>
      <c r="AB97" s="553"/>
      <c r="AC97" s="549"/>
      <c r="AD97" s="644"/>
      <c r="AE97" s="549"/>
      <c r="AF97" s="553"/>
      <c r="AG97" s="553"/>
      <c r="AH97" s="549"/>
      <c r="AI97" s="644"/>
      <c r="AJ97" s="549"/>
      <c r="AK97" s="553"/>
      <c r="AL97" s="553"/>
      <c r="AM97" s="549"/>
      <c r="AN97" s="644"/>
      <c r="AO97" s="549"/>
      <c r="AP97" s="553"/>
      <c r="AQ97" s="553"/>
      <c r="AR97" s="549"/>
      <c r="AS97" s="644"/>
      <c r="AT97" s="549"/>
      <c r="AU97" s="553"/>
      <c r="AV97" s="553"/>
      <c r="AW97" s="549"/>
      <c r="AX97" s="644"/>
      <c r="AZ97" s="368" t="e">
        <f t="shared" si="18"/>
        <v>#N/A</v>
      </c>
      <c r="BA97" s="644"/>
    </row>
    <row r="98" spans="2:53">
      <c r="B98" s="649"/>
      <c r="C98" s="283">
        <v>22</v>
      </c>
      <c r="D98" s="201"/>
      <c r="E98" s="529"/>
      <c r="F98" s="201"/>
      <c r="G98" s="199"/>
      <c r="H98" s="703"/>
      <c r="I98" s="363" t="str">
        <f t="shared" si="15"/>
        <v>-</v>
      </c>
      <c r="J98" s="363" t="str">
        <f t="shared" si="16"/>
        <v>-</v>
      </c>
      <c r="K98" s="199" t="str">
        <f t="shared" si="17"/>
        <v>-</v>
      </c>
      <c r="L98" s="659"/>
      <c r="M98" s="200" t="e">
        <f>RANK(K98, K$77:$K$106)</f>
        <v>#VALUE!</v>
      </c>
      <c r="N98" s="643"/>
      <c r="O98" s="643"/>
      <c r="P98" s="549"/>
      <c r="Q98" s="553"/>
      <c r="R98" s="553"/>
      <c r="S98" s="549"/>
      <c r="T98" s="644"/>
      <c r="U98" s="549"/>
      <c r="V98" s="553"/>
      <c r="W98" s="553"/>
      <c r="X98" s="549"/>
      <c r="Y98" s="644"/>
      <c r="Z98" s="549"/>
      <c r="AA98" s="553"/>
      <c r="AB98" s="553"/>
      <c r="AC98" s="549"/>
      <c r="AD98" s="644"/>
      <c r="AE98" s="549"/>
      <c r="AF98" s="553"/>
      <c r="AG98" s="553"/>
      <c r="AH98" s="549"/>
      <c r="AI98" s="644"/>
      <c r="AJ98" s="549"/>
      <c r="AK98" s="553"/>
      <c r="AL98" s="553"/>
      <c r="AM98" s="549"/>
      <c r="AN98" s="644"/>
      <c r="AO98" s="549"/>
      <c r="AP98" s="553"/>
      <c r="AQ98" s="553"/>
      <c r="AR98" s="549"/>
      <c r="AS98" s="644"/>
      <c r="AT98" s="549"/>
      <c r="AU98" s="553"/>
      <c r="AV98" s="553"/>
      <c r="AW98" s="549"/>
      <c r="AX98" s="644"/>
      <c r="AZ98" s="368" t="e">
        <f t="shared" si="18"/>
        <v>#N/A</v>
      </c>
      <c r="BA98" s="644"/>
    </row>
    <row r="99" spans="2:53">
      <c r="B99" s="649"/>
      <c r="C99" s="283">
        <v>23</v>
      </c>
      <c r="D99" s="201"/>
      <c r="E99" s="529"/>
      <c r="F99" s="201"/>
      <c r="G99" s="199"/>
      <c r="H99" s="703"/>
      <c r="I99" s="363" t="str">
        <f t="shared" si="15"/>
        <v>-</v>
      </c>
      <c r="J99" s="363" t="str">
        <f t="shared" si="16"/>
        <v>-</v>
      </c>
      <c r="K99" s="199" t="str">
        <f t="shared" si="17"/>
        <v>-</v>
      </c>
      <c r="L99" s="659"/>
      <c r="M99" s="200" t="e">
        <f>RANK(K99, K$77:$K$106)</f>
        <v>#VALUE!</v>
      </c>
      <c r="N99" s="643"/>
      <c r="O99" s="643"/>
      <c r="P99" s="549"/>
      <c r="Q99" s="553"/>
      <c r="R99" s="553"/>
      <c r="S99" s="549"/>
      <c r="T99" s="644"/>
      <c r="U99" s="549"/>
      <c r="V99" s="553"/>
      <c r="W99" s="553"/>
      <c r="X99" s="549"/>
      <c r="Y99" s="644"/>
      <c r="Z99" s="549"/>
      <c r="AA99" s="553"/>
      <c r="AB99" s="553"/>
      <c r="AC99" s="549"/>
      <c r="AD99" s="644"/>
      <c r="AE99" s="549"/>
      <c r="AF99" s="553"/>
      <c r="AG99" s="553"/>
      <c r="AH99" s="549"/>
      <c r="AI99" s="644"/>
      <c r="AJ99" s="549"/>
      <c r="AK99" s="553"/>
      <c r="AL99" s="553"/>
      <c r="AM99" s="549"/>
      <c r="AN99" s="644"/>
      <c r="AO99" s="549"/>
      <c r="AP99" s="553"/>
      <c r="AQ99" s="553"/>
      <c r="AR99" s="549"/>
      <c r="AS99" s="644"/>
      <c r="AT99" s="549"/>
      <c r="AU99" s="553"/>
      <c r="AV99" s="553"/>
      <c r="AW99" s="549"/>
      <c r="AX99" s="644"/>
      <c r="AZ99" s="368" t="e">
        <f t="shared" si="18"/>
        <v>#N/A</v>
      </c>
      <c r="BA99" s="644"/>
    </row>
    <row r="100" spans="2:53">
      <c r="B100" s="649"/>
      <c r="C100" s="283">
        <v>24</v>
      </c>
      <c r="D100" s="201"/>
      <c r="E100" s="529"/>
      <c r="F100" s="201"/>
      <c r="G100" s="199"/>
      <c r="H100" s="703"/>
      <c r="I100" s="363" t="str">
        <f t="shared" si="15"/>
        <v>-</v>
      </c>
      <c r="J100" s="363" t="str">
        <f t="shared" si="16"/>
        <v>-</v>
      </c>
      <c r="K100" s="199" t="str">
        <f t="shared" si="17"/>
        <v>-</v>
      </c>
      <c r="L100" s="659"/>
      <c r="M100" s="200" t="e">
        <f>RANK(K100, K$77:$K$106)</f>
        <v>#VALUE!</v>
      </c>
      <c r="N100" s="643"/>
      <c r="O100" s="643"/>
      <c r="P100" s="549"/>
      <c r="Q100" s="553"/>
      <c r="R100" s="553"/>
      <c r="S100" s="549"/>
      <c r="T100" s="644"/>
      <c r="U100" s="549"/>
      <c r="V100" s="553"/>
      <c r="W100" s="553"/>
      <c r="X100" s="549"/>
      <c r="Y100" s="644"/>
      <c r="Z100" s="549"/>
      <c r="AA100" s="553"/>
      <c r="AB100" s="553"/>
      <c r="AC100" s="549"/>
      <c r="AD100" s="644"/>
      <c r="AE100" s="549"/>
      <c r="AF100" s="553"/>
      <c r="AG100" s="553"/>
      <c r="AH100" s="549"/>
      <c r="AI100" s="644"/>
      <c r="AJ100" s="549"/>
      <c r="AK100" s="553"/>
      <c r="AL100" s="553"/>
      <c r="AM100" s="549"/>
      <c r="AN100" s="644"/>
      <c r="AO100" s="549"/>
      <c r="AP100" s="553"/>
      <c r="AQ100" s="553"/>
      <c r="AR100" s="549"/>
      <c r="AS100" s="644"/>
      <c r="AT100" s="549"/>
      <c r="AU100" s="553"/>
      <c r="AV100" s="553"/>
      <c r="AW100" s="549"/>
      <c r="AX100" s="644"/>
      <c r="AZ100" s="368" t="e">
        <f t="shared" si="18"/>
        <v>#N/A</v>
      </c>
      <c r="BA100" s="644"/>
    </row>
    <row r="101" spans="2:53">
      <c r="B101" s="649"/>
      <c r="C101" s="283">
        <v>25</v>
      </c>
      <c r="D101" s="201"/>
      <c r="E101" s="529"/>
      <c r="F101" s="201"/>
      <c r="G101" s="199"/>
      <c r="H101" s="703"/>
      <c r="I101" s="363" t="str">
        <f t="shared" si="15"/>
        <v>-</v>
      </c>
      <c r="J101" s="363" t="str">
        <f t="shared" si="16"/>
        <v>-</v>
      </c>
      <c r="K101" s="199" t="str">
        <f t="shared" si="17"/>
        <v>-</v>
      </c>
      <c r="L101" s="659"/>
      <c r="M101" s="200" t="e">
        <f>RANK(K101, K$77:$K$106)</f>
        <v>#VALUE!</v>
      </c>
      <c r="N101" s="643"/>
      <c r="O101" s="643"/>
      <c r="P101" s="549"/>
      <c r="Q101" s="553"/>
      <c r="R101" s="553"/>
      <c r="S101" s="549"/>
      <c r="T101" s="644"/>
      <c r="U101" s="549"/>
      <c r="V101" s="553"/>
      <c r="W101" s="553"/>
      <c r="X101" s="549"/>
      <c r="Y101" s="644"/>
      <c r="Z101" s="549"/>
      <c r="AA101" s="553"/>
      <c r="AB101" s="553"/>
      <c r="AC101" s="549"/>
      <c r="AD101" s="644"/>
      <c r="AE101" s="549"/>
      <c r="AF101" s="553"/>
      <c r="AG101" s="553"/>
      <c r="AH101" s="549"/>
      <c r="AI101" s="644"/>
      <c r="AJ101" s="549"/>
      <c r="AK101" s="553"/>
      <c r="AL101" s="553"/>
      <c r="AM101" s="549"/>
      <c r="AN101" s="644"/>
      <c r="AO101" s="549"/>
      <c r="AP101" s="553"/>
      <c r="AQ101" s="553"/>
      <c r="AR101" s="549"/>
      <c r="AS101" s="644"/>
      <c r="AT101" s="549"/>
      <c r="AU101" s="553"/>
      <c r="AV101" s="553"/>
      <c r="AW101" s="549"/>
      <c r="AX101" s="644"/>
      <c r="AZ101" s="368" t="e">
        <f t="shared" si="18"/>
        <v>#N/A</v>
      </c>
      <c r="BA101" s="644"/>
    </row>
    <row r="102" spans="2:53">
      <c r="B102" s="649"/>
      <c r="C102" s="283">
        <v>26</v>
      </c>
      <c r="D102" s="201"/>
      <c r="E102" s="529"/>
      <c r="F102" s="201"/>
      <c r="G102" s="199"/>
      <c r="H102" s="703"/>
      <c r="I102" s="363" t="str">
        <f t="shared" si="15"/>
        <v>-</v>
      </c>
      <c r="J102" s="363" t="str">
        <f t="shared" si="16"/>
        <v>-</v>
      </c>
      <c r="K102" s="199" t="str">
        <f t="shared" si="17"/>
        <v>-</v>
      </c>
      <c r="L102" s="659"/>
      <c r="M102" s="200" t="e">
        <f>RANK(K102, K$77:$K$106)</f>
        <v>#VALUE!</v>
      </c>
      <c r="N102" s="643"/>
      <c r="O102" s="643"/>
      <c r="P102" s="549"/>
      <c r="Q102" s="553"/>
      <c r="R102" s="553"/>
      <c r="S102" s="549"/>
      <c r="T102" s="644"/>
      <c r="U102" s="549"/>
      <c r="V102" s="553"/>
      <c r="W102" s="553"/>
      <c r="X102" s="549"/>
      <c r="Y102" s="644"/>
      <c r="Z102" s="549"/>
      <c r="AA102" s="553"/>
      <c r="AB102" s="553"/>
      <c r="AC102" s="549"/>
      <c r="AD102" s="644"/>
      <c r="AE102" s="549"/>
      <c r="AF102" s="553"/>
      <c r="AG102" s="553"/>
      <c r="AH102" s="549"/>
      <c r="AI102" s="644"/>
      <c r="AJ102" s="549"/>
      <c r="AK102" s="553"/>
      <c r="AL102" s="553"/>
      <c r="AM102" s="549"/>
      <c r="AN102" s="644"/>
      <c r="AO102" s="549"/>
      <c r="AP102" s="553"/>
      <c r="AQ102" s="553"/>
      <c r="AR102" s="549"/>
      <c r="AS102" s="644"/>
      <c r="AT102" s="549"/>
      <c r="AU102" s="553"/>
      <c r="AV102" s="553"/>
      <c r="AW102" s="549"/>
      <c r="AX102" s="644"/>
      <c r="AZ102" s="368" t="e">
        <f t="shared" si="18"/>
        <v>#N/A</v>
      </c>
      <c r="BA102" s="644"/>
    </row>
    <row r="103" spans="2:53">
      <c r="B103" s="649"/>
      <c r="C103" s="283">
        <v>27</v>
      </c>
      <c r="D103" s="201"/>
      <c r="E103" s="529"/>
      <c r="F103" s="201"/>
      <c r="G103" s="199"/>
      <c r="H103" s="703"/>
      <c r="I103" s="363" t="str">
        <f t="shared" si="15"/>
        <v>-</v>
      </c>
      <c r="J103" s="363" t="str">
        <f t="shared" si="16"/>
        <v>-</v>
      </c>
      <c r="K103" s="199" t="str">
        <f t="shared" si="17"/>
        <v>-</v>
      </c>
      <c r="L103" s="659"/>
      <c r="M103" s="200" t="e">
        <f>RANK(K103, K$77:$K$106)</f>
        <v>#VALUE!</v>
      </c>
      <c r="N103" s="643"/>
      <c r="O103" s="643"/>
      <c r="P103" s="549"/>
      <c r="Q103" s="553"/>
      <c r="R103" s="553"/>
      <c r="S103" s="549"/>
      <c r="T103" s="644"/>
      <c r="U103" s="549"/>
      <c r="V103" s="553"/>
      <c r="W103" s="553"/>
      <c r="X103" s="549"/>
      <c r="Y103" s="644"/>
      <c r="Z103" s="549"/>
      <c r="AA103" s="553"/>
      <c r="AB103" s="553"/>
      <c r="AC103" s="549"/>
      <c r="AD103" s="644"/>
      <c r="AE103" s="549"/>
      <c r="AF103" s="553"/>
      <c r="AG103" s="553"/>
      <c r="AH103" s="549"/>
      <c r="AI103" s="644"/>
      <c r="AJ103" s="549"/>
      <c r="AK103" s="553"/>
      <c r="AL103" s="553"/>
      <c r="AM103" s="549"/>
      <c r="AN103" s="644"/>
      <c r="AO103" s="549"/>
      <c r="AP103" s="553"/>
      <c r="AQ103" s="553"/>
      <c r="AR103" s="549"/>
      <c r="AS103" s="644"/>
      <c r="AT103" s="549"/>
      <c r="AU103" s="553"/>
      <c r="AV103" s="553"/>
      <c r="AW103" s="549"/>
      <c r="AX103" s="644"/>
      <c r="AZ103" s="368" t="e">
        <f t="shared" si="18"/>
        <v>#N/A</v>
      </c>
      <c r="BA103" s="644"/>
    </row>
    <row r="104" spans="2:53">
      <c r="B104" s="649"/>
      <c r="C104" s="283">
        <v>28</v>
      </c>
      <c r="D104" s="201"/>
      <c r="E104" s="529"/>
      <c r="F104" s="201"/>
      <c r="G104" s="199"/>
      <c r="H104" s="703"/>
      <c r="I104" s="363" t="str">
        <f t="shared" si="15"/>
        <v>-</v>
      </c>
      <c r="J104" s="363" t="str">
        <f t="shared" si="16"/>
        <v>-</v>
      </c>
      <c r="K104" s="199" t="str">
        <f t="shared" si="17"/>
        <v>-</v>
      </c>
      <c r="L104" s="659"/>
      <c r="M104" s="200" t="e">
        <f>RANK(K104, K$77:$K$106)</f>
        <v>#VALUE!</v>
      </c>
      <c r="N104" s="643"/>
      <c r="O104" s="643"/>
      <c r="P104" s="549"/>
      <c r="Q104" s="553"/>
      <c r="R104" s="553"/>
      <c r="S104" s="549"/>
      <c r="T104" s="644"/>
      <c r="U104" s="549"/>
      <c r="V104" s="553"/>
      <c r="W104" s="553"/>
      <c r="X104" s="549"/>
      <c r="Y104" s="644"/>
      <c r="Z104" s="549"/>
      <c r="AA104" s="553"/>
      <c r="AB104" s="553"/>
      <c r="AC104" s="549"/>
      <c r="AD104" s="644"/>
      <c r="AE104" s="549"/>
      <c r="AF104" s="553"/>
      <c r="AG104" s="553"/>
      <c r="AH104" s="549"/>
      <c r="AI104" s="644"/>
      <c r="AJ104" s="549"/>
      <c r="AK104" s="553"/>
      <c r="AL104" s="553"/>
      <c r="AM104" s="549"/>
      <c r="AN104" s="644"/>
      <c r="AO104" s="549"/>
      <c r="AP104" s="553"/>
      <c r="AQ104" s="553"/>
      <c r="AR104" s="549"/>
      <c r="AS104" s="644"/>
      <c r="AT104" s="549"/>
      <c r="AU104" s="553"/>
      <c r="AV104" s="553"/>
      <c r="AW104" s="549"/>
      <c r="AX104" s="644"/>
      <c r="AZ104" s="368" t="e">
        <f t="shared" si="18"/>
        <v>#N/A</v>
      </c>
      <c r="BA104" s="644"/>
    </row>
    <row r="105" spans="2:53">
      <c r="B105" s="649"/>
      <c r="C105" s="283">
        <v>29</v>
      </c>
      <c r="D105" s="201"/>
      <c r="E105" s="529"/>
      <c r="F105" s="201"/>
      <c r="G105" s="199"/>
      <c r="H105" s="703"/>
      <c r="I105" s="363" t="str">
        <f t="shared" si="15"/>
        <v>-</v>
      </c>
      <c r="J105" s="363" t="str">
        <f t="shared" si="16"/>
        <v>-</v>
      </c>
      <c r="K105" s="199" t="str">
        <f t="shared" si="17"/>
        <v>-</v>
      </c>
      <c r="L105" s="659"/>
      <c r="M105" s="200" t="e">
        <f>RANK(K105, K$77:$K$106)</f>
        <v>#VALUE!</v>
      </c>
      <c r="N105" s="643"/>
      <c r="O105" s="643"/>
      <c r="P105" s="549"/>
      <c r="Q105" s="553"/>
      <c r="R105" s="553"/>
      <c r="S105" s="549"/>
      <c r="T105" s="644"/>
      <c r="U105" s="549"/>
      <c r="V105" s="553"/>
      <c r="W105" s="553"/>
      <c r="X105" s="549"/>
      <c r="Y105" s="644"/>
      <c r="Z105" s="549"/>
      <c r="AA105" s="553"/>
      <c r="AB105" s="553"/>
      <c r="AC105" s="549"/>
      <c r="AD105" s="644"/>
      <c r="AE105" s="549"/>
      <c r="AF105" s="553"/>
      <c r="AG105" s="553"/>
      <c r="AH105" s="549"/>
      <c r="AI105" s="644"/>
      <c r="AJ105" s="549"/>
      <c r="AK105" s="553"/>
      <c r="AL105" s="553"/>
      <c r="AM105" s="549"/>
      <c r="AN105" s="644"/>
      <c r="AO105" s="549"/>
      <c r="AP105" s="553"/>
      <c r="AQ105" s="553"/>
      <c r="AR105" s="549"/>
      <c r="AS105" s="644"/>
      <c r="AT105" s="549"/>
      <c r="AU105" s="553"/>
      <c r="AV105" s="553"/>
      <c r="AW105" s="549"/>
      <c r="AX105" s="644"/>
      <c r="AZ105" s="368" t="e">
        <f t="shared" si="18"/>
        <v>#N/A</v>
      </c>
      <c r="BA105" s="644"/>
    </row>
    <row r="106" spans="2:53">
      <c r="B106" s="649"/>
      <c r="C106" s="283">
        <v>30</v>
      </c>
      <c r="D106" s="201"/>
      <c r="E106" s="529"/>
      <c r="F106" s="201"/>
      <c r="G106" s="199"/>
      <c r="H106" s="704"/>
      <c r="I106" s="363" t="str">
        <f t="shared" si="15"/>
        <v>-</v>
      </c>
      <c r="J106" s="363" t="str">
        <f t="shared" si="16"/>
        <v>-</v>
      </c>
      <c r="K106" s="199" t="str">
        <f t="shared" si="17"/>
        <v>-</v>
      </c>
      <c r="L106" s="660"/>
      <c r="M106" s="200" t="e">
        <f>RANK(K106, K$77:$K$106)</f>
        <v>#VALUE!</v>
      </c>
      <c r="N106" s="643"/>
      <c r="O106" s="643"/>
      <c r="P106" s="549"/>
      <c r="Q106" s="553"/>
      <c r="R106" s="553"/>
      <c r="S106" s="549"/>
      <c r="T106" s="644"/>
      <c r="U106" s="549"/>
      <c r="V106" s="553"/>
      <c r="W106" s="553"/>
      <c r="X106" s="549"/>
      <c r="Y106" s="644"/>
      <c r="Z106" s="549"/>
      <c r="AA106" s="553"/>
      <c r="AB106" s="553"/>
      <c r="AC106" s="549"/>
      <c r="AD106" s="644"/>
      <c r="AE106" s="549"/>
      <c r="AF106" s="553"/>
      <c r="AG106" s="553"/>
      <c r="AH106" s="549"/>
      <c r="AI106" s="644"/>
      <c r="AJ106" s="549"/>
      <c r="AK106" s="553"/>
      <c r="AL106" s="553"/>
      <c r="AM106" s="549"/>
      <c r="AN106" s="644"/>
      <c r="AO106" s="549"/>
      <c r="AP106" s="553"/>
      <c r="AQ106" s="553"/>
      <c r="AR106" s="549"/>
      <c r="AS106" s="644"/>
      <c r="AT106" s="549"/>
      <c r="AU106" s="553"/>
      <c r="AV106" s="553"/>
      <c r="AW106" s="549"/>
      <c r="AX106" s="644"/>
      <c r="AZ106" s="368" t="e">
        <f t="shared" si="18"/>
        <v>#N/A</v>
      </c>
      <c r="BA106" s="644"/>
    </row>
    <row r="107" spans="2:53" ht="15.75">
      <c r="B107" s="671" t="s">
        <v>162</v>
      </c>
      <c r="C107" s="672"/>
      <c r="D107" s="672"/>
      <c r="E107" s="672"/>
      <c r="F107" s="672"/>
      <c r="G107" s="672"/>
      <c r="H107" s="673"/>
      <c r="I107" s="207"/>
      <c r="J107" s="207"/>
      <c r="K107" s="207"/>
      <c r="L107" s="207"/>
      <c r="M107" s="206"/>
      <c r="N107" s="645" t="s">
        <v>156</v>
      </c>
      <c r="O107" s="645" t="s">
        <v>105</v>
      </c>
      <c r="P107" s="667">
        <f>P72+7</f>
        <v>46287</v>
      </c>
      <c r="Q107" s="668"/>
      <c r="R107" s="668"/>
      <c r="S107" s="668"/>
      <c r="T107" s="669"/>
      <c r="U107" s="667">
        <f>P107+1</f>
        <v>46288</v>
      </c>
      <c r="V107" s="668"/>
      <c r="W107" s="668"/>
      <c r="X107" s="668"/>
      <c r="Y107" s="669"/>
      <c r="Z107" s="667">
        <f>U107+1</f>
        <v>46289</v>
      </c>
      <c r="AA107" s="668"/>
      <c r="AB107" s="668"/>
      <c r="AC107" s="668"/>
      <c r="AD107" s="669"/>
      <c r="AE107" s="667">
        <f>Z107+1</f>
        <v>46290</v>
      </c>
      <c r="AF107" s="668"/>
      <c r="AG107" s="668"/>
      <c r="AH107" s="668"/>
      <c r="AI107" s="669"/>
      <c r="AJ107" s="667">
        <f>AE107+1</f>
        <v>46291</v>
      </c>
      <c r="AK107" s="668"/>
      <c r="AL107" s="668"/>
      <c r="AM107" s="668"/>
      <c r="AN107" s="669"/>
      <c r="AO107" s="667">
        <f>AJ107+1</f>
        <v>46292</v>
      </c>
      <c r="AP107" s="668"/>
      <c r="AQ107" s="668"/>
      <c r="AR107" s="668"/>
      <c r="AS107" s="669"/>
      <c r="AT107" s="667">
        <f>AO107+1</f>
        <v>46293</v>
      </c>
      <c r="AU107" s="668"/>
      <c r="AV107" s="668"/>
      <c r="AW107" s="668"/>
      <c r="AX107" s="669"/>
    </row>
    <row r="108" spans="2:53" ht="15.75">
      <c r="B108" s="674"/>
      <c r="C108" s="674"/>
      <c r="D108" s="674"/>
      <c r="E108" s="674"/>
      <c r="F108" s="674"/>
      <c r="G108" s="674"/>
      <c r="H108" s="674"/>
      <c r="I108" s="204"/>
      <c r="J108" s="204"/>
      <c r="K108" s="204"/>
      <c r="L108" s="204"/>
      <c r="M108" s="205"/>
      <c r="N108" s="647"/>
      <c r="O108" s="647"/>
      <c r="P108" s="667" t="s">
        <v>317</v>
      </c>
      <c r="Q108" s="668"/>
      <c r="R108" s="668"/>
      <c r="S108" s="668"/>
      <c r="T108" s="669"/>
      <c r="U108" s="667" t="s">
        <v>318</v>
      </c>
      <c r="V108" s="668"/>
      <c r="W108" s="668"/>
      <c r="X108" s="668"/>
      <c r="Y108" s="669"/>
      <c r="Z108" s="667" t="s">
        <v>319</v>
      </c>
      <c r="AA108" s="668"/>
      <c r="AB108" s="668"/>
      <c r="AC108" s="668"/>
      <c r="AD108" s="669"/>
      <c r="AE108" s="667" t="s">
        <v>320</v>
      </c>
      <c r="AF108" s="668"/>
      <c r="AG108" s="668"/>
      <c r="AH108" s="668"/>
      <c r="AI108" s="669"/>
      <c r="AJ108" s="667" t="s">
        <v>321</v>
      </c>
      <c r="AK108" s="668"/>
      <c r="AL108" s="668"/>
      <c r="AM108" s="668"/>
      <c r="AN108" s="669"/>
      <c r="AO108" s="667" t="s">
        <v>322</v>
      </c>
      <c r="AP108" s="668"/>
      <c r="AQ108" s="668"/>
      <c r="AR108" s="668"/>
      <c r="AS108" s="669"/>
      <c r="AT108" s="667" t="s">
        <v>323</v>
      </c>
      <c r="AU108" s="668"/>
      <c r="AV108" s="668"/>
      <c r="AW108" s="668"/>
      <c r="AX108" s="669"/>
    </row>
    <row r="109" spans="2:53">
      <c r="B109" s="643" t="s">
        <v>400</v>
      </c>
      <c r="C109" s="643" t="s">
        <v>401</v>
      </c>
      <c r="D109" s="643"/>
      <c r="E109" s="643" t="s">
        <v>402</v>
      </c>
      <c r="F109" s="643"/>
      <c r="G109" s="643"/>
      <c r="H109" s="675" t="s">
        <v>403</v>
      </c>
      <c r="I109" s="690" t="s">
        <v>404</v>
      </c>
      <c r="J109" s="690"/>
      <c r="K109" s="690"/>
      <c r="L109" s="691" t="s">
        <v>403</v>
      </c>
      <c r="M109" s="679" t="s">
        <v>405</v>
      </c>
      <c r="N109" s="643"/>
      <c r="O109" s="643" t="s">
        <v>406</v>
      </c>
      <c r="P109" s="661" t="s">
        <v>407</v>
      </c>
      <c r="Q109" s="662"/>
      <c r="R109" s="662"/>
      <c r="S109" s="663"/>
      <c r="T109" s="645" t="s">
        <v>403</v>
      </c>
      <c r="U109" s="661" t="s">
        <v>407</v>
      </c>
      <c r="V109" s="662"/>
      <c r="W109" s="662"/>
      <c r="X109" s="663"/>
      <c r="Y109" s="645" t="s">
        <v>403</v>
      </c>
      <c r="Z109" s="661" t="s">
        <v>407</v>
      </c>
      <c r="AA109" s="662"/>
      <c r="AB109" s="662"/>
      <c r="AC109" s="663"/>
      <c r="AD109" s="645" t="s">
        <v>403</v>
      </c>
      <c r="AE109" s="661" t="s">
        <v>407</v>
      </c>
      <c r="AF109" s="662"/>
      <c r="AG109" s="662"/>
      <c r="AH109" s="663"/>
      <c r="AI109" s="645" t="s">
        <v>403</v>
      </c>
      <c r="AJ109" s="661" t="s">
        <v>407</v>
      </c>
      <c r="AK109" s="662"/>
      <c r="AL109" s="662"/>
      <c r="AM109" s="663"/>
      <c r="AN109" s="645" t="s">
        <v>403</v>
      </c>
      <c r="AO109" s="661" t="s">
        <v>407</v>
      </c>
      <c r="AP109" s="662"/>
      <c r="AQ109" s="662"/>
      <c r="AR109" s="663"/>
      <c r="AS109" s="645" t="s">
        <v>403</v>
      </c>
      <c r="AT109" s="661" t="s">
        <v>407</v>
      </c>
      <c r="AU109" s="662"/>
      <c r="AV109" s="662"/>
      <c r="AW109" s="663"/>
      <c r="AX109" s="643" t="s">
        <v>403</v>
      </c>
      <c r="BA109" s="643" t="s">
        <v>359</v>
      </c>
    </row>
    <row r="110" spans="2:53">
      <c r="B110" s="643"/>
      <c r="C110" s="643"/>
      <c r="D110" s="643"/>
      <c r="E110" s="643" t="s">
        <v>408</v>
      </c>
      <c r="F110" s="643"/>
      <c r="G110" s="643"/>
      <c r="H110" s="676"/>
      <c r="I110" s="690" t="s">
        <v>408</v>
      </c>
      <c r="J110" s="690"/>
      <c r="K110" s="690"/>
      <c r="L110" s="692"/>
      <c r="M110" s="680"/>
      <c r="N110" s="643"/>
      <c r="O110" s="643"/>
      <c r="P110" s="661" t="s">
        <v>409</v>
      </c>
      <c r="Q110" s="662"/>
      <c r="R110" s="662"/>
      <c r="S110" s="663"/>
      <c r="T110" s="646"/>
      <c r="U110" s="661" t="s">
        <v>409</v>
      </c>
      <c r="V110" s="662"/>
      <c r="W110" s="662"/>
      <c r="X110" s="663"/>
      <c r="Y110" s="646"/>
      <c r="Z110" s="661" t="s">
        <v>409</v>
      </c>
      <c r="AA110" s="662"/>
      <c r="AB110" s="662"/>
      <c r="AC110" s="663"/>
      <c r="AD110" s="646"/>
      <c r="AE110" s="661" t="s">
        <v>409</v>
      </c>
      <c r="AF110" s="662"/>
      <c r="AG110" s="662"/>
      <c r="AH110" s="663"/>
      <c r="AI110" s="646"/>
      <c r="AJ110" s="661" t="s">
        <v>409</v>
      </c>
      <c r="AK110" s="662"/>
      <c r="AL110" s="662"/>
      <c r="AM110" s="663"/>
      <c r="AN110" s="646"/>
      <c r="AO110" s="661" t="s">
        <v>409</v>
      </c>
      <c r="AP110" s="662"/>
      <c r="AQ110" s="662"/>
      <c r="AR110" s="663"/>
      <c r="AS110" s="646"/>
      <c r="AT110" s="661" t="s">
        <v>409</v>
      </c>
      <c r="AU110" s="662"/>
      <c r="AV110" s="662"/>
      <c r="AW110" s="663"/>
      <c r="AX110" s="643"/>
      <c r="BA110" s="643"/>
    </row>
    <row r="111" spans="2:53">
      <c r="B111" s="643"/>
      <c r="C111" s="643"/>
      <c r="D111" s="643"/>
      <c r="E111" s="282" t="s">
        <v>410</v>
      </c>
      <c r="F111" s="282" t="s">
        <v>411</v>
      </c>
      <c r="G111" s="282" t="s">
        <v>412</v>
      </c>
      <c r="H111" s="677"/>
      <c r="I111" s="281" t="s">
        <v>410</v>
      </c>
      <c r="J111" s="281" t="s">
        <v>411</v>
      </c>
      <c r="K111" s="281" t="s">
        <v>412</v>
      </c>
      <c r="L111" s="693"/>
      <c r="M111" s="681"/>
      <c r="N111" s="643"/>
      <c r="O111" s="643"/>
      <c r="P111" s="462" t="s">
        <v>410</v>
      </c>
      <c r="Q111" s="462" t="s">
        <v>411</v>
      </c>
      <c r="R111" s="462" t="s">
        <v>412</v>
      </c>
      <c r="S111" s="462" t="s">
        <v>405</v>
      </c>
      <c r="T111" s="647"/>
      <c r="U111" s="462" t="s">
        <v>410</v>
      </c>
      <c r="V111" s="462" t="s">
        <v>411</v>
      </c>
      <c r="W111" s="462" t="s">
        <v>412</v>
      </c>
      <c r="X111" s="462" t="s">
        <v>405</v>
      </c>
      <c r="Y111" s="647"/>
      <c r="Z111" s="462" t="s">
        <v>410</v>
      </c>
      <c r="AA111" s="462" t="s">
        <v>411</v>
      </c>
      <c r="AB111" s="462" t="s">
        <v>412</v>
      </c>
      <c r="AC111" s="462" t="s">
        <v>405</v>
      </c>
      <c r="AD111" s="647"/>
      <c r="AE111" s="462" t="s">
        <v>410</v>
      </c>
      <c r="AF111" s="462" t="s">
        <v>411</v>
      </c>
      <c r="AG111" s="462" t="s">
        <v>412</v>
      </c>
      <c r="AH111" s="462" t="s">
        <v>405</v>
      </c>
      <c r="AI111" s="647"/>
      <c r="AJ111" s="462" t="s">
        <v>410</v>
      </c>
      <c r="AK111" s="462" t="s">
        <v>411</v>
      </c>
      <c r="AL111" s="462" t="s">
        <v>412</v>
      </c>
      <c r="AM111" s="462" t="s">
        <v>405</v>
      </c>
      <c r="AN111" s="647"/>
      <c r="AO111" s="462" t="s">
        <v>410</v>
      </c>
      <c r="AP111" s="462" t="s">
        <v>411</v>
      </c>
      <c r="AQ111" s="462" t="s">
        <v>412</v>
      </c>
      <c r="AR111" s="462" t="s">
        <v>405</v>
      </c>
      <c r="AS111" s="647"/>
      <c r="AT111" s="282" t="s">
        <v>410</v>
      </c>
      <c r="AU111" s="282" t="s">
        <v>411</v>
      </c>
      <c r="AV111" s="282" t="s">
        <v>412</v>
      </c>
      <c r="AW111" s="282" t="s">
        <v>405</v>
      </c>
      <c r="AX111" s="643"/>
      <c r="AZ111" s="367" t="s">
        <v>360</v>
      </c>
      <c r="BA111" s="643"/>
    </row>
    <row r="112" spans="2:53">
      <c r="B112" s="643" t="s">
        <v>413</v>
      </c>
      <c r="C112" s="283">
        <v>1</v>
      </c>
      <c r="D112" s="201"/>
      <c r="E112" s="514"/>
      <c r="F112" s="201"/>
      <c r="G112" s="199"/>
      <c r="H112" s="702" t="e">
        <f>AVERAGE(G112:G141)</f>
        <v>#DIV/0!</v>
      </c>
      <c r="I112" s="363" t="str">
        <f>IFERROR(AVERAGE(P112,U112,Z112,AE112,AJ112,AO112,AT112),"-")</f>
        <v>-</v>
      </c>
      <c r="J112" s="363" t="str">
        <f>IFERROR(AVERAGE(Q112,V112,AA112,AF112,AK112,AP112,AU112),"-")</f>
        <v>-</v>
      </c>
      <c r="K112" s="199" t="str">
        <f>IFERROR(AVERAGE(R112,W112,AB112,AG112,AL112,AQ112,AV112),"-")</f>
        <v>-</v>
      </c>
      <c r="L112" s="658" t="str">
        <f>IFERROR(AVERAGE(K112:K141),"-")</f>
        <v>-</v>
      </c>
      <c r="M112" s="200" t="e">
        <f>RANK(K112, K$112:$K$141)</f>
        <v>#VALUE!</v>
      </c>
      <c r="N112" s="643"/>
      <c r="O112" s="643"/>
      <c r="P112" s="554"/>
      <c r="Q112" s="555"/>
      <c r="R112" s="555"/>
      <c r="S112" s="554"/>
      <c r="T112" s="644"/>
      <c r="U112" s="554"/>
      <c r="V112" s="555"/>
      <c r="W112" s="555"/>
      <c r="X112" s="554"/>
      <c r="Y112" s="644"/>
      <c r="Z112" s="554"/>
      <c r="AA112" s="555"/>
      <c r="AB112" s="555"/>
      <c r="AC112" s="554"/>
      <c r="AD112" s="644"/>
      <c r="AE112" s="554"/>
      <c r="AF112" s="555"/>
      <c r="AG112" s="555"/>
      <c r="AH112" s="554"/>
      <c r="AI112" s="644"/>
      <c r="AJ112" s="554"/>
      <c r="AK112" s="555"/>
      <c r="AL112" s="555"/>
      <c r="AM112" s="554"/>
      <c r="AN112" s="644"/>
      <c r="AO112" s="554"/>
      <c r="AP112" s="555"/>
      <c r="AQ112" s="555"/>
      <c r="AR112" s="554"/>
      <c r="AS112" s="644"/>
      <c r="AT112" s="554"/>
      <c r="AU112" s="555"/>
      <c r="AV112" s="555"/>
      <c r="AW112" s="554"/>
      <c r="AX112" s="644"/>
      <c r="AZ112" s="368" t="e">
        <f>RANK(AY112, AY$112:AY$141)</f>
        <v>#N/A</v>
      </c>
      <c r="BA112" s="644" t="e">
        <f>AVERAGE(AY112:AY141)</f>
        <v>#DIV/0!</v>
      </c>
    </row>
    <row r="113" spans="2:53">
      <c r="B113" s="649"/>
      <c r="C113" s="283">
        <v>2</v>
      </c>
      <c r="D113" s="201"/>
      <c r="E113" s="514"/>
      <c r="F113" s="201"/>
      <c r="G113" s="199"/>
      <c r="H113" s="703"/>
      <c r="I113" s="363" t="str">
        <f t="shared" ref="I113:I141" si="19">IFERROR(AVERAGE(P113,U113,Z113,AE113,AJ113,AO113,AT113),"-")</f>
        <v>-</v>
      </c>
      <c r="J113" s="363" t="str">
        <f t="shared" ref="J113:J141" si="20">IFERROR(AVERAGE(Q113,V113,AA113,AF113,AK113,AP113,AU113),"-")</f>
        <v>-</v>
      </c>
      <c r="K113" s="199" t="str">
        <f t="shared" ref="K113:K141" si="21">IFERROR(AVERAGE(R113,W113,AB113,AG113,AL113,AQ113,AV113),"-")</f>
        <v>-</v>
      </c>
      <c r="L113" s="659"/>
      <c r="M113" s="200" t="e">
        <f>RANK(K113, K$112:$K$141)</f>
        <v>#VALUE!</v>
      </c>
      <c r="N113" s="643"/>
      <c r="O113" s="643"/>
      <c r="P113" s="554"/>
      <c r="Q113" s="555"/>
      <c r="R113" s="555"/>
      <c r="S113" s="554"/>
      <c r="T113" s="644"/>
      <c r="U113" s="554"/>
      <c r="V113" s="555"/>
      <c r="W113" s="555"/>
      <c r="X113" s="554"/>
      <c r="Y113" s="644"/>
      <c r="Z113" s="554"/>
      <c r="AA113" s="555"/>
      <c r="AB113" s="555"/>
      <c r="AC113" s="554"/>
      <c r="AD113" s="644"/>
      <c r="AE113" s="554"/>
      <c r="AF113" s="555"/>
      <c r="AG113" s="555"/>
      <c r="AH113" s="554"/>
      <c r="AI113" s="644"/>
      <c r="AJ113" s="554"/>
      <c r="AK113" s="555"/>
      <c r="AL113" s="555"/>
      <c r="AM113" s="554"/>
      <c r="AN113" s="644"/>
      <c r="AO113" s="554"/>
      <c r="AP113" s="555"/>
      <c r="AQ113" s="555"/>
      <c r="AR113" s="554"/>
      <c r="AS113" s="644"/>
      <c r="AT113" s="554"/>
      <c r="AU113" s="555"/>
      <c r="AV113" s="555"/>
      <c r="AW113" s="554"/>
      <c r="AX113" s="644"/>
      <c r="AZ113" s="368" t="e">
        <f t="shared" ref="AZ113:AZ141" si="22">RANK(AY113, AY$112:AY$141)</f>
        <v>#N/A</v>
      </c>
      <c r="BA113" s="644"/>
    </row>
    <row r="114" spans="2:53">
      <c r="B114" s="649"/>
      <c r="C114" s="283">
        <v>3</v>
      </c>
      <c r="D114" s="201"/>
      <c r="E114" s="514"/>
      <c r="F114" s="201"/>
      <c r="G114" s="199"/>
      <c r="H114" s="703"/>
      <c r="I114" s="363" t="str">
        <f t="shared" si="19"/>
        <v>-</v>
      </c>
      <c r="J114" s="363" t="str">
        <f t="shared" si="20"/>
        <v>-</v>
      </c>
      <c r="K114" s="199" t="str">
        <f t="shared" si="21"/>
        <v>-</v>
      </c>
      <c r="L114" s="659"/>
      <c r="M114" s="200" t="e">
        <f>RANK(K114, K$112:$K$141)</f>
        <v>#VALUE!</v>
      </c>
      <c r="N114" s="643"/>
      <c r="O114" s="643"/>
      <c r="P114" s="554"/>
      <c r="Q114" s="555"/>
      <c r="R114" s="555"/>
      <c r="S114" s="554"/>
      <c r="T114" s="644"/>
      <c r="U114" s="554"/>
      <c r="V114" s="555"/>
      <c r="W114" s="555"/>
      <c r="X114" s="554"/>
      <c r="Y114" s="644"/>
      <c r="Z114" s="554"/>
      <c r="AA114" s="555"/>
      <c r="AB114" s="555"/>
      <c r="AC114" s="554"/>
      <c r="AD114" s="644"/>
      <c r="AE114" s="554"/>
      <c r="AF114" s="555"/>
      <c r="AG114" s="555"/>
      <c r="AH114" s="554"/>
      <c r="AI114" s="644"/>
      <c r="AJ114" s="554"/>
      <c r="AK114" s="555"/>
      <c r="AL114" s="555"/>
      <c r="AM114" s="554"/>
      <c r="AN114" s="644"/>
      <c r="AO114" s="554"/>
      <c r="AP114" s="555"/>
      <c r="AQ114" s="555"/>
      <c r="AR114" s="554"/>
      <c r="AS114" s="644"/>
      <c r="AT114" s="554"/>
      <c r="AU114" s="555"/>
      <c r="AV114" s="555"/>
      <c r="AW114" s="554"/>
      <c r="AX114" s="644"/>
      <c r="AZ114" s="368" t="e">
        <f t="shared" si="22"/>
        <v>#N/A</v>
      </c>
      <c r="BA114" s="644"/>
    </row>
    <row r="115" spans="2:53">
      <c r="B115" s="649"/>
      <c r="C115" s="283">
        <v>4</v>
      </c>
      <c r="D115" s="201"/>
      <c r="E115" s="514"/>
      <c r="F115" s="201"/>
      <c r="G115" s="199"/>
      <c r="H115" s="703"/>
      <c r="I115" s="363" t="str">
        <f t="shared" si="19"/>
        <v>-</v>
      </c>
      <c r="J115" s="363" t="str">
        <f t="shared" si="20"/>
        <v>-</v>
      </c>
      <c r="K115" s="199" t="str">
        <f t="shared" si="21"/>
        <v>-</v>
      </c>
      <c r="L115" s="659"/>
      <c r="M115" s="200" t="e">
        <f>RANK(K115, K$112:$K$141)</f>
        <v>#VALUE!</v>
      </c>
      <c r="N115" s="643"/>
      <c r="O115" s="643"/>
      <c r="P115" s="554"/>
      <c r="Q115" s="555"/>
      <c r="R115" s="555"/>
      <c r="S115" s="554"/>
      <c r="T115" s="644"/>
      <c r="U115" s="554"/>
      <c r="V115" s="555"/>
      <c r="W115" s="555"/>
      <c r="X115" s="554"/>
      <c r="Y115" s="644"/>
      <c r="Z115" s="554"/>
      <c r="AA115" s="555"/>
      <c r="AB115" s="555"/>
      <c r="AC115" s="554"/>
      <c r="AD115" s="644"/>
      <c r="AE115" s="554"/>
      <c r="AF115" s="555"/>
      <c r="AG115" s="555"/>
      <c r="AH115" s="554"/>
      <c r="AI115" s="644"/>
      <c r="AJ115" s="554"/>
      <c r="AK115" s="555"/>
      <c r="AL115" s="555"/>
      <c r="AM115" s="554"/>
      <c r="AN115" s="644"/>
      <c r="AO115" s="554"/>
      <c r="AP115" s="555"/>
      <c r="AQ115" s="555"/>
      <c r="AR115" s="554"/>
      <c r="AS115" s="644"/>
      <c r="AT115" s="554"/>
      <c r="AU115" s="555"/>
      <c r="AV115" s="555"/>
      <c r="AW115" s="554"/>
      <c r="AX115" s="644"/>
      <c r="AZ115" s="368" t="e">
        <f t="shared" si="22"/>
        <v>#N/A</v>
      </c>
      <c r="BA115" s="644"/>
    </row>
    <row r="116" spans="2:53">
      <c r="B116" s="649"/>
      <c r="C116" s="283">
        <v>5</v>
      </c>
      <c r="D116" s="201"/>
      <c r="E116" s="514"/>
      <c r="F116" s="201"/>
      <c r="G116" s="199"/>
      <c r="H116" s="703"/>
      <c r="I116" s="363" t="str">
        <f t="shared" si="19"/>
        <v>-</v>
      </c>
      <c r="J116" s="363" t="str">
        <f t="shared" si="20"/>
        <v>-</v>
      </c>
      <c r="K116" s="199" t="str">
        <f t="shared" si="21"/>
        <v>-</v>
      </c>
      <c r="L116" s="659"/>
      <c r="M116" s="200" t="e">
        <f>RANK(K116, K$112:$K$141)</f>
        <v>#VALUE!</v>
      </c>
      <c r="N116" s="643"/>
      <c r="O116" s="643"/>
      <c r="P116" s="554"/>
      <c r="Q116" s="555"/>
      <c r="R116" s="555"/>
      <c r="S116" s="554"/>
      <c r="T116" s="644"/>
      <c r="U116" s="554"/>
      <c r="V116" s="555"/>
      <c r="W116" s="555"/>
      <c r="X116" s="554"/>
      <c r="Y116" s="644"/>
      <c r="Z116" s="554"/>
      <c r="AA116" s="555"/>
      <c r="AB116" s="555"/>
      <c r="AC116" s="554"/>
      <c r="AD116" s="644"/>
      <c r="AE116" s="554"/>
      <c r="AF116" s="555"/>
      <c r="AG116" s="555"/>
      <c r="AH116" s="554"/>
      <c r="AI116" s="644"/>
      <c r="AJ116" s="554"/>
      <c r="AK116" s="555"/>
      <c r="AL116" s="555"/>
      <c r="AM116" s="554"/>
      <c r="AN116" s="644"/>
      <c r="AO116" s="554"/>
      <c r="AP116" s="555"/>
      <c r="AQ116" s="555"/>
      <c r="AR116" s="554"/>
      <c r="AS116" s="644"/>
      <c r="AT116" s="554"/>
      <c r="AU116" s="555"/>
      <c r="AV116" s="555"/>
      <c r="AW116" s="554"/>
      <c r="AX116" s="644"/>
      <c r="AZ116" s="368" t="e">
        <f t="shared" si="22"/>
        <v>#N/A</v>
      </c>
      <c r="BA116" s="644"/>
    </row>
    <row r="117" spans="2:53">
      <c r="B117" s="649"/>
      <c r="C117" s="283">
        <v>6</v>
      </c>
      <c r="D117" s="201"/>
      <c r="E117" s="514"/>
      <c r="F117" s="201"/>
      <c r="G117" s="199"/>
      <c r="H117" s="703"/>
      <c r="I117" s="363" t="str">
        <f t="shared" si="19"/>
        <v>-</v>
      </c>
      <c r="J117" s="363" t="str">
        <f t="shared" si="20"/>
        <v>-</v>
      </c>
      <c r="K117" s="199" t="str">
        <f t="shared" si="21"/>
        <v>-</v>
      </c>
      <c r="L117" s="659"/>
      <c r="M117" s="200" t="e">
        <f>RANK(K117, K$112:$K$141)</f>
        <v>#VALUE!</v>
      </c>
      <c r="N117" s="643"/>
      <c r="O117" s="643"/>
      <c r="P117" s="554"/>
      <c r="Q117" s="555"/>
      <c r="R117" s="555"/>
      <c r="S117" s="554"/>
      <c r="T117" s="644"/>
      <c r="U117" s="554"/>
      <c r="V117" s="555"/>
      <c r="W117" s="555"/>
      <c r="X117" s="554"/>
      <c r="Y117" s="644"/>
      <c r="Z117" s="554"/>
      <c r="AA117" s="555"/>
      <c r="AB117" s="555"/>
      <c r="AC117" s="554"/>
      <c r="AD117" s="644"/>
      <c r="AE117" s="554"/>
      <c r="AF117" s="555"/>
      <c r="AG117" s="555"/>
      <c r="AH117" s="554"/>
      <c r="AI117" s="644"/>
      <c r="AJ117" s="554"/>
      <c r="AK117" s="555"/>
      <c r="AL117" s="555"/>
      <c r="AM117" s="554"/>
      <c r="AN117" s="644"/>
      <c r="AO117" s="554"/>
      <c r="AP117" s="555"/>
      <c r="AQ117" s="555"/>
      <c r="AR117" s="554"/>
      <c r="AS117" s="644"/>
      <c r="AT117" s="554"/>
      <c r="AU117" s="555"/>
      <c r="AV117" s="555"/>
      <c r="AW117" s="554"/>
      <c r="AX117" s="644"/>
      <c r="AZ117" s="368" t="e">
        <f t="shared" si="22"/>
        <v>#N/A</v>
      </c>
      <c r="BA117" s="644"/>
    </row>
    <row r="118" spans="2:53">
      <c r="B118" s="649"/>
      <c r="C118" s="283">
        <v>7</v>
      </c>
      <c r="D118" s="201"/>
      <c r="E118" s="514"/>
      <c r="F118" s="201"/>
      <c r="G118" s="199"/>
      <c r="H118" s="703"/>
      <c r="I118" s="363" t="str">
        <f t="shared" si="19"/>
        <v>-</v>
      </c>
      <c r="J118" s="363" t="str">
        <f t="shared" si="20"/>
        <v>-</v>
      </c>
      <c r="K118" s="199" t="str">
        <f t="shared" si="21"/>
        <v>-</v>
      </c>
      <c r="L118" s="659"/>
      <c r="M118" s="200" t="e">
        <f>RANK(K118, K$112:$K$141)</f>
        <v>#VALUE!</v>
      </c>
      <c r="N118" s="643"/>
      <c r="O118" s="643"/>
      <c r="P118" s="554"/>
      <c r="Q118" s="555"/>
      <c r="R118" s="555"/>
      <c r="S118" s="554"/>
      <c r="T118" s="644"/>
      <c r="U118" s="554"/>
      <c r="V118" s="555"/>
      <c r="W118" s="555"/>
      <c r="X118" s="554"/>
      <c r="Y118" s="644"/>
      <c r="Z118" s="554"/>
      <c r="AA118" s="555"/>
      <c r="AB118" s="555"/>
      <c r="AC118" s="554"/>
      <c r="AD118" s="644"/>
      <c r="AE118" s="554"/>
      <c r="AF118" s="555"/>
      <c r="AG118" s="555"/>
      <c r="AH118" s="554"/>
      <c r="AI118" s="644"/>
      <c r="AJ118" s="554"/>
      <c r="AK118" s="555"/>
      <c r="AL118" s="555"/>
      <c r="AM118" s="554"/>
      <c r="AN118" s="644"/>
      <c r="AO118" s="554"/>
      <c r="AP118" s="555"/>
      <c r="AQ118" s="555"/>
      <c r="AR118" s="554"/>
      <c r="AS118" s="644"/>
      <c r="AT118" s="554"/>
      <c r="AU118" s="555"/>
      <c r="AV118" s="555"/>
      <c r="AW118" s="554"/>
      <c r="AX118" s="644"/>
      <c r="AZ118" s="368" t="e">
        <f t="shared" si="22"/>
        <v>#N/A</v>
      </c>
      <c r="BA118" s="644"/>
    </row>
    <row r="119" spans="2:53">
      <c r="B119" s="649"/>
      <c r="C119" s="283">
        <v>8</v>
      </c>
      <c r="D119" s="201"/>
      <c r="E119" s="514"/>
      <c r="F119" s="201"/>
      <c r="G119" s="199"/>
      <c r="H119" s="703"/>
      <c r="I119" s="363" t="str">
        <f t="shared" si="19"/>
        <v>-</v>
      </c>
      <c r="J119" s="363" t="str">
        <f t="shared" si="20"/>
        <v>-</v>
      </c>
      <c r="K119" s="199" t="str">
        <f t="shared" si="21"/>
        <v>-</v>
      </c>
      <c r="L119" s="659"/>
      <c r="M119" s="200" t="e">
        <f>RANK(K119, K$112:$K$141)</f>
        <v>#VALUE!</v>
      </c>
      <c r="N119" s="643"/>
      <c r="O119" s="643"/>
      <c r="P119" s="554"/>
      <c r="Q119" s="555"/>
      <c r="R119" s="555"/>
      <c r="S119" s="554"/>
      <c r="T119" s="644"/>
      <c r="U119" s="554"/>
      <c r="V119" s="555"/>
      <c r="W119" s="555"/>
      <c r="X119" s="554"/>
      <c r="Y119" s="644"/>
      <c r="Z119" s="554"/>
      <c r="AA119" s="555"/>
      <c r="AB119" s="555"/>
      <c r="AC119" s="554"/>
      <c r="AD119" s="644"/>
      <c r="AE119" s="554"/>
      <c r="AF119" s="555"/>
      <c r="AG119" s="555"/>
      <c r="AH119" s="554"/>
      <c r="AI119" s="644"/>
      <c r="AJ119" s="554"/>
      <c r="AK119" s="555"/>
      <c r="AL119" s="555"/>
      <c r="AM119" s="554"/>
      <c r="AN119" s="644"/>
      <c r="AO119" s="554"/>
      <c r="AP119" s="555"/>
      <c r="AQ119" s="555"/>
      <c r="AR119" s="554"/>
      <c r="AS119" s="644"/>
      <c r="AT119" s="554"/>
      <c r="AU119" s="555"/>
      <c r="AV119" s="555"/>
      <c r="AW119" s="554"/>
      <c r="AX119" s="644"/>
      <c r="AZ119" s="368" t="e">
        <f t="shared" si="22"/>
        <v>#N/A</v>
      </c>
      <c r="BA119" s="644"/>
    </row>
    <row r="120" spans="2:53">
      <c r="B120" s="649"/>
      <c r="C120" s="283">
        <v>9</v>
      </c>
      <c r="D120" s="201"/>
      <c r="E120" s="514"/>
      <c r="F120" s="201"/>
      <c r="G120" s="199"/>
      <c r="H120" s="703"/>
      <c r="I120" s="363" t="str">
        <f t="shared" si="19"/>
        <v>-</v>
      </c>
      <c r="J120" s="363" t="str">
        <f t="shared" si="20"/>
        <v>-</v>
      </c>
      <c r="K120" s="199" t="str">
        <f t="shared" si="21"/>
        <v>-</v>
      </c>
      <c r="L120" s="659"/>
      <c r="M120" s="200" t="e">
        <f>RANK(K120, K$112:$K$141)</f>
        <v>#VALUE!</v>
      </c>
      <c r="N120" s="643"/>
      <c r="O120" s="643"/>
      <c r="P120" s="554"/>
      <c r="Q120" s="555"/>
      <c r="R120" s="555"/>
      <c r="S120" s="554"/>
      <c r="T120" s="644"/>
      <c r="U120" s="554"/>
      <c r="V120" s="555"/>
      <c r="W120" s="555"/>
      <c r="X120" s="554"/>
      <c r="Y120" s="644"/>
      <c r="Z120" s="554"/>
      <c r="AA120" s="555"/>
      <c r="AB120" s="555"/>
      <c r="AC120" s="554"/>
      <c r="AD120" s="644"/>
      <c r="AE120" s="554"/>
      <c r="AF120" s="555"/>
      <c r="AG120" s="555"/>
      <c r="AH120" s="554"/>
      <c r="AI120" s="644"/>
      <c r="AJ120" s="554"/>
      <c r="AK120" s="555"/>
      <c r="AL120" s="555"/>
      <c r="AM120" s="554"/>
      <c r="AN120" s="644"/>
      <c r="AO120" s="554"/>
      <c r="AP120" s="555"/>
      <c r="AQ120" s="555"/>
      <c r="AR120" s="554"/>
      <c r="AS120" s="644"/>
      <c r="AT120" s="554"/>
      <c r="AU120" s="555"/>
      <c r="AV120" s="555"/>
      <c r="AW120" s="554"/>
      <c r="AX120" s="644"/>
      <c r="AZ120" s="368" t="e">
        <f t="shared" si="22"/>
        <v>#N/A</v>
      </c>
      <c r="BA120" s="644"/>
    </row>
    <row r="121" spans="2:53">
      <c r="B121" s="649"/>
      <c r="C121" s="283">
        <v>10</v>
      </c>
      <c r="D121" s="201"/>
      <c r="E121" s="514"/>
      <c r="F121" s="201"/>
      <c r="G121" s="199"/>
      <c r="H121" s="703"/>
      <c r="I121" s="363" t="str">
        <f t="shared" si="19"/>
        <v>-</v>
      </c>
      <c r="J121" s="363" t="str">
        <f t="shared" si="20"/>
        <v>-</v>
      </c>
      <c r="K121" s="199" t="str">
        <f t="shared" si="21"/>
        <v>-</v>
      </c>
      <c r="L121" s="659"/>
      <c r="M121" s="200" t="e">
        <f>RANK(K121, K$112:$K$141)</f>
        <v>#VALUE!</v>
      </c>
      <c r="N121" s="643"/>
      <c r="O121" s="643"/>
      <c r="P121" s="554"/>
      <c r="Q121" s="555"/>
      <c r="R121" s="555"/>
      <c r="S121" s="554"/>
      <c r="T121" s="644"/>
      <c r="U121" s="554"/>
      <c r="V121" s="555"/>
      <c r="W121" s="555"/>
      <c r="X121" s="554"/>
      <c r="Y121" s="644"/>
      <c r="Z121" s="554"/>
      <c r="AA121" s="555"/>
      <c r="AB121" s="555"/>
      <c r="AC121" s="554"/>
      <c r="AD121" s="644"/>
      <c r="AE121" s="554"/>
      <c r="AF121" s="555"/>
      <c r="AG121" s="555"/>
      <c r="AH121" s="554"/>
      <c r="AI121" s="644"/>
      <c r="AJ121" s="554"/>
      <c r="AK121" s="555"/>
      <c r="AL121" s="555"/>
      <c r="AM121" s="554"/>
      <c r="AN121" s="644"/>
      <c r="AO121" s="554"/>
      <c r="AP121" s="555"/>
      <c r="AQ121" s="555"/>
      <c r="AR121" s="554"/>
      <c r="AS121" s="644"/>
      <c r="AT121" s="554"/>
      <c r="AU121" s="555"/>
      <c r="AV121" s="555"/>
      <c r="AW121" s="554"/>
      <c r="AX121" s="644"/>
      <c r="AZ121" s="368" t="e">
        <f t="shared" si="22"/>
        <v>#N/A</v>
      </c>
      <c r="BA121" s="644"/>
    </row>
    <row r="122" spans="2:53">
      <c r="B122" s="649"/>
      <c r="C122" s="283">
        <v>11</v>
      </c>
      <c r="D122" s="201"/>
      <c r="E122" s="514"/>
      <c r="F122" s="201"/>
      <c r="G122" s="199"/>
      <c r="H122" s="703"/>
      <c r="I122" s="363" t="str">
        <f t="shared" si="19"/>
        <v>-</v>
      </c>
      <c r="J122" s="363" t="str">
        <f t="shared" si="20"/>
        <v>-</v>
      </c>
      <c r="K122" s="199" t="str">
        <f t="shared" si="21"/>
        <v>-</v>
      </c>
      <c r="L122" s="659"/>
      <c r="M122" s="200" t="e">
        <f>RANK(K122, K$112:$K$141)</f>
        <v>#VALUE!</v>
      </c>
      <c r="N122" s="643"/>
      <c r="O122" s="643"/>
      <c r="P122" s="554"/>
      <c r="Q122" s="555"/>
      <c r="R122" s="555"/>
      <c r="S122" s="554"/>
      <c r="T122" s="644"/>
      <c r="U122" s="554"/>
      <c r="V122" s="555"/>
      <c r="W122" s="555"/>
      <c r="X122" s="554"/>
      <c r="Y122" s="644"/>
      <c r="Z122" s="554"/>
      <c r="AA122" s="555"/>
      <c r="AB122" s="555"/>
      <c r="AC122" s="554"/>
      <c r="AD122" s="644"/>
      <c r="AE122" s="554"/>
      <c r="AF122" s="555"/>
      <c r="AG122" s="555"/>
      <c r="AH122" s="554"/>
      <c r="AI122" s="644"/>
      <c r="AJ122" s="554"/>
      <c r="AK122" s="555"/>
      <c r="AL122" s="555"/>
      <c r="AM122" s="554"/>
      <c r="AN122" s="644"/>
      <c r="AO122" s="554"/>
      <c r="AP122" s="555"/>
      <c r="AQ122" s="555"/>
      <c r="AR122" s="554"/>
      <c r="AS122" s="644"/>
      <c r="AT122" s="554"/>
      <c r="AU122" s="555"/>
      <c r="AV122" s="555"/>
      <c r="AW122" s="554"/>
      <c r="AX122" s="644"/>
      <c r="AZ122" s="368" t="e">
        <f t="shared" si="22"/>
        <v>#N/A</v>
      </c>
      <c r="BA122" s="644"/>
    </row>
    <row r="123" spans="2:53">
      <c r="B123" s="649"/>
      <c r="C123" s="283">
        <v>12</v>
      </c>
      <c r="D123" s="201"/>
      <c r="E123" s="514"/>
      <c r="F123" s="201"/>
      <c r="G123" s="199"/>
      <c r="H123" s="703"/>
      <c r="I123" s="363" t="str">
        <f t="shared" si="19"/>
        <v>-</v>
      </c>
      <c r="J123" s="363" t="str">
        <f t="shared" si="20"/>
        <v>-</v>
      </c>
      <c r="K123" s="199" t="str">
        <f t="shared" si="21"/>
        <v>-</v>
      </c>
      <c r="L123" s="659"/>
      <c r="M123" s="200" t="e">
        <f>RANK(K123, K$112:$K$141)</f>
        <v>#VALUE!</v>
      </c>
      <c r="N123" s="643"/>
      <c r="O123" s="643"/>
      <c r="P123" s="554"/>
      <c r="Q123" s="555"/>
      <c r="R123" s="555"/>
      <c r="S123" s="554"/>
      <c r="T123" s="644"/>
      <c r="U123" s="554"/>
      <c r="V123" s="555"/>
      <c r="W123" s="555"/>
      <c r="X123" s="554"/>
      <c r="Y123" s="644"/>
      <c r="Z123" s="554"/>
      <c r="AA123" s="555"/>
      <c r="AB123" s="555"/>
      <c r="AC123" s="554"/>
      <c r="AD123" s="644"/>
      <c r="AE123" s="554"/>
      <c r="AF123" s="555"/>
      <c r="AG123" s="555"/>
      <c r="AH123" s="554"/>
      <c r="AI123" s="644"/>
      <c r="AJ123" s="554"/>
      <c r="AK123" s="555"/>
      <c r="AL123" s="555"/>
      <c r="AM123" s="554"/>
      <c r="AN123" s="644"/>
      <c r="AO123" s="554"/>
      <c r="AP123" s="555"/>
      <c r="AQ123" s="555"/>
      <c r="AR123" s="554"/>
      <c r="AS123" s="644"/>
      <c r="AT123" s="554"/>
      <c r="AU123" s="555"/>
      <c r="AV123" s="555"/>
      <c r="AW123" s="554"/>
      <c r="AX123" s="644"/>
      <c r="AZ123" s="368" t="e">
        <f t="shared" si="22"/>
        <v>#N/A</v>
      </c>
      <c r="BA123" s="644"/>
    </row>
    <row r="124" spans="2:53">
      <c r="B124" s="649"/>
      <c r="C124" s="283">
        <v>13</v>
      </c>
      <c r="D124" s="201"/>
      <c r="E124" s="514"/>
      <c r="F124" s="201"/>
      <c r="G124" s="199"/>
      <c r="H124" s="703"/>
      <c r="I124" s="363" t="str">
        <f t="shared" si="19"/>
        <v>-</v>
      </c>
      <c r="J124" s="363" t="str">
        <f t="shared" si="20"/>
        <v>-</v>
      </c>
      <c r="K124" s="199" t="str">
        <f t="shared" si="21"/>
        <v>-</v>
      </c>
      <c r="L124" s="659"/>
      <c r="M124" s="200" t="e">
        <f>RANK(K124, K$112:$K$141)</f>
        <v>#VALUE!</v>
      </c>
      <c r="N124" s="643"/>
      <c r="O124" s="643"/>
      <c r="P124" s="554"/>
      <c r="Q124" s="555"/>
      <c r="R124" s="555"/>
      <c r="S124" s="554"/>
      <c r="T124" s="644"/>
      <c r="U124" s="554"/>
      <c r="V124" s="555"/>
      <c r="W124" s="555"/>
      <c r="X124" s="554"/>
      <c r="Y124" s="644"/>
      <c r="Z124" s="554"/>
      <c r="AA124" s="555"/>
      <c r="AB124" s="555"/>
      <c r="AC124" s="554"/>
      <c r="AD124" s="644"/>
      <c r="AE124" s="554"/>
      <c r="AF124" s="555"/>
      <c r="AG124" s="555"/>
      <c r="AH124" s="554"/>
      <c r="AI124" s="644"/>
      <c r="AJ124" s="554"/>
      <c r="AK124" s="555"/>
      <c r="AL124" s="555"/>
      <c r="AM124" s="554"/>
      <c r="AN124" s="644"/>
      <c r="AO124" s="554"/>
      <c r="AP124" s="555"/>
      <c r="AQ124" s="555"/>
      <c r="AR124" s="554"/>
      <c r="AS124" s="644"/>
      <c r="AT124" s="554"/>
      <c r="AU124" s="555"/>
      <c r="AV124" s="555"/>
      <c r="AW124" s="554"/>
      <c r="AX124" s="644"/>
      <c r="AZ124" s="368" t="e">
        <f t="shared" si="22"/>
        <v>#N/A</v>
      </c>
      <c r="BA124" s="644"/>
    </row>
    <row r="125" spans="2:53">
      <c r="B125" s="649"/>
      <c r="C125" s="283">
        <v>14</v>
      </c>
      <c r="D125" s="201"/>
      <c r="E125" s="514"/>
      <c r="F125" s="201"/>
      <c r="G125" s="199"/>
      <c r="H125" s="703"/>
      <c r="I125" s="363" t="str">
        <f t="shared" si="19"/>
        <v>-</v>
      </c>
      <c r="J125" s="363" t="str">
        <f t="shared" si="20"/>
        <v>-</v>
      </c>
      <c r="K125" s="199" t="str">
        <f t="shared" si="21"/>
        <v>-</v>
      </c>
      <c r="L125" s="659"/>
      <c r="M125" s="200" t="e">
        <f>RANK(K125, K$112:$K$141)</f>
        <v>#VALUE!</v>
      </c>
      <c r="N125" s="643"/>
      <c r="O125" s="643"/>
      <c r="P125" s="554"/>
      <c r="Q125" s="555"/>
      <c r="R125" s="555"/>
      <c r="S125" s="554"/>
      <c r="T125" s="644"/>
      <c r="U125" s="554"/>
      <c r="V125" s="555"/>
      <c r="W125" s="555"/>
      <c r="X125" s="554"/>
      <c r="Y125" s="644"/>
      <c r="Z125" s="554"/>
      <c r="AA125" s="555"/>
      <c r="AB125" s="555"/>
      <c r="AC125" s="554"/>
      <c r="AD125" s="644"/>
      <c r="AE125" s="554"/>
      <c r="AF125" s="555"/>
      <c r="AG125" s="555"/>
      <c r="AH125" s="554"/>
      <c r="AI125" s="644"/>
      <c r="AJ125" s="554"/>
      <c r="AK125" s="555"/>
      <c r="AL125" s="555"/>
      <c r="AM125" s="554"/>
      <c r="AN125" s="644"/>
      <c r="AO125" s="554"/>
      <c r="AP125" s="555"/>
      <c r="AQ125" s="555"/>
      <c r="AR125" s="554"/>
      <c r="AS125" s="644"/>
      <c r="AT125" s="554"/>
      <c r="AU125" s="555"/>
      <c r="AV125" s="555"/>
      <c r="AW125" s="554"/>
      <c r="AX125" s="644"/>
      <c r="AZ125" s="368" t="e">
        <f t="shared" si="22"/>
        <v>#N/A</v>
      </c>
      <c r="BA125" s="644"/>
    </row>
    <row r="126" spans="2:53">
      <c r="B126" s="649"/>
      <c r="C126" s="283">
        <v>15</v>
      </c>
      <c r="D126" s="201"/>
      <c r="E126" s="514"/>
      <c r="F126" s="201"/>
      <c r="G126" s="199"/>
      <c r="H126" s="703"/>
      <c r="I126" s="363" t="str">
        <f t="shared" si="19"/>
        <v>-</v>
      </c>
      <c r="J126" s="363" t="str">
        <f t="shared" si="20"/>
        <v>-</v>
      </c>
      <c r="K126" s="199" t="str">
        <f t="shared" si="21"/>
        <v>-</v>
      </c>
      <c r="L126" s="659"/>
      <c r="M126" s="200" t="e">
        <f>RANK(K126, K$112:$K$141)</f>
        <v>#VALUE!</v>
      </c>
      <c r="N126" s="643"/>
      <c r="O126" s="643"/>
      <c r="P126" s="554"/>
      <c r="Q126" s="555"/>
      <c r="R126" s="555"/>
      <c r="S126" s="554"/>
      <c r="T126" s="644"/>
      <c r="U126" s="554"/>
      <c r="V126" s="555"/>
      <c r="W126" s="555"/>
      <c r="X126" s="554"/>
      <c r="Y126" s="644"/>
      <c r="Z126" s="554"/>
      <c r="AA126" s="555"/>
      <c r="AB126" s="555"/>
      <c r="AC126" s="554"/>
      <c r="AD126" s="644"/>
      <c r="AE126" s="554"/>
      <c r="AF126" s="555"/>
      <c r="AG126" s="555"/>
      <c r="AH126" s="554"/>
      <c r="AI126" s="644"/>
      <c r="AJ126" s="554"/>
      <c r="AK126" s="555"/>
      <c r="AL126" s="555"/>
      <c r="AM126" s="554"/>
      <c r="AN126" s="644"/>
      <c r="AO126" s="554"/>
      <c r="AP126" s="555"/>
      <c r="AQ126" s="555"/>
      <c r="AR126" s="554"/>
      <c r="AS126" s="644"/>
      <c r="AT126" s="554"/>
      <c r="AU126" s="555"/>
      <c r="AV126" s="555"/>
      <c r="AW126" s="554"/>
      <c r="AX126" s="644"/>
      <c r="AZ126" s="368" t="e">
        <f t="shared" si="22"/>
        <v>#N/A</v>
      </c>
      <c r="BA126" s="644"/>
    </row>
    <row r="127" spans="2:53">
      <c r="B127" s="649"/>
      <c r="C127" s="283">
        <v>16</v>
      </c>
      <c r="D127" s="201"/>
      <c r="E127" s="514"/>
      <c r="F127" s="201"/>
      <c r="G127" s="199"/>
      <c r="H127" s="703"/>
      <c r="I127" s="363" t="str">
        <f t="shared" si="19"/>
        <v>-</v>
      </c>
      <c r="J127" s="363" t="str">
        <f t="shared" si="20"/>
        <v>-</v>
      </c>
      <c r="K127" s="199" t="str">
        <f t="shared" si="21"/>
        <v>-</v>
      </c>
      <c r="L127" s="659"/>
      <c r="M127" s="200" t="e">
        <f>RANK(K127, K$112:$K$141)</f>
        <v>#VALUE!</v>
      </c>
      <c r="N127" s="643"/>
      <c r="O127" s="643"/>
      <c r="P127" s="554"/>
      <c r="Q127" s="555"/>
      <c r="R127" s="555"/>
      <c r="S127" s="554"/>
      <c r="T127" s="644"/>
      <c r="U127" s="554"/>
      <c r="V127" s="555"/>
      <c r="W127" s="555"/>
      <c r="X127" s="554"/>
      <c r="Y127" s="644"/>
      <c r="Z127" s="554"/>
      <c r="AA127" s="555"/>
      <c r="AB127" s="555"/>
      <c r="AC127" s="554"/>
      <c r="AD127" s="644"/>
      <c r="AE127" s="554"/>
      <c r="AF127" s="555"/>
      <c r="AG127" s="555"/>
      <c r="AH127" s="554"/>
      <c r="AI127" s="644"/>
      <c r="AJ127" s="554"/>
      <c r="AK127" s="555"/>
      <c r="AL127" s="555"/>
      <c r="AM127" s="554"/>
      <c r="AN127" s="644"/>
      <c r="AO127" s="554"/>
      <c r="AP127" s="555"/>
      <c r="AQ127" s="555"/>
      <c r="AR127" s="554"/>
      <c r="AS127" s="644"/>
      <c r="AT127" s="554"/>
      <c r="AU127" s="555"/>
      <c r="AV127" s="555"/>
      <c r="AW127" s="554"/>
      <c r="AX127" s="644"/>
      <c r="AZ127" s="368" t="e">
        <f t="shared" si="22"/>
        <v>#N/A</v>
      </c>
      <c r="BA127" s="644"/>
    </row>
    <row r="128" spans="2:53">
      <c r="B128" s="649"/>
      <c r="C128" s="283">
        <v>17</v>
      </c>
      <c r="D128" s="201"/>
      <c r="E128" s="514"/>
      <c r="F128" s="201"/>
      <c r="G128" s="199"/>
      <c r="H128" s="703"/>
      <c r="I128" s="363" t="str">
        <f t="shared" si="19"/>
        <v>-</v>
      </c>
      <c r="J128" s="363" t="str">
        <f t="shared" si="20"/>
        <v>-</v>
      </c>
      <c r="K128" s="199" t="str">
        <f t="shared" si="21"/>
        <v>-</v>
      </c>
      <c r="L128" s="659"/>
      <c r="M128" s="200" t="e">
        <f>RANK(K128, K$112:$K$141)</f>
        <v>#VALUE!</v>
      </c>
      <c r="N128" s="643"/>
      <c r="O128" s="643"/>
      <c r="P128" s="554"/>
      <c r="Q128" s="555"/>
      <c r="R128" s="555"/>
      <c r="S128" s="554"/>
      <c r="T128" s="644"/>
      <c r="U128" s="554"/>
      <c r="V128" s="555"/>
      <c r="W128" s="555"/>
      <c r="X128" s="554"/>
      <c r="Y128" s="644"/>
      <c r="Z128" s="554"/>
      <c r="AA128" s="555"/>
      <c r="AB128" s="555"/>
      <c r="AC128" s="554"/>
      <c r="AD128" s="644"/>
      <c r="AE128" s="554"/>
      <c r="AF128" s="555"/>
      <c r="AG128" s="555"/>
      <c r="AH128" s="554"/>
      <c r="AI128" s="644"/>
      <c r="AJ128" s="554"/>
      <c r="AK128" s="555"/>
      <c r="AL128" s="555"/>
      <c r="AM128" s="554"/>
      <c r="AN128" s="644"/>
      <c r="AO128" s="554"/>
      <c r="AP128" s="555"/>
      <c r="AQ128" s="555"/>
      <c r="AR128" s="554"/>
      <c r="AS128" s="644"/>
      <c r="AT128" s="554"/>
      <c r="AU128" s="555"/>
      <c r="AV128" s="555"/>
      <c r="AW128" s="554"/>
      <c r="AX128" s="644"/>
      <c r="AZ128" s="368" t="e">
        <f t="shared" si="22"/>
        <v>#N/A</v>
      </c>
      <c r="BA128" s="644"/>
    </row>
    <row r="129" spans="2:53">
      <c r="B129" s="649"/>
      <c r="C129" s="283">
        <v>18</v>
      </c>
      <c r="D129" s="201"/>
      <c r="E129" s="514"/>
      <c r="F129" s="201"/>
      <c r="G129" s="199"/>
      <c r="H129" s="703"/>
      <c r="I129" s="363" t="str">
        <f t="shared" si="19"/>
        <v>-</v>
      </c>
      <c r="J129" s="363" t="str">
        <f t="shared" si="20"/>
        <v>-</v>
      </c>
      <c r="K129" s="199" t="str">
        <f t="shared" si="21"/>
        <v>-</v>
      </c>
      <c r="L129" s="659"/>
      <c r="M129" s="200" t="e">
        <f>RANK(K129, K$112:$K$141)</f>
        <v>#VALUE!</v>
      </c>
      <c r="N129" s="643"/>
      <c r="O129" s="643"/>
      <c r="P129" s="554"/>
      <c r="Q129" s="555"/>
      <c r="R129" s="555"/>
      <c r="S129" s="554"/>
      <c r="T129" s="644"/>
      <c r="U129" s="554"/>
      <c r="V129" s="555"/>
      <c r="W129" s="555"/>
      <c r="X129" s="554"/>
      <c r="Y129" s="644"/>
      <c r="Z129" s="554"/>
      <c r="AA129" s="555"/>
      <c r="AB129" s="555"/>
      <c r="AC129" s="554"/>
      <c r="AD129" s="644"/>
      <c r="AE129" s="554"/>
      <c r="AF129" s="555"/>
      <c r="AG129" s="555"/>
      <c r="AH129" s="554"/>
      <c r="AI129" s="644"/>
      <c r="AJ129" s="554"/>
      <c r="AK129" s="555"/>
      <c r="AL129" s="555"/>
      <c r="AM129" s="554"/>
      <c r="AN129" s="644"/>
      <c r="AO129" s="554"/>
      <c r="AP129" s="555"/>
      <c r="AQ129" s="555"/>
      <c r="AR129" s="554"/>
      <c r="AS129" s="644"/>
      <c r="AT129" s="554"/>
      <c r="AU129" s="555"/>
      <c r="AV129" s="555"/>
      <c r="AW129" s="554"/>
      <c r="AX129" s="644"/>
      <c r="AZ129" s="368" t="e">
        <f t="shared" si="22"/>
        <v>#N/A</v>
      </c>
      <c r="BA129" s="644"/>
    </row>
    <row r="130" spans="2:53">
      <c r="B130" s="649"/>
      <c r="C130" s="283">
        <v>19</v>
      </c>
      <c r="D130" s="201"/>
      <c r="E130" s="514"/>
      <c r="F130" s="201"/>
      <c r="G130" s="199"/>
      <c r="H130" s="703"/>
      <c r="I130" s="363" t="str">
        <f t="shared" si="19"/>
        <v>-</v>
      </c>
      <c r="J130" s="363" t="str">
        <f t="shared" si="20"/>
        <v>-</v>
      </c>
      <c r="K130" s="199" t="str">
        <f t="shared" si="21"/>
        <v>-</v>
      </c>
      <c r="L130" s="659"/>
      <c r="M130" s="200" t="e">
        <f>RANK(K130, K$112:$K$141)</f>
        <v>#VALUE!</v>
      </c>
      <c r="N130" s="643"/>
      <c r="O130" s="643"/>
      <c r="P130" s="554"/>
      <c r="Q130" s="555"/>
      <c r="R130" s="555"/>
      <c r="S130" s="554"/>
      <c r="T130" s="644"/>
      <c r="U130" s="554"/>
      <c r="V130" s="555"/>
      <c r="W130" s="555"/>
      <c r="X130" s="554"/>
      <c r="Y130" s="644"/>
      <c r="Z130" s="554"/>
      <c r="AA130" s="555"/>
      <c r="AB130" s="555"/>
      <c r="AC130" s="554"/>
      <c r="AD130" s="644"/>
      <c r="AE130" s="554"/>
      <c r="AF130" s="555"/>
      <c r="AG130" s="555"/>
      <c r="AH130" s="554"/>
      <c r="AI130" s="644"/>
      <c r="AJ130" s="554"/>
      <c r="AK130" s="555"/>
      <c r="AL130" s="555"/>
      <c r="AM130" s="554"/>
      <c r="AN130" s="644"/>
      <c r="AO130" s="554"/>
      <c r="AP130" s="555"/>
      <c r="AQ130" s="555"/>
      <c r="AR130" s="554"/>
      <c r="AS130" s="644"/>
      <c r="AT130" s="554"/>
      <c r="AU130" s="555"/>
      <c r="AV130" s="555"/>
      <c r="AW130" s="554"/>
      <c r="AX130" s="644"/>
      <c r="AZ130" s="368" t="e">
        <f t="shared" si="22"/>
        <v>#N/A</v>
      </c>
      <c r="BA130" s="644"/>
    </row>
    <row r="131" spans="2:53">
      <c r="B131" s="649"/>
      <c r="C131" s="283">
        <v>20</v>
      </c>
      <c r="D131" s="201"/>
      <c r="E131" s="514"/>
      <c r="F131" s="201"/>
      <c r="G131" s="199"/>
      <c r="H131" s="703"/>
      <c r="I131" s="363" t="str">
        <f t="shared" si="19"/>
        <v>-</v>
      </c>
      <c r="J131" s="363" t="str">
        <f t="shared" si="20"/>
        <v>-</v>
      </c>
      <c r="K131" s="199" t="str">
        <f t="shared" si="21"/>
        <v>-</v>
      </c>
      <c r="L131" s="659"/>
      <c r="M131" s="200" t="e">
        <f>RANK(K131, K$112:$K$141)</f>
        <v>#VALUE!</v>
      </c>
      <c r="N131" s="643"/>
      <c r="O131" s="643"/>
      <c r="P131" s="554"/>
      <c r="Q131" s="555"/>
      <c r="R131" s="555"/>
      <c r="S131" s="554"/>
      <c r="T131" s="644"/>
      <c r="U131" s="554"/>
      <c r="V131" s="555"/>
      <c r="W131" s="555"/>
      <c r="X131" s="554"/>
      <c r="Y131" s="644"/>
      <c r="Z131" s="554"/>
      <c r="AA131" s="555"/>
      <c r="AB131" s="555"/>
      <c r="AC131" s="554"/>
      <c r="AD131" s="644"/>
      <c r="AE131" s="554"/>
      <c r="AF131" s="555"/>
      <c r="AG131" s="555"/>
      <c r="AH131" s="554"/>
      <c r="AI131" s="644"/>
      <c r="AJ131" s="554"/>
      <c r="AK131" s="555"/>
      <c r="AL131" s="555"/>
      <c r="AM131" s="554"/>
      <c r="AN131" s="644"/>
      <c r="AO131" s="554"/>
      <c r="AP131" s="555"/>
      <c r="AQ131" s="555"/>
      <c r="AR131" s="554"/>
      <c r="AS131" s="644"/>
      <c r="AT131" s="554"/>
      <c r="AU131" s="555"/>
      <c r="AV131" s="555"/>
      <c r="AW131" s="554"/>
      <c r="AX131" s="644"/>
      <c r="AZ131" s="368" t="e">
        <f t="shared" si="22"/>
        <v>#N/A</v>
      </c>
      <c r="BA131" s="644"/>
    </row>
    <row r="132" spans="2:53">
      <c r="B132" s="649"/>
      <c r="C132" s="283">
        <v>21</v>
      </c>
      <c r="D132" s="201"/>
      <c r="E132" s="514"/>
      <c r="F132" s="201"/>
      <c r="G132" s="199"/>
      <c r="H132" s="703"/>
      <c r="I132" s="363" t="str">
        <f t="shared" si="19"/>
        <v>-</v>
      </c>
      <c r="J132" s="363" t="str">
        <f t="shared" si="20"/>
        <v>-</v>
      </c>
      <c r="K132" s="199" t="str">
        <f t="shared" si="21"/>
        <v>-</v>
      </c>
      <c r="L132" s="659"/>
      <c r="M132" s="200" t="e">
        <f>RANK(K132, K$112:$K$141)</f>
        <v>#VALUE!</v>
      </c>
      <c r="N132" s="643"/>
      <c r="O132" s="643"/>
      <c r="P132" s="554"/>
      <c r="Q132" s="555"/>
      <c r="R132" s="555"/>
      <c r="S132" s="554"/>
      <c r="T132" s="644"/>
      <c r="U132" s="554"/>
      <c r="V132" s="555"/>
      <c r="W132" s="555"/>
      <c r="X132" s="554"/>
      <c r="Y132" s="644"/>
      <c r="Z132" s="554"/>
      <c r="AA132" s="555"/>
      <c r="AB132" s="555"/>
      <c r="AC132" s="554"/>
      <c r="AD132" s="644"/>
      <c r="AE132" s="554"/>
      <c r="AF132" s="555"/>
      <c r="AG132" s="555"/>
      <c r="AH132" s="554"/>
      <c r="AI132" s="644"/>
      <c r="AJ132" s="554"/>
      <c r="AK132" s="555"/>
      <c r="AL132" s="555"/>
      <c r="AM132" s="554"/>
      <c r="AN132" s="644"/>
      <c r="AO132" s="554"/>
      <c r="AP132" s="555"/>
      <c r="AQ132" s="555"/>
      <c r="AR132" s="554"/>
      <c r="AS132" s="644"/>
      <c r="AT132" s="554"/>
      <c r="AU132" s="555"/>
      <c r="AV132" s="555"/>
      <c r="AW132" s="554"/>
      <c r="AX132" s="644"/>
      <c r="AZ132" s="368" t="e">
        <f t="shared" si="22"/>
        <v>#N/A</v>
      </c>
      <c r="BA132" s="644"/>
    </row>
    <row r="133" spans="2:53">
      <c r="B133" s="649"/>
      <c r="C133" s="283">
        <v>22</v>
      </c>
      <c r="D133" s="201"/>
      <c r="E133" s="514"/>
      <c r="F133" s="201"/>
      <c r="G133" s="199"/>
      <c r="H133" s="703"/>
      <c r="I133" s="363" t="str">
        <f t="shared" si="19"/>
        <v>-</v>
      </c>
      <c r="J133" s="363" t="str">
        <f t="shared" si="20"/>
        <v>-</v>
      </c>
      <c r="K133" s="199" t="str">
        <f t="shared" si="21"/>
        <v>-</v>
      </c>
      <c r="L133" s="659"/>
      <c r="M133" s="200" t="e">
        <f>RANK(K133, K$112:$K$141)</f>
        <v>#VALUE!</v>
      </c>
      <c r="N133" s="643"/>
      <c r="O133" s="643"/>
      <c r="P133" s="554"/>
      <c r="Q133" s="555"/>
      <c r="R133" s="555"/>
      <c r="S133" s="554"/>
      <c r="T133" s="644"/>
      <c r="U133" s="554"/>
      <c r="V133" s="555"/>
      <c r="W133" s="555"/>
      <c r="X133" s="554"/>
      <c r="Y133" s="644"/>
      <c r="Z133" s="554"/>
      <c r="AA133" s="555"/>
      <c r="AB133" s="555"/>
      <c r="AC133" s="554"/>
      <c r="AD133" s="644"/>
      <c r="AE133" s="554"/>
      <c r="AF133" s="555"/>
      <c r="AG133" s="555"/>
      <c r="AH133" s="554"/>
      <c r="AI133" s="644"/>
      <c r="AJ133" s="554"/>
      <c r="AK133" s="555"/>
      <c r="AL133" s="555"/>
      <c r="AM133" s="554"/>
      <c r="AN133" s="644"/>
      <c r="AO133" s="554"/>
      <c r="AP133" s="555"/>
      <c r="AQ133" s="555"/>
      <c r="AR133" s="554"/>
      <c r="AS133" s="644"/>
      <c r="AT133" s="554"/>
      <c r="AU133" s="555"/>
      <c r="AV133" s="555"/>
      <c r="AW133" s="554"/>
      <c r="AX133" s="644"/>
      <c r="AZ133" s="368" t="e">
        <f t="shared" si="22"/>
        <v>#N/A</v>
      </c>
      <c r="BA133" s="644"/>
    </row>
    <row r="134" spans="2:53">
      <c r="B134" s="649"/>
      <c r="C134" s="283">
        <v>23</v>
      </c>
      <c r="D134" s="201"/>
      <c r="E134" s="514"/>
      <c r="F134" s="201"/>
      <c r="G134" s="199"/>
      <c r="H134" s="703"/>
      <c r="I134" s="363" t="str">
        <f t="shared" si="19"/>
        <v>-</v>
      </c>
      <c r="J134" s="363" t="str">
        <f t="shared" si="20"/>
        <v>-</v>
      </c>
      <c r="K134" s="199" t="str">
        <f t="shared" si="21"/>
        <v>-</v>
      </c>
      <c r="L134" s="659"/>
      <c r="M134" s="200" t="e">
        <f>RANK(K134, K$112:$K$141)</f>
        <v>#VALUE!</v>
      </c>
      <c r="N134" s="643"/>
      <c r="O134" s="643"/>
      <c r="P134" s="554"/>
      <c r="Q134" s="555"/>
      <c r="R134" s="555"/>
      <c r="S134" s="554"/>
      <c r="T134" s="644"/>
      <c r="U134" s="554"/>
      <c r="V134" s="555"/>
      <c r="W134" s="555"/>
      <c r="X134" s="554"/>
      <c r="Y134" s="644"/>
      <c r="Z134" s="554"/>
      <c r="AA134" s="555"/>
      <c r="AB134" s="555"/>
      <c r="AC134" s="554"/>
      <c r="AD134" s="644"/>
      <c r="AE134" s="554"/>
      <c r="AF134" s="555"/>
      <c r="AG134" s="555"/>
      <c r="AH134" s="554"/>
      <c r="AI134" s="644"/>
      <c r="AJ134" s="554"/>
      <c r="AK134" s="555"/>
      <c r="AL134" s="555"/>
      <c r="AM134" s="554"/>
      <c r="AN134" s="644"/>
      <c r="AO134" s="554"/>
      <c r="AP134" s="555"/>
      <c r="AQ134" s="555"/>
      <c r="AR134" s="554"/>
      <c r="AS134" s="644"/>
      <c r="AT134" s="554"/>
      <c r="AU134" s="555"/>
      <c r="AV134" s="555"/>
      <c r="AW134" s="554"/>
      <c r="AX134" s="644"/>
      <c r="AZ134" s="368" t="e">
        <f t="shared" si="22"/>
        <v>#N/A</v>
      </c>
      <c r="BA134" s="644"/>
    </row>
    <row r="135" spans="2:53">
      <c r="B135" s="649"/>
      <c r="C135" s="283">
        <v>24</v>
      </c>
      <c r="D135" s="201"/>
      <c r="E135" s="514"/>
      <c r="F135" s="201"/>
      <c r="G135" s="199"/>
      <c r="H135" s="703"/>
      <c r="I135" s="363" t="str">
        <f t="shared" si="19"/>
        <v>-</v>
      </c>
      <c r="J135" s="363" t="str">
        <f t="shared" si="20"/>
        <v>-</v>
      </c>
      <c r="K135" s="199" t="str">
        <f t="shared" si="21"/>
        <v>-</v>
      </c>
      <c r="L135" s="659"/>
      <c r="M135" s="200" t="e">
        <f>RANK(K135, K$112:$K$141)</f>
        <v>#VALUE!</v>
      </c>
      <c r="N135" s="643"/>
      <c r="O135" s="643"/>
      <c r="P135" s="554"/>
      <c r="Q135" s="555"/>
      <c r="R135" s="555"/>
      <c r="S135" s="554"/>
      <c r="T135" s="644"/>
      <c r="U135" s="554"/>
      <c r="V135" s="555"/>
      <c r="W135" s="555"/>
      <c r="X135" s="554"/>
      <c r="Y135" s="644"/>
      <c r="Z135" s="554"/>
      <c r="AA135" s="555"/>
      <c r="AB135" s="555"/>
      <c r="AC135" s="554"/>
      <c r="AD135" s="644"/>
      <c r="AE135" s="554"/>
      <c r="AF135" s="555"/>
      <c r="AG135" s="555"/>
      <c r="AH135" s="554"/>
      <c r="AI135" s="644"/>
      <c r="AJ135" s="554"/>
      <c r="AK135" s="555"/>
      <c r="AL135" s="555"/>
      <c r="AM135" s="554"/>
      <c r="AN135" s="644"/>
      <c r="AO135" s="554"/>
      <c r="AP135" s="555"/>
      <c r="AQ135" s="555"/>
      <c r="AR135" s="554"/>
      <c r="AS135" s="644"/>
      <c r="AT135" s="554"/>
      <c r="AU135" s="555"/>
      <c r="AV135" s="555"/>
      <c r="AW135" s="554"/>
      <c r="AX135" s="644"/>
      <c r="AZ135" s="368" t="e">
        <f t="shared" si="22"/>
        <v>#N/A</v>
      </c>
      <c r="BA135" s="644"/>
    </row>
    <row r="136" spans="2:53">
      <c r="B136" s="649"/>
      <c r="C136" s="283">
        <v>25</v>
      </c>
      <c r="D136" s="201"/>
      <c r="E136" s="514"/>
      <c r="F136" s="201"/>
      <c r="G136" s="199"/>
      <c r="H136" s="703"/>
      <c r="I136" s="363" t="str">
        <f t="shared" si="19"/>
        <v>-</v>
      </c>
      <c r="J136" s="363" t="str">
        <f t="shared" si="20"/>
        <v>-</v>
      </c>
      <c r="K136" s="199" t="str">
        <f t="shared" si="21"/>
        <v>-</v>
      </c>
      <c r="L136" s="659"/>
      <c r="M136" s="200" t="e">
        <f>RANK(K136, K$112:$K$141)</f>
        <v>#VALUE!</v>
      </c>
      <c r="N136" s="643"/>
      <c r="O136" s="643"/>
      <c r="P136" s="554"/>
      <c r="Q136" s="555"/>
      <c r="R136" s="555"/>
      <c r="S136" s="554"/>
      <c r="T136" s="644"/>
      <c r="U136" s="554"/>
      <c r="V136" s="555"/>
      <c r="W136" s="555"/>
      <c r="X136" s="554"/>
      <c r="Y136" s="644"/>
      <c r="Z136" s="554"/>
      <c r="AA136" s="555"/>
      <c r="AB136" s="555"/>
      <c r="AC136" s="554"/>
      <c r="AD136" s="644"/>
      <c r="AE136" s="554"/>
      <c r="AF136" s="555"/>
      <c r="AG136" s="555"/>
      <c r="AH136" s="554"/>
      <c r="AI136" s="644"/>
      <c r="AJ136" s="554"/>
      <c r="AK136" s="555"/>
      <c r="AL136" s="555"/>
      <c r="AM136" s="554"/>
      <c r="AN136" s="644"/>
      <c r="AO136" s="554"/>
      <c r="AP136" s="555"/>
      <c r="AQ136" s="555"/>
      <c r="AR136" s="554"/>
      <c r="AS136" s="644"/>
      <c r="AT136" s="554"/>
      <c r="AU136" s="555"/>
      <c r="AV136" s="555"/>
      <c r="AW136" s="554"/>
      <c r="AX136" s="644"/>
      <c r="AZ136" s="368" t="e">
        <f t="shared" si="22"/>
        <v>#N/A</v>
      </c>
      <c r="BA136" s="644"/>
    </row>
    <row r="137" spans="2:53">
      <c r="B137" s="649"/>
      <c r="C137" s="283">
        <v>26</v>
      </c>
      <c r="D137" s="201"/>
      <c r="E137" s="514"/>
      <c r="F137" s="201"/>
      <c r="G137" s="199"/>
      <c r="H137" s="703"/>
      <c r="I137" s="363" t="str">
        <f t="shared" si="19"/>
        <v>-</v>
      </c>
      <c r="J137" s="363" t="str">
        <f t="shared" si="20"/>
        <v>-</v>
      </c>
      <c r="K137" s="199" t="str">
        <f t="shared" si="21"/>
        <v>-</v>
      </c>
      <c r="L137" s="659"/>
      <c r="M137" s="200" t="e">
        <f>RANK(K137, K$112:$K$141)</f>
        <v>#VALUE!</v>
      </c>
      <c r="N137" s="643"/>
      <c r="O137" s="643"/>
      <c r="P137" s="554"/>
      <c r="Q137" s="555"/>
      <c r="R137" s="555"/>
      <c r="S137" s="554"/>
      <c r="T137" s="644"/>
      <c r="U137" s="554"/>
      <c r="V137" s="555"/>
      <c r="W137" s="555"/>
      <c r="X137" s="554"/>
      <c r="Y137" s="644"/>
      <c r="Z137" s="554"/>
      <c r="AA137" s="555"/>
      <c r="AB137" s="555"/>
      <c r="AC137" s="554"/>
      <c r="AD137" s="644"/>
      <c r="AE137" s="554"/>
      <c r="AF137" s="555"/>
      <c r="AG137" s="555"/>
      <c r="AH137" s="554"/>
      <c r="AI137" s="644"/>
      <c r="AJ137" s="554"/>
      <c r="AK137" s="555"/>
      <c r="AL137" s="555"/>
      <c r="AM137" s="554"/>
      <c r="AN137" s="644"/>
      <c r="AO137" s="554"/>
      <c r="AP137" s="555"/>
      <c r="AQ137" s="555"/>
      <c r="AR137" s="554"/>
      <c r="AS137" s="644"/>
      <c r="AT137" s="554"/>
      <c r="AU137" s="555"/>
      <c r="AV137" s="555"/>
      <c r="AW137" s="554"/>
      <c r="AX137" s="644"/>
      <c r="AZ137" s="368" t="e">
        <f t="shared" si="22"/>
        <v>#N/A</v>
      </c>
      <c r="BA137" s="644"/>
    </row>
    <row r="138" spans="2:53">
      <c r="B138" s="649"/>
      <c r="C138" s="283">
        <v>27</v>
      </c>
      <c r="D138" s="201"/>
      <c r="E138" s="514"/>
      <c r="F138" s="201"/>
      <c r="G138" s="199"/>
      <c r="H138" s="703"/>
      <c r="I138" s="363" t="str">
        <f t="shared" si="19"/>
        <v>-</v>
      </c>
      <c r="J138" s="363" t="str">
        <f t="shared" si="20"/>
        <v>-</v>
      </c>
      <c r="K138" s="199" t="str">
        <f t="shared" si="21"/>
        <v>-</v>
      </c>
      <c r="L138" s="659"/>
      <c r="M138" s="200" t="e">
        <f>RANK(K138, K$112:$K$141)</f>
        <v>#VALUE!</v>
      </c>
      <c r="N138" s="643"/>
      <c r="O138" s="643"/>
      <c r="P138" s="554"/>
      <c r="Q138" s="555"/>
      <c r="R138" s="555"/>
      <c r="S138" s="554"/>
      <c r="T138" s="644"/>
      <c r="U138" s="554"/>
      <c r="V138" s="555"/>
      <c r="W138" s="555"/>
      <c r="X138" s="554"/>
      <c r="Y138" s="644"/>
      <c r="Z138" s="554"/>
      <c r="AA138" s="555"/>
      <c r="AB138" s="555"/>
      <c r="AC138" s="554"/>
      <c r="AD138" s="644"/>
      <c r="AE138" s="554"/>
      <c r="AF138" s="555"/>
      <c r="AG138" s="555"/>
      <c r="AH138" s="554"/>
      <c r="AI138" s="644"/>
      <c r="AJ138" s="554"/>
      <c r="AK138" s="555"/>
      <c r="AL138" s="555"/>
      <c r="AM138" s="554"/>
      <c r="AN138" s="644"/>
      <c r="AO138" s="554"/>
      <c r="AP138" s="555"/>
      <c r="AQ138" s="555"/>
      <c r="AR138" s="554"/>
      <c r="AS138" s="644"/>
      <c r="AT138" s="554"/>
      <c r="AU138" s="555"/>
      <c r="AV138" s="555"/>
      <c r="AW138" s="554"/>
      <c r="AX138" s="644"/>
      <c r="AZ138" s="368" t="e">
        <f t="shared" si="22"/>
        <v>#N/A</v>
      </c>
      <c r="BA138" s="644"/>
    </row>
    <row r="139" spans="2:53">
      <c r="B139" s="649"/>
      <c r="C139" s="283">
        <v>28</v>
      </c>
      <c r="D139" s="201"/>
      <c r="E139" s="514"/>
      <c r="F139" s="201"/>
      <c r="G139" s="199"/>
      <c r="H139" s="703"/>
      <c r="I139" s="363" t="str">
        <f t="shared" si="19"/>
        <v>-</v>
      </c>
      <c r="J139" s="363" t="str">
        <f t="shared" si="20"/>
        <v>-</v>
      </c>
      <c r="K139" s="199" t="str">
        <f t="shared" si="21"/>
        <v>-</v>
      </c>
      <c r="L139" s="659"/>
      <c r="M139" s="200" t="e">
        <f>RANK(K139, K$112:$K$141)</f>
        <v>#VALUE!</v>
      </c>
      <c r="N139" s="643"/>
      <c r="O139" s="643"/>
      <c r="P139" s="554"/>
      <c r="Q139" s="555"/>
      <c r="R139" s="555"/>
      <c r="S139" s="554"/>
      <c r="T139" s="644"/>
      <c r="U139" s="554"/>
      <c r="V139" s="555"/>
      <c r="W139" s="555"/>
      <c r="X139" s="554"/>
      <c r="Y139" s="644"/>
      <c r="Z139" s="554"/>
      <c r="AA139" s="555"/>
      <c r="AB139" s="555"/>
      <c r="AC139" s="554"/>
      <c r="AD139" s="644"/>
      <c r="AE139" s="554"/>
      <c r="AF139" s="555"/>
      <c r="AG139" s="555"/>
      <c r="AH139" s="554"/>
      <c r="AI139" s="644"/>
      <c r="AJ139" s="554"/>
      <c r="AK139" s="555"/>
      <c r="AL139" s="555"/>
      <c r="AM139" s="554"/>
      <c r="AN139" s="644"/>
      <c r="AO139" s="554"/>
      <c r="AP139" s="555"/>
      <c r="AQ139" s="555"/>
      <c r="AR139" s="554"/>
      <c r="AS139" s="644"/>
      <c r="AT139" s="554"/>
      <c r="AU139" s="555"/>
      <c r="AV139" s="555"/>
      <c r="AW139" s="554"/>
      <c r="AX139" s="644"/>
      <c r="AZ139" s="368" t="e">
        <f t="shared" si="22"/>
        <v>#N/A</v>
      </c>
      <c r="BA139" s="644"/>
    </row>
    <row r="140" spans="2:53">
      <c r="B140" s="649"/>
      <c r="C140" s="283">
        <v>29</v>
      </c>
      <c r="D140" s="201"/>
      <c r="E140" s="514"/>
      <c r="F140" s="201"/>
      <c r="G140" s="199"/>
      <c r="H140" s="703"/>
      <c r="I140" s="363" t="str">
        <f t="shared" si="19"/>
        <v>-</v>
      </c>
      <c r="J140" s="363" t="str">
        <f t="shared" si="20"/>
        <v>-</v>
      </c>
      <c r="K140" s="199" t="str">
        <f t="shared" si="21"/>
        <v>-</v>
      </c>
      <c r="L140" s="659"/>
      <c r="M140" s="200" t="e">
        <f>RANK(K140, K$112:$K$141)</f>
        <v>#VALUE!</v>
      </c>
      <c r="N140" s="643"/>
      <c r="O140" s="643"/>
      <c r="P140" s="554"/>
      <c r="Q140" s="555"/>
      <c r="R140" s="555"/>
      <c r="S140" s="554"/>
      <c r="T140" s="644"/>
      <c r="U140" s="554"/>
      <c r="V140" s="555"/>
      <c r="W140" s="555"/>
      <c r="X140" s="554"/>
      <c r="Y140" s="644"/>
      <c r="Z140" s="554"/>
      <c r="AA140" s="555"/>
      <c r="AB140" s="555"/>
      <c r="AC140" s="554"/>
      <c r="AD140" s="644"/>
      <c r="AE140" s="554"/>
      <c r="AF140" s="555"/>
      <c r="AG140" s="555"/>
      <c r="AH140" s="554"/>
      <c r="AI140" s="644"/>
      <c r="AJ140" s="554"/>
      <c r="AK140" s="555"/>
      <c r="AL140" s="555"/>
      <c r="AM140" s="554"/>
      <c r="AN140" s="644"/>
      <c r="AO140" s="554"/>
      <c r="AP140" s="555"/>
      <c r="AQ140" s="555"/>
      <c r="AR140" s="554"/>
      <c r="AS140" s="644"/>
      <c r="AT140" s="554"/>
      <c r="AU140" s="555"/>
      <c r="AV140" s="555"/>
      <c r="AW140" s="554"/>
      <c r="AX140" s="644"/>
      <c r="AZ140" s="368" t="e">
        <f t="shared" si="22"/>
        <v>#N/A</v>
      </c>
      <c r="BA140" s="644"/>
    </row>
    <row r="141" spans="2:53">
      <c r="B141" s="649"/>
      <c r="C141" s="283">
        <v>30</v>
      </c>
      <c r="D141" s="201"/>
      <c r="E141" s="514"/>
      <c r="F141" s="201"/>
      <c r="G141" s="199"/>
      <c r="H141" s="704"/>
      <c r="I141" s="363" t="str">
        <f t="shared" si="19"/>
        <v>-</v>
      </c>
      <c r="J141" s="363" t="str">
        <f t="shared" si="20"/>
        <v>-</v>
      </c>
      <c r="K141" s="199" t="str">
        <f t="shared" si="21"/>
        <v>-</v>
      </c>
      <c r="L141" s="660"/>
      <c r="M141" s="200" t="e">
        <f>RANK(K141, K$112:$K$141)</f>
        <v>#VALUE!</v>
      </c>
      <c r="N141" s="643"/>
      <c r="O141" s="643"/>
      <c r="P141" s="554"/>
      <c r="Q141" s="555"/>
      <c r="R141" s="555"/>
      <c r="S141" s="554"/>
      <c r="T141" s="644"/>
      <c r="U141" s="554"/>
      <c r="V141" s="555"/>
      <c r="W141" s="555"/>
      <c r="X141" s="554"/>
      <c r="Y141" s="644"/>
      <c r="Z141" s="554"/>
      <c r="AA141" s="555"/>
      <c r="AB141" s="555"/>
      <c r="AC141" s="554"/>
      <c r="AD141" s="644"/>
      <c r="AE141" s="554"/>
      <c r="AF141" s="555"/>
      <c r="AG141" s="555"/>
      <c r="AH141" s="554"/>
      <c r="AI141" s="644"/>
      <c r="AJ141" s="554"/>
      <c r="AK141" s="555"/>
      <c r="AL141" s="555"/>
      <c r="AM141" s="554"/>
      <c r="AN141" s="644"/>
      <c r="AO141" s="554"/>
      <c r="AP141" s="555"/>
      <c r="AQ141" s="555"/>
      <c r="AR141" s="554"/>
      <c r="AS141" s="644"/>
      <c r="AT141" s="554"/>
      <c r="AU141" s="555"/>
      <c r="AV141" s="555"/>
      <c r="AW141" s="554"/>
      <c r="AX141" s="644"/>
      <c r="AZ141" s="368" t="e">
        <f t="shared" si="22"/>
        <v>#N/A</v>
      </c>
      <c r="BA141" s="644"/>
    </row>
    <row r="142" spans="2:53" ht="15.75">
      <c r="B142" s="671" t="s">
        <v>162</v>
      </c>
      <c r="C142" s="672"/>
      <c r="D142" s="672"/>
      <c r="E142" s="672"/>
      <c r="F142" s="672"/>
      <c r="G142" s="672"/>
      <c r="H142" s="673"/>
      <c r="I142" s="207"/>
      <c r="J142" s="207"/>
      <c r="K142" s="207"/>
      <c r="L142" s="207"/>
      <c r="M142" s="206"/>
      <c r="N142" s="645" t="s">
        <v>156</v>
      </c>
      <c r="O142" s="645" t="s">
        <v>105</v>
      </c>
      <c r="P142" s="667">
        <f>P107+7</f>
        <v>46294</v>
      </c>
      <c r="Q142" s="668"/>
      <c r="R142" s="668"/>
      <c r="S142" s="668"/>
      <c r="T142" s="669"/>
      <c r="U142" s="667">
        <f>P142+1</f>
        <v>46295</v>
      </c>
      <c r="V142" s="668"/>
      <c r="W142" s="668"/>
      <c r="X142" s="668"/>
      <c r="Y142" s="669"/>
      <c r="Z142" s="667">
        <f>U142+1</f>
        <v>46296</v>
      </c>
      <c r="AA142" s="668"/>
      <c r="AB142" s="668"/>
      <c r="AC142" s="668"/>
      <c r="AD142" s="669"/>
      <c r="AE142" s="667">
        <f>Z142+1</f>
        <v>46297</v>
      </c>
      <c r="AF142" s="668"/>
      <c r="AG142" s="668"/>
      <c r="AH142" s="668"/>
      <c r="AI142" s="669"/>
      <c r="AJ142" s="667">
        <f>AE142+1</f>
        <v>46298</v>
      </c>
      <c r="AK142" s="668"/>
      <c r="AL142" s="668"/>
      <c r="AM142" s="668"/>
      <c r="AN142" s="669"/>
      <c r="AO142" s="667">
        <f>AJ142+1</f>
        <v>46299</v>
      </c>
      <c r="AP142" s="668"/>
      <c r="AQ142" s="668"/>
      <c r="AR142" s="668"/>
      <c r="AS142" s="669"/>
      <c r="AT142" s="667">
        <f>AO142+1</f>
        <v>46300</v>
      </c>
      <c r="AU142" s="668"/>
      <c r="AV142" s="668"/>
      <c r="AW142" s="668"/>
      <c r="AX142" s="669"/>
    </row>
    <row r="143" spans="2:53" ht="15.75">
      <c r="B143" s="674"/>
      <c r="C143" s="674"/>
      <c r="D143" s="674"/>
      <c r="E143" s="674"/>
      <c r="F143" s="674"/>
      <c r="G143" s="674"/>
      <c r="H143" s="674"/>
      <c r="I143" s="204"/>
      <c r="J143" s="204"/>
      <c r="K143" s="204"/>
      <c r="L143" s="204"/>
      <c r="M143" s="205"/>
      <c r="N143" s="647"/>
      <c r="O143" s="647"/>
      <c r="P143" s="667" t="s">
        <v>317</v>
      </c>
      <c r="Q143" s="668"/>
      <c r="R143" s="668"/>
      <c r="S143" s="668"/>
      <c r="T143" s="669"/>
      <c r="U143" s="667" t="s">
        <v>318</v>
      </c>
      <c r="V143" s="668"/>
      <c r="W143" s="668"/>
      <c r="X143" s="668"/>
      <c r="Y143" s="669"/>
      <c r="Z143" s="667" t="s">
        <v>319</v>
      </c>
      <c r="AA143" s="668"/>
      <c r="AB143" s="668"/>
      <c r="AC143" s="668"/>
      <c r="AD143" s="669"/>
      <c r="AE143" s="667" t="s">
        <v>320</v>
      </c>
      <c r="AF143" s="668"/>
      <c r="AG143" s="668"/>
      <c r="AH143" s="668"/>
      <c r="AI143" s="669"/>
      <c r="AJ143" s="667" t="s">
        <v>321</v>
      </c>
      <c r="AK143" s="668"/>
      <c r="AL143" s="668"/>
      <c r="AM143" s="668"/>
      <c r="AN143" s="669"/>
      <c r="AO143" s="667" t="s">
        <v>322</v>
      </c>
      <c r="AP143" s="668"/>
      <c r="AQ143" s="668"/>
      <c r="AR143" s="668"/>
      <c r="AS143" s="669"/>
      <c r="AT143" s="667" t="s">
        <v>323</v>
      </c>
      <c r="AU143" s="668"/>
      <c r="AV143" s="668"/>
      <c r="AW143" s="668"/>
      <c r="AX143" s="669"/>
    </row>
    <row r="144" spans="2:53">
      <c r="B144" s="643" t="s">
        <v>400</v>
      </c>
      <c r="C144" s="643" t="s">
        <v>401</v>
      </c>
      <c r="D144" s="643"/>
      <c r="E144" s="643" t="s">
        <v>402</v>
      </c>
      <c r="F144" s="643"/>
      <c r="G144" s="643"/>
      <c r="H144" s="675" t="s">
        <v>403</v>
      </c>
      <c r="I144" s="690" t="s">
        <v>404</v>
      </c>
      <c r="J144" s="690"/>
      <c r="K144" s="690"/>
      <c r="L144" s="691" t="s">
        <v>403</v>
      </c>
      <c r="M144" s="679" t="s">
        <v>405</v>
      </c>
      <c r="N144" s="643"/>
      <c r="O144" s="643" t="s">
        <v>406</v>
      </c>
      <c r="P144" s="661" t="s">
        <v>407</v>
      </c>
      <c r="Q144" s="662"/>
      <c r="R144" s="662"/>
      <c r="S144" s="663"/>
      <c r="T144" s="643" t="s">
        <v>403</v>
      </c>
      <c r="U144" s="661" t="s">
        <v>407</v>
      </c>
      <c r="V144" s="662"/>
      <c r="W144" s="662"/>
      <c r="X144" s="663"/>
      <c r="Y144" s="643" t="s">
        <v>403</v>
      </c>
      <c r="Z144" s="661" t="s">
        <v>407</v>
      </c>
      <c r="AA144" s="662"/>
      <c r="AB144" s="662"/>
      <c r="AC144" s="663"/>
      <c r="AD144" s="643" t="s">
        <v>403</v>
      </c>
      <c r="AE144" s="661" t="s">
        <v>407</v>
      </c>
      <c r="AF144" s="662"/>
      <c r="AG144" s="662"/>
      <c r="AH144" s="663"/>
      <c r="AI144" s="643" t="s">
        <v>403</v>
      </c>
      <c r="AJ144" s="661" t="s">
        <v>407</v>
      </c>
      <c r="AK144" s="662"/>
      <c r="AL144" s="662"/>
      <c r="AM144" s="663"/>
      <c r="AN144" s="643" t="s">
        <v>403</v>
      </c>
      <c r="AO144" s="661" t="s">
        <v>407</v>
      </c>
      <c r="AP144" s="662"/>
      <c r="AQ144" s="662"/>
      <c r="AR144" s="663"/>
      <c r="AS144" s="643" t="s">
        <v>403</v>
      </c>
      <c r="AT144" s="661" t="s">
        <v>407</v>
      </c>
      <c r="AU144" s="662"/>
      <c r="AV144" s="662"/>
      <c r="AW144" s="663"/>
      <c r="AX144" s="643" t="s">
        <v>403</v>
      </c>
      <c r="BA144" s="643" t="s">
        <v>359</v>
      </c>
    </row>
    <row r="145" spans="2:53">
      <c r="B145" s="643"/>
      <c r="C145" s="643"/>
      <c r="D145" s="643"/>
      <c r="E145" s="643" t="s">
        <v>408</v>
      </c>
      <c r="F145" s="643"/>
      <c r="G145" s="643"/>
      <c r="H145" s="676"/>
      <c r="I145" s="690" t="s">
        <v>408</v>
      </c>
      <c r="J145" s="690"/>
      <c r="K145" s="690"/>
      <c r="L145" s="692"/>
      <c r="M145" s="680"/>
      <c r="N145" s="643"/>
      <c r="O145" s="643"/>
      <c r="P145" s="661" t="s">
        <v>409</v>
      </c>
      <c r="Q145" s="662"/>
      <c r="R145" s="662"/>
      <c r="S145" s="663"/>
      <c r="T145" s="643"/>
      <c r="U145" s="661" t="s">
        <v>409</v>
      </c>
      <c r="V145" s="662"/>
      <c r="W145" s="662"/>
      <c r="X145" s="663"/>
      <c r="Y145" s="643"/>
      <c r="Z145" s="661" t="s">
        <v>409</v>
      </c>
      <c r="AA145" s="662"/>
      <c r="AB145" s="662"/>
      <c r="AC145" s="663"/>
      <c r="AD145" s="643"/>
      <c r="AE145" s="661" t="s">
        <v>409</v>
      </c>
      <c r="AF145" s="662"/>
      <c r="AG145" s="662"/>
      <c r="AH145" s="663"/>
      <c r="AI145" s="643"/>
      <c r="AJ145" s="661" t="s">
        <v>409</v>
      </c>
      <c r="AK145" s="662"/>
      <c r="AL145" s="662"/>
      <c r="AM145" s="663"/>
      <c r="AN145" s="643"/>
      <c r="AO145" s="661" t="s">
        <v>409</v>
      </c>
      <c r="AP145" s="662"/>
      <c r="AQ145" s="662"/>
      <c r="AR145" s="663"/>
      <c r="AS145" s="643"/>
      <c r="AT145" s="661" t="s">
        <v>409</v>
      </c>
      <c r="AU145" s="662"/>
      <c r="AV145" s="662"/>
      <c r="AW145" s="663"/>
      <c r="AX145" s="643"/>
      <c r="BA145" s="643"/>
    </row>
    <row r="146" spans="2:53">
      <c r="B146" s="643"/>
      <c r="C146" s="643"/>
      <c r="D146" s="643"/>
      <c r="E146" s="279" t="s">
        <v>410</v>
      </c>
      <c r="F146" s="279" t="s">
        <v>411</v>
      </c>
      <c r="G146" s="279" t="s">
        <v>412</v>
      </c>
      <c r="H146" s="677"/>
      <c r="I146" s="280" t="s">
        <v>410</v>
      </c>
      <c r="J146" s="280" t="s">
        <v>411</v>
      </c>
      <c r="K146" s="280" t="s">
        <v>412</v>
      </c>
      <c r="L146" s="693"/>
      <c r="M146" s="681"/>
      <c r="N146" s="643"/>
      <c r="O146" s="643"/>
      <c r="P146" s="279" t="s">
        <v>410</v>
      </c>
      <c r="Q146" s="279" t="s">
        <v>411</v>
      </c>
      <c r="R146" s="279" t="s">
        <v>412</v>
      </c>
      <c r="S146" s="279" t="s">
        <v>405</v>
      </c>
      <c r="T146" s="643"/>
      <c r="U146" s="279" t="s">
        <v>410</v>
      </c>
      <c r="V146" s="279" t="s">
        <v>411</v>
      </c>
      <c r="W146" s="279" t="s">
        <v>412</v>
      </c>
      <c r="X146" s="279" t="s">
        <v>405</v>
      </c>
      <c r="Y146" s="643"/>
      <c r="Z146" s="279" t="s">
        <v>410</v>
      </c>
      <c r="AA146" s="279" t="s">
        <v>411</v>
      </c>
      <c r="AB146" s="279" t="s">
        <v>412</v>
      </c>
      <c r="AC146" s="279" t="s">
        <v>405</v>
      </c>
      <c r="AD146" s="643"/>
      <c r="AE146" s="279" t="s">
        <v>410</v>
      </c>
      <c r="AF146" s="279" t="s">
        <v>411</v>
      </c>
      <c r="AG146" s="279" t="s">
        <v>412</v>
      </c>
      <c r="AH146" s="279" t="s">
        <v>405</v>
      </c>
      <c r="AI146" s="643"/>
      <c r="AJ146" s="279" t="s">
        <v>410</v>
      </c>
      <c r="AK146" s="279" t="s">
        <v>411</v>
      </c>
      <c r="AL146" s="279" t="s">
        <v>412</v>
      </c>
      <c r="AM146" s="279" t="s">
        <v>405</v>
      </c>
      <c r="AN146" s="643"/>
      <c r="AO146" s="279" t="s">
        <v>410</v>
      </c>
      <c r="AP146" s="279" t="s">
        <v>411</v>
      </c>
      <c r="AQ146" s="279" t="s">
        <v>412</v>
      </c>
      <c r="AR146" s="279" t="s">
        <v>405</v>
      </c>
      <c r="AS146" s="643"/>
      <c r="AT146" s="279" t="s">
        <v>410</v>
      </c>
      <c r="AU146" s="279" t="s">
        <v>411</v>
      </c>
      <c r="AV146" s="279" t="s">
        <v>412</v>
      </c>
      <c r="AW146" s="279" t="s">
        <v>405</v>
      </c>
      <c r="AX146" s="643"/>
      <c r="AZ146" s="367" t="s">
        <v>360</v>
      </c>
      <c r="BA146" s="643"/>
    </row>
    <row r="147" spans="2:53">
      <c r="B147" s="643" t="s">
        <v>413</v>
      </c>
      <c r="C147" s="278">
        <v>1</v>
      </c>
      <c r="D147" s="201"/>
      <c r="E147" s="514"/>
      <c r="F147" s="201"/>
      <c r="G147" s="199"/>
      <c r="H147" s="702" t="e">
        <f>AVERAGE(G147:G176)</f>
        <v>#DIV/0!</v>
      </c>
      <c r="I147" s="363" t="str">
        <f>IFERROR(AVERAGE(P147,U147,Z147,AE147,AJ147,AO147,AT147),"-")</f>
        <v>-</v>
      </c>
      <c r="J147" s="363" t="str">
        <f>IFERROR(AVERAGE(Q147,V147,AA147,AF147,AK147,AP147,AU147),"-")</f>
        <v>-</v>
      </c>
      <c r="K147" s="199" t="str">
        <f>IFERROR(AVERAGE(R147,W147,AB147,AG147,AL147,AQ147,AV147),"-")</f>
        <v>-</v>
      </c>
      <c r="L147" s="658" t="str">
        <f>IFERROR(AVERAGE(K147:K176),"-")</f>
        <v>-</v>
      </c>
      <c r="M147" s="200" t="e">
        <f>RANK(K147, K$147:$K$176)</f>
        <v>#VALUE!</v>
      </c>
      <c r="N147" s="643"/>
      <c r="O147" s="643"/>
      <c r="P147" s="556"/>
      <c r="Q147" s="557"/>
      <c r="R147" s="557"/>
      <c r="S147" s="556"/>
      <c r="T147" s="644"/>
      <c r="U147" s="556"/>
      <c r="V147" s="557"/>
      <c r="W147" s="557"/>
      <c r="X147" s="556"/>
      <c r="Y147" s="644"/>
      <c r="Z147" s="556"/>
      <c r="AA147" s="557"/>
      <c r="AB147" s="557"/>
      <c r="AC147" s="556"/>
      <c r="AD147" s="644"/>
      <c r="AE147" s="556"/>
      <c r="AF147" s="557"/>
      <c r="AG147" s="557"/>
      <c r="AH147" s="556"/>
      <c r="AI147" s="644"/>
      <c r="AJ147" s="556"/>
      <c r="AK147" s="557"/>
      <c r="AL147" s="557"/>
      <c r="AM147" s="556"/>
      <c r="AN147" s="644"/>
      <c r="AO147" s="556"/>
      <c r="AP147" s="557"/>
      <c r="AQ147" s="557"/>
      <c r="AR147" s="556"/>
      <c r="AS147" s="644"/>
      <c r="AT147" s="556"/>
      <c r="AU147" s="557"/>
      <c r="AV147" s="557"/>
      <c r="AW147" s="556"/>
      <c r="AX147" s="644"/>
      <c r="AZ147" s="368" t="e">
        <f>RANK(AY147, AY$147:AY$176)</f>
        <v>#N/A</v>
      </c>
      <c r="BA147" s="644" t="e">
        <f>AVERAGE(AY147:AY176)</f>
        <v>#DIV/0!</v>
      </c>
    </row>
    <row r="148" spans="2:53">
      <c r="B148" s="649"/>
      <c r="C148" s="278">
        <v>2</v>
      </c>
      <c r="D148" s="201"/>
      <c r="E148" s="514"/>
      <c r="F148" s="201"/>
      <c r="G148" s="199"/>
      <c r="H148" s="703"/>
      <c r="I148" s="363" t="str">
        <f t="shared" ref="I148:I176" si="23">IFERROR(AVERAGE(P148,U148,Z148,AE148,AJ148,AO148,AT148),"-")</f>
        <v>-</v>
      </c>
      <c r="J148" s="363" t="str">
        <f t="shared" ref="J148:J176" si="24">IFERROR(AVERAGE(Q148,V148,AA148,AF148,AK148,AP148,AU148),"-")</f>
        <v>-</v>
      </c>
      <c r="K148" s="199" t="str">
        <f t="shared" ref="K148:K176" si="25">IFERROR(AVERAGE(R148,W148,AB148,AG148,AL148,AQ148,AV148),"-")</f>
        <v>-</v>
      </c>
      <c r="L148" s="659"/>
      <c r="M148" s="200" t="e">
        <f>RANK(K148, K$147:$K$176)</f>
        <v>#VALUE!</v>
      </c>
      <c r="N148" s="643"/>
      <c r="O148" s="643"/>
      <c r="P148" s="556"/>
      <c r="Q148" s="557"/>
      <c r="R148" s="557"/>
      <c r="S148" s="556"/>
      <c r="T148" s="644"/>
      <c r="U148" s="556"/>
      <c r="V148" s="557"/>
      <c r="W148" s="557"/>
      <c r="X148" s="556"/>
      <c r="Y148" s="644"/>
      <c r="Z148" s="556"/>
      <c r="AA148" s="557"/>
      <c r="AB148" s="557"/>
      <c r="AC148" s="556"/>
      <c r="AD148" s="644"/>
      <c r="AE148" s="556"/>
      <c r="AF148" s="557"/>
      <c r="AG148" s="557"/>
      <c r="AH148" s="556"/>
      <c r="AI148" s="644"/>
      <c r="AJ148" s="556"/>
      <c r="AK148" s="557"/>
      <c r="AL148" s="557"/>
      <c r="AM148" s="556"/>
      <c r="AN148" s="644"/>
      <c r="AO148" s="556"/>
      <c r="AP148" s="557"/>
      <c r="AQ148" s="557"/>
      <c r="AR148" s="556"/>
      <c r="AS148" s="644"/>
      <c r="AT148" s="556"/>
      <c r="AU148" s="557"/>
      <c r="AV148" s="557"/>
      <c r="AW148" s="556"/>
      <c r="AX148" s="644"/>
      <c r="AZ148" s="368" t="e">
        <f t="shared" ref="AZ148:AZ176" si="26">RANK(AY148, AY$147:AY$176)</f>
        <v>#N/A</v>
      </c>
      <c r="BA148" s="644"/>
    </row>
    <row r="149" spans="2:53">
      <c r="B149" s="649"/>
      <c r="C149" s="278">
        <v>3</v>
      </c>
      <c r="D149" s="201"/>
      <c r="E149" s="514"/>
      <c r="F149" s="201"/>
      <c r="G149" s="199"/>
      <c r="H149" s="703"/>
      <c r="I149" s="363" t="str">
        <f t="shared" si="23"/>
        <v>-</v>
      </c>
      <c r="J149" s="363" t="str">
        <f t="shared" si="24"/>
        <v>-</v>
      </c>
      <c r="K149" s="199" t="str">
        <f t="shared" si="25"/>
        <v>-</v>
      </c>
      <c r="L149" s="659"/>
      <c r="M149" s="200" t="e">
        <f>RANK(K149, K$147:$K$176)</f>
        <v>#VALUE!</v>
      </c>
      <c r="N149" s="643"/>
      <c r="O149" s="643"/>
      <c r="P149" s="556"/>
      <c r="Q149" s="557"/>
      <c r="R149" s="557"/>
      <c r="S149" s="556"/>
      <c r="T149" s="644"/>
      <c r="U149" s="556"/>
      <c r="V149" s="557"/>
      <c r="W149" s="557"/>
      <c r="X149" s="556"/>
      <c r="Y149" s="644"/>
      <c r="Z149" s="556"/>
      <c r="AA149" s="557"/>
      <c r="AB149" s="557"/>
      <c r="AC149" s="556"/>
      <c r="AD149" s="644"/>
      <c r="AE149" s="556"/>
      <c r="AF149" s="557"/>
      <c r="AG149" s="557"/>
      <c r="AH149" s="556"/>
      <c r="AI149" s="644"/>
      <c r="AJ149" s="556"/>
      <c r="AK149" s="557"/>
      <c r="AL149" s="557"/>
      <c r="AM149" s="556"/>
      <c r="AN149" s="644"/>
      <c r="AO149" s="556"/>
      <c r="AP149" s="557"/>
      <c r="AQ149" s="557"/>
      <c r="AR149" s="556"/>
      <c r="AS149" s="644"/>
      <c r="AT149" s="556"/>
      <c r="AU149" s="557"/>
      <c r="AV149" s="557"/>
      <c r="AW149" s="556"/>
      <c r="AX149" s="644"/>
      <c r="AZ149" s="368" t="e">
        <f t="shared" si="26"/>
        <v>#N/A</v>
      </c>
      <c r="BA149" s="644"/>
    </row>
    <row r="150" spans="2:53">
      <c r="B150" s="649"/>
      <c r="C150" s="278">
        <v>4</v>
      </c>
      <c r="D150" s="201"/>
      <c r="E150" s="514"/>
      <c r="F150" s="201"/>
      <c r="G150" s="199"/>
      <c r="H150" s="703"/>
      <c r="I150" s="363" t="str">
        <f t="shared" si="23"/>
        <v>-</v>
      </c>
      <c r="J150" s="363" t="str">
        <f t="shared" si="24"/>
        <v>-</v>
      </c>
      <c r="K150" s="199" t="str">
        <f t="shared" si="25"/>
        <v>-</v>
      </c>
      <c r="L150" s="659"/>
      <c r="M150" s="200" t="e">
        <f>RANK(K150, K$147:$K$176)</f>
        <v>#VALUE!</v>
      </c>
      <c r="N150" s="643"/>
      <c r="O150" s="643"/>
      <c r="P150" s="556"/>
      <c r="Q150" s="557"/>
      <c r="R150" s="557"/>
      <c r="S150" s="556"/>
      <c r="T150" s="644"/>
      <c r="U150" s="556"/>
      <c r="V150" s="557"/>
      <c r="W150" s="557"/>
      <c r="X150" s="556"/>
      <c r="Y150" s="644"/>
      <c r="Z150" s="556"/>
      <c r="AA150" s="557"/>
      <c r="AB150" s="557"/>
      <c r="AC150" s="556"/>
      <c r="AD150" s="644"/>
      <c r="AE150" s="556"/>
      <c r="AF150" s="557"/>
      <c r="AG150" s="557"/>
      <c r="AH150" s="556"/>
      <c r="AI150" s="644"/>
      <c r="AJ150" s="556"/>
      <c r="AK150" s="557"/>
      <c r="AL150" s="557"/>
      <c r="AM150" s="556"/>
      <c r="AN150" s="644"/>
      <c r="AO150" s="556"/>
      <c r="AP150" s="557"/>
      <c r="AQ150" s="557"/>
      <c r="AR150" s="556"/>
      <c r="AS150" s="644"/>
      <c r="AT150" s="556"/>
      <c r="AU150" s="557"/>
      <c r="AV150" s="557"/>
      <c r="AW150" s="556"/>
      <c r="AX150" s="644"/>
      <c r="AZ150" s="368" t="e">
        <f t="shared" si="26"/>
        <v>#N/A</v>
      </c>
      <c r="BA150" s="644"/>
    </row>
    <row r="151" spans="2:53">
      <c r="B151" s="649"/>
      <c r="C151" s="278">
        <v>5</v>
      </c>
      <c r="D151" s="201"/>
      <c r="E151" s="514"/>
      <c r="F151" s="201"/>
      <c r="G151" s="199"/>
      <c r="H151" s="703"/>
      <c r="I151" s="363" t="str">
        <f t="shared" si="23"/>
        <v>-</v>
      </c>
      <c r="J151" s="363" t="str">
        <f t="shared" si="24"/>
        <v>-</v>
      </c>
      <c r="K151" s="199" t="str">
        <f t="shared" si="25"/>
        <v>-</v>
      </c>
      <c r="L151" s="659"/>
      <c r="M151" s="200" t="e">
        <f>RANK(K151, K$147:$K$176)</f>
        <v>#VALUE!</v>
      </c>
      <c r="N151" s="643"/>
      <c r="O151" s="643"/>
      <c r="P151" s="556"/>
      <c r="Q151" s="557"/>
      <c r="R151" s="557"/>
      <c r="S151" s="556"/>
      <c r="T151" s="644"/>
      <c r="U151" s="556"/>
      <c r="V151" s="557"/>
      <c r="W151" s="557"/>
      <c r="X151" s="556"/>
      <c r="Y151" s="644"/>
      <c r="Z151" s="556"/>
      <c r="AA151" s="557"/>
      <c r="AB151" s="557"/>
      <c r="AC151" s="556"/>
      <c r="AD151" s="644"/>
      <c r="AE151" s="556"/>
      <c r="AF151" s="557"/>
      <c r="AG151" s="557"/>
      <c r="AH151" s="556"/>
      <c r="AI151" s="644"/>
      <c r="AJ151" s="556"/>
      <c r="AK151" s="557"/>
      <c r="AL151" s="557"/>
      <c r="AM151" s="556"/>
      <c r="AN151" s="644"/>
      <c r="AO151" s="556"/>
      <c r="AP151" s="557"/>
      <c r="AQ151" s="557"/>
      <c r="AR151" s="556"/>
      <c r="AS151" s="644"/>
      <c r="AT151" s="556"/>
      <c r="AU151" s="557"/>
      <c r="AV151" s="557"/>
      <c r="AW151" s="556"/>
      <c r="AX151" s="644"/>
      <c r="AZ151" s="368" t="e">
        <f t="shared" si="26"/>
        <v>#N/A</v>
      </c>
      <c r="BA151" s="644"/>
    </row>
    <row r="152" spans="2:53">
      <c r="B152" s="649"/>
      <c r="C152" s="278">
        <v>6</v>
      </c>
      <c r="D152" s="201"/>
      <c r="E152" s="514"/>
      <c r="F152" s="201"/>
      <c r="G152" s="199"/>
      <c r="H152" s="703"/>
      <c r="I152" s="363" t="str">
        <f t="shared" si="23"/>
        <v>-</v>
      </c>
      <c r="J152" s="363" t="str">
        <f t="shared" si="24"/>
        <v>-</v>
      </c>
      <c r="K152" s="199" t="str">
        <f t="shared" si="25"/>
        <v>-</v>
      </c>
      <c r="L152" s="659"/>
      <c r="M152" s="200" t="e">
        <f>RANK(K152, K$147:$K$176)</f>
        <v>#VALUE!</v>
      </c>
      <c r="N152" s="643"/>
      <c r="O152" s="643"/>
      <c r="P152" s="556"/>
      <c r="Q152" s="557"/>
      <c r="R152" s="557"/>
      <c r="S152" s="556"/>
      <c r="T152" s="644"/>
      <c r="U152" s="556"/>
      <c r="V152" s="557"/>
      <c r="W152" s="557"/>
      <c r="X152" s="556"/>
      <c r="Y152" s="644"/>
      <c r="Z152" s="556"/>
      <c r="AA152" s="557"/>
      <c r="AB152" s="557"/>
      <c r="AC152" s="556"/>
      <c r="AD152" s="644"/>
      <c r="AE152" s="556"/>
      <c r="AF152" s="557"/>
      <c r="AG152" s="557"/>
      <c r="AH152" s="556"/>
      <c r="AI152" s="644"/>
      <c r="AJ152" s="556"/>
      <c r="AK152" s="557"/>
      <c r="AL152" s="557"/>
      <c r="AM152" s="556"/>
      <c r="AN152" s="644"/>
      <c r="AO152" s="556"/>
      <c r="AP152" s="557"/>
      <c r="AQ152" s="557"/>
      <c r="AR152" s="556"/>
      <c r="AS152" s="644"/>
      <c r="AT152" s="556"/>
      <c r="AU152" s="557"/>
      <c r="AV152" s="557"/>
      <c r="AW152" s="556"/>
      <c r="AX152" s="644"/>
      <c r="AZ152" s="368" t="e">
        <f t="shared" si="26"/>
        <v>#N/A</v>
      </c>
      <c r="BA152" s="644"/>
    </row>
    <row r="153" spans="2:53">
      <c r="B153" s="649"/>
      <c r="C153" s="278">
        <v>7</v>
      </c>
      <c r="D153" s="201"/>
      <c r="E153" s="514"/>
      <c r="F153" s="201"/>
      <c r="G153" s="199"/>
      <c r="H153" s="703"/>
      <c r="I153" s="363" t="str">
        <f t="shared" si="23"/>
        <v>-</v>
      </c>
      <c r="J153" s="363" t="str">
        <f t="shared" si="24"/>
        <v>-</v>
      </c>
      <c r="K153" s="199" t="str">
        <f t="shared" si="25"/>
        <v>-</v>
      </c>
      <c r="L153" s="659"/>
      <c r="M153" s="200" t="e">
        <f>RANK(K153, K$147:$K$176)</f>
        <v>#VALUE!</v>
      </c>
      <c r="N153" s="643"/>
      <c r="O153" s="643"/>
      <c r="P153" s="556"/>
      <c r="Q153" s="557"/>
      <c r="R153" s="557"/>
      <c r="S153" s="556"/>
      <c r="T153" s="644"/>
      <c r="U153" s="556"/>
      <c r="V153" s="557"/>
      <c r="W153" s="557"/>
      <c r="X153" s="556"/>
      <c r="Y153" s="644"/>
      <c r="Z153" s="556"/>
      <c r="AA153" s="557"/>
      <c r="AB153" s="557"/>
      <c r="AC153" s="556"/>
      <c r="AD153" s="644"/>
      <c r="AE153" s="556"/>
      <c r="AF153" s="557"/>
      <c r="AG153" s="557"/>
      <c r="AH153" s="556"/>
      <c r="AI153" s="644"/>
      <c r="AJ153" s="556"/>
      <c r="AK153" s="557"/>
      <c r="AL153" s="557"/>
      <c r="AM153" s="556"/>
      <c r="AN153" s="644"/>
      <c r="AO153" s="556"/>
      <c r="AP153" s="557"/>
      <c r="AQ153" s="557"/>
      <c r="AR153" s="556"/>
      <c r="AS153" s="644"/>
      <c r="AT153" s="556"/>
      <c r="AU153" s="557"/>
      <c r="AV153" s="557"/>
      <c r="AW153" s="556"/>
      <c r="AX153" s="644"/>
      <c r="AZ153" s="368" t="e">
        <f t="shared" si="26"/>
        <v>#N/A</v>
      </c>
      <c r="BA153" s="644"/>
    </row>
    <row r="154" spans="2:53">
      <c r="B154" s="649"/>
      <c r="C154" s="278">
        <v>8</v>
      </c>
      <c r="D154" s="201"/>
      <c r="E154" s="514"/>
      <c r="F154" s="201"/>
      <c r="G154" s="199"/>
      <c r="H154" s="703"/>
      <c r="I154" s="363" t="str">
        <f t="shared" si="23"/>
        <v>-</v>
      </c>
      <c r="J154" s="363" t="str">
        <f t="shared" si="24"/>
        <v>-</v>
      </c>
      <c r="K154" s="199" t="str">
        <f t="shared" si="25"/>
        <v>-</v>
      </c>
      <c r="L154" s="659"/>
      <c r="M154" s="200" t="e">
        <f>RANK(K154, K$147:$K$176)</f>
        <v>#VALUE!</v>
      </c>
      <c r="N154" s="643"/>
      <c r="O154" s="643"/>
      <c r="P154" s="556"/>
      <c r="Q154" s="557"/>
      <c r="R154" s="557"/>
      <c r="S154" s="556"/>
      <c r="T154" s="644"/>
      <c r="U154" s="556"/>
      <c r="V154" s="557"/>
      <c r="W154" s="557"/>
      <c r="X154" s="556"/>
      <c r="Y154" s="644"/>
      <c r="Z154" s="556"/>
      <c r="AA154" s="557"/>
      <c r="AB154" s="557"/>
      <c r="AC154" s="556"/>
      <c r="AD154" s="644"/>
      <c r="AE154" s="556"/>
      <c r="AF154" s="557"/>
      <c r="AG154" s="557"/>
      <c r="AH154" s="556"/>
      <c r="AI154" s="644"/>
      <c r="AJ154" s="556"/>
      <c r="AK154" s="557"/>
      <c r="AL154" s="557"/>
      <c r="AM154" s="556"/>
      <c r="AN154" s="644"/>
      <c r="AO154" s="556"/>
      <c r="AP154" s="557"/>
      <c r="AQ154" s="557"/>
      <c r="AR154" s="556"/>
      <c r="AS154" s="644"/>
      <c r="AT154" s="556"/>
      <c r="AU154" s="557"/>
      <c r="AV154" s="557"/>
      <c r="AW154" s="556"/>
      <c r="AX154" s="644"/>
      <c r="AZ154" s="368" t="e">
        <f t="shared" si="26"/>
        <v>#N/A</v>
      </c>
      <c r="BA154" s="644"/>
    </row>
    <row r="155" spans="2:53">
      <c r="B155" s="649"/>
      <c r="C155" s="278">
        <v>9</v>
      </c>
      <c r="D155" s="201"/>
      <c r="E155" s="514"/>
      <c r="F155" s="201"/>
      <c r="G155" s="199"/>
      <c r="H155" s="703"/>
      <c r="I155" s="363" t="str">
        <f t="shared" si="23"/>
        <v>-</v>
      </c>
      <c r="J155" s="363" t="str">
        <f t="shared" si="24"/>
        <v>-</v>
      </c>
      <c r="K155" s="199" t="str">
        <f t="shared" si="25"/>
        <v>-</v>
      </c>
      <c r="L155" s="659"/>
      <c r="M155" s="200" t="e">
        <f>RANK(K155, K$147:$K$176)</f>
        <v>#VALUE!</v>
      </c>
      <c r="N155" s="643"/>
      <c r="O155" s="643"/>
      <c r="P155" s="556"/>
      <c r="Q155" s="557"/>
      <c r="R155" s="557"/>
      <c r="S155" s="556"/>
      <c r="T155" s="644"/>
      <c r="U155" s="556"/>
      <c r="V155" s="557"/>
      <c r="W155" s="557"/>
      <c r="X155" s="556"/>
      <c r="Y155" s="644"/>
      <c r="Z155" s="556"/>
      <c r="AA155" s="557"/>
      <c r="AB155" s="557"/>
      <c r="AC155" s="556"/>
      <c r="AD155" s="644"/>
      <c r="AE155" s="556"/>
      <c r="AF155" s="557"/>
      <c r="AG155" s="557"/>
      <c r="AH155" s="556"/>
      <c r="AI155" s="644"/>
      <c r="AJ155" s="556"/>
      <c r="AK155" s="557"/>
      <c r="AL155" s="557"/>
      <c r="AM155" s="556"/>
      <c r="AN155" s="644"/>
      <c r="AO155" s="556"/>
      <c r="AP155" s="557"/>
      <c r="AQ155" s="557"/>
      <c r="AR155" s="556"/>
      <c r="AS155" s="644"/>
      <c r="AT155" s="556"/>
      <c r="AU155" s="557"/>
      <c r="AV155" s="557"/>
      <c r="AW155" s="556"/>
      <c r="AX155" s="644"/>
      <c r="AZ155" s="368" t="e">
        <f t="shared" si="26"/>
        <v>#N/A</v>
      </c>
      <c r="BA155" s="644"/>
    </row>
    <row r="156" spans="2:53">
      <c r="B156" s="649"/>
      <c r="C156" s="278">
        <v>10</v>
      </c>
      <c r="D156" s="201"/>
      <c r="E156" s="514"/>
      <c r="F156" s="201"/>
      <c r="G156" s="199"/>
      <c r="H156" s="703"/>
      <c r="I156" s="363" t="str">
        <f t="shared" si="23"/>
        <v>-</v>
      </c>
      <c r="J156" s="363" t="str">
        <f t="shared" si="24"/>
        <v>-</v>
      </c>
      <c r="K156" s="199" t="str">
        <f t="shared" si="25"/>
        <v>-</v>
      </c>
      <c r="L156" s="659"/>
      <c r="M156" s="200" t="e">
        <f>RANK(K156, K$147:$K$176)</f>
        <v>#VALUE!</v>
      </c>
      <c r="N156" s="643"/>
      <c r="O156" s="643"/>
      <c r="P156" s="556"/>
      <c r="Q156" s="557"/>
      <c r="R156" s="557"/>
      <c r="S156" s="556"/>
      <c r="T156" s="644"/>
      <c r="U156" s="556"/>
      <c r="V156" s="557"/>
      <c r="W156" s="557"/>
      <c r="X156" s="556"/>
      <c r="Y156" s="644"/>
      <c r="Z156" s="556"/>
      <c r="AA156" s="557"/>
      <c r="AB156" s="557"/>
      <c r="AC156" s="556"/>
      <c r="AD156" s="644"/>
      <c r="AE156" s="556"/>
      <c r="AF156" s="557"/>
      <c r="AG156" s="557"/>
      <c r="AH156" s="556"/>
      <c r="AI156" s="644"/>
      <c r="AJ156" s="556"/>
      <c r="AK156" s="557"/>
      <c r="AL156" s="557"/>
      <c r="AM156" s="556"/>
      <c r="AN156" s="644"/>
      <c r="AO156" s="556"/>
      <c r="AP156" s="557"/>
      <c r="AQ156" s="557"/>
      <c r="AR156" s="556"/>
      <c r="AS156" s="644"/>
      <c r="AT156" s="556"/>
      <c r="AU156" s="557"/>
      <c r="AV156" s="557"/>
      <c r="AW156" s="556"/>
      <c r="AX156" s="644"/>
      <c r="AZ156" s="368" t="e">
        <f t="shared" si="26"/>
        <v>#N/A</v>
      </c>
      <c r="BA156" s="644"/>
    </row>
    <row r="157" spans="2:53">
      <c r="B157" s="649"/>
      <c r="C157" s="278">
        <v>11</v>
      </c>
      <c r="D157" s="201"/>
      <c r="E157" s="514"/>
      <c r="F157" s="201"/>
      <c r="G157" s="199"/>
      <c r="H157" s="703"/>
      <c r="I157" s="363" t="str">
        <f t="shared" si="23"/>
        <v>-</v>
      </c>
      <c r="J157" s="363" t="str">
        <f t="shared" si="24"/>
        <v>-</v>
      </c>
      <c r="K157" s="199" t="str">
        <f t="shared" si="25"/>
        <v>-</v>
      </c>
      <c r="L157" s="659"/>
      <c r="M157" s="200" t="e">
        <f>RANK(K157, K$147:$K$176)</f>
        <v>#VALUE!</v>
      </c>
      <c r="N157" s="643"/>
      <c r="O157" s="643"/>
      <c r="P157" s="556"/>
      <c r="Q157" s="557"/>
      <c r="R157" s="557"/>
      <c r="S157" s="556"/>
      <c r="T157" s="644"/>
      <c r="U157" s="556"/>
      <c r="V157" s="557"/>
      <c r="W157" s="557"/>
      <c r="X157" s="556"/>
      <c r="Y157" s="644"/>
      <c r="Z157" s="556"/>
      <c r="AA157" s="557"/>
      <c r="AB157" s="557"/>
      <c r="AC157" s="556"/>
      <c r="AD157" s="644"/>
      <c r="AE157" s="556"/>
      <c r="AF157" s="557"/>
      <c r="AG157" s="557"/>
      <c r="AH157" s="556"/>
      <c r="AI157" s="644"/>
      <c r="AJ157" s="556"/>
      <c r="AK157" s="557"/>
      <c r="AL157" s="557"/>
      <c r="AM157" s="556"/>
      <c r="AN157" s="644"/>
      <c r="AO157" s="556"/>
      <c r="AP157" s="557"/>
      <c r="AQ157" s="557"/>
      <c r="AR157" s="556"/>
      <c r="AS157" s="644"/>
      <c r="AT157" s="556"/>
      <c r="AU157" s="557"/>
      <c r="AV157" s="557"/>
      <c r="AW157" s="556"/>
      <c r="AX157" s="644"/>
      <c r="AZ157" s="368" t="e">
        <f t="shared" si="26"/>
        <v>#N/A</v>
      </c>
      <c r="BA157" s="644"/>
    </row>
    <row r="158" spans="2:53">
      <c r="B158" s="649"/>
      <c r="C158" s="278">
        <v>12</v>
      </c>
      <c r="D158" s="201"/>
      <c r="E158" s="514"/>
      <c r="F158" s="201"/>
      <c r="G158" s="199"/>
      <c r="H158" s="703"/>
      <c r="I158" s="363" t="str">
        <f t="shared" si="23"/>
        <v>-</v>
      </c>
      <c r="J158" s="363" t="str">
        <f t="shared" si="24"/>
        <v>-</v>
      </c>
      <c r="K158" s="199" t="str">
        <f t="shared" si="25"/>
        <v>-</v>
      </c>
      <c r="L158" s="659"/>
      <c r="M158" s="200" t="e">
        <f>RANK(K158, K$147:$K$176)</f>
        <v>#VALUE!</v>
      </c>
      <c r="N158" s="643"/>
      <c r="O158" s="643"/>
      <c r="P158" s="556"/>
      <c r="Q158" s="557"/>
      <c r="R158" s="557"/>
      <c r="S158" s="556"/>
      <c r="T158" s="644"/>
      <c r="U158" s="556"/>
      <c r="V158" s="557"/>
      <c r="W158" s="557"/>
      <c r="X158" s="556"/>
      <c r="Y158" s="644"/>
      <c r="Z158" s="556"/>
      <c r="AA158" s="557"/>
      <c r="AB158" s="557"/>
      <c r="AC158" s="556"/>
      <c r="AD158" s="644"/>
      <c r="AE158" s="556"/>
      <c r="AF158" s="557"/>
      <c r="AG158" s="557"/>
      <c r="AH158" s="556"/>
      <c r="AI158" s="644"/>
      <c r="AJ158" s="556"/>
      <c r="AK158" s="557"/>
      <c r="AL158" s="557"/>
      <c r="AM158" s="556"/>
      <c r="AN158" s="644"/>
      <c r="AO158" s="556"/>
      <c r="AP158" s="557"/>
      <c r="AQ158" s="557"/>
      <c r="AR158" s="556"/>
      <c r="AS158" s="644"/>
      <c r="AT158" s="556"/>
      <c r="AU158" s="557"/>
      <c r="AV158" s="557"/>
      <c r="AW158" s="556"/>
      <c r="AX158" s="644"/>
      <c r="AZ158" s="368" t="e">
        <f t="shared" si="26"/>
        <v>#N/A</v>
      </c>
      <c r="BA158" s="644"/>
    </row>
    <row r="159" spans="2:53">
      <c r="B159" s="649"/>
      <c r="C159" s="278">
        <v>13</v>
      </c>
      <c r="D159" s="201"/>
      <c r="E159" s="514"/>
      <c r="F159" s="201"/>
      <c r="G159" s="199"/>
      <c r="H159" s="703"/>
      <c r="I159" s="363" t="str">
        <f t="shared" si="23"/>
        <v>-</v>
      </c>
      <c r="J159" s="363" t="str">
        <f t="shared" si="24"/>
        <v>-</v>
      </c>
      <c r="K159" s="199" t="str">
        <f t="shared" si="25"/>
        <v>-</v>
      </c>
      <c r="L159" s="659"/>
      <c r="M159" s="200" t="e">
        <f>RANK(K159, K$147:$K$176)</f>
        <v>#VALUE!</v>
      </c>
      <c r="N159" s="643"/>
      <c r="O159" s="643"/>
      <c r="P159" s="556"/>
      <c r="Q159" s="557"/>
      <c r="R159" s="557"/>
      <c r="S159" s="556"/>
      <c r="T159" s="644"/>
      <c r="U159" s="556"/>
      <c r="V159" s="557"/>
      <c r="W159" s="557"/>
      <c r="X159" s="556"/>
      <c r="Y159" s="644"/>
      <c r="Z159" s="556"/>
      <c r="AA159" s="557"/>
      <c r="AB159" s="557"/>
      <c r="AC159" s="556"/>
      <c r="AD159" s="644"/>
      <c r="AE159" s="556"/>
      <c r="AF159" s="557"/>
      <c r="AG159" s="557"/>
      <c r="AH159" s="556"/>
      <c r="AI159" s="644"/>
      <c r="AJ159" s="556"/>
      <c r="AK159" s="557"/>
      <c r="AL159" s="557"/>
      <c r="AM159" s="556"/>
      <c r="AN159" s="644"/>
      <c r="AO159" s="556"/>
      <c r="AP159" s="557"/>
      <c r="AQ159" s="557"/>
      <c r="AR159" s="556"/>
      <c r="AS159" s="644"/>
      <c r="AT159" s="556"/>
      <c r="AU159" s="557"/>
      <c r="AV159" s="557"/>
      <c r="AW159" s="556"/>
      <c r="AX159" s="644"/>
      <c r="AZ159" s="368" t="e">
        <f t="shared" si="26"/>
        <v>#N/A</v>
      </c>
      <c r="BA159" s="644"/>
    </row>
    <row r="160" spans="2:53">
      <c r="B160" s="649"/>
      <c r="C160" s="278">
        <v>14</v>
      </c>
      <c r="D160" s="201"/>
      <c r="E160" s="514"/>
      <c r="F160" s="201"/>
      <c r="G160" s="199"/>
      <c r="H160" s="703"/>
      <c r="I160" s="363" t="str">
        <f t="shared" si="23"/>
        <v>-</v>
      </c>
      <c r="J160" s="363" t="str">
        <f t="shared" si="24"/>
        <v>-</v>
      </c>
      <c r="K160" s="199" t="str">
        <f t="shared" si="25"/>
        <v>-</v>
      </c>
      <c r="L160" s="659"/>
      <c r="M160" s="200" t="e">
        <f>RANK(K160, K$147:$K$176)</f>
        <v>#VALUE!</v>
      </c>
      <c r="N160" s="643"/>
      <c r="O160" s="643"/>
      <c r="P160" s="556"/>
      <c r="Q160" s="557"/>
      <c r="R160" s="557"/>
      <c r="S160" s="556"/>
      <c r="T160" s="644"/>
      <c r="U160" s="556"/>
      <c r="V160" s="557"/>
      <c r="W160" s="557"/>
      <c r="X160" s="556"/>
      <c r="Y160" s="644"/>
      <c r="Z160" s="556"/>
      <c r="AA160" s="557"/>
      <c r="AB160" s="557"/>
      <c r="AC160" s="556"/>
      <c r="AD160" s="644"/>
      <c r="AE160" s="556"/>
      <c r="AF160" s="557"/>
      <c r="AG160" s="557"/>
      <c r="AH160" s="556"/>
      <c r="AI160" s="644"/>
      <c r="AJ160" s="556"/>
      <c r="AK160" s="557"/>
      <c r="AL160" s="557"/>
      <c r="AM160" s="556"/>
      <c r="AN160" s="644"/>
      <c r="AO160" s="556"/>
      <c r="AP160" s="557"/>
      <c r="AQ160" s="557"/>
      <c r="AR160" s="556"/>
      <c r="AS160" s="644"/>
      <c r="AT160" s="556"/>
      <c r="AU160" s="557"/>
      <c r="AV160" s="557"/>
      <c r="AW160" s="556"/>
      <c r="AX160" s="644"/>
      <c r="AZ160" s="368" t="e">
        <f t="shared" si="26"/>
        <v>#N/A</v>
      </c>
      <c r="BA160" s="644"/>
    </row>
    <row r="161" spans="2:53">
      <c r="B161" s="649"/>
      <c r="C161" s="278">
        <v>15</v>
      </c>
      <c r="D161" s="201"/>
      <c r="E161" s="514"/>
      <c r="F161" s="201"/>
      <c r="G161" s="199"/>
      <c r="H161" s="703"/>
      <c r="I161" s="363" t="str">
        <f t="shared" si="23"/>
        <v>-</v>
      </c>
      <c r="J161" s="363" t="str">
        <f t="shared" si="24"/>
        <v>-</v>
      </c>
      <c r="K161" s="199" t="str">
        <f t="shared" si="25"/>
        <v>-</v>
      </c>
      <c r="L161" s="659"/>
      <c r="M161" s="198" t="e">
        <f>RANK(K161, K$147:$K$176)</f>
        <v>#VALUE!</v>
      </c>
      <c r="N161" s="643"/>
      <c r="O161" s="643"/>
      <c r="P161" s="556"/>
      <c r="Q161" s="557"/>
      <c r="R161" s="557"/>
      <c r="S161" s="556"/>
      <c r="T161" s="644"/>
      <c r="U161" s="556"/>
      <c r="V161" s="557"/>
      <c r="W161" s="557"/>
      <c r="X161" s="556"/>
      <c r="Y161" s="644"/>
      <c r="Z161" s="556"/>
      <c r="AA161" s="557"/>
      <c r="AB161" s="557"/>
      <c r="AC161" s="556"/>
      <c r="AD161" s="644"/>
      <c r="AE161" s="556"/>
      <c r="AF161" s="557"/>
      <c r="AG161" s="557"/>
      <c r="AH161" s="556"/>
      <c r="AI161" s="644"/>
      <c r="AJ161" s="556"/>
      <c r="AK161" s="557"/>
      <c r="AL161" s="557"/>
      <c r="AM161" s="556"/>
      <c r="AN161" s="644"/>
      <c r="AO161" s="556"/>
      <c r="AP161" s="557"/>
      <c r="AQ161" s="557"/>
      <c r="AR161" s="556"/>
      <c r="AS161" s="644"/>
      <c r="AT161" s="556"/>
      <c r="AU161" s="557"/>
      <c r="AV161" s="557"/>
      <c r="AW161" s="556"/>
      <c r="AX161" s="644"/>
      <c r="AZ161" s="368" t="e">
        <f t="shared" si="26"/>
        <v>#N/A</v>
      </c>
      <c r="BA161" s="644"/>
    </row>
    <row r="162" spans="2:53">
      <c r="B162" s="649"/>
      <c r="C162" s="278">
        <v>16</v>
      </c>
      <c r="D162" s="201"/>
      <c r="E162" s="514"/>
      <c r="F162" s="201"/>
      <c r="G162" s="199"/>
      <c r="H162" s="703"/>
      <c r="I162" s="363" t="str">
        <f t="shared" si="23"/>
        <v>-</v>
      </c>
      <c r="J162" s="363" t="str">
        <f t="shared" si="24"/>
        <v>-</v>
      </c>
      <c r="K162" s="199" t="str">
        <f t="shared" si="25"/>
        <v>-</v>
      </c>
      <c r="L162" s="659"/>
      <c r="M162" s="198" t="e">
        <f>RANK(K162, K$147:$K$176)</f>
        <v>#VALUE!</v>
      </c>
      <c r="N162" s="643"/>
      <c r="O162" s="643"/>
      <c r="P162" s="556"/>
      <c r="Q162" s="557"/>
      <c r="R162" s="557"/>
      <c r="S162" s="556"/>
      <c r="T162" s="644"/>
      <c r="U162" s="556"/>
      <c r="V162" s="557"/>
      <c r="W162" s="557"/>
      <c r="X162" s="556"/>
      <c r="Y162" s="644"/>
      <c r="Z162" s="556"/>
      <c r="AA162" s="557"/>
      <c r="AB162" s="557"/>
      <c r="AC162" s="556"/>
      <c r="AD162" s="644"/>
      <c r="AE162" s="556"/>
      <c r="AF162" s="557"/>
      <c r="AG162" s="557"/>
      <c r="AH162" s="556"/>
      <c r="AI162" s="644"/>
      <c r="AJ162" s="556"/>
      <c r="AK162" s="557"/>
      <c r="AL162" s="557"/>
      <c r="AM162" s="556"/>
      <c r="AN162" s="644"/>
      <c r="AO162" s="556"/>
      <c r="AP162" s="557"/>
      <c r="AQ162" s="557"/>
      <c r="AR162" s="556"/>
      <c r="AS162" s="644"/>
      <c r="AT162" s="556"/>
      <c r="AU162" s="557"/>
      <c r="AV162" s="557"/>
      <c r="AW162" s="556"/>
      <c r="AX162" s="644"/>
      <c r="AZ162" s="368" t="e">
        <f t="shared" si="26"/>
        <v>#N/A</v>
      </c>
      <c r="BA162" s="644"/>
    </row>
    <row r="163" spans="2:53">
      <c r="B163" s="649"/>
      <c r="C163" s="278">
        <v>17</v>
      </c>
      <c r="D163" s="201"/>
      <c r="E163" s="514"/>
      <c r="F163" s="201"/>
      <c r="G163" s="199"/>
      <c r="H163" s="703"/>
      <c r="I163" s="363" t="str">
        <f t="shared" si="23"/>
        <v>-</v>
      </c>
      <c r="J163" s="363" t="str">
        <f t="shared" si="24"/>
        <v>-</v>
      </c>
      <c r="K163" s="199" t="str">
        <f t="shared" si="25"/>
        <v>-</v>
      </c>
      <c r="L163" s="659"/>
      <c r="M163" s="198" t="e">
        <f>RANK(K163, K$147:$K$176)</f>
        <v>#VALUE!</v>
      </c>
      <c r="N163" s="643"/>
      <c r="O163" s="643"/>
      <c r="P163" s="556"/>
      <c r="Q163" s="557"/>
      <c r="R163" s="557"/>
      <c r="S163" s="556"/>
      <c r="T163" s="644"/>
      <c r="U163" s="556"/>
      <c r="V163" s="557"/>
      <c r="W163" s="557"/>
      <c r="X163" s="556"/>
      <c r="Y163" s="644"/>
      <c r="Z163" s="556"/>
      <c r="AA163" s="557"/>
      <c r="AB163" s="557"/>
      <c r="AC163" s="556"/>
      <c r="AD163" s="644"/>
      <c r="AE163" s="556"/>
      <c r="AF163" s="557"/>
      <c r="AG163" s="557"/>
      <c r="AH163" s="556"/>
      <c r="AI163" s="644"/>
      <c r="AJ163" s="556"/>
      <c r="AK163" s="557"/>
      <c r="AL163" s="557"/>
      <c r="AM163" s="556"/>
      <c r="AN163" s="644"/>
      <c r="AO163" s="556"/>
      <c r="AP163" s="557"/>
      <c r="AQ163" s="557"/>
      <c r="AR163" s="556"/>
      <c r="AS163" s="644"/>
      <c r="AT163" s="556"/>
      <c r="AU163" s="557"/>
      <c r="AV163" s="557"/>
      <c r="AW163" s="556"/>
      <c r="AX163" s="644"/>
      <c r="AZ163" s="368" t="e">
        <f t="shared" si="26"/>
        <v>#N/A</v>
      </c>
      <c r="BA163" s="644"/>
    </row>
    <row r="164" spans="2:53">
      <c r="B164" s="649"/>
      <c r="C164" s="278">
        <v>18</v>
      </c>
      <c r="D164" s="201"/>
      <c r="E164" s="514"/>
      <c r="F164" s="201"/>
      <c r="G164" s="199"/>
      <c r="H164" s="703"/>
      <c r="I164" s="363" t="str">
        <f t="shared" si="23"/>
        <v>-</v>
      </c>
      <c r="J164" s="363" t="str">
        <f t="shared" si="24"/>
        <v>-</v>
      </c>
      <c r="K164" s="199" t="str">
        <f t="shared" si="25"/>
        <v>-</v>
      </c>
      <c r="L164" s="659"/>
      <c r="M164" s="198" t="e">
        <f>RANK(K164, K$147:$K$176)</f>
        <v>#VALUE!</v>
      </c>
      <c r="N164" s="643"/>
      <c r="O164" s="643"/>
      <c r="P164" s="556"/>
      <c r="Q164" s="557"/>
      <c r="R164" s="557"/>
      <c r="S164" s="556"/>
      <c r="T164" s="644"/>
      <c r="U164" s="556"/>
      <c r="V164" s="557"/>
      <c r="W164" s="557"/>
      <c r="X164" s="556"/>
      <c r="Y164" s="644"/>
      <c r="Z164" s="556"/>
      <c r="AA164" s="557"/>
      <c r="AB164" s="557"/>
      <c r="AC164" s="556"/>
      <c r="AD164" s="644"/>
      <c r="AE164" s="556"/>
      <c r="AF164" s="557"/>
      <c r="AG164" s="557"/>
      <c r="AH164" s="556"/>
      <c r="AI164" s="644"/>
      <c r="AJ164" s="556"/>
      <c r="AK164" s="557"/>
      <c r="AL164" s="557"/>
      <c r="AM164" s="556"/>
      <c r="AN164" s="644"/>
      <c r="AO164" s="556"/>
      <c r="AP164" s="557"/>
      <c r="AQ164" s="557"/>
      <c r="AR164" s="556"/>
      <c r="AS164" s="644"/>
      <c r="AT164" s="556"/>
      <c r="AU164" s="557"/>
      <c r="AV164" s="557"/>
      <c r="AW164" s="556"/>
      <c r="AX164" s="644"/>
      <c r="AZ164" s="368" t="e">
        <f t="shared" si="26"/>
        <v>#N/A</v>
      </c>
      <c r="BA164" s="644"/>
    </row>
    <row r="165" spans="2:53">
      <c r="B165" s="649"/>
      <c r="C165" s="278">
        <v>19</v>
      </c>
      <c r="D165" s="201"/>
      <c r="E165" s="514"/>
      <c r="F165" s="201"/>
      <c r="G165" s="199"/>
      <c r="H165" s="703"/>
      <c r="I165" s="363" t="str">
        <f t="shared" si="23"/>
        <v>-</v>
      </c>
      <c r="J165" s="363" t="str">
        <f t="shared" si="24"/>
        <v>-</v>
      </c>
      <c r="K165" s="199" t="str">
        <f t="shared" si="25"/>
        <v>-</v>
      </c>
      <c r="L165" s="659"/>
      <c r="M165" s="198" t="e">
        <f>RANK(K165, K$147:$K$176)</f>
        <v>#VALUE!</v>
      </c>
      <c r="N165" s="643"/>
      <c r="O165" s="643"/>
      <c r="P165" s="556"/>
      <c r="Q165" s="557"/>
      <c r="R165" s="557"/>
      <c r="S165" s="556"/>
      <c r="T165" s="644"/>
      <c r="U165" s="556"/>
      <c r="V165" s="557"/>
      <c r="W165" s="557"/>
      <c r="X165" s="556"/>
      <c r="Y165" s="644"/>
      <c r="Z165" s="556"/>
      <c r="AA165" s="557"/>
      <c r="AB165" s="557"/>
      <c r="AC165" s="556"/>
      <c r="AD165" s="644"/>
      <c r="AE165" s="556"/>
      <c r="AF165" s="557"/>
      <c r="AG165" s="557"/>
      <c r="AH165" s="556"/>
      <c r="AI165" s="644"/>
      <c r="AJ165" s="556"/>
      <c r="AK165" s="557"/>
      <c r="AL165" s="557"/>
      <c r="AM165" s="556"/>
      <c r="AN165" s="644"/>
      <c r="AO165" s="556"/>
      <c r="AP165" s="557"/>
      <c r="AQ165" s="557"/>
      <c r="AR165" s="556"/>
      <c r="AS165" s="644"/>
      <c r="AT165" s="556"/>
      <c r="AU165" s="557"/>
      <c r="AV165" s="557"/>
      <c r="AW165" s="556"/>
      <c r="AX165" s="644"/>
      <c r="AZ165" s="368" t="e">
        <f t="shared" si="26"/>
        <v>#N/A</v>
      </c>
      <c r="BA165" s="644"/>
    </row>
    <row r="166" spans="2:53">
      <c r="B166" s="649"/>
      <c r="C166" s="278">
        <v>20</v>
      </c>
      <c r="D166" s="201"/>
      <c r="E166" s="514"/>
      <c r="F166" s="201"/>
      <c r="G166" s="199"/>
      <c r="H166" s="703"/>
      <c r="I166" s="363" t="str">
        <f t="shared" si="23"/>
        <v>-</v>
      </c>
      <c r="J166" s="363" t="str">
        <f t="shared" si="24"/>
        <v>-</v>
      </c>
      <c r="K166" s="199" t="str">
        <f t="shared" si="25"/>
        <v>-</v>
      </c>
      <c r="L166" s="659"/>
      <c r="M166" s="198" t="e">
        <f>RANK(K166, K$147:$K$176)</f>
        <v>#VALUE!</v>
      </c>
      <c r="N166" s="643"/>
      <c r="O166" s="643"/>
      <c r="P166" s="556"/>
      <c r="Q166" s="557"/>
      <c r="R166" s="557"/>
      <c r="S166" s="556"/>
      <c r="T166" s="644"/>
      <c r="U166" s="556"/>
      <c r="V166" s="557"/>
      <c r="W166" s="557"/>
      <c r="X166" s="556"/>
      <c r="Y166" s="644"/>
      <c r="Z166" s="556"/>
      <c r="AA166" s="557"/>
      <c r="AB166" s="557"/>
      <c r="AC166" s="556"/>
      <c r="AD166" s="644"/>
      <c r="AE166" s="556"/>
      <c r="AF166" s="557"/>
      <c r="AG166" s="557"/>
      <c r="AH166" s="556"/>
      <c r="AI166" s="644"/>
      <c r="AJ166" s="556"/>
      <c r="AK166" s="557"/>
      <c r="AL166" s="557"/>
      <c r="AM166" s="556"/>
      <c r="AN166" s="644"/>
      <c r="AO166" s="556"/>
      <c r="AP166" s="557"/>
      <c r="AQ166" s="557"/>
      <c r="AR166" s="556"/>
      <c r="AS166" s="644"/>
      <c r="AT166" s="556"/>
      <c r="AU166" s="557"/>
      <c r="AV166" s="557"/>
      <c r="AW166" s="556"/>
      <c r="AX166" s="644"/>
      <c r="AZ166" s="368" t="e">
        <f t="shared" si="26"/>
        <v>#N/A</v>
      </c>
      <c r="BA166" s="644"/>
    </row>
    <row r="167" spans="2:53">
      <c r="B167" s="649"/>
      <c r="C167" s="278">
        <v>21</v>
      </c>
      <c r="D167" s="201"/>
      <c r="E167" s="514"/>
      <c r="F167" s="201"/>
      <c r="G167" s="199"/>
      <c r="H167" s="703"/>
      <c r="I167" s="363" t="str">
        <f t="shared" si="23"/>
        <v>-</v>
      </c>
      <c r="J167" s="363" t="str">
        <f t="shared" si="24"/>
        <v>-</v>
      </c>
      <c r="K167" s="199" t="str">
        <f t="shared" si="25"/>
        <v>-</v>
      </c>
      <c r="L167" s="659"/>
      <c r="M167" s="198" t="e">
        <f>RANK(K167, K$147:$K$176)</f>
        <v>#VALUE!</v>
      </c>
      <c r="N167" s="643"/>
      <c r="O167" s="643"/>
      <c r="P167" s="556"/>
      <c r="Q167" s="557"/>
      <c r="R167" s="557"/>
      <c r="S167" s="556"/>
      <c r="T167" s="644"/>
      <c r="U167" s="556"/>
      <c r="V167" s="557"/>
      <c r="W167" s="557"/>
      <c r="X167" s="556"/>
      <c r="Y167" s="644"/>
      <c r="Z167" s="556"/>
      <c r="AA167" s="557"/>
      <c r="AB167" s="557"/>
      <c r="AC167" s="556"/>
      <c r="AD167" s="644"/>
      <c r="AE167" s="556"/>
      <c r="AF167" s="557"/>
      <c r="AG167" s="557"/>
      <c r="AH167" s="556"/>
      <c r="AI167" s="644"/>
      <c r="AJ167" s="556"/>
      <c r="AK167" s="557"/>
      <c r="AL167" s="557"/>
      <c r="AM167" s="556"/>
      <c r="AN167" s="644"/>
      <c r="AO167" s="556"/>
      <c r="AP167" s="557"/>
      <c r="AQ167" s="557"/>
      <c r="AR167" s="556"/>
      <c r="AS167" s="644"/>
      <c r="AT167" s="556"/>
      <c r="AU167" s="557"/>
      <c r="AV167" s="557"/>
      <c r="AW167" s="556"/>
      <c r="AX167" s="644"/>
      <c r="AZ167" s="368" t="e">
        <f t="shared" si="26"/>
        <v>#N/A</v>
      </c>
      <c r="BA167" s="644"/>
    </row>
    <row r="168" spans="2:53">
      <c r="B168" s="649"/>
      <c r="C168" s="278">
        <v>22</v>
      </c>
      <c r="D168" s="201"/>
      <c r="E168" s="514"/>
      <c r="F168" s="201"/>
      <c r="G168" s="199"/>
      <c r="H168" s="703"/>
      <c r="I168" s="363" t="str">
        <f t="shared" si="23"/>
        <v>-</v>
      </c>
      <c r="J168" s="363" t="str">
        <f t="shared" si="24"/>
        <v>-</v>
      </c>
      <c r="K168" s="199" t="str">
        <f t="shared" si="25"/>
        <v>-</v>
      </c>
      <c r="L168" s="659"/>
      <c r="M168" s="198" t="e">
        <f>RANK(K168, K$147:$K$176)</f>
        <v>#VALUE!</v>
      </c>
      <c r="N168" s="643"/>
      <c r="O168" s="643"/>
      <c r="P168" s="556"/>
      <c r="Q168" s="557"/>
      <c r="R168" s="557"/>
      <c r="S168" s="556"/>
      <c r="T168" s="644"/>
      <c r="U168" s="556"/>
      <c r="V168" s="557"/>
      <c r="W168" s="557"/>
      <c r="X168" s="556"/>
      <c r="Y168" s="644"/>
      <c r="Z168" s="556"/>
      <c r="AA168" s="557"/>
      <c r="AB168" s="557"/>
      <c r="AC168" s="556"/>
      <c r="AD168" s="644"/>
      <c r="AE168" s="556"/>
      <c r="AF168" s="557"/>
      <c r="AG168" s="557"/>
      <c r="AH168" s="556"/>
      <c r="AI168" s="644"/>
      <c r="AJ168" s="556"/>
      <c r="AK168" s="557"/>
      <c r="AL168" s="557"/>
      <c r="AM168" s="556"/>
      <c r="AN168" s="644"/>
      <c r="AO168" s="556"/>
      <c r="AP168" s="557"/>
      <c r="AQ168" s="557"/>
      <c r="AR168" s="556"/>
      <c r="AS168" s="644"/>
      <c r="AT168" s="556"/>
      <c r="AU168" s="557"/>
      <c r="AV168" s="557"/>
      <c r="AW168" s="556"/>
      <c r="AX168" s="644"/>
      <c r="AZ168" s="368" t="e">
        <f t="shared" si="26"/>
        <v>#N/A</v>
      </c>
      <c r="BA168" s="644"/>
    </row>
    <row r="169" spans="2:53">
      <c r="B169" s="649"/>
      <c r="C169" s="278">
        <v>23</v>
      </c>
      <c r="D169" s="201"/>
      <c r="E169" s="514"/>
      <c r="F169" s="201"/>
      <c r="G169" s="199"/>
      <c r="H169" s="703"/>
      <c r="I169" s="363" t="str">
        <f t="shared" si="23"/>
        <v>-</v>
      </c>
      <c r="J169" s="363" t="str">
        <f t="shared" si="24"/>
        <v>-</v>
      </c>
      <c r="K169" s="199" t="str">
        <f t="shared" si="25"/>
        <v>-</v>
      </c>
      <c r="L169" s="659"/>
      <c r="M169" s="198" t="e">
        <f>RANK(K169, K$147:$K$176)</f>
        <v>#VALUE!</v>
      </c>
      <c r="N169" s="643"/>
      <c r="O169" s="643"/>
      <c r="P169" s="556"/>
      <c r="Q169" s="557"/>
      <c r="R169" s="557"/>
      <c r="S169" s="556"/>
      <c r="T169" s="644"/>
      <c r="U169" s="556"/>
      <c r="V169" s="557"/>
      <c r="W169" s="557"/>
      <c r="X169" s="556"/>
      <c r="Y169" s="644"/>
      <c r="Z169" s="556"/>
      <c r="AA169" s="557"/>
      <c r="AB169" s="557"/>
      <c r="AC169" s="556"/>
      <c r="AD169" s="644"/>
      <c r="AE169" s="556"/>
      <c r="AF169" s="557"/>
      <c r="AG169" s="557"/>
      <c r="AH169" s="556"/>
      <c r="AI169" s="644"/>
      <c r="AJ169" s="556"/>
      <c r="AK169" s="557"/>
      <c r="AL169" s="557"/>
      <c r="AM169" s="556"/>
      <c r="AN169" s="644"/>
      <c r="AO169" s="556"/>
      <c r="AP169" s="557"/>
      <c r="AQ169" s="557"/>
      <c r="AR169" s="556"/>
      <c r="AS169" s="644"/>
      <c r="AT169" s="556"/>
      <c r="AU169" s="557"/>
      <c r="AV169" s="557"/>
      <c r="AW169" s="556"/>
      <c r="AX169" s="644"/>
      <c r="AZ169" s="368" t="e">
        <f t="shared" si="26"/>
        <v>#N/A</v>
      </c>
      <c r="BA169" s="644"/>
    </row>
    <row r="170" spans="2:53">
      <c r="B170" s="649"/>
      <c r="C170" s="278">
        <v>24</v>
      </c>
      <c r="D170" s="201"/>
      <c r="E170" s="514"/>
      <c r="F170" s="201"/>
      <c r="G170" s="199"/>
      <c r="H170" s="703"/>
      <c r="I170" s="363" t="str">
        <f t="shared" si="23"/>
        <v>-</v>
      </c>
      <c r="J170" s="363" t="str">
        <f t="shared" si="24"/>
        <v>-</v>
      </c>
      <c r="K170" s="199" t="str">
        <f t="shared" si="25"/>
        <v>-</v>
      </c>
      <c r="L170" s="659"/>
      <c r="M170" s="198" t="e">
        <f>RANK(K170, K$147:$K$176)</f>
        <v>#VALUE!</v>
      </c>
      <c r="N170" s="643"/>
      <c r="O170" s="643"/>
      <c r="P170" s="556"/>
      <c r="Q170" s="557"/>
      <c r="R170" s="557"/>
      <c r="S170" s="556"/>
      <c r="T170" s="644"/>
      <c r="U170" s="556"/>
      <c r="V170" s="557"/>
      <c r="W170" s="557"/>
      <c r="X170" s="556"/>
      <c r="Y170" s="644"/>
      <c r="Z170" s="556"/>
      <c r="AA170" s="557"/>
      <c r="AB170" s="557"/>
      <c r="AC170" s="556"/>
      <c r="AD170" s="644"/>
      <c r="AE170" s="556"/>
      <c r="AF170" s="557"/>
      <c r="AG170" s="557"/>
      <c r="AH170" s="556"/>
      <c r="AI170" s="644"/>
      <c r="AJ170" s="556"/>
      <c r="AK170" s="557"/>
      <c r="AL170" s="557"/>
      <c r="AM170" s="556"/>
      <c r="AN170" s="644"/>
      <c r="AO170" s="556"/>
      <c r="AP170" s="557"/>
      <c r="AQ170" s="557"/>
      <c r="AR170" s="556"/>
      <c r="AS170" s="644"/>
      <c r="AT170" s="556"/>
      <c r="AU170" s="557"/>
      <c r="AV170" s="557"/>
      <c r="AW170" s="556"/>
      <c r="AX170" s="644"/>
      <c r="AZ170" s="368" t="e">
        <f t="shared" si="26"/>
        <v>#N/A</v>
      </c>
      <c r="BA170" s="644"/>
    </row>
    <row r="171" spans="2:53">
      <c r="B171" s="649"/>
      <c r="C171" s="278">
        <v>25</v>
      </c>
      <c r="D171" s="201"/>
      <c r="E171" s="514"/>
      <c r="F171" s="201"/>
      <c r="G171" s="199"/>
      <c r="H171" s="703"/>
      <c r="I171" s="363" t="str">
        <f t="shared" si="23"/>
        <v>-</v>
      </c>
      <c r="J171" s="363" t="str">
        <f t="shared" si="24"/>
        <v>-</v>
      </c>
      <c r="K171" s="199" t="str">
        <f t="shared" si="25"/>
        <v>-</v>
      </c>
      <c r="L171" s="659"/>
      <c r="M171" s="198" t="e">
        <f>RANK(K171, K$147:$K$176)</f>
        <v>#VALUE!</v>
      </c>
      <c r="N171" s="643"/>
      <c r="O171" s="643"/>
      <c r="P171" s="556"/>
      <c r="Q171" s="557"/>
      <c r="R171" s="557"/>
      <c r="S171" s="556"/>
      <c r="T171" s="644"/>
      <c r="U171" s="556"/>
      <c r="V171" s="557"/>
      <c r="W171" s="557"/>
      <c r="X171" s="556"/>
      <c r="Y171" s="644"/>
      <c r="Z171" s="556"/>
      <c r="AA171" s="557"/>
      <c r="AB171" s="557"/>
      <c r="AC171" s="556"/>
      <c r="AD171" s="644"/>
      <c r="AE171" s="556"/>
      <c r="AF171" s="557"/>
      <c r="AG171" s="557"/>
      <c r="AH171" s="556"/>
      <c r="AI171" s="644"/>
      <c r="AJ171" s="556"/>
      <c r="AK171" s="557"/>
      <c r="AL171" s="557"/>
      <c r="AM171" s="556"/>
      <c r="AN171" s="644"/>
      <c r="AO171" s="556"/>
      <c r="AP171" s="557"/>
      <c r="AQ171" s="557"/>
      <c r="AR171" s="556"/>
      <c r="AS171" s="644"/>
      <c r="AT171" s="556"/>
      <c r="AU171" s="557"/>
      <c r="AV171" s="557"/>
      <c r="AW171" s="556"/>
      <c r="AX171" s="644"/>
      <c r="AZ171" s="368" t="e">
        <f t="shared" si="26"/>
        <v>#N/A</v>
      </c>
      <c r="BA171" s="644"/>
    </row>
    <row r="172" spans="2:53">
      <c r="B172" s="649"/>
      <c r="C172" s="278">
        <v>26</v>
      </c>
      <c r="D172" s="201"/>
      <c r="E172" s="514"/>
      <c r="F172" s="201"/>
      <c r="G172" s="199"/>
      <c r="H172" s="703"/>
      <c r="I172" s="363" t="str">
        <f t="shared" si="23"/>
        <v>-</v>
      </c>
      <c r="J172" s="363" t="str">
        <f t="shared" si="24"/>
        <v>-</v>
      </c>
      <c r="K172" s="199" t="str">
        <f t="shared" si="25"/>
        <v>-</v>
      </c>
      <c r="L172" s="659"/>
      <c r="M172" s="198" t="e">
        <f>RANK(K172, K$147:$K$176)</f>
        <v>#VALUE!</v>
      </c>
      <c r="N172" s="643"/>
      <c r="O172" s="643"/>
      <c r="P172" s="556"/>
      <c r="Q172" s="557"/>
      <c r="R172" s="557"/>
      <c r="S172" s="556"/>
      <c r="T172" s="644"/>
      <c r="U172" s="556"/>
      <c r="V172" s="557"/>
      <c r="W172" s="557"/>
      <c r="X172" s="556"/>
      <c r="Y172" s="644"/>
      <c r="Z172" s="556"/>
      <c r="AA172" s="557"/>
      <c r="AB172" s="557"/>
      <c r="AC172" s="556"/>
      <c r="AD172" s="644"/>
      <c r="AE172" s="556"/>
      <c r="AF172" s="557"/>
      <c r="AG172" s="557"/>
      <c r="AH172" s="556"/>
      <c r="AI172" s="644"/>
      <c r="AJ172" s="556"/>
      <c r="AK172" s="557"/>
      <c r="AL172" s="557"/>
      <c r="AM172" s="556"/>
      <c r="AN172" s="644"/>
      <c r="AO172" s="556"/>
      <c r="AP172" s="557"/>
      <c r="AQ172" s="557"/>
      <c r="AR172" s="556"/>
      <c r="AS172" s="644"/>
      <c r="AT172" s="556"/>
      <c r="AU172" s="557"/>
      <c r="AV172" s="557"/>
      <c r="AW172" s="556"/>
      <c r="AX172" s="644"/>
      <c r="AZ172" s="368" t="e">
        <f t="shared" si="26"/>
        <v>#N/A</v>
      </c>
      <c r="BA172" s="644"/>
    </row>
    <row r="173" spans="2:53">
      <c r="B173" s="649"/>
      <c r="C173" s="278">
        <v>27</v>
      </c>
      <c r="D173" s="201"/>
      <c r="E173" s="514"/>
      <c r="F173" s="201"/>
      <c r="G173" s="199"/>
      <c r="H173" s="703"/>
      <c r="I173" s="363" t="str">
        <f t="shared" si="23"/>
        <v>-</v>
      </c>
      <c r="J173" s="363" t="str">
        <f t="shared" si="24"/>
        <v>-</v>
      </c>
      <c r="K173" s="199" t="str">
        <f t="shared" si="25"/>
        <v>-</v>
      </c>
      <c r="L173" s="659"/>
      <c r="M173" s="198" t="e">
        <f>RANK(K173, K$147:$K$176)</f>
        <v>#VALUE!</v>
      </c>
      <c r="N173" s="643"/>
      <c r="O173" s="643"/>
      <c r="P173" s="556"/>
      <c r="Q173" s="557"/>
      <c r="R173" s="557"/>
      <c r="S173" s="556"/>
      <c r="T173" s="644"/>
      <c r="U173" s="556"/>
      <c r="V173" s="557"/>
      <c r="W173" s="557"/>
      <c r="X173" s="556"/>
      <c r="Y173" s="644"/>
      <c r="Z173" s="556"/>
      <c r="AA173" s="557"/>
      <c r="AB173" s="557"/>
      <c r="AC173" s="556"/>
      <c r="AD173" s="644"/>
      <c r="AE173" s="556"/>
      <c r="AF173" s="557"/>
      <c r="AG173" s="557"/>
      <c r="AH173" s="556"/>
      <c r="AI173" s="644"/>
      <c r="AJ173" s="556"/>
      <c r="AK173" s="557"/>
      <c r="AL173" s="557"/>
      <c r="AM173" s="556"/>
      <c r="AN173" s="644"/>
      <c r="AO173" s="556"/>
      <c r="AP173" s="557"/>
      <c r="AQ173" s="557"/>
      <c r="AR173" s="556"/>
      <c r="AS173" s="644"/>
      <c r="AT173" s="556"/>
      <c r="AU173" s="557"/>
      <c r="AV173" s="557"/>
      <c r="AW173" s="556"/>
      <c r="AX173" s="644"/>
      <c r="AZ173" s="368" t="e">
        <f t="shared" si="26"/>
        <v>#N/A</v>
      </c>
      <c r="BA173" s="644"/>
    </row>
    <row r="174" spans="2:53">
      <c r="B174" s="649"/>
      <c r="C174" s="278">
        <v>28</v>
      </c>
      <c r="D174" s="201"/>
      <c r="E174" s="514"/>
      <c r="F174" s="201"/>
      <c r="G174" s="199"/>
      <c r="H174" s="703"/>
      <c r="I174" s="363" t="str">
        <f t="shared" si="23"/>
        <v>-</v>
      </c>
      <c r="J174" s="363" t="str">
        <f t="shared" si="24"/>
        <v>-</v>
      </c>
      <c r="K174" s="199" t="str">
        <f t="shared" si="25"/>
        <v>-</v>
      </c>
      <c r="L174" s="659"/>
      <c r="M174" s="198" t="e">
        <f>RANK(K174, K$147:$K$176)</f>
        <v>#VALUE!</v>
      </c>
      <c r="N174" s="643"/>
      <c r="O174" s="643"/>
      <c r="P174" s="556"/>
      <c r="Q174" s="557"/>
      <c r="R174" s="557"/>
      <c r="S174" s="556"/>
      <c r="T174" s="644"/>
      <c r="U174" s="556"/>
      <c r="V174" s="557"/>
      <c r="W174" s="557"/>
      <c r="X174" s="556"/>
      <c r="Y174" s="644"/>
      <c r="Z174" s="556"/>
      <c r="AA174" s="557"/>
      <c r="AB174" s="557"/>
      <c r="AC174" s="556"/>
      <c r="AD174" s="644"/>
      <c r="AE174" s="556"/>
      <c r="AF174" s="557"/>
      <c r="AG174" s="557"/>
      <c r="AH174" s="556"/>
      <c r="AI174" s="644"/>
      <c r="AJ174" s="556"/>
      <c r="AK174" s="557"/>
      <c r="AL174" s="557"/>
      <c r="AM174" s="556"/>
      <c r="AN174" s="644"/>
      <c r="AO174" s="556"/>
      <c r="AP174" s="557"/>
      <c r="AQ174" s="557"/>
      <c r="AR174" s="556"/>
      <c r="AS174" s="644"/>
      <c r="AT174" s="556"/>
      <c r="AU174" s="557"/>
      <c r="AV174" s="557"/>
      <c r="AW174" s="556"/>
      <c r="AX174" s="644"/>
      <c r="AZ174" s="368" t="e">
        <f t="shared" si="26"/>
        <v>#N/A</v>
      </c>
      <c r="BA174" s="644"/>
    </row>
    <row r="175" spans="2:53">
      <c r="B175" s="649"/>
      <c r="C175" s="278">
        <v>29</v>
      </c>
      <c r="D175" s="201"/>
      <c r="E175" s="514"/>
      <c r="F175" s="201"/>
      <c r="G175" s="199"/>
      <c r="H175" s="703"/>
      <c r="I175" s="363" t="str">
        <f t="shared" si="23"/>
        <v>-</v>
      </c>
      <c r="J175" s="363" t="str">
        <f t="shared" si="24"/>
        <v>-</v>
      </c>
      <c r="K175" s="199" t="str">
        <f t="shared" si="25"/>
        <v>-</v>
      </c>
      <c r="L175" s="659"/>
      <c r="M175" s="198" t="e">
        <f>RANK(K175, K$147:$K$176)</f>
        <v>#VALUE!</v>
      </c>
      <c r="N175" s="643"/>
      <c r="O175" s="643"/>
      <c r="P175" s="556"/>
      <c r="Q175" s="557"/>
      <c r="R175" s="557"/>
      <c r="S175" s="556"/>
      <c r="T175" s="644"/>
      <c r="U175" s="556"/>
      <c r="V175" s="557"/>
      <c r="W175" s="557"/>
      <c r="X175" s="556"/>
      <c r="Y175" s="644"/>
      <c r="Z175" s="556"/>
      <c r="AA175" s="557"/>
      <c r="AB175" s="557"/>
      <c r="AC175" s="556"/>
      <c r="AD175" s="644"/>
      <c r="AE175" s="556"/>
      <c r="AF175" s="557"/>
      <c r="AG175" s="557"/>
      <c r="AH175" s="556"/>
      <c r="AI175" s="644"/>
      <c r="AJ175" s="556"/>
      <c r="AK175" s="557"/>
      <c r="AL175" s="557"/>
      <c r="AM175" s="556"/>
      <c r="AN175" s="644"/>
      <c r="AO175" s="556"/>
      <c r="AP175" s="557"/>
      <c r="AQ175" s="557"/>
      <c r="AR175" s="556"/>
      <c r="AS175" s="644"/>
      <c r="AT175" s="556"/>
      <c r="AU175" s="557"/>
      <c r="AV175" s="557"/>
      <c r="AW175" s="556"/>
      <c r="AX175" s="644"/>
      <c r="AZ175" s="368" t="e">
        <f t="shared" si="26"/>
        <v>#N/A</v>
      </c>
      <c r="BA175" s="644"/>
    </row>
    <row r="176" spans="2:53">
      <c r="B176" s="649"/>
      <c r="C176" s="278">
        <v>30</v>
      </c>
      <c r="D176" s="201"/>
      <c r="E176" s="514"/>
      <c r="F176" s="201"/>
      <c r="G176" s="199"/>
      <c r="H176" s="704"/>
      <c r="I176" s="363" t="str">
        <f t="shared" si="23"/>
        <v>-</v>
      </c>
      <c r="J176" s="363" t="str">
        <f t="shared" si="24"/>
        <v>-</v>
      </c>
      <c r="K176" s="199" t="str">
        <f t="shared" si="25"/>
        <v>-</v>
      </c>
      <c r="L176" s="660"/>
      <c r="M176" s="198" t="e">
        <f>RANK(K176, K$147:$K$176)</f>
        <v>#VALUE!</v>
      </c>
      <c r="N176" s="643"/>
      <c r="O176" s="643"/>
      <c r="P176" s="556"/>
      <c r="Q176" s="557"/>
      <c r="R176" s="557"/>
      <c r="S176" s="556"/>
      <c r="T176" s="644"/>
      <c r="U176" s="556"/>
      <c r="V176" s="557"/>
      <c r="W176" s="557"/>
      <c r="X176" s="556"/>
      <c r="Y176" s="644"/>
      <c r="Z176" s="556"/>
      <c r="AA176" s="557"/>
      <c r="AB176" s="557"/>
      <c r="AC176" s="556"/>
      <c r="AD176" s="644"/>
      <c r="AE176" s="556"/>
      <c r="AF176" s="557"/>
      <c r="AG176" s="557"/>
      <c r="AH176" s="556"/>
      <c r="AI176" s="644"/>
      <c r="AJ176" s="556"/>
      <c r="AK176" s="557"/>
      <c r="AL176" s="557"/>
      <c r="AM176" s="556"/>
      <c r="AN176" s="644"/>
      <c r="AO176" s="556"/>
      <c r="AP176" s="557"/>
      <c r="AQ176" s="557"/>
      <c r="AR176" s="556"/>
      <c r="AS176" s="644"/>
      <c r="AT176" s="556"/>
      <c r="AU176" s="557"/>
      <c r="AV176" s="557"/>
      <c r="AW176" s="556"/>
      <c r="AX176" s="644"/>
      <c r="AZ176" s="368" t="e">
        <f t="shared" si="26"/>
        <v>#N/A</v>
      </c>
      <c r="BA176" s="644"/>
    </row>
    <row r="177" spans="2:53" ht="15.75">
      <c r="B177" s="671" t="s">
        <v>162</v>
      </c>
      <c r="C177" s="672"/>
      <c r="D177" s="672"/>
      <c r="E177" s="672"/>
      <c r="F177" s="672"/>
      <c r="G177" s="672"/>
      <c r="H177" s="673"/>
      <c r="I177" s="207"/>
      <c r="J177" s="207"/>
      <c r="K177" s="207"/>
      <c r="L177" s="207"/>
      <c r="M177" s="206"/>
      <c r="N177" s="645" t="s">
        <v>156</v>
      </c>
      <c r="O177" s="645" t="s">
        <v>105</v>
      </c>
      <c r="P177" s="643" t="s">
        <v>564</v>
      </c>
      <c r="Q177" s="716" t="s">
        <v>564</v>
      </c>
      <c r="R177" s="716" t="s">
        <v>564</v>
      </c>
      <c r="S177" s="649"/>
      <c r="T177" s="644"/>
      <c r="U177" s="661" t="s">
        <v>564</v>
      </c>
      <c r="V177" s="717" t="s">
        <v>564</v>
      </c>
      <c r="W177" s="717" t="s">
        <v>564</v>
      </c>
      <c r="X177" s="662"/>
      <c r="Y177" s="718"/>
      <c r="Z177" s="661" t="s">
        <v>564</v>
      </c>
      <c r="AA177" s="717" t="s">
        <v>564</v>
      </c>
      <c r="AB177" s="717" t="s">
        <v>564</v>
      </c>
      <c r="AC177" s="662"/>
      <c r="AD177" s="718"/>
      <c r="AE177" s="661" t="s">
        <v>564</v>
      </c>
      <c r="AF177" s="717" t="s">
        <v>564</v>
      </c>
      <c r="AG177" s="717" t="s">
        <v>564</v>
      </c>
      <c r="AH177" s="662"/>
      <c r="AI177" s="718"/>
      <c r="AJ177" s="661" t="s">
        <v>564</v>
      </c>
      <c r="AK177" s="717" t="s">
        <v>564</v>
      </c>
      <c r="AL177" s="717" t="s">
        <v>564</v>
      </c>
      <c r="AM177" s="662"/>
      <c r="AN177" s="718"/>
      <c r="AO177" s="661" t="s">
        <v>564</v>
      </c>
      <c r="AP177" s="717" t="s">
        <v>564</v>
      </c>
      <c r="AQ177" s="717" t="s">
        <v>564</v>
      </c>
      <c r="AR177" s="662"/>
      <c r="AS177" s="718"/>
      <c r="AT177" s="661" t="s">
        <v>564</v>
      </c>
      <c r="AU177" s="717" t="s">
        <v>564</v>
      </c>
      <c r="AV177" s="717" t="s">
        <v>564</v>
      </c>
      <c r="AW177" s="662"/>
      <c r="AX177" s="718"/>
    </row>
    <row r="178" spans="2:53" ht="15.75">
      <c r="B178" s="674"/>
      <c r="C178" s="674"/>
      <c r="D178" s="674"/>
      <c r="E178" s="674"/>
      <c r="F178" s="674"/>
      <c r="G178" s="674"/>
      <c r="H178" s="674"/>
      <c r="I178" s="204"/>
      <c r="J178" s="204"/>
      <c r="K178" s="204"/>
      <c r="L178" s="204"/>
      <c r="M178" s="205"/>
      <c r="N178" s="647"/>
      <c r="O178" s="647"/>
      <c r="P178" s="643" t="s">
        <v>564</v>
      </c>
      <c r="Q178" s="716" t="s">
        <v>564</v>
      </c>
      <c r="R178" s="716" t="s">
        <v>564</v>
      </c>
      <c r="S178" s="649"/>
      <c r="T178" s="644"/>
      <c r="U178" s="643" t="s">
        <v>564</v>
      </c>
      <c r="V178" s="716" t="s">
        <v>564</v>
      </c>
      <c r="W178" s="716" t="s">
        <v>564</v>
      </c>
      <c r="X178" s="649"/>
      <c r="Y178" s="644"/>
      <c r="Z178" s="643" t="s">
        <v>564</v>
      </c>
      <c r="AA178" s="716" t="s">
        <v>564</v>
      </c>
      <c r="AB178" s="716" t="s">
        <v>564</v>
      </c>
      <c r="AC178" s="649"/>
      <c r="AD178" s="644"/>
      <c r="AE178" s="643" t="s">
        <v>564</v>
      </c>
      <c r="AF178" s="716" t="s">
        <v>564</v>
      </c>
      <c r="AG178" s="716" t="s">
        <v>564</v>
      </c>
      <c r="AH178" s="649"/>
      <c r="AI178" s="644"/>
      <c r="AJ178" s="643" t="s">
        <v>564</v>
      </c>
      <c r="AK178" s="716" t="s">
        <v>564</v>
      </c>
      <c r="AL178" s="716" t="s">
        <v>564</v>
      </c>
      <c r="AM178" s="649"/>
      <c r="AN178" s="644"/>
      <c r="AO178" s="643" t="s">
        <v>564</v>
      </c>
      <c r="AP178" s="716" t="s">
        <v>564</v>
      </c>
      <c r="AQ178" s="716" t="s">
        <v>564</v>
      </c>
      <c r="AR178" s="649"/>
      <c r="AS178" s="644"/>
      <c r="AT178" s="643" t="s">
        <v>564</v>
      </c>
      <c r="AU178" s="716" t="s">
        <v>564</v>
      </c>
      <c r="AV178" s="716" t="s">
        <v>564</v>
      </c>
      <c r="AW178" s="649"/>
      <c r="AX178" s="644"/>
    </row>
    <row r="179" spans="2:53">
      <c r="B179" s="643" t="s">
        <v>154</v>
      </c>
      <c r="C179" s="643" t="s">
        <v>372</v>
      </c>
      <c r="D179" s="643"/>
      <c r="E179" s="643" t="s">
        <v>363</v>
      </c>
      <c r="F179" s="643"/>
      <c r="G179" s="643"/>
      <c r="H179" s="675" t="s">
        <v>359</v>
      </c>
      <c r="I179" s="690" t="s">
        <v>364</v>
      </c>
      <c r="J179" s="690"/>
      <c r="K179" s="690"/>
      <c r="L179" s="691" t="s">
        <v>359</v>
      </c>
      <c r="M179" s="679" t="s">
        <v>360</v>
      </c>
      <c r="N179" s="643"/>
      <c r="O179" s="643" t="s">
        <v>365</v>
      </c>
      <c r="P179" s="661" t="s">
        <v>361</v>
      </c>
      <c r="Q179" s="662"/>
      <c r="R179" s="662"/>
      <c r="S179" s="663"/>
      <c r="T179" s="643" t="s">
        <v>359</v>
      </c>
      <c r="U179" s="661" t="s">
        <v>361</v>
      </c>
      <c r="V179" s="662"/>
      <c r="W179" s="662"/>
      <c r="X179" s="663"/>
      <c r="Y179" s="643" t="s">
        <v>359</v>
      </c>
      <c r="Z179" s="661" t="s">
        <v>361</v>
      </c>
      <c r="AA179" s="662"/>
      <c r="AB179" s="662"/>
      <c r="AC179" s="663"/>
      <c r="AD179" s="643" t="s">
        <v>359</v>
      </c>
      <c r="AE179" s="661" t="s">
        <v>361</v>
      </c>
      <c r="AF179" s="662"/>
      <c r="AG179" s="662"/>
      <c r="AH179" s="663"/>
      <c r="AI179" s="643" t="s">
        <v>359</v>
      </c>
      <c r="AJ179" s="661" t="s">
        <v>361</v>
      </c>
      <c r="AK179" s="662"/>
      <c r="AL179" s="662"/>
      <c r="AM179" s="663"/>
      <c r="AN179" s="643" t="s">
        <v>359</v>
      </c>
      <c r="AO179" s="661" t="s">
        <v>361</v>
      </c>
      <c r="AP179" s="662"/>
      <c r="AQ179" s="662"/>
      <c r="AR179" s="663"/>
      <c r="AS179" s="643" t="s">
        <v>359</v>
      </c>
      <c r="AT179" s="661" t="s">
        <v>361</v>
      </c>
      <c r="AU179" s="662"/>
      <c r="AV179" s="662"/>
      <c r="AW179" s="663"/>
      <c r="AX179" s="643" t="s">
        <v>359</v>
      </c>
      <c r="BA179" s="643" t="s">
        <v>359</v>
      </c>
    </row>
    <row r="180" spans="2:53">
      <c r="B180" s="643"/>
      <c r="C180" s="643"/>
      <c r="D180" s="643"/>
      <c r="E180" s="643" t="s">
        <v>366</v>
      </c>
      <c r="F180" s="643"/>
      <c r="G180" s="643"/>
      <c r="H180" s="676"/>
      <c r="I180" s="690" t="s">
        <v>366</v>
      </c>
      <c r="J180" s="690"/>
      <c r="K180" s="690"/>
      <c r="L180" s="692"/>
      <c r="M180" s="680"/>
      <c r="N180" s="643"/>
      <c r="O180" s="643"/>
      <c r="P180" s="661" t="s">
        <v>367</v>
      </c>
      <c r="Q180" s="662"/>
      <c r="R180" s="662"/>
      <c r="S180" s="663"/>
      <c r="T180" s="643"/>
      <c r="U180" s="661" t="s">
        <v>367</v>
      </c>
      <c r="V180" s="662"/>
      <c r="W180" s="662"/>
      <c r="X180" s="663"/>
      <c r="Y180" s="643"/>
      <c r="Z180" s="661" t="s">
        <v>367</v>
      </c>
      <c r="AA180" s="662"/>
      <c r="AB180" s="662"/>
      <c r="AC180" s="663"/>
      <c r="AD180" s="643"/>
      <c r="AE180" s="661" t="s">
        <v>367</v>
      </c>
      <c r="AF180" s="662"/>
      <c r="AG180" s="662"/>
      <c r="AH180" s="663"/>
      <c r="AI180" s="643"/>
      <c r="AJ180" s="661" t="s">
        <v>367</v>
      </c>
      <c r="AK180" s="662"/>
      <c r="AL180" s="662"/>
      <c r="AM180" s="663"/>
      <c r="AN180" s="643"/>
      <c r="AO180" s="661" t="s">
        <v>367</v>
      </c>
      <c r="AP180" s="662"/>
      <c r="AQ180" s="662"/>
      <c r="AR180" s="663"/>
      <c r="AS180" s="643"/>
      <c r="AT180" s="661" t="s">
        <v>367</v>
      </c>
      <c r="AU180" s="662"/>
      <c r="AV180" s="662"/>
      <c r="AW180" s="663"/>
      <c r="AX180" s="643"/>
      <c r="BA180" s="643"/>
    </row>
    <row r="181" spans="2:53">
      <c r="B181" s="643"/>
      <c r="C181" s="643"/>
      <c r="D181" s="643"/>
      <c r="E181" s="304" t="s">
        <v>368</v>
      </c>
      <c r="F181" s="304" t="s">
        <v>369</v>
      </c>
      <c r="G181" s="304" t="s">
        <v>370</v>
      </c>
      <c r="H181" s="677"/>
      <c r="I181" s="305" t="s">
        <v>368</v>
      </c>
      <c r="J181" s="305" t="s">
        <v>369</v>
      </c>
      <c r="K181" s="305" t="s">
        <v>370</v>
      </c>
      <c r="L181" s="693"/>
      <c r="M181" s="681"/>
      <c r="N181" s="643"/>
      <c r="O181" s="643"/>
      <c r="P181" s="304" t="s">
        <v>368</v>
      </c>
      <c r="Q181" s="304" t="s">
        <v>369</v>
      </c>
      <c r="R181" s="304" t="s">
        <v>370</v>
      </c>
      <c r="S181" s="304" t="s">
        <v>360</v>
      </c>
      <c r="T181" s="643"/>
      <c r="U181" s="304" t="s">
        <v>368</v>
      </c>
      <c r="V181" s="304" t="s">
        <v>369</v>
      </c>
      <c r="W181" s="304" t="s">
        <v>370</v>
      </c>
      <c r="X181" s="304" t="s">
        <v>360</v>
      </c>
      <c r="Y181" s="643"/>
      <c r="Z181" s="304" t="s">
        <v>368</v>
      </c>
      <c r="AA181" s="304" t="s">
        <v>369</v>
      </c>
      <c r="AB181" s="304" t="s">
        <v>370</v>
      </c>
      <c r="AC181" s="304" t="s">
        <v>360</v>
      </c>
      <c r="AD181" s="643"/>
      <c r="AE181" s="304" t="s">
        <v>368</v>
      </c>
      <c r="AF181" s="304" t="s">
        <v>369</v>
      </c>
      <c r="AG181" s="304" t="s">
        <v>370</v>
      </c>
      <c r="AH181" s="304" t="s">
        <v>360</v>
      </c>
      <c r="AI181" s="643"/>
      <c r="AJ181" s="304" t="s">
        <v>368</v>
      </c>
      <c r="AK181" s="304" t="s">
        <v>369</v>
      </c>
      <c r="AL181" s="304" t="s">
        <v>370</v>
      </c>
      <c r="AM181" s="304" t="s">
        <v>360</v>
      </c>
      <c r="AN181" s="643"/>
      <c r="AO181" s="304" t="s">
        <v>368</v>
      </c>
      <c r="AP181" s="304" t="s">
        <v>369</v>
      </c>
      <c r="AQ181" s="304" t="s">
        <v>370</v>
      </c>
      <c r="AR181" s="304" t="s">
        <v>360</v>
      </c>
      <c r="AS181" s="643"/>
      <c r="AT181" s="304" t="s">
        <v>368</v>
      </c>
      <c r="AU181" s="304" t="s">
        <v>369</v>
      </c>
      <c r="AV181" s="304" t="s">
        <v>370</v>
      </c>
      <c r="AW181" s="304" t="s">
        <v>360</v>
      </c>
      <c r="AX181" s="643"/>
      <c r="AZ181" s="367" t="s">
        <v>360</v>
      </c>
      <c r="BA181" s="643"/>
    </row>
    <row r="182" spans="2:53">
      <c r="B182" s="643" t="s">
        <v>134</v>
      </c>
      <c r="C182" s="303">
        <v>1</v>
      </c>
      <c r="D182" s="201"/>
      <c r="E182" s="514"/>
      <c r="F182" s="201"/>
      <c r="G182" s="199"/>
      <c r="H182" s="702" t="e">
        <f>AVERAGE(G182:G211)</f>
        <v>#DIV/0!</v>
      </c>
      <c r="I182" s="363" t="str">
        <f>IFERROR(AVERAGE(P182,U182,Z182,AE182,AJ182,AO182,AT182),"-")</f>
        <v>-</v>
      </c>
      <c r="J182" s="363" t="str">
        <f>IFERROR(AVERAGE(Q182,V182,AA182,AF182,AK182,AP182,AU182),"-")</f>
        <v>-</v>
      </c>
      <c r="K182" s="199" t="str">
        <f>IFERROR(AVERAGE(R182,W182,AB182,AG182,AL182,AQ182,AV182),"-")</f>
        <v>-</v>
      </c>
      <c r="L182" s="658" t="str">
        <f>IFERROR(AVERAGE(K182:K211),"-")</f>
        <v>-</v>
      </c>
      <c r="M182" s="200" t="e">
        <f>RANK(K182, K$147:$K$176)</f>
        <v>#VALUE!</v>
      </c>
      <c r="N182" s="643"/>
      <c r="O182" s="643"/>
      <c r="P182" s="507"/>
      <c r="Q182" s="509"/>
      <c r="R182" s="509"/>
      <c r="S182" s="507"/>
      <c r="T182" s="644"/>
      <c r="U182" s="507"/>
      <c r="V182" s="509"/>
      <c r="W182" s="509"/>
      <c r="X182" s="507"/>
      <c r="Y182" s="644"/>
      <c r="Z182" s="507"/>
      <c r="AA182" s="509"/>
      <c r="AB182" s="509"/>
      <c r="AC182" s="507"/>
      <c r="AD182" s="644"/>
      <c r="AE182" s="507"/>
      <c r="AF182" s="509"/>
      <c r="AG182" s="509"/>
      <c r="AH182" s="507"/>
      <c r="AI182" s="644"/>
      <c r="AJ182" s="507"/>
      <c r="AK182" s="509"/>
      <c r="AL182" s="509"/>
      <c r="AM182" s="507"/>
      <c r="AN182" s="644"/>
      <c r="AO182" s="507"/>
      <c r="AP182" s="509"/>
      <c r="AQ182" s="509"/>
      <c r="AR182" s="507"/>
      <c r="AS182" s="644"/>
      <c r="AT182" s="507"/>
      <c r="AU182" s="509"/>
      <c r="AV182" s="509"/>
      <c r="AW182" s="507"/>
      <c r="AX182" s="644"/>
      <c r="AZ182" s="368" t="e">
        <f>RANK(AY182, AY$182:AY$211)</f>
        <v>#N/A</v>
      </c>
      <c r="BA182" s="644" t="e">
        <f>AVERAGE(AY182:AY211)</f>
        <v>#DIV/0!</v>
      </c>
    </row>
    <row r="183" spans="2:53">
      <c r="B183" s="649"/>
      <c r="C183" s="303">
        <v>2</v>
      </c>
      <c r="D183" s="201"/>
      <c r="E183" s="514"/>
      <c r="F183" s="201"/>
      <c r="G183" s="199"/>
      <c r="H183" s="703"/>
      <c r="I183" s="363" t="str">
        <f t="shared" ref="I183:I211" si="27">IFERROR(AVERAGE(P183,U183,Z183,AE183,AJ183,AO183,AT183),"-")</f>
        <v>-</v>
      </c>
      <c r="J183" s="363" t="str">
        <f t="shared" ref="J183:J211" si="28">IFERROR(AVERAGE(Q183,V183,AA183,AF183,AK183,AP183,AU183),"-")</f>
        <v>-</v>
      </c>
      <c r="K183" s="199" t="str">
        <f t="shared" ref="K183:K211" si="29">IFERROR(AVERAGE(R183,W183,AB183,AG183,AL183,AQ183,AV183),"-")</f>
        <v>-</v>
      </c>
      <c r="L183" s="659"/>
      <c r="M183" s="200" t="e">
        <f>RANK(K183, K$147:$K$176)</f>
        <v>#VALUE!</v>
      </c>
      <c r="N183" s="643"/>
      <c r="O183" s="643"/>
      <c r="P183" s="507"/>
      <c r="Q183" s="509"/>
      <c r="R183" s="509"/>
      <c r="S183" s="507"/>
      <c r="T183" s="644"/>
      <c r="U183" s="507"/>
      <c r="V183" s="509"/>
      <c r="W183" s="509"/>
      <c r="X183" s="507"/>
      <c r="Y183" s="644"/>
      <c r="Z183" s="507"/>
      <c r="AA183" s="509"/>
      <c r="AB183" s="509"/>
      <c r="AC183" s="507"/>
      <c r="AD183" s="644"/>
      <c r="AE183" s="507"/>
      <c r="AF183" s="509"/>
      <c r="AG183" s="509"/>
      <c r="AH183" s="507"/>
      <c r="AI183" s="644"/>
      <c r="AJ183" s="507"/>
      <c r="AK183" s="509"/>
      <c r="AL183" s="509"/>
      <c r="AM183" s="507"/>
      <c r="AN183" s="644"/>
      <c r="AO183" s="507"/>
      <c r="AP183" s="509"/>
      <c r="AQ183" s="509"/>
      <c r="AR183" s="507"/>
      <c r="AS183" s="644"/>
      <c r="AT183" s="507"/>
      <c r="AU183" s="509"/>
      <c r="AV183" s="509"/>
      <c r="AW183" s="507"/>
      <c r="AX183" s="644"/>
      <c r="AZ183" s="368" t="e">
        <f t="shared" ref="AZ183:AZ211" si="30">RANK(AY183, AY$182:AY$211)</f>
        <v>#N/A</v>
      </c>
      <c r="BA183" s="644"/>
    </row>
    <row r="184" spans="2:53">
      <c r="B184" s="649"/>
      <c r="C184" s="303">
        <v>3</v>
      </c>
      <c r="D184" s="201"/>
      <c r="E184" s="514"/>
      <c r="F184" s="201"/>
      <c r="G184" s="199"/>
      <c r="H184" s="703"/>
      <c r="I184" s="363" t="str">
        <f t="shared" si="27"/>
        <v>-</v>
      </c>
      <c r="J184" s="363" t="str">
        <f t="shared" si="28"/>
        <v>-</v>
      </c>
      <c r="K184" s="199" t="str">
        <f t="shared" si="29"/>
        <v>-</v>
      </c>
      <c r="L184" s="659"/>
      <c r="M184" s="200" t="e">
        <f>RANK(K184, K$147:$K$176)</f>
        <v>#VALUE!</v>
      </c>
      <c r="N184" s="643"/>
      <c r="O184" s="643"/>
      <c r="P184" s="507"/>
      <c r="Q184" s="509"/>
      <c r="R184" s="509"/>
      <c r="S184" s="507"/>
      <c r="T184" s="644"/>
      <c r="U184" s="507"/>
      <c r="V184" s="509"/>
      <c r="W184" s="509"/>
      <c r="X184" s="507"/>
      <c r="Y184" s="644"/>
      <c r="Z184" s="507"/>
      <c r="AA184" s="509"/>
      <c r="AB184" s="509"/>
      <c r="AC184" s="507"/>
      <c r="AD184" s="644"/>
      <c r="AE184" s="507"/>
      <c r="AF184" s="509"/>
      <c r="AG184" s="509"/>
      <c r="AH184" s="507"/>
      <c r="AI184" s="644"/>
      <c r="AJ184" s="507"/>
      <c r="AK184" s="509"/>
      <c r="AL184" s="509"/>
      <c r="AM184" s="507"/>
      <c r="AN184" s="644"/>
      <c r="AO184" s="507"/>
      <c r="AP184" s="509"/>
      <c r="AQ184" s="509"/>
      <c r="AR184" s="507"/>
      <c r="AS184" s="644"/>
      <c r="AT184" s="507"/>
      <c r="AU184" s="509"/>
      <c r="AV184" s="509"/>
      <c r="AW184" s="507"/>
      <c r="AX184" s="644"/>
      <c r="AZ184" s="368" t="e">
        <f t="shared" si="30"/>
        <v>#N/A</v>
      </c>
      <c r="BA184" s="644"/>
    </row>
    <row r="185" spans="2:53">
      <c r="B185" s="649"/>
      <c r="C185" s="303">
        <v>4</v>
      </c>
      <c r="D185" s="201"/>
      <c r="E185" s="514"/>
      <c r="F185" s="201"/>
      <c r="G185" s="199"/>
      <c r="H185" s="703"/>
      <c r="I185" s="363" t="str">
        <f t="shared" si="27"/>
        <v>-</v>
      </c>
      <c r="J185" s="363" t="str">
        <f t="shared" si="28"/>
        <v>-</v>
      </c>
      <c r="K185" s="199" t="str">
        <f t="shared" si="29"/>
        <v>-</v>
      </c>
      <c r="L185" s="659"/>
      <c r="M185" s="200" t="e">
        <f>RANK(K185, K$147:$K$176)</f>
        <v>#VALUE!</v>
      </c>
      <c r="N185" s="643"/>
      <c r="O185" s="643"/>
      <c r="P185" s="507"/>
      <c r="Q185" s="509"/>
      <c r="R185" s="509"/>
      <c r="S185" s="507"/>
      <c r="T185" s="644"/>
      <c r="U185" s="507"/>
      <c r="V185" s="509"/>
      <c r="W185" s="509"/>
      <c r="X185" s="507"/>
      <c r="Y185" s="644"/>
      <c r="Z185" s="507"/>
      <c r="AA185" s="509"/>
      <c r="AB185" s="509"/>
      <c r="AC185" s="507"/>
      <c r="AD185" s="644"/>
      <c r="AE185" s="507"/>
      <c r="AF185" s="509"/>
      <c r="AG185" s="509"/>
      <c r="AH185" s="507"/>
      <c r="AI185" s="644"/>
      <c r="AJ185" s="507"/>
      <c r="AK185" s="509"/>
      <c r="AL185" s="509"/>
      <c r="AM185" s="507"/>
      <c r="AN185" s="644"/>
      <c r="AO185" s="507"/>
      <c r="AP185" s="509"/>
      <c r="AQ185" s="509"/>
      <c r="AR185" s="507"/>
      <c r="AS185" s="644"/>
      <c r="AT185" s="507"/>
      <c r="AU185" s="509"/>
      <c r="AV185" s="509"/>
      <c r="AW185" s="507"/>
      <c r="AX185" s="644"/>
      <c r="AZ185" s="368" t="e">
        <f t="shared" si="30"/>
        <v>#N/A</v>
      </c>
      <c r="BA185" s="644"/>
    </row>
    <row r="186" spans="2:53">
      <c r="B186" s="649"/>
      <c r="C186" s="303">
        <v>5</v>
      </c>
      <c r="D186" s="201"/>
      <c r="E186" s="514"/>
      <c r="F186" s="201"/>
      <c r="G186" s="199"/>
      <c r="H186" s="703"/>
      <c r="I186" s="363" t="str">
        <f t="shared" si="27"/>
        <v>-</v>
      </c>
      <c r="J186" s="363" t="str">
        <f t="shared" si="28"/>
        <v>-</v>
      </c>
      <c r="K186" s="199" t="str">
        <f t="shared" si="29"/>
        <v>-</v>
      </c>
      <c r="L186" s="659"/>
      <c r="M186" s="200" t="e">
        <f>RANK(K186, K$147:$K$176)</f>
        <v>#VALUE!</v>
      </c>
      <c r="N186" s="643"/>
      <c r="O186" s="643"/>
      <c r="P186" s="507"/>
      <c r="Q186" s="509"/>
      <c r="R186" s="509"/>
      <c r="S186" s="507"/>
      <c r="T186" s="644"/>
      <c r="U186" s="507"/>
      <c r="V186" s="509"/>
      <c r="W186" s="509"/>
      <c r="X186" s="507"/>
      <c r="Y186" s="644"/>
      <c r="Z186" s="507"/>
      <c r="AA186" s="509"/>
      <c r="AB186" s="509"/>
      <c r="AC186" s="507"/>
      <c r="AD186" s="644"/>
      <c r="AE186" s="507"/>
      <c r="AF186" s="509"/>
      <c r="AG186" s="509"/>
      <c r="AH186" s="507"/>
      <c r="AI186" s="644"/>
      <c r="AJ186" s="507"/>
      <c r="AK186" s="509"/>
      <c r="AL186" s="509"/>
      <c r="AM186" s="507"/>
      <c r="AN186" s="644"/>
      <c r="AO186" s="507"/>
      <c r="AP186" s="509"/>
      <c r="AQ186" s="509"/>
      <c r="AR186" s="507"/>
      <c r="AS186" s="644"/>
      <c r="AT186" s="507"/>
      <c r="AU186" s="509"/>
      <c r="AV186" s="509"/>
      <c r="AW186" s="507"/>
      <c r="AX186" s="644"/>
      <c r="AZ186" s="368" t="e">
        <f t="shared" si="30"/>
        <v>#N/A</v>
      </c>
      <c r="BA186" s="644"/>
    </row>
    <row r="187" spans="2:53">
      <c r="B187" s="649"/>
      <c r="C187" s="303">
        <v>6</v>
      </c>
      <c r="D187" s="201"/>
      <c r="E187" s="514"/>
      <c r="F187" s="201"/>
      <c r="G187" s="199"/>
      <c r="H187" s="703"/>
      <c r="I187" s="363" t="str">
        <f t="shared" si="27"/>
        <v>-</v>
      </c>
      <c r="J187" s="363" t="str">
        <f t="shared" si="28"/>
        <v>-</v>
      </c>
      <c r="K187" s="199" t="str">
        <f t="shared" si="29"/>
        <v>-</v>
      </c>
      <c r="L187" s="659"/>
      <c r="M187" s="200" t="e">
        <f>RANK(K187, K$147:$K$176)</f>
        <v>#VALUE!</v>
      </c>
      <c r="N187" s="643"/>
      <c r="O187" s="643"/>
      <c r="P187" s="507"/>
      <c r="Q187" s="509"/>
      <c r="R187" s="509"/>
      <c r="S187" s="507"/>
      <c r="T187" s="644"/>
      <c r="U187" s="507"/>
      <c r="V187" s="509"/>
      <c r="W187" s="509"/>
      <c r="X187" s="507"/>
      <c r="Y187" s="644"/>
      <c r="Z187" s="507"/>
      <c r="AA187" s="509"/>
      <c r="AB187" s="509"/>
      <c r="AC187" s="507"/>
      <c r="AD187" s="644"/>
      <c r="AE187" s="507"/>
      <c r="AF187" s="509"/>
      <c r="AG187" s="509"/>
      <c r="AH187" s="507"/>
      <c r="AI187" s="644"/>
      <c r="AJ187" s="507"/>
      <c r="AK187" s="509"/>
      <c r="AL187" s="509"/>
      <c r="AM187" s="507"/>
      <c r="AN187" s="644"/>
      <c r="AO187" s="507"/>
      <c r="AP187" s="509"/>
      <c r="AQ187" s="509"/>
      <c r="AR187" s="507"/>
      <c r="AS187" s="644"/>
      <c r="AT187" s="507"/>
      <c r="AU187" s="509"/>
      <c r="AV187" s="509"/>
      <c r="AW187" s="507"/>
      <c r="AX187" s="644"/>
      <c r="AZ187" s="368" t="e">
        <f t="shared" si="30"/>
        <v>#N/A</v>
      </c>
      <c r="BA187" s="644"/>
    </row>
    <row r="188" spans="2:53">
      <c r="B188" s="649"/>
      <c r="C188" s="303">
        <v>7</v>
      </c>
      <c r="D188" s="201"/>
      <c r="E188" s="514"/>
      <c r="F188" s="201"/>
      <c r="G188" s="199"/>
      <c r="H188" s="703"/>
      <c r="I188" s="363" t="str">
        <f t="shared" si="27"/>
        <v>-</v>
      </c>
      <c r="J188" s="363" t="str">
        <f t="shared" si="28"/>
        <v>-</v>
      </c>
      <c r="K188" s="199" t="str">
        <f t="shared" si="29"/>
        <v>-</v>
      </c>
      <c r="L188" s="659"/>
      <c r="M188" s="200" t="e">
        <f>RANK(K188, K$147:$K$176)</f>
        <v>#VALUE!</v>
      </c>
      <c r="N188" s="643"/>
      <c r="O188" s="643"/>
      <c r="P188" s="507"/>
      <c r="Q188" s="509"/>
      <c r="R188" s="509"/>
      <c r="S188" s="507"/>
      <c r="T188" s="644"/>
      <c r="U188" s="507"/>
      <c r="V188" s="509"/>
      <c r="W188" s="509"/>
      <c r="X188" s="507"/>
      <c r="Y188" s="644"/>
      <c r="Z188" s="507"/>
      <c r="AA188" s="509"/>
      <c r="AB188" s="509"/>
      <c r="AC188" s="507"/>
      <c r="AD188" s="644"/>
      <c r="AE188" s="507"/>
      <c r="AF188" s="509"/>
      <c r="AG188" s="509"/>
      <c r="AH188" s="507"/>
      <c r="AI188" s="644"/>
      <c r="AJ188" s="507"/>
      <c r="AK188" s="509"/>
      <c r="AL188" s="509"/>
      <c r="AM188" s="507"/>
      <c r="AN188" s="644"/>
      <c r="AO188" s="507"/>
      <c r="AP188" s="509"/>
      <c r="AQ188" s="509"/>
      <c r="AR188" s="507"/>
      <c r="AS188" s="644"/>
      <c r="AT188" s="507"/>
      <c r="AU188" s="509"/>
      <c r="AV188" s="509"/>
      <c r="AW188" s="507"/>
      <c r="AX188" s="644"/>
      <c r="AZ188" s="368" t="e">
        <f t="shared" si="30"/>
        <v>#N/A</v>
      </c>
      <c r="BA188" s="644"/>
    </row>
    <row r="189" spans="2:53">
      <c r="B189" s="649"/>
      <c r="C189" s="303">
        <v>8</v>
      </c>
      <c r="D189" s="201"/>
      <c r="E189" s="514"/>
      <c r="F189" s="201"/>
      <c r="G189" s="199"/>
      <c r="H189" s="703"/>
      <c r="I189" s="363" t="str">
        <f t="shared" si="27"/>
        <v>-</v>
      </c>
      <c r="J189" s="363" t="str">
        <f t="shared" si="28"/>
        <v>-</v>
      </c>
      <c r="K189" s="199" t="str">
        <f t="shared" si="29"/>
        <v>-</v>
      </c>
      <c r="L189" s="659"/>
      <c r="M189" s="200" t="e">
        <f>RANK(K189, K$147:$K$176)</f>
        <v>#VALUE!</v>
      </c>
      <c r="N189" s="643"/>
      <c r="O189" s="643"/>
      <c r="P189" s="507"/>
      <c r="Q189" s="509"/>
      <c r="R189" s="509"/>
      <c r="S189" s="507"/>
      <c r="T189" s="644"/>
      <c r="U189" s="507"/>
      <c r="V189" s="509"/>
      <c r="W189" s="509"/>
      <c r="X189" s="507"/>
      <c r="Y189" s="644"/>
      <c r="Z189" s="507"/>
      <c r="AA189" s="509"/>
      <c r="AB189" s="509"/>
      <c r="AC189" s="507"/>
      <c r="AD189" s="644"/>
      <c r="AE189" s="507"/>
      <c r="AF189" s="509"/>
      <c r="AG189" s="509"/>
      <c r="AH189" s="507"/>
      <c r="AI189" s="644"/>
      <c r="AJ189" s="507"/>
      <c r="AK189" s="509"/>
      <c r="AL189" s="509"/>
      <c r="AM189" s="507"/>
      <c r="AN189" s="644"/>
      <c r="AO189" s="507"/>
      <c r="AP189" s="509"/>
      <c r="AQ189" s="509"/>
      <c r="AR189" s="507"/>
      <c r="AS189" s="644"/>
      <c r="AT189" s="507"/>
      <c r="AU189" s="509"/>
      <c r="AV189" s="509"/>
      <c r="AW189" s="507"/>
      <c r="AX189" s="644"/>
      <c r="AZ189" s="368" t="e">
        <f t="shared" si="30"/>
        <v>#N/A</v>
      </c>
      <c r="BA189" s="644"/>
    </row>
    <row r="190" spans="2:53">
      <c r="B190" s="649"/>
      <c r="C190" s="303">
        <v>9</v>
      </c>
      <c r="D190" s="201"/>
      <c r="E190" s="514"/>
      <c r="F190" s="201"/>
      <c r="G190" s="199"/>
      <c r="H190" s="703"/>
      <c r="I190" s="363" t="str">
        <f t="shared" si="27"/>
        <v>-</v>
      </c>
      <c r="J190" s="363" t="str">
        <f t="shared" si="28"/>
        <v>-</v>
      </c>
      <c r="K190" s="199" t="str">
        <f t="shared" si="29"/>
        <v>-</v>
      </c>
      <c r="L190" s="659"/>
      <c r="M190" s="200" t="e">
        <f>RANK(K190, K$147:$K$176)</f>
        <v>#VALUE!</v>
      </c>
      <c r="N190" s="643"/>
      <c r="O190" s="643"/>
      <c r="P190" s="507"/>
      <c r="Q190" s="509"/>
      <c r="R190" s="509"/>
      <c r="S190" s="507"/>
      <c r="T190" s="644"/>
      <c r="U190" s="507"/>
      <c r="V190" s="509"/>
      <c r="W190" s="509"/>
      <c r="X190" s="507"/>
      <c r="Y190" s="644"/>
      <c r="Z190" s="507"/>
      <c r="AA190" s="509"/>
      <c r="AB190" s="509"/>
      <c r="AC190" s="507"/>
      <c r="AD190" s="644"/>
      <c r="AE190" s="507"/>
      <c r="AF190" s="509"/>
      <c r="AG190" s="509"/>
      <c r="AH190" s="507"/>
      <c r="AI190" s="644"/>
      <c r="AJ190" s="507"/>
      <c r="AK190" s="509"/>
      <c r="AL190" s="509"/>
      <c r="AM190" s="507"/>
      <c r="AN190" s="644"/>
      <c r="AO190" s="507"/>
      <c r="AP190" s="509"/>
      <c r="AQ190" s="509"/>
      <c r="AR190" s="507"/>
      <c r="AS190" s="644"/>
      <c r="AT190" s="507"/>
      <c r="AU190" s="509"/>
      <c r="AV190" s="509"/>
      <c r="AW190" s="507"/>
      <c r="AX190" s="644"/>
      <c r="AZ190" s="368" t="e">
        <f t="shared" si="30"/>
        <v>#N/A</v>
      </c>
      <c r="BA190" s="644"/>
    </row>
    <row r="191" spans="2:53">
      <c r="B191" s="649"/>
      <c r="C191" s="303">
        <v>10</v>
      </c>
      <c r="D191" s="201"/>
      <c r="E191" s="514"/>
      <c r="F191" s="201"/>
      <c r="G191" s="199"/>
      <c r="H191" s="703"/>
      <c r="I191" s="363" t="str">
        <f t="shared" si="27"/>
        <v>-</v>
      </c>
      <c r="J191" s="363" t="str">
        <f t="shared" si="28"/>
        <v>-</v>
      </c>
      <c r="K191" s="199" t="str">
        <f t="shared" si="29"/>
        <v>-</v>
      </c>
      <c r="L191" s="659"/>
      <c r="M191" s="200" t="e">
        <f>RANK(K191, K$147:$K$176)</f>
        <v>#VALUE!</v>
      </c>
      <c r="N191" s="643"/>
      <c r="O191" s="643"/>
      <c r="P191" s="507"/>
      <c r="Q191" s="509"/>
      <c r="R191" s="509"/>
      <c r="S191" s="507"/>
      <c r="T191" s="644"/>
      <c r="U191" s="507"/>
      <c r="V191" s="509"/>
      <c r="W191" s="509"/>
      <c r="X191" s="507"/>
      <c r="Y191" s="644"/>
      <c r="Z191" s="507"/>
      <c r="AA191" s="509"/>
      <c r="AB191" s="509"/>
      <c r="AC191" s="507"/>
      <c r="AD191" s="644"/>
      <c r="AE191" s="507"/>
      <c r="AF191" s="509"/>
      <c r="AG191" s="509"/>
      <c r="AH191" s="507"/>
      <c r="AI191" s="644"/>
      <c r="AJ191" s="507"/>
      <c r="AK191" s="509"/>
      <c r="AL191" s="509"/>
      <c r="AM191" s="507"/>
      <c r="AN191" s="644"/>
      <c r="AO191" s="507"/>
      <c r="AP191" s="509"/>
      <c r="AQ191" s="509"/>
      <c r="AR191" s="507"/>
      <c r="AS191" s="644"/>
      <c r="AT191" s="507"/>
      <c r="AU191" s="509"/>
      <c r="AV191" s="509"/>
      <c r="AW191" s="507"/>
      <c r="AX191" s="644"/>
      <c r="AZ191" s="368" t="e">
        <f t="shared" si="30"/>
        <v>#N/A</v>
      </c>
      <c r="BA191" s="644"/>
    </row>
    <row r="192" spans="2:53">
      <c r="B192" s="649"/>
      <c r="C192" s="303">
        <v>11</v>
      </c>
      <c r="D192" s="201"/>
      <c r="E192" s="514"/>
      <c r="F192" s="201"/>
      <c r="G192" s="199"/>
      <c r="H192" s="703"/>
      <c r="I192" s="363" t="str">
        <f t="shared" si="27"/>
        <v>-</v>
      </c>
      <c r="J192" s="363" t="str">
        <f t="shared" si="28"/>
        <v>-</v>
      </c>
      <c r="K192" s="199" t="str">
        <f t="shared" si="29"/>
        <v>-</v>
      </c>
      <c r="L192" s="659"/>
      <c r="M192" s="200" t="e">
        <f>RANK(K192, K$147:$K$176)</f>
        <v>#VALUE!</v>
      </c>
      <c r="N192" s="643"/>
      <c r="O192" s="643"/>
      <c r="P192" s="507"/>
      <c r="Q192" s="509"/>
      <c r="R192" s="509"/>
      <c r="S192" s="507"/>
      <c r="T192" s="644"/>
      <c r="U192" s="507"/>
      <c r="V192" s="509"/>
      <c r="W192" s="509"/>
      <c r="X192" s="507"/>
      <c r="Y192" s="644"/>
      <c r="Z192" s="507"/>
      <c r="AA192" s="509"/>
      <c r="AB192" s="509"/>
      <c r="AC192" s="507"/>
      <c r="AD192" s="644"/>
      <c r="AE192" s="507"/>
      <c r="AF192" s="509"/>
      <c r="AG192" s="509"/>
      <c r="AH192" s="507"/>
      <c r="AI192" s="644"/>
      <c r="AJ192" s="507"/>
      <c r="AK192" s="509"/>
      <c r="AL192" s="509"/>
      <c r="AM192" s="507"/>
      <c r="AN192" s="644"/>
      <c r="AO192" s="507"/>
      <c r="AP192" s="509"/>
      <c r="AQ192" s="509"/>
      <c r="AR192" s="507"/>
      <c r="AS192" s="644"/>
      <c r="AT192" s="507"/>
      <c r="AU192" s="509"/>
      <c r="AV192" s="509"/>
      <c r="AW192" s="507"/>
      <c r="AX192" s="644"/>
      <c r="AZ192" s="368" t="e">
        <f t="shared" si="30"/>
        <v>#N/A</v>
      </c>
      <c r="BA192" s="644"/>
    </row>
    <row r="193" spans="2:53">
      <c r="B193" s="649"/>
      <c r="C193" s="303">
        <v>12</v>
      </c>
      <c r="D193" s="201"/>
      <c r="E193" s="514"/>
      <c r="F193" s="201"/>
      <c r="G193" s="199"/>
      <c r="H193" s="703"/>
      <c r="I193" s="363" t="str">
        <f t="shared" si="27"/>
        <v>-</v>
      </c>
      <c r="J193" s="363" t="str">
        <f t="shared" si="28"/>
        <v>-</v>
      </c>
      <c r="K193" s="199" t="str">
        <f t="shared" si="29"/>
        <v>-</v>
      </c>
      <c r="L193" s="659"/>
      <c r="M193" s="200" t="e">
        <f>RANK(K193, K$147:$K$176)</f>
        <v>#VALUE!</v>
      </c>
      <c r="N193" s="643"/>
      <c r="O193" s="643"/>
      <c r="P193" s="507"/>
      <c r="Q193" s="509"/>
      <c r="R193" s="509"/>
      <c r="S193" s="507"/>
      <c r="T193" s="644"/>
      <c r="U193" s="507"/>
      <c r="V193" s="509"/>
      <c r="W193" s="509"/>
      <c r="X193" s="507"/>
      <c r="Y193" s="644"/>
      <c r="Z193" s="507"/>
      <c r="AA193" s="509"/>
      <c r="AB193" s="509"/>
      <c r="AC193" s="507"/>
      <c r="AD193" s="644"/>
      <c r="AE193" s="507"/>
      <c r="AF193" s="509"/>
      <c r="AG193" s="509"/>
      <c r="AH193" s="507"/>
      <c r="AI193" s="644"/>
      <c r="AJ193" s="507"/>
      <c r="AK193" s="509"/>
      <c r="AL193" s="509"/>
      <c r="AM193" s="507"/>
      <c r="AN193" s="644"/>
      <c r="AO193" s="507"/>
      <c r="AP193" s="509"/>
      <c r="AQ193" s="509"/>
      <c r="AR193" s="507"/>
      <c r="AS193" s="644"/>
      <c r="AT193" s="507"/>
      <c r="AU193" s="509"/>
      <c r="AV193" s="509"/>
      <c r="AW193" s="507"/>
      <c r="AX193" s="644"/>
      <c r="AZ193" s="368" t="e">
        <f t="shared" si="30"/>
        <v>#N/A</v>
      </c>
      <c r="BA193" s="644"/>
    </row>
    <row r="194" spans="2:53">
      <c r="B194" s="649"/>
      <c r="C194" s="303">
        <v>13</v>
      </c>
      <c r="D194" s="201"/>
      <c r="E194" s="514"/>
      <c r="F194" s="201"/>
      <c r="G194" s="199"/>
      <c r="H194" s="703"/>
      <c r="I194" s="363" t="str">
        <f t="shared" si="27"/>
        <v>-</v>
      </c>
      <c r="J194" s="363" t="str">
        <f t="shared" si="28"/>
        <v>-</v>
      </c>
      <c r="K194" s="199" t="str">
        <f t="shared" si="29"/>
        <v>-</v>
      </c>
      <c r="L194" s="659"/>
      <c r="M194" s="200" t="e">
        <f>RANK(K194, K$147:$K$176)</f>
        <v>#VALUE!</v>
      </c>
      <c r="N194" s="643"/>
      <c r="O194" s="643"/>
      <c r="P194" s="507"/>
      <c r="Q194" s="509"/>
      <c r="R194" s="509"/>
      <c r="S194" s="507"/>
      <c r="T194" s="644"/>
      <c r="U194" s="507"/>
      <c r="V194" s="509"/>
      <c r="W194" s="509"/>
      <c r="X194" s="507"/>
      <c r="Y194" s="644"/>
      <c r="Z194" s="507"/>
      <c r="AA194" s="509"/>
      <c r="AB194" s="509"/>
      <c r="AC194" s="507"/>
      <c r="AD194" s="644"/>
      <c r="AE194" s="507"/>
      <c r="AF194" s="509"/>
      <c r="AG194" s="509"/>
      <c r="AH194" s="507"/>
      <c r="AI194" s="644"/>
      <c r="AJ194" s="507"/>
      <c r="AK194" s="509"/>
      <c r="AL194" s="509"/>
      <c r="AM194" s="507"/>
      <c r="AN194" s="644"/>
      <c r="AO194" s="507"/>
      <c r="AP194" s="509"/>
      <c r="AQ194" s="509"/>
      <c r="AR194" s="507"/>
      <c r="AS194" s="644"/>
      <c r="AT194" s="507"/>
      <c r="AU194" s="509"/>
      <c r="AV194" s="509"/>
      <c r="AW194" s="507"/>
      <c r="AX194" s="644"/>
      <c r="AZ194" s="368" t="e">
        <f t="shared" si="30"/>
        <v>#N/A</v>
      </c>
      <c r="BA194" s="644"/>
    </row>
    <row r="195" spans="2:53">
      <c r="B195" s="649"/>
      <c r="C195" s="303">
        <v>14</v>
      </c>
      <c r="D195" s="201"/>
      <c r="E195" s="514"/>
      <c r="F195" s="201"/>
      <c r="G195" s="199"/>
      <c r="H195" s="703"/>
      <c r="I195" s="363" t="str">
        <f t="shared" si="27"/>
        <v>-</v>
      </c>
      <c r="J195" s="363" t="str">
        <f t="shared" si="28"/>
        <v>-</v>
      </c>
      <c r="K195" s="199" t="str">
        <f t="shared" si="29"/>
        <v>-</v>
      </c>
      <c r="L195" s="659"/>
      <c r="M195" s="200" t="e">
        <f>RANK(K195, K$147:$K$176)</f>
        <v>#VALUE!</v>
      </c>
      <c r="N195" s="643"/>
      <c r="O195" s="643"/>
      <c r="P195" s="507"/>
      <c r="Q195" s="509"/>
      <c r="R195" s="509"/>
      <c r="S195" s="507"/>
      <c r="T195" s="644"/>
      <c r="U195" s="507"/>
      <c r="V195" s="509"/>
      <c r="W195" s="509"/>
      <c r="X195" s="507"/>
      <c r="Y195" s="644"/>
      <c r="Z195" s="507"/>
      <c r="AA195" s="509"/>
      <c r="AB195" s="509"/>
      <c r="AC195" s="507"/>
      <c r="AD195" s="644"/>
      <c r="AE195" s="507"/>
      <c r="AF195" s="509"/>
      <c r="AG195" s="509"/>
      <c r="AH195" s="507"/>
      <c r="AI195" s="644"/>
      <c r="AJ195" s="507"/>
      <c r="AK195" s="509"/>
      <c r="AL195" s="509"/>
      <c r="AM195" s="507"/>
      <c r="AN195" s="644"/>
      <c r="AO195" s="507"/>
      <c r="AP195" s="509"/>
      <c r="AQ195" s="509"/>
      <c r="AR195" s="507"/>
      <c r="AS195" s="644"/>
      <c r="AT195" s="507"/>
      <c r="AU195" s="509"/>
      <c r="AV195" s="509"/>
      <c r="AW195" s="507"/>
      <c r="AX195" s="644"/>
      <c r="AZ195" s="368" t="e">
        <f t="shared" si="30"/>
        <v>#N/A</v>
      </c>
      <c r="BA195" s="644"/>
    </row>
    <row r="196" spans="2:53">
      <c r="B196" s="649"/>
      <c r="C196" s="303">
        <v>15</v>
      </c>
      <c r="D196" s="201"/>
      <c r="E196" s="514"/>
      <c r="F196" s="201"/>
      <c r="G196" s="199"/>
      <c r="H196" s="703"/>
      <c r="I196" s="363" t="str">
        <f t="shared" si="27"/>
        <v>-</v>
      </c>
      <c r="J196" s="363" t="str">
        <f t="shared" si="28"/>
        <v>-</v>
      </c>
      <c r="K196" s="199" t="str">
        <f t="shared" si="29"/>
        <v>-</v>
      </c>
      <c r="L196" s="659"/>
      <c r="M196" s="198" t="e">
        <f>RANK(K196, K$147:$K$176)</f>
        <v>#VALUE!</v>
      </c>
      <c r="N196" s="643"/>
      <c r="O196" s="643"/>
      <c r="P196" s="507"/>
      <c r="Q196" s="509"/>
      <c r="R196" s="509"/>
      <c r="S196" s="507"/>
      <c r="T196" s="644"/>
      <c r="U196" s="507"/>
      <c r="V196" s="509"/>
      <c r="W196" s="509"/>
      <c r="X196" s="507"/>
      <c r="Y196" s="644"/>
      <c r="Z196" s="507"/>
      <c r="AA196" s="509"/>
      <c r="AB196" s="509"/>
      <c r="AC196" s="507"/>
      <c r="AD196" s="644"/>
      <c r="AE196" s="507"/>
      <c r="AF196" s="509"/>
      <c r="AG196" s="509"/>
      <c r="AH196" s="507"/>
      <c r="AI196" s="644"/>
      <c r="AJ196" s="507"/>
      <c r="AK196" s="509"/>
      <c r="AL196" s="509"/>
      <c r="AM196" s="507"/>
      <c r="AN196" s="644"/>
      <c r="AO196" s="507"/>
      <c r="AP196" s="509"/>
      <c r="AQ196" s="509"/>
      <c r="AR196" s="507"/>
      <c r="AS196" s="644"/>
      <c r="AT196" s="507"/>
      <c r="AU196" s="509"/>
      <c r="AV196" s="509"/>
      <c r="AW196" s="507"/>
      <c r="AX196" s="644"/>
      <c r="AZ196" s="368" t="e">
        <f t="shared" si="30"/>
        <v>#N/A</v>
      </c>
      <c r="BA196" s="644"/>
    </row>
    <row r="197" spans="2:53">
      <c r="B197" s="649"/>
      <c r="C197" s="303">
        <v>16</v>
      </c>
      <c r="D197" s="201"/>
      <c r="E197" s="514"/>
      <c r="F197" s="201"/>
      <c r="G197" s="199"/>
      <c r="H197" s="703"/>
      <c r="I197" s="363" t="str">
        <f t="shared" si="27"/>
        <v>-</v>
      </c>
      <c r="J197" s="363" t="str">
        <f t="shared" si="28"/>
        <v>-</v>
      </c>
      <c r="K197" s="199" t="str">
        <f t="shared" si="29"/>
        <v>-</v>
      </c>
      <c r="L197" s="659"/>
      <c r="M197" s="198" t="e">
        <f>RANK(K197, K$147:$K$176)</f>
        <v>#VALUE!</v>
      </c>
      <c r="N197" s="643"/>
      <c r="O197" s="643"/>
      <c r="P197" s="507"/>
      <c r="Q197" s="509"/>
      <c r="R197" s="509"/>
      <c r="S197" s="507"/>
      <c r="T197" s="644"/>
      <c r="U197" s="507"/>
      <c r="V197" s="509"/>
      <c r="W197" s="509"/>
      <c r="X197" s="507"/>
      <c r="Y197" s="644"/>
      <c r="Z197" s="507"/>
      <c r="AA197" s="509"/>
      <c r="AB197" s="509"/>
      <c r="AC197" s="507"/>
      <c r="AD197" s="644"/>
      <c r="AE197" s="507"/>
      <c r="AF197" s="509"/>
      <c r="AG197" s="509"/>
      <c r="AH197" s="507"/>
      <c r="AI197" s="644"/>
      <c r="AJ197" s="507"/>
      <c r="AK197" s="509"/>
      <c r="AL197" s="509"/>
      <c r="AM197" s="507"/>
      <c r="AN197" s="644"/>
      <c r="AO197" s="507"/>
      <c r="AP197" s="509"/>
      <c r="AQ197" s="509"/>
      <c r="AR197" s="507"/>
      <c r="AS197" s="644"/>
      <c r="AT197" s="507"/>
      <c r="AU197" s="509"/>
      <c r="AV197" s="509"/>
      <c r="AW197" s="507"/>
      <c r="AX197" s="644"/>
      <c r="AZ197" s="368" t="e">
        <f t="shared" si="30"/>
        <v>#N/A</v>
      </c>
      <c r="BA197" s="644"/>
    </row>
    <row r="198" spans="2:53">
      <c r="B198" s="649"/>
      <c r="C198" s="303">
        <v>17</v>
      </c>
      <c r="D198" s="201"/>
      <c r="E198" s="514"/>
      <c r="F198" s="201"/>
      <c r="G198" s="199"/>
      <c r="H198" s="703"/>
      <c r="I198" s="363" t="str">
        <f t="shared" si="27"/>
        <v>-</v>
      </c>
      <c r="J198" s="363" t="str">
        <f t="shared" si="28"/>
        <v>-</v>
      </c>
      <c r="K198" s="199" t="str">
        <f t="shared" si="29"/>
        <v>-</v>
      </c>
      <c r="L198" s="659"/>
      <c r="M198" s="198" t="e">
        <f>RANK(K198, K$147:$K$176)</f>
        <v>#VALUE!</v>
      </c>
      <c r="N198" s="643"/>
      <c r="O198" s="643"/>
      <c r="P198" s="507"/>
      <c r="Q198" s="509"/>
      <c r="R198" s="509"/>
      <c r="S198" s="507"/>
      <c r="T198" s="644"/>
      <c r="U198" s="507"/>
      <c r="V198" s="509"/>
      <c r="W198" s="509"/>
      <c r="X198" s="507"/>
      <c r="Y198" s="644"/>
      <c r="Z198" s="507"/>
      <c r="AA198" s="509"/>
      <c r="AB198" s="509"/>
      <c r="AC198" s="507"/>
      <c r="AD198" s="644"/>
      <c r="AE198" s="507"/>
      <c r="AF198" s="509"/>
      <c r="AG198" s="509"/>
      <c r="AH198" s="507"/>
      <c r="AI198" s="644"/>
      <c r="AJ198" s="507"/>
      <c r="AK198" s="509"/>
      <c r="AL198" s="509"/>
      <c r="AM198" s="507"/>
      <c r="AN198" s="644"/>
      <c r="AO198" s="507"/>
      <c r="AP198" s="509"/>
      <c r="AQ198" s="509"/>
      <c r="AR198" s="507"/>
      <c r="AS198" s="644"/>
      <c r="AT198" s="507"/>
      <c r="AU198" s="509"/>
      <c r="AV198" s="509"/>
      <c r="AW198" s="507"/>
      <c r="AX198" s="644"/>
      <c r="AZ198" s="368" t="e">
        <f t="shared" si="30"/>
        <v>#N/A</v>
      </c>
      <c r="BA198" s="644"/>
    </row>
    <row r="199" spans="2:53">
      <c r="B199" s="649"/>
      <c r="C199" s="303">
        <v>18</v>
      </c>
      <c r="D199" s="201"/>
      <c r="E199" s="514"/>
      <c r="F199" s="201"/>
      <c r="G199" s="199"/>
      <c r="H199" s="703"/>
      <c r="I199" s="363" t="str">
        <f t="shared" si="27"/>
        <v>-</v>
      </c>
      <c r="J199" s="363" t="str">
        <f t="shared" si="28"/>
        <v>-</v>
      </c>
      <c r="K199" s="199" t="str">
        <f t="shared" si="29"/>
        <v>-</v>
      </c>
      <c r="L199" s="659"/>
      <c r="M199" s="198" t="e">
        <f>RANK(K199, K$147:$K$176)</f>
        <v>#VALUE!</v>
      </c>
      <c r="N199" s="643"/>
      <c r="O199" s="643"/>
      <c r="P199" s="507"/>
      <c r="Q199" s="509"/>
      <c r="R199" s="509"/>
      <c r="S199" s="507"/>
      <c r="T199" s="644"/>
      <c r="U199" s="507"/>
      <c r="V199" s="509"/>
      <c r="W199" s="509"/>
      <c r="X199" s="507"/>
      <c r="Y199" s="644"/>
      <c r="Z199" s="507"/>
      <c r="AA199" s="509"/>
      <c r="AB199" s="509"/>
      <c r="AC199" s="507"/>
      <c r="AD199" s="644"/>
      <c r="AE199" s="507"/>
      <c r="AF199" s="509"/>
      <c r="AG199" s="509"/>
      <c r="AH199" s="507"/>
      <c r="AI199" s="644"/>
      <c r="AJ199" s="507"/>
      <c r="AK199" s="509"/>
      <c r="AL199" s="509"/>
      <c r="AM199" s="507"/>
      <c r="AN199" s="644"/>
      <c r="AO199" s="507"/>
      <c r="AP199" s="509"/>
      <c r="AQ199" s="509"/>
      <c r="AR199" s="507"/>
      <c r="AS199" s="644"/>
      <c r="AT199" s="507"/>
      <c r="AU199" s="509"/>
      <c r="AV199" s="509"/>
      <c r="AW199" s="507"/>
      <c r="AX199" s="644"/>
      <c r="AZ199" s="368" t="e">
        <f t="shared" si="30"/>
        <v>#N/A</v>
      </c>
      <c r="BA199" s="644"/>
    </row>
    <row r="200" spans="2:53">
      <c r="B200" s="649"/>
      <c r="C200" s="303">
        <v>19</v>
      </c>
      <c r="D200" s="201"/>
      <c r="E200" s="514"/>
      <c r="F200" s="201"/>
      <c r="G200" s="199"/>
      <c r="H200" s="703"/>
      <c r="I200" s="363" t="str">
        <f t="shared" si="27"/>
        <v>-</v>
      </c>
      <c r="J200" s="363" t="str">
        <f t="shared" si="28"/>
        <v>-</v>
      </c>
      <c r="K200" s="199" t="str">
        <f t="shared" si="29"/>
        <v>-</v>
      </c>
      <c r="L200" s="659"/>
      <c r="M200" s="198" t="e">
        <f>RANK(K200, K$147:$K$176)</f>
        <v>#VALUE!</v>
      </c>
      <c r="N200" s="643"/>
      <c r="O200" s="643"/>
      <c r="P200" s="507"/>
      <c r="Q200" s="509"/>
      <c r="R200" s="509"/>
      <c r="S200" s="507"/>
      <c r="T200" s="644"/>
      <c r="U200" s="507"/>
      <c r="V200" s="509"/>
      <c r="W200" s="509"/>
      <c r="X200" s="507"/>
      <c r="Y200" s="644"/>
      <c r="Z200" s="507"/>
      <c r="AA200" s="509"/>
      <c r="AB200" s="509"/>
      <c r="AC200" s="507"/>
      <c r="AD200" s="644"/>
      <c r="AE200" s="507"/>
      <c r="AF200" s="509"/>
      <c r="AG200" s="509"/>
      <c r="AH200" s="507"/>
      <c r="AI200" s="644"/>
      <c r="AJ200" s="507"/>
      <c r="AK200" s="509"/>
      <c r="AL200" s="509"/>
      <c r="AM200" s="507"/>
      <c r="AN200" s="644"/>
      <c r="AO200" s="507"/>
      <c r="AP200" s="509"/>
      <c r="AQ200" s="509"/>
      <c r="AR200" s="507"/>
      <c r="AS200" s="644"/>
      <c r="AT200" s="507"/>
      <c r="AU200" s="509"/>
      <c r="AV200" s="509"/>
      <c r="AW200" s="507"/>
      <c r="AX200" s="644"/>
      <c r="AZ200" s="368" t="e">
        <f t="shared" si="30"/>
        <v>#N/A</v>
      </c>
      <c r="BA200" s="644"/>
    </row>
    <row r="201" spans="2:53">
      <c r="B201" s="649"/>
      <c r="C201" s="303">
        <v>20</v>
      </c>
      <c r="D201" s="201"/>
      <c r="E201" s="514"/>
      <c r="F201" s="201"/>
      <c r="G201" s="199"/>
      <c r="H201" s="703"/>
      <c r="I201" s="363" t="str">
        <f t="shared" si="27"/>
        <v>-</v>
      </c>
      <c r="J201" s="363" t="str">
        <f t="shared" si="28"/>
        <v>-</v>
      </c>
      <c r="K201" s="199" t="str">
        <f t="shared" si="29"/>
        <v>-</v>
      </c>
      <c r="L201" s="659"/>
      <c r="M201" s="198" t="e">
        <f>RANK(K201, K$147:$K$176)</f>
        <v>#VALUE!</v>
      </c>
      <c r="N201" s="643"/>
      <c r="O201" s="643"/>
      <c r="P201" s="507"/>
      <c r="Q201" s="509"/>
      <c r="R201" s="509"/>
      <c r="S201" s="507"/>
      <c r="T201" s="644"/>
      <c r="U201" s="507"/>
      <c r="V201" s="509"/>
      <c r="W201" s="509"/>
      <c r="X201" s="507"/>
      <c r="Y201" s="644"/>
      <c r="Z201" s="507"/>
      <c r="AA201" s="509"/>
      <c r="AB201" s="509"/>
      <c r="AC201" s="507"/>
      <c r="AD201" s="644"/>
      <c r="AE201" s="507"/>
      <c r="AF201" s="509"/>
      <c r="AG201" s="509"/>
      <c r="AH201" s="507"/>
      <c r="AI201" s="644"/>
      <c r="AJ201" s="507"/>
      <c r="AK201" s="509"/>
      <c r="AL201" s="509"/>
      <c r="AM201" s="507"/>
      <c r="AN201" s="644"/>
      <c r="AO201" s="507"/>
      <c r="AP201" s="509"/>
      <c r="AQ201" s="509"/>
      <c r="AR201" s="507"/>
      <c r="AS201" s="644"/>
      <c r="AT201" s="507"/>
      <c r="AU201" s="509"/>
      <c r="AV201" s="509"/>
      <c r="AW201" s="507"/>
      <c r="AX201" s="644"/>
      <c r="AZ201" s="368" t="e">
        <f t="shared" si="30"/>
        <v>#N/A</v>
      </c>
      <c r="BA201" s="644"/>
    </row>
    <row r="202" spans="2:53">
      <c r="B202" s="649"/>
      <c r="C202" s="303">
        <v>21</v>
      </c>
      <c r="D202" s="201"/>
      <c r="E202" s="514"/>
      <c r="F202" s="201"/>
      <c r="G202" s="199"/>
      <c r="H202" s="703"/>
      <c r="I202" s="363" t="str">
        <f t="shared" si="27"/>
        <v>-</v>
      </c>
      <c r="J202" s="363" t="str">
        <f t="shared" si="28"/>
        <v>-</v>
      </c>
      <c r="K202" s="199" t="str">
        <f t="shared" si="29"/>
        <v>-</v>
      </c>
      <c r="L202" s="659"/>
      <c r="M202" s="198" t="e">
        <f>RANK(K202, K$147:$K$176)</f>
        <v>#VALUE!</v>
      </c>
      <c r="N202" s="643"/>
      <c r="O202" s="643"/>
      <c r="P202" s="507"/>
      <c r="Q202" s="509"/>
      <c r="R202" s="509"/>
      <c r="S202" s="507"/>
      <c r="T202" s="644"/>
      <c r="U202" s="507"/>
      <c r="V202" s="509"/>
      <c r="W202" s="509"/>
      <c r="X202" s="507"/>
      <c r="Y202" s="644"/>
      <c r="Z202" s="507"/>
      <c r="AA202" s="509"/>
      <c r="AB202" s="509"/>
      <c r="AC202" s="507"/>
      <c r="AD202" s="644"/>
      <c r="AE202" s="507"/>
      <c r="AF202" s="509"/>
      <c r="AG202" s="509"/>
      <c r="AH202" s="507"/>
      <c r="AI202" s="644"/>
      <c r="AJ202" s="507"/>
      <c r="AK202" s="509"/>
      <c r="AL202" s="509"/>
      <c r="AM202" s="507"/>
      <c r="AN202" s="644"/>
      <c r="AO202" s="507"/>
      <c r="AP202" s="509"/>
      <c r="AQ202" s="509"/>
      <c r="AR202" s="507"/>
      <c r="AS202" s="644"/>
      <c r="AT202" s="507"/>
      <c r="AU202" s="509"/>
      <c r="AV202" s="509"/>
      <c r="AW202" s="507"/>
      <c r="AX202" s="644"/>
      <c r="AZ202" s="368" t="e">
        <f t="shared" si="30"/>
        <v>#N/A</v>
      </c>
      <c r="BA202" s="644"/>
    </row>
    <row r="203" spans="2:53">
      <c r="B203" s="649"/>
      <c r="C203" s="303">
        <v>22</v>
      </c>
      <c r="D203" s="201"/>
      <c r="E203" s="514"/>
      <c r="F203" s="201"/>
      <c r="G203" s="199"/>
      <c r="H203" s="703"/>
      <c r="I203" s="363" t="str">
        <f t="shared" si="27"/>
        <v>-</v>
      </c>
      <c r="J203" s="363" t="str">
        <f t="shared" si="28"/>
        <v>-</v>
      </c>
      <c r="K203" s="199" t="str">
        <f t="shared" si="29"/>
        <v>-</v>
      </c>
      <c r="L203" s="659"/>
      <c r="M203" s="198" t="e">
        <f>RANK(K203, K$147:$K$176)</f>
        <v>#VALUE!</v>
      </c>
      <c r="N203" s="643"/>
      <c r="O203" s="643"/>
      <c r="P203" s="507"/>
      <c r="Q203" s="509"/>
      <c r="R203" s="509"/>
      <c r="S203" s="507"/>
      <c r="T203" s="644"/>
      <c r="U203" s="507"/>
      <c r="V203" s="509"/>
      <c r="W203" s="509"/>
      <c r="X203" s="507"/>
      <c r="Y203" s="644"/>
      <c r="Z203" s="507"/>
      <c r="AA203" s="509"/>
      <c r="AB203" s="509"/>
      <c r="AC203" s="507"/>
      <c r="AD203" s="644"/>
      <c r="AE203" s="507"/>
      <c r="AF203" s="509"/>
      <c r="AG203" s="509"/>
      <c r="AH203" s="507"/>
      <c r="AI203" s="644"/>
      <c r="AJ203" s="507"/>
      <c r="AK203" s="509"/>
      <c r="AL203" s="509"/>
      <c r="AM203" s="507"/>
      <c r="AN203" s="644"/>
      <c r="AO203" s="507"/>
      <c r="AP203" s="509"/>
      <c r="AQ203" s="509"/>
      <c r="AR203" s="507"/>
      <c r="AS203" s="644"/>
      <c r="AT203" s="507"/>
      <c r="AU203" s="509"/>
      <c r="AV203" s="509"/>
      <c r="AW203" s="507"/>
      <c r="AX203" s="644"/>
      <c r="AZ203" s="368" t="e">
        <f t="shared" si="30"/>
        <v>#N/A</v>
      </c>
      <c r="BA203" s="644"/>
    </row>
    <row r="204" spans="2:53">
      <c r="B204" s="649"/>
      <c r="C204" s="303">
        <v>23</v>
      </c>
      <c r="D204" s="201"/>
      <c r="E204" s="514"/>
      <c r="F204" s="201"/>
      <c r="G204" s="199"/>
      <c r="H204" s="703"/>
      <c r="I204" s="363" t="str">
        <f t="shared" si="27"/>
        <v>-</v>
      </c>
      <c r="J204" s="363" t="str">
        <f t="shared" si="28"/>
        <v>-</v>
      </c>
      <c r="K204" s="199" t="str">
        <f t="shared" si="29"/>
        <v>-</v>
      </c>
      <c r="L204" s="659"/>
      <c r="M204" s="198" t="e">
        <f>RANK(K204, K$147:$K$176)</f>
        <v>#VALUE!</v>
      </c>
      <c r="N204" s="643"/>
      <c r="O204" s="643"/>
      <c r="P204" s="507"/>
      <c r="Q204" s="509"/>
      <c r="R204" s="509"/>
      <c r="S204" s="507"/>
      <c r="T204" s="644"/>
      <c r="U204" s="507"/>
      <c r="V204" s="509"/>
      <c r="W204" s="509"/>
      <c r="X204" s="507"/>
      <c r="Y204" s="644"/>
      <c r="Z204" s="507"/>
      <c r="AA204" s="509"/>
      <c r="AB204" s="509"/>
      <c r="AC204" s="507"/>
      <c r="AD204" s="644"/>
      <c r="AE204" s="507"/>
      <c r="AF204" s="509"/>
      <c r="AG204" s="509"/>
      <c r="AH204" s="507"/>
      <c r="AI204" s="644"/>
      <c r="AJ204" s="507"/>
      <c r="AK204" s="509"/>
      <c r="AL204" s="509"/>
      <c r="AM204" s="507"/>
      <c r="AN204" s="644"/>
      <c r="AO204" s="507"/>
      <c r="AP204" s="509"/>
      <c r="AQ204" s="509"/>
      <c r="AR204" s="507"/>
      <c r="AS204" s="644"/>
      <c r="AT204" s="507"/>
      <c r="AU204" s="509"/>
      <c r="AV204" s="509"/>
      <c r="AW204" s="507"/>
      <c r="AX204" s="644"/>
      <c r="AZ204" s="368" t="e">
        <f t="shared" si="30"/>
        <v>#N/A</v>
      </c>
      <c r="BA204" s="644"/>
    </row>
    <row r="205" spans="2:53">
      <c r="B205" s="649"/>
      <c r="C205" s="303">
        <v>24</v>
      </c>
      <c r="D205" s="201"/>
      <c r="E205" s="514"/>
      <c r="F205" s="201"/>
      <c r="G205" s="199"/>
      <c r="H205" s="703"/>
      <c r="I205" s="363" t="str">
        <f t="shared" si="27"/>
        <v>-</v>
      </c>
      <c r="J205" s="363" t="str">
        <f t="shared" si="28"/>
        <v>-</v>
      </c>
      <c r="K205" s="199" t="str">
        <f t="shared" si="29"/>
        <v>-</v>
      </c>
      <c r="L205" s="659"/>
      <c r="M205" s="198" t="e">
        <f>RANK(K205, K$147:$K$176)</f>
        <v>#VALUE!</v>
      </c>
      <c r="N205" s="643"/>
      <c r="O205" s="643"/>
      <c r="P205" s="507"/>
      <c r="Q205" s="509"/>
      <c r="R205" s="509"/>
      <c r="S205" s="507"/>
      <c r="T205" s="644"/>
      <c r="U205" s="507"/>
      <c r="V205" s="509"/>
      <c r="W205" s="509"/>
      <c r="X205" s="507"/>
      <c r="Y205" s="644"/>
      <c r="Z205" s="507"/>
      <c r="AA205" s="509"/>
      <c r="AB205" s="509"/>
      <c r="AC205" s="507"/>
      <c r="AD205" s="644"/>
      <c r="AE205" s="507"/>
      <c r="AF205" s="509"/>
      <c r="AG205" s="509"/>
      <c r="AH205" s="507"/>
      <c r="AI205" s="644"/>
      <c r="AJ205" s="507"/>
      <c r="AK205" s="509"/>
      <c r="AL205" s="509"/>
      <c r="AM205" s="507"/>
      <c r="AN205" s="644"/>
      <c r="AO205" s="507"/>
      <c r="AP205" s="509"/>
      <c r="AQ205" s="509"/>
      <c r="AR205" s="507"/>
      <c r="AS205" s="644"/>
      <c r="AT205" s="507"/>
      <c r="AU205" s="509"/>
      <c r="AV205" s="509"/>
      <c r="AW205" s="507"/>
      <c r="AX205" s="644"/>
      <c r="AZ205" s="368" t="e">
        <f t="shared" si="30"/>
        <v>#N/A</v>
      </c>
      <c r="BA205" s="644"/>
    </row>
    <row r="206" spans="2:53">
      <c r="B206" s="649"/>
      <c r="C206" s="303">
        <v>25</v>
      </c>
      <c r="D206" s="201"/>
      <c r="E206" s="514"/>
      <c r="F206" s="201"/>
      <c r="G206" s="199"/>
      <c r="H206" s="703"/>
      <c r="I206" s="363" t="str">
        <f t="shared" si="27"/>
        <v>-</v>
      </c>
      <c r="J206" s="363" t="str">
        <f t="shared" si="28"/>
        <v>-</v>
      </c>
      <c r="K206" s="199" t="str">
        <f t="shared" si="29"/>
        <v>-</v>
      </c>
      <c r="L206" s="659"/>
      <c r="M206" s="198" t="e">
        <f>RANK(K206, K$147:$K$176)</f>
        <v>#VALUE!</v>
      </c>
      <c r="N206" s="643"/>
      <c r="O206" s="643"/>
      <c r="P206" s="507"/>
      <c r="Q206" s="509"/>
      <c r="R206" s="509"/>
      <c r="S206" s="507"/>
      <c r="T206" s="644"/>
      <c r="U206" s="507"/>
      <c r="V206" s="509"/>
      <c r="W206" s="509"/>
      <c r="X206" s="507"/>
      <c r="Y206" s="644"/>
      <c r="Z206" s="507"/>
      <c r="AA206" s="509"/>
      <c r="AB206" s="509"/>
      <c r="AC206" s="507"/>
      <c r="AD206" s="644"/>
      <c r="AE206" s="507"/>
      <c r="AF206" s="509"/>
      <c r="AG206" s="509"/>
      <c r="AH206" s="507"/>
      <c r="AI206" s="644"/>
      <c r="AJ206" s="507"/>
      <c r="AK206" s="509"/>
      <c r="AL206" s="509"/>
      <c r="AM206" s="507"/>
      <c r="AN206" s="644"/>
      <c r="AO206" s="507"/>
      <c r="AP206" s="509"/>
      <c r="AQ206" s="509"/>
      <c r="AR206" s="507"/>
      <c r="AS206" s="644"/>
      <c r="AT206" s="507"/>
      <c r="AU206" s="509"/>
      <c r="AV206" s="509"/>
      <c r="AW206" s="507"/>
      <c r="AX206" s="644"/>
      <c r="AZ206" s="368" t="e">
        <f t="shared" si="30"/>
        <v>#N/A</v>
      </c>
      <c r="BA206" s="644"/>
    </row>
    <row r="207" spans="2:53">
      <c r="B207" s="649"/>
      <c r="C207" s="303">
        <v>26</v>
      </c>
      <c r="D207" s="201"/>
      <c r="E207" s="514"/>
      <c r="F207" s="201"/>
      <c r="G207" s="199"/>
      <c r="H207" s="703"/>
      <c r="I207" s="363" t="str">
        <f t="shared" si="27"/>
        <v>-</v>
      </c>
      <c r="J207" s="363" t="str">
        <f t="shared" si="28"/>
        <v>-</v>
      </c>
      <c r="K207" s="199" t="str">
        <f t="shared" si="29"/>
        <v>-</v>
      </c>
      <c r="L207" s="659"/>
      <c r="M207" s="198" t="e">
        <f>RANK(K207, K$147:$K$176)</f>
        <v>#VALUE!</v>
      </c>
      <c r="N207" s="643"/>
      <c r="O207" s="643"/>
      <c r="P207" s="507"/>
      <c r="Q207" s="509"/>
      <c r="R207" s="509"/>
      <c r="S207" s="507"/>
      <c r="T207" s="644"/>
      <c r="U207" s="507"/>
      <c r="V207" s="509"/>
      <c r="W207" s="509"/>
      <c r="X207" s="507"/>
      <c r="Y207" s="644"/>
      <c r="Z207" s="507"/>
      <c r="AA207" s="509"/>
      <c r="AB207" s="509"/>
      <c r="AC207" s="507"/>
      <c r="AD207" s="644"/>
      <c r="AE207" s="507"/>
      <c r="AF207" s="509"/>
      <c r="AG207" s="509"/>
      <c r="AH207" s="507"/>
      <c r="AI207" s="644"/>
      <c r="AJ207" s="507"/>
      <c r="AK207" s="509"/>
      <c r="AL207" s="509"/>
      <c r="AM207" s="507"/>
      <c r="AN207" s="644"/>
      <c r="AO207" s="507"/>
      <c r="AP207" s="509"/>
      <c r="AQ207" s="509"/>
      <c r="AR207" s="507"/>
      <c r="AS207" s="644"/>
      <c r="AT207" s="507"/>
      <c r="AU207" s="509"/>
      <c r="AV207" s="509"/>
      <c r="AW207" s="507"/>
      <c r="AX207" s="644"/>
      <c r="AZ207" s="368" t="e">
        <f t="shared" si="30"/>
        <v>#N/A</v>
      </c>
      <c r="BA207" s="644"/>
    </row>
    <row r="208" spans="2:53">
      <c r="B208" s="649"/>
      <c r="C208" s="303">
        <v>27</v>
      </c>
      <c r="D208" s="201"/>
      <c r="E208" s="514"/>
      <c r="F208" s="201"/>
      <c r="G208" s="199"/>
      <c r="H208" s="703"/>
      <c r="I208" s="363" t="str">
        <f t="shared" si="27"/>
        <v>-</v>
      </c>
      <c r="J208" s="363" t="str">
        <f t="shared" si="28"/>
        <v>-</v>
      </c>
      <c r="K208" s="199" t="str">
        <f t="shared" si="29"/>
        <v>-</v>
      </c>
      <c r="L208" s="659"/>
      <c r="M208" s="198" t="e">
        <f>RANK(K208, K$147:$K$176)</f>
        <v>#VALUE!</v>
      </c>
      <c r="N208" s="643"/>
      <c r="O208" s="643"/>
      <c r="P208" s="507"/>
      <c r="Q208" s="509"/>
      <c r="R208" s="509"/>
      <c r="S208" s="507"/>
      <c r="T208" s="644"/>
      <c r="U208" s="507"/>
      <c r="V208" s="509"/>
      <c r="W208" s="509"/>
      <c r="X208" s="507"/>
      <c r="Y208" s="644"/>
      <c r="Z208" s="507"/>
      <c r="AA208" s="509"/>
      <c r="AB208" s="509"/>
      <c r="AC208" s="507"/>
      <c r="AD208" s="644"/>
      <c r="AE208" s="507"/>
      <c r="AF208" s="509"/>
      <c r="AG208" s="509"/>
      <c r="AH208" s="507"/>
      <c r="AI208" s="644"/>
      <c r="AJ208" s="507"/>
      <c r="AK208" s="509"/>
      <c r="AL208" s="509"/>
      <c r="AM208" s="507"/>
      <c r="AN208" s="644"/>
      <c r="AO208" s="507"/>
      <c r="AP208" s="509"/>
      <c r="AQ208" s="509"/>
      <c r="AR208" s="507"/>
      <c r="AS208" s="644"/>
      <c r="AT208" s="507"/>
      <c r="AU208" s="509"/>
      <c r="AV208" s="509"/>
      <c r="AW208" s="507"/>
      <c r="AX208" s="644"/>
      <c r="AZ208" s="368" t="e">
        <f t="shared" si="30"/>
        <v>#N/A</v>
      </c>
      <c r="BA208" s="644"/>
    </row>
    <row r="209" spans="2:53">
      <c r="B209" s="649"/>
      <c r="C209" s="303">
        <v>28</v>
      </c>
      <c r="D209" s="201"/>
      <c r="E209" s="514"/>
      <c r="F209" s="201"/>
      <c r="G209" s="199"/>
      <c r="H209" s="703"/>
      <c r="I209" s="363" t="str">
        <f t="shared" si="27"/>
        <v>-</v>
      </c>
      <c r="J209" s="363" t="str">
        <f t="shared" si="28"/>
        <v>-</v>
      </c>
      <c r="K209" s="199" t="str">
        <f t="shared" si="29"/>
        <v>-</v>
      </c>
      <c r="L209" s="659"/>
      <c r="M209" s="198" t="e">
        <f>RANK(K209, K$147:$K$176)</f>
        <v>#VALUE!</v>
      </c>
      <c r="N209" s="643"/>
      <c r="O209" s="643"/>
      <c r="P209" s="507"/>
      <c r="Q209" s="509"/>
      <c r="R209" s="509"/>
      <c r="S209" s="507"/>
      <c r="T209" s="644"/>
      <c r="U209" s="507"/>
      <c r="V209" s="509"/>
      <c r="W209" s="509"/>
      <c r="X209" s="507"/>
      <c r="Y209" s="644"/>
      <c r="Z209" s="507"/>
      <c r="AA209" s="509"/>
      <c r="AB209" s="509"/>
      <c r="AC209" s="507"/>
      <c r="AD209" s="644"/>
      <c r="AE209" s="507"/>
      <c r="AF209" s="509"/>
      <c r="AG209" s="509"/>
      <c r="AH209" s="507"/>
      <c r="AI209" s="644"/>
      <c r="AJ209" s="507"/>
      <c r="AK209" s="509"/>
      <c r="AL209" s="509"/>
      <c r="AM209" s="507"/>
      <c r="AN209" s="644"/>
      <c r="AO209" s="507"/>
      <c r="AP209" s="509"/>
      <c r="AQ209" s="509"/>
      <c r="AR209" s="507"/>
      <c r="AS209" s="644"/>
      <c r="AT209" s="507"/>
      <c r="AU209" s="509"/>
      <c r="AV209" s="509"/>
      <c r="AW209" s="507"/>
      <c r="AX209" s="644"/>
      <c r="AZ209" s="368" t="e">
        <f t="shared" si="30"/>
        <v>#N/A</v>
      </c>
      <c r="BA209" s="644"/>
    </row>
    <row r="210" spans="2:53">
      <c r="B210" s="649"/>
      <c r="C210" s="303">
        <v>29</v>
      </c>
      <c r="D210" s="201"/>
      <c r="E210" s="514"/>
      <c r="F210" s="201"/>
      <c r="G210" s="199"/>
      <c r="H210" s="703"/>
      <c r="I210" s="363" t="str">
        <f t="shared" si="27"/>
        <v>-</v>
      </c>
      <c r="J210" s="363" t="str">
        <f t="shared" si="28"/>
        <v>-</v>
      </c>
      <c r="K210" s="199" t="str">
        <f t="shared" si="29"/>
        <v>-</v>
      </c>
      <c r="L210" s="659"/>
      <c r="M210" s="198" t="e">
        <f>RANK(K210, K$147:$K$176)</f>
        <v>#VALUE!</v>
      </c>
      <c r="N210" s="643"/>
      <c r="O210" s="643"/>
      <c r="P210" s="507"/>
      <c r="Q210" s="509"/>
      <c r="R210" s="509"/>
      <c r="S210" s="507"/>
      <c r="T210" s="644"/>
      <c r="U210" s="507"/>
      <c r="V210" s="509"/>
      <c r="W210" s="509"/>
      <c r="X210" s="507"/>
      <c r="Y210" s="644"/>
      <c r="Z210" s="507"/>
      <c r="AA210" s="509"/>
      <c r="AB210" s="509"/>
      <c r="AC210" s="507"/>
      <c r="AD210" s="644"/>
      <c r="AE210" s="507"/>
      <c r="AF210" s="509"/>
      <c r="AG210" s="509"/>
      <c r="AH210" s="507"/>
      <c r="AI210" s="644"/>
      <c r="AJ210" s="507"/>
      <c r="AK210" s="509"/>
      <c r="AL210" s="509"/>
      <c r="AM210" s="507"/>
      <c r="AN210" s="644"/>
      <c r="AO210" s="507"/>
      <c r="AP210" s="509"/>
      <c r="AQ210" s="509"/>
      <c r="AR210" s="507"/>
      <c r="AS210" s="644"/>
      <c r="AT210" s="507"/>
      <c r="AU210" s="509"/>
      <c r="AV210" s="509"/>
      <c r="AW210" s="507"/>
      <c r="AX210" s="644"/>
      <c r="AZ210" s="368" t="e">
        <f t="shared" si="30"/>
        <v>#N/A</v>
      </c>
      <c r="BA210" s="644"/>
    </row>
    <row r="211" spans="2:53">
      <c r="B211" s="649"/>
      <c r="C211" s="303">
        <v>30</v>
      </c>
      <c r="D211" s="201"/>
      <c r="E211" s="514"/>
      <c r="F211" s="201"/>
      <c r="G211" s="199"/>
      <c r="H211" s="704"/>
      <c r="I211" s="363" t="str">
        <f t="shared" si="27"/>
        <v>-</v>
      </c>
      <c r="J211" s="363" t="str">
        <f t="shared" si="28"/>
        <v>-</v>
      </c>
      <c r="K211" s="199" t="str">
        <f t="shared" si="29"/>
        <v>-</v>
      </c>
      <c r="L211" s="660"/>
      <c r="M211" s="198" t="e">
        <f>RANK(K211, K$147:$K$176)</f>
        <v>#VALUE!</v>
      </c>
      <c r="N211" s="643"/>
      <c r="O211" s="643"/>
      <c r="P211" s="507"/>
      <c r="Q211" s="509"/>
      <c r="R211" s="509"/>
      <c r="S211" s="507"/>
      <c r="T211" s="644"/>
      <c r="U211" s="507"/>
      <c r="V211" s="509"/>
      <c r="W211" s="509"/>
      <c r="X211" s="507"/>
      <c r="Y211" s="644"/>
      <c r="Z211" s="507"/>
      <c r="AA211" s="509"/>
      <c r="AB211" s="509"/>
      <c r="AC211" s="507"/>
      <c r="AD211" s="644"/>
      <c r="AE211" s="507"/>
      <c r="AF211" s="509"/>
      <c r="AG211" s="509"/>
      <c r="AH211" s="507"/>
      <c r="AI211" s="644"/>
      <c r="AJ211" s="507"/>
      <c r="AK211" s="509"/>
      <c r="AL211" s="509"/>
      <c r="AM211" s="507"/>
      <c r="AN211" s="644"/>
      <c r="AO211" s="507"/>
      <c r="AP211" s="509"/>
      <c r="AQ211" s="509"/>
      <c r="AR211" s="507"/>
      <c r="AS211" s="644"/>
      <c r="AT211" s="507"/>
      <c r="AU211" s="509"/>
      <c r="AV211" s="509"/>
      <c r="AW211" s="507"/>
      <c r="AX211" s="644"/>
      <c r="AZ211" s="368" t="e">
        <f t="shared" si="30"/>
        <v>#N/A</v>
      </c>
      <c r="BA211" s="644"/>
    </row>
    <row r="213" spans="2:53" ht="15.75">
      <c r="B213" s="651" t="s">
        <v>465</v>
      </c>
      <c r="C213" s="652"/>
      <c r="D213" s="652"/>
      <c r="E213" s="652"/>
      <c r="F213" s="652"/>
      <c r="G213" s="652"/>
      <c r="H213" s="653"/>
      <c r="I213" s="307"/>
      <c r="J213" s="307"/>
      <c r="K213" s="307"/>
      <c r="L213" s="307"/>
      <c r="M213" s="308"/>
    </row>
    <row r="214" spans="2:53" ht="15.75">
      <c r="B214" s="654"/>
      <c r="C214" s="654"/>
      <c r="D214" s="654"/>
      <c r="E214" s="654"/>
      <c r="F214" s="654"/>
      <c r="G214" s="654"/>
      <c r="H214" s="654"/>
      <c r="I214" s="309"/>
      <c r="J214" s="309"/>
      <c r="K214" s="309"/>
      <c r="L214" s="309"/>
      <c r="M214" s="310"/>
    </row>
    <row r="215" spans="2:53">
      <c r="B215" s="643" t="s">
        <v>466</v>
      </c>
      <c r="C215" s="643" t="s">
        <v>467</v>
      </c>
      <c r="D215" s="643"/>
      <c r="E215" s="643" t="s">
        <v>468</v>
      </c>
      <c r="F215" s="643"/>
      <c r="G215" s="643"/>
      <c r="H215" s="643" t="s">
        <v>469</v>
      </c>
      <c r="I215" s="655" t="s">
        <v>470</v>
      </c>
      <c r="J215" s="655"/>
      <c r="K215" s="655"/>
      <c r="L215" s="655" t="s">
        <v>469</v>
      </c>
      <c r="M215" s="655" t="s">
        <v>471</v>
      </c>
    </row>
    <row r="216" spans="2:53">
      <c r="B216" s="643"/>
      <c r="C216" s="643"/>
      <c r="D216" s="643"/>
      <c r="E216" s="643" t="s">
        <v>472</v>
      </c>
      <c r="F216" s="643"/>
      <c r="G216" s="643"/>
      <c r="H216" s="643"/>
      <c r="I216" s="655" t="s">
        <v>472</v>
      </c>
      <c r="J216" s="655"/>
      <c r="K216" s="655"/>
      <c r="L216" s="655"/>
      <c r="M216" s="655"/>
    </row>
    <row r="217" spans="2:53">
      <c r="B217" s="643"/>
      <c r="C217" s="643"/>
      <c r="D217" s="643"/>
      <c r="E217" s="304" t="s">
        <v>473</v>
      </c>
      <c r="F217" s="304" t="s">
        <v>474</v>
      </c>
      <c r="G217" s="304" t="s">
        <v>475</v>
      </c>
      <c r="H217" s="643"/>
      <c r="I217" s="311" t="s">
        <v>473</v>
      </c>
      <c r="J217" s="311" t="s">
        <v>474</v>
      </c>
      <c r="K217" s="311" t="s">
        <v>475</v>
      </c>
      <c r="L217" s="655"/>
      <c r="M217" s="655"/>
    </row>
    <row r="218" spans="2:53">
      <c r="B218" s="643" t="s">
        <v>480</v>
      </c>
      <c r="C218" s="303">
        <v>1</v>
      </c>
      <c r="D218" s="303"/>
      <c r="E218" s="181"/>
      <c r="F218" s="303"/>
      <c r="G218" s="306"/>
      <c r="H218" s="644" t="e">
        <f>AVERAGE(G218:G247)</f>
        <v>#DIV/0!</v>
      </c>
      <c r="I218" s="198" t="e">
        <f t="shared" ref="I218:J241" si="31">AVERAGEIF($D$7:$D$211,$D218,I$7:I$211)</f>
        <v>#DIV/0!</v>
      </c>
      <c r="J218" s="198" t="e">
        <f t="shared" si="31"/>
        <v>#DIV/0!</v>
      </c>
      <c r="K218" s="198" t="e">
        <f t="shared" ref="K218:K241" si="32">AVERAGEIF($D$7:$D$211,$D218,K$7:K$211)</f>
        <v>#DIV/0!</v>
      </c>
      <c r="L218" s="650" t="e">
        <f>AVERAGE(K218:K247)</f>
        <v>#DIV/0!</v>
      </c>
      <c r="M218" s="198" t="e">
        <f>RANK(K218, K$218:$K$247)</f>
        <v>#DIV/0!</v>
      </c>
    </row>
    <row r="219" spans="2:53">
      <c r="B219" s="649"/>
      <c r="C219" s="303">
        <v>2</v>
      </c>
      <c r="D219" s="303"/>
      <c r="E219" s="181"/>
      <c r="F219" s="303"/>
      <c r="G219" s="306"/>
      <c r="H219" s="644"/>
      <c r="I219" s="198" t="e">
        <f t="shared" si="31"/>
        <v>#DIV/0!</v>
      </c>
      <c r="J219" s="198" t="e">
        <f t="shared" si="31"/>
        <v>#DIV/0!</v>
      </c>
      <c r="K219" s="198" t="e">
        <f t="shared" si="32"/>
        <v>#DIV/0!</v>
      </c>
      <c r="L219" s="650"/>
      <c r="M219" s="198" t="e">
        <f>RANK(K219, K$218:$K$247)</f>
        <v>#DIV/0!</v>
      </c>
    </row>
    <row r="220" spans="2:53">
      <c r="B220" s="649"/>
      <c r="C220" s="303">
        <v>3</v>
      </c>
      <c r="D220" s="303"/>
      <c r="E220" s="181"/>
      <c r="F220" s="303"/>
      <c r="G220" s="306"/>
      <c r="H220" s="644"/>
      <c r="I220" s="198" t="e">
        <f t="shared" si="31"/>
        <v>#DIV/0!</v>
      </c>
      <c r="J220" s="198" t="e">
        <f t="shared" si="31"/>
        <v>#DIV/0!</v>
      </c>
      <c r="K220" s="198" t="e">
        <f t="shared" si="32"/>
        <v>#DIV/0!</v>
      </c>
      <c r="L220" s="650"/>
      <c r="M220" s="198" t="e">
        <f>RANK(K220, K$218:$K$247)</f>
        <v>#DIV/0!</v>
      </c>
    </row>
    <row r="221" spans="2:53">
      <c r="B221" s="649"/>
      <c r="C221" s="303">
        <v>4</v>
      </c>
      <c r="D221" s="303"/>
      <c r="E221" s="181"/>
      <c r="F221" s="303"/>
      <c r="G221" s="306"/>
      <c r="H221" s="644"/>
      <c r="I221" s="198" t="e">
        <f t="shared" si="31"/>
        <v>#DIV/0!</v>
      </c>
      <c r="J221" s="198" t="e">
        <f t="shared" si="31"/>
        <v>#DIV/0!</v>
      </c>
      <c r="K221" s="198" t="e">
        <f t="shared" si="32"/>
        <v>#DIV/0!</v>
      </c>
      <c r="L221" s="650"/>
      <c r="M221" s="198" t="e">
        <f>RANK(K221, K$218:$K$247)</f>
        <v>#DIV/0!</v>
      </c>
    </row>
    <row r="222" spans="2:53">
      <c r="B222" s="649"/>
      <c r="C222" s="303">
        <v>5</v>
      </c>
      <c r="D222" s="303"/>
      <c r="E222" s="181"/>
      <c r="F222" s="303"/>
      <c r="G222" s="306"/>
      <c r="H222" s="644"/>
      <c r="I222" s="198" t="e">
        <f t="shared" si="31"/>
        <v>#DIV/0!</v>
      </c>
      <c r="J222" s="198" t="e">
        <f t="shared" si="31"/>
        <v>#DIV/0!</v>
      </c>
      <c r="K222" s="198" t="e">
        <f t="shared" si="32"/>
        <v>#DIV/0!</v>
      </c>
      <c r="L222" s="650"/>
      <c r="M222" s="198" t="e">
        <f>RANK(K222, K$218:$K$247)</f>
        <v>#DIV/0!</v>
      </c>
    </row>
    <row r="223" spans="2:53">
      <c r="B223" s="649"/>
      <c r="C223" s="303">
        <v>6</v>
      </c>
      <c r="D223" s="303"/>
      <c r="E223" s="181"/>
      <c r="F223" s="303"/>
      <c r="G223" s="306"/>
      <c r="H223" s="644"/>
      <c r="I223" s="198" t="e">
        <f t="shared" si="31"/>
        <v>#DIV/0!</v>
      </c>
      <c r="J223" s="198" t="e">
        <f t="shared" si="31"/>
        <v>#DIV/0!</v>
      </c>
      <c r="K223" s="198" t="e">
        <f t="shared" si="32"/>
        <v>#DIV/0!</v>
      </c>
      <c r="L223" s="650"/>
      <c r="M223" s="198" t="e">
        <f>RANK(K223, K$218:$K$247)</f>
        <v>#DIV/0!</v>
      </c>
    </row>
    <row r="224" spans="2:53">
      <c r="B224" s="649"/>
      <c r="C224" s="303">
        <v>7</v>
      </c>
      <c r="D224" s="303"/>
      <c r="E224" s="181"/>
      <c r="F224" s="303"/>
      <c r="G224" s="306"/>
      <c r="H224" s="644"/>
      <c r="I224" s="198" t="e">
        <f t="shared" si="31"/>
        <v>#DIV/0!</v>
      </c>
      <c r="J224" s="198" t="e">
        <f t="shared" si="31"/>
        <v>#DIV/0!</v>
      </c>
      <c r="K224" s="198" t="e">
        <f t="shared" si="32"/>
        <v>#DIV/0!</v>
      </c>
      <c r="L224" s="650"/>
      <c r="M224" s="198" t="e">
        <f>RANK(K224, K$218:$K$247)</f>
        <v>#DIV/0!</v>
      </c>
    </row>
    <row r="225" spans="2:39">
      <c r="B225" s="649"/>
      <c r="C225" s="303">
        <v>8</v>
      </c>
      <c r="D225" s="303"/>
      <c r="E225" s="181"/>
      <c r="F225" s="303"/>
      <c r="G225" s="306"/>
      <c r="H225" s="644"/>
      <c r="I225" s="198" t="e">
        <f t="shared" si="31"/>
        <v>#DIV/0!</v>
      </c>
      <c r="J225" s="198" t="e">
        <f t="shared" si="31"/>
        <v>#DIV/0!</v>
      </c>
      <c r="K225" s="198" t="e">
        <f t="shared" si="32"/>
        <v>#DIV/0!</v>
      </c>
      <c r="L225" s="650"/>
      <c r="M225" s="198" t="e">
        <f>RANK(K225, K$218:$K$247)</f>
        <v>#DIV/0!</v>
      </c>
      <c r="N225" s="107"/>
      <c r="O225" s="107"/>
      <c r="P225" s="107"/>
      <c r="Q225" s="107"/>
      <c r="R225" s="107"/>
      <c r="S225" s="107"/>
      <c r="T225" s="107"/>
      <c r="X225" s="107"/>
      <c r="AC225" s="107"/>
      <c r="AH225" s="107"/>
      <c r="AM225" s="107"/>
    </row>
    <row r="226" spans="2:39">
      <c r="B226" s="649"/>
      <c r="C226" s="303">
        <v>9</v>
      </c>
      <c r="D226" s="303"/>
      <c r="E226" s="181"/>
      <c r="F226" s="303"/>
      <c r="G226" s="306"/>
      <c r="H226" s="644"/>
      <c r="I226" s="198" t="e">
        <f t="shared" si="31"/>
        <v>#DIV/0!</v>
      </c>
      <c r="J226" s="198" t="e">
        <f t="shared" si="31"/>
        <v>#DIV/0!</v>
      </c>
      <c r="K226" s="198" t="e">
        <f t="shared" si="32"/>
        <v>#DIV/0!</v>
      </c>
      <c r="L226" s="650"/>
      <c r="M226" s="198" t="e">
        <f>RANK(K226, K$218:$K$247)</f>
        <v>#DIV/0!</v>
      </c>
      <c r="N226" s="107"/>
      <c r="O226" s="107"/>
      <c r="P226" s="107"/>
      <c r="Q226" s="107"/>
      <c r="R226" s="107"/>
      <c r="S226" s="107"/>
      <c r="T226" s="107"/>
      <c r="X226" s="107"/>
      <c r="AC226" s="107"/>
      <c r="AH226" s="107"/>
      <c r="AM226" s="107"/>
    </row>
    <row r="227" spans="2:39">
      <c r="B227" s="649"/>
      <c r="C227" s="303">
        <v>10</v>
      </c>
      <c r="D227" s="303"/>
      <c r="E227" s="181"/>
      <c r="F227" s="303"/>
      <c r="G227" s="306"/>
      <c r="H227" s="644"/>
      <c r="I227" s="198" t="e">
        <f t="shared" si="31"/>
        <v>#DIV/0!</v>
      </c>
      <c r="J227" s="198" t="e">
        <f t="shared" si="31"/>
        <v>#DIV/0!</v>
      </c>
      <c r="K227" s="198" t="e">
        <f t="shared" si="32"/>
        <v>#DIV/0!</v>
      </c>
      <c r="L227" s="650"/>
      <c r="M227" s="198" t="e">
        <f>RANK(K227, K$218:$K$247)</f>
        <v>#DIV/0!</v>
      </c>
      <c r="N227" s="107"/>
      <c r="O227" s="107"/>
      <c r="P227" s="107"/>
      <c r="Q227" s="107"/>
      <c r="R227" s="107"/>
      <c r="S227" s="107"/>
      <c r="T227" s="107"/>
      <c r="X227" s="107"/>
      <c r="AC227" s="107"/>
      <c r="AH227" s="107"/>
      <c r="AM227" s="107"/>
    </row>
    <row r="228" spans="2:39">
      <c r="B228" s="649"/>
      <c r="C228" s="303">
        <v>11</v>
      </c>
      <c r="D228" s="303"/>
      <c r="E228" s="181"/>
      <c r="F228" s="303"/>
      <c r="G228" s="306"/>
      <c r="H228" s="644"/>
      <c r="I228" s="198" t="e">
        <f t="shared" si="31"/>
        <v>#DIV/0!</v>
      </c>
      <c r="J228" s="198" t="e">
        <f t="shared" si="31"/>
        <v>#DIV/0!</v>
      </c>
      <c r="K228" s="198" t="e">
        <f t="shared" si="32"/>
        <v>#DIV/0!</v>
      </c>
      <c r="L228" s="650"/>
      <c r="M228" s="198" t="e">
        <f>RANK(K228, K$218:$K$247)</f>
        <v>#DIV/0!</v>
      </c>
      <c r="N228" s="107"/>
      <c r="O228" s="107"/>
      <c r="P228" s="107"/>
      <c r="Q228" s="107"/>
      <c r="R228" s="107"/>
      <c r="S228" s="107"/>
      <c r="T228" s="107"/>
      <c r="X228" s="107"/>
      <c r="AC228" s="107"/>
      <c r="AH228" s="107"/>
      <c r="AM228" s="107"/>
    </row>
    <row r="229" spans="2:39">
      <c r="B229" s="649"/>
      <c r="C229" s="303">
        <v>12</v>
      </c>
      <c r="D229" s="303"/>
      <c r="E229" s="181"/>
      <c r="F229" s="303"/>
      <c r="G229" s="306"/>
      <c r="H229" s="644"/>
      <c r="I229" s="198" t="e">
        <f t="shared" si="31"/>
        <v>#DIV/0!</v>
      </c>
      <c r="J229" s="198" t="e">
        <f t="shared" si="31"/>
        <v>#DIV/0!</v>
      </c>
      <c r="K229" s="198" t="e">
        <f t="shared" si="32"/>
        <v>#DIV/0!</v>
      </c>
      <c r="L229" s="650"/>
      <c r="M229" s="198" t="e">
        <f>RANK(K229, K$218:$K$247)</f>
        <v>#DIV/0!</v>
      </c>
      <c r="N229" s="107"/>
      <c r="O229" s="107"/>
      <c r="P229" s="107"/>
      <c r="Q229" s="107"/>
      <c r="R229" s="107"/>
      <c r="S229" s="107"/>
      <c r="T229" s="107"/>
      <c r="X229" s="107"/>
      <c r="AC229" s="107"/>
      <c r="AH229" s="107"/>
      <c r="AM229" s="107"/>
    </row>
    <row r="230" spans="2:39">
      <c r="B230" s="649"/>
      <c r="C230" s="303">
        <v>13</v>
      </c>
      <c r="D230" s="303"/>
      <c r="E230" s="181"/>
      <c r="F230" s="303"/>
      <c r="G230" s="306"/>
      <c r="H230" s="644"/>
      <c r="I230" s="198" t="e">
        <f t="shared" si="31"/>
        <v>#DIV/0!</v>
      </c>
      <c r="J230" s="198" t="e">
        <f t="shared" si="31"/>
        <v>#DIV/0!</v>
      </c>
      <c r="K230" s="198" t="e">
        <f t="shared" si="32"/>
        <v>#DIV/0!</v>
      </c>
      <c r="L230" s="650"/>
      <c r="M230" s="198" t="e">
        <f>RANK(K230, K$218:$K$247)</f>
        <v>#DIV/0!</v>
      </c>
      <c r="N230" s="107"/>
      <c r="O230" s="107"/>
      <c r="P230" s="107"/>
      <c r="Q230" s="107"/>
      <c r="R230" s="107"/>
      <c r="S230" s="107"/>
      <c r="T230" s="107"/>
      <c r="X230" s="107"/>
      <c r="AC230" s="107"/>
      <c r="AH230" s="107"/>
      <c r="AM230" s="107"/>
    </row>
    <row r="231" spans="2:39">
      <c r="B231" s="649"/>
      <c r="C231" s="303">
        <v>14</v>
      </c>
      <c r="D231" s="303"/>
      <c r="E231" s="181"/>
      <c r="F231" s="303"/>
      <c r="G231" s="306"/>
      <c r="H231" s="644"/>
      <c r="I231" s="198" t="e">
        <f t="shared" si="31"/>
        <v>#DIV/0!</v>
      </c>
      <c r="J231" s="198" t="e">
        <f t="shared" si="31"/>
        <v>#DIV/0!</v>
      </c>
      <c r="K231" s="198" t="e">
        <f t="shared" si="32"/>
        <v>#DIV/0!</v>
      </c>
      <c r="L231" s="650"/>
      <c r="M231" s="198" t="e">
        <f>RANK(K231, K$218:$K$247)</f>
        <v>#DIV/0!</v>
      </c>
      <c r="N231" s="107"/>
      <c r="O231" s="107"/>
      <c r="P231" s="107"/>
      <c r="Q231" s="107"/>
      <c r="R231" s="107"/>
      <c r="S231" s="107"/>
      <c r="T231" s="107"/>
      <c r="X231" s="107"/>
      <c r="AC231" s="107"/>
      <c r="AH231" s="107"/>
      <c r="AM231" s="107"/>
    </row>
    <row r="232" spans="2:39">
      <c r="B232" s="649"/>
      <c r="C232" s="303">
        <v>15</v>
      </c>
      <c r="D232" s="303"/>
      <c r="E232" s="181"/>
      <c r="F232" s="303"/>
      <c r="G232" s="306"/>
      <c r="H232" s="644"/>
      <c r="I232" s="198" t="e">
        <f t="shared" si="31"/>
        <v>#DIV/0!</v>
      </c>
      <c r="J232" s="198" t="e">
        <f t="shared" si="31"/>
        <v>#DIV/0!</v>
      </c>
      <c r="K232" s="198" t="e">
        <f t="shared" si="32"/>
        <v>#DIV/0!</v>
      </c>
      <c r="L232" s="650"/>
      <c r="M232" s="198" t="e">
        <f>RANK(K232, K$218:$K$247)</f>
        <v>#DIV/0!</v>
      </c>
      <c r="N232" s="107"/>
      <c r="O232" s="107"/>
      <c r="P232" s="107"/>
      <c r="Q232" s="107"/>
      <c r="R232" s="107"/>
      <c r="S232" s="107"/>
      <c r="T232" s="107"/>
      <c r="X232" s="107"/>
      <c r="AC232" s="107"/>
      <c r="AH232" s="107"/>
      <c r="AM232" s="107"/>
    </row>
    <row r="233" spans="2:39">
      <c r="B233" s="649"/>
      <c r="C233" s="303">
        <v>16</v>
      </c>
      <c r="D233" s="303"/>
      <c r="E233" s="181"/>
      <c r="F233" s="303"/>
      <c r="G233" s="306"/>
      <c r="H233" s="644"/>
      <c r="I233" s="198" t="e">
        <f t="shared" si="31"/>
        <v>#DIV/0!</v>
      </c>
      <c r="J233" s="198" t="e">
        <f t="shared" si="31"/>
        <v>#DIV/0!</v>
      </c>
      <c r="K233" s="198" t="e">
        <f t="shared" si="32"/>
        <v>#DIV/0!</v>
      </c>
      <c r="L233" s="650"/>
      <c r="M233" s="198" t="e">
        <f>RANK(K233, K$218:$K$247)</f>
        <v>#DIV/0!</v>
      </c>
      <c r="N233" s="107"/>
      <c r="O233" s="107"/>
      <c r="P233" s="107"/>
      <c r="Q233" s="107"/>
      <c r="R233" s="107"/>
      <c r="S233" s="107"/>
      <c r="T233" s="107"/>
      <c r="X233" s="107"/>
      <c r="AC233" s="107"/>
      <c r="AH233" s="107"/>
      <c r="AM233" s="107"/>
    </row>
    <row r="234" spans="2:39">
      <c r="B234" s="649"/>
      <c r="C234" s="303">
        <v>17</v>
      </c>
      <c r="D234" s="303"/>
      <c r="E234" s="181"/>
      <c r="F234" s="303"/>
      <c r="G234" s="306"/>
      <c r="H234" s="644"/>
      <c r="I234" s="198" t="e">
        <f t="shared" si="31"/>
        <v>#DIV/0!</v>
      </c>
      <c r="J234" s="198" t="e">
        <f t="shared" si="31"/>
        <v>#DIV/0!</v>
      </c>
      <c r="K234" s="198" t="e">
        <f t="shared" si="32"/>
        <v>#DIV/0!</v>
      </c>
      <c r="L234" s="650"/>
      <c r="M234" s="198" t="e">
        <f>RANK(K234, K$218:$K$247)</f>
        <v>#DIV/0!</v>
      </c>
      <c r="N234" s="107"/>
      <c r="O234" s="107"/>
      <c r="P234" s="107"/>
      <c r="Q234" s="107"/>
      <c r="R234" s="107"/>
      <c r="S234" s="107"/>
      <c r="T234" s="107"/>
      <c r="X234" s="107"/>
      <c r="AC234" s="107"/>
      <c r="AH234" s="107"/>
      <c r="AM234" s="107"/>
    </row>
    <row r="235" spans="2:39">
      <c r="B235" s="649"/>
      <c r="C235" s="303">
        <v>18</v>
      </c>
      <c r="D235" s="303"/>
      <c r="E235" s="181"/>
      <c r="F235" s="303"/>
      <c r="G235" s="306"/>
      <c r="H235" s="644"/>
      <c r="I235" s="198" t="e">
        <f t="shared" si="31"/>
        <v>#DIV/0!</v>
      </c>
      <c r="J235" s="198" t="e">
        <f t="shared" si="31"/>
        <v>#DIV/0!</v>
      </c>
      <c r="K235" s="198" t="e">
        <f t="shared" si="32"/>
        <v>#DIV/0!</v>
      </c>
      <c r="L235" s="650"/>
      <c r="M235" s="198" t="e">
        <f>RANK(K235, K$218:$K$247)</f>
        <v>#DIV/0!</v>
      </c>
      <c r="N235" s="107"/>
      <c r="O235" s="107"/>
      <c r="P235" s="107"/>
      <c r="Q235" s="107"/>
      <c r="R235" s="107"/>
      <c r="S235" s="107"/>
      <c r="T235" s="107"/>
      <c r="X235" s="107"/>
      <c r="AC235" s="107"/>
      <c r="AH235" s="107"/>
      <c r="AM235" s="107"/>
    </row>
    <row r="236" spans="2:39">
      <c r="B236" s="649"/>
      <c r="C236" s="303">
        <v>19</v>
      </c>
      <c r="D236" s="303"/>
      <c r="E236" s="181"/>
      <c r="F236" s="303"/>
      <c r="G236" s="306"/>
      <c r="H236" s="644"/>
      <c r="I236" s="198" t="e">
        <f t="shared" si="31"/>
        <v>#DIV/0!</v>
      </c>
      <c r="J236" s="198" t="e">
        <f t="shared" si="31"/>
        <v>#DIV/0!</v>
      </c>
      <c r="K236" s="198" t="e">
        <f t="shared" si="32"/>
        <v>#DIV/0!</v>
      </c>
      <c r="L236" s="650"/>
      <c r="M236" s="198" t="e">
        <f>RANK(K236, K$218:$K$247)</f>
        <v>#DIV/0!</v>
      </c>
      <c r="N236" s="107"/>
      <c r="O236" s="107"/>
      <c r="P236" s="107"/>
      <c r="Q236" s="107"/>
      <c r="R236" s="107"/>
      <c r="S236" s="107"/>
      <c r="T236" s="107"/>
      <c r="X236" s="107"/>
      <c r="AC236" s="107"/>
      <c r="AH236" s="107"/>
      <c r="AM236" s="107"/>
    </row>
    <row r="237" spans="2:39">
      <c r="B237" s="649"/>
      <c r="C237" s="303">
        <v>20</v>
      </c>
      <c r="D237" s="303"/>
      <c r="E237" s="181"/>
      <c r="F237" s="303"/>
      <c r="G237" s="306"/>
      <c r="H237" s="644"/>
      <c r="I237" s="198" t="e">
        <f t="shared" si="31"/>
        <v>#DIV/0!</v>
      </c>
      <c r="J237" s="198" t="e">
        <f t="shared" si="31"/>
        <v>#DIV/0!</v>
      </c>
      <c r="K237" s="198" t="e">
        <f t="shared" si="32"/>
        <v>#DIV/0!</v>
      </c>
      <c r="L237" s="650"/>
      <c r="M237" s="198" t="e">
        <f>RANK(K237, K$218:$K$247)</f>
        <v>#DIV/0!</v>
      </c>
      <c r="N237" s="107"/>
      <c r="O237" s="107"/>
      <c r="P237" s="107"/>
      <c r="Q237" s="107"/>
      <c r="R237" s="107"/>
      <c r="S237" s="107"/>
      <c r="T237" s="107"/>
      <c r="X237" s="107"/>
      <c r="AC237" s="107"/>
      <c r="AH237" s="107"/>
      <c r="AM237" s="107"/>
    </row>
    <row r="238" spans="2:39">
      <c r="B238" s="649"/>
      <c r="C238" s="303">
        <v>21</v>
      </c>
      <c r="D238" s="303"/>
      <c r="E238" s="181"/>
      <c r="F238" s="303"/>
      <c r="G238" s="306"/>
      <c r="H238" s="644"/>
      <c r="I238" s="198" t="e">
        <f t="shared" si="31"/>
        <v>#DIV/0!</v>
      </c>
      <c r="J238" s="198" t="e">
        <f t="shared" si="31"/>
        <v>#DIV/0!</v>
      </c>
      <c r="K238" s="198" t="e">
        <f t="shared" si="32"/>
        <v>#DIV/0!</v>
      </c>
      <c r="L238" s="650"/>
      <c r="M238" s="198" t="e">
        <f>RANK(K238, K$218:$K$247)</f>
        <v>#DIV/0!</v>
      </c>
      <c r="N238" s="107"/>
      <c r="O238" s="107"/>
      <c r="P238" s="107"/>
      <c r="Q238" s="107"/>
      <c r="R238" s="107"/>
      <c r="S238" s="107"/>
      <c r="T238" s="107"/>
      <c r="X238" s="107"/>
      <c r="AC238" s="107"/>
      <c r="AH238" s="107"/>
      <c r="AM238" s="107"/>
    </row>
    <row r="239" spans="2:39">
      <c r="B239" s="649"/>
      <c r="C239" s="303">
        <v>22</v>
      </c>
      <c r="D239" s="303"/>
      <c r="E239" s="181"/>
      <c r="F239" s="303"/>
      <c r="G239" s="306"/>
      <c r="H239" s="644"/>
      <c r="I239" s="198" t="e">
        <f t="shared" si="31"/>
        <v>#DIV/0!</v>
      </c>
      <c r="J239" s="198" t="e">
        <f t="shared" si="31"/>
        <v>#DIV/0!</v>
      </c>
      <c r="K239" s="198" t="e">
        <f t="shared" si="32"/>
        <v>#DIV/0!</v>
      </c>
      <c r="L239" s="650"/>
      <c r="M239" s="198" t="e">
        <f>RANK(K239, K$218:$K$247)</f>
        <v>#DIV/0!</v>
      </c>
      <c r="N239" s="107"/>
      <c r="O239" s="107"/>
      <c r="P239" s="107"/>
      <c r="Q239" s="107"/>
      <c r="R239" s="107"/>
      <c r="S239" s="107"/>
      <c r="T239" s="107"/>
      <c r="X239" s="107"/>
      <c r="AC239" s="107"/>
      <c r="AH239" s="107"/>
      <c r="AM239" s="107"/>
    </row>
    <row r="240" spans="2:39">
      <c r="B240" s="649"/>
      <c r="C240" s="303">
        <v>23</v>
      </c>
      <c r="D240" s="303"/>
      <c r="E240" s="181"/>
      <c r="F240" s="303"/>
      <c r="G240" s="306"/>
      <c r="H240" s="644"/>
      <c r="I240" s="198" t="e">
        <f t="shared" si="31"/>
        <v>#DIV/0!</v>
      </c>
      <c r="J240" s="198" t="e">
        <f t="shared" si="31"/>
        <v>#DIV/0!</v>
      </c>
      <c r="K240" s="198" t="e">
        <f t="shared" si="32"/>
        <v>#DIV/0!</v>
      </c>
      <c r="L240" s="650"/>
      <c r="M240" s="198" t="e">
        <f>RANK(K240, K$218:$K$247)</f>
        <v>#DIV/0!</v>
      </c>
      <c r="N240" s="107"/>
      <c r="O240" s="107"/>
      <c r="P240" s="107"/>
      <c r="Q240" s="107"/>
      <c r="R240" s="107"/>
      <c r="S240" s="107"/>
      <c r="T240" s="107"/>
      <c r="X240" s="107"/>
      <c r="AC240" s="107"/>
      <c r="AH240" s="107"/>
      <c r="AM240" s="107"/>
    </row>
    <row r="241" spans="2:39">
      <c r="B241" s="649"/>
      <c r="C241" s="303">
        <v>24</v>
      </c>
      <c r="D241" s="303"/>
      <c r="E241" s="181"/>
      <c r="F241" s="303"/>
      <c r="G241" s="306"/>
      <c r="H241" s="644"/>
      <c r="I241" s="198" t="e">
        <f t="shared" si="31"/>
        <v>#DIV/0!</v>
      </c>
      <c r="J241" s="198" t="e">
        <f t="shared" si="31"/>
        <v>#DIV/0!</v>
      </c>
      <c r="K241" s="198" t="e">
        <f t="shared" si="32"/>
        <v>#DIV/0!</v>
      </c>
      <c r="L241" s="650"/>
      <c r="M241" s="198" t="e">
        <f>RANK(K241, K$218:$K$247)</f>
        <v>#DIV/0!</v>
      </c>
      <c r="N241" s="107"/>
      <c r="O241" s="107"/>
      <c r="P241" s="107"/>
      <c r="Q241" s="107"/>
      <c r="R241" s="107"/>
      <c r="S241" s="107"/>
      <c r="T241" s="107"/>
      <c r="X241" s="107"/>
      <c r="AC241" s="107"/>
      <c r="AH241" s="107"/>
      <c r="AM241" s="107"/>
    </row>
    <row r="242" spans="2:39">
      <c r="B242" s="649"/>
      <c r="C242" s="303">
        <v>25</v>
      </c>
      <c r="D242" s="303"/>
      <c r="E242" s="181"/>
      <c r="F242" s="303"/>
      <c r="G242" s="306"/>
      <c r="H242" s="644"/>
      <c r="I242" s="198"/>
      <c r="J242" s="198"/>
      <c r="K242" s="198"/>
      <c r="L242" s="650"/>
      <c r="M242" s="198" t="e">
        <f>RANK(K242, K$218:$K$247)</f>
        <v>#DIV/0!</v>
      </c>
      <c r="N242" s="107"/>
      <c r="O242" s="107"/>
      <c r="P242" s="107"/>
      <c r="Q242" s="107"/>
      <c r="R242" s="107"/>
      <c r="S242" s="107"/>
      <c r="T242" s="107"/>
      <c r="X242" s="107"/>
      <c r="AC242" s="107"/>
      <c r="AH242" s="107"/>
      <c r="AM242" s="107"/>
    </row>
    <row r="243" spans="2:39">
      <c r="B243" s="649"/>
      <c r="C243" s="303">
        <v>26</v>
      </c>
      <c r="D243" s="303"/>
      <c r="E243" s="181"/>
      <c r="F243" s="303"/>
      <c r="G243" s="306"/>
      <c r="H243" s="644"/>
      <c r="I243" s="198"/>
      <c r="J243" s="198"/>
      <c r="K243" s="198"/>
      <c r="L243" s="650"/>
      <c r="M243" s="198" t="e">
        <f>RANK(K243, K$218:$K$247)</f>
        <v>#DIV/0!</v>
      </c>
      <c r="N243" s="107"/>
      <c r="O243" s="107"/>
      <c r="P243" s="107"/>
      <c r="Q243" s="107"/>
      <c r="R243" s="107"/>
      <c r="S243" s="107"/>
      <c r="T243" s="107"/>
      <c r="X243" s="107"/>
      <c r="AC243" s="107"/>
      <c r="AH243" s="107"/>
      <c r="AM243" s="107"/>
    </row>
    <row r="244" spans="2:39">
      <c r="B244" s="649"/>
      <c r="C244" s="303">
        <v>27</v>
      </c>
      <c r="D244" s="303"/>
      <c r="E244" s="181"/>
      <c r="F244" s="303"/>
      <c r="G244" s="306"/>
      <c r="H244" s="644"/>
      <c r="I244" s="198"/>
      <c r="J244" s="198"/>
      <c r="K244" s="198"/>
      <c r="L244" s="650"/>
      <c r="M244" s="198" t="e">
        <f>RANK(K244, K$218:$K$247)</f>
        <v>#DIV/0!</v>
      </c>
      <c r="N244" s="107"/>
      <c r="O244" s="107"/>
      <c r="P244" s="107"/>
      <c r="Q244" s="107"/>
      <c r="R244" s="107"/>
      <c r="S244" s="107"/>
      <c r="T244" s="107"/>
      <c r="X244" s="107"/>
      <c r="AC244" s="107"/>
      <c r="AH244" s="107"/>
      <c r="AM244" s="107"/>
    </row>
    <row r="245" spans="2:39">
      <c r="B245" s="649"/>
      <c r="C245" s="303">
        <v>28</v>
      </c>
      <c r="D245" s="303"/>
      <c r="E245" s="181"/>
      <c r="F245" s="303"/>
      <c r="G245" s="306"/>
      <c r="H245" s="644"/>
      <c r="I245" s="198"/>
      <c r="J245" s="198"/>
      <c r="K245" s="198"/>
      <c r="L245" s="650"/>
      <c r="M245" s="198" t="e">
        <f>RANK(K245, K$218:$K$247)</f>
        <v>#DIV/0!</v>
      </c>
      <c r="N245" s="107"/>
      <c r="O245" s="107"/>
      <c r="P245" s="107"/>
      <c r="Q245" s="107"/>
      <c r="R245" s="107"/>
      <c r="S245" s="107"/>
      <c r="T245" s="107"/>
      <c r="X245" s="107"/>
      <c r="AC245" s="107"/>
      <c r="AH245" s="107"/>
      <c r="AM245" s="107"/>
    </row>
    <row r="246" spans="2:39">
      <c r="B246" s="649"/>
      <c r="C246" s="303">
        <v>29</v>
      </c>
      <c r="D246" s="303"/>
      <c r="E246" s="181"/>
      <c r="F246" s="303"/>
      <c r="G246" s="306"/>
      <c r="H246" s="644"/>
      <c r="I246" s="198"/>
      <c r="J246" s="198"/>
      <c r="K246" s="198"/>
      <c r="L246" s="650"/>
      <c r="M246" s="198" t="e">
        <f>RANK(K246, K$218:$K$247)</f>
        <v>#DIV/0!</v>
      </c>
      <c r="N246" s="107"/>
      <c r="O246" s="107"/>
      <c r="P246" s="107"/>
      <c r="Q246" s="107"/>
      <c r="R246" s="107"/>
      <c r="S246" s="107"/>
      <c r="T246" s="107"/>
      <c r="X246" s="107"/>
      <c r="AC246" s="107"/>
      <c r="AH246" s="107"/>
      <c r="AM246" s="107"/>
    </row>
    <row r="247" spans="2:39">
      <c r="B247" s="649"/>
      <c r="C247" s="303">
        <v>30</v>
      </c>
      <c r="D247" s="303"/>
      <c r="E247" s="181"/>
      <c r="F247" s="303"/>
      <c r="G247" s="306"/>
      <c r="H247" s="644"/>
      <c r="I247" s="198"/>
      <c r="J247" s="198"/>
      <c r="K247" s="198"/>
      <c r="L247" s="650"/>
      <c r="M247" s="198" t="e">
        <f>RANK(K247, K$218:$K$247)</f>
        <v>#DIV/0!</v>
      </c>
      <c r="N247" s="107"/>
      <c r="O247" s="107"/>
      <c r="P247" s="107"/>
      <c r="Q247" s="107"/>
      <c r="R247" s="107"/>
      <c r="S247" s="107"/>
      <c r="T247" s="107"/>
      <c r="X247" s="107"/>
      <c r="AC247" s="107"/>
      <c r="AH247" s="107"/>
      <c r="AM247" s="107"/>
    </row>
  </sheetData>
  <mergeCells count="379">
    <mergeCell ref="BA147:BA176"/>
    <mergeCell ref="BA179:BA181"/>
    <mergeCell ref="BA182:BA211"/>
    <mergeCell ref="BA4:BA6"/>
    <mergeCell ref="BA7:BA36"/>
    <mergeCell ref="BA39:BA41"/>
    <mergeCell ref="BA42:BA71"/>
    <mergeCell ref="BA74:BA76"/>
    <mergeCell ref="BA77:BA106"/>
    <mergeCell ref="BA109:BA111"/>
    <mergeCell ref="BA112:BA141"/>
    <mergeCell ref="BA144:BA146"/>
    <mergeCell ref="B147:B176"/>
    <mergeCell ref="AS147:AS176"/>
    <mergeCell ref="AX147:AX176"/>
    <mergeCell ref="AO145:AR145"/>
    <mergeCell ref="AT145:AW145"/>
    <mergeCell ref="AO144:AR144"/>
    <mergeCell ref="AS144:AS146"/>
    <mergeCell ref="AT144:AW144"/>
    <mergeCell ref="AX144:AX146"/>
    <mergeCell ref="AJ145:AM145"/>
    <mergeCell ref="AN147:AN176"/>
    <mergeCell ref="AN144:AN146"/>
    <mergeCell ref="AJ144:AM144"/>
    <mergeCell ref="C144:D146"/>
    <mergeCell ref="E144:G144"/>
    <mergeCell ref="H144:H146"/>
    <mergeCell ref="I144:K144"/>
    <mergeCell ref="L144:L146"/>
    <mergeCell ref="AD144:AD146"/>
    <mergeCell ref="AE144:AH144"/>
    <mergeCell ref="AI144:AI146"/>
    <mergeCell ref="AE145:AH145"/>
    <mergeCell ref="Z145:AC145"/>
    <mergeCell ref="Y144:Y146"/>
    <mergeCell ref="Z144:AC144"/>
    <mergeCell ref="P144:S144"/>
    <mergeCell ref="T144:T146"/>
    <mergeCell ref="U144:X144"/>
    <mergeCell ref="E145:G145"/>
    <mergeCell ref="I145:K145"/>
    <mergeCell ref="P145:S145"/>
    <mergeCell ref="U145:X145"/>
    <mergeCell ref="M144:M146"/>
    <mergeCell ref="N144:N176"/>
    <mergeCell ref="O144:O176"/>
    <mergeCell ref="H147:H176"/>
    <mergeCell ref="L147:L176"/>
    <mergeCell ref="T147:T176"/>
    <mergeCell ref="Y147:Y176"/>
    <mergeCell ref="AX112:AX141"/>
    <mergeCell ref="B142:H143"/>
    <mergeCell ref="N142:N143"/>
    <mergeCell ref="O142:O143"/>
    <mergeCell ref="P142:T142"/>
    <mergeCell ref="U142:Y142"/>
    <mergeCell ref="Z142:AD142"/>
    <mergeCell ref="AE142:AI142"/>
    <mergeCell ref="AJ142:AN142"/>
    <mergeCell ref="AO142:AS142"/>
    <mergeCell ref="AT142:AX142"/>
    <mergeCell ref="P143:T143"/>
    <mergeCell ref="U143:Y143"/>
    <mergeCell ref="Z143:AD143"/>
    <mergeCell ref="AE143:AI143"/>
    <mergeCell ref="AJ143:AN143"/>
    <mergeCell ref="AO143:AS143"/>
    <mergeCell ref="AT143:AX143"/>
    <mergeCell ref="AO110:AR110"/>
    <mergeCell ref="AT110:AW110"/>
    <mergeCell ref="B112:B141"/>
    <mergeCell ref="H112:H141"/>
    <mergeCell ref="L112:L141"/>
    <mergeCell ref="T112:T141"/>
    <mergeCell ref="Y112:Y141"/>
    <mergeCell ref="AD112:AD141"/>
    <mergeCell ref="AI112:AI141"/>
    <mergeCell ref="AN112:AN141"/>
    <mergeCell ref="AN109:AN111"/>
    <mergeCell ref="AO109:AR109"/>
    <mergeCell ref="AS109:AS111"/>
    <mergeCell ref="AT109:AW109"/>
    <mergeCell ref="B109:B111"/>
    <mergeCell ref="C109:D111"/>
    <mergeCell ref="AS112:AS141"/>
    <mergeCell ref="H109:H111"/>
    <mergeCell ref="I109:K109"/>
    <mergeCell ref="L109:L111"/>
    <mergeCell ref="AD147:AD176"/>
    <mergeCell ref="AI147:AI176"/>
    <mergeCell ref="B144:B146"/>
    <mergeCell ref="AX109:AX111"/>
    <mergeCell ref="E110:G110"/>
    <mergeCell ref="I110:K110"/>
    <mergeCell ref="P110:S110"/>
    <mergeCell ref="U110:X110"/>
    <mergeCell ref="Z110:AC110"/>
    <mergeCell ref="Y109:Y111"/>
    <mergeCell ref="Z109:AC109"/>
    <mergeCell ref="AD109:AD111"/>
    <mergeCell ref="AE109:AH109"/>
    <mergeCell ref="AI109:AI111"/>
    <mergeCell ref="AJ109:AM109"/>
    <mergeCell ref="AE110:AH110"/>
    <mergeCell ref="AJ110:AM110"/>
    <mergeCell ref="M109:M111"/>
    <mergeCell ref="N109:N141"/>
    <mergeCell ref="O109:O141"/>
    <mergeCell ref="P109:S109"/>
    <mergeCell ref="T109:T111"/>
    <mergeCell ref="U109:X109"/>
    <mergeCell ref="E109:G109"/>
    <mergeCell ref="AX77:AX106"/>
    <mergeCell ref="B107:H108"/>
    <mergeCell ref="N107:N108"/>
    <mergeCell ref="O107:O108"/>
    <mergeCell ref="P107:T107"/>
    <mergeCell ref="U107:Y107"/>
    <mergeCell ref="Z107:AD107"/>
    <mergeCell ref="AE107:AI107"/>
    <mergeCell ref="AJ107:AN107"/>
    <mergeCell ref="AO107:AS107"/>
    <mergeCell ref="AT107:AX107"/>
    <mergeCell ref="P108:T108"/>
    <mergeCell ref="U108:Y108"/>
    <mergeCell ref="Z108:AD108"/>
    <mergeCell ref="AE108:AI108"/>
    <mergeCell ref="AJ108:AN108"/>
    <mergeCell ref="AO108:AS108"/>
    <mergeCell ref="AT108:AX108"/>
    <mergeCell ref="AO75:AR75"/>
    <mergeCell ref="AT75:AW75"/>
    <mergeCell ref="B77:B106"/>
    <mergeCell ref="H77:H106"/>
    <mergeCell ref="L77:L106"/>
    <mergeCell ref="T77:T106"/>
    <mergeCell ref="Y77:Y106"/>
    <mergeCell ref="AD77:AD106"/>
    <mergeCell ref="AI77:AI106"/>
    <mergeCell ref="AN77:AN106"/>
    <mergeCell ref="AN74:AN76"/>
    <mergeCell ref="AO74:AR74"/>
    <mergeCell ref="AS74:AS76"/>
    <mergeCell ref="AT74:AW74"/>
    <mergeCell ref="B74:B76"/>
    <mergeCell ref="C74:D76"/>
    <mergeCell ref="AS77:AS106"/>
    <mergeCell ref="AX74:AX76"/>
    <mergeCell ref="E75:G75"/>
    <mergeCell ref="I75:K75"/>
    <mergeCell ref="P75:S75"/>
    <mergeCell ref="U75:X75"/>
    <mergeCell ref="Z75:AC75"/>
    <mergeCell ref="Y74:Y76"/>
    <mergeCell ref="Z74:AC74"/>
    <mergeCell ref="AD74:AD76"/>
    <mergeCell ref="AE74:AH74"/>
    <mergeCell ref="AI74:AI76"/>
    <mergeCell ref="AJ74:AM74"/>
    <mergeCell ref="AE75:AH75"/>
    <mergeCell ref="AJ75:AM75"/>
    <mergeCell ref="M74:M76"/>
    <mergeCell ref="N74:N106"/>
    <mergeCell ref="O74:O106"/>
    <mergeCell ref="P74:S74"/>
    <mergeCell ref="T74:T76"/>
    <mergeCell ref="U74:X74"/>
    <mergeCell ref="E74:G74"/>
    <mergeCell ref="H74:H76"/>
    <mergeCell ref="I74:K74"/>
    <mergeCell ref="L74:L76"/>
    <mergeCell ref="AX42:AX71"/>
    <mergeCell ref="B72:H73"/>
    <mergeCell ref="N72:N73"/>
    <mergeCell ref="O72:O73"/>
    <mergeCell ref="P72:T72"/>
    <mergeCell ref="U72:Y72"/>
    <mergeCell ref="Z72:AD72"/>
    <mergeCell ref="AE72:AI72"/>
    <mergeCell ref="AJ72:AN72"/>
    <mergeCell ref="AO72:AS72"/>
    <mergeCell ref="AT72:AX72"/>
    <mergeCell ref="P73:T73"/>
    <mergeCell ref="U73:Y73"/>
    <mergeCell ref="Z73:AD73"/>
    <mergeCell ref="AE73:AI73"/>
    <mergeCell ref="AJ73:AN73"/>
    <mergeCell ref="AO73:AS73"/>
    <mergeCell ref="AT73:AX73"/>
    <mergeCell ref="AO40:AR40"/>
    <mergeCell ref="AT40:AW40"/>
    <mergeCell ref="B42:B71"/>
    <mergeCell ref="H42:H71"/>
    <mergeCell ref="L42:L71"/>
    <mergeCell ref="T42:T71"/>
    <mergeCell ref="Y42:Y71"/>
    <mergeCell ref="AD42:AD71"/>
    <mergeCell ref="AI42:AI71"/>
    <mergeCell ref="AN42:AN71"/>
    <mergeCell ref="AN39:AN41"/>
    <mergeCell ref="AO39:AR39"/>
    <mergeCell ref="AS39:AS41"/>
    <mergeCell ref="AT39:AW39"/>
    <mergeCell ref="B39:B41"/>
    <mergeCell ref="C39:D41"/>
    <mergeCell ref="AS42:AS71"/>
    <mergeCell ref="AX39:AX41"/>
    <mergeCell ref="E40:G40"/>
    <mergeCell ref="I40:K40"/>
    <mergeCell ref="P40:S40"/>
    <mergeCell ref="U40:X40"/>
    <mergeCell ref="Z40:AC40"/>
    <mergeCell ref="Y39:Y41"/>
    <mergeCell ref="Z39:AC39"/>
    <mergeCell ref="AD39:AD41"/>
    <mergeCell ref="AE39:AH39"/>
    <mergeCell ref="AI39:AI41"/>
    <mergeCell ref="AJ39:AM39"/>
    <mergeCell ref="AE40:AH40"/>
    <mergeCell ref="AJ40:AM40"/>
    <mergeCell ref="M39:M41"/>
    <mergeCell ref="N39:N71"/>
    <mergeCell ref="O39:O71"/>
    <mergeCell ref="P39:S39"/>
    <mergeCell ref="T39:T41"/>
    <mergeCell ref="U39:X39"/>
    <mergeCell ref="E39:G39"/>
    <mergeCell ref="H39:H41"/>
    <mergeCell ref="I39:K39"/>
    <mergeCell ref="L39:L41"/>
    <mergeCell ref="AT37:AX37"/>
    <mergeCell ref="P38:T38"/>
    <mergeCell ref="U38:Y38"/>
    <mergeCell ref="Z38:AD38"/>
    <mergeCell ref="AE38:AI38"/>
    <mergeCell ref="AJ38:AN38"/>
    <mergeCell ref="AO38:AS38"/>
    <mergeCell ref="AT38:AX38"/>
    <mergeCell ref="AX7:AX36"/>
    <mergeCell ref="B37:H38"/>
    <mergeCell ref="N37:N38"/>
    <mergeCell ref="O37:O38"/>
    <mergeCell ref="P37:T37"/>
    <mergeCell ref="U37:Y37"/>
    <mergeCell ref="Z37:AD37"/>
    <mergeCell ref="AE37:AI37"/>
    <mergeCell ref="AJ37:AN37"/>
    <mergeCell ref="AO37:AS37"/>
    <mergeCell ref="AD4:AD6"/>
    <mergeCell ref="AT5:AW5"/>
    <mergeCell ref="B7:B36"/>
    <mergeCell ref="H7:H36"/>
    <mergeCell ref="L7:L36"/>
    <mergeCell ref="T7:T36"/>
    <mergeCell ref="Y7:Y36"/>
    <mergeCell ref="AD7:AD36"/>
    <mergeCell ref="AI7:AI36"/>
    <mergeCell ref="AN7:AN36"/>
    <mergeCell ref="AS7:AS36"/>
    <mergeCell ref="B4:B6"/>
    <mergeCell ref="C4:D6"/>
    <mergeCell ref="E4:G4"/>
    <mergeCell ref="H4:H6"/>
    <mergeCell ref="I4:K4"/>
    <mergeCell ref="L4:L6"/>
    <mergeCell ref="M4:M6"/>
    <mergeCell ref="N4:N36"/>
    <mergeCell ref="O4:O36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AT178:AX178"/>
    <mergeCell ref="E180:G180"/>
    <mergeCell ref="I180:K180"/>
    <mergeCell ref="P180:S180"/>
    <mergeCell ref="U180:X180"/>
    <mergeCell ref="Z180:AC180"/>
    <mergeCell ref="AE180:AH180"/>
    <mergeCell ref="P178:T178"/>
    <mergeCell ref="U178:Y178"/>
    <mergeCell ref="Z178:AD178"/>
    <mergeCell ref="AE178:AI178"/>
    <mergeCell ref="AJ178:AN178"/>
    <mergeCell ref="AO178:AS178"/>
    <mergeCell ref="Z179:AC179"/>
    <mergeCell ref="B177:H178"/>
    <mergeCell ref="N177:N178"/>
    <mergeCell ref="O177:O178"/>
    <mergeCell ref="P177:T177"/>
    <mergeCell ref="U177:Y177"/>
    <mergeCell ref="Z177:AD177"/>
    <mergeCell ref="AE177:AI177"/>
    <mergeCell ref="AJ177:AN177"/>
    <mergeCell ref="AO177:AS177"/>
    <mergeCell ref="AT177:AX177"/>
    <mergeCell ref="AI179:AI181"/>
    <mergeCell ref="AJ179:AM179"/>
    <mergeCell ref="AN179:AN181"/>
    <mergeCell ref="AO179:AR179"/>
    <mergeCell ref="AS179:AS181"/>
    <mergeCell ref="B179:B181"/>
    <mergeCell ref="C179:D181"/>
    <mergeCell ref="E179:G179"/>
    <mergeCell ref="H179:H181"/>
    <mergeCell ref="I179:K179"/>
    <mergeCell ref="L179:L181"/>
    <mergeCell ref="M179:M181"/>
    <mergeCell ref="N179:N211"/>
    <mergeCell ref="O179:O211"/>
    <mergeCell ref="M215:M217"/>
    <mergeCell ref="E216:G216"/>
    <mergeCell ref="I216:K216"/>
    <mergeCell ref="AX179:AX181"/>
    <mergeCell ref="B182:B211"/>
    <mergeCell ref="H182:H211"/>
    <mergeCell ref="L182:L211"/>
    <mergeCell ref="T182:T211"/>
    <mergeCell ref="Y182:Y211"/>
    <mergeCell ref="AD182:AD211"/>
    <mergeCell ref="AI182:AI211"/>
    <mergeCell ref="AN182:AN211"/>
    <mergeCell ref="AS182:AS211"/>
    <mergeCell ref="AX182:AX211"/>
    <mergeCell ref="AT179:AW179"/>
    <mergeCell ref="P179:S179"/>
    <mergeCell ref="T179:T181"/>
    <mergeCell ref="U179:X179"/>
    <mergeCell ref="Y179:Y181"/>
    <mergeCell ref="AJ180:AM180"/>
    <mergeCell ref="AO180:AR180"/>
    <mergeCell ref="AT180:AW180"/>
    <mergeCell ref="AD179:AD181"/>
    <mergeCell ref="AE179:AH179"/>
    <mergeCell ref="B218:B247"/>
    <mergeCell ref="H218:H247"/>
    <mergeCell ref="L218:L247"/>
    <mergeCell ref="B213:H214"/>
    <mergeCell ref="B215:B217"/>
    <mergeCell ref="C215:D217"/>
    <mergeCell ref="E215:G215"/>
    <mergeCell ref="H215:H217"/>
    <mergeCell ref="I215:K215"/>
    <mergeCell ref="L215:L217"/>
  </mergeCells>
  <phoneticPr fontId="13" type="noConversion"/>
  <pageMargins left="0.7" right="0.7" top="0.75" bottom="0.75" header="0.3" footer="0.3"/>
  <pageSetup paperSize="9"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A1:BA142"/>
  <sheetViews>
    <sheetView zoomScale="40" zoomScaleNormal="40" workbookViewId="0">
      <pane xSplit="15" topLeftCell="V1" activePane="topRight" state="frozen"/>
      <selection activeCell="P6" sqref="P6"/>
      <selection pane="topRight" activeCell="Y7" sqref="X7:Y21"/>
    </sheetView>
  </sheetViews>
  <sheetFormatPr defaultColWidth="8.85546875" defaultRowHeight="12.75"/>
  <cols>
    <col min="1" max="1" width="5.5703125" style="107" customWidth="1"/>
    <col min="2" max="2" width="12.42578125" style="107" customWidth="1"/>
    <col min="3" max="3" width="8.85546875" style="106"/>
    <col min="4" max="4" width="26.42578125" style="106" customWidth="1"/>
    <col min="5" max="7" width="8.42578125" style="106" customWidth="1"/>
    <col min="8" max="8" width="11.140625" style="106" bestFit="1" customWidth="1"/>
    <col min="9" max="12" width="11.140625" style="106" customWidth="1"/>
    <col min="13" max="13" width="13.5703125" style="106" customWidth="1"/>
    <col min="14" max="14" width="9.85546875" style="106" customWidth="1"/>
    <col min="15" max="15" width="7.140625" style="106" customWidth="1"/>
    <col min="16" max="18" width="12.85546875" style="106" customWidth="1"/>
    <col min="19" max="19" width="5.42578125" style="106" customWidth="1"/>
    <col min="20" max="20" width="12.85546875" style="106" customWidth="1"/>
    <col min="21" max="23" width="12.85546875" style="107" customWidth="1"/>
    <col min="24" max="24" width="5.42578125" style="106" customWidth="1"/>
    <col min="25" max="28" width="12.85546875" style="107" customWidth="1"/>
    <col min="29" max="29" width="5.42578125" style="106" customWidth="1"/>
    <col min="30" max="30" width="12.85546875" style="107" customWidth="1"/>
    <col min="31" max="33" width="12.5703125" style="107" customWidth="1"/>
    <col min="34" max="34" width="5.42578125" style="106" customWidth="1"/>
    <col min="35" max="35" width="13" style="107" customWidth="1"/>
    <col min="36" max="38" width="12.5703125" style="107" customWidth="1"/>
    <col min="39" max="39" width="5.42578125" style="106" customWidth="1"/>
    <col min="40" max="40" width="13" style="107" customWidth="1"/>
    <col min="41" max="43" width="13.140625" style="107" customWidth="1"/>
    <col min="44" max="44" width="5.42578125" style="107" customWidth="1"/>
    <col min="45" max="48" width="13.140625" style="107" customWidth="1"/>
    <col min="49" max="49" width="5.42578125" style="107" customWidth="1"/>
    <col min="50" max="50" width="13.140625" style="107" customWidth="1"/>
    <col min="51" max="51" width="8.85546875" style="107"/>
    <col min="52" max="52" width="5.42578125" style="107" customWidth="1"/>
    <col min="53" max="53" width="13.140625" style="107" customWidth="1"/>
    <col min="54" max="16384" width="8.85546875" style="107"/>
  </cols>
  <sheetData>
    <row r="1" spans="1:53" ht="24">
      <c r="A1" s="75"/>
      <c r="B1" s="220" t="s">
        <v>313</v>
      </c>
      <c r="C1" s="219">
        <f>AVERAGE(L7,L27,L47,L67,L87,L107)</f>
        <v>72.424316095340771</v>
      </c>
    </row>
    <row r="2" spans="1:53" ht="15.75">
      <c r="A2" s="81"/>
      <c r="B2" s="671" t="s">
        <v>162</v>
      </c>
      <c r="C2" s="671"/>
      <c r="D2" s="671"/>
      <c r="E2" s="671"/>
      <c r="F2" s="671"/>
      <c r="G2" s="671"/>
      <c r="H2" s="671"/>
      <c r="I2" s="284"/>
      <c r="J2" s="284"/>
      <c r="K2" s="284"/>
      <c r="L2" s="284"/>
      <c r="M2" s="196"/>
      <c r="N2" s="645" t="s">
        <v>156</v>
      </c>
      <c r="O2" s="645" t="s">
        <v>155</v>
      </c>
      <c r="P2" s="670">
        <v>46266</v>
      </c>
      <c r="Q2" s="649"/>
      <c r="R2" s="649"/>
      <c r="S2" s="649"/>
      <c r="T2" s="649"/>
      <c r="U2" s="667">
        <f>P2+1</f>
        <v>46267</v>
      </c>
      <c r="V2" s="668"/>
      <c r="W2" s="668"/>
      <c r="X2" s="668"/>
      <c r="Y2" s="669"/>
      <c r="Z2" s="667">
        <f>U2+1</f>
        <v>46268</v>
      </c>
      <c r="AA2" s="668"/>
      <c r="AB2" s="668"/>
      <c r="AC2" s="668"/>
      <c r="AD2" s="669"/>
      <c r="AE2" s="667">
        <f>Z2+1</f>
        <v>46269</v>
      </c>
      <c r="AF2" s="668"/>
      <c r="AG2" s="668"/>
      <c r="AH2" s="668"/>
      <c r="AI2" s="669"/>
      <c r="AJ2" s="667">
        <f>AE2+1</f>
        <v>46270</v>
      </c>
      <c r="AK2" s="668"/>
      <c r="AL2" s="668"/>
      <c r="AM2" s="668"/>
      <c r="AN2" s="669"/>
      <c r="AO2" s="667">
        <f>AJ2+1</f>
        <v>46271</v>
      </c>
      <c r="AP2" s="668"/>
      <c r="AQ2" s="668"/>
      <c r="AR2" s="668"/>
      <c r="AS2" s="669"/>
      <c r="AT2" s="667">
        <f>AO2+1</f>
        <v>46272</v>
      </c>
      <c r="AU2" s="668"/>
      <c r="AV2" s="668"/>
      <c r="AW2" s="668"/>
      <c r="AX2" s="669"/>
    </row>
    <row r="3" spans="1:53" ht="15.75">
      <c r="A3" s="81"/>
      <c r="B3" s="715"/>
      <c r="C3" s="715"/>
      <c r="D3" s="715"/>
      <c r="E3" s="715"/>
      <c r="F3" s="715"/>
      <c r="G3" s="715"/>
      <c r="H3" s="715"/>
      <c r="I3" s="285"/>
      <c r="J3" s="285"/>
      <c r="K3" s="285"/>
      <c r="L3" s="285"/>
      <c r="M3" s="197"/>
      <c r="N3" s="647"/>
      <c r="O3" s="647"/>
      <c r="P3" s="670" t="s">
        <v>158</v>
      </c>
      <c r="Q3" s="649"/>
      <c r="R3" s="649"/>
      <c r="S3" s="649"/>
      <c r="T3" s="649"/>
      <c r="U3" s="670" t="s">
        <v>114</v>
      </c>
      <c r="V3" s="649"/>
      <c r="W3" s="649"/>
      <c r="X3" s="649"/>
      <c r="Y3" s="649"/>
      <c r="Z3" s="670" t="s">
        <v>159</v>
      </c>
      <c r="AA3" s="649"/>
      <c r="AB3" s="649"/>
      <c r="AC3" s="649"/>
      <c r="AD3" s="649"/>
      <c r="AE3" s="670" t="s">
        <v>157</v>
      </c>
      <c r="AF3" s="649"/>
      <c r="AG3" s="649"/>
      <c r="AH3" s="649"/>
      <c r="AI3" s="649"/>
      <c r="AJ3" s="670" t="s">
        <v>160</v>
      </c>
      <c r="AK3" s="649"/>
      <c r="AL3" s="649"/>
      <c r="AM3" s="649"/>
      <c r="AN3" s="649"/>
      <c r="AO3" s="670" t="s">
        <v>115</v>
      </c>
      <c r="AP3" s="649"/>
      <c r="AQ3" s="649"/>
      <c r="AR3" s="649"/>
      <c r="AS3" s="649"/>
      <c r="AT3" s="670" t="s">
        <v>161</v>
      </c>
      <c r="AU3" s="649"/>
      <c r="AV3" s="649"/>
      <c r="AW3" s="649"/>
      <c r="AX3" s="649"/>
    </row>
    <row r="4" spans="1:53" ht="14.25">
      <c r="A4" s="81"/>
      <c r="B4" s="643" t="s">
        <v>154</v>
      </c>
      <c r="C4" s="643" t="s">
        <v>372</v>
      </c>
      <c r="D4" s="643"/>
      <c r="E4" s="643" t="s">
        <v>363</v>
      </c>
      <c r="F4" s="643"/>
      <c r="G4" s="643"/>
      <c r="H4" s="675" t="s">
        <v>359</v>
      </c>
      <c r="I4" s="690" t="s">
        <v>364</v>
      </c>
      <c r="J4" s="690"/>
      <c r="K4" s="690"/>
      <c r="L4" s="691" t="s">
        <v>359</v>
      </c>
      <c r="M4" s="679" t="s">
        <v>360</v>
      </c>
      <c r="N4" s="643"/>
      <c r="O4" s="643" t="s">
        <v>365</v>
      </c>
      <c r="P4" s="661" t="s">
        <v>361</v>
      </c>
      <c r="Q4" s="662"/>
      <c r="R4" s="662"/>
      <c r="S4" s="663"/>
      <c r="T4" s="643" t="s">
        <v>359</v>
      </c>
      <c r="U4" s="661" t="s">
        <v>361</v>
      </c>
      <c r="V4" s="662"/>
      <c r="W4" s="662"/>
      <c r="X4" s="663"/>
      <c r="Y4" s="643" t="s">
        <v>359</v>
      </c>
      <c r="Z4" s="661" t="s">
        <v>361</v>
      </c>
      <c r="AA4" s="662"/>
      <c r="AB4" s="662"/>
      <c r="AC4" s="663"/>
      <c r="AD4" s="643" t="s">
        <v>359</v>
      </c>
      <c r="AE4" s="661" t="s">
        <v>361</v>
      </c>
      <c r="AF4" s="662"/>
      <c r="AG4" s="662"/>
      <c r="AH4" s="663"/>
      <c r="AI4" s="643" t="s">
        <v>359</v>
      </c>
      <c r="AJ4" s="661" t="s">
        <v>361</v>
      </c>
      <c r="AK4" s="662"/>
      <c r="AL4" s="662"/>
      <c r="AM4" s="663"/>
      <c r="AN4" s="643" t="s">
        <v>359</v>
      </c>
      <c r="AO4" s="661" t="s">
        <v>361</v>
      </c>
      <c r="AP4" s="662"/>
      <c r="AQ4" s="662"/>
      <c r="AR4" s="663"/>
      <c r="AS4" s="643" t="s">
        <v>359</v>
      </c>
      <c r="AT4" s="661" t="s">
        <v>361</v>
      </c>
      <c r="AU4" s="662"/>
      <c r="AV4" s="662"/>
      <c r="AW4" s="663"/>
      <c r="AX4" s="643" t="s">
        <v>359</v>
      </c>
      <c r="BA4" s="643" t="s">
        <v>359</v>
      </c>
    </row>
    <row r="5" spans="1:53" ht="14.25">
      <c r="A5" s="81"/>
      <c r="B5" s="643"/>
      <c r="C5" s="643"/>
      <c r="D5" s="643"/>
      <c r="E5" s="643" t="s">
        <v>366</v>
      </c>
      <c r="F5" s="643"/>
      <c r="G5" s="643"/>
      <c r="H5" s="676"/>
      <c r="I5" s="690" t="s">
        <v>366</v>
      </c>
      <c r="J5" s="690"/>
      <c r="K5" s="690"/>
      <c r="L5" s="692"/>
      <c r="M5" s="680"/>
      <c r="N5" s="643"/>
      <c r="O5" s="643"/>
      <c r="P5" s="661" t="s">
        <v>367</v>
      </c>
      <c r="Q5" s="662"/>
      <c r="R5" s="662"/>
      <c r="S5" s="663"/>
      <c r="T5" s="643"/>
      <c r="U5" s="661" t="s">
        <v>367</v>
      </c>
      <c r="V5" s="662"/>
      <c r="W5" s="662"/>
      <c r="X5" s="663"/>
      <c r="Y5" s="643"/>
      <c r="Z5" s="661" t="s">
        <v>367</v>
      </c>
      <c r="AA5" s="662"/>
      <c r="AB5" s="662"/>
      <c r="AC5" s="663"/>
      <c r="AD5" s="643"/>
      <c r="AE5" s="661" t="s">
        <v>367</v>
      </c>
      <c r="AF5" s="662"/>
      <c r="AG5" s="662"/>
      <c r="AH5" s="663"/>
      <c r="AI5" s="643"/>
      <c r="AJ5" s="661" t="s">
        <v>367</v>
      </c>
      <c r="AK5" s="662"/>
      <c r="AL5" s="662"/>
      <c r="AM5" s="663"/>
      <c r="AN5" s="643"/>
      <c r="AO5" s="661" t="s">
        <v>367</v>
      </c>
      <c r="AP5" s="662"/>
      <c r="AQ5" s="662"/>
      <c r="AR5" s="663"/>
      <c r="AS5" s="643"/>
      <c r="AT5" s="661" t="s">
        <v>367</v>
      </c>
      <c r="AU5" s="662"/>
      <c r="AV5" s="662"/>
      <c r="AW5" s="663"/>
      <c r="AX5" s="643"/>
      <c r="BA5" s="643"/>
    </row>
    <row r="6" spans="1:53" ht="14.25">
      <c r="A6" s="79"/>
      <c r="B6" s="643"/>
      <c r="C6" s="643"/>
      <c r="D6" s="643"/>
      <c r="E6" s="525" t="s">
        <v>368</v>
      </c>
      <c r="F6" s="525" t="s">
        <v>369</v>
      </c>
      <c r="G6" s="525" t="s">
        <v>370</v>
      </c>
      <c r="H6" s="677"/>
      <c r="I6" s="524" t="s">
        <v>368</v>
      </c>
      <c r="J6" s="524" t="s">
        <v>369</v>
      </c>
      <c r="K6" s="524" t="s">
        <v>370</v>
      </c>
      <c r="L6" s="693"/>
      <c r="M6" s="681"/>
      <c r="N6" s="643"/>
      <c r="O6" s="643"/>
      <c r="P6" s="525" t="s">
        <v>368</v>
      </c>
      <c r="Q6" s="525" t="s">
        <v>369</v>
      </c>
      <c r="R6" s="525" t="s">
        <v>370</v>
      </c>
      <c r="S6" s="525" t="s">
        <v>360</v>
      </c>
      <c r="T6" s="643"/>
      <c r="U6" s="525" t="s">
        <v>368</v>
      </c>
      <c r="V6" s="525" t="s">
        <v>369</v>
      </c>
      <c r="W6" s="525" t="s">
        <v>370</v>
      </c>
      <c r="X6" s="525" t="s">
        <v>360</v>
      </c>
      <c r="Y6" s="643"/>
      <c r="Z6" s="525" t="s">
        <v>368</v>
      </c>
      <c r="AA6" s="525" t="s">
        <v>369</v>
      </c>
      <c r="AB6" s="525" t="s">
        <v>370</v>
      </c>
      <c r="AC6" s="525" t="s">
        <v>360</v>
      </c>
      <c r="AD6" s="643"/>
      <c r="AE6" s="525" t="s">
        <v>368</v>
      </c>
      <c r="AF6" s="525" t="s">
        <v>369</v>
      </c>
      <c r="AG6" s="525" t="s">
        <v>370</v>
      </c>
      <c r="AH6" s="525" t="s">
        <v>360</v>
      </c>
      <c r="AI6" s="643"/>
      <c r="AJ6" s="525" t="s">
        <v>368</v>
      </c>
      <c r="AK6" s="525" t="s">
        <v>369</v>
      </c>
      <c r="AL6" s="525" t="s">
        <v>370</v>
      </c>
      <c r="AM6" s="525" t="s">
        <v>360</v>
      </c>
      <c r="AN6" s="643"/>
      <c r="AO6" s="525" t="s">
        <v>368</v>
      </c>
      <c r="AP6" s="525" t="s">
        <v>369</v>
      </c>
      <c r="AQ6" s="525" t="s">
        <v>370</v>
      </c>
      <c r="AR6" s="525" t="s">
        <v>360</v>
      </c>
      <c r="AS6" s="643"/>
      <c r="AT6" s="525" t="s">
        <v>368</v>
      </c>
      <c r="AU6" s="525" t="s">
        <v>369</v>
      </c>
      <c r="AV6" s="525" t="s">
        <v>370</v>
      </c>
      <c r="AW6" s="525" t="s">
        <v>360</v>
      </c>
      <c r="AX6" s="643"/>
      <c r="AZ6" s="367" t="s">
        <v>360</v>
      </c>
      <c r="BA6" s="643"/>
    </row>
    <row r="7" spans="1:53" ht="14.25">
      <c r="A7" s="81"/>
      <c r="B7" s="643" t="s">
        <v>132</v>
      </c>
      <c r="C7" s="526">
        <v>1</v>
      </c>
      <c r="D7" s="225" t="s">
        <v>581</v>
      </c>
      <c r="E7" s="565">
        <v>17</v>
      </c>
      <c r="F7" s="563">
        <v>1440</v>
      </c>
      <c r="G7" s="564">
        <v>84.7</v>
      </c>
      <c r="H7" s="702">
        <f>AVERAGE(G7:G21)</f>
        <v>79.176794258373221</v>
      </c>
      <c r="I7" s="529">
        <f t="shared" ref="I7:I21" si="0">IFERROR(AVERAGE(P7,U7,Z7,AE7,AJ7,AO7,AT7),"-")</f>
        <v>17</v>
      </c>
      <c r="J7" s="529">
        <f t="shared" ref="J7:J21" si="1">IFERROR(AVERAGE(Q7,V7,AA7,AF7,AK7,AP7,AU7),"-")</f>
        <v>1296.9457009029243</v>
      </c>
      <c r="K7" s="199">
        <f t="shared" ref="K7:K21" si="2">IFERROR(AVERAGE(R7,W7,AB7,AG7,AL7,AQ7,AV7),"-")</f>
        <v>76.290923582524968</v>
      </c>
      <c r="L7" s="658">
        <f>IFERROR(AVERAGE(K7:K21),"-")</f>
        <v>72.424316095340771</v>
      </c>
      <c r="M7" s="530">
        <f>RANK(K7, K$7:$K$21)</f>
        <v>4</v>
      </c>
      <c r="N7" s="643"/>
      <c r="O7" s="643"/>
      <c r="P7" s="576">
        <v>17</v>
      </c>
      <c r="Q7" s="578">
        <v>1321.1162790697674</v>
      </c>
      <c r="R7" s="578">
        <v>77.712722298221607</v>
      </c>
      <c r="S7" s="576">
        <v>4</v>
      </c>
      <c r="T7" s="644">
        <v>72.521265627463478</v>
      </c>
      <c r="U7" s="576">
        <v>17</v>
      </c>
      <c r="V7" s="578">
        <v>1282.5</v>
      </c>
      <c r="W7" s="578">
        <v>75.441176470588232</v>
      </c>
      <c r="X7" s="576">
        <f t="shared" ref="X7:X21" si="3">RANK(W7, W$7:W$21)</f>
        <v>5</v>
      </c>
      <c r="Y7" s="644">
        <f t="shared" ref="Y7" si="4">AVERAGE(W7:W21)</f>
        <v>71.956776964446533</v>
      </c>
      <c r="Z7" s="576">
        <v>17</v>
      </c>
      <c r="AA7" s="578">
        <v>1307.0103092783511</v>
      </c>
      <c r="AB7" s="578">
        <v>76.882959369314776</v>
      </c>
      <c r="AC7" s="576">
        <f t="shared" ref="AC7:AC21" si="5">RANK(AB7, AB$7:AB$21)</f>
        <v>4</v>
      </c>
      <c r="AD7" s="644">
        <f t="shared" ref="AD7" si="6">AVERAGE(AB7:AB21)</f>
        <v>73.479953509671645</v>
      </c>
      <c r="AE7" s="576">
        <v>17</v>
      </c>
      <c r="AF7" s="578">
        <v>1316.1290322580658</v>
      </c>
      <c r="AG7" s="578">
        <v>77.419354838709751</v>
      </c>
      <c r="AH7" s="576">
        <f t="shared" ref="AH7:AH21" si="7">RANK(AG7, AG$7:AG$21)</f>
        <v>4</v>
      </c>
      <c r="AI7" s="644">
        <f t="shared" ref="AI7" si="8">AVERAGE(AG7:AG21)</f>
        <v>72.076676842475351</v>
      </c>
      <c r="AJ7" s="576">
        <v>17</v>
      </c>
      <c r="AK7" s="578">
        <v>1302.399999999999</v>
      </c>
      <c r="AL7" s="578">
        <v>76.611764705882294</v>
      </c>
      <c r="AM7" s="576">
        <f t="shared" ref="AM7:AM21" si="9">RANK(AL7, AL$7:AL$21)</f>
        <v>4</v>
      </c>
      <c r="AN7" s="644">
        <f t="shared" ref="AN7" si="10">AVERAGE(AL7:AL21)</f>
        <v>72.30950037585545</v>
      </c>
      <c r="AO7" s="576">
        <v>17</v>
      </c>
      <c r="AP7" s="578">
        <v>1225.714285714286</v>
      </c>
      <c r="AQ7" s="578">
        <v>72.100840336134468</v>
      </c>
      <c r="AR7" s="576">
        <f t="shared" ref="AR7:AR21" si="11">RANK(AQ7, AQ$7:AQ$21)</f>
        <v>6</v>
      </c>
      <c r="AS7" s="644">
        <f t="shared" ref="AS7" si="12">AVERAGE(AQ7:AQ21)</f>
        <v>72.296578817994046</v>
      </c>
      <c r="AT7" s="576">
        <v>17</v>
      </c>
      <c r="AU7" s="578">
        <v>1323.7500000000005</v>
      </c>
      <c r="AV7" s="578">
        <v>77.86764705882355</v>
      </c>
      <c r="AW7" s="576">
        <f t="shared" ref="AW7:AW21" si="13">RANK(AV7, AV$7:AV$21)</f>
        <v>4</v>
      </c>
      <c r="AX7" s="644">
        <f t="shared" ref="AX7" si="14">AVERAGE(AV7:AV21)</f>
        <v>72.329460529478737</v>
      </c>
      <c r="AZ7" s="368" t="e">
        <f t="shared" ref="AZ7:AZ21" si="15">RANK(AY7, AY$7:AY$21)</f>
        <v>#N/A</v>
      </c>
      <c r="BA7" s="644" t="e">
        <f t="shared" ref="BA7" si="16">AVERAGE(AY7:AY21)</f>
        <v>#DIV/0!</v>
      </c>
    </row>
    <row r="8" spans="1:53" ht="15" customHeight="1">
      <c r="A8" s="81"/>
      <c r="B8" s="649"/>
      <c r="C8" s="526">
        <v>2</v>
      </c>
      <c r="D8" s="225" t="s">
        <v>769</v>
      </c>
      <c r="E8" s="565">
        <v>18</v>
      </c>
      <c r="F8" s="563">
        <v>1440</v>
      </c>
      <c r="G8" s="564">
        <v>80</v>
      </c>
      <c r="H8" s="703"/>
      <c r="I8" s="529">
        <f t="shared" si="0"/>
        <v>18</v>
      </c>
      <c r="J8" s="529">
        <f t="shared" si="1"/>
        <v>1345.0337842138335</v>
      </c>
      <c r="K8" s="199">
        <f t="shared" si="2"/>
        <v>74.724099122990765</v>
      </c>
      <c r="L8" s="659"/>
      <c r="M8" s="552">
        <f>RANK(K8, K$7:$K$21)</f>
        <v>5</v>
      </c>
      <c r="N8" s="643"/>
      <c r="O8" s="643"/>
      <c r="P8" s="576">
        <v>18</v>
      </c>
      <c r="Q8" s="578">
        <v>1338</v>
      </c>
      <c r="R8" s="578">
        <v>74.333333333333329</v>
      </c>
      <c r="S8" s="576">
        <v>5</v>
      </c>
      <c r="T8" s="644"/>
      <c r="U8" s="576">
        <v>18</v>
      </c>
      <c r="V8" s="578">
        <v>1362.0000000000009</v>
      </c>
      <c r="W8" s="578">
        <v>75.666666666666714</v>
      </c>
      <c r="X8" s="576">
        <f t="shared" si="3"/>
        <v>4</v>
      </c>
      <c r="Y8" s="644"/>
      <c r="Z8" s="576">
        <v>18</v>
      </c>
      <c r="AA8" s="578">
        <v>1343.0136986301372</v>
      </c>
      <c r="AB8" s="578">
        <v>74.611872146118742</v>
      </c>
      <c r="AC8" s="576">
        <f t="shared" si="5"/>
        <v>5</v>
      </c>
      <c r="AD8" s="644"/>
      <c r="AE8" s="576">
        <v>18</v>
      </c>
      <c r="AF8" s="578">
        <v>1346.1818181818192</v>
      </c>
      <c r="AG8" s="578">
        <v>74.787878787878839</v>
      </c>
      <c r="AH8" s="576">
        <f t="shared" si="7"/>
        <v>5</v>
      </c>
      <c r="AI8" s="644"/>
      <c r="AJ8" s="576">
        <v>18</v>
      </c>
      <c r="AK8" s="578">
        <v>1319.9999999999993</v>
      </c>
      <c r="AL8" s="578">
        <v>73.3333333333333</v>
      </c>
      <c r="AM8" s="576">
        <f t="shared" si="9"/>
        <v>6</v>
      </c>
      <c r="AN8" s="644"/>
      <c r="AO8" s="576">
        <v>18</v>
      </c>
      <c r="AP8" s="578">
        <v>1361.9620253164564</v>
      </c>
      <c r="AQ8" s="578">
        <v>75.664556962025358</v>
      </c>
      <c r="AR8" s="576">
        <f t="shared" si="11"/>
        <v>4</v>
      </c>
      <c r="AS8" s="644"/>
      <c r="AT8" s="576">
        <v>18</v>
      </c>
      <c r="AU8" s="578">
        <v>1344.0789473684215</v>
      </c>
      <c r="AV8" s="578">
        <v>74.671052631578974</v>
      </c>
      <c r="AW8" s="576">
        <f t="shared" si="13"/>
        <v>5</v>
      </c>
      <c r="AX8" s="644"/>
      <c r="AZ8" s="368" t="e">
        <f t="shared" si="15"/>
        <v>#N/A</v>
      </c>
      <c r="BA8" s="644"/>
    </row>
    <row r="9" spans="1:53" ht="14.25">
      <c r="A9" s="81"/>
      <c r="B9" s="649"/>
      <c r="C9" s="526">
        <v>3</v>
      </c>
      <c r="D9" s="225" t="s">
        <v>341</v>
      </c>
      <c r="E9" s="565">
        <v>17</v>
      </c>
      <c r="F9" s="563">
        <v>1440</v>
      </c>
      <c r="G9" s="564">
        <v>84.7</v>
      </c>
      <c r="H9" s="703"/>
      <c r="I9" s="529">
        <f t="shared" si="0"/>
        <v>17</v>
      </c>
      <c r="J9" s="529">
        <f t="shared" si="1"/>
        <v>1341.6164198873557</v>
      </c>
      <c r="K9" s="199">
        <f t="shared" si="2"/>
        <v>78.918612934550325</v>
      </c>
      <c r="L9" s="659"/>
      <c r="M9" s="552">
        <f>RANK(K9, K$7:$K$21)</f>
        <v>3</v>
      </c>
      <c r="N9" s="643"/>
      <c r="O9" s="643"/>
      <c r="P9" s="576">
        <v>17</v>
      </c>
      <c r="Q9" s="578">
        <v>1352.5925925925922</v>
      </c>
      <c r="R9" s="578">
        <v>79.564270152505415</v>
      </c>
      <c r="S9" s="576">
        <v>3</v>
      </c>
      <c r="T9" s="644"/>
      <c r="U9" s="576">
        <v>17</v>
      </c>
      <c r="V9" s="578">
        <v>1342.4999999999995</v>
      </c>
      <c r="W9" s="578">
        <v>78.970588235294088</v>
      </c>
      <c r="X9" s="576">
        <f t="shared" si="3"/>
        <v>3</v>
      </c>
      <c r="Y9" s="644"/>
      <c r="Z9" s="576">
        <v>17</v>
      </c>
      <c r="AA9" s="578">
        <v>1343.3766233766228</v>
      </c>
      <c r="AB9" s="578">
        <v>79.022154316271923</v>
      </c>
      <c r="AC9" s="576">
        <f t="shared" si="5"/>
        <v>3</v>
      </c>
      <c r="AD9" s="644"/>
      <c r="AE9" s="576">
        <v>17</v>
      </c>
      <c r="AF9" s="578">
        <v>1344.5454545454561</v>
      </c>
      <c r="AG9" s="578">
        <v>79.090909090909179</v>
      </c>
      <c r="AH9" s="576">
        <f t="shared" si="7"/>
        <v>3</v>
      </c>
      <c r="AI9" s="644"/>
      <c r="AJ9" s="576">
        <v>17</v>
      </c>
      <c r="AK9" s="578">
        <v>1352.5714285714271</v>
      </c>
      <c r="AL9" s="578">
        <v>79.56302521008395</v>
      </c>
      <c r="AM9" s="576">
        <f t="shared" si="9"/>
        <v>3</v>
      </c>
      <c r="AN9" s="644"/>
      <c r="AO9" s="576">
        <v>17</v>
      </c>
      <c r="AP9" s="578">
        <v>1324.1379310344826</v>
      </c>
      <c r="AQ9" s="578">
        <v>77.890466531440154</v>
      </c>
      <c r="AR9" s="576">
        <f t="shared" si="11"/>
        <v>3</v>
      </c>
      <c r="AS9" s="644"/>
      <c r="AT9" s="576">
        <v>17</v>
      </c>
      <c r="AU9" s="578">
        <v>1331.590909090909</v>
      </c>
      <c r="AV9" s="578">
        <v>78.328877005347593</v>
      </c>
      <c r="AW9" s="576">
        <f t="shared" si="13"/>
        <v>3</v>
      </c>
      <c r="AX9" s="644"/>
      <c r="AZ9" s="368" t="e">
        <f t="shared" si="15"/>
        <v>#N/A</v>
      </c>
      <c r="BA9" s="644"/>
    </row>
    <row r="10" spans="1:53" ht="14.25">
      <c r="A10" s="81"/>
      <c r="B10" s="649"/>
      <c r="C10" s="526">
        <v>4</v>
      </c>
      <c r="D10" s="225" t="s">
        <v>342</v>
      </c>
      <c r="E10" s="565">
        <v>21</v>
      </c>
      <c r="F10" s="563">
        <v>1385</v>
      </c>
      <c r="G10" s="564">
        <v>65.900000000000006</v>
      </c>
      <c r="H10" s="703"/>
      <c r="I10" s="529">
        <f t="shared" si="0"/>
        <v>20.857142857142858</v>
      </c>
      <c r="J10" s="529">
        <f t="shared" si="1"/>
        <v>1305.708408395878</v>
      </c>
      <c r="K10" s="199">
        <f t="shared" si="2"/>
        <v>62.620971445123253</v>
      </c>
      <c r="L10" s="659"/>
      <c r="M10" s="552">
        <f>RANK(K10, K$7:$K$21)</f>
        <v>10</v>
      </c>
      <c r="N10" s="643"/>
      <c r="O10" s="643"/>
      <c r="P10" s="576">
        <v>21</v>
      </c>
      <c r="Q10" s="578">
        <v>1295.172413793103</v>
      </c>
      <c r="R10" s="578">
        <v>61.674876847290619</v>
      </c>
      <c r="S10" s="576">
        <v>10</v>
      </c>
      <c r="T10" s="644"/>
      <c r="U10" s="576">
        <v>21</v>
      </c>
      <c r="V10" s="578">
        <v>1294.6153846153838</v>
      </c>
      <c r="W10" s="578">
        <v>61.648351648351614</v>
      </c>
      <c r="X10" s="576">
        <f t="shared" si="3"/>
        <v>10</v>
      </c>
      <c r="Y10" s="644"/>
      <c r="Z10" s="576">
        <v>21</v>
      </c>
      <c r="AA10" s="578">
        <v>1319.3181818181818</v>
      </c>
      <c r="AB10" s="578">
        <v>62.824675324675319</v>
      </c>
      <c r="AC10" s="576">
        <f t="shared" si="5"/>
        <v>11</v>
      </c>
      <c r="AD10" s="644"/>
      <c r="AE10" s="576">
        <v>21</v>
      </c>
      <c r="AF10" s="578">
        <v>1324.6153846153861</v>
      </c>
      <c r="AG10" s="578">
        <v>63.076923076923151</v>
      </c>
      <c r="AH10" s="576">
        <f t="shared" si="7"/>
        <v>10</v>
      </c>
      <c r="AI10" s="644"/>
      <c r="AJ10" s="576">
        <v>20</v>
      </c>
      <c r="AK10" s="578">
        <v>1306.4788732394354</v>
      </c>
      <c r="AL10" s="578">
        <v>65.323943661971768</v>
      </c>
      <c r="AM10" s="576">
        <f t="shared" si="9"/>
        <v>9</v>
      </c>
      <c r="AN10" s="644"/>
      <c r="AO10" s="576">
        <v>21</v>
      </c>
      <c r="AP10" s="578">
        <v>1294.7586206896553</v>
      </c>
      <c r="AQ10" s="578">
        <v>61.65517241379311</v>
      </c>
      <c r="AR10" s="576">
        <f t="shared" si="11"/>
        <v>11</v>
      </c>
      <c r="AS10" s="644"/>
      <c r="AT10" s="576">
        <v>21</v>
      </c>
      <c r="AU10" s="578">
        <v>1305.0000000000005</v>
      </c>
      <c r="AV10" s="578">
        <v>62.142857142857167</v>
      </c>
      <c r="AW10" s="576">
        <f t="shared" si="13"/>
        <v>9</v>
      </c>
      <c r="AX10" s="644"/>
      <c r="AZ10" s="368" t="e">
        <f t="shared" si="15"/>
        <v>#N/A</v>
      </c>
      <c r="BA10" s="644"/>
    </row>
    <row r="11" spans="1:53" ht="14.25">
      <c r="A11" s="81"/>
      <c r="B11" s="649"/>
      <c r="C11" s="526">
        <v>5</v>
      </c>
      <c r="D11" s="225" t="s">
        <v>343</v>
      </c>
      <c r="E11" s="565">
        <v>19</v>
      </c>
      <c r="F11" s="563">
        <v>1440</v>
      </c>
      <c r="G11" s="564">
        <v>75.8</v>
      </c>
      <c r="H11" s="703"/>
      <c r="I11" s="529">
        <f t="shared" si="0"/>
        <v>19</v>
      </c>
      <c r="J11" s="529">
        <f t="shared" si="1"/>
        <v>1351.2020003979026</v>
      </c>
      <c r="K11" s="199">
        <f t="shared" si="2"/>
        <v>71.115894757784332</v>
      </c>
      <c r="L11" s="659"/>
      <c r="M11" s="552">
        <f>RANK(K11, K$7:$K$21)</f>
        <v>7</v>
      </c>
      <c r="N11" s="643"/>
      <c r="O11" s="643"/>
      <c r="P11" s="576">
        <v>19</v>
      </c>
      <c r="Q11" s="578">
        <v>1364.9999999999995</v>
      </c>
      <c r="R11" s="578">
        <v>71.842105263157876</v>
      </c>
      <c r="S11" s="576">
        <v>7</v>
      </c>
      <c r="T11" s="644"/>
      <c r="U11" s="576">
        <v>19</v>
      </c>
      <c r="V11" s="578">
        <v>1359.3750000000016</v>
      </c>
      <c r="W11" s="578">
        <v>71.54605263157903</v>
      </c>
      <c r="X11" s="576">
        <f t="shared" si="3"/>
        <v>7</v>
      </c>
      <c r="Y11" s="644"/>
      <c r="Z11" s="576">
        <v>19</v>
      </c>
      <c r="AA11" s="578">
        <v>1341.7241379310353</v>
      </c>
      <c r="AB11" s="578">
        <v>70.617059891107118</v>
      </c>
      <c r="AC11" s="576">
        <f t="shared" si="5"/>
        <v>9</v>
      </c>
      <c r="AD11" s="644"/>
      <c r="AE11" s="576">
        <v>19</v>
      </c>
      <c r="AF11" s="578">
        <v>1354.090909090909</v>
      </c>
      <c r="AG11" s="578">
        <v>71.267942583732051</v>
      </c>
      <c r="AH11" s="576">
        <f t="shared" si="7"/>
        <v>7</v>
      </c>
      <c r="AI11" s="644"/>
      <c r="AJ11" s="576">
        <v>19</v>
      </c>
      <c r="AK11" s="578">
        <v>1323.396226415095</v>
      </c>
      <c r="AL11" s="578">
        <v>69.652432969215525</v>
      </c>
      <c r="AM11" s="576">
        <f t="shared" si="9"/>
        <v>7</v>
      </c>
      <c r="AN11" s="644"/>
      <c r="AO11" s="576">
        <v>19</v>
      </c>
      <c r="AP11" s="578">
        <v>1366.0606060606065</v>
      </c>
      <c r="AQ11" s="578">
        <v>71.897926634768766</v>
      </c>
      <c r="AR11" s="576">
        <f t="shared" si="11"/>
        <v>7</v>
      </c>
      <c r="AS11" s="644"/>
      <c r="AT11" s="576">
        <v>19</v>
      </c>
      <c r="AU11" s="578">
        <v>1348.7671232876703</v>
      </c>
      <c r="AV11" s="578">
        <v>70.987743330930016</v>
      </c>
      <c r="AW11" s="576">
        <f t="shared" si="13"/>
        <v>7</v>
      </c>
      <c r="AX11" s="644"/>
      <c r="AZ11" s="368" t="e">
        <f t="shared" si="15"/>
        <v>#N/A</v>
      </c>
      <c r="BA11" s="644"/>
    </row>
    <row r="12" spans="1:53" ht="14.25">
      <c r="A12" s="81"/>
      <c r="B12" s="649"/>
      <c r="C12" s="526">
        <v>6</v>
      </c>
      <c r="D12" s="225" t="s">
        <v>484</v>
      </c>
      <c r="E12" s="565">
        <v>18</v>
      </c>
      <c r="F12" s="563">
        <v>1385</v>
      </c>
      <c r="G12" s="564">
        <v>76.900000000000006</v>
      </c>
      <c r="H12" s="703"/>
      <c r="I12" s="529">
        <f t="shared" si="0"/>
        <v>18</v>
      </c>
      <c r="J12" s="529">
        <f t="shared" si="1"/>
        <v>1260.7497280000002</v>
      </c>
      <c r="K12" s="199">
        <f t="shared" si="2"/>
        <v>70.041651555555561</v>
      </c>
      <c r="L12" s="659"/>
      <c r="M12" s="552">
        <f>RANK(K12, K$7:$K$21)</f>
        <v>8</v>
      </c>
      <c r="N12" s="643"/>
      <c r="O12" s="643"/>
      <c r="P12" s="576">
        <v>18</v>
      </c>
      <c r="Q12" s="578">
        <v>1291.0344827586216</v>
      </c>
      <c r="R12" s="578">
        <v>71.724137931034534</v>
      </c>
      <c r="S12" s="576">
        <v>8</v>
      </c>
      <c r="T12" s="644"/>
      <c r="U12" s="576">
        <v>18</v>
      </c>
      <c r="V12" s="578">
        <v>1284.4444444444453</v>
      </c>
      <c r="W12" s="578">
        <v>71.358024691358068</v>
      </c>
      <c r="X12" s="576">
        <f t="shared" si="3"/>
        <v>8</v>
      </c>
      <c r="Y12" s="644"/>
      <c r="Z12" s="576">
        <v>18</v>
      </c>
      <c r="AA12" s="578">
        <v>1285.882352941177</v>
      </c>
      <c r="AB12" s="578">
        <v>71.437908496732064</v>
      </c>
      <c r="AC12" s="576">
        <f t="shared" si="5"/>
        <v>7</v>
      </c>
      <c r="AD12" s="644"/>
      <c r="AE12" s="576">
        <v>18</v>
      </c>
      <c r="AF12" s="578">
        <v>1253.3333333333333</v>
      </c>
      <c r="AG12" s="578">
        <v>69.629629629629619</v>
      </c>
      <c r="AH12" s="576">
        <f t="shared" si="7"/>
        <v>8</v>
      </c>
      <c r="AI12" s="644"/>
      <c r="AJ12" s="576">
        <v>18</v>
      </c>
      <c r="AK12" s="578">
        <v>1233.1914893617022</v>
      </c>
      <c r="AL12" s="578">
        <v>68.510638297872347</v>
      </c>
      <c r="AM12" s="576">
        <f t="shared" si="9"/>
        <v>8</v>
      </c>
      <c r="AN12" s="644"/>
      <c r="AO12" s="576">
        <v>18</v>
      </c>
      <c r="AP12" s="578">
        <v>1238.2608695652161</v>
      </c>
      <c r="AQ12" s="578">
        <v>68.792270531400902</v>
      </c>
      <c r="AR12" s="576">
        <f t="shared" si="11"/>
        <v>8</v>
      </c>
      <c r="AS12" s="644"/>
      <c r="AT12" s="576">
        <v>18</v>
      </c>
      <c r="AU12" s="578">
        <v>1239.1011235955054</v>
      </c>
      <c r="AV12" s="578">
        <v>68.838951310861418</v>
      </c>
      <c r="AW12" s="576">
        <f t="shared" si="13"/>
        <v>8</v>
      </c>
      <c r="AX12" s="644"/>
      <c r="AZ12" s="368" t="e">
        <f t="shared" si="15"/>
        <v>#N/A</v>
      </c>
      <c r="BA12" s="644"/>
    </row>
    <row r="13" spans="1:53" ht="14.25">
      <c r="A13" s="81"/>
      <c r="B13" s="649"/>
      <c r="C13" s="526">
        <v>7</v>
      </c>
      <c r="D13" s="225" t="s">
        <v>502</v>
      </c>
      <c r="E13" s="565">
        <v>16</v>
      </c>
      <c r="F13" s="563">
        <v>1440</v>
      </c>
      <c r="G13" s="564">
        <v>90</v>
      </c>
      <c r="H13" s="703"/>
      <c r="I13" s="529">
        <f t="shared" si="0"/>
        <v>16</v>
      </c>
      <c r="J13" s="529">
        <f t="shared" si="1"/>
        <v>1341.2324711872373</v>
      </c>
      <c r="K13" s="199">
        <f t="shared" si="2"/>
        <v>83.827029449202328</v>
      </c>
      <c r="L13" s="659"/>
      <c r="M13" s="552">
        <f>RANK(K13, K$7:$K$21)</f>
        <v>1</v>
      </c>
      <c r="N13" s="643"/>
      <c r="O13" s="643"/>
      <c r="P13" s="576">
        <v>16</v>
      </c>
      <c r="Q13" s="578">
        <v>1366.9090909090917</v>
      </c>
      <c r="R13" s="578">
        <v>85.43181818181823</v>
      </c>
      <c r="S13" s="576">
        <v>1</v>
      </c>
      <c r="T13" s="644"/>
      <c r="U13" s="576">
        <v>16</v>
      </c>
      <c r="V13" s="578">
        <v>1321.5254237288129</v>
      </c>
      <c r="W13" s="578">
        <v>82.595338983050809</v>
      </c>
      <c r="X13" s="576">
        <f t="shared" si="3"/>
        <v>1</v>
      </c>
      <c r="Y13" s="644"/>
      <c r="Z13" s="576">
        <v>16</v>
      </c>
      <c r="AA13" s="578">
        <v>1324.5957446808516</v>
      </c>
      <c r="AB13" s="578">
        <v>82.787234042553223</v>
      </c>
      <c r="AC13" s="576">
        <f t="shared" si="5"/>
        <v>1</v>
      </c>
      <c r="AD13" s="644"/>
      <c r="AE13" s="576">
        <v>16</v>
      </c>
      <c r="AF13" s="578">
        <v>1333.6708860759486</v>
      </c>
      <c r="AG13" s="578">
        <v>83.354430379746788</v>
      </c>
      <c r="AH13" s="576">
        <f t="shared" si="7"/>
        <v>1</v>
      </c>
      <c r="AI13" s="644"/>
      <c r="AJ13" s="576">
        <v>16</v>
      </c>
      <c r="AK13" s="578">
        <v>1339.5652173913043</v>
      </c>
      <c r="AL13" s="578">
        <v>83.722826086956516</v>
      </c>
      <c r="AM13" s="576">
        <f t="shared" si="9"/>
        <v>1</v>
      </c>
      <c r="AN13" s="644"/>
      <c r="AO13" s="576">
        <v>16</v>
      </c>
      <c r="AP13" s="578">
        <v>1355.5752212389391</v>
      </c>
      <c r="AQ13" s="578">
        <v>84.723451327433693</v>
      </c>
      <c r="AR13" s="576">
        <f t="shared" si="11"/>
        <v>1</v>
      </c>
      <c r="AS13" s="644"/>
      <c r="AT13" s="576">
        <v>16</v>
      </c>
      <c r="AU13" s="578">
        <v>1346.7857142857133</v>
      </c>
      <c r="AV13" s="578">
        <v>84.174107142857082</v>
      </c>
      <c r="AW13" s="576">
        <f t="shared" si="13"/>
        <v>2</v>
      </c>
      <c r="AX13" s="644"/>
      <c r="AZ13" s="368" t="e">
        <f t="shared" si="15"/>
        <v>#N/A</v>
      </c>
      <c r="BA13" s="644"/>
    </row>
    <row r="14" spans="1:53" ht="14.25">
      <c r="A14" s="81"/>
      <c r="B14" s="649"/>
      <c r="C14" s="526">
        <v>8</v>
      </c>
      <c r="D14" s="225" t="s">
        <v>552</v>
      </c>
      <c r="E14" s="565">
        <v>19</v>
      </c>
      <c r="F14" s="563">
        <v>1636</v>
      </c>
      <c r="G14" s="564">
        <v>86.1</v>
      </c>
      <c r="H14" s="703"/>
      <c r="I14" s="529">
        <f t="shared" si="0"/>
        <v>19</v>
      </c>
      <c r="J14" s="529">
        <f t="shared" si="1"/>
        <v>1393.0717280078829</v>
      </c>
      <c r="K14" s="199">
        <f t="shared" si="2"/>
        <v>73.319564631993856</v>
      </c>
      <c r="L14" s="659"/>
      <c r="M14" s="552">
        <f>RANK(K14, K$7:$K$21)</f>
        <v>6</v>
      </c>
      <c r="N14" s="643"/>
      <c r="O14" s="643"/>
      <c r="P14" s="576">
        <v>19</v>
      </c>
      <c r="Q14" s="578">
        <v>1383.9999999999998</v>
      </c>
      <c r="R14" s="578">
        <v>72.842105263157876</v>
      </c>
      <c r="S14" s="576">
        <v>6</v>
      </c>
      <c r="T14" s="644"/>
      <c r="U14" s="576">
        <v>19</v>
      </c>
      <c r="V14" s="578">
        <v>1393.9119170984454</v>
      </c>
      <c r="W14" s="578">
        <v>73.363785110444496</v>
      </c>
      <c r="X14" s="576">
        <f t="shared" si="3"/>
        <v>6</v>
      </c>
      <c r="Y14" s="644"/>
      <c r="Z14" s="576">
        <v>19</v>
      </c>
      <c r="AA14" s="578">
        <v>1388.1999999999998</v>
      </c>
      <c r="AB14" s="578">
        <v>73.063157894736833</v>
      </c>
      <c r="AC14" s="576">
        <f t="shared" si="5"/>
        <v>6</v>
      </c>
      <c r="AD14" s="644"/>
      <c r="AE14" s="576">
        <v>19</v>
      </c>
      <c r="AF14" s="578">
        <v>1401.0937499999998</v>
      </c>
      <c r="AG14" s="578">
        <v>73.741776315789465</v>
      </c>
      <c r="AH14" s="576">
        <f t="shared" si="7"/>
        <v>6</v>
      </c>
      <c r="AI14" s="644"/>
      <c r="AJ14" s="576">
        <v>19</v>
      </c>
      <c r="AK14" s="578">
        <v>1416.5217391304348</v>
      </c>
      <c r="AL14" s="578">
        <v>74.553775743707092</v>
      </c>
      <c r="AM14" s="576">
        <f t="shared" si="9"/>
        <v>5</v>
      </c>
      <c r="AN14" s="644"/>
      <c r="AO14" s="576">
        <v>19</v>
      </c>
      <c r="AP14" s="578">
        <v>1386.9230769230771</v>
      </c>
      <c r="AQ14" s="578">
        <v>72.995951417004065</v>
      </c>
      <c r="AR14" s="576">
        <f t="shared" si="11"/>
        <v>5</v>
      </c>
      <c r="AS14" s="644"/>
      <c r="AT14" s="576">
        <v>19</v>
      </c>
      <c r="AU14" s="578">
        <v>1380.8516129032259</v>
      </c>
      <c r="AV14" s="578">
        <v>72.676400679117151</v>
      </c>
      <c r="AW14" s="576">
        <f t="shared" si="13"/>
        <v>6</v>
      </c>
      <c r="AX14" s="644"/>
      <c r="AZ14" s="368" t="e">
        <f t="shared" si="15"/>
        <v>#N/A</v>
      </c>
      <c r="BA14" s="644"/>
    </row>
    <row r="15" spans="1:53" ht="14.25">
      <c r="A15" s="81"/>
      <c r="B15" s="649"/>
      <c r="C15" s="526">
        <v>9</v>
      </c>
      <c r="D15" s="225" t="s">
        <v>567</v>
      </c>
      <c r="E15" s="565">
        <v>16</v>
      </c>
      <c r="F15" s="563">
        <v>1440</v>
      </c>
      <c r="G15" s="564">
        <v>84.7</v>
      </c>
      <c r="H15" s="703"/>
      <c r="I15" s="529">
        <f t="shared" si="0"/>
        <v>15.857142857142858</v>
      </c>
      <c r="J15" s="529">
        <f t="shared" si="1"/>
        <v>1308.9599331467741</v>
      </c>
      <c r="K15" s="199">
        <f t="shared" si="2"/>
        <v>82.592842537001843</v>
      </c>
      <c r="L15" s="659"/>
      <c r="M15" s="552">
        <f>RANK(K15, K$7:$K$21)</f>
        <v>2</v>
      </c>
      <c r="N15" s="643"/>
      <c r="O15" s="643"/>
      <c r="P15" s="576">
        <v>16</v>
      </c>
      <c r="Q15" s="578">
        <v>1315</v>
      </c>
      <c r="R15" s="578">
        <v>82.1875</v>
      </c>
      <c r="S15" s="576">
        <v>2</v>
      </c>
      <c r="T15" s="644"/>
      <c r="U15" s="576">
        <v>16</v>
      </c>
      <c r="V15" s="578">
        <v>1315.0819672131151</v>
      </c>
      <c r="W15" s="578">
        <v>82.192622950819697</v>
      </c>
      <c r="X15" s="576">
        <f t="shared" si="3"/>
        <v>2</v>
      </c>
      <c r="Y15" s="644"/>
      <c r="Z15" s="576">
        <v>16</v>
      </c>
      <c r="AA15" s="578">
        <v>1311.7948717948721</v>
      </c>
      <c r="AB15" s="578">
        <v>81.987179487179503</v>
      </c>
      <c r="AC15" s="576">
        <f t="shared" si="5"/>
        <v>2</v>
      </c>
      <c r="AD15" s="644"/>
      <c r="AE15" s="576">
        <v>16</v>
      </c>
      <c r="AF15" s="578">
        <v>1293.7500000000005</v>
      </c>
      <c r="AG15" s="578">
        <v>80.859375000000028</v>
      </c>
      <c r="AH15" s="576">
        <f t="shared" si="7"/>
        <v>2</v>
      </c>
      <c r="AI15" s="644"/>
      <c r="AJ15" s="576">
        <v>16</v>
      </c>
      <c r="AK15" s="578">
        <v>1319.3750000000005</v>
      </c>
      <c r="AL15" s="578">
        <v>82.460937500000028</v>
      </c>
      <c r="AM15" s="576">
        <f t="shared" si="9"/>
        <v>2</v>
      </c>
      <c r="AN15" s="644"/>
      <c r="AO15" s="576">
        <v>16</v>
      </c>
      <c r="AP15" s="578">
        <v>1292.5352112676051</v>
      </c>
      <c r="AQ15" s="578">
        <v>80.783450704225316</v>
      </c>
      <c r="AR15" s="576">
        <f t="shared" si="11"/>
        <v>2</v>
      </c>
      <c r="AS15" s="644"/>
      <c r="AT15" s="576">
        <v>15</v>
      </c>
      <c r="AU15" s="578">
        <v>1315.1824817518257</v>
      </c>
      <c r="AV15" s="578">
        <v>87.678832116788371</v>
      </c>
      <c r="AW15" s="576">
        <f t="shared" si="13"/>
        <v>1</v>
      </c>
      <c r="AX15" s="644"/>
      <c r="AZ15" s="368" t="e">
        <f t="shared" si="15"/>
        <v>#N/A</v>
      </c>
      <c r="BA15" s="644"/>
    </row>
    <row r="16" spans="1:53" ht="14.25">
      <c r="A16" s="81"/>
      <c r="B16" s="649"/>
      <c r="C16" s="526">
        <v>10</v>
      </c>
      <c r="D16" s="225" t="s">
        <v>694</v>
      </c>
      <c r="E16" s="565">
        <v>20</v>
      </c>
      <c r="F16" s="563">
        <v>1385</v>
      </c>
      <c r="G16" s="564">
        <v>69.25</v>
      </c>
      <c r="H16" s="703"/>
      <c r="I16" s="529">
        <f t="shared" si="0"/>
        <v>20</v>
      </c>
      <c r="J16" s="529">
        <f t="shared" si="1"/>
        <v>1261.8919599355504</v>
      </c>
      <c r="K16" s="199">
        <f t="shared" si="2"/>
        <v>63.09459799677753</v>
      </c>
      <c r="L16" s="659"/>
      <c r="M16" s="552">
        <f>RANK(K16, K$7:$K$21)</f>
        <v>9</v>
      </c>
      <c r="N16" s="643"/>
      <c r="O16" s="643"/>
      <c r="P16" s="576">
        <v>20</v>
      </c>
      <c r="Q16" s="578">
        <v>1274.2105263157887</v>
      </c>
      <c r="R16" s="578">
        <v>63.710526315789437</v>
      </c>
      <c r="S16" s="576">
        <v>9</v>
      </c>
      <c r="T16" s="644"/>
      <c r="U16" s="576">
        <v>20</v>
      </c>
      <c r="V16" s="578">
        <v>1251.0638297872342</v>
      </c>
      <c r="W16" s="578">
        <v>62.553191489361708</v>
      </c>
      <c r="X16" s="576">
        <f t="shared" si="3"/>
        <v>9</v>
      </c>
      <c r="Y16" s="644"/>
      <c r="Z16" s="576">
        <v>20</v>
      </c>
      <c r="AA16" s="578">
        <v>1285.1162790697672</v>
      </c>
      <c r="AB16" s="578">
        <v>64.255813953488357</v>
      </c>
      <c r="AC16" s="576">
        <f t="shared" si="5"/>
        <v>10</v>
      </c>
      <c r="AD16" s="644"/>
      <c r="AE16" s="576">
        <v>20</v>
      </c>
      <c r="AF16" s="578">
        <v>1270.4999999999995</v>
      </c>
      <c r="AG16" s="578">
        <v>63.524999999999977</v>
      </c>
      <c r="AH16" s="576">
        <f t="shared" si="7"/>
        <v>9</v>
      </c>
      <c r="AI16" s="644"/>
      <c r="AJ16" s="576">
        <v>20</v>
      </c>
      <c r="AK16" s="578">
        <v>1263.1578947368412</v>
      </c>
      <c r="AL16" s="578">
        <v>63.15789473684206</v>
      </c>
      <c r="AM16" s="576">
        <f t="shared" si="9"/>
        <v>10</v>
      </c>
      <c r="AN16" s="644"/>
      <c r="AO16" s="576">
        <v>20</v>
      </c>
      <c r="AP16" s="578">
        <v>1252.1739130434783</v>
      </c>
      <c r="AQ16" s="578">
        <v>62.608695652173914</v>
      </c>
      <c r="AR16" s="576">
        <f t="shared" si="11"/>
        <v>10</v>
      </c>
      <c r="AS16" s="644"/>
      <c r="AT16" s="576">
        <v>20</v>
      </c>
      <c r="AU16" s="578">
        <v>1237.0212765957449</v>
      </c>
      <c r="AV16" s="578">
        <v>61.851063829787243</v>
      </c>
      <c r="AW16" s="576">
        <f t="shared" si="13"/>
        <v>10</v>
      </c>
      <c r="AX16" s="644"/>
      <c r="AZ16" s="368" t="e">
        <f t="shared" si="15"/>
        <v>#N/A</v>
      </c>
      <c r="BA16" s="644"/>
    </row>
    <row r="17" spans="2:53">
      <c r="B17" s="649"/>
      <c r="C17" s="526">
        <v>11</v>
      </c>
      <c r="D17" s="225" t="s">
        <v>687</v>
      </c>
      <c r="E17" s="565">
        <v>19</v>
      </c>
      <c r="F17" s="563">
        <v>1385</v>
      </c>
      <c r="G17" s="564">
        <v>72.89473684210526</v>
      </c>
      <c r="H17" s="703"/>
      <c r="I17" s="529">
        <f t="shared" si="0"/>
        <v>19</v>
      </c>
      <c r="J17" s="529">
        <f t="shared" si="1"/>
        <v>1142.304491669626</v>
      </c>
      <c r="K17" s="199">
        <f t="shared" si="2"/>
        <v>60.121289035243485</v>
      </c>
      <c r="L17" s="659"/>
      <c r="M17" s="552">
        <f>RANK(K17, K$7:$K$21)</f>
        <v>11</v>
      </c>
      <c r="N17" s="643"/>
      <c r="O17" s="643"/>
      <c r="P17" s="576">
        <v>19</v>
      </c>
      <c r="Q17" s="578">
        <v>1077.4999999999968</v>
      </c>
      <c r="R17" s="578">
        <v>56.710526315789309</v>
      </c>
      <c r="S17" s="576">
        <v>11</v>
      </c>
      <c r="T17" s="644"/>
      <c r="U17" s="576">
        <v>19</v>
      </c>
      <c r="V17" s="578">
        <v>1067.5862068965496</v>
      </c>
      <c r="W17" s="578">
        <v>56.188747731397349</v>
      </c>
      <c r="X17" s="576">
        <f t="shared" si="3"/>
        <v>11</v>
      </c>
      <c r="Y17" s="644"/>
      <c r="Z17" s="576">
        <v>19</v>
      </c>
      <c r="AA17" s="578">
        <v>1344.9999999999959</v>
      </c>
      <c r="AB17" s="578">
        <v>70.789473684210307</v>
      </c>
      <c r="AC17" s="576">
        <f t="shared" si="5"/>
        <v>8</v>
      </c>
      <c r="AD17" s="644"/>
      <c r="AE17" s="576">
        <v>19</v>
      </c>
      <c r="AF17" s="578">
        <v>1065.7142857142896</v>
      </c>
      <c r="AG17" s="578">
        <v>56.090225563909982</v>
      </c>
      <c r="AH17" s="576">
        <f t="shared" si="7"/>
        <v>11</v>
      </c>
      <c r="AI17" s="644"/>
      <c r="AJ17" s="576">
        <v>19</v>
      </c>
      <c r="AK17" s="578">
        <v>1111.7647058823568</v>
      </c>
      <c r="AL17" s="578">
        <v>58.513931888545095</v>
      </c>
      <c r="AM17" s="576">
        <f t="shared" si="9"/>
        <v>11</v>
      </c>
      <c r="AN17" s="644"/>
      <c r="AO17" s="576">
        <v>19</v>
      </c>
      <c r="AP17" s="578">
        <v>1256.8421052631622</v>
      </c>
      <c r="AQ17" s="578">
        <v>66.149584487534852</v>
      </c>
      <c r="AR17" s="576">
        <f t="shared" si="11"/>
        <v>9</v>
      </c>
      <c r="AS17" s="644"/>
      <c r="AT17" s="576">
        <v>19</v>
      </c>
      <c r="AU17" s="578">
        <v>1071.7241379310324</v>
      </c>
      <c r="AV17" s="578">
        <v>56.406533575317496</v>
      </c>
      <c r="AW17" s="576">
        <f t="shared" si="13"/>
        <v>11</v>
      </c>
      <c r="AX17" s="644"/>
      <c r="AZ17" s="368" t="e">
        <f t="shared" si="15"/>
        <v>#N/A</v>
      </c>
      <c r="BA17" s="644"/>
    </row>
    <row r="18" spans="2:53">
      <c r="B18" s="649"/>
      <c r="C18" s="526">
        <v>12</v>
      </c>
      <c r="D18" s="225"/>
      <c r="E18" s="565"/>
      <c r="F18" s="563"/>
      <c r="G18" s="564"/>
      <c r="H18" s="703"/>
      <c r="I18" s="529" t="str">
        <f t="shared" si="0"/>
        <v>-</v>
      </c>
      <c r="J18" s="529" t="str">
        <f t="shared" si="1"/>
        <v>-</v>
      </c>
      <c r="K18" s="199" t="str">
        <f t="shared" si="2"/>
        <v>-</v>
      </c>
      <c r="L18" s="659"/>
      <c r="M18" s="552" t="e">
        <f>RANK(K18, K$7:$K$21)</f>
        <v>#VALUE!</v>
      </c>
      <c r="N18" s="643"/>
      <c r="O18" s="643"/>
      <c r="P18" s="576" t="s">
        <v>564</v>
      </c>
      <c r="Q18" s="578" t="s">
        <v>564</v>
      </c>
      <c r="R18" s="578" t="s">
        <v>564</v>
      </c>
      <c r="S18" s="576" t="e">
        <v>#VALUE!</v>
      </c>
      <c r="T18" s="644"/>
      <c r="U18" s="576" t="s">
        <v>564</v>
      </c>
      <c r="V18" s="578" t="s">
        <v>564</v>
      </c>
      <c r="W18" s="578" t="s">
        <v>564</v>
      </c>
      <c r="X18" s="576" t="e">
        <f t="shared" si="3"/>
        <v>#VALUE!</v>
      </c>
      <c r="Y18" s="644"/>
      <c r="Z18" s="576" t="s">
        <v>564</v>
      </c>
      <c r="AA18" s="578" t="s">
        <v>564</v>
      </c>
      <c r="AB18" s="578" t="s">
        <v>564</v>
      </c>
      <c r="AC18" s="576" t="e">
        <f t="shared" si="5"/>
        <v>#VALUE!</v>
      </c>
      <c r="AD18" s="644"/>
      <c r="AE18" s="576" t="s">
        <v>564</v>
      </c>
      <c r="AF18" s="578" t="s">
        <v>564</v>
      </c>
      <c r="AG18" s="578" t="s">
        <v>564</v>
      </c>
      <c r="AH18" s="576" t="e">
        <f t="shared" si="7"/>
        <v>#VALUE!</v>
      </c>
      <c r="AI18" s="644"/>
      <c r="AJ18" s="576" t="s">
        <v>564</v>
      </c>
      <c r="AK18" s="578" t="s">
        <v>564</v>
      </c>
      <c r="AL18" s="578" t="s">
        <v>564</v>
      </c>
      <c r="AM18" s="576" t="e">
        <f t="shared" si="9"/>
        <v>#VALUE!</v>
      </c>
      <c r="AN18" s="644"/>
      <c r="AO18" s="576" t="s">
        <v>564</v>
      </c>
      <c r="AP18" s="578" t="s">
        <v>564</v>
      </c>
      <c r="AQ18" s="578" t="s">
        <v>564</v>
      </c>
      <c r="AR18" s="576" t="e">
        <f t="shared" si="11"/>
        <v>#VALUE!</v>
      </c>
      <c r="AS18" s="644"/>
      <c r="AT18" s="576" t="s">
        <v>564</v>
      </c>
      <c r="AU18" s="578" t="s">
        <v>564</v>
      </c>
      <c r="AV18" s="578" t="s">
        <v>564</v>
      </c>
      <c r="AW18" s="576" t="e">
        <f t="shared" si="13"/>
        <v>#VALUE!</v>
      </c>
      <c r="AX18" s="644"/>
      <c r="AZ18" s="368" t="e">
        <f t="shared" si="15"/>
        <v>#N/A</v>
      </c>
      <c r="BA18" s="644"/>
    </row>
    <row r="19" spans="2:53">
      <c r="B19" s="649"/>
      <c r="C19" s="526">
        <v>13</v>
      </c>
      <c r="D19" s="225"/>
      <c r="E19" s="565"/>
      <c r="F19" s="563"/>
      <c r="G19" s="564"/>
      <c r="H19" s="703"/>
      <c r="I19" s="529" t="str">
        <f t="shared" si="0"/>
        <v>-</v>
      </c>
      <c r="J19" s="529" t="str">
        <f t="shared" si="1"/>
        <v>-</v>
      </c>
      <c r="K19" s="199" t="str">
        <f t="shared" si="2"/>
        <v>-</v>
      </c>
      <c r="L19" s="659"/>
      <c r="M19" s="552" t="e">
        <f>RANK(K19, K$7:$K$21)</f>
        <v>#VALUE!</v>
      </c>
      <c r="N19" s="643"/>
      <c r="O19" s="643"/>
      <c r="P19" s="576" t="s">
        <v>564</v>
      </c>
      <c r="Q19" s="578" t="s">
        <v>564</v>
      </c>
      <c r="R19" s="578" t="s">
        <v>564</v>
      </c>
      <c r="S19" s="576" t="e">
        <v>#VALUE!</v>
      </c>
      <c r="T19" s="644"/>
      <c r="U19" s="576" t="s">
        <v>564</v>
      </c>
      <c r="V19" s="578" t="s">
        <v>564</v>
      </c>
      <c r="W19" s="578" t="s">
        <v>564</v>
      </c>
      <c r="X19" s="576" t="e">
        <f t="shared" si="3"/>
        <v>#VALUE!</v>
      </c>
      <c r="Y19" s="644"/>
      <c r="Z19" s="576" t="s">
        <v>564</v>
      </c>
      <c r="AA19" s="578" t="s">
        <v>564</v>
      </c>
      <c r="AB19" s="578" t="s">
        <v>564</v>
      </c>
      <c r="AC19" s="576" t="e">
        <f t="shared" si="5"/>
        <v>#VALUE!</v>
      </c>
      <c r="AD19" s="644"/>
      <c r="AE19" s="576" t="s">
        <v>564</v>
      </c>
      <c r="AF19" s="578" t="s">
        <v>564</v>
      </c>
      <c r="AG19" s="578" t="s">
        <v>564</v>
      </c>
      <c r="AH19" s="576" t="e">
        <f t="shared" si="7"/>
        <v>#VALUE!</v>
      </c>
      <c r="AI19" s="644"/>
      <c r="AJ19" s="576" t="s">
        <v>564</v>
      </c>
      <c r="AK19" s="578" t="s">
        <v>564</v>
      </c>
      <c r="AL19" s="578" t="s">
        <v>564</v>
      </c>
      <c r="AM19" s="576" t="e">
        <f t="shared" si="9"/>
        <v>#VALUE!</v>
      </c>
      <c r="AN19" s="644"/>
      <c r="AO19" s="576" t="s">
        <v>564</v>
      </c>
      <c r="AP19" s="578" t="s">
        <v>564</v>
      </c>
      <c r="AQ19" s="578" t="s">
        <v>564</v>
      </c>
      <c r="AR19" s="576" t="e">
        <f t="shared" si="11"/>
        <v>#VALUE!</v>
      </c>
      <c r="AS19" s="644"/>
      <c r="AT19" s="576" t="s">
        <v>564</v>
      </c>
      <c r="AU19" s="578" t="s">
        <v>564</v>
      </c>
      <c r="AV19" s="578" t="s">
        <v>564</v>
      </c>
      <c r="AW19" s="576" t="e">
        <f t="shared" si="13"/>
        <v>#VALUE!</v>
      </c>
      <c r="AX19" s="644"/>
      <c r="AZ19" s="368" t="e">
        <f t="shared" si="15"/>
        <v>#N/A</v>
      </c>
      <c r="BA19" s="644"/>
    </row>
    <row r="20" spans="2:53">
      <c r="B20" s="649"/>
      <c r="C20" s="526">
        <v>14</v>
      </c>
      <c r="D20" s="225"/>
      <c r="E20" s="565"/>
      <c r="F20" s="563"/>
      <c r="G20" s="564"/>
      <c r="H20" s="703"/>
      <c r="I20" s="529" t="str">
        <f t="shared" si="0"/>
        <v>-</v>
      </c>
      <c r="J20" s="529" t="str">
        <f t="shared" si="1"/>
        <v>-</v>
      </c>
      <c r="K20" s="199" t="str">
        <f t="shared" si="2"/>
        <v>-</v>
      </c>
      <c r="L20" s="659"/>
      <c r="M20" s="552" t="e">
        <f>RANK(K20, K$7:$K$21)</f>
        <v>#VALUE!</v>
      </c>
      <c r="N20" s="643"/>
      <c r="O20" s="643"/>
      <c r="P20" s="576" t="s">
        <v>564</v>
      </c>
      <c r="Q20" s="578" t="s">
        <v>564</v>
      </c>
      <c r="R20" s="578" t="s">
        <v>564</v>
      </c>
      <c r="S20" s="576" t="e">
        <v>#VALUE!</v>
      </c>
      <c r="T20" s="644"/>
      <c r="U20" s="576" t="s">
        <v>564</v>
      </c>
      <c r="V20" s="578" t="s">
        <v>564</v>
      </c>
      <c r="W20" s="578" t="s">
        <v>564</v>
      </c>
      <c r="X20" s="576" t="e">
        <f t="shared" si="3"/>
        <v>#VALUE!</v>
      </c>
      <c r="Y20" s="644"/>
      <c r="Z20" s="576" t="s">
        <v>564</v>
      </c>
      <c r="AA20" s="578" t="s">
        <v>564</v>
      </c>
      <c r="AB20" s="578" t="s">
        <v>564</v>
      </c>
      <c r="AC20" s="576" t="e">
        <f t="shared" si="5"/>
        <v>#VALUE!</v>
      </c>
      <c r="AD20" s="644"/>
      <c r="AE20" s="576" t="s">
        <v>564</v>
      </c>
      <c r="AF20" s="578" t="s">
        <v>564</v>
      </c>
      <c r="AG20" s="578" t="s">
        <v>564</v>
      </c>
      <c r="AH20" s="576" t="e">
        <f t="shared" si="7"/>
        <v>#VALUE!</v>
      </c>
      <c r="AI20" s="644"/>
      <c r="AJ20" s="576" t="s">
        <v>564</v>
      </c>
      <c r="AK20" s="578" t="s">
        <v>564</v>
      </c>
      <c r="AL20" s="578" t="s">
        <v>564</v>
      </c>
      <c r="AM20" s="576" t="e">
        <f t="shared" si="9"/>
        <v>#VALUE!</v>
      </c>
      <c r="AN20" s="644"/>
      <c r="AO20" s="576" t="s">
        <v>564</v>
      </c>
      <c r="AP20" s="578" t="s">
        <v>564</v>
      </c>
      <c r="AQ20" s="578" t="s">
        <v>564</v>
      </c>
      <c r="AR20" s="576" t="e">
        <f t="shared" si="11"/>
        <v>#VALUE!</v>
      </c>
      <c r="AS20" s="644"/>
      <c r="AT20" s="576" t="s">
        <v>564</v>
      </c>
      <c r="AU20" s="578" t="s">
        <v>564</v>
      </c>
      <c r="AV20" s="578" t="s">
        <v>564</v>
      </c>
      <c r="AW20" s="576" t="e">
        <f t="shared" si="13"/>
        <v>#VALUE!</v>
      </c>
      <c r="AX20" s="644"/>
      <c r="AZ20" s="368" t="e">
        <f t="shared" si="15"/>
        <v>#N/A</v>
      </c>
      <c r="BA20" s="644"/>
    </row>
    <row r="21" spans="2:53">
      <c r="B21" s="649"/>
      <c r="C21" s="526">
        <v>15</v>
      </c>
      <c r="D21" s="225"/>
      <c r="E21" s="565"/>
      <c r="F21" s="563"/>
      <c r="G21" s="564"/>
      <c r="H21" s="704"/>
      <c r="I21" s="529" t="str">
        <f t="shared" si="0"/>
        <v>-</v>
      </c>
      <c r="J21" s="529" t="str">
        <f t="shared" si="1"/>
        <v>-</v>
      </c>
      <c r="K21" s="199" t="str">
        <f t="shared" si="2"/>
        <v>-</v>
      </c>
      <c r="L21" s="660"/>
      <c r="M21" s="552" t="e">
        <f>RANK(K21, K$7:$K$21)</f>
        <v>#VALUE!</v>
      </c>
      <c r="N21" s="643"/>
      <c r="O21" s="643"/>
      <c r="P21" s="576" t="s">
        <v>564</v>
      </c>
      <c r="Q21" s="578" t="s">
        <v>564</v>
      </c>
      <c r="R21" s="578" t="s">
        <v>564</v>
      </c>
      <c r="S21" s="576" t="e">
        <v>#VALUE!</v>
      </c>
      <c r="T21" s="644"/>
      <c r="U21" s="576" t="s">
        <v>564</v>
      </c>
      <c r="V21" s="578" t="s">
        <v>564</v>
      </c>
      <c r="W21" s="578" t="s">
        <v>564</v>
      </c>
      <c r="X21" s="576" t="e">
        <f t="shared" si="3"/>
        <v>#VALUE!</v>
      </c>
      <c r="Y21" s="644"/>
      <c r="Z21" s="576" t="s">
        <v>564</v>
      </c>
      <c r="AA21" s="578" t="s">
        <v>564</v>
      </c>
      <c r="AB21" s="578" t="s">
        <v>564</v>
      </c>
      <c r="AC21" s="576" t="e">
        <f t="shared" si="5"/>
        <v>#VALUE!</v>
      </c>
      <c r="AD21" s="644"/>
      <c r="AE21" s="576" t="s">
        <v>564</v>
      </c>
      <c r="AF21" s="578" t="s">
        <v>564</v>
      </c>
      <c r="AG21" s="578" t="s">
        <v>564</v>
      </c>
      <c r="AH21" s="576" t="e">
        <f t="shared" si="7"/>
        <v>#VALUE!</v>
      </c>
      <c r="AI21" s="644"/>
      <c r="AJ21" s="576" t="s">
        <v>564</v>
      </c>
      <c r="AK21" s="578" t="s">
        <v>564</v>
      </c>
      <c r="AL21" s="578" t="s">
        <v>564</v>
      </c>
      <c r="AM21" s="576" t="e">
        <f t="shared" si="9"/>
        <v>#VALUE!</v>
      </c>
      <c r="AN21" s="644"/>
      <c r="AO21" s="576" t="s">
        <v>564</v>
      </c>
      <c r="AP21" s="578" t="s">
        <v>564</v>
      </c>
      <c r="AQ21" s="578" t="s">
        <v>564</v>
      </c>
      <c r="AR21" s="576" t="e">
        <f t="shared" si="11"/>
        <v>#VALUE!</v>
      </c>
      <c r="AS21" s="644"/>
      <c r="AT21" s="576" t="s">
        <v>564</v>
      </c>
      <c r="AU21" s="578" t="s">
        <v>564</v>
      </c>
      <c r="AV21" s="578" t="s">
        <v>564</v>
      </c>
      <c r="AW21" s="576" t="e">
        <f t="shared" si="13"/>
        <v>#VALUE!</v>
      </c>
      <c r="AX21" s="644"/>
      <c r="AZ21" s="368" t="e">
        <f t="shared" si="15"/>
        <v>#N/A</v>
      </c>
      <c r="BA21" s="644"/>
    </row>
    <row r="22" spans="2:53" ht="15.75">
      <c r="B22" s="682" t="s">
        <v>162</v>
      </c>
      <c r="C22" s="683"/>
      <c r="D22" s="683"/>
      <c r="E22" s="683"/>
      <c r="F22" s="683"/>
      <c r="G22" s="683"/>
      <c r="H22" s="683"/>
      <c r="I22" s="202"/>
      <c r="J22" s="202"/>
      <c r="K22" s="202"/>
      <c r="L22" s="202"/>
      <c r="M22" s="203"/>
      <c r="N22" s="645" t="s">
        <v>156</v>
      </c>
      <c r="O22" s="645" t="s">
        <v>105</v>
      </c>
      <c r="P22" s="670">
        <f>P2+7</f>
        <v>46273</v>
      </c>
      <c r="Q22" s="649"/>
      <c r="R22" s="649"/>
      <c r="S22" s="649"/>
      <c r="T22" s="649"/>
      <c r="U22" s="667">
        <f>P22+1</f>
        <v>46274</v>
      </c>
      <c r="V22" s="668"/>
      <c r="W22" s="668"/>
      <c r="X22" s="668"/>
      <c r="Y22" s="669"/>
      <c r="Z22" s="667">
        <f>U22+1</f>
        <v>46275</v>
      </c>
      <c r="AA22" s="668"/>
      <c r="AB22" s="668"/>
      <c r="AC22" s="668"/>
      <c r="AD22" s="669"/>
      <c r="AE22" s="667">
        <f>Z22+1</f>
        <v>46276</v>
      </c>
      <c r="AF22" s="668"/>
      <c r="AG22" s="668"/>
      <c r="AH22" s="668"/>
      <c r="AI22" s="669"/>
      <c r="AJ22" s="667">
        <f>AE22+1</f>
        <v>46277</v>
      </c>
      <c r="AK22" s="668"/>
      <c r="AL22" s="668"/>
      <c r="AM22" s="668"/>
      <c r="AN22" s="669"/>
      <c r="AO22" s="667">
        <f>AJ22+1</f>
        <v>46278</v>
      </c>
      <c r="AP22" s="668"/>
      <c r="AQ22" s="668"/>
      <c r="AR22" s="668"/>
      <c r="AS22" s="669"/>
      <c r="AT22" s="667">
        <f>AO22+1</f>
        <v>46279</v>
      </c>
      <c r="AU22" s="668"/>
      <c r="AV22" s="668"/>
      <c r="AW22" s="668"/>
      <c r="AX22" s="669"/>
    </row>
    <row r="23" spans="2:53" ht="15.75">
      <c r="B23" s="674"/>
      <c r="C23" s="674"/>
      <c r="D23" s="674"/>
      <c r="E23" s="674"/>
      <c r="F23" s="674"/>
      <c r="G23" s="674"/>
      <c r="H23" s="674"/>
      <c r="I23" s="204"/>
      <c r="J23" s="204"/>
      <c r="K23" s="204"/>
      <c r="L23" s="204"/>
      <c r="M23" s="205"/>
      <c r="N23" s="647"/>
      <c r="O23" s="647"/>
      <c r="P23" s="670" t="s">
        <v>317</v>
      </c>
      <c r="Q23" s="649"/>
      <c r="R23" s="649"/>
      <c r="S23" s="649"/>
      <c r="T23" s="649"/>
      <c r="U23" s="670" t="s">
        <v>318</v>
      </c>
      <c r="V23" s="649"/>
      <c r="W23" s="649"/>
      <c r="X23" s="649"/>
      <c r="Y23" s="649"/>
      <c r="Z23" s="670" t="s">
        <v>319</v>
      </c>
      <c r="AA23" s="649"/>
      <c r="AB23" s="649"/>
      <c r="AC23" s="649"/>
      <c r="AD23" s="649"/>
      <c r="AE23" s="670" t="s">
        <v>320</v>
      </c>
      <c r="AF23" s="649"/>
      <c r="AG23" s="649"/>
      <c r="AH23" s="649"/>
      <c r="AI23" s="649"/>
      <c r="AJ23" s="670" t="s">
        <v>321</v>
      </c>
      <c r="AK23" s="649"/>
      <c r="AL23" s="649"/>
      <c r="AM23" s="649"/>
      <c r="AN23" s="649"/>
      <c r="AO23" s="670" t="s">
        <v>322</v>
      </c>
      <c r="AP23" s="649"/>
      <c r="AQ23" s="649"/>
      <c r="AR23" s="649"/>
      <c r="AS23" s="649"/>
      <c r="AT23" s="670" t="s">
        <v>323</v>
      </c>
      <c r="AU23" s="649"/>
      <c r="AV23" s="649"/>
      <c r="AW23" s="649"/>
      <c r="AX23" s="649"/>
    </row>
    <row r="24" spans="2:53">
      <c r="B24" s="643" t="s">
        <v>154</v>
      </c>
      <c r="C24" s="643" t="s">
        <v>372</v>
      </c>
      <c r="D24" s="643"/>
      <c r="E24" s="643" t="s">
        <v>363</v>
      </c>
      <c r="F24" s="643"/>
      <c r="G24" s="643"/>
      <c r="H24" s="675" t="s">
        <v>359</v>
      </c>
      <c r="I24" s="690" t="s">
        <v>364</v>
      </c>
      <c r="J24" s="690"/>
      <c r="K24" s="690"/>
      <c r="L24" s="691" t="s">
        <v>359</v>
      </c>
      <c r="M24" s="679" t="s">
        <v>360</v>
      </c>
      <c r="N24" s="643"/>
      <c r="O24" s="643" t="s">
        <v>365</v>
      </c>
      <c r="P24" s="661" t="s">
        <v>361</v>
      </c>
      <c r="Q24" s="662"/>
      <c r="R24" s="662"/>
      <c r="S24" s="663"/>
      <c r="T24" s="643" t="s">
        <v>359</v>
      </c>
      <c r="U24" s="661" t="s">
        <v>361</v>
      </c>
      <c r="V24" s="662"/>
      <c r="W24" s="662"/>
      <c r="X24" s="663"/>
      <c r="Y24" s="643" t="s">
        <v>359</v>
      </c>
      <c r="Z24" s="661" t="s">
        <v>361</v>
      </c>
      <c r="AA24" s="662"/>
      <c r="AB24" s="662"/>
      <c r="AC24" s="663"/>
      <c r="AD24" s="643" t="s">
        <v>359</v>
      </c>
      <c r="AE24" s="661" t="s">
        <v>361</v>
      </c>
      <c r="AF24" s="662"/>
      <c r="AG24" s="662"/>
      <c r="AH24" s="663"/>
      <c r="AI24" s="643" t="s">
        <v>359</v>
      </c>
      <c r="AJ24" s="661" t="s">
        <v>361</v>
      </c>
      <c r="AK24" s="662"/>
      <c r="AL24" s="662"/>
      <c r="AM24" s="663"/>
      <c r="AN24" s="643" t="s">
        <v>359</v>
      </c>
      <c r="AO24" s="661" t="s">
        <v>361</v>
      </c>
      <c r="AP24" s="662"/>
      <c r="AQ24" s="662"/>
      <c r="AR24" s="663"/>
      <c r="AS24" s="643" t="s">
        <v>359</v>
      </c>
      <c r="AT24" s="661" t="s">
        <v>361</v>
      </c>
      <c r="AU24" s="662"/>
      <c r="AV24" s="662"/>
      <c r="AW24" s="663"/>
      <c r="AX24" s="643" t="s">
        <v>359</v>
      </c>
      <c r="BA24" s="643" t="s">
        <v>359</v>
      </c>
    </row>
    <row r="25" spans="2:53">
      <c r="B25" s="643"/>
      <c r="C25" s="643"/>
      <c r="D25" s="643"/>
      <c r="E25" s="643" t="s">
        <v>366</v>
      </c>
      <c r="F25" s="643"/>
      <c r="G25" s="643"/>
      <c r="H25" s="676"/>
      <c r="I25" s="690" t="s">
        <v>366</v>
      </c>
      <c r="J25" s="690"/>
      <c r="K25" s="690"/>
      <c r="L25" s="692"/>
      <c r="M25" s="680"/>
      <c r="N25" s="643"/>
      <c r="O25" s="643"/>
      <c r="P25" s="661" t="s">
        <v>367</v>
      </c>
      <c r="Q25" s="662"/>
      <c r="R25" s="662"/>
      <c r="S25" s="663"/>
      <c r="T25" s="643"/>
      <c r="U25" s="661" t="s">
        <v>367</v>
      </c>
      <c r="V25" s="662"/>
      <c r="W25" s="662"/>
      <c r="X25" s="663"/>
      <c r="Y25" s="643"/>
      <c r="Z25" s="661" t="s">
        <v>367</v>
      </c>
      <c r="AA25" s="662"/>
      <c r="AB25" s="662"/>
      <c r="AC25" s="663"/>
      <c r="AD25" s="643"/>
      <c r="AE25" s="661" t="s">
        <v>367</v>
      </c>
      <c r="AF25" s="662"/>
      <c r="AG25" s="662"/>
      <c r="AH25" s="663"/>
      <c r="AI25" s="643"/>
      <c r="AJ25" s="661" t="s">
        <v>367</v>
      </c>
      <c r="AK25" s="662"/>
      <c r="AL25" s="662"/>
      <c r="AM25" s="663"/>
      <c r="AN25" s="643"/>
      <c r="AO25" s="661" t="s">
        <v>367</v>
      </c>
      <c r="AP25" s="662"/>
      <c r="AQ25" s="662"/>
      <c r="AR25" s="663"/>
      <c r="AS25" s="643"/>
      <c r="AT25" s="661" t="s">
        <v>367</v>
      </c>
      <c r="AU25" s="662"/>
      <c r="AV25" s="662"/>
      <c r="AW25" s="663"/>
      <c r="AX25" s="643"/>
      <c r="BA25" s="643"/>
    </row>
    <row r="26" spans="2:53">
      <c r="B26" s="643"/>
      <c r="C26" s="643"/>
      <c r="D26" s="643"/>
      <c r="E26" s="378" t="s">
        <v>368</v>
      </c>
      <c r="F26" s="378" t="s">
        <v>369</v>
      </c>
      <c r="G26" s="378" t="s">
        <v>370</v>
      </c>
      <c r="H26" s="677"/>
      <c r="I26" s="377" t="s">
        <v>368</v>
      </c>
      <c r="J26" s="377" t="s">
        <v>369</v>
      </c>
      <c r="K26" s="377" t="s">
        <v>370</v>
      </c>
      <c r="L26" s="693"/>
      <c r="M26" s="681"/>
      <c r="N26" s="643"/>
      <c r="O26" s="643"/>
      <c r="P26" s="378" t="s">
        <v>368</v>
      </c>
      <c r="Q26" s="378" t="s">
        <v>369</v>
      </c>
      <c r="R26" s="378" t="s">
        <v>370</v>
      </c>
      <c r="S26" s="378" t="s">
        <v>360</v>
      </c>
      <c r="T26" s="643"/>
      <c r="U26" s="378" t="s">
        <v>368</v>
      </c>
      <c r="V26" s="378" t="s">
        <v>369</v>
      </c>
      <c r="W26" s="378" t="s">
        <v>370</v>
      </c>
      <c r="X26" s="378" t="s">
        <v>360</v>
      </c>
      <c r="Y26" s="643"/>
      <c r="Z26" s="378" t="s">
        <v>368</v>
      </c>
      <c r="AA26" s="378" t="s">
        <v>369</v>
      </c>
      <c r="AB26" s="378" t="s">
        <v>370</v>
      </c>
      <c r="AC26" s="378" t="s">
        <v>360</v>
      </c>
      <c r="AD26" s="643"/>
      <c r="AE26" s="378" t="s">
        <v>368</v>
      </c>
      <c r="AF26" s="378" t="s">
        <v>369</v>
      </c>
      <c r="AG26" s="378" t="s">
        <v>370</v>
      </c>
      <c r="AH26" s="378" t="s">
        <v>360</v>
      </c>
      <c r="AI26" s="643"/>
      <c r="AJ26" s="378" t="s">
        <v>368</v>
      </c>
      <c r="AK26" s="378" t="s">
        <v>369</v>
      </c>
      <c r="AL26" s="378" t="s">
        <v>370</v>
      </c>
      <c r="AM26" s="378" t="s">
        <v>360</v>
      </c>
      <c r="AN26" s="643"/>
      <c r="AO26" s="378" t="s">
        <v>368</v>
      </c>
      <c r="AP26" s="378" t="s">
        <v>369</v>
      </c>
      <c r="AQ26" s="378" t="s">
        <v>370</v>
      </c>
      <c r="AR26" s="378" t="s">
        <v>360</v>
      </c>
      <c r="AS26" s="643"/>
      <c r="AT26" s="378" t="s">
        <v>368</v>
      </c>
      <c r="AU26" s="378" t="s">
        <v>369</v>
      </c>
      <c r="AV26" s="378" t="s">
        <v>370</v>
      </c>
      <c r="AW26" s="378" t="s">
        <v>360</v>
      </c>
      <c r="AX26" s="643"/>
      <c r="AZ26" s="367" t="s">
        <v>360</v>
      </c>
      <c r="BA26" s="643"/>
    </row>
    <row r="27" spans="2:53">
      <c r="B27" s="643" t="s">
        <v>132</v>
      </c>
      <c r="C27" s="379">
        <v>1</v>
      </c>
      <c r="D27" s="225"/>
      <c r="E27" s="565"/>
      <c r="F27" s="563"/>
      <c r="G27" s="564"/>
      <c r="H27" s="702" t="e">
        <f>AVERAGE(G27:G41)</f>
        <v>#DIV/0!</v>
      </c>
      <c r="I27" s="381" t="str">
        <f t="shared" ref="I27:I40" si="17">IFERROR(AVERAGE(P27,U27,Z27,AE27,AJ27,AO27,AT27),"-")</f>
        <v>-</v>
      </c>
      <c r="J27" s="381" t="str">
        <f t="shared" ref="J27:J40" si="18">IFERROR(AVERAGE(Q27,V27,AA27,AF27,AK27,AP27,AU27),"-")</f>
        <v>-</v>
      </c>
      <c r="K27" s="199" t="str">
        <f t="shared" ref="K27:K40" si="19">IFERROR(AVERAGE(R27,W27,AB27,AG27,AL27,AQ27,AV27),"-")</f>
        <v>-</v>
      </c>
      <c r="L27" s="658" t="str">
        <f>IFERROR(AVERAGE(K27:K41),"-")</f>
        <v>-</v>
      </c>
      <c r="M27" s="383" t="e">
        <f>RANK(K27, K$24:$K$41)</f>
        <v>#VALUE!</v>
      </c>
      <c r="N27" s="643"/>
      <c r="O27" s="643"/>
      <c r="P27" s="547"/>
      <c r="Q27" s="548"/>
      <c r="R27" s="548"/>
      <c r="S27" s="547"/>
      <c r="T27" s="638"/>
      <c r="U27" s="547"/>
      <c r="V27" s="548"/>
      <c r="W27" s="548"/>
      <c r="X27" s="547"/>
      <c r="Y27" s="638"/>
      <c r="Z27" s="547"/>
      <c r="AA27" s="548"/>
      <c r="AB27" s="548"/>
      <c r="AC27" s="547"/>
      <c r="AD27" s="638"/>
      <c r="AE27" s="547"/>
      <c r="AF27" s="548"/>
      <c r="AG27" s="548"/>
      <c r="AH27" s="547"/>
      <c r="AI27" s="638"/>
      <c r="AJ27" s="547"/>
      <c r="AK27" s="548"/>
      <c r="AL27" s="548"/>
      <c r="AM27" s="547"/>
      <c r="AN27" s="638"/>
      <c r="AO27" s="547"/>
      <c r="AP27" s="548"/>
      <c r="AQ27" s="548"/>
      <c r="AR27" s="547"/>
      <c r="AS27" s="638"/>
      <c r="AT27" s="547"/>
      <c r="AU27" s="548"/>
      <c r="AV27" s="548"/>
      <c r="AW27" s="547"/>
      <c r="AX27" s="638"/>
      <c r="AZ27" s="368" t="e">
        <f t="shared" ref="AZ27:AZ41" si="20">RANK(AY27, AY$27:AY$41)</f>
        <v>#N/A</v>
      </c>
      <c r="BA27" s="638" t="e">
        <f t="shared" ref="BA27" si="21">AVERAGE(AY27:AY41)</f>
        <v>#DIV/0!</v>
      </c>
    </row>
    <row r="28" spans="2:53">
      <c r="B28" s="649"/>
      <c r="C28" s="379">
        <v>2</v>
      </c>
      <c r="D28" s="225"/>
      <c r="E28" s="565"/>
      <c r="F28" s="563"/>
      <c r="G28" s="564"/>
      <c r="H28" s="703"/>
      <c r="I28" s="381" t="str">
        <f t="shared" si="17"/>
        <v>-</v>
      </c>
      <c r="J28" s="381" t="str">
        <f t="shared" si="18"/>
        <v>-</v>
      </c>
      <c r="K28" s="199" t="str">
        <f t="shared" si="19"/>
        <v>-</v>
      </c>
      <c r="L28" s="659"/>
      <c r="M28" s="386" t="e">
        <f>RANK(K28, K$24:$K$41)</f>
        <v>#VALUE!</v>
      </c>
      <c r="N28" s="643"/>
      <c r="O28" s="643"/>
      <c r="P28" s="547"/>
      <c r="Q28" s="548"/>
      <c r="R28" s="548"/>
      <c r="S28" s="547"/>
      <c r="T28" s="639"/>
      <c r="U28" s="547"/>
      <c r="V28" s="548"/>
      <c r="W28" s="548"/>
      <c r="X28" s="547"/>
      <c r="Y28" s="639"/>
      <c r="Z28" s="547"/>
      <c r="AA28" s="548"/>
      <c r="AB28" s="548"/>
      <c r="AC28" s="547"/>
      <c r="AD28" s="639"/>
      <c r="AE28" s="547"/>
      <c r="AF28" s="548"/>
      <c r="AG28" s="548"/>
      <c r="AH28" s="547"/>
      <c r="AI28" s="639"/>
      <c r="AJ28" s="547"/>
      <c r="AK28" s="548"/>
      <c r="AL28" s="548"/>
      <c r="AM28" s="547"/>
      <c r="AN28" s="639"/>
      <c r="AO28" s="547"/>
      <c r="AP28" s="548"/>
      <c r="AQ28" s="548"/>
      <c r="AR28" s="547"/>
      <c r="AS28" s="639"/>
      <c r="AT28" s="547"/>
      <c r="AU28" s="548"/>
      <c r="AV28" s="548"/>
      <c r="AW28" s="547"/>
      <c r="AX28" s="639"/>
      <c r="AZ28" s="368" t="e">
        <f t="shared" si="20"/>
        <v>#N/A</v>
      </c>
      <c r="BA28" s="639"/>
    </row>
    <row r="29" spans="2:53">
      <c r="B29" s="649"/>
      <c r="C29" s="379">
        <v>3</v>
      </c>
      <c r="D29" s="225"/>
      <c r="E29" s="565"/>
      <c r="F29" s="563"/>
      <c r="G29" s="564"/>
      <c r="H29" s="703"/>
      <c r="I29" s="381" t="str">
        <f t="shared" si="17"/>
        <v>-</v>
      </c>
      <c r="J29" s="381" t="str">
        <f t="shared" si="18"/>
        <v>-</v>
      </c>
      <c r="K29" s="199" t="str">
        <f t="shared" si="19"/>
        <v>-</v>
      </c>
      <c r="L29" s="659"/>
      <c r="M29" s="386" t="e">
        <f>RANK(K29, K$24:$K$41)</f>
        <v>#VALUE!</v>
      </c>
      <c r="N29" s="643"/>
      <c r="O29" s="643"/>
      <c r="P29" s="547"/>
      <c r="Q29" s="548"/>
      <c r="R29" s="548"/>
      <c r="S29" s="547"/>
      <c r="T29" s="639"/>
      <c r="U29" s="547"/>
      <c r="V29" s="548"/>
      <c r="W29" s="548"/>
      <c r="X29" s="547"/>
      <c r="Y29" s="639"/>
      <c r="Z29" s="547"/>
      <c r="AA29" s="548"/>
      <c r="AB29" s="548"/>
      <c r="AC29" s="547"/>
      <c r="AD29" s="639"/>
      <c r="AE29" s="547"/>
      <c r="AF29" s="548"/>
      <c r="AG29" s="548"/>
      <c r="AH29" s="547"/>
      <c r="AI29" s="639"/>
      <c r="AJ29" s="547"/>
      <c r="AK29" s="548"/>
      <c r="AL29" s="548"/>
      <c r="AM29" s="547"/>
      <c r="AN29" s="639"/>
      <c r="AO29" s="547"/>
      <c r="AP29" s="548"/>
      <c r="AQ29" s="548"/>
      <c r="AR29" s="547"/>
      <c r="AS29" s="639"/>
      <c r="AT29" s="547"/>
      <c r="AU29" s="548"/>
      <c r="AV29" s="548"/>
      <c r="AW29" s="547"/>
      <c r="AX29" s="639"/>
      <c r="AZ29" s="368" t="e">
        <f t="shared" si="20"/>
        <v>#N/A</v>
      </c>
      <c r="BA29" s="639"/>
    </row>
    <row r="30" spans="2:53">
      <c r="B30" s="649"/>
      <c r="C30" s="379">
        <v>4</v>
      </c>
      <c r="D30" s="225"/>
      <c r="E30" s="565"/>
      <c r="F30" s="563"/>
      <c r="G30" s="564"/>
      <c r="H30" s="703"/>
      <c r="I30" s="381" t="str">
        <f t="shared" si="17"/>
        <v>-</v>
      </c>
      <c r="J30" s="381" t="str">
        <f t="shared" si="18"/>
        <v>-</v>
      </c>
      <c r="K30" s="199" t="str">
        <f t="shared" si="19"/>
        <v>-</v>
      </c>
      <c r="L30" s="659"/>
      <c r="M30" s="386" t="e">
        <f>RANK(K30, K$24:$K$41)</f>
        <v>#VALUE!</v>
      </c>
      <c r="N30" s="643"/>
      <c r="O30" s="643"/>
      <c r="P30" s="547"/>
      <c r="Q30" s="548"/>
      <c r="R30" s="548"/>
      <c r="S30" s="547"/>
      <c r="T30" s="639"/>
      <c r="U30" s="547"/>
      <c r="V30" s="548"/>
      <c r="W30" s="548"/>
      <c r="X30" s="547"/>
      <c r="Y30" s="639"/>
      <c r="Z30" s="547"/>
      <c r="AA30" s="548"/>
      <c r="AB30" s="548"/>
      <c r="AC30" s="547"/>
      <c r="AD30" s="639"/>
      <c r="AE30" s="547"/>
      <c r="AF30" s="548"/>
      <c r="AG30" s="548"/>
      <c r="AH30" s="547"/>
      <c r="AI30" s="639"/>
      <c r="AJ30" s="547"/>
      <c r="AK30" s="548"/>
      <c r="AL30" s="548"/>
      <c r="AM30" s="547"/>
      <c r="AN30" s="639"/>
      <c r="AO30" s="547"/>
      <c r="AP30" s="548"/>
      <c r="AQ30" s="548"/>
      <c r="AR30" s="547"/>
      <c r="AS30" s="639"/>
      <c r="AT30" s="547"/>
      <c r="AU30" s="548"/>
      <c r="AV30" s="548"/>
      <c r="AW30" s="547"/>
      <c r="AX30" s="639"/>
      <c r="AZ30" s="368" t="e">
        <f t="shared" si="20"/>
        <v>#N/A</v>
      </c>
      <c r="BA30" s="639"/>
    </row>
    <row r="31" spans="2:53">
      <c r="B31" s="649"/>
      <c r="C31" s="379">
        <v>5</v>
      </c>
      <c r="D31" s="225"/>
      <c r="E31" s="565"/>
      <c r="F31" s="563"/>
      <c r="G31" s="564"/>
      <c r="H31" s="703"/>
      <c r="I31" s="381" t="str">
        <f t="shared" si="17"/>
        <v>-</v>
      </c>
      <c r="J31" s="381" t="str">
        <f t="shared" si="18"/>
        <v>-</v>
      </c>
      <c r="K31" s="199" t="str">
        <f t="shared" si="19"/>
        <v>-</v>
      </c>
      <c r="L31" s="659"/>
      <c r="M31" s="386" t="e">
        <f>RANK(K31, K$24:$K$41)</f>
        <v>#VALUE!</v>
      </c>
      <c r="N31" s="643"/>
      <c r="O31" s="643"/>
      <c r="P31" s="547"/>
      <c r="Q31" s="548"/>
      <c r="R31" s="548"/>
      <c r="S31" s="547"/>
      <c r="T31" s="639"/>
      <c r="U31" s="547"/>
      <c r="V31" s="548"/>
      <c r="W31" s="548"/>
      <c r="X31" s="547"/>
      <c r="Y31" s="639"/>
      <c r="Z31" s="547"/>
      <c r="AA31" s="548"/>
      <c r="AB31" s="548"/>
      <c r="AC31" s="547"/>
      <c r="AD31" s="639"/>
      <c r="AE31" s="547"/>
      <c r="AF31" s="548"/>
      <c r="AG31" s="548"/>
      <c r="AH31" s="547"/>
      <c r="AI31" s="639"/>
      <c r="AJ31" s="547"/>
      <c r="AK31" s="548"/>
      <c r="AL31" s="548"/>
      <c r="AM31" s="547"/>
      <c r="AN31" s="639"/>
      <c r="AO31" s="547"/>
      <c r="AP31" s="548"/>
      <c r="AQ31" s="548"/>
      <c r="AR31" s="547"/>
      <c r="AS31" s="639"/>
      <c r="AT31" s="547"/>
      <c r="AU31" s="548"/>
      <c r="AV31" s="548"/>
      <c r="AW31" s="547"/>
      <c r="AX31" s="639"/>
      <c r="AZ31" s="368" t="e">
        <f t="shared" si="20"/>
        <v>#N/A</v>
      </c>
      <c r="BA31" s="639"/>
    </row>
    <row r="32" spans="2:53">
      <c r="B32" s="649"/>
      <c r="C32" s="379">
        <v>6</v>
      </c>
      <c r="D32" s="225"/>
      <c r="E32" s="565"/>
      <c r="F32" s="563"/>
      <c r="G32" s="564"/>
      <c r="H32" s="703"/>
      <c r="I32" s="381" t="str">
        <f t="shared" si="17"/>
        <v>-</v>
      </c>
      <c r="J32" s="381" t="str">
        <f t="shared" si="18"/>
        <v>-</v>
      </c>
      <c r="K32" s="199" t="str">
        <f t="shared" si="19"/>
        <v>-</v>
      </c>
      <c r="L32" s="659"/>
      <c r="M32" s="386" t="e">
        <f>RANK(K32, K$24:$K$41)</f>
        <v>#VALUE!</v>
      </c>
      <c r="N32" s="643"/>
      <c r="O32" s="643"/>
      <c r="P32" s="547"/>
      <c r="Q32" s="548"/>
      <c r="R32" s="548"/>
      <c r="S32" s="547"/>
      <c r="T32" s="639"/>
      <c r="U32" s="547"/>
      <c r="V32" s="548"/>
      <c r="W32" s="548"/>
      <c r="X32" s="547"/>
      <c r="Y32" s="639"/>
      <c r="Z32" s="547"/>
      <c r="AA32" s="548"/>
      <c r="AB32" s="548"/>
      <c r="AC32" s="547"/>
      <c r="AD32" s="639"/>
      <c r="AE32" s="547"/>
      <c r="AF32" s="548"/>
      <c r="AG32" s="548"/>
      <c r="AH32" s="547"/>
      <c r="AI32" s="639"/>
      <c r="AJ32" s="547"/>
      <c r="AK32" s="548"/>
      <c r="AL32" s="548"/>
      <c r="AM32" s="547"/>
      <c r="AN32" s="639"/>
      <c r="AO32" s="547"/>
      <c r="AP32" s="548"/>
      <c r="AQ32" s="548"/>
      <c r="AR32" s="547"/>
      <c r="AS32" s="639"/>
      <c r="AT32" s="547"/>
      <c r="AU32" s="548"/>
      <c r="AV32" s="548"/>
      <c r="AW32" s="547"/>
      <c r="AX32" s="639"/>
      <c r="AZ32" s="368" t="e">
        <f t="shared" si="20"/>
        <v>#N/A</v>
      </c>
      <c r="BA32" s="639"/>
    </row>
    <row r="33" spans="2:53">
      <c r="B33" s="649"/>
      <c r="C33" s="379">
        <v>7</v>
      </c>
      <c r="D33" s="225"/>
      <c r="E33" s="565"/>
      <c r="F33" s="563"/>
      <c r="G33" s="564"/>
      <c r="H33" s="703"/>
      <c r="I33" s="381" t="str">
        <f t="shared" si="17"/>
        <v>-</v>
      </c>
      <c r="J33" s="381" t="str">
        <f t="shared" si="18"/>
        <v>-</v>
      </c>
      <c r="K33" s="199" t="str">
        <f t="shared" si="19"/>
        <v>-</v>
      </c>
      <c r="L33" s="659"/>
      <c r="M33" s="386" t="e">
        <f>RANK(K33, K$24:$K$41)</f>
        <v>#VALUE!</v>
      </c>
      <c r="N33" s="643"/>
      <c r="O33" s="643"/>
      <c r="P33" s="547"/>
      <c r="Q33" s="548"/>
      <c r="R33" s="548"/>
      <c r="S33" s="547"/>
      <c r="T33" s="639"/>
      <c r="U33" s="547"/>
      <c r="V33" s="548"/>
      <c r="W33" s="548"/>
      <c r="X33" s="547"/>
      <c r="Y33" s="639"/>
      <c r="Z33" s="547"/>
      <c r="AA33" s="548"/>
      <c r="AB33" s="548"/>
      <c r="AC33" s="547"/>
      <c r="AD33" s="639"/>
      <c r="AE33" s="547"/>
      <c r="AF33" s="548"/>
      <c r="AG33" s="548"/>
      <c r="AH33" s="547"/>
      <c r="AI33" s="639"/>
      <c r="AJ33" s="547"/>
      <c r="AK33" s="548"/>
      <c r="AL33" s="548"/>
      <c r="AM33" s="547"/>
      <c r="AN33" s="639"/>
      <c r="AO33" s="547"/>
      <c r="AP33" s="548"/>
      <c r="AQ33" s="548"/>
      <c r="AR33" s="547"/>
      <c r="AS33" s="639"/>
      <c r="AT33" s="547"/>
      <c r="AU33" s="548"/>
      <c r="AV33" s="548"/>
      <c r="AW33" s="547"/>
      <c r="AX33" s="639"/>
      <c r="AZ33" s="368" t="e">
        <f t="shared" si="20"/>
        <v>#N/A</v>
      </c>
      <c r="BA33" s="639"/>
    </row>
    <row r="34" spans="2:53">
      <c r="B34" s="649"/>
      <c r="C34" s="379">
        <v>8</v>
      </c>
      <c r="D34" s="225"/>
      <c r="E34" s="565"/>
      <c r="F34" s="563"/>
      <c r="G34" s="564"/>
      <c r="H34" s="703"/>
      <c r="I34" s="381" t="str">
        <f t="shared" si="17"/>
        <v>-</v>
      </c>
      <c r="J34" s="381" t="str">
        <f t="shared" si="18"/>
        <v>-</v>
      </c>
      <c r="K34" s="199" t="str">
        <f t="shared" si="19"/>
        <v>-</v>
      </c>
      <c r="L34" s="659"/>
      <c r="M34" s="386" t="e">
        <f>RANK(K34, K$24:$K$41)</f>
        <v>#VALUE!</v>
      </c>
      <c r="N34" s="643"/>
      <c r="O34" s="643"/>
      <c r="P34" s="547"/>
      <c r="Q34" s="548"/>
      <c r="R34" s="548"/>
      <c r="S34" s="547"/>
      <c r="T34" s="639"/>
      <c r="U34" s="547"/>
      <c r="V34" s="548"/>
      <c r="W34" s="548"/>
      <c r="X34" s="547"/>
      <c r="Y34" s="639"/>
      <c r="Z34" s="547"/>
      <c r="AA34" s="548"/>
      <c r="AB34" s="548"/>
      <c r="AC34" s="547"/>
      <c r="AD34" s="639"/>
      <c r="AE34" s="547"/>
      <c r="AF34" s="548"/>
      <c r="AG34" s="548"/>
      <c r="AH34" s="547"/>
      <c r="AI34" s="639"/>
      <c r="AJ34" s="547"/>
      <c r="AK34" s="548"/>
      <c r="AL34" s="548"/>
      <c r="AM34" s="547"/>
      <c r="AN34" s="639"/>
      <c r="AO34" s="547"/>
      <c r="AP34" s="548"/>
      <c r="AQ34" s="548"/>
      <c r="AR34" s="547"/>
      <c r="AS34" s="639"/>
      <c r="AT34" s="547"/>
      <c r="AU34" s="548"/>
      <c r="AV34" s="548"/>
      <c r="AW34" s="547"/>
      <c r="AX34" s="639"/>
      <c r="AZ34" s="368" t="e">
        <f t="shared" si="20"/>
        <v>#N/A</v>
      </c>
      <c r="BA34" s="639"/>
    </row>
    <row r="35" spans="2:53">
      <c r="B35" s="649"/>
      <c r="C35" s="379">
        <v>9</v>
      </c>
      <c r="D35" s="225"/>
      <c r="E35" s="565"/>
      <c r="F35" s="563"/>
      <c r="G35" s="564"/>
      <c r="H35" s="703"/>
      <c r="I35" s="381" t="str">
        <f t="shared" si="17"/>
        <v>-</v>
      </c>
      <c r="J35" s="381" t="str">
        <f t="shared" si="18"/>
        <v>-</v>
      </c>
      <c r="K35" s="199" t="str">
        <f t="shared" si="19"/>
        <v>-</v>
      </c>
      <c r="L35" s="659"/>
      <c r="M35" s="386" t="e">
        <f>RANK(K35, K$24:$K$41)</f>
        <v>#VALUE!</v>
      </c>
      <c r="N35" s="643"/>
      <c r="O35" s="643"/>
      <c r="P35" s="547"/>
      <c r="Q35" s="548"/>
      <c r="R35" s="548"/>
      <c r="S35" s="547"/>
      <c r="T35" s="639"/>
      <c r="U35" s="547"/>
      <c r="V35" s="548"/>
      <c r="W35" s="548"/>
      <c r="X35" s="547"/>
      <c r="Y35" s="639"/>
      <c r="Z35" s="547"/>
      <c r="AA35" s="548"/>
      <c r="AB35" s="548"/>
      <c r="AC35" s="547"/>
      <c r="AD35" s="639"/>
      <c r="AE35" s="547"/>
      <c r="AF35" s="548"/>
      <c r="AG35" s="548"/>
      <c r="AH35" s="547"/>
      <c r="AI35" s="639"/>
      <c r="AJ35" s="547"/>
      <c r="AK35" s="548"/>
      <c r="AL35" s="548"/>
      <c r="AM35" s="547"/>
      <c r="AN35" s="639"/>
      <c r="AO35" s="547"/>
      <c r="AP35" s="548"/>
      <c r="AQ35" s="548"/>
      <c r="AR35" s="547"/>
      <c r="AS35" s="639"/>
      <c r="AT35" s="547"/>
      <c r="AU35" s="548"/>
      <c r="AV35" s="548"/>
      <c r="AW35" s="547"/>
      <c r="AX35" s="639"/>
      <c r="AZ35" s="368" t="e">
        <f t="shared" si="20"/>
        <v>#N/A</v>
      </c>
      <c r="BA35" s="639"/>
    </row>
    <row r="36" spans="2:53">
      <c r="B36" s="649"/>
      <c r="C36" s="379">
        <v>10</v>
      </c>
      <c r="D36" s="225"/>
      <c r="E36" s="565"/>
      <c r="F36" s="563"/>
      <c r="G36" s="564"/>
      <c r="H36" s="703"/>
      <c r="I36" s="381" t="str">
        <f t="shared" si="17"/>
        <v>-</v>
      </c>
      <c r="J36" s="381" t="str">
        <f t="shared" si="18"/>
        <v>-</v>
      </c>
      <c r="K36" s="199" t="str">
        <f t="shared" si="19"/>
        <v>-</v>
      </c>
      <c r="L36" s="659"/>
      <c r="M36" s="386" t="e">
        <f>RANK(K36, K$24:$K$41)</f>
        <v>#VALUE!</v>
      </c>
      <c r="N36" s="643"/>
      <c r="O36" s="643"/>
      <c r="P36" s="547"/>
      <c r="Q36" s="548"/>
      <c r="R36" s="548"/>
      <c r="S36" s="547"/>
      <c r="T36" s="639"/>
      <c r="U36" s="547"/>
      <c r="V36" s="548"/>
      <c r="W36" s="548"/>
      <c r="X36" s="547"/>
      <c r="Y36" s="639"/>
      <c r="Z36" s="547"/>
      <c r="AA36" s="548"/>
      <c r="AB36" s="548"/>
      <c r="AC36" s="547"/>
      <c r="AD36" s="639"/>
      <c r="AE36" s="547"/>
      <c r="AF36" s="548"/>
      <c r="AG36" s="548"/>
      <c r="AH36" s="547"/>
      <c r="AI36" s="639"/>
      <c r="AJ36" s="547"/>
      <c r="AK36" s="548"/>
      <c r="AL36" s="548"/>
      <c r="AM36" s="547"/>
      <c r="AN36" s="639"/>
      <c r="AO36" s="547"/>
      <c r="AP36" s="548"/>
      <c r="AQ36" s="548"/>
      <c r="AR36" s="547"/>
      <c r="AS36" s="639"/>
      <c r="AT36" s="547"/>
      <c r="AU36" s="548"/>
      <c r="AV36" s="548"/>
      <c r="AW36" s="547"/>
      <c r="AX36" s="639"/>
      <c r="AZ36" s="368" t="e">
        <f t="shared" si="20"/>
        <v>#N/A</v>
      </c>
      <c r="BA36" s="639"/>
    </row>
    <row r="37" spans="2:53">
      <c r="B37" s="649"/>
      <c r="C37" s="379">
        <v>11</v>
      </c>
      <c r="D37" s="225"/>
      <c r="E37" s="565"/>
      <c r="F37" s="563"/>
      <c r="G37" s="564"/>
      <c r="H37" s="703"/>
      <c r="I37" s="381" t="str">
        <f t="shared" si="17"/>
        <v>-</v>
      </c>
      <c r="J37" s="381" t="str">
        <f t="shared" si="18"/>
        <v>-</v>
      </c>
      <c r="K37" s="199" t="str">
        <f t="shared" si="19"/>
        <v>-</v>
      </c>
      <c r="L37" s="659"/>
      <c r="M37" s="386" t="e">
        <f>RANK(K37, K$24:$K$41)</f>
        <v>#VALUE!</v>
      </c>
      <c r="N37" s="643"/>
      <c r="O37" s="643"/>
      <c r="P37" s="547"/>
      <c r="Q37" s="548"/>
      <c r="R37" s="548"/>
      <c r="S37" s="547"/>
      <c r="T37" s="639"/>
      <c r="U37" s="547"/>
      <c r="V37" s="548"/>
      <c r="W37" s="548"/>
      <c r="X37" s="547"/>
      <c r="Y37" s="639"/>
      <c r="Z37" s="547"/>
      <c r="AA37" s="548"/>
      <c r="AB37" s="548"/>
      <c r="AC37" s="547"/>
      <c r="AD37" s="639"/>
      <c r="AE37" s="547"/>
      <c r="AF37" s="548"/>
      <c r="AG37" s="548"/>
      <c r="AH37" s="547"/>
      <c r="AI37" s="639"/>
      <c r="AJ37" s="547"/>
      <c r="AK37" s="548"/>
      <c r="AL37" s="548"/>
      <c r="AM37" s="547"/>
      <c r="AN37" s="639"/>
      <c r="AO37" s="547"/>
      <c r="AP37" s="548"/>
      <c r="AQ37" s="548"/>
      <c r="AR37" s="547"/>
      <c r="AS37" s="639"/>
      <c r="AT37" s="547"/>
      <c r="AU37" s="548"/>
      <c r="AV37" s="548"/>
      <c r="AW37" s="547"/>
      <c r="AX37" s="639"/>
      <c r="AZ37" s="368" t="e">
        <f t="shared" si="20"/>
        <v>#N/A</v>
      </c>
      <c r="BA37" s="639"/>
    </row>
    <row r="38" spans="2:53">
      <c r="B38" s="649"/>
      <c r="C38" s="379">
        <v>12</v>
      </c>
      <c r="D38" s="225"/>
      <c r="E38" s="565"/>
      <c r="F38" s="563"/>
      <c r="G38" s="564"/>
      <c r="H38" s="703"/>
      <c r="I38" s="381" t="str">
        <f t="shared" si="17"/>
        <v>-</v>
      </c>
      <c r="J38" s="381" t="str">
        <f t="shared" si="18"/>
        <v>-</v>
      </c>
      <c r="K38" s="199" t="str">
        <f t="shared" si="19"/>
        <v>-</v>
      </c>
      <c r="L38" s="659"/>
      <c r="M38" s="386" t="e">
        <f>RANK(K38, K$24:$K$41)</f>
        <v>#VALUE!</v>
      </c>
      <c r="N38" s="643"/>
      <c r="O38" s="643"/>
      <c r="P38" s="547"/>
      <c r="Q38" s="548"/>
      <c r="R38" s="548"/>
      <c r="S38" s="547"/>
      <c r="T38" s="639"/>
      <c r="U38" s="547"/>
      <c r="V38" s="548"/>
      <c r="W38" s="548"/>
      <c r="X38" s="547"/>
      <c r="Y38" s="639"/>
      <c r="Z38" s="547"/>
      <c r="AA38" s="548"/>
      <c r="AB38" s="548"/>
      <c r="AC38" s="547"/>
      <c r="AD38" s="639"/>
      <c r="AE38" s="547"/>
      <c r="AF38" s="548"/>
      <c r="AG38" s="548"/>
      <c r="AH38" s="547"/>
      <c r="AI38" s="639"/>
      <c r="AJ38" s="547"/>
      <c r="AK38" s="548"/>
      <c r="AL38" s="548"/>
      <c r="AM38" s="547"/>
      <c r="AN38" s="639"/>
      <c r="AO38" s="547"/>
      <c r="AP38" s="548"/>
      <c r="AQ38" s="548"/>
      <c r="AR38" s="547"/>
      <c r="AS38" s="639"/>
      <c r="AT38" s="547"/>
      <c r="AU38" s="548"/>
      <c r="AV38" s="548"/>
      <c r="AW38" s="547"/>
      <c r="AX38" s="639"/>
      <c r="AZ38" s="368" t="e">
        <f t="shared" si="20"/>
        <v>#N/A</v>
      </c>
      <c r="BA38" s="639"/>
    </row>
    <row r="39" spans="2:53">
      <c r="B39" s="649"/>
      <c r="C39" s="379">
        <v>13</v>
      </c>
      <c r="D39" s="225"/>
      <c r="E39" s="565"/>
      <c r="F39" s="563"/>
      <c r="G39" s="564"/>
      <c r="H39" s="703"/>
      <c r="I39" s="381" t="str">
        <f t="shared" si="17"/>
        <v>-</v>
      </c>
      <c r="J39" s="381" t="str">
        <f t="shared" si="18"/>
        <v>-</v>
      </c>
      <c r="K39" s="199" t="str">
        <f t="shared" si="19"/>
        <v>-</v>
      </c>
      <c r="L39" s="659"/>
      <c r="M39" s="386" t="e">
        <f>RANK(K39, K$24:$K$41)</f>
        <v>#VALUE!</v>
      </c>
      <c r="N39" s="643"/>
      <c r="O39" s="643"/>
      <c r="P39" s="547"/>
      <c r="Q39" s="548"/>
      <c r="R39" s="548"/>
      <c r="S39" s="547"/>
      <c r="T39" s="639"/>
      <c r="U39" s="547"/>
      <c r="V39" s="548"/>
      <c r="W39" s="548"/>
      <c r="X39" s="547"/>
      <c r="Y39" s="639"/>
      <c r="Z39" s="547"/>
      <c r="AA39" s="548"/>
      <c r="AB39" s="548"/>
      <c r="AC39" s="547"/>
      <c r="AD39" s="639"/>
      <c r="AE39" s="547"/>
      <c r="AF39" s="548"/>
      <c r="AG39" s="548"/>
      <c r="AH39" s="547"/>
      <c r="AI39" s="639"/>
      <c r="AJ39" s="547"/>
      <c r="AK39" s="548"/>
      <c r="AL39" s="548"/>
      <c r="AM39" s="547"/>
      <c r="AN39" s="639"/>
      <c r="AO39" s="547"/>
      <c r="AP39" s="548"/>
      <c r="AQ39" s="548"/>
      <c r="AR39" s="547"/>
      <c r="AS39" s="639"/>
      <c r="AT39" s="547"/>
      <c r="AU39" s="548"/>
      <c r="AV39" s="548"/>
      <c r="AW39" s="547"/>
      <c r="AX39" s="639"/>
      <c r="AZ39" s="368" t="e">
        <f t="shared" si="20"/>
        <v>#N/A</v>
      </c>
      <c r="BA39" s="639"/>
    </row>
    <row r="40" spans="2:53">
      <c r="B40" s="649"/>
      <c r="C40" s="379">
        <v>14</v>
      </c>
      <c r="D40" s="225"/>
      <c r="E40" s="565"/>
      <c r="F40" s="563"/>
      <c r="G40" s="564"/>
      <c r="H40" s="703"/>
      <c r="I40" s="381" t="str">
        <f t="shared" si="17"/>
        <v>-</v>
      </c>
      <c r="J40" s="381" t="str">
        <f t="shared" si="18"/>
        <v>-</v>
      </c>
      <c r="K40" s="199" t="str">
        <f t="shared" si="19"/>
        <v>-</v>
      </c>
      <c r="L40" s="659"/>
      <c r="M40" s="386" t="e">
        <f>RANK(K40, K$24:$K$41)</f>
        <v>#VALUE!</v>
      </c>
      <c r="N40" s="643"/>
      <c r="O40" s="643"/>
      <c r="P40" s="547"/>
      <c r="Q40" s="548"/>
      <c r="R40" s="548"/>
      <c r="S40" s="547"/>
      <c r="T40" s="639"/>
      <c r="U40" s="547"/>
      <c r="V40" s="548"/>
      <c r="W40" s="548"/>
      <c r="X40" s="547"/>
      <c r="Y40" s="639"/>
      <c r="Z40" s="547"/>
      <c r="AA40" s="548"/>
      <c r="AB40" s="548"/>
      <c r="AC40" s="547"/>
      <c r="AD40" s="639"/>
      <c r="AE40" s="547"/>
      <c r="AF40" s="548"/>
      <c r="AG40" s="548"/>
      <c r="AH40" s="547"/>
      <c r="AI40" s="639"/>
      <c r="AJ40" s="547"/>
      <c r="AK40" s="548"/>
      <c r="AL40" s="548"/>
      <c r="AM40" s="547"/>
      <c r="AN40" s="639"/>
      <c r="AO40" s="547"/>
      <c r="AP40" s="548"/>
      <c r="AQ40" s="548"/>
      <c r="AR40" s="547"/>
      <c r="AS40" s="639"/>
      <c r="AT40" s="547"/>
      <c r="AU40" s="548"/>
      <c r="AV40" s="548"/>
      <c r="AW40" s="547"/>
      <c r="AX40" s="639"/>
      <c r="AZ40" s="368" t="e">
        <f t="shared" si="20"/>
        <v>#N/A</v>
      </c>
      <c r="BA40" s="639"/>
    </row>
    <row r="41" spans="2:53">
      <c r="B41" s="649"/>
      <c r="C41" s="379">
        <v>15</v>
      </c>
      <c r="D41" s="225"/>
      <c r="E41" s="565"/>
      <c r="F41" s="563"/>
      <c r="G41" s="564"/>
      <c r="H41" s="704"/>
      <c r="I41" s="201"/>
      <c r="J41" s="201"/>
      <c r="K41" s="201"/>
      <c r="L41" s="660"/>
      <c r="M41" s="385" t="e">
        <f>RANK(K41, K$24:$K$41)</f>
        <v>#N/A</v>
      </c>
      <c r="N41" s="643"/>
      <c r="O41" s="643"/>
      <c r="P41" s="547"/>
      <c r="Q41" s="548"/>
      <c r="R41" s="548"/>
      <c r="S41" s="547"/>
      <c r="T41" s="640"/>
      <c r="U41" s="547"/>
      <c r="V41" s="548"/>
      <c r="W41" s="548"/>
      <c r="X41" s="547"/>
      <c r="Y41" s="640"/>
      <c r="Z41" s="547"/>
      <c r="AA41" s="548"/>
      <c r="AB41" s="548"/>
      <c r="AC41" s="547"/>
      <c r="AD41" s="640"/>
      <c r="AE41" s="547"/>
      <c r="AF41" s="548"/>
      <c r="AG41" s="548"/>
      <c r="AH41" s="547"/>
      <c r="AI41" s="640"/>
      <c r="AJ41" s="547"/>
      <c r="AK41" s="548"/>
      <c r="AL41" s="548"/>
      <c r="AM41" s="547"/>
      <c r="AN41" s="640"/>
      <c r="AO41" s="547"/>
      <c r="AP41" s="548"/>
      <c r="AQ41" s="548"/>
      <c r="AR41" s="547"/>
      <c r="AS41" s="640"/>
      <c r="AT41" s="547"/>
      <c r="AU41" s="548"/>
      <c r="AV41" s="548"/>
      <c r="AW41" s="547"/>
      <c r="AX41" s="640"/>
      <c r="AZ41" s="368" t="e">
        <f t="shared" si="20"/>
        <v>#N/A</v>
      </c>
      <c r="BA41" s="640"/>
    </row>
    <row r="42" spans="2:53" ht="15.75">
      <c r="B42" s="682" t="s">
        <v>162</v>
      </c>
      <c r="C42" s="683"/>
      <c r="D42" s="683"/>
      <c r="E42" s="683"/>
      <c r="F42" s="683"/>
      <c r="G42" s="683"/>
      <c r="H42" s="683"/>
      <c r="I42" s="207"/>
      <c r="J42" s="202"/>
      <c r="K42" s="207"/>
      <c r="L42" s="207"/>
      <c r="M42" s="203"/>
      <c r="N42" s="645" t="s">
        <v>156</v>
      </c>
      <c r="O42" s="645" t="s">
        <v>105</v>
      </c>
      <c r="P42" s="670">
        <f>P22+7</f>
        <v>46280</v>
      </c>
      <c r="Q42" s="649"/>
      <c r="R42" s="649"/>
      <c r="S42" s="649"/>
      <c r="T42" s="649"/>
      <c r="U42" s="667">
        <f>P42+1</f>
        <v>46281</v>
      </c>
      <c r="V42" s="668"/>
      <c r="W42" s="668"/>
      <c r="X42" s="668"/>
      <c r="Y42" s="669"/>
      <c r="Z42" s="667">
        <f>U42+1</f>
        <v>46282</v>
      </c>
      <c r="AA42" s="668"/>
      <c r="AB42" s="668"/>
      <c r="AC42" s="668"/>
      <c r="AD42" s="669"/>
      <c r="AE42" s="667">
        <f>Z42+1</f>
        <v>46283</v>
      </c>
      <c r="AF42" s="668"/>
      <c r="AG42" s="668"/>
      <c r="AH42" s="668"/>
      <c r="AI42" s="669"/>
      <c r="AJ42" s="667">
        <f>AE42+1</f>
        <v>46284</v>
      </c>
      <c r="AK42" s="668"/>
      <c r="AL42" s="668"/>
      <c r="AM42" s="668"/>
      <c r="AN42" s="669"/>
      <c r="AO42" s="667">
        <f>AJ42+1</f>
        <v>46285</v>
      </c>
      <c r="AP42" s="668"/>
      <c r="AQ42" s="668"/>
      <c r="AR42" s="668"/>
      <c r="AS42" s="669"/>
      <c r="AT42" s="667">
        <f>AO42+1</f>
        <v>46286</v>
      </c>
      <c r="AU42" s="668"/>
      <c r="AV42" s="668"/>
      <c r="AW42" s="668"/>
      <c r="AX42" s="669"/>
    </row>
    <row r="43" spans="2:53" ht="15.75">
      <c r="B43" s="674"/>
      <c r="C43" s="674"/>
      <c r="D43" s="674"/>
      <c r="E43" s="674"/>
      <c r="F43" s="674"/>
      <c r="G43" s="674"/>
      <c r="H43" s="674"/>
      <c r="I43" s="204"/>
      <c r="J43" s="204"/>
      <c r="K43" s="204"/>
      <c r="L43" s="204"/>
      <c r="M43" s="205"/>
      <c r="N43" s="647"/>
      <c r="O43" s="647"/>
      <c r="P43" s="670" t="s">
        <v>317</v>
      </c>
      <c r="Q43" s="649"/>
      <c r="R43" s="649"/>
      <c r="S43" s="649"/>
      <c r="T43" s="649"/>
      <c r="U43" s="670" t="s">
        <v>318</v>
      </c>
      <c r="V43" s="649"/>
      <c r="W43" s="649"/>
      <c r="X43" s="649"/>
      <c r="Y43" s="649"/>
      <c r="Z43" s="670" t="s">
        <v>319</v>
      </c>
      <c r="AA43" s="649"/>
      <c r="AB43" s="649"/>
      <c r="AC43" s="649"/>
      <c r="AD43" s="649"/>
      <c r="AE43" s="670" t="s">
        <v>320</v>
      </c>
      <c r="AF43" s="649"/>
      <c r="AG43" s="649"/>
      <c r="AH43" s="649"/>
      <c r="AI43" s="649"/>
      <c r="AJ43" s="670" t="s">
        <v>321</v>
      </c>
      <c r="AK43" s="649"/>
      <c r="AL43" s="649"/>
      <c r="AM43" s="649"/>
      <c r="AN43" s="649"/>
      <c r="AO43" s="670" t="s">
        <v>322</v>
      </c>
      <c r="AP43" s="649"/>
      <c r="AQ43" s="649"/>
      <c r="AR43" s="649"/>
      <c r="AS43" s="649"/>
      <c r="AT43" s="670" t="s">
        <v>323</v>
      </c>
      <c r="AU43" s="649"/>
      <c r="AV43" s="649"/>
      <c r="AW43" s="649"/>
      <c r="AX43" s="649"/>
    </row>
    <row r="44" spans="2:53">
      <c r="B44" s="643" t="s">
        <v>446</v>
      </c>
      <c r="C44" s="643" t="s">
        <v>372</v>
      </c>
      <c r="D44" s="643"/>
      <c r="E44" s="643" t="s">
        <v>363</v>
      </c>
      <c r="F44" s="643"/>
      <c r="G44" s="643"/>
      <c r="H44" s="675" t="s">
        <v>359</v>
      </c>
      <c r="I44" s="690" t="s">
        <v>364</v>
      </c>
      <c r="J44" s="690"/>
      <c r="K44" s="690"/>
      <c r="L44" s="691" t="s">
        <v>359</v>
      </c>
      <c r="M44" s="679" t="s">
        <v>360</v>
      </c>
      <c r="N44" s="643"/>
      <c r="O44" s="643" t="s">
        <v>365</v>
      </c>
      <c r="P44" s="661" t="s">
        <v>361</v>
      </c>
      <c r="Q44" s="662"/>
      <c r="R44" s="662"/>
      <c r="S44" s="663"/>
      <c r="T44" s="643" t="s">
        <v>359</v>
      </c>
      <c r="U44" s="661" t="s">
        <v>361</v>
      </c>
      <c r="V44" s="662"/>
      <c r="W44" s="662"/>
      <c r="X44" s="663"/>
      <c r="Y44" s="643" t="s">
        <v>359</v>
      </c>
      <c r="Z44" s="661" t="s">
        <v>361</v>
      </c>
      <c r="AA44" s="662"/>
      <c r="AB44" s="662"/>
      <c r="AC44" s="663"/>
      <c r="AD44" s="643" t="s">
        <v>359</v>
      </c>
      <c r="AE44" s="661" t="s">
        <v>361</v>
      </c>
      <c r="AF44" s="662"/>
      <c r="AG44" s="662"/>
      <c r="AH44" s="663"/>
      <c r="AI44" s="643" t="s">
        <v>359</v>
      </c>
      <c r="AJ44" s="661" t="s">
        <v>361</v>
      </c>
      <c r="AK44" s="662"/>
      <c r="AL44" s="662"/>
      <c r="AM44" s="663"/>
      <c r="AN44" s="643" t="s">
        <v>359</v>
      </c>
      <c r="AO44" s="661" t="s">
        <v>361</v>
      </c>
      <c r="AP44" s="662"/>
      <c r="AQ44" s="662"/>
      <c r="AR44" s="663"/>
      <c r="AS44" s="643" t="s">
        <v>359</v>
      </c>
      <c r="AT44" s="661" t="s">
        <v>361</v>
      </c>
      <c r="AU44" s="662"/>
      <c r="AV44" s="662"/>
      <c r="AW44" s="663"/>
      <c r="AX44" s="643" t="s">
        <v>359</v>
      </c>
      <c r="BA44" s="643" t="s">
        <v>359</v>
      </c>
    </row>
    <row r="45" spans="2:53">
      <c r="B45" s="643"/>
      <c r="C45" s="643"/>
      <c r="D45" s="643"/>
      <c r="E45" s="643" t="s">
        <v>366</v>
      </c>
      <c r="F45" s="643"/>
      <c r="G45" s="643"/>
      <c r="H45" s="676"/>
      <c r="I45" s="690" t="s">
        <v>366</v>
      </c>
      <c r="J45" s="690"/>
      <c r="K45" s="690"/>
      <c r="L45" s="692"/>
      <c r="M45" s="680"/>
      <c r="N45" s="643"/>
      <c r="O45" s="643"/>
      <c r="P45" s="661" t="s">
        <v>367</v>
      </c>
      <c r="Q45" s="662"/>
      <c r="R45" s="662"/>
      <c r="S45" s="663"/>
      <c r="T45" s="643"/>
      <c r="U45" s="661" t="s">
        <v>367</v>
      </c>
      <c r="V45" s="662"/>
      <c r="W45" s="662"/>
      <c r="X45" s="663"/>
      <c r="Y45" s="643"/>
      <c r="Z45" s="661" t="s">
        <v>367</v>
      </c>
      <c r="AA45" s="662"/>
      <c r="AB45" s="662"/>
      <c r="AC45" s="663"/>
      <c r="AD45" s="643"/>
      <c r="AE45" s="661" t="s">
        <v>367</v>
      </c>
      <c r="AF45" s="662"/>
      <c r="AG45" s="662"/>
      <c r="AH45" s="663"/>
      <c r="AI45" s="643"/>
      <c r="AJ45" s="661" t="s">
        <v>367</v>
      </c>
      <c r="AK45" s="662"/>
      <c r="AL45" s="662"/>
      <c r="AM45" s="663"/>
      <c r="AN45" s="643"/>
      <c r="AO45" s="661" t="s">
        <v>367</v>
      </c>
      <c r="AP45" s="662"/>
      <c r="AQ45" s="662"/>
      <c r="AR45" s="663"/>
      <c r="AS45" s="643"/>
      <c r="AT45" s="661" t="s">
        <v>367</v>
      </c>
      <c r="AU45" s="662"/>
      <c r="AV45" s="662"/>
      <c r="AW45" s="663"/>
      <c r="AX45" s="643"/>
      <c r="BA45" s="643"/>
    </row>
    <row r="46" spans="2:53">
      <c r="B46" s="643"/>
      <c r="C46" s="643"/>
      <c r="D46" s="643"/>
      <c r="E46" s="378" t="s">
        <v>368</v>
      </c>
      <c r="F46" s="378" t="s">
        <v>369</v>
      </c>
      <c r="G46" s="378" t="s">
        <v>370</v>
      </c>
      <c r="H46" s="677"/>
      <c r="I46" s="377" t="s">
        <v>368</v>
      </c>
      <c r="J46" s="377" t="s">
        <v>369</v>
      </c>
      <c r="K46" s="377" t="s">
        <v>370</v>
      </c>
      <c r="L46" s="693"/>
      <c r="M46" s="681"/>
      <c r="N46" s="643"/>
      <c r="O46" s="643"/>
      <c r="P46" s="378" t="s">
        <v>368</v>
      </c>
      <c r="Q46" s="378" t="s">
        <v>369</v>
      </c>
      <c r="R46" s="378" t="s">
        <v>370</v>
      </c>
      <c r="S46" s="378" t="s">
        <v>360</v>
      </c>
      <c r="T46" s="643"/>
      <c r="U46" s="378" t="s">
        <v>368</v>
      </c>
      <c r="V46" s="378" t="s">
        <v>369</v>
      </c>
      <c r="W46" s="378" t="s">
        <v>370</v>
      </c>
      <c r="X46" s="378" t="s">
        <v>360</v>
      </c>
      <c r="Y46" s="643"/>
      <c r="Z46" s="378" t="s">
        <v>368</v>
      </c>
      <c r="AA46" s="378" t="s">
        <v>369</v>
      </c>
      <c r="AB46" s="378" t="s">
        <v>370</v>
      </c>
      <c r="AC46" s="378" t="s">
        <v>360</v>
      </c>
      <c r="AD46" s="643"/>
      <c r="AE46" s="378" t="s">
        <v>368</v>
      </c>
      <c r="AF46" s="378" t="s">
        <v>369</v>
      </c>
      <c r="AG46" s="378" t="s">
        <v>370</v>
      </c>
      <c r="AH46" s="378" t="s">
        <v>360</v>
      </c>
      <c r="AI46" s="643"/>
      <c r="AJ46" s="378" t="s">
        <v>368</v>
      </c>
      <c r="AK46" s="378" t="s">
        <v>369</v>
      </c>
      <c r="AL46" s="378" t="s">
        <v>370</v>
      </c>
      <c r="AM46" s="378" t="s">
        <v>360</v>
      </c>
      <c r="AN46" s="643"/>
      <c r="AO46" s="378" t="s">
        <v>368</v>
      </c>
      <c r="AP46" s="378" t="s">
        <v>369</v>
      </c>
      <c r="AQ46" s="378" t="s">
        <v>370</v>
      </c>
      <c r="AR46" s="378" t="s">
        <v>360</v>
      </c>
      <c r="AS46" s="643"/>
      <c r="AT46" s="378" t="s">
        <v>368</v>
      </c>
      <c r="AU46" s="378" t="s">
        <v>369</v>
      </c>
      <c r="AV46" s="378" t="s">
        <v>370</v>
      </c>
      <c r="AW46" s="378" t="s">
        <v>360</v>
      </c>
      <c r="AX46" s="643"/>
      <c r="AZ46" s="367" t="s">
        <v>551</v>
      </c>
      <c r="BA46" s="643"/>
    </row>
    <row r="47" spans="2:53">
      <c r="B47" s="643" t="s">
        <v>460</v>
      </c>
      <c r="C47" s="379">
        <v>1</v>
      </c>
      <c r="D47" s="225"/>
      <c r="E47" s="565"/>
      <c r="F47" s="563"/>
      <c r="G47" s="564"/>
      <c r="H47" s="702" t="e">
        <f>AVERAGE(G47:G61)</f>
        <v>#DIV/0!</v>
      </c>
      <c r="I47" s="381" t="str">
        <f t="shared" ref="I47:I60" si="22">IFERROR(AVERAGE(P47,U47,Z47,AE47,AJ47,AO47,AT47),"-")</f>
        <v>-</v>
      </c>
      <c r="J47" s="381" t="str">
        <f t="shared" ref="J47:J60" si="23">IFERROR(AVERAGE(Q47,V47,AA47,AF47,AK47,AP47,AU47),"-")</f>
        <v>-</v>
      </c>
      <c r="K47" s="199" t="str">
        <f t="shared" ref="K47:K60" si="24">IFERROR(AVERAGE(R47,W47,AB47,AG47,AL47,AQ47,AV47),"-")</f>
        <v>-</v>
      </c>
      <c r="L47" s="658" t="str">
        <f>IFERROR(AVERAGE(K47:K61),"-")</f>
        <v>-</v>
      </c>
      <c r="M47" s="383" t="e">
        <f>RANK(K47, K$47:$K$61)</f>
        <v>#VALUE!</v>
      </c>
      <c r="N47" s="643"/>
      <c r="O47" s="643"/>
      <c r="P47" s="563"/>
      <c r="Q47" s="565"/>
      <c r="R47" s="565"/>
      <c r="S47" s="563"/>
      <c r="T47" s="638"/>
      <c r="U47" s="563"/>
      <c r="V47" s="565"/>
      <c r="W47" s="565"/>
      <c r="X47" s="563"/>
      <c r="Y47" s="638"/>
      <c r="Z47" s="563"/>
      <c r="AA47" s="565"/>
      <c r="AB47" s="565"/>
      <c r="AC47" s="563"/>
      <c r="AD47" s="638"/>
      <c r="AE47" s="563"/>
      <c r="AF47" s="565"/>
      <c r="AG47" s="565"/>
      <c r="AH47" s="563"/>
      <c r="AI47" s="638"/>
      <c r="AJ47" s="563"/>
      <c r="AK47" s="565"/>
      <c r="AL47" s="565"/>
      <c r="AM47" s="563"/>
      <c r="AN47" s="638"/>
      <c r="AO47" s="563"/>
      <c r="AP47" s="565"/>
      <c r="AQ47" s="565"/>
      <c r="AR47" s="563"/>
      <c r="AS47" s="638"/>
      <c r="AT47" s="563"/>
      <c r="AU47" s="565"/>
      <c r="AV47" s="565"/>
      <c r="AW47" s="563"/>
      <c r="AX47" s="638"/>
      <c r="AZ47" s="368" t="e">
        <f t="shared" ref="AZ47:AZ61" si="25">RANK(AY47, AY$47:AY$61)</f>
        <v>#N/A</v>
      </c>
      <c r="BA47" s="638" t="e">
        <f t="shared" ref="BA47" si="26">AVERAGE(AY47:AY61)</f>
        <v>#DIV/0!</v>
      </c>
    </row>
    <row r="48" spans="2:53">
      <c r="B48" s="649"/>
      <c r="C48" s="379">
        <v>2</v>
      </c>
      <c r="D48" s="225"/>
      <c r="E48" s="565"/>
      <c r="F48" s="563"/>
      <c r="G48" s="564"/>
      <c r="H48" s="703"/>
      <c r="I48" s="381" t="str">
        <f t="shared" si="22"/>
        <v>-</v>
      </c>
      <c r="J48" s="381" t="str">
        <f t="shared" si="23"/>
        <v>-</v>
      </c>
      <c r="K48" s="199" t="str">
        <f t="shared" si="24"/>
        <v>-</v>
      </c>
      <c r="L48" s="659"/>
      <c r="M48" s="417" t="e">
        <f>RANK(K48, K$47:$K$61)</f>
        <v>#VALUE!</v>
      </c>
      <c r="N48" s="643"/>
      <c r="O48" s="643"/>
      <c r="P48" s="563"/>
      <c r="Q48" s="565"/>
      <c r="R48" s="565"/>
      <c r="S48" s="563"/>
      <c r="T48" s="639"/>
      <c r="U48" s="563"/>
      <c r="V48" s="565"/>
      <c r="W48" s="565"/>
      <c r="X48" s="563"/>
      <c r="Y48" s="639"/>
      <c r="Z48" s="563"/>
      <c r="AA48" s="565"/>
      <c r="AB48" s="565"/>
      <c r="AC48" s="563"/>
      <c r="AD48" s="639"/>
      <c r="AE48" s="563"/>
      <c r="AF48" s="565"/>
      <c r="AG48" s="565"/>
      <c r="AH48" s="563"/>
      <c r="AI48" s="639"/>
      <c r="AJ48" s="563"/>
      <c r="AK48" s="565"/>
      <c r="AL48" s="565"/>
      <c r="AM48" s="563"/>
      <c r="AN48" s="639"/>
      <c r="AO48" s="563"/>
      <c r="AP48" s="565"/>
      <c r="AQ48" s="565"/>
      <c r="AR48" s="563"/>
      <c r="AS48" s="639"/>
      <c r="AT48" s="563"/>
      <c r="AU48" s="565"/>
      <c r="AV48" s="565"/>
      <c r="AW48" s="563"/>
      <c r="AX48" s="639"/>
      <c r="AZ48" s="368" t="e">
        <f t="shared" si="25"/>
        <v>#N/A</v>
      </c>
      <c r="BA48" s="639"/>
    </row>
    <row r="49" spans="2:53">
      <c r="B49" s="649"/>
      <c r="C49" s="379">
        <v>3</v>
      </c>
      <c r="D49" s="225"/>
      <c r="E49" s="565"/>
      <c r="F49" s="563"/>
      <c r="G49" s="564"/>
      <c r="H49" s="703"/>
      <c r="I49" s="381" t="str">
        <f t="shared" si="22"/>
        <v>-</v>
      </c>
      <c r="J49" s="381" t="str">
        <f t="shared" si="23"/>
        <v>-</v>
      </c>
      <c r="K49" s="199" t="str">
        <f t="shared" si="24"/>
        <v>-</v>
      </c>
      <c r="L49" s="659"/>
      <c r="M49" s="417" t="e">
        <f>RANK(K49, K$47:$K$61)</f>
        <v>#VALUE!</v>
      </c>
      <c r="N49" s="643"/>
      <c r="O49" s="643"/>
      <c r="P49" s="563"/>
      <c r="Q49" s="565"/>
      <c r="R49" s="565"/>
      <c r="S49" s="563"/>
      <c r="T49" s="639"/>
      <c r="U49" s="563"/>
      <c r="V49" s="565"/>
      <c r="W49" s="565"/>
      <c r="X49" s="563"/>
      <c r="Y49" s="639"/>
      <c r="Z49" s="563"/>
      <c r="AA49" s="565"/>
      <c r="AB49" s="565"/>
      <c r="AC49" s="563"/>
      <c r="AD49" s="639"/>
      <c r="AE49" s="563"/>
      <c r="AF49" s="565"/>
      <c r="AG49" s="565"/>
      <c r="AH49" s="563"/>
      <c r="AI49" s="639"/>
      <c r="AJ49" s="563"/>
      <c r="AK49" s="565"/>
      <c r="AL49" s="565"/>
      <c r="AM49" s="563"/>
      <c r="AN49" s="639"/>
      <c r="AO49" s="563"/>
      <c r="AP49" s="565"/>
      <c r="AQ49" s="565"/>
      <c r="AR49" s="563"/>
      <c r="AS49" s="639"/>
      <c r="AT49" s="563"/>
      <c r="AU49" s="565"/>
      <c r="AV49" s="565"/>
      <c r="AW49" s="563"/>
      <c r="AX49" s="639"/>
      <c r="AZ49" s="368" t="e">
        <f t="shared" si="25"/>
        <v>#N/A</v>
      </c>
      <c r="BA49" s="639"/>
    </row>
    <row r="50" spans="2:53">
      <c r="B50" s="649"/>
      <c r="C50" s="379">
        <v>4</v>
      </c>
      <c r="D50" s="225"/>
      <c r="E50" s="565"/>
      <c r="F50" s="563"/>
      <c r="G50" s="564"/>
      <c r="H50" s="703"/>
      <c r="I50" s="381" t="str">
        <f t="shared" si="22"/>
        <v>-</v>
      </c>
      <c r="J50" s="381" t="str">
        <f t="shared" si="23"/>
        <v>-</v>
      </c>
      <c r="K50" s="199" t="str">
        <f t="shared" si="24"/>
        <v>-</v>
      </c>
      <c r="L50" s="659"/>
      <c r="M50" s="417" t="e">
        <f>RANK(K50, K$47:$K$61)</f>
        <v>#VALUE!</v>
      </c>
      <c r="N50" s="643"/>
      <c r="O50" s="643"/>
      <c r="P50" s="563"/>
      <c r="Q50" s="565"/>
      <c r="R50" s="565"/>
      <c r="S50" s="563"/>
      <c r="T50" s="639"/>
      <c r="U50" s="563"/>
      <c r="V50" s="565"/>
      <c r="W50" s="565"/>
      <c r="X50" s="563"/>
      <c r="Y50" s="639"/>
      <c r="Z50" s="563"/>
      <c r="AA50" s="565"/>
      <c r="AB50" s="565"/>
      <c r="AC50" s="563"/>
      <c r="AD50" s="639"/>
      <c r="AE50" s="563"/>
      <c r="AF50" s="565"/>
      <c r="AG50" s="565"/>
      <c r="AH50" s="563"/>
      <c r="AI50" s="639"/>
      <c r="AJ50" s="563"/>
      <c r="AK50" s="565"/>
      <c r="AL50" s="565"/>
      <c r="AM50" s="563"/>
      <c r="AN50" s="639"/>
      <c r="AO50" s="563"/>
      <c r="AP50" s="565"/>
      <c r="AQ50" s="565"/>
      <c r="AR50" s="563"/>
      <c r="AS50" s="639"/>
      <c r="AT50" s="563"/>
      <c r="AU50" s="565"/>
      <c r="AV50" s="565"/>
      <c r="AW50" s="563"/>
      <c r="AX50" s="639"/>
      <c r="AZ50" s="368" t="e">
        <f t="shared" si="25"/>
        <v>#N/A</v>
      </c>
      <c r="BA50" s="639"/>
    </row>
    <row r="51" spans="2:53">
      <c r="B51" s="649"/>
      <c r="C51" s="379">
        <v>5</v>
      </c>
      <c r="D51" s="225"/>
      <c r="E51" s="565"/>
      <c r="F51" s="563"/>
      <c r="G51" s="564"/>
      <c r="H51" s="703"/>
      <c r="I51" s="381" t="str">
        <f t="shared" si="22"/>
        <v>-</v>
      </c>
      <c r="J51" s="381" t="str">
        <f t="shared" si="23"/>
        <v>-</v>
      </c>
      <c r="K51" s="199" t="str">
        <f t="shared" si="24"/>
        <v>-</v>
      </c>
      <c r="L51" s="659"/>
      <c r="M51" s="417" t="e">
        <f>RANK(K51, K$47:$K$61)</f>
        <v>#VALUE!</v>
      </c>
      <c r="N51" s="643"/>
      <c r="O51" s="643"/>
      <c r="P51" s="563"/>
      <c r="Q51" s="565"/>
      <c r="R51" s="565"/>
      <c r="S51" s="563"/>
      <c r="T51" s="639"/>
      <c r="U51" s="563"/>
      <c r="V51" s="565"/>
      <c r="W51" s="565"/>
      <c r="X51" s="563"/>
      <c r="Y51" s="639"/>
      <c r="Z51" s="563"/>
      <c r="AA51" s="565"/>
      <c r="AB51" s="565"/>
      <c r="AC51" s="563"/>
      <c r="AD51" s="639"/>
      <c r="AE51" s="563"/>
      <c r="AF51" s="565"/>
      <c r="AG51" s="565"/>
      <c r="AH51" s="563"/>
      <c r="AI51" s="639"/>
      <c r="AJ51" s="563"/>
      <c r="AK51" s="565"/>
      <c r="AL51" s="565"/>
      <c r="AM51" s="563"/>
      <c r="AN51" s="639"/>
      <c r="AO51" s="563"/>
      <c r="AP51" s="565"/>
      <c r="AQ51" s="565"/>
      <c r="AR51" s="563"/>
      <c r="AS51" s="639"/>
      <c r="AT51" s="563"/>
      <c r="AU51" s="565"/>
      <c r="AV51" s="565"/>
      <c r="AW51" s="563"/>
      <c r="AX51" s="639"/>
      <c r="AZ51" s="368" t="e">
        <f t="shared" si="25"/>
        <v>#N/A</v>
      </c>
      <c r="BA51" s="639"/>
    </row>
    <row r="52" spans="2:53">
      <c r="B52" s="649"/>
      <c r="C52" s="379">
        <v>6</v>
      </c>
      <c r="D52" s="225"/>
      <c r="E52" s="565"/>
      <c r="F52" s="563"/>
      <c r="G52" s="564"/>
      <c r="H52" s="703"/>
      <c r="I52" s="381" t="str">
        <f t="shared" si="22"/>
        <v>-</v>
      </c>
      <c r="J52" s="381" t="str">
        <f t="shared" si="23"/>
        <v>-</v>
      </c>
      <c r="K52" s="199" t="str">
        <f t="shared" si="24"/>
        <v>-</v>
      </c>
      <c r="L52" s="659"/>
      <c r="M52" s="417" t="e">
        <f>RANK(K52, K$47:$K$61)</f>
        <v>#VALUE!</v>
      </c>
      <c r="N52" s="643"/>
      <c r="O52" s="643"/>
      <c r="P52" s="563"/>
      <c r="Q52" s="565"/>
      <c r="R52" s="565"/>
      <c r="S52" s="563"/>
      <c r="T52" s="639"/>
      <c r="U52" s="563"/>
      <c r="V52" s="565"/>
      <c r="W52" s="565"/>
      <c r="X52" s="563"/>
      <c r="Y52" s="639"/>
      <c r="Z52" s="563"/>
      <c r="AA52" s="565"/>
      <c r="AB52" s="565"/>
      <c r="AC52" s="563"/>
      <c r="AD52" s="639"/>
      <c r="AE52" s="563"/>
      <c r="AF52" s="565"/>
      <c r="AG52" s="565"/>
      <c r="AH52" s="563"/>
      <c r="AI52" s="639"/>
      <c r="AJ52" s="563"/>
      <c r="AK52" s="565"/>
      <c r="AL52" s="565"/>
      <c r="AM52" s="563"/>
      <c r="AN52" s="639"/>
      <c r="AO52" s="563"/>
      <c r="AP52" s="565"/>
      <c r="AQ52" s="565"/>
      <c r="AR52" s="563"/>
      <c r="AS52" s="639"/>
      <c r="AT52" s="563"/>
      <c r="AU52" s="565"/>
      <c r="AV52" s="565"/>
      <c r="AW52" s="563"/>
      <c r="AX52" s="639"/>
      <c r="AZ52" s="368" t="e">
        <f t="shared" si="25"/>
        <v>#N/A</v>
      </c>
      <c r="BA52" s="639"/>
    </row>
    <row r="53" spans="2:53">
      <c r="B53" s="649"/>
      <c r="C53" s="379">
        <v>7</v>
      </c>
      <c r="D53" s="225"/>
      <c r="E53" s="565"/>
      <c r="F53" s="563"/>
      <c r="G53" s="564"/>
      <c r="H53" s="703"/>
      <c r="I53" s="381" t="str">
        <f t="shared" si="22"/>
        <v>-</v>
      </c>
      <c r="J53" s="381" t="str">
        <f t="shared" si="23"/>
        <v>-</v>
      </c>
      <c r="K53" s="199" t="str">
        <f t="shared" si="24"/>
        <v>-</v>
      </c>
      <c r="L53" s="659"/>
      <c r="M53" s="417" t="e">
        <f>RANK(K53, K$47:$K$61)</f>
        <v>#VALUE!</v>
      </c>
      <c r="N53" s="643"/>
      <c r="O53" s="643"/>
      <c r="P53" s="563"/>
      <c r="Q53" s="565"/>
      <c r="R53" s="565"/>
      <c r="S53" s="563"/>
      <c r="T53" s="639"/>
      <c r="U53" s="563"/>
      <c r="V53" s="565"/>
      <c r="W53" s="565"/>
      <c r="X53" s="563"/>
      <c r="Y53" s="639"/>
      <c r="Z53" s="563"/>
      <c r="AA53" s="565"/>
      <c r="AB53" s="565"/>
      <c r="AC53" s="563"/>
      <c r="AD53" s="639"/>
      <c r="AE53" s="563"/>
      <c r="AF53" s="565"/>
      <c r="AG53" s="565"/>
      <c r="AH53" s="563"/>
      <c r="AI53" s="639"/>
      <c r="AJ53" s="563"/>
      <c r="AK53" s="565"/>
      <c r="AL53" s="565"/>
      <c r="AM53" s="563"/>
      <c r="AN53" s="639"/>
      <c r="AO53" s="563"/>
      <c r="AP53" s="565"/>
      <c r="AQ53" s="565"/>
      <c r="AR53" s="563"/>
      <c r="AS53" s="639"/>
      <c r="AT53" s="563"/>
      <c r="AU53" s="565"/>
      <c r="AV53" s="565"/>
      <c r="AW53" s="563"/>
      <c r="AX53" s="639"/>
      <c r="AZ53" s="368" t="e">
        <f t="shared" si="25"/>
        <v>#N/A</v>
      </c>
      <c r="BA53" s="639"/>
    </row>
    <row r="54" spans="2:53">
      <c r="B54" s="649"/>
      <c r="C54" s="379">
        <v>8</v>
      </c>
      <c r="D54" s="225"/>
      <c r="E54" s="565"/>
      <c r="F54" s="563"/>
      <c r="G54" s="564"/>
      <c r="H54" s="703"/>
      <c r="I54" s="381" t="str">
        <f t="shared" si="22"/>
        <v>-</v>
      </c>
      <c r="J54" s="381" t="str">
        <f t="shared" si="23"/>
        <v>-</v>
      </c>
      <c r="K54" s="199" t="str">
        <f t="shared" si="24"/>
        <v>-</v>
      </c>
      <c r="L54" s="659"/>
      <c r="M54" s="417" t="e">
        <f>RANK(K54, K$47:$K$61)</f>
        <v>#VALUE!</v>
      </c>
      <c r="N54" s="643"/>
      <c r="O54" s="643"/>
      <c r="P54" s="563"/>
      <c r="Q54" s="565"/>
      <c r="R54" s="565"/>
      <c r="S54" s="563"/>
      <c r="T54" s="639"/>
      <c r="U54" s="563"/>
      <c r="V54" s="565"/>
      <c r="W54" s="565"/>
      <c r="X54" s="563"/>
      <c r="Y54" s="639"/>
      <c r="Z54" s="563"/>
      <c r="AA54" s="565"/>
      <c r="AB54" s="565"/>
      <c r="AC54" s="563"/>
      <c r="AD54" s="639"/>
      <c r="AE54" s="563"/>
      <c r="AF54" s="565"/>
      <c r="AG54" s="565"/>
      <c r="AH54" s="563"/>
      <c r="AI54" s="639"/>
      <c r="AJ54" s="563"/>
      <c r="AK54" s="565"/>
      <c r="AL54" s="565"/>
      <c r="AM54" s="563"/>
      <c r="AN54" s="639"/>
      <c r="AO54" s="563"/>
      <c r="AP54" s="565"/>
      <c r="AQ54" s="565"/>
      <c r="AR54" s="563"/>
      <c r="AS54" s="639"/>
      <c r="AT54" s="563"/>
      <c r="AU54" s="565"/>
      <c r="AV54" s="565"/>
      <c r="AW54" s="563"/>
      <c r="AX54" s="639"/>
      <c r="AZ54" s="368" t="e">
        <f t="shared" si="25"/>
        <v>#N/A</v>
      </c>
      <c r="BA54" s="639"/>
    </row>
    <row r="55" spans="2:53">
      <c r="B55" s="649"/>
      <c r="C55" s="379">
        <v>9</v>
      </c>
      <c r="D55" s="225"/>
      <c r="E55" s="565"/>
      <c r="F55" s="563"/>
      <c r="G55" s="564"/>
      <c r="H55" s="703"/>
      <c r="I55" s="381" t="str">
        <f t="shared" si="22"/>
        <v>-</v>
      </c>
      <c r="J55" s="381" t="str">
        <f t="shared" si="23"/>
        <v>-</v>
      </c>
      <c r="K55" s="199" t="str">
        <f t="shared" si="24"/>
        <v>-</v>
      </c>
      <c r="L55" s="659"/>
      <c r="M55" s="417" t="e">
        <f>RANK(K55, K$47:$K$61)</f>
        <v>#VALUE!</v>
      </c>
      <c r="N55" s="643"/>
      <c r="O55" s="643"/>
      <c r="P55" s="563"/>
      <c r="Q55" s="565"/>
      <c r="R55" s="565"/>
      <c r="S55" s="563"/>
      <c r="T55" s="639"/>
      <c r="U55" s="563"/>
      <c r="V55" s="565"/>
      <c r="W55" s="565"/>
      <c r="X55" s="563"/>
      <c r="Y55" s="639"/>
      <c r="Z55" s="563"/>
      <c r="AA55" s="565"/>
      <c r="AB55" s="565"/>
      <c r="AC55" s="563"/>
      <c r="AD55" s="639"/>
      <c r="AE55" s="563"/>
      <c r="AF55" s="565"/>
      <c r="AG55" s="565"/>
      <c r="AH55" s="563"/>
      <c r="AI55" s="639"/>
      <c r="AJ55" s="563"/>
      <c r="AK55" s="565"/>
      <c r="AL55" s="565"/>
      <c r="AM55" s="563"/>
      <c r="AN55" s="639"/>
      <c r="AO55" s="563"/>
      <c r="AP55" s="565"/>
      <c r="AQ55" s="565"/>
      <c r="AR55" s="563"/>
      <c r="AS55" s="639"/>
      <c r="AT55" s="563"/>
      <c r="AU55" s="565"/>
      <c r="AV55" s="565"/>
      <c r="AW55" s="563"/>
      <c r="AX55" s="639"/>
      <c r="AZ55" s="368" t="e">
        <f t="shared" si="25"/>
        <v>#N/A</v>
      </c>
      <c r="BA55" s="639"/>
    </row>
    <row r="56" spans="2:53">
      <c r="B56" s="649"/>
      <c r="C56" s="379">
        <v>10</v>
      </c>
      <c r="D56" s="225"/>
      <c r="E56" s="565"/>
      <c r="F56" s="563"/>
      <c r="G56" s="564"/>
      <c r="H56" s="703"/>
      <c r="I56" s="381" t="str">
        <f t="shared" si="22"/>
        <v>-</v>
      </c>
      <c r="J56" s="381" t="str">
        <f t="shared" si="23"/>
        <v>-</v>
      </c>
      <c r="K56" s="199" t="str">
        <f t="shared" si="24"/>
        <v>-</v>
      </c>
      <c r="L56" s="659"/>
      <c r="M56" s="417" t="e">
        <f>RANK(K56, K$47:$K$61)</f>
        <v>#VALUE!</v>
      </c>
      <c r="N56" s="643"/>
      <c r="O56" s="643"/>
      <c r="P56" s="563"/>
      <c r="Q56" s="565"/>
      <c r="R56" s="565"/>
      <c r="S56" s="563"/>
      <c r="T56" s="639"/>
      <c r="U56" s="563"/>
      <c r="V56" s="565"/>
      <c r="W56" s="565"/>
      <c r="X56" s="563"/>
      <c r="Y56" s="639"/>
      <c r="Z56" s="563"/>
      <c r="AA56" s="565"/>
      <c r="AB56" s="565"/>
      <c r="AC56" s="563"/>
      <c r="AD56" s="639"/>
      <c r="AE56" s="563"/>
      <c r="AF56" s="565"/>
      <c r="AG56" s="565"/>
      <c r="AH56" s="563"/>
      <c r="AI56" s="639"/>
      <c r="AJ56" s="563"/>
      <c r="AK56" s="565"/>
      <c r="AL56" s="565"/>
      <c r="AM56" s="563"/>
      <c r="AN56" s="639"/>
      <c r="AO56" s="563"/>
      <c r="AP56" s="565"/>
      <c r="AQ56" s="565"/>
      <c r="AR56" s="563"/>
      <c r="AS56" s="639"/>
      <c r="AT56" s="563"/>
      <c r="AU56" s="565"/>
      <c r="AV56" s="565"/>
      <c r="AW56" s="563"/>
      <c r="AX56" s="639"/>
      <c r="AZ56" s="368" t="e">
        <f t="shared" si="25"/>
        <v>#N/A</v>
      </c>
      <c r="BA56" s="639"/>
    </row>
    <row r="57" spans="2:53">
      <c r="B57" s="649"/>
      <c r="C57" s="379">
        <v>11</v>
      </c>
      <c r="D57" s="225"/>
      <c r="E57" s="565"/>
      <c r="F57" s="563"/>
      <c r="G57" s="564"/>
      <c r="H57" s="703"/>
      <c r="I57" s="381" t="str">
        <f t="shared" si="22"/>
        <v>-</v>
      </c>
      <c r="J57" s="381" t="str">
        <f t="shared" si="23"/>
        <v>-</v>
      </c>
      <c r="K57" s="199" t="str">
        <f t="shared" si="24"/>
        <v>-</v>
      </c>
      <c r="L57" s="659"/>
      <c r="M57" s="417" t="e">
        <f>RANK(K57, K$47:$K$61)</f>
        <v>#VALUE!</v>
      </c>
      <c r="N57" s="643"/>
      <c r="O57" s="643"/>
      <c r="P57" s="563"/>
      <c r="Q57" s="565"/>
      <c r="R57" s="565"/>
      <c r="S57" s="563"/>
      <c r="T57" s="639"/>
      <c r="U57" s="563"/>
      <c r="V57" s="565"/>
      <c r="W57" s="565"/>
      <c r="X57" s="563"/>
      <c r="Y57" s="639"/>
      <c r="Z57" s="563"/>
      <c r="AA57" s="565"/>
      <c r="AB57" s="565"/>
      <c r="AC57" s="563"/>
      <c r="AD57" s="639"/>
      <c r="AE57" s="563"/>
      <c r="AF57" s="565"/>
      <c r="AG57" s="565"/>
      <c r="AH57" s="563"/>
      <c r="AI57" s="639"/>
      <c r="AJ57" s="563"/>
      <c r="AK57" s="565"/>
      <c r="AL57" s="565"/>
      <c r="AM57" s="563"/>
      <c r="AN57" s="639"/>
      <c r="AO57" s="563"/>
      <c r="AP57" s="565"/>
      <c r="AQ57" s="565"/>
      <c r="AR57" s="563"/>
      <c r="AS57" s="639"/>
      <c r="AT57" s="563"/>
      <c r="AU57" s="565"/>
      <c r="AV57" s="565"/>
      <c r="AW57" s="563"/>
      <c r="AX57" s="639"/>
      <c r="AZ57" s="368" t="e">
        <f t="shared" si="25"/>
        <v>#N/A</v>
      </c>
      <c r="BA57" s="639"/>
    </row>
    <row r="58" spans="2:53">
      <c r="B58" s="649"/>
      <c r="C58" s="379">
        <v>12</v>
      </c>
      <c r="D58" s="225"/>
      <c r="E58" s="565"/>
      <c r="F58" s="563"/>
      <c r="G58" s="564"/>
      <c r="H58" s="703"/>
      <c r="I58" s="381" t="str">
        <f t="shared" si="22"/>
        <v>-</v>
      </c>
      <c r="J58" s="381" t="str">
        <f t="shared" si="23"/>
        <v>-</v>
      </c>
      <c r="K58" s="199" t="str">
        <f t="shared" si="24"/>
        <v>-</v>
      </c>
      <c r="L58" s="659"/>
      <c r="M58" s="417" t="e">
        <f>RANK(K58, K$47:$K$61)</f>
        <v>#VALUE!</v>
      </c>
      <c r="N58" s="643"/>
      <c r="O58" s="643"/>
      <c r="P58" s="563"/>
      <c r="Q58" s="565"/>
      <c r="R58" s="565"/>
      <c r="S58" s="563"/>
      <c r="T58" s="639"/>
      <c r="U58" s="563"/>
      <c r="V58" s="565"/>
      <c r="W58" s="565"/>
      <c r="X58" s="563"/>
      <c r="Y58" s="639"/>
      <c r="Z58" s="563"/>
      <c r="AA58" s="565"/>
      <c r="AB58" s="565"/>
      <c r="AC58" s="563"/>
      <c r="AD58" s="639"/>
      <c r="AE58" s="563"/>
      <c r="AF58" s="565"/>
      <c r="AG58" s="565"/>
      <c r="AH58" s="563"/>
      <c r="AI58" s="639"/>
      <c r="AJ58" s="563"/>
      <c r="AK58" s="565"/>
      <c r="AL58" s="565"/>
      <c r="AM58" s="563"/>
      <c r="AN58" s="639"/>
      <c r="AO58" s="563"/>
      <c r="AP58" s="565"/>
      <c r="AQ58" s="565"/>
      <c r="AR58" s="563"/>
      <c r="AS58" s="639"/>
      <c r="AT58" s="563"/>
      <c r="AU58" s="565"/>
      <c r="AV58" s="565"/>
      <c r="AW58" s="563"/>
      <c r="AX58" s="639"/>
      <c r="AZ58" s="368" t="e">
        <f t="shared" si="25"/>
        <v>#N/A</v>
      </c>
      <c r="BA58" s="639"/>
    </row>
    <row r="59" spans="2:53">
      <c r="B59" s="649"/>
      <c r="C59" s="379">
        <v>13</v>
      </c>
      <c r="D59" s="225"/>
      <c r="E59" s="565"/>
      <c r="F59" s="563"/>
      <c r="G59" s="564"/>
      <c r="H59" s="703"/>
      <c r="I59" s="381" t="str">
        <f t="shared" si="22"/>
        <v>-</v>
      </c>
      <c r="J59" s="381" t="str">
        <f t="shared" si="23"/>
        <v>-</v>
      </c>
      <c r="K59" s="199" t="str">
        <f t="shared" si="24"/>
        <v>-</v>
      </c>
      <c r="L59" s="659"/>
      <c r="M59" s="417" t="e">
        <f>RANK(K59, K$47:$K$61)</f>
        <v>#VALUE!</v>
      </c>
      <c r="N59" s="643"/>
      <c r="O59" s="643"/>
      <c r="P59" s="563"/>
      <c r="Q59" s="565"/>
      <c r="R59" s="565"/>
      <c r="S59" s="563"/>
      <c r="T59" s="639"/>
      <c r="U59" s="563"/>
      <c r="V59" s="565"/>
      <c r="W59" s="565"/>
      <c r="X59" s="563"/>
      <c r="Y59" s="639"/>
      <c r="Z59" s="563"/>
      <c r="AA59" s="565"/>
      <c r="AB59" s="565"/>
      <c r="AC59" s="563"/>
      <c r="AD59" s="639"/>
      <c r="AE59" s="563"/>
      <c r="AF59" s="565"/>
      <c r="AG59" s="565"/>
      <c r="AH59" s="563"/>
      <c r="AI59" s="639"/>
      <c r="AJ59" s="563"/>
      <c r="AK59" s="565"/>
      <c r="AL59" s="565"/>
      <c r="AM59" s="563"/>
      <c r="AN59" s="639"/>
      <c r="AO59" s="563"/>
      <c r="AP59" s="565"/>
      <c r="AQ59" s="565"/>
      <c r="AR59" s="563"/>
      <c r="AS59" s="639"/>
      <c r="AT59" s="563"/>
      <c r="AU59" s="565"/>
      <c r="AV59" s="565"/>
      <c r="AW59" s="563"/>
      <c r="AX59" s="639"/>
      <c r="AZ59" s="368" t="e">
        <f t="shared" si="25"/>
        <v>#N/A</v>
      </c>
      <c r="BA59" s="639"/>
    </row>
    <row r="60" spans="2:53">
      <c r="B60" s="649"/>
      <c r="C60" s="379">
        <v>14</v>
      </c>
      <c r="D60" s="225"/>
      <c r="E60" s="565"/>
      <c r="F60" s="563"/>
      <c r="G60" s="564"/>
      <c r="H60" s="703"/>
      <c r="I60" s="381" t="str">
        <f t="shared" si="22"/>
        <v>-</v>
      </c>
      <c r="J60" s="381" t="str">
        <f t="shared" si="23"/>
        <v>-</v>
      </c>
      <c r="K60" s="199" t="str">
        <f t="shared" si="24"/>
        <v>-</v>
      </c>
      <c r="L60" s="659"/>
      <c r="M60" s="417" t="e">
        <f>RANK(K60, K$47:$K$61)</f>
        <v>#VALUE!</v>
      </c>
      <c r="N60" s="643"/>
      <c r="O60" s="643"/>
      <c r="P60" s="563"/>
      <c r="Q60" s="565"/>
      <c r="R60" s="565"/>
      <c r="S60" s="563"/>
      <c r="T60" s="639"/>
      <c r="U60" s="563"/>
      <c r="V60" s="565"/>
      <c r="W60" s="565"/>
      <c r="X60" s="563"/>
      <c r="Y60" s="639"/>
      <c r="Z60" s="563"/>
      <c r="AA60" s="565"/>
      <c r="AB60" s="565"/>
      <c r="AC60" s="563"/>
      <c r="AD60" s="639"/>
      <c r="AE60" s="563"/>
      <c r="AF60" s="565"/>
      <c r="AG60" s="565"/>
      <c r="AH60" s="563"/>
      <c r="AI60" s="639"/>
      <c r="AJ60" s="563"/>
      <c r="AK60" s="565"/>
      <c r="AL60" s="565"/>
      <c r="AM60" s="563"/>
      <c r="AN60" s="639"/>
      <c r="AO60" s="563"/>
      <c r="AP60" s="565"/>
      <c r="AQ60" s="565"/>
      <c r="AR60" s="563"/>
      <c r="AS60" s="639"/>
      <c r="AT60" s="563"/>
      <c r="AU60" s="565"/>
      <c r="AV60" s="565"/>
      <c r="AW60" s="563"/>
      <c r="AX60" s="639"/>
      <c r="AZ60" s="368" t="e">
        <f t="shared" si="25"/>
        <v>#N/A</v>
      </c>
      <c r="BA60" s="639"/>
    </row>
    <row r="61" spans="2:53">
      <c r="B61" s="649"/>
      <c r="C61" s="379">
        <v>15</v>
      </c>
      <c r="D61" s="225"/>
      <c r="E61" s="565"/>
      <c r="F61" s="563"/>
      <c r="G61" s="564"/>
      <c r="H61" s="704"/>
      <c r="I61" s="419" t="str">
        <f t="shared" ref="I61" si="27">IFERROR(AVERAGE(P61,U61,Z61,AE61,AJ61,AO61,AT61),"-")</f>
        <v>-</v>
      </c>
      <c r="J61" s="419" t="str">
        <f t="shared" ref="J61" si="28">IFERROR(AVERAGE(Q61,V61,AA61,AF61,AK61,AP61,AU61),"-")</f>
        <v>-</v>
      </c>
      <c r="K61" s="199" t="str">
        <f t="shared" ref="K61" si="29">IFERROR(AVERAGE(R61,W61,AB61,AG61,AL61,AQ61,AV61),"-")</f>
        <v>-</v>
      </c>
      <c r="L61" s="660"/>
      <c r="M61" s="417" t="e">
        <f>RANK(K61, K$47:$K$61)</f>
        <v>#VALUE!</v>
      </c>
      <c r="N61" s="643"/>
      <c r="O61" s="643"/>
      <c r="P61" s="563"/>
      <c r="Q61" s="565"/>
      <c r="R61" s="565"/>
      <c r="S61" s="563"/>
      <c r="T61" s="640"/>
      <c r="U61" s="563"/>
      <c r="V61" s="565"/>
      <c r="W61" s="565"/>
      <c r="X61" s="563"/>
      <c r="Y61" s="640"/>
      <c r="Z61" s="563"/>
      <c r="AA61" s="565"/>
      <c r="AB61" s="565"/>
      <c r="AC61" s="563"/>
      <c r="AD61" s="640"/>
      <c r="AE61" s="563"/>
      <c r="AF61" s="565"/>
      <c r="AG61" s="565"/>
      <c r="AH61" s="563"/>
      <c r="AI61" s="640"/>
      <c r="AJ61" s="563"/>
      <c r="AK61" s="565"/>
      <c r="AL61" s="565"/>
      <c r="AM61" s="563"/>
      <c r="AN61" s="640"/>
      <c r="AO61" s="563"/>
      <c r="AP61" s="565"/>
      <c r="AQ61" s="565"/>
      <c r="AR61" s="563"/>
      <c r="AS61" s="640"/>
      <c r="AT61" s="563"/>
      <c r="AU61" s="565"/>
      <c r="AV61" s="565"/>
      <c r="AW61" s="563"/>
      <c r="AX61" s="640"/>
      <c r="AZ61" s="368" t="e">
        <f t="shared" si="25"/>
        <v>#N/A</v>
      </c>
      <c r="BA61" s="640"/>
    </row>
    <row r="62" spans="2:53" ht="15.75">
      <c r="B62" s="671" t="s">
        <v>162</v>
      </c>
      <c r="C62" s="672"/>
      <c r="D62" s="672"/>
      <c r="E62" s="672"/>
      <c r="F62" s="672"/>
      <c r="G62" s="672"/>
      <c r="H62" s="673"/>
      <c r="I62" s="207"/>
      <c r="J62" s="207"/>
      <c r="K62" s="207"/>
      <c r="L62" s="207"/>
      <c r="M62" s="206"/>
      <c r="N62" s="645" t="s">
        <v>156</v>
      </c>
      <c r="O62" s="645" t="s">
        <v>105</v>
      </c>
      <c r="P62" s="670">
        <f>P42+7</f>
        <v>46287</v>
      </c>
      <c r="Q62" s="649"/>
      <c r="R62" s="649"/>
      <c r="S62" s="649"/>
      <c r="T62" s="649"/>
      <c r="U62" s="667">
        <f>P62+1</f>
        <v>46288</v>
      </c>
      <c r="V62" s="668"/>
      <c r="W62" s="668"/>
      <c r="X62" s="668"/>
      <c r="Y62" s="669"/>
      <c r="Z62" s="667">
        <f>U62+1</f>
        <v>46289</v>
      </c>
      <c r="AA62" s="668"/>
      <c r="AB62" s="668"/>
      <c r="AC62" s="668"/>
      <c r="AD62" s="669"/>
      <c r="AE62" s="667">
        <f>Z62+1</f>
        <v>46290</v>
      </c>
      <c r="AF62" s="668"/>
      <c r="AG62" s="668"/>
      <c r="AH62" s="668"/>
      <c r="AI62" s="669"/>
      <c r="AJ62" s="667">
        <f>AE62+1</f>
        <v>46291</v>
      </c>
      <c r="AK62" s="668"/>
      <c r="AL62" s="668"/>
      <c r="AM62" s="668"/>
      <c r="AN62" s="669"/>
      <c r="AO62" s="667">
        <f>AJ62+1</f>
        <v>46292</v>
      </c>
      <c r="AP62" s="668"/>
      <c r="AQ62" s="668"/>
      <c r="AR62" s="668"/>
      <c r="AS62" s="669"/>
      <c r="AT62" s="667">
        <f>AO62+1</f>
        <v>46293</v>
      </c>
      <c r="AU62" s="668"/>
      <c r="AV62" s="668"/>
      <c r="AW62" s="668"/>
      <c r="AX62" s="669"/>
    </row>
    <row r="63" spans="2:53" ht="15.75">
      <c r="B63" s="674"/>
      <c r="C63" s="674"/>
      <c r="D63" s="674"/>
      <c r="E63" s="674"/>
      <c r="F63" s="674"/>
      <c r="G63" s="674"/>
      <c r="H63" s="674"/>
      <c r="I63" s="204"/>
      <c r="J63" s="204"/>
      <c r="K63" s="204"/>
      <c r="L63" s="204"/>
      <c r="M63" s="205"/>
      <c r="N63" s="647"/>
      <c r="O63" s="647"/>
      <c r="P63" s="670" t="s">
        <v>317</v>
      </c>
      <c r="Q63" s="649"/>
      <c r="R63" s="649"/>
      <c r="S63" s="649"/>
      <c r="T63" s="649"/>
      <c r="U63" s="670" t="s">
        <v>318</v>
      </c>
      <c r="V63" s="649"/>
      <c r="W63" s="649"/>
      <c r="X63" s="649"/>
      <c r="Y63" s="649"/>
      <c r="Z63" s="670" t="s">
        <v>319</v>
      </c>
      <c r="AA63" s="649"/>
      <c r="AB63" s="649"/>
      <c r="AC63" s="649"/>
      <c r="AD63" s="649"/>
      <c r="AE63" s="670" t="s">
        <v>320</v>
      </c>
      <c r="AF63" s="649"/>
      <c r="AG63" s="649"/>
      <c r="AH63" s="649"/>
      <c r="AI63" s="649"/>
      <c r="AJ63" s="670" t="s">
        <v>321</v>
      </c>
      <c r="AK63" s="649"/>
      <c r="AL63" s="649"/>
      <c r="AM63" s="649"/>
      <c r="AN63" s="649"/>
      <c r="AO63" s="670" t="s">
        <v>322</v>
      </c>
      <c r="AP63" s="649"/>
      <c r="AQ63" s="649"/>
      <c r="AR63" s="649"/>
      <c r="AS63" s="649"/>
      <c r="AT63" s="670" t="s">
        <v>323</v>
      </c>
      <c r="AU63" s="649"/>
      <c r="AV63" s="649"/>
      <c r="AW63" s="649"/>
      <c r="AX63" s="649"/>
    </row>
    <row r="64" spans="2:53">
      <c r="B64" s="643" t="s">
        <v>362</v>
      </c>
      <c r="C64" s="643" t="s">
        <v>372</v>
      </c>
      <c r="D64" s="643"/>
      <c r="E64" s="643" t="s">
        <v>363</v>
      </c>
      <c r="F64" s="643"/>
      <c r="G64" s="643"/>
      <c r="H64" s="675" t="s">
        <v>359</v>
      </c>
      <c r="I64" s="690" t="s">
        <v>364</v>
      </c>
      <c r="J64" s="690"/>
      <c r="K64" s="690"/>
      <c r="L64" s="691" t="s">
        <v>359</v>
      </c>
      <c r="M64" s="679" t="s">
        <v>360</v>
      </c>
      <c r="N64" s="643"/>
      <c r="O64" s="643" t="s">
        <v>365</v>
      </c>
      <c r="P64" s="661" t="s">
        <v>361</v>
      </c>
      <c r="Q64" s="662"/>
      <c r="R64" s="662"/>
      <c r="S64" s="663"/>
      <c r="T64" s="643" t="s">
        <v>359</v>
      </c>
      <c r="U64" s="661" t="s">
        <v>361</v>
      </c>
      <c r="V64" s="662"/>
      <c r="W64" s="662"/>
      <c r="X64" s="663"/>
      <c r="Y64" s="643" t="s">
        <v>359</v>
      </c>
      <c r="Z64" s="661" t="s">
        <v>361</v>
      </c>
      <c r="AA64" s="662"/>
      <c r="AB64" s="662"/>
      <c r="AC64" s="663"/>
      <c r="AD64" s="643" t="s">
        <v>359</v>
      </c>
      <c r="AE64" s="661" t="s">
        <v>361</v>
      </c>
      <c r="AF64" s="662"/>
      <c r="AG64" s="662"/>
      <c r="AH64" s="663"/>
      <c r="AI64" s="643" t="s">
        <v>359</v>
      </c>
      <c r="AJ64" s="661" t="s">
        <v>361</v>
      </c>
      <c r="AK64" s="662"/>
      <c r="AL64" s="662"/>
      <c r="AM64" s="663"/>
      <c r="AN64" s="643" t="s">
        <v>359</v>
      </c>
      <c r="AO64" s="661" t="s">
        <v>361</v>
      </c>
      <c r="AP64" s="662"/>
      <c r="AQ64" s="662"/>
      <c r="AR64" s="663"/>
      <c r="AS64" s="643" t="s">
        <v>359</v>
      </c>
      <c r="AT64" s="661" t="s">
        <v>361</v>
      </c>
      <c r="AU64" s="662"/>
      <c r="AV64" s="662"/>
      <c r="AW64" s="663"/>
      <c r="AX64" s="643" t="s">
        <v>359</v>
      </c>
      <c r="BA64" s="643" t="s">
        <v>359</v>
      </c>
    </row>
    <row r="65" spans="2:53">
      <c r="B65" s="643"/>
      <c r="C65" s="643"/>
      <c r="D65" s="643"/>
      <c r="E65" s="643" t="s">
        <v>366</v>
      </c>
      <c r="F65" s="643"/>
      <c r="G65" s="643"/>
      <c r="H65" s="676"/>
      <c r="I65" s="690" t="s">
        <v>366</v>
      </c>
      <c r="J65" s="690"/>
      <c r="K65" s="690"/>
      <c r="L65" s="692"/>
      <c r="M65" s="680"/>
      <c r="N65" s="643"/>
      <c r="O65" s="643"/>
      <c r="P65" s="661" t="s">
        <v>367</v>
      </c>
      <c r="Q65" s="662"/>
      <c r="R65" s="662"/>
      <c r="S65" s="663"/>
      <c r="T65" s="643"/>
      <c r="U65" s="661" t="s">
        <v>367</v>
      </c>
      <c r="V65" s="662"/>
      <c r="W65" s="662"/>
      <c r="X65" s="663"/>
      <c r="Y65" s="643"/>
      <c r="Z65" s="661" t="s">
        <v>367</v>
      </c>
      <c r="AA65" s="662"/>
      <c r="AB65" s="662"/>
      <c r="AC65" s="663"/>
      <c r="AD65" s="643"/>
      <c r="AE65" s="661" t="s">
        <v>367</v>
      </c>
      <c r="AF65" s="662"/>
      <c r="AG65" s="662"/>
      <c r="AH65" s="663"/>
      <c r="AI65" s="643"/>
      <c r="AJ65" s="661" t="s">
        <v>367</v>
      </c>
      <c r="AK65" s="662"/>
      <c r="AL65" s="662"/>
      <c r="AM65" s="663"/>
      <c r="AN65" s="643"/>
      <c r="AO65" s="661" t="s">
        <v>367</v>
      </c>
      <c r="AP65" s="662"/>
      <c r="AQ65" s="662"/>
      <c r="AR65" s="663"/>
      <c r="AS65" s="643"/>
      <c r="AT65" s="661" t="s">
        <v>367</v>
      </c>
      <c r="AU65" s="662"/>
      <c r="AV65" s="662"/>
      <c r="AW65" s="663"/>
      <c r="AX65" s="643"/>
      <c r="BA65" s="643"/>
    </row>
    <row r="66" spans="2:53">
      <c r="B66" s="643"/>
      <c r="C66" s="643"/>
      <c r="D66" s="643"/>
      <c r="E66" s="378" t="s">
        <v>368</v>
      </c>
      <c r="F66" s="378" t="s">
        <v>369</v>
      </c>
      <c r="G66" s="378" t="s">
        <v>370</v>
      </c>
      <c r="H66" s="677"/>
      <c r="I66" s="377" t="s">
        <v>368</v>
      </c>
      <c r="J66" s="377" t="s">
        <v>369</v>
      </c>
      <c r="K66" s="377" t="s">
        <v>370</v>
      </c>
      <c r="L66" s="693"/>
      <c r="M66" s="681"/>
      <c r="N66" s="643"/>
      <c r="O66" s="643"/>
      <c r="P66" s="378" t="s">
        <v>368</v>
      </c>
      <c r="Q66" s="378" t="s">
        <v>369</v>
      </c>
      <c r="R66" s="378" t="s">
        <v>370</v>
      </c>
      <c r="S66" s="378" t="s">
        <v>360</v>
      </c>
      <c r="T66" s="643"/>
      <c r="U66" s="378" t="s">
        <v>368</v>
      </c>
      <c r="V66" s="378" t="s">
        <v>369</v>
      </c>
      <c r="W66" s="378" t="s">
        <v>370</v>
      </c>
      <c r="X66" s="378" t="s">
        <v>360</v>
      </c>
      <c r="Y66" s="643"/>
      <c r="Z66" s="378" t="s">
        <v>368</v>
      </c>
      <c r="AA66" s="378" t="s">
        <v>369</v>
      </c>
      <c r="AB66" s="378" t="s">
        <v>370</v>
      </c>
      <c r="AC66" s="378" t="s">
        <v>360</v>
      </c>
      <c r="AD66" s="643"/>
      <c r="AE66" s="378" t="s">
        <v>368</v>
      </c>
      <c r="AF66" s="378" t="s">
        <v>369</v>
      </c>
      <c r="AG66" s="378" t="s">
        <v>370</v>
      </c>
      <c r="AH66" s="378" t="s">
        <v>360</v>
      </c>
      <c r="AI66" s="643"/>
      <c r="AJ66" s="378" t="s">
        <v>368</v>
      </c>
      <c r="AK66" s="378" t="s">
        <v>369</v>
      </c>
      <c r="AL66" s="378" t="s">
        <v>370</v>
      </c>
      <c r="AM66" s="378" t="s">
        <v>360</v>
      </c>
      <c r="AN66" s="643"/>
      <c r="AO66" s="378" t="s">
        <v>368</v>
      </c>
      <c r="AP66" s="378" t="s">
        <v>369</v>
      </c>
      <c r="AQ66" s="378" t="s">
        <v>370</v>
      </c>
      <c r="AR66" s="378" t="s">
        <v>360</v>
      </c>
      <c r="AS66" s="643"/>
      <c r="AT66" s="378" t="s">
        <v>368</v>
      </c>
      <c r="AU66" s="378" t="s">
        <v>369</v>
      </c>
      <c r="AV66" s="378" t="s">
        <v>370</v>
      </c>
      <c r="AW66" s="378" t="s">
        <v>360</v>
      </c>
      <c r="AX66" s="643"/>
      <c r="AZ66" s="367" t="s">
        <v>360</v>
      </c>
      <c r="BA66" s="643"/>
    </row>
    <row r="67" spans="2:53">
      <c r="B67" s="643" t="s">
        <v>380</v>
      </c>
      <c r="C67" s="379">
        <v>1</v>
      </c>
      <c r="D67" s="225"/>
      <c r="E67" s="565"/>
      <c r="F67" s="563"/>
      <c r="G67" s="564"/>
      <c r="H67" s="702" t="e">
        <f>AVERAGE(G67:G81)</f>
        <v>#DIV/0!</v>
      </c>
      <c r="I67" s="381" t="str">
        <f t="shared" ref="I67:I79" si="30">IFERROR(AVERAGE(P67,U67,Z67,AE67,AJ67,AO67,AT67),"-")</f>
        <v>-</v>
      </c>
      <c r="J67" s="381" t="str">
        <f t="shared" ref="J67:J79" si="31">IFERROR(AVERAGE(Q67,V67,AA67,AF67,AK67,AP67,AU67),"-")</f>
        <v>-</v>
      </c>
      <c r="K67" s="199" t="str">
        <f t="shared" ref="K67:K79" si="32">IFERROR(AVERAGE(R67,W67,AB67,AG67,AL67,AQ67,AV67),"-")</f>
        <v>-</v>
      </c>
      <c r="L67" s="658" t="str">
        <f>IFERROR(AVERAGE(K67:K81),"-")</f>
        <v>-</v>
      </c>
      <c r="M67" s="383" t="e">
        <f>RANK(K67, K$67:$K$81)</f>
        <v>#VALUE!</v>
      </c>
      <c r="N67" s="643"/>
      <c r="O67" s="643"/>
      <c r="P67" s="563"/>
      <c r="Q67" s="565"/>
      <c r="R67" s="565"/>
      <c r="S67" s="563"/>
      <c r="T67" s="638"/>
      <c r="U67" s="563"/>
      <c r="V67" s="565"/>
      <c r="W67" s="565"/>
      <c r="X67" s="563"/>
      <c r="Y67" s="638"/>
      <c r="Z67" s="563"/>
      <c r="AA67" s="565"/>
      <c r="AB67" s="565"/>
      <c r="AC67" s="563"/>
      <c r="AD67" s="638"/>
      <c r="AE67" s="563"/>
      <c r="AF67" s="565"/>
      <c r="AG67" s="565"/>
      <c r="AH67" s="563"/>
      <c r="AI67" s="638"/>
      <c r="AJ67" s="563"/>
      <c r="AK67" s="565"/>
      <c r="AL67" s="565"/>
      <c r="AM67" s="563"/>
      <c r="AN67" s="638"/>
      <c r="AO67" s="563"/>
      <c r="AP67" s="565"/>
      <c r="AQ67" s="565"/>
      <c r="AR67" s="563"/>
      <c r="AS67" s="638"/>
      <c r="AT67" s="563"/>
      <c r="AU67" s="565"/>
      <c r="AV67" s="565"/>
      <c r="AW67" s="563"/>
      <c r="AX67" s="638"/>
      <c r="AZ67" s="368" t="e">
        <f t="shared" ref="AZ67:AZ81" si="33">RANK(AY67, AY$67:AY$81)</f>
        <v>#N/A</v>
      </c>
      <c r="BA67" s="638" t="e">
        <f t="shared" ref="BA67" si="34">AVERAGE(AY67:AY81)</f>
        <v>#DIV/0!</v>
      </c>
    </row>
    <row r="68" spans="2:53">
      <c r="B68" s="649"/>
      <c r="C68" s="379">
        <v>2</v>
      </c>
      <c r="D68" s="225"/>
      <c r="E68" s="565"/>
      <c r="F68" s="563"/>
      <c r="G68" s="564"/>
      <c r="H68" s="703"/>
      <c r="I68" s="381" t="str">
        <f t="shared" si="30"/>
        <v>-</v>
      </c>
      <c r="J68" s="381" t="str">
        <f t="shared" si="31"/>
        <v>-</v>
      </c>
      <c r="K68" s="199" t="str">
        <f t="shared" si="32"/>
        <v>-</v>
      </c>
      <c r="L68" s="659"/>
      <c r="M68" s="420" t="e">
        <f>RANK(K68, K$67:$K$81)</f>
        <v>#VALUE!</v>
      </c>
      <c r="N68" s="643"/>
      <c r="O68" s="643"/>
      <c r="P68" s="563"/>
      <c r="Q68" s="565"/>
      <c r="R68" s="565"/>
      <c r="S68" s="563"/>
      <c r="T68" s="639"/>
      <c r="U68" s="563"/>
      <c r="V68" s="565"/>
      <c r="W68" s="565"/>
      <c r="X68" s="563"/>
      <c r="Y68" s="639"/>
      <c r="Z68" s="563"/>
      <c r="AA68" s="565"/>
      <c r="AB68" s="565"/>
      <c r="AC68" s="563"/>
      <c r="AD68" s="639"/>
      <c r="AE68" s="563"/>
      <c r="AF68" s="565"/>
      <c r="AG68" s="565"/>
      <c r="AH68" s="563"/>
      <c r="AI68" s="639"/>
      <c r="AJ68" s="563"/>
      <c r="AK68" s="565"/>
      <c r="AL68" s="565"/>
      <c r="AM68" s="563"/>
      <c r="AN68" s="639"/>
      <c r="AO68" s="563"/>
      <c r="AP68" s="565"/>
      <c r="AQ68" s="565"/>
      <c r="AR68" s="563"/>
      <c r="AS68" s="639"/>
      <c r="AT68" s="563"/>
      <c r="AU68" s="565"/>
      <c r="AV68" s="565"/>
      <c r="AW68" s="563"/>
      <c r="AX68" s="639"/>
      <c r="AZ68" s="368" t="e">
        <f t="shared" si="33"/>
        <v>#N/A</v>
      </c>
      <c r="BA68" s="639"/>
    </row>
    <row r="69" spans="2:53">
      <c r="B69" s="649"/>
      <c r="C69" s="379">
        <v>3</v>
      </c>
      <c r="D69" s="225"/>
      <c r="E69" s="565"/>
      <c r="F69" s="563"/>
      <c r="G69" s="564"/>
      <c r="H69" s="703"/>
      <c r="I69" s="381" t="str">
        <f t="shared" si="30"/>
        <v>-</v>
      </c>
      <c r="J69" s="381" t="str">
        <f t="shared" si="31"/>
        <v>-</v>
      </c>
      <c r="K69" s="199" t="str">
        <f t="shared" si="32"/>
        <v>-</v>
      </c>
      <c r="L69" s="659"/>
      <c r="M69" s="420" t="e">
        <f>RANK(K69, K$67:$K$81)</f>
        <v>#VALUE!</v>
      </c>
      <c r="N69" s="643"/>
      <c r="O69" s="643"/>
      <c r="P69" s="563"/>
      <c r="Q69" s="565"/>
      <c r="R69" s="565"/>
      <c r="S69" s="563"/>
      <c r="T69" s="639"/>
      <c r="U69" s="563"/>
      <c r="V69" s="565"/>
      <c r="W69" s="565"/>
      <c r="X69" s="563"/>
      <c r="Y69" s="639"/>
      <c r="Z69" s="563"/>
      <c r="AA69" s="565"/>
      <c r="AB69" s="565"/>
      <c r="AC69" s="563"/>
      <c r="AD69" s="639"/>
      <c r="AE69" s="563"/>
      <c r="AF69" s="565"/>
      <c r="AG69" s="565"/>
      <c r="AH69" s="563"/>
      <c r="AI69" s="639"/>
      <c r="AJ69" s="563"/>
      <c r="AK69" s="565"/>
      <c r="AL69" s="565"/>
      <c r="AM69" s="563"/>
      <c r="AN69" s="639"/>
      <c r="AO69" s="563"/>
      <c r="AP69" s="565"/>
      <c r="AQ69" s="565"/>
      <c r="AR69" s="563"/>
      <c r="AS69" s="639"/>
      <c r="AT69" s="563"/>
      <c r="AU69" s="565"/>
      <c r="AV69" s="565"/>
      <c r="AW69" s="563"/>
      <c r="AX69" s="639"/>
      <c r="AZ69" s="368" t="e">
        <f t="shared" si="33"/>
        <v>#N/A</v>
      </c>
      <c r="BA69" s="639"/>
    </row>
    <row r="70" spans="2:53">
      <c r="B70" s="649"/>
      <c r="C70" s="379">
        <v>4</v>
      </c>
      <c r="D70" s="225"/>
      <c r="E70" s="565"/>
      <c r="F70" s="563"/>
      <c r="G70" s="564"/>
      <c r="H70" s="703"/>
      <c r="I70" s="381" t="str">
        <f t="shared" si="30"/>
        <v>-</v>
      </c>
      <c r="J70" s="381" t="str">
        <f t="shared" si="31"/>
        <v>-</v>
      </c>
      <c r="K70" s="199" t="str">
        <f t="shared" si="32"/>
        <v>-</v>
      </c>
      <c r="L70" s="659"/>
      <c r="M70" s="420" t="e">
        <f>RANK(K70, K$67:$K$81)</f>
        <v>#VALUE!</v>
      </c>
      <c r="N70" s="643"/>
      <c r="O70" s="643"/>
      <c r="P70" s="563"/>
      <c r="Q70" s="565"/>
      <c r="R70" s="565"/>
      <c r="S70" s="563"/>
      <c r="T70" s="639"/>
      <c r="U70" s="563"/>
      <c r="V70" s="565"/>
      <c r="W70" s="565"/>
      <c r="X70" s="563"/>
      <c r="Y70" s="639"/>
      <c r="Z70" s="563"/>
      <c r="AA70" s="565"/>
      <c r="AB70" s="565"/>
      <c r="AC70" s="563"/>
      <c r="AD70" s="639"/>
      <c r="AE70" s="563"/>
      <c r="AF70" s="565"/>
      <c r="AG70" s="565"/>
      <c r="AH70" s="563"/>
      <c r="AI70" s="639"/>
      <c r="AJ70" s="563"/>
      <c r="AK70" s="565"/>
      <c r="AL70" s="565"/>
      <c r="AM70" s="563"/>
      <c r="AN70" s="639"/>
      <c r="AO70" s="563"/>
      <c r="AP70" s="565"/>
      <c r="AQ70" s="565"/>
      <c r="AR70" s="563"/>
      <c r="AS70" s="639"/>
      <c r="AT70" s="563"/>
      <c r="AU70" s="565"/>
      <c r="AV70" s="565"/>
      <c r="AW70" s="563"/>
      <c r="AX70" s="639"/>
      <c r="AZ70" s="368" t="e">
        <f t="shared" si="33"/>
        <v>#N/A</v>
      </c>
      <c r="BA70" s="639"/>
    </row>
    <row r="71" spans="2:53">
      <c r="B71" s="649"/>
      <c r="C71" s="379">
        <v>5</v>
      </c>
      <c r="D71" s="225"/>
      <c r="E71" s="565"/>
      <c r="F71" s="563"/>
      <c r="G71" s="564"/>
      <c r="H71" s="703"/>
      <c r="I71" s="381" t="str">
        <f t="shared" si="30"/>
        <v>-</v>
      </c>
      <c r="J71" s="381" t="str">
        <f t="shared" si="31"/>
        <v>-</v>
      </c>
      <c r="K71" s="199" t="str">
        <f t="shared" si="32"/>
        <v>-</v>
      </c>
      <c r="L71" s="659"/>
      <c r="M71" s="420" t="e">
        <f>RANK(K71, K$67:$K$81)</f>
        <v>#VALUE!</v>
      </c>
      <c r="N71" s="643"/>
      <c r="O71" s="643"/>
      <c r="P71" s="563"/>
      <c r="Q71" s="565"/>
      <c r="R71" s="565"/>
      <c r="S71" s="563"/>
      <c r="T71" s="639"/>
      <c r="U71" s="563"/>
      <c r="V71" s="565"/>
      <c r="W71" s="565"/>
      <c r="X71" s="563"/>
      <c r="Y71" s="639"/>
      <c r="Z71" s="563"/>
      <c r="AA71" s="565"/>
      <c r="AB71" s="565"/>
      <c r="AC71" s="563"/>
      <c r="AD71" s="639"/>
      <c r="AE71" s="563"/>
      <c r="AF71" s="565"/>
      <c r="AG71" s="565"/>
      <c r="AH71" s="563"/>
      <c r="AI71" s="639"/>
      <c r="AJ71" s="563"/>
      <c r="AK71" s="565"/>
      <c r="AL71" s="565"/>
      <c r="AM71" s="563"/>
      <c r="AN71" s="639"/>
      <c r="AO71" s="563"/>
      <c r="AP71" s="565"/>
      <c r="AQ71" s="565"/>
      <c r="AR71" s="563"/>
      <c r="AS71" s="639"/>
      <c r="AT71" s="563"/>
      <c r="AU71" s="565"/>
      <c r="AV71" s="565"/>
      <c r="AW71" s="563"/>
      <c r="AX71" s="639"/>
      <c r="AZ71" s="368" t="e">
        <f t="shared" si="33"/>
        <v>#N/A</v>
      </c>
      <c r="BA71" s="639"/>
    </row>
    <row r="72" spans="2:53">
      <c r="B72" s="649"/>
      <c r="C72" s="379">
        <v>6</v>
      </c>
      <c r="D72" s="225"/>
      <c r="E72" s="565"/>
      <c r="F72" s="563"/>
      <c r="G72" s="564"/>
      <c r="H72" s="703"/>
      <c r="I72" s="381" t="str">
        <f t="shared" si="30"/>
        <v>-</v>
      </c>
      <c r="J72" s="381" t="str">
        <f t="shared" si="31"/>
        <v>-</v>
      </c>
      <c r="K72" s="199" t="str">
        <f t="shared" si="32"/>
        <v>-</v>
      </c>
      <c r="L72" s="659"/>
      <c r="M72" s="420" t="e">
        <f>RANK(K72, K$67:$K$81)</f>
        <v>#VALUE!</v>
      </c>
      <c r="N72" s="643"/>
      <c r="O72" s="643"/>
      <c r="P72" s="563"/>
      <c r="Q72" s="565"/>
      <c r="R72" s="565"/>
      <c r="S72" s="563"/>
      <c r="T72" s="639"/>
      <c r="U72" s="563"/>
      <c r="V72" s="565"/>
      <c r="W72" s="565"/>
      <c r="X72" s="563"/>
      <c r="Y72" s="639"/>
      <c r="Z72" s="563"/>
      <c r="AA72" s="565"/>
      <c r="AB72" s="565"/>
      <c r="AC72" s="563"/>
      <c r="AD72" s="639"/>
      <c r="AE72" s="563"/>
      <c r="AF72" s="565"/>
      <c r="AG72" s="565"/>
      <c r="AH72" s="563"/>
      <c r="AI72" s="639"/>
      <c r="AJ72" s="563"/>
      <c r="AK72" s="565"/>
      <c r="AL72" s="565"/>
      <c r="AM72" s="563"/>
      <c r="AN72" s="639"/>
      <c r="AO72" s="563"/>
      <c r="AP72" s="565"/>
      <c r="AQ72" s="565"/>
      <c r="AR72" s="563"/>
      <c r="AS72" s="639"/>
      <c r="AT72" s="563"/>
      <c r="AU72" s="565"/>
      <c r="AV72" s="565"/>
      <c r="AW72" s="563"/>
      <c r="AX72" s="639"/>
      <c r="AZ72" s="368" t="e">
        <f t="shared" si="33"/>
        <v>#N/A</v>
      </c>
      <c r="BA72" s="639"/>
    </row>
    <row r="73" spans="2:53">
      <c r="B73" s="649"/>
      <c r="C73" s="379">
        <v>7</v>
      </c>
      <c r="D73" s="225"/>
      <c r="E73" s="565"/>
      <c r="F73" s="563"/>
      <c r="G73" s="564"/>
      <c r="H73" s="703"/>
      <c r="I73" s="381" t="str">
        <f t="shared" si="30"/>
        <v>-</v>
      </c>
      <c r="J73" s="381" t="str">
        <f t="shared" si="31"/>
        <v>-</v>
      </c>
      <c r="K73" s="199" t="str">
        <f t="shared" si="32"/>
        <v>-</v>
      </c>
      <c r="L73" s="659"/>
      <c r="M73" s="420" t="e">
        <f>RANK(K73, K$67:$K$81)</f>
        <v>#VALUE!</v>
      </c>
      <c r="N73" s="643"/>
      <c r="O73" s="643"/>
      <c r="P73" s="563"/>
      <c r="Q73" s="565"/>
      <c r="R73" s="565"/>
      <c r="S73" s="563"/>
      <c r="T73" s="639"/>
      <c r="U73" s="563"/>
      <c r="V73" s="565"/>
      <c r="W73" s="565"/>
      <c r="X73" s="563"/>
      <c r="Y73" s="639"/>
      <c r="Z73" s="563"/>
      <c r="AA73" s="565"/>
      <c r="AB73" s="565"/>
      <c r="AC73" s="563"/>
      <c r="AD73" s="639"/>
      <c r="AE73" s="563"/>
      <c r="AF73" s="565"/>
      <c r="AG73" s="565"/>
      <c r="AH73" s="563"/>
      <c r="AI73" s="639"/>
      <c r="AJ73" s="563"/>
      <c r="AK73" s="565"/>
      <c r="AL73" s="565"/>
      <c r="AM73" s="563"/>
      <c r="AN73" s="639"/>
      <c r="AO73" s="563"/>
      <c r="AP73" s="565"/>
      <c r="AQ73" s="565"/>
      <c r="AR73" s="563"/>
      <c r="AS73" s="639"/>
      <c r="AT73" s="563"/>
      <c r="AU73" s="565"/>
      <c r="AV73" s="565"/>
      <c r="AW73" s="563"/>
      <c r="AX73" s="639"/>
      <c r="AZ73" s="368" t="e">
        <f t="shared" si="33"/>
        <v>#N/A</v>
      </c>
      <c r="BA73" s="639"/>
    </row>
    <row r="74" spans="2:53">
      <c r="B74" s="649"/>
      <c r="C74" s="379">
        <v>8</v>
      </c>
      <c r="D74" s="225"/>
      <c r="E74" s="565"/>
      <c r="F74" s="563"/>
      <c r="G74" s="564"/>
      <c r="H74" s="703"/>
      <c r="I74" s="381" t="str">
        <f t="shared" si="30"/>
        <v>-</v>
      </c>
      <c r="J74" s="381" t="str">
        <f t="shared" si="31"/>
        <v>-</v>
      </c>
      <c r="K74" s="199" t="str">
        <f t="shared" si="32"/>
        <v>-</v>
      </c>
      <c r="L74" s="659"/>
      <c r="M74" s="420" t="e">
        <f>RANK(K74, K$67:$K$81)</f>
        <v>#VALUE!</v>
      </c>
      <c r="N74" s="643"/>
      <c r="O74" s="643"/>
      <c r="P74" s="563"/>
      <c r="Q74" s="565"/>
      <c r="R74" s="565"/>
      <c r="S74" s="563"/>
      <c r="T74" s="639"/>
      <c r="U74" s="563"/>
      <c r="V74" s="565"/>
      <c r="W74" s="565"/>
      <c r="X74" s="563"/>
      <c r="Y74" s="639"/>
      <c r="Z74" s="563"/>
      <c r="AA74" s="565"/>
      <c r="AB74" s="565"/>
      <c r="AC74" s="563"/>
      <c r="AD74" s="639"/>
      <c r="AE74" s="563"/>
      <c r="AF74" s="565"/>
      <c r="AG74" s="565"/>
      <c r="AH74" s="563"/>
      <c r="AI74" s="639"/>
      <c r="AJ74" s="563"/>
      <c r="AK74" s="565"/>
      <c r="AL74" s="565"/>
      <c r="AM74" s="563"/>
      <c r="AN74" s="639"/>
      <c r="AO74" s="563"/>
      <c r="AP74" s="565"/>
      <c r="AQ74" s="565"/>
      <c r="AR74" s="563"/>
      <c r="AS74" s="639"/>
      <c r="AT74" s="563"/>
      <c r="AU74" s="565"/>
      <c r="AV74" s="565"/>
      <c r="AW74" s="563"/>
      <c r="AX74" s="639"/>
      <c r="AZ74" s="368" t="e">
        <f t="shared" si="33"/>
        <v>#N/A</v>
      </c>
      <c r="BA74" s="639"/>
    </row>
    <row r="75" spans="2:53">
      <c r="B75" s="649"/>
      <c r="C75" s="379">
        <v>9</v>
      </c>
      <c r="D75" s="225"/>
      <c r="E75" s="565"/>
      <c r="F75" s="563"/>
      <c r="G75" s="564"/>
      <c r="H75" s="703"/>
      <c r="I75" s="381" t="str">
        <f t="shared" si="30"/>
        <v>-</v>
      </c>
      <c r="J75" s="381" t="str">
        <f t="shared" si="31"/>
        <v>-</v>
      </c>
      <c r="K75" s="199" t="str">
        <f t="shared" si="32"/>
        <v>-</v>
      </c>
      <c r="L75" s="659"/>
      <c r="M75" s="420" t="e">
        <f>RANK(K75, K$67:$K$81)</f>
        <v>#VALUE!</v>
      </c>
      <c r="N75" s="643"/>
      <c r="O75" s="643"/>
      <c r="P75" s="563"/>
      <c r="Q75" s="565"/>
      <c r="R75" s="565"/>
      <c r="S75" s="563"/>
      <c r="T75" s="639"/>
      <c r="U75" s="563"/>
      <c r="V75" s="565"/>
      <c r="W75" s="565"/>
      <c r="X75" s="563"/>
      <c r="Y75" s="639"/>
      <c r="Z75" s="563"/>
      <c r="AA75" s="565"/>
      <c r="AB75" s="565"/>
      <c r="AC75" s="563"/>
      <c r="AD75" s="639"/>
      <c r="AE75" s="563"/>
      <c r="AF75" s="565"/>
      <c r="AG75" s="565"/>
      <c r="AH75" s="563"/>
      <c r="AI75" s="639"/>
      <c r="AJ75" s="563"/>
      <c r="AK75" s="565"/>
      <c r="AL75" s="565"/>
      <c r="AM75" s="563"/>
      <c r="AN75" s="639"/>
      <c r="AO75" s="563"/>
      <c r="AP75" s="565"/>
      <c r="AQ75" s="565"/>
      <c r="AR75" s="563"/>
      <c r="AS75" s="639"/>
      <c r="AT75" s="563"/>
      <c r="AU75" s="565"/>
      <c r="AV75" s="565"/>
      <c r="AW75" s="563"/>
      <c r="AX75" s="639"/>
      <c r="AZ75" s="368" t="e">
        <f t="shared" si="33"/>
        <v>#N/A</v>
      </c>
      <c r="BA75" s="639"/>
    </row>
    <row r="76" spans="2:53">
      <c r="B76" s="649"/>
      <c r="C76" s="379">
        <v>10</v>
      </c>
      <c r="D76" s="225"/>
      <c r="E76" s="565"/>
      <c r="F76" s="563"/>
      <c r="G76" s="564"/>
      <c r="H76" s="703"/>
      <c r="I76" s="381" t="str">
        <f t="shared" si="30"/>
        <v>-</v>
      </c>
      <c r="J76" s="381" t="str">
        <f t="shared" si="31"/>
        <v>-</v>
      </c>
      <c r="K76" s="199" t="str">
        <f t="shared" si="32"/>
        <v>-</v>
      </c>
      <c r="L76" s="659"/>
      <c r="M76" s="420" t="e">
        <f>RANK(K76, K$67:$K$81)</f>
        <v>#VALUE!</v>
      </c>
      <c r="N76" s="643"/>
      <c r="O76" s="643"/>
      <c r="P76" s="563"/>
      <c r="Q76" s="565"/>
      <c r="R76" s="565"/>
      <c r="S76" s="563"/>
      <c r="T76" s="639"/>
      <c r="U76" s="563"/>
      <c r="V76" s="565"/>
      <c r="W76" s="565"/>
      <c r="X76" s="563"/>
      <c r="Y76" s="639"/>
      <c r="Z76" s="563"/>
      <c r="AA76" s="565"/>
      <c r="AB76" s="565"/>
      <c r="AC76" s="563"/>
      <c r="AD76" s="639"/>
      <c r="AE76" s="563"/>
      <c r="AF76" s="565"/>
      <c r="AG76" s="565"/>
      <c r="AH76" s="563"/>
      <c r="AI76" s="639"/>
      <c r="AJ76" s="563"/>
      <c r="AK76" s="565"/>
      <c r="AL76" s="565"/>
      <c r="AM76" s="563"/>
      <c r="AN76" s="639"/>
      <c r="AO76" s="563"/>
      <c r="AP76" s="565"/>
      <c r="AQ76" s="565"/>
      <c r="AR76" s="563"/>
      <c r="AS76" s="639"/>
      <c r="AT76" s="563"/>
      <c r="AU76" s="565"/>
      <c r="AV76" s="565"/>
      <c r="AW76" s="563"/>
      <c r="AX76" s="639"/>
      <c r="AZ76" s="368" t="e">
        <f t="shared" si="33"/>
        <v>#N/A</v>
      </c>
      <c r="BA76" s="639"/>
    </row>
    <row r="77" spans="2:53">
      <c r="B77" s="649"/>
      <c r="C77" s="379">
        <v>11</v>
      </c>
      <c r="D77" s="225"/>
      <c r="E77" s="565"/>
      <c r="F77" s="563"/>
      <c r="G77" s="564"/>
      <c r="H77" s="703"/>
      <c r="I77" s="381" t="str">
        <f t="shared" si="30"/>
        <v>-</v>
      </c>
      <c r="J77" s="381" t="str">
        <f t="shared" si="31"/>
        <v>-</v>
      </c>
      <c r="K77" s="199" t="str">
        <f t="shared" si="32"/>
        <v>-</v>
      </c>
      <c r="L77" s="659"/>
      <c r="M77" s="420" t="e">
        <f>RANK(K77, K$67:$K$81)</f>
        <v>#VALUE!</v>
      </c>
      <c r="N77" s="643"/>
      <c r="O77" s="643"/>
      <c r="P77" s="563"/>
      <c r="Q77" s="565"/>
      <c r="R77" s="565"/>
      <c r="S77" s="563"/>
      <c r="T77" s="639"/>
      <c r="U77" s="563"/>
      <c r="V77" s="565"/>
      <c r="W77" s="565"/>
      <c r="X77" s="563"/>
      <c r="Y77" s="639"/>
      <c r="Z77" s="563"/>
      <c r="AA77" s="565"/>
      <c r="AB77" s="565"/>
      <c r="AC77" s="563"/>
      <c r="AD77" s="639"/>
      <c r="AE77" s="563"/>
      <c r="AF77" s="565"/>
      <c r="AG77" s="565"/>
      <c r="AH77" s="563"/>
      <c r="AI77" s="639"/>
      <c r="AJ77" s="563"/>
      <c r="AK77" s="565"/>
      <c r="AL77" s="565"/>
      <c r="AM77" s="563"/>
      <c r="AN77" s="639"/>
      <c r="AO77" s="563"/>
      <c r="AP77" s="565"/>
      <c r="AQ77" s="565"/>
      <c r="AR77" s="563"/>
      <c r="AS77" s="639"/>
      <c r="AT77" s="563"/>
      <c r="AU77" s="565"/>
      <c r="AV77" s="565"/>
      <c r="AW77" s="563"/>
      <c r="AX77" s="639"/>
      <c r="AZ77" s="368" t="e">
        <f t="shared" si="33"/>
        <v>#N/A</v>
      </c>
      <c r="BA77" s="639"/>
    </row>
    <row r="78" spans="2:53">
      <c r="B78" s="649"/>
      <c r="C78" s="379">
        <v>12</v>
      </c>
      <c r="D78" s="225"/>
      <c r="E78" s="565"/>
      <c r="F78" s="563"/>
      <c r="G78" s="564"/>
      <c r="H78" s="703"/>
      <c r="I78" s="381" t="str">
        <f t="shared" si="30"/>
        <v>-</v>
      </c>
      <c r="J78" s="381" t="str">
        <f t="shared" si="31"/>
        <v>-</v>
      </c>
      <c r="K78" s="199" t="str">
        <f t="shared" si="32"/>
        <v>-</v>
      </c>
      <c r="L78" s="659"/>
      <c r="M78" s="420" t="e">
        <f>RANK(K78, K$67:$K$81)</f>
        <v>#VALUE!</v>
      </c>
      <c r="N78" s="643"/>
      <c r="O78" s="643"/>
      <c r="P78" s="563"/>
      <c r="Q78" s="565"/>
      <c r="R78" s="565"/>
      <c r="S78" s="563"/>
      <c r="T78" s="639"/>
      <c r="U78" s="563"/>
      <c r="V78" s="565"/>
      <c r="W78" s="565"/>
      <c r="X78" s="563"/>
      <c r="Y78" s="639"/>
      <c r="Z78" s="563"/>
      <c r="AA78" s="565"/>
      <c r="AB78" s="565"/>
      <c r="AC78" s="563"/>
      <c r="AD78" s="639"/>
      <c r="AE78" s="563"/>
      <c r="AF78" s="565"/>
      <c r="AG78" s="565"/>
      <c r="AH78" s="563"/>
      <c r="AI78" s="639"/>
      <c r="AJ78" s="563"/>
      <c r="AK78" s="565"/>
      <c r="AL78" s="565"/>
      <c r="AM78" s="563"/>
      <c r="AN78" s="639"/>
      <c r="AO78" s="563"/>
      <c r="AP78" s="565"/>
      <c r="AQ78" s="565"/>
      <c r="AR78" s="563"/>
      <c r="AS78" s="639"/>
      <c r="AT78" s="563"/>
      <c r="AU78" s="565"/>
      <c r="AV78" s="565"/>
      <c r="AW78" s="563"/>
      <c r="AX78" s="639"/>
      <c r="AZ78" s="368" t="e">
        <f t="shared" si="33"/>
        <v>#N/A</v>
      </c>
      <c r="BA78" s="639"/>
    </row>
    <row r="79" spans="2:53">
      <c r="B79" s="649"/>
      <c r="C79" s="379">
        <v>13</v>
      </c>
      <c r="D79" s="225"/>
      <c r="E79" s="565"/>
      <c r="F79" s="563"/>
      <c r="G79" s="564"/>
      <c r="H79" s="703"/>
      <c r="I79" s="381" t="str">
        <f t="shared" si="30"/>
        <v>-</v>
      </c>
      <c r="J79" s="381" t="str">
        <f t="shared" si="31"/>
        <v>-</v>
      </c>
      <c r="K79" s="199" t="str">
        <f t="shared" si="32"/>
        <v>-</v>
      </c>
      <c r="L79" s="659"/>
      <c r="M79" s="420" t="e">
        <f>RANK(K79, K$67:$K$81)</f>
        <v>#VALUE!</v>
      </c>
      <c r="N79" s="643"/>
      <c r="O79" s="643"/>
      <c r="P79" s="563"/>
      <c r="Q79" s="565"/>
      <c r="R79" s="565"/>
      <c r="S79" s="563"/>
      <c r="T79" s="639"/>
      <c r="U79" s="563"/>
      <c r="V79" s="565"/>
      <c r="W79" s="565"/>
      <c r="X79" s="563"/>
      <c r="Y79" s="639"/>
      <c r="Z79" s="563"/>
      <c r="AA79" s="565"/>
      <c r="AB79" s="565"/>
      <c r="AC79" s="563"/>
      <c r="AD79" s="639"/>
      <c r="AE79" s="563"/>
      <c r="AF79" s="565"/>
      <c r="AG79" s="565"/>
      <c r="AH79" s="563"/>
      <c r="AI79" s="639"/>
      <c r="AJ79" s="563"/>
      <c r="AK79" s="565"/>
      <c r="AL79" s="565"/>
      <c r="AM79" s="563"/>
      <c r="AN79" s="639"/>
      <c r="AO79" s="563"/>
      <c r="AP79" s="565"/>
      <c r="AQ79" s="565"/>
      <c r="AR79" s="563"/>
      <c r="AS79" s="639"/>
      <c r="AT79" s="563"/>
      <c r="AU79" s="565"/>
      <c r="AV79" s="565"/>
      <c r="AW79" s="563"/>
      <c r="AX79" s="639"/>
      <c r="AZ79" s="368" t="e">
        <f t="shared" si="33"/>
        <v>#N/A</v>
      </c>
      <c r="BA79" s="639"/>
    </row>
    <row r="80" spans="2:53">
      <c r="B80" s="649"/>
      <c r="C80" s="379">
        <v>14</v>
      </c>
      <c r="D80" s="225"/>
      <c r="E80" s="565"/>
      <c r="F80" s="563"/>
      <c r="G80" s="564"/>
      <c r="H80" s="703"/>
      <c r="I80" s="419" t="str">
        <f t="shared" ref="I80:I81" si="35">IFERROR(AVERAGE(P80,U80,Z80,AE80,AJ80,AO80,AT80),"-")</f>
        <v>-</v>
      </c>
      <c r="J80" s="419" t="str">
        <f t="shared" ref="J80:J81" si="36">IFERROR(AVERAGE(Q80,V80,AA80,AF80,AK80,AP80,AU80),"-")</f>
        <v>-</v>
      </c>
      <c r="K80" s="199" t="str">
        <f t="shared" ref="K80:K81" si="37">IFERROR(AVERAGE(R80,W80,AB80,AG80,AL80,AQ80,AV80),"-")</f>
        <v>-</v>
      </c>
      <c r="L80" s="659"/>
      <c r="M80" s="420" t="e">
        <f>RANK(K80, K$67:$K$81)</f>
        <v>#VALUE!</v>
      </c>
      <c r="N80" s="643"/>
      <c r="O80" s="643"/>
      <c r="P80" s="563"/>
      <c r="Q80" s="565"/>
      <c r="R80" s="565"/>
      <c r="S80" s="563"/>
      <c r="T80" s="639"/>
      <c r="U80" s="563"/>
      <c r="V80" s="565"/>
      <c r="W80" s="565"/>
      <c r="X80" s="563"/>
      <c r="Y80" s="639"/>
      <c r="Z80" s="563"/>
      <c r="AA80" s="565"/>
      <c r="AB80" s="565"/>
      <c r="AC80" s="563"/>
      <c r="AD80" s="639"/>
      <c r="AE80" s="563"/>
      <c r="AF80" s="565"/>
      <c r="AG80" s="565"/>
      <c r="AH80" s="563"/>
      <c r="AI80" s="639"/>
      <c r="AJ80" s="563"/>
      <c r="AK80" s="565"/>
      <c r="AL80" s="565"/>
      <c r="AM80" s="563"/>
      <c r="AN80" s="639"/>
      <c r="AO80" s="563"/>
      <c r="AP80" s="565"/>
      <c r="AQ80" s="565"/>
      <c r="AR80" s="563"/>
      <c r="AS80" s="639"/>
      <c r="AT80" s="563"/>
      <c r="AU80" s="565"/>
      <c r="AV80" s="565"/>
      <c r="AW80" s="563"/>
      <c r="AX80" s="639"/>
      <c r="AZ80" s="368" t="e">
        <f t="shared" si="33"/>
        <v>#N/A</v>
      </c>
      <c r="BA80" s="639"/>
    </row>
    <row r="81" spans="2:53">
      <c r="B81" s="649"/>
      <c r="C81" s="379">
        <v>15</v>
      </c>
      <c r="D81" s="225"/>
      <c r="E81" s="565"/>
      <c r="F81" s="563"/>
      <c r="G81" s="564"/>
      <c r="H81" s="704"/>
      <c r="I81" s="419" t="str">
        <f t="shared" si="35"/>
        <v>-</v>
      </c>
      <c r="J81" s="419" t="str">
        <f t="shared" si="36"/>
        <v>-</v>
      </c>
      <c r="K81" s="199" t="str">
        <f t="shared" si="37"/>
        <v>-</v>
      </c>
      <c r="L81" s="660"/>
      <c r="M81" s="420" t="e">
        <f>RANK(K81, K$67:$K$81)</f>
        <v>#VALUE!</v>
      </c>
      <c r="N81" s="643"/>
      <c r="O81" s="643"/>
      <c r="P81" s="563"/>
      <c r="Q81" s="565"/>
      <c r="R81" s="565"/>
      <c r="S81" s="563"/>
      <c r="T81" s="640"/>
      <c r="U81" s="563"/>
      <c r="V81" s="565"/>
      <c r="W81" s="565"/>
      <c r="X81" s="563"/>
      <c r="Y81" s="640"/>
      <c r="Z81" s="563"/>
      <c r="AA81" s="565"/>
      <c r="AB81" s="565"/>
      <c r="AC81" s="563"/>
      <c r="AD81" s="640"/>
      <c r="AE81" s="563"/>
      <c r="AF81" s="565"/>
      <c r="AG81" s="565"/>
      <c r="AH81" s="563"/>
      <c r="AI81" s="640"/>
      <c r="AJ81" s="563"/>
      <c r="AK81" s="565"/>
      <c r="AL81" s="565"/>
      <c r="AM81" s="563"/>
      <c r="AN81" s="640"/>
      <c r="AO81" s="563"/>
      <c r="AP81" s="565"/>
      <c r="AQ81" s="565"/>
      <c r="AR81" s="563"/>
      <c r="AS81" s="640"/>
      <c r="AT81" s="563"/>
      <c r="AU81" s="565"/>
      <c r="AV81" s="565"/>
      <c r="AW81" s="563"/>
      <c r="AX81" s="640"/>
      <c r="AZ81" s="368" t="e">
        <f t="shared" si="33"/>
        <v>#N/A</v>
      </c>
      <c r="BA81" s="640"/>
    </row>
    <row r="82" spans="2:53" ht="15.75">
      <c r="B82" s="671" t="s">
        <v>162</v>
      </c>
      <c r="C82" s="672"/>
      <c r="D82" s="672"/>
      <c r="E82" s="672"/>
      <c r="F82" s="672"/>
      <c r="G82" s="672"/>
      <c r="H82" s="673"/>
      <c r="I82" s="207"/>
      <c r="J82" s="207"/>
      <c r="K82" s="207"/>
      <c r="L82" s="207"/>
      <c r="M82" s="206"/>
      <c r="N82" s="645" t="s">
        <v>156</v>
      </c>
      <c r="O82" s="645" t="s">
        <v>105</v>
      </c>
      <c r="P82" s="670">
        <f>P62+7</f>
        <v>46294</v>
      </c>
      <c r="Q82" s="649"/>
      <c r="R82" s="649"/>
      <c r="S82" s="649"/>
      <c r="T82" s="649"/>
      <c r="U82" s="667">
        <f>P82+1</f>
        <v>46295</v>
      </c>
      <c r="V82" s="668"/>
      <c r="W82" s="668"/>
      <c r="X82" s="668"/>
      <c r="Y82" s="669"/>
      <c r="Z82" s="667">
        <f>U82+1</f>
        <v>46296</v>
      </c>
      <c r="AA82" s="668"/>
      <c r="AB82" s="668"/>
      <c r="AC82" s="668"/>
      <c r="AD82" s="669"/>
      <c r="AE82" s="667">
        <f>Z82+1</f>
        <v>46297</v>
      </c>
      <c r="AF82" s="668"/>
      <c r="AG82" s="668"/>
      <c r="AH82" s="668"/>
      <c r="AI82" s="669"/>
      <c r="AJ82" s="667">
        <f>AE82+1</f>
        <v>46298</v>
      </c>
      <c r="AK82" s="668"/>
      <c r="AL82" s="668"/>
      <c r="AM82" s="668"/>
      <c r="AN82" s="669"/>
      <c r="AO82" s="667">
        <f>AJ82+1</f>
        <v>46299</v>
      </c>
      <c r="AP82" s="668"/>
      <c r="AQ82" s="668"/>
      <c r="AR82" s="668"/>
      <c r="AS82" s="669"/>
      <c r="AT82" s="667">
        <f>AO82+1</f>
        <v>46300</v>
      </c>
      <c r="AU82" s="668"/>
      <c r="AV82" s="668"/>
      <c r="AW82" s="668"/>
      <c r="AX82" s="669"/>
    </row>
    <row r="83" spans="2:53" ht="15.75">
      <c r="B83" s="674"/>
      <c r="C83" s="674"/>
      <c r="D83" s="674"/>
      <c r="E83" s="674"/>
      <c r="F83" s="674"/>
      <c r="G83" s="674"/>
      <c r="H83" s="674"/>
      <c r="I83" s="204"/>
      <c r="J83" s="204"/>
      <c r="K83" s="204"/>
      <c r="L83" s="204"/>
      <c r="M83" s="205"/>
      <c r="N83" s="647"/>
      <c r="O83" s="647"/>
      <c r="P83" s="670" t="s">
        <v>317</v>
      </c>
      <c r="Q83" s="649"/>
      <c r="R83" s="649"/>
      <c r="S83" s="649"/>
      <c r="T83" s="649"/>
      <c r="U83" s="670" t="s">
        <v>318</v>
      </c>
      <c r="V83" s="649"/>
      <c r="W83" s="649"/>
      <c r="X83" s="649"/>
      <c r="Y83" s="649"/>
      <c r="Z83" s="670" t="s">
        <v>319</v>
      </c>
      <c r="AA83" s="649"/>
      <c r="AB83" s="649"/>
      <c r="AC83" s="649"/>
      <c r="AD83" s="649"/>
      <c r="AE83" s="670" t="s">
        <v>320</v>
      </c>
      <c r="AF83" s="649"/>
      <c r="AG83" s="649"/>
      <c r="AH83" s="649"/>
      <c r="AI83" s="649"/>
      <c r="AJ83" s="670" t="s">
        <v>321</v>
      </c>
      <c r="AK83" s="649"/>
      <c r="AL83" s="649"/>
      <c r="AM83" s="649"/>
      <c r="AN83" s="649"/>
      <c r="AO83" s="670" t="s">
        <v>322</v>
      </c>
      <c r="AP83" s="649"/>
      <c r="AQ83" s="649"/>
      <c r="AR83" s="649"/>
      <c r="AS83" s="649"/>
      <c r="AT83" s="670" t="s">
        <v>323</v>
      </c>
      <c r="AU83" s="649"/>
      <c r="AV83" s="649"/>
      <c r="AW83" s="649"/>
      <c r="AX83" s="649"/>
    </row>
    <row r="84" spans="2:53">
      <c r="B84" s="643" t="s">
        <v>382</v>
      </c>
      <c r="C84" s="643" t="s">
        <v>372</v>
      </c>
      <c r="D84" s="643"/>
      <c r="E84" s="643" t="s">
        <v>363</v>
      </c>
      <c r="F84" s="643"/>
      <c r="G84" s="643"/>
      <c r="H84" s="675" t="s">
        <v>359</v>
      </c>
      <c r="I84" s="690" t="s">
        <v>364</v>
      </c>
      <c r="J84" s="690"/>
      <c r="K84" s="690"/>
      <c r="L84" s="691" t="s">
        <v>359</v>
      </c>
      <c r="M84" s="679" t="s">
        <v>360</v>
      </c>
      <c r="N84" s="643"/>
      <c r="O84" s="643" t="s">
        <v>365</v>
      </c>
      <c r="P84" s="661" t="s">
        <v>361</v>
      </c>
      <c r="Q84" s="662"/>
      <c r="R84" s="662"/>
      <c r="S84" s="663"/>
      <c r="T84" s="643" t="s">
        <v>359</v>
      </c>
      <c r="U84" s="661" t="s">
        <v>361</v>
      </c>
      <c r="V84" s="662"/>
      <c r="W84" s="662"/>
      <c r="X84" s="663"/>
      <c r="Y84" s="643" t="s">
        <v>359</v>
      </c>
      <c r="Z84" s="661" t="s">
        <v>361</v>
      </c>
      <c r="AA84" s="662"/>
      <c r="AB84" s="662"/>
      <c r="AC84" s="663"/>
      <c r="AD84" s="643" t="s">
        <v>359</v>
      </c>
      <c r="AE84" s="661" t="s">
        <v>361</v>
      </c>
      <c r="AF84" s="662"/>
      <c r="AG84" s="662"/>
      <c r="AH84" s="663"/>
      <c r="AI84" s="643" t="s">
        <v>359</v>
      </c>
      <c r="AJ84" s="661" t="s">
        <v>361</v>
      </c>
      <c r="AK84" s="662"/>
      <c r="AL84" s="662"/>
      <c r="AM84" s="663"/>
      <c r="AN84" s="643" t="s">
        <v>359</v>
      </c>
      <c r="AO84" s="661" t="s">
        <v>361</v>
      </c>
      <c r="AP84" s="662"/>
      <c r="AQ84" s="662"/>
      <c r="AR84" s="663"/>
      <c r="AS84" s="643" t="s">
        <v>359</v>
      </c>
      <c r="AT84" s="661" t="s">
        <v>361</v>
      </c>
      <c r="AU84" s="662"/>
      <c r="AV84" s="662"/>
      <c r="AW84" s="663"/>
      <c r="AX84" s="643" t="s">
        <v>359</v>
      </c>
      <c r="BA84" s="643" t="s">
        <v>359</v>
      </c>
    </row>
    <row r="85" spans="2:53">
      <c r="B85" s="643"/>
      <c r="C85" s="643"/>
      <c r="D85" s="643"/>
      <c r="E85" s="643" t="s">
        <v>366</v>
      </c>
      <c r="F85" s="643"/>
      <c r="G85" s="643"/>
      <c r="H85" s="676"/>
      <c r="I85" s="690" t="s">
        <v>366</v>
      </c>
      <c r="J85" s="690"/>
      <c r="K85" s="690"/>
      <c r="L85" s="692"/>
      <c r="M85" s="680"/>
      <c r="N85" s="643"/>
      <c r="O85" s="643"/>
      <c r="P85" s="661" t="s">
        <v>367</v>
      </c>
      <c r="Q85" s="662"/>
      <c r="R85" s="662"/>
      <c r="S85" s="663"/>
      <c r="T85" s="643"/>
      <c r="U85" s="661" t="s">
        <v>367</v>
      </c>
      <c r="V85" s="662"/>
      <c r="W85" s="662"/>
      <c r="X85" s="663"/>
      <c r="Y85" s="643"/>
      <c r="Z85" s="661" t="s">
        <v>367</v>
      </c>
      <c r="AA85" s="662"/>
      <c r="AB85" s="662"/>
      <c r="AC85" s="663"/>
      <c r="AD85" s="643"/>
      <c r="AE85" s="661" t="s">
        <v>367</v>
      </c>
      <c r="AF85" s="662"/>
      <c r="AG85" s="662"/>
      <c r="AH85" s="663"/>
      <c r="AI85" s="643"/>
      <c r="AJ85" s="661" t="s">
        <v>367</v>
      </c>
      <c r="AK85" s="662"/>
      <c r="AL85" s="662"/>
      <c r="AM85" s="663"/>
      <c r="AN85" s="643"/>
      <c r="AO85" s="661" t="s">
        <v>367</v>
      </c>
      <c r="AP85" s="662"/>
      <c r="AQ85" s="662"/>
      <c r="AR85" s="663"/>
      <c r="AS85" s="643"/>
      <c r="AT85" s="661" t="s">
        <v>367</v>
      </c>
      <c r="AU85" s="662"/>
      <c r="AV85" s="662"/>
      <c r="AW85" s="663"/>
      <c r="AX85" s="643"/>
      <c r="BA85" s="643"/>
    </row>
    <row r="86" spans="2:53">
      <c r="B86" s="643"/>
      <c r="C86" s="643"/>
      <c r="D86" s="643"/>
      <c r="E86" s="378" t="s">
        <v>368</v>
      </c>
      <c r="F86" s="378" t="s">
        <v>369</v>
      </c>
      <c r="G86" s="378" t="s">
        <v>370</v>
      </c>
      <c r="H86" s="677"/>
      <c r="I86" s="377" t="s">
        <v>368</v>
      </c>
      <c r="J86" s="377" t="s">
        <v>369</v>
      </c>
      <c r="K86" s="377" t="s">
        <v>370</v>
      </c>
      <c r="L86" s="693"/>
      <c r="M86" s="681"/>
      <c r="N86" s="643"/>
      <c r="O86" s="643"/>
      <c r="P86" s="378" t="s">
        <v>368</v>
      </c>
      <c r="Q86" s="378" t="s">
        <v>369</v>
      </c>
      <c r="R86" s="378" t="s">
        <v>370</v>
      </c>
      <c r="S86" s="378" t="s">
        <v>360</v>
      </c>
      <c r="T86" s="643"/>
      <c r="U86" s="378" t="s">
        <v>368</v>
      </c>
      <c r="V86" s="378" t="s">
        <v>369</v>
      </c>
      <c r="W86" s="378" t="s">
        <v>370</v>
      </c>
      <c r="X86" s="378" t="s">
        <v>360</v>
      </c>
      <c r="Y86" s="643"/>
      <c r="Z86" s="378" t="s">
        <v>368</v>
      </c>
      <c r="AA86" s="378" t="s">
        <v>369</v>
      </c>
      <c r="AB86" s="378" t="s">
        <v>370</v>
      </c>
      <c r="AC86" s="378" t="s">
        <v>360</v>
      </c>
      <c r="AD86" s="643"/>
      <c r="AE86" s="378" t="s">
        <v>368</v>
      </c>
      <c r="AF86" s="378" t="s">
        <v>369</v>
      </c>
      <c r="AG86" s="378" t="s">
        <v>370</v>
      </c>
      <c r="AH86" s="378" t="s">
        <v>360</v>
      </c>
      <c r="AI86" s="643"/>
      <c r="AJ86" s="378" t="s">
        <v>368</v>
      </c>
      <c r="AK86" s="378" t="s">
        <v>369</v>
      </c>
      <c r="AL86" s="378" t="s">
        <v>370</v>
      </c>
      <c r="AM86" s="378" t="s">
        <v>360</v>
      </c>
      <c r="AN86" s="643"/>
      <c r="AO86" s="378" t="s">
        <v>368</v>
      </c>
      <c r="AP86" s="378" t="s">
        <v>369</v>
      </c>
      <c r="AQ86" s="378" t="s">
        <v>370</v>
      </c>
      <c r="AR86" s="378" t="s">
        <v>360</v>
      </c>
      <c r="AS86" s="643"/>
      <c r="AT86" s="378" t="s">
        <v>368</v>
      </c>
      <c r="AU86" s="378" t="s">
        <v>369</v>
      </c>
      <c r="AV86" s="378" t="s">
        <v>370</v>
      </c>
      <c r="AW86" s="378" t="s">
        <v>360</v>
      </c>
      <c r="AX86" s="643"/>
      <c r="AZ86" s="367" t="s">
        <v>360</v>
      </c>
      <c r="BA86" s="643"/>
    </row>
    <row r="87" spans="2:53">
      <c r="B87" s="643" t="s">
        <v>398</v>
      </c>
      <c r="C87" s="379">
        <v>1</v>
      </c>
      <c r="D87" s="225"/>
      <c r="E87" s="516"/>
      <c r="F87" s="513"/>
      <c r="G87" s="512"/>
      <c r="H87" s="702" t="e">
        <f>AVERAGE(G87:G101)</f>
        <v>#DIV/0!</v>
      </c>
      <c r="I87" s="381" t="str">
        <f t="shared" ref="I87:I100" si="38">IFERROR(AVERAGE(P87,U87,Z87,AE87,AJ87,AO87,AT87),"-")</f>
        <v>-</v>
      </c>
      <c r="J87" s="381" t="str">
        <f t="shared" ref="J87:J100" si="39">IFERROR(AVERAGE(Q87,V87,AA87,AF87,AK87,AP87,AU87),"-")</f>
        <v>-</v>
      </c>
      <c r="K87" s="199" t="str">
        <f t="shared" ref="K87:K100" si="40">IFERROR(AVERAGE(R87,W87,AB87,AG87,AL87,AQ87,AV87),"-")</f>
        <v>-</v>
      </c>
      <c r="L87" s="658" t="str">
        <f>IFERROR(AVERAGE(K87:K101),"-")</f>
        <v>-</v>
      </c>
      <c r="M87" s="383" t="e">
        <f>RANK(K87, K$87:$K$101)</f>
        <v>#VALUE!</v>
      </c>
      <c r="N87" s="643"/>
      <c r="O87" s="643"/>
      <c r="P87" s="563"/>
      <c r="Q87" s="565"/>
      <c r="R87" s="565"/>
      <c r="S87" s="563"/>
      <c r="T87" s="638"/>
      <c r="U87" s="563"/>
      <c r="V87" s="565"/>
      <c r="W87" s="565"/>
      <c r="X87" s="563"/>
      <c r="Y87" s="638"/>
      <c r="Z87" s="563"/>
      <c r="AA87" s="565"/>
      <c r="AB87" s="565"/>
      <c r="AC87" s="563"/>
      <c r="AD87" s="638"/>
      <c r="AE87" s="563"/>
      <c r="AF87" s="565"/>
      <c r="AG87" s="565"/>
      <c r="AH87" s="563"/>
      <c r="AI87" s="638"/>
      <c r="AJ87" s="563"/>
      <c r="AK87" s="565"/>
      <c r="AL87" s="565"/>
      <c r="AM87" s="563"/>
      <c r="AN87" s="638"/>
      <c r="AO87" s="563"/>
      <c r="AP87" s="565"/>
      <c r="AQ87" s="565"/>
      <c r="AR87" s="563"/>
      <c r="AS87" s="638"/>
      <c r="AT87" s="563"/>
      <c r="AU87" s="565"/>
      <c r="AV87" s="565"/>
      <c r="AW87" s="563"/>
      <c r="AX87" s="638"/>
      <c r="AZ87" s="368" t="e">
        <f t="shared" ref="AZ87:AZ101" si="41">RANK(AY87, AY$87:AY$101)</f>
        <v>#N/A</v>
      </c>
      <c r="BA87" s="644" t="e">
        <f t="shared" ref="BA87" si="42">AVERAGE(AY87:AY101)</f>
        <v>#DIV/0!</v>
      </c>
    </row>
    <row r="88" spans="2:53">
      <c r="B88" s="649"/>
      <c r="C88" s="379">
        <v>2</v>
      </c>
      <c r="D88" s="225"/>
      <c r="E88" s="516"/>
      <c r="F88" s="513"/>
      <c r="G88" s="512"/>
      <c r="H88" s="703"/>
      <c r="I88" s="381" t="str">
        <f t="shared" si="38"/>
        <v>-</v>
      </c>
      <c r="J88" s="381" t="str">
        <f t="shared" si="39"/>
        <v>-</v>
      </c>
      <c r="K88" s="199" t="str">
        <f t="shared" si="40"/>
        <v>-</v>
      </c>
      <c r="L88" s="659"/>
      <c r="M88" s="466" t="e">
        <f>RANK(K88, K$87:$K$101)</f>
        <v>#VALUE!</v>
      </c>
      <c r="N88" s="643"/>
      <c r="O88" s="643"/>
      <c r="P88" s="563"/>
      <c r="Q88" s="565"/>
      <c r="R88" s="565"/>
      <c r="S88" s="563"/>
      <c r="T88" s="639"/>
      <c r="U88" s="563"/>
      <c r="V88" s="565"/>
      <c r="W88" s="565"/>
      <c r="X88" s="563"/>
      <c r="Y88" s="639"/>
      <c r="Z88" s="563"/>
      <c r="AA88" s="565"/>
      <c r="AB88" s="565"/>
      <c r="AC88" s="563"/>
      <c r="AD88" s="639"/>
      <c r="AE88" s="563"/>
      <c r="AF88" s="565"/>
      <c r="AG88" s="565"/>
      <c r="AH88" s="563"/>
      <c r="AI88" s="639"/>
      <c r="AJ88" s="563"/>
      <c r="AK88" s="565"/>
      <c r="AL88" s="565"/>
      <c r="AM88" s="563"/>
      <c r="AN88" s="639"/>
      <c r="AO88" s="563"/>
      <c r="AP88" s="565"/>
      <c r="AQ88" s="565"/>
      <c r="AR88" s="563"/>
      <c r="AS88" s="639"/>
      <c r="AT88" s="563"/>
      <c r="AU88" s="565"/>
      <c r="AV88" s="565"/>
      <c r="AW88" s="563"/>
      <c r="AX88" s="639"/>
      <c r="AZ88" s="368" t="e">
        <f t="shared" si="41"/>
        <v>#N/A</v>
      </c>
      <c r="BA88" s="644"/>
    </row>
    <row r="89" spans="2:53">
      <c r="B89" s="649"/>
      <c r="C89" s="379">
        <v>3</v>
      </c>
      <c r="D89" s="225"/>
      <c r="E89" s="516"/>
      <c r="F89" s="513"/>
      <c r="G89" s="512"/>
      <c r="H89" s="703"/>
      <c r="I89" s="381" t="str">
        <f t="shared" si="38"/>
        <v>-</v>
      </c>
      <c r="J89" s="381" t="str">
        <f t="shared" si="39"/>
        <v>-</v>
      </c>
      <c r="K89" s="199" t="str">
        <f t="shared" si="40"/>
        <v>-</v>
      </c>
      <c r="L89" s="659"/>
      <c r="M89" s="466" t="e">
        <f>RANK(K89, K$87:$K$101)</f>
        <v>#VALUE!</v>
      </c>
      <c r="N89" s="643"/>
      <c r="O89" s="643"/>
      <c r="P89" s="563"/>
      <c r="Q89" s="565"/>
      <c r="R89" s="565"/>
      <c r="S89" s="563"/>
      <c r="T89" s="639"/>
      <c r="U89" s="563"/>
      <c r="V89" s="565"/>
      <c r="W89" s="565"/>
      <c r="X89" s="563"/>
      <c r="Y89" s="639"/>
      <c r="Z89" s="563"/>
      <c r="AA89" s="565"/>
      <c r="AB89" s="565"/>
      <c r="AC89" s="563"/>
      <c r="AD89" s="639"/>
      <c r="AE89" s="563"/>
      <c r="AF89" s="565"/>
      <c r="AG89" s="565"/>
      <c r="AH89" s="563"/>
      <c r="AI89" s="639"/>
      <c r="AJ89" s="563"/>
      <c r="AK89" s="565"/>
      <c r="AL89" s="565"/>
      <c r="AM89" s="563"/>
      <c r="AN89" s="639"/>
      <c r="AO89" s="563"/>
      <c r="AP89" s="565"/>
      <c r="AQ89" s="565"/>
      <c r="AR89" s="563"/>
      <c r="AS89" s="639"/>
      <c r="AT89" s="563"/>
      <c r="AU89" s="565"/>
      <c r="AV89" s="565"/>
      <c r="AW89" s="563"/>
      <c r="AX89" s="639"/>
      <c r="AZ89" s="368" t="e">
        <f t="shared" si="41"/>
        <v>#N/A</v>
      </c>
      <c r="BA89" s="644"/>
    </row>
    <row r="90" spans="2:53">
      <c r="B90" s="649"/>
      <c r="C90" s="379">
        <v>4</v>
      </c>
      <c r="D90" s="225"/>
      <c r="E90" s="516"/>
      <c r="F90" s="513"/>
      <c r="G90" s="512"/>
      <c r="H90" s="703"/>
      <c r="I90" s="381" t="str">
        <f t="shared" si="38"/>
        <v>-</v>
      </c>
      <c r="J90" s="381" t="str">
        <f t="shared" si="39"/>
        <v>-</v>
      </c>
      <c r="K90" s="199" t="str">
        <f t="shared" si="40"/>
        <v>-</v>
      </c>
      <c r="L90" s="659"/>
      <c r="M90" s="466" t="e">
        <f>RANK(K90, K$87:$K$101)</f>
        <v>#VALUE!</v>
      </c>
      <c r="N90" s="643"/>
      <c r="O90" s="643"/>
      <c r="P90" s="563"/>
      <c r="Q90" s="565"/>
      <c r="R90" s="565"/>
      <c r="S90" s="563"/>
      <c r="T90" s="639"/>
      <c r="U90" s="563"/>
      <c r="V90" s="565"/>
      <c r="W90" s="565"/>
      <c r="X90" s="563"/>
      <c r="Y90" s="639"/>
      <c r="Z90" s="563"/>
      <c r="AA90" s="565"/>
      <c r="AB90" s="565"/>
      <c r="AC90" s="563"/>
      <c r="AD90" s="639"/>
      <c r="AE90" s="563"/>
      <c r="AF90" s="565"/>
      <c r="AG90" s="565"/>
      <c r="AH90" s="563"/>
      <c r="AI90" s="639"/>
      <c r="AJ90" s="563"/>
      <c r="AK90" s="565"/>
      <c r="AL90" s="565"/>
      <c r="AM90" s="563"/>
      <c r="AN90" s="639"/>
      <c r="AO90" s="563"/>
      <c r="AP90" s="565"/>
      <c r="AQ90" s="565"/>
      <c r="AR90" s="563"/>
      <c r="AS90" s="639"/>
      <c r="AT90" s="563"/>
      <c r="AU90" s="565"/>
      <c r="AV90" s="565"/>
      <c r="AW90" s="563"/>
      <c r="AX90" s="639"/>
      <c r="AZ90" s="368" t="e">
        <f t="shared" si="41"/>
        <v>#N/A</v>
      </c>
      <c r="BA90" s="644"/>
    </row>
    <row r="91" spans="2:53">
      <c r="B91" s="649"/>
      <c r="C91" s="379">
        <v>5</v>
      </c>
      <c r="D91" s="225"/>
      <c r="E91" s="516"/>
      <c r="F91" s="513"/>
      <c r="G91" s="512"/>
      <c r="H91" s="703"/>
      <c r="I91" s="381" t="str">
        <f t="shared" si="38"/>
        <v>-</v>
      </c>
      <c r="J91" s="381" t="str">
        <f t="shared" si="39"/>
        <v>-</v>
      </c>
      <c r="K91" s="199" t="str">
        <f t="shared" si="40"/>
        <v>-</v>
      </c>
      <c r="L91" s="659"/>
      <c r="M91" s="466" t="e">
        <f>RANK(K91, K$87:$K$101)</f>
        <v>#VALUE!</v>
      </c>
      <c r="N91" s="643"/>
      <c r="O91" s="643"/>
      <c r="P91" s="563"/>
      <c r="Q91" s="565"/>
      <c r="R91" s="565"/>
      <c r="S91" s="563"/>
      <c r="T91" s="639"/>
      <c r="U91" s="563"/>
      <c r="V91" s="565"/>
      <c r="W91" s="565"/>
      <c r="X91" s="563"/>
      <c r="Y91" s="639"/>
      <c r="Z91" s="563"/>
      <c r="AA91" s="565"/>
      <c r="AB91" s="565"/>
      <c r="AC91" s="563"/>
      <c r="AD91" s="639"/>
      <c r="AE91" s="563"/>
      <c r="AF91" s="565"/>
      <c r="AG91" s="565"/>
      <c r="AH91" s="563"/>
      <c r="AI91" s="639"/>
      <c r="AJ91" s="563"/>
      <c r="AK91" s="565"/>
      <c r="AL91" s="565"/>
      <c r="AM91" s="563"/>
      <c r="AN91" s="639"/>
      <c r="AO91" s="563"/>
      <c r="AP91" s="565"/>
      <c r="AQ91" s="565"/>
      <c r="AR91" s="563"/>
      <c r="AS91" s="639"/>
      <c r="AT91" s="563"/>
      <c r="AU91" s="565"/>
      <c r="AV91" s="565"/>
      <c r="AW91" s="563"/>
      <c r="AX91" s="639"/>
      <c r="AZ91" s="368" t="e">
        <f t="shared" si="41"/>
        <v>#N/A</v>
      </c>
      <c r="BA91" s="644"/>
    </row>
    <row r="92" spans="2:53">
      <c r="B92" s="649"/>
      <c r="C92" s="379">
        <v>6</v>
      </c>
      <c r="D92" s="225"/>
      <c r="E92" s="516"/>
      <c r="F92" s="513"/>
      <c r="G92" s="512"/>
      <c r="H92" s="703"/>
      <c r="I92" s="381" t="str">
        <f t="shared" si="38"/>
        <v>-</v>
      </c>
      <c r="J92" s="381" t="str">
        <f t="shared" si="39"/>
        <v>-</v>
      </c>
      <c r="K92" s="199" t="str">
        <f t="shared" si="40"/>
        <v>-</v>
      </c>
      <c r="L92" s="659"/>
      <c r="M92" s="466" t="e">
        <f>RANK(K92, K$87:$K$101)</f>
        <v>#VALUE!</v>
      </c>
      <c r="N92" s="643"/>
      <c r="O92" s="643"/>
      <c r="P92" s="563"/>
      <c r="Q92" s="565"/>
      <c r="R92" s="565"/>
      <c r="S92" s="563"/>
      <c r="T92" s="639"/>
      <c r="U92" s="563"/>
      <c r="V92" s="565"/>
      <c r="W92" s="565"/>
      <c r="X92" s="563"/>
      <c r="Y92" s="639"/>
      <c r="Z92" s="563"/>
      <c r="AA92" s="565"/>
      <c r="AB92" s="565"/>
      <c r="AC92" s="563"/>
      <c r="AD92" s="639"/>
      <c r="AE92" s="563"/>
      <c r="AF92" s="565"/>
      <c r="AG92" s="565"/>
      <c r="AH92" s="563"/>
      <c r="AI92" s="639"/>
      <c r="AJ92" s="563"/>
      <c r="AK92" s="565"/>
      <c r="AL92" s="565"/>
      <c r="AM92" s="563"/>
      <c r="AN92" s="639"/>
      <c r="AO92" s="563"/>
      <c r="AP92" s="565"/>
      <c r="AQ92" s="565"/>
      <c r="AR92" s="563"/>
      <c r="AS92" s="639"/>
      <c r="AT92" s="563"/>
      <c r="AU92" s="565"/>
      <c r="AV92" s="565"/>
      <c r="AW92" s="563"/>
      <c r="AX92" s="639"/>
      <c r="AZ92" s="368" t="e">
        <f t="shared" si="41"/>
        <v>#N/A</v>
      </c>
      <c r="BA92" s="644"/>
    </row>
    <row r="93" spans="2:53">
      <c r="B93" s="649"/>
      <c r="C93" s="379">
        <v>7</v>
      </c>
      <c r="D93" s="225"/>
      <c r="E93" s="516"/>
      <c r="F93" s="513"/>
      <c r="G93" s="512"/>
      <c r="H93" s="703"/>
      <c r="I93" s="381" t="str">
        <f t="shared" si="38"/>
        <v>-</v>
      </c>
      <c r="J93" s="381" t="str">
        <f t="shared" si="39"/>
        <v>-</v>
      </c>
      <c r="K93" s="199" t="str">
        <f t="shared" si="40"/>
        <v>-</v>
      </c>
      <c r="L93" s="659"/>
      <c r="M93" s="466" t="e">
        <f>RANK(K93, K$87:$K$101)</f>
        <v>#VALUE!</v>
      </c>
      <c r="N93" s="643"/>
      <c r="O93" s="643"/>
      <c r="P93" s="563"/>
      <c r="Q93" s="565"/>
      <c r="R93" s="565"/>
      <c r="S93" s="563"/>
      <c r="T93" s="639"/>
      <c r="U93" s="563"/>
      <c r="V93" s="565"/>
      <c r="W93" s="565"/>
      <c r="X93" s="563"/>
      <c r="Y93" s="639"/>
      <c r="Z93" s="563"/>
      <c r="AA93" s="565"/>
      <c r="AB93" s="565"/>
      <c r="AC93" s="563"/>
      <c r="AD93" s="639"/>
      <c r="AE93" s="563"/>
      <c r="AF93" s="565"/>
      <c r="AG93" s="565"/>
      <c r="AH93" s="563"/>
      <c r="AI93" s="639"/>
      <c r="AJ93" s="563"/>
      <c r="AK93" s="565"/>
      <c r="AL93" s="565"/>
      <c r="AM93" s="563"/>
      <c r="AN93" s="639"/>
      <c r="AO93" s="563"/>
      <c r="AP93" s="565"/>
      <c r="AQ93" s="565"/>
      <c r="AR93" s="563"/>
      <c r="AS93" s="639"/>
      <c r="AT93" s="563"/>
      <c r="AU93" s="565"/>
      <c r="AV93" s="565"/>
      <c r="AW93" s="563"/>
      <c r="AX93" s="639"/>
      <c r="AZ93" s="368" t="e">
        <f t="shared" si="41"/>
        <v>#N/A</v>
      </c>
      <c r="BA93" s="644"/>
    </row>
    <row r="94" spans="2:53">
      <c r="B94" s="649"/>
      <c r="C94" s="379">
        <v>8</v>
      </c>
      <c r="D94" s="225"/>
      <c r="E94" s="516"/>
      <c r="F94" s="513"/>
      <c r="G94" s="512"/>
      <c r="H94" s="703"/>
      <c r="I94" s="381" t="str">
        <f t="shared" si="38"/>
        <v>-</v>
      </c>
      <c r="J94" s="381" t="str">
        <f t="shared" si="39"/>
        <v>-</v>
      </c>
      <c r="K94" s="199" t="str">
        <f t="shared" si="40"/>
        <v>-</v>
      </c>
      <c r="L94" s="659"/>
      <c r="M94" s="466" t="e">
        <f>RANK(K94, K$87:$K$101)</f>
        <v>#VALUE!</v>
      </c>
      <c r="N94" s="643"/>
      <c r="O94" s="643"/>
      <c r="P94" s="563"/>
      <c r="Q94" s="565"/>
      <c r="R94" s="565"/>
      <c r="S94" s="563"/>
      <c r="T94" s="639"/>
      <c r="U94" s="563"/>
      <c r="V94" s="565"/>
      <c r="W94" s="565"/>
      <c r="X94" s="563"/>
      <c r="Y94" s="639"/>
      <c r="Z94" s="563"/>
      <c r="AA94" s="565"/>
      <c r="AB94" s="565"/>
      <c r="AC94" s="563"/>
      <c r="AD94" s="639"/>
      <c r="AE94" s="563"/>
      <c r="AF94" s="565"/>
      <c r="AG94" s="565"/>
      <c r="AH94" s="563"/>
      <c r="AI94" s="639"/>
      <c r="AJ94" s="563"/>
      <c r="AK94" s="565"/>
      <c r="AL94" s="565"/>
      <c r="AM94" s="563"/>
      <c r="AN94" s="639"/>
      <c r="AO94" s="563"/>
      <c r="AP94" s="565"/>
      <c r="AQ94" s="565"/>
      <c r="AR94" s="563"/>
      <c r="AS94" s="639"/>
      <c r="AT94" s="563"/>
      <c r="AU94" s="565"/>
      <c r="AV94" s="565"/>
      <c r="AW94" s="563"/>
      <c r="AX94" s="639"/>
      <c r="AZ94" s="368" t="e">
        <f t="shared" si="41"/>
        <v>#N/A</v>
      </c>
      <c r="BA94" s="644"/>
    </row>
    <row r="95" spans="2:53">
      <c r="B95" s="649"/>
      <c r="C95" s="379">
        <v>9</v>
      </c>
      <c r="D95" s="225"/>
      <c r="E95" s="516"/>
      <c r="F95" s="513"/>
      <c r="G95" s="512"/>
      <c r="H95" s="703"/>
      <c r="I95" s="381" t="str">
        <f t="shared" si="38"/>
        <v>-</v>
      </c>
      <c r="J95" s="381" t="str">
        <f t="shared" si="39"/>
        <v>-</v>
      </c>
      <c r="K95" s="199" t="str">
        <f t="shared" si="40"/>
        <v>-</v>
      </c>
      <c r="L95" s="659"/>
      <c r="M95" s="466" t="e">
        <f>RANK(K95, K$87:$K$101)</f>
        <v>#VALUE!</v>
      </c>
      <c r="N95" s="643"/>
      <c r="O95" s="643"/>
      <c r="P95" s="563"/>
      <c r="Q95" s="565"/>
      <c r="R95" s="565"/>
      <c r="S95" s="563"/>
      <c r="T95" s="639"/>
      <c r="U95" s="563"/>
      <c r="V95" s="565"/>
      <c r="W95" s="565"/>
      <c r="X95" s="563"/>
      <c r="Y95" s="639"/>
      <c r="Z95" s="563"/>
      <c r="AA95" s="565"/>
      <c r="AB95" s="565"/>
      <c r="AC95" s="563"/>
      <c r="AD95" s="639"/>
      <c r="AE95" s="563"/>
      <c r="AF95" s="565"/>
      <c r="AG95" s="565"/>
      <c r="AH95" s="563"/>
      <c r="AI95" s="639"/>
      <c r="AJ95" s="563"/>
      <c r="AK95" s="565"/>
      <c r="AL95" s="565"/>
      <c r="AM95" s="563"/>
      <c r="AN95" s="639"/>
      <c r="AO95" s="563"/>
      <c r="AP95" s="565"/>
      <c r="AQ95" s="565"/>
      <c r="AR95" s="563"/>
      <c r="AS95" s="639"/>
      <c r="AT95" s="563"/>
      <c r="AU95" s="565"/>
      <c r="AV95" s="565"/>
      <c r="AW95" s="563"/>
      <c r="AX95" s="639"/>
      <c r="AZ95" s="368" t="e">
        <f t="shared" si="41"/>
        <v>#N/A</v>
      </c>
      <c r="BA95" s="644"/>
    </row>
    <row r="96" spans="2:53">
      <c r="B96" s="649"/>
      <c r="C96" s="379">
        <v>10</v>
      </c>
      <c r="D96" s="225"/>
      <c r="E96" s="516"/>
      <c r="F96" s="513"/>
      <c r="G96" s="512"/>
      <c r="H96" s="703"/>
      <c r="I96" s="381" t="str">
        <f t="shared" si="38"/>
        <v>-</v>
      </c>
      <c r="J96" s="381" t="str">
        <f t="shared" si="39"/>
        <v>-</v>
      </c>
      <c r="K96" s="199" t="str">
        <f t="shared" si="40"/>
        <v>-</v>
      </c>
      <c r="L96" s="659"/>
      <c r="M96" s="466" t="e">
        <f>RANK(K96, K$87:$K$101)</f>
        <v>#VALUE!</v>
      </c>
      <c r="N96" s="643"/>
      <c r="O96" s="643"/>
      <c r="P96" s="563"/>
      <c r="Q96" s="565"/>
      <c r="R96" s="565"/>
      <c r="S96" s="563"/>
      <c r="T96" s="639"/>
      <c r="U96" s="563"/>
      <c r="V96" s="565"/>
      <c r="W96" s="565"/>
      <c r="X96" s="563"/>
      <c r="Y96" s="639"/>
      <c r="Z96" s="563"/>
      <c r="AA96" s="565"/>
      <c r="AB96" s="565"/>
      <c r="AC96" s="563"/>
      <c r="AD96" s="639"/>
      <c r="AE96" s="563"/>
      <c r="AF96" s="565"/>
      <c r="AG96" s="565"/>
      <c r="AH96" s="563"/>
      <c r="AI96" s="639"/>
      <c r="AJ96" s="563"/>
      <c r="AK96" s="565"/>
      <c r="AL96" s="565"/>
      <c r="AM96" s="563"/>
      <c r="AN96" s="639"/>
      <c r="AO96" s="563"/>
      <c r="AP96" s="565"/>
      <c r="AQ96" s="565"/>
      <c r="AR96" s="563"/>
      <c r="AS96" s="639"/>
      <c r="AT96" s="563"/>
      <c r="AU96" s="565"/>
      <c r="AV96" s="565"/>
      <c r="AW96" s="563"/>
      <c r="AX96" s="639"/>
      <c r="AZ96" s="368" t="e">
        <f t="shared" si="41"/>
        <v>#N/A</v>
      </c>
      <c r="BA96" s="644"/>
    </row>
    <row r="97" spans="2:53">
      <c r="B97" s="649"/>
      <c r="C97" s="379">
        <v>11</v>
      </c>
      <c r="D97" s="225"/>
      <c r="E97" s="516"/>
      <c r="F97" s="513"/>
      <c r="G97" s="512"/>
      <c r="H97" s="703"/>
      <c r="I97" s="381" t="str">
        <f t="shared" si="38"/>
        <v>-</v>
      </c>
      <c r="J97" s="381" t="str">
        <f t="shared" si="39"/>
        <v>-</v>
      </c>
      <c r="K97" s="199" t="str">
        <f t="shared" si="40"/>
        <v>-</v>
      </c>
      <c r="L97" s="659"/>
      <c r="M97" s="466" t="e">
        <f>RANK(K97, K$87:$K$101)</f>
        <v>#VALUE!</v>
      </c>
      <c r="N97" s="643"/>
      <c r="O97" s="643"/>
      <c r="P97" s="563"/>
      <c r="Q97" s="565"/>
      <c r="R97" s="565"/>
      <c r="S97" s="563"/>
      <c r="T97" s="639"/>
      <c r="U97" s="563"/>
      <c r="V97" s="565"/>
      <c r="W97" s="565"/>
      <c r="X97" s="563"/>
      <c r="Y97" s="639"/>
      <c r="Z97" s="563"/>
      <c r="AA97" s="565"/>
      <c r="AB97" s="565"/>
      <c r="AC97" s="563"/>
      <c r="AD97" s="639"/>
      <c r="AE97" s="563"/>
      <c r="AF97" s="565"/>
      <c r="AG97" s="565"/>
      <c r="AH97" s="563"/>
      <c r="AI97" s="639"/>
      <c r="AJ97" s="563"/>
      <c r="AK97" s="565"/>
      <c r="AL97" s="565"/>
      <c r="AM97" s="563"/>
      <c r="AN97" s="639"/>
      <c r="AO97" s="563"/>
      <c r="AP97" s="565"/>
      <c r="AQ97" s="565"/>
      <c r="AR97" s="563"/>
      <c r="AS97" s="639"/>
      <c r="AT97" s="563"/>
      <c r="AU97" s="565"/>
      <c r="AV97" s="565"/>
      <c r="AW97" s="563"/>
      <c r="AX97" s="639"/>
      <c r="AZ97" s="368" t="e">
        <f t="shared" si="41"/>
        <v>#N/A</v>
      </c>
      <c r="BA97" s="644"/>
    </row>
    <row r="98" spans="2:53">
      <c r="B98" s="649"/>
      <c r="C98" s="379">
        <v>12</v>
      </c>
      <c r="D98" s="225"/>
      <c r="E98" s="516"/>
      <c r="F98" s="513"/>
      <c r="G98" s="512"/>
      <c r="H98" s="703"/>
      <c r="I98" s="381" t="str">
        <f t="shared" si="38"/>
        <v>-</v>
      </c>
      <c r="J98" s="381" t="str">
        <f t="shared" si="39"/>
        <v>-</v>
      </c>
      <c r="K98" s="199" t="str">
        <f t="shared" si="40"/>
        <v>-</v>
      </c>
      <c r="L98" s="659"/>
      <c r="M98" s="466" t="e">
        <f>RANK(K98, K$87:$K$101)</f>
        <v>#VALUE!</v>
      </c>
      <c r="N98" s="643"/>
      <c r="O98" s="643"/>
      <c r="P98" s="563"/>
      <c r="Q98" s="565"/>
      <c r="R98" s="565"/>
      <c r="S98" s="563"/>
      <c r="T98" s="639"/>
      <c r="U98" s="563"/>
      <c r="V98" s="565"/>
      <c r="W98" s="565"/>
      <c r="X98" s="563"/>
      <c r="Y98" s="639"/>
      <c r="Z98" s="563"/>
      <c r="AA98" s="565"/>
      <c r="AB98" s="565"/>
      <c r="AC98" s="563"/>
      <c r="AD98" s="639"/>
      <c r="AE98" s="563"/>
      <c r="AF98" s="565"/>
      <c r="AG98" s="565"/>
      <c r="AH98" s="563"/>
      <c r="AI98" s="639"/>
      <c r="AJ98" s="563"/>
      <c r="AK98" s="565"/>
      <c r="AL98" s="565"/>
      <c r="AM98" s="563"/>
      <c r="AN98" s="639"/>
      <c r="AO98" s="563"/>
      <c r="AP98" s="565"/>
      <c r="AQ98" s="565"/>
      <c r="AR98" s="563"/>
      <c r="AS98" s="639"/>
      <c r="AT98" s="563"/>
      <c r="AU98" s="565"/>
      <c r="AV98" s="565"/>
      <c r="AW98" s="563"/>
      <c r="AX98" s="639"/>
      <c r="AZ98" s="368" t="e">
        <f t="shared" si="41"/>
        <v>#N/A</v>
      </c>
      <c r="BA98" s="644"/>
    </row>
    <row r="99" spans="2:53">
      <c r="B99" s="649"/>
      <c r="C99" s="379">
        <v>13</v>
      </c>
      <c r="D99" s="225"/>
      <c r="E99" s="516"/>
      <c r="F99" s="513"/>
      <c r="G99" s="512"/>
      <c r="H99" s="703"/>
      <c r="I99" s="381" t="str">
        <f t="shared" si="38"/>
        <v>-</v>
      </c>
      <c r="J99" s="381" t="str">
        <f t="shared" si="39"/>
        <v>-</v>
      </c>
      <c r="K99" s="199" t="str">
        <f t="shared" si="40"/>
        <v>-</v>
      </c>
      <c r="L99" s="659"/>
      <c r="M99" s="466" t="e">
        <f>RANK(K99, K$87:$K$101)</f>
        <v>#VALUE!</v>
      </c>
      <c r="N99" s="643"/>
      <c r="O99" s="643"/>
      <c r="P99" s="563"/>
      <c r="Q99" s="565"/>
      <c r="R99" s="565"/>
      <c r="S99" s="563"/>
      <c r="T99" s="639"/>
      <c r="U99" s="563"/>
      <c r="V99" s="565"/>
      <c r="W99" s="565"/>
      <c r="X99" s="563"/>
      <c r="Y99" s="639"/>
      <c r="Z99" s="563"/>
      <c r="AA99" s="565"/>
      <c r="AB99" s="565"/>
      <c r="AC99" s="563"/>
      <c r="AD99" s="639"/>
      <c r="AE99" s="563"/>
      <c r="AF99" s="565"/>
      <c r="AG99" s="565"/>
      <c r="AH99" s="563"/>
      <c r="AI99" s="639"/>
      <c r="AJ99" s="563"/>
      <c r="AK99" s="565"/>
      <c r="AL99" s="565"/>
      <c r="AM99" s="563"/>
      <c r="AN99" s="639"/>
      <c r="AO99" s="563"/>
      <c r="AP99" s="565"/>
      <c r="AQ99" s="565"/>
      <c r="AR99" s="563"/>
      <c r="AS99" s="639"/>
      <c r="AT99" s="563"/>
      <c r="AU99" s="565"/>
      <c r="AV99" s="565"/>
      <c r="AW99" s="563"/>
      <c r="AX99" s="639"/>
      <c r="AZ99" s="368" t="e">
        <f t="shared" si="41"/>
        <v>#N/A</v>
      </c>
      <c r="BA99" s="644"/>
    </row>
    <row r="100" spans="2:53">
      <c r="B100" s="649"/>
      <c r="C100" s="379">
        <v>14</v>
      </c>
      <c r="D100" s="225"/>
      <c r="E100" s="516"/>
      <c r="F100" s="513"/>
      <c r="G100" s="512"/>
      <c r="H100" s="703"/>
      <c r="I100" s="381" t="str">
        <f t="shared" si="38"/>
        <v>-</v>
      </c>
      <c r="J100" s="381" t="str">
        <f t="shared" si="39"/>
        <v>-</v>
      </c>
      <c r="K100" s="199" t="str">
        <f t="shared" si="40"/>
        <v>-</v>
      </c>
      <c r="L100" s="659"/>
      <c r="M100" s="466" t="e">
        <f>RANK(K100, K$87:$K$101)</f>
        <v>#VALUE!</v>
      </c>
      <c r="N100" s="643"/>
      <c r="O100" s="643"/>
      <c r="P100" s="563"/>
      <c r="Q100" s="565"/>
      <c r="R100" s="565"/>
      <c r="S100" s="563"/>
      <c r="T100" s="639"/>
      <c r="U100" s="563"/>
      <c r="V100" s="565"/>
      <c r="W100" s="565"/>
      <c r="X100" s="563"/>
      <c r="Y100" s="639"/>
      <c r="Z100" s="563"/>
      <c r="AA100" s="565"/>
      <c r="AB100" s="565"/>
      <c r="AC100" s="563"/>
      <c r="AD100" s="639"/>
      <c r="AE100" s="563"/>
      <c r="AF100" s="565"/>
      <c r="AG100" s="565"/>
      <c r="AH100" s="563"/>
      <c r="AI100" s="639"/>
      <c r="AJ100" s="563"/>
      <c r="AK100" s="565"/>
      <c r="AL100" s="565"/>
      <c r="AM100" s="563"/>
      <c r="AN100" s="639"/>
      <c r="AO100" s="563"/>
      <c r="AP100" s="565"/>
      <c r="AQ100" s="565"/>
      <c r="AR100" s="563"/>
      <c r="AS100" s="639"/>
      <c r="AT100" s="563"/>
      <c r="AU100" s="565"/>
      <c r="AV100" s="565"/>
      <c r="AW100" s="563"/>
      <c r="AX100" s="639"/>
      <c r="AZ100" s="368" t="e">
        <f t="shared" si="41"/>
        <v>#N/A</v>
      </c>
      <c r="BA100" s="644"/>
    </row>
    <row r="101" spans="2:53">
      <c r="B101" s="649"/>
      <c r="C101" s="379">
        <v>15</v>
      </c>
      <c r="D101" s="225"/>
      <c r="E101" s="516"/>
      <c r="F101" s="513"/>
      <c r="G101" s="512"/>
      <c r="H101" s="704"/>
      <c r="I101" s="419" t="str">
        <f t="shared" ref="I101" si="43">IFERROR(AVERAGE(P101,U101,Z101,AE101,AJ101,AO101,AT101),"-")</f>
        <v>-</v>
      </c>
      <c r="J101" s="419" t="str">
        <f t="shared" ref="J101" si="44">IFERROR(AVERAGE(Q101,V101,AA101,AF101,AK101,AP101,AU101),"-")</f>
        <v>-</v>
      </c>
      <c r="K101" s="199" t="str">
        <f t="shared" ref="K101" si="45">IFERROR(AVERAGE(R101,W101,AB101,AG101,AL101,AQ101,AV101),"-")</f>
        <v>-</v>
      </c>
      <c r="L101" s="660"/>
      <c r="M101" s="466" t="e">
        <f>RANK(K101, K$87:$K$101)</f>
        <v>#VALUE!</v>
      </c>
      <c r="N101" s="643"/>
      <c r="O101" s="643"/>
      <c r="P101" s="563"/>
      <c r="Q101" s="565"/>
      <c r="R101" s="565"/>
      <c r="S101" s="563"/>
      <c r="T101" s="640"/>
      <c r="U101" s="563"/>
      <c r="V101" s="565"/>
      <c r="W101" s="565"/>
      <c r="X101" s="563"/>
      <c r="Y101" s="640"/>
      <c r="Z101" s="563"/>
      <c r="AA101" s="565"/>
      <c r="AB101" s="565"/>
      <c r="AC101" s="563"/>
      <c r="AD101" s="640"/>
      <c r="AE101" s="563"/>
      <c r="AF101" s="565"/>
      <c r="AG101" s="565"/>
      <c r="AH101" s="563"/>
      <c r="AI101" s="640"/>
      <c r="AJ101" s="563"/>
      <c r="AK101" s="565"/>
      <c r="AL101" s="565"/>
      <c r="AM101" s="563"/>
      <c r="AN101" s="640"/>
      <c r="AO101" s="563"/>
      <c r="AP101" s="565"/>
      <c r="AQ101" s="565"/>
      <c r="AR101" s="563"/>
      <c r="AS101" s="640"/>
      <c r="AT101" s="563"/>
      <c r="AU101" s="565"/>
      <c r="AV101" s="565"/>
      <c r="AW101" s="563"/>
      <c r="AX101" s="640"/>
      <c r="AZ101" s="368" t="e">
        <f t="shared" si="41"/>
        <v>#N/A</v>
      </c>
      <c r="BA101" s="644"/>
    </row>
    <row r="102" spans="2:53" ht="15.75">
      <c r="B102" s="671" t="s">
        <v>162</v>
      </c>
      <c r="C102" s="672"/>
      <c r="D102" s="672"/>
      <c r="E102" s="672"/>
      <c r="F102" s="672"/>
      <c r="G102" s="672"/>
      <c r="H102" s="673"/>
      <c r="I102" s="207"/>
      <c r="J102" s="207"/>
      <c r="K102" s="207"/>
      <c r="L102" s="207"/>
      <c r="M102" s="206"/>
      <c r="N102" s="645" t="s">
        <v>156</v>
      </c>
      <c r="O102" s="645" t="s">
        <v>105</v>
      </c>
      <c r="P102" s="670">
        <f>P82+7</f>
        <v>46301</v>
      </c>
      <c r="Q102" s="649"/>
      <c r="R102" s="649"/>
      <c r="S102" s="649"/>
      <c r="T102" s="649"/>
      <c r="U102" s="667">
        <f>P102+1</f>
        <v>46302</v>
      </c>
      <c r="V102" s="668"/>
      <c r="W102" s="668"/>
      <c r="X102" s="668"/>
      <c r="Y102" s="669"/>
      <c r="Z102" s="667">
        <f>U102+1</f>
        <v>46303</v>
      </c>
      <c r="AA102" s="668"/>
      <c r="AB102" s="668"/>
      <c r="AC102" s="668"/>
      <c r="AD102" s="669"/>
      <c r="AE102" s="667">
        <f>Z102+1</f>
        <v>46304</v>
      </c>
      <c r="AF102" s="668"/>
      <c r="AG102" s="668"/>
      <c r="AH102" s="668"/>
      <c r="AI102" s="669"/>
      <c r="AJ102" s="667">
        <f>AE102+1</f>
        <v>46305</v>
      </c>
      <c r="AK102" s="668"/>
      <c r="AL102" s="668"/>
      <c r="AM102" s="668"/>
      <c r="AN102" s="669"/>
      <c r="AO102" s="667">
        <f>AJ102+1</f>
        <v>46306</v>
      </c>
      <c r="AP102" s="668"/>
      <c r="AQ102" s="668"/>
      <c r="AR102" s="668"/>
      <c r="AS102" s="669"/>
      <c r="AT102" s="667">
        <f>AO102+1</f>
        <v>46307</v>
      </c>
      <c r="AU102" s="668"/>
      <c r="AV102" s="668"/>
      <c r="AW102" s="668"/>
      <c r="AX102" s="669"/>
    </row>
    <row r="103" spans="2:53" ht="15.75">
      <c r="B103" s="674"/>
      <c r="C103" s="674"/>
      <c r="D103" s="674"/>
      <c r="E103" s="674"/>
      <c r="F103" s="674"/>
      <c r="G103" s="674"/>
      <c r="H103" s="674"/>
      <c r="I103" s="204"/>
      <c r="J103" s="204"/>
      <c r="K103" s="204"/>
      <c r="L103" s="204"/>
      <c r="M103" s="205"/>
      <c r="N103" s="647"/>
      <c r="O103" s="647"/>
      <c r="P103" s="670" t="s">
        <v>158</v>
      </c>
      <c r="Q103" s="649"/>
      <c r="R103" s="649"/>
      <c r="S103" s="649"/>
      <c r="T103" s="649"/>
      <c r="U103" s="670" t="s">
        <v>114</v>
      </c>
      <c r="V103" s="649"/>
      <c r="W103" s="649"/>
      <c r="X103" s="649"/>
      <c r="Y103" s="649"/>
      <c r="Z103" s="670" t="s">
        <v>159</v>
      </c>
      <c r="AA103" s="649"/>
      <c r="AB103" s="649"/>
      <c r="AC103" s="649"/>
      <c r="AD103" s="649"/>
      <c r="AE103" s="670" t="s">
        <v>157</v>
      </c>
      <c r="AF103" s="649"/>
      <c r="AG103" s="649"/>
      <c r="AH103" s="649"/>
      <c r="AI103" s="649"/>
      <c r="AJ103" s="670" t="s">
        <v>160</v>
      </c>
      <c r="AK103" s="649"/>
      <c r="AL103" s="649"/>
      <c r="AM103" s="649"/>
      <c r="AN103" s="649"/>
      <c r="AO103" s="670" t="s">
        <v>115</v>
      </c>
      <c r="AP103" s="649"/>
      <c r="AQ103" s="649"/>
      <c r="AR103" s="649"/>
      <c r="AS103" s="649"/>
      <c r="AT103" s="670" t="s">
        <v>161</v>
      </c>
      <c r="AU103" s="649"/>
      <c r="AV103" s="649"/>
      <c r="AW103" s="649"/>
      <c r="AX103" s="649"/>
    </row>
    <row r="104" spans="2:53">
      <c r="B104" s="643" t="s">
        <v>154</v>
      </c>
      <c r="C104" s="643" t="s">
        <v>372</v>
      </c>
      <c r="D104" s="643"/>
      <c r="E104" s="643" t="s">
        <v>363</v>
      </c>
      <c r="F104" s="643"/>
      <c r="G104" s="643"/>
      <c r="H104" s="675" t="s">
        <v>359</v>
      </c>
      <c r="I104" s="690" t="s">
        <v>364</v>
      </c>
      <c r="J104" s="690"/>
      <c r="K104" s="690"/>
      <c r="L104" s="691" t="s">
        <v>359</v>
      </c>
      <c r="M104" s="679" t="s">
        <v>360</v>
      </c>
      <c r="N104" s="643"/>
      <c r="O104" s="643" t="s">
        <v>365</v>
      </c>
      <c r="P104" s="661" t="s">
        <v>361</v>
      </c>
      <c r="Q104" s="662"/>
      <c r="R104" s="662"/>
      <c r="S104" s="663"/>
      <c r="T104" s="643" t="s">
        <v>359</v>
      </c>
      <c r="U104" s="661" t="s">
        <v>361</v>
      </c>
      <c r="V104" s="662"/>
      <c r="W104" s="662"/>
      <c r="X104" s="663"/>
      <c r="Y104" s="643" t="s">
        <v>359</v>
      </c>
      <c r="Z104" s="661" t="s">
        <v>361</v>
      </c>
      <c r="AA104" s="662"/>
      <c r="AB104" s="662"/>
      <c r="AC104" s="663"/>
      <c r="AD104" s="643" t="s">
        <v>359</v>
      </c>
      <c r="AE104" s="661" t="s">
        <v>361</v>
      </c>
      <c r="AF104" s="662"/>
      <c r="AG104" s="662"/>
      <c r="AH104" s="663"/>
      <c r="AI104" s="643" t="s">
        <v>359</v>
      </c>
      <c r="AJ104" s="661" t="s">
        <v>361</v>
      </c>
      <c r="AK104" s="662"/>
      <c r="AL104" s="662"/>
      <c r="AM104" s="663"/>
      <c r="AN104" s="643" t="s">
        <v>359</v>
      </c>
      <c r="AO104" s="661" t="s">
        <v>361</v>
      </c>
      <c r="AP104" s="662"/>
      <c r="AQ104" s="662"/>
      <c r="AR104" s="663"/>
      <c r="AS104" s="643" t="s">
        <v>359</v>
      </c>
      <c r="AT104" s="661" t="s">
        <v>361</v>
      </c>
      <c r="AU104" s="662"/>
      <c r="AV104" s="662"/>
      <c r="AW104" s="663"/>
      <c r="AX104" s="643" t="s">
        <v>359</v>
      </c>
      <c r="BA104" s="643" t="s">
        <v>359</v>
      </c>
    </row>
    <row r="105" spans="2:53">
      <c r="B105" s="643"/>
      <c r="C105" s="643"/>
      <c r="D105" s="643"/>
      <c r="E105" s="643" t="s">
        <v>366</v>
      </c>
      <c r="F105" s="643"/>
      <c r="G105" s="643"/>
      <c r="H105" s="676"/>
      <c r="I105" s="690" t="s">
        <v>366</v>
      </c>
      <c r="J105" s="690"/>
      <c r="K105" s="690"/>
      <c r="L105" s="692"/>
      <c r="M105" s="680"/>
      <c r="N105" s="643"/>
      <c r="O105" s="643"/>
      <c r="P105" s="661" t="s">
        <v>367</v>
      </c>
      <c r="Q105" s="662"/>
      <c r="R105" s="662"/>
      <c r="S105" s="663"/>
      <c r="T105" s="643"/>
      <c r="U105" s="661" t="s">
        <v>367</v>
      </c>
      <c r="V105" s="662"/>
      <c r="W105" s="662"/>
      <c r="X105" s="663"/>
      <c r="Y105" s="643"/>
      <c r="Z105" s="661" t="s">
        <v>367</v>
      </c>
      <c r="AA105" s="662"/>
      <c r="AB105" s="662"/>
      <c r="AC105" s="663"/>
      <c r="AD105" s="643"/>
      <c r="AE105" s="661" t="s">
        <v>367</v>
      </c>
      <c r="AF105" s="662"/>
      <c r="AG105" s="662"/>
      <c r="AH105" s="663"/>
      <c r="AI105" s="643"/>
      <c r="AJ105" s="661" t="s">
        <v>367</v>
      </c>
      <c r="AK105" s="662"/>
      <c r="AL105" s="662"/>
      <c r="AM105" s="663"/>
      <c r="AN105" s="643"/>
      <c r="AO105" s="661" t="s">
        <v>367</v>
      </c>
      <c r="AP105" s="662"/>
      <c r="AQ105" s="662"/>
      <c r="AR105" s="663"/>
      <c r="AS105" s="643"/>
      <c r="AT105" s="661" t="s">
        <v>367</v>
      </c>
      <c r="AU105" s="662"/>
      <c r="AV105" s="662"/>
      <c r="AW105" s="663"/>
      <c r="AX105" s="643"/>
      <c r="BA105" s="643"/>
    </row>
    <row r="106" spans="2:53">
      <c r="B106" s="643"/>
      <c r="C106" s="643"/>
      <c r="D106" s="643"/>
      <c r="E106" s="304" t="s">
        <v>368</v>
      </c>
      <c r="F106" s="304" t="s">
        <v>369</v>
      </c>
      <c r="G106" s="304" t="s">
        <v>370</v>
      </c>
      <c r="H106" s="677"/>
      <c r="I106" s="305" t="s">
        <v>368</v>
      </c>
      <c r="J106" s="305" t="s">
        <v>369</v>
      </c>
      <c r="K106" s="305" t="s">
        <v>370</v>
      </c>
      <c r="L106" s="693"/>
      <c r="M106" s="681"/>
      <c r="N106" s="643"/>
      <c r="O106" s="643"/>
      <c r="P106" s="304" t="s">
        <v>368</v>
      </c>
      <c r="Q106" s="304" t="s">
        <v>369</v>
      </c>
      <c r="R106" s="304" t="s">
        <v>370</v>
      </c>
      <c r="S106" s="304" t="s">
        <v>360</v>
      </c>
      <c r="T106" s="643"/>
      <c r="U106" s="304" t="s">
        <v>368</v>
      </c>
      <c r="V106" s="304" t="s">
        <v>369</v>
      </c>
      <c r="W106" s="304" t="s">
        <v>370</v>
      </c>
      <c r="X106" s="304" t="s">
        <v>360</v>
      </c>
      <c r="Y106" s="643"/>
      <c r="Z106" s="304" t="s">
        <v>368</v>
      </c>
      <c r="AA106" s="304" t="s">
        <v>369</v>
      </c>
      <c r="AB106" s="304" t="s">
        <v>370</v>
      </c>
      <c r="AC106" s="304" t="s">
        <v>360</v>
      </c>
      <c r="AD106" s="643"/>
      <c r="AE106" s="304" t="s">
        <v>368</v>
      </c>
      <c r="AF106" s="304" t="s">
        <v>369</v>
      </c>
      <c r="AG106" s="304" t="s">
        <v>370</v>
      </c>
      <c r="AH106" s="304" t="s">
        <v>360</v>
      </c>
      <c r="AI106" s="643"/>
      <c r="AJ106" s="304" t="s">
        <v>368</v>
      </c>
      <c r="AK106" s="304" t="s">
        <v>369</v>
      </c>
      <c r="AL106" s="304" t="s">
        <v>370</v>
      </c>
      <c r="AM106" s="304" t="s">
        <v>360</v>
      </c>
      <c r="AN106" s="643"/>
      <c r="AO106" s="304" t="s">
        <v>368</v>
      </c>
      <c r="AP106" s="304" t="s">
        <v>369</v>
      </c>
      <c r="AQ106" s="304" t="s">
        <v>370</v>
      </c>
      <c r="AR106" s="304" t="s">
        <v>360</v>
      </c>
      <c r="AS106" s="643"/>
      <c r="AT106" s="304" t="s">
        <v>368</v>
      </c>
      <c r="AU106" s="304" t="s">
        <v>369</v>
      </c>
      <c r="AV106" s="304" t="s">
        <v>370</v>
      </c>
      <c r="AW106" s="304" t="s">
        <v>360</v>
      </c>
      <c r="AX106" s="643"/>
      <c r="AZ106" s="367" t="s">
        <v>360</v>
      </c>
      <c r="BA106" s="643"/>
    </row>
    <row r="107" spans="2:53">
      <c r="B107" s="643" t="s">
        <v>132</v>
      </c>
      <c r="C107" s="303">
        <v>1</v>
      </c>
      <c r="D107" s="225"/>
      <c r="E107" s="181"/>
      <c r="F107" s="353"/>
      <c r="G107" s="354"/>
      <c r="H107" s="702" t="e">
        <f>AVERAGE(G107:G121)</f>
        <v>#DIV/0!</v>
      </c>
      <c r="I107" s="363" t="str">
        <f t="shared" ref="I107:I120" si="46">IFERROR(AVERAGE(P107,U107,Z107,AE107,AJ107,AO107,AT107),"-")</f>
        <v>-</v>
      </c>
      <c r="J107" s="363" t="str">
        <f t="shared" ref="J107:J120" si="47">IFERROR(AVERAGE(Q107,V107,AA107,AF107,AK107,AP107,AU107),"-")</f>
        <v>-</v>
      </c>
      <c r="K107" s="199" t="str">
        <f t="shared" ref="K107:K120" si="48">IFERROR(AVERAGE(R107,W107,AB107,AG107,AL107,AQ107,AV107),"-")</f>
        <v>-</v>
      </c>
      <c r="L107" s="658" t="str">
        <f>IFERROR(AVERAGE(K107:K121),"-")</f>
        <v>-</v>
      </c>
      <c r="M107" s="200" t="e">
        <f>RANK(K107, K$107:$K$121)</f>
        <v>#VALUE!</v>
      </c>
      <c r="N107" s="643"/>
      <c r="O107" s="643"/>
      <c r="P107" s="563"/>
      <c r="Q107" s="565"/>
      <c r="R107" s="565"/>
      <c r="S107" s="563"/>
      <c r="T107" s="638"/>
      <c r="U107" s="563"/>
      <c r="V107" s="565"/>
      <c r="W107" s="565"/>
      <c r="X107" s="563"/>
      <c r="Y107" s="638"/>
      <c r="Z107" s="563"/>
      <c r="AA107" s="565"/>
      <c r="AB107" s="565"/>
      <c r="AC107" s="563"/>
      <c r="AD107" s="638"/>
      <c r="AE107" s="563"/>
      <c r="AF107" s="565"/>
      <c r="AG107" s="565"/>
      <c r="AH107" s="563"/>
      <c r="AI107" s="638"/>
      <c r="AJ107" s="563"/>
      <c r="AK107" s="565"/>
      <c r="AL107" s="565"/>
      <c r="AM107" s="563"/>
      <c r="AN107" s="638"/>
      <c r="AO107" s="563"/>
      <c r="AP107" s="565"/>
      <c r="AQ107" s="565"/>
      <c r="AR107" s="563"/>
      <c r="AS107" s="638"/>
      <c r="AT107" s="563"/>
      <c r="AU107" s="565"/>
      <c r="AV107" s="565"/>
      <c r="AW107" s="563"/>
      <c r="AX107" s="638"/>
      <c r="AZ107" s="368" t="e">
        <f>RANK(AY107, AY$107:AY$121)</f>
        <v>#N/A</v>
      </c>
      <c r="BA107" s="644" t="e">
        <f>AVERAGE(AY107:AY121)</f>
        <v>#DIV/0!</v>
      </c>
    </row>
    <row r="108" spans="2:53">
      <c r="B108" s="649"/>
      <c r="C108" s="303">
        <v>2</v>
      </c>
      <c r="D108" s="225"/>
      <c r="E108" s="181"/>
      <c r="F108" s="353"/>
      <c r="G108" s="354"/>
      <c r="H108" s="703"/>
      <c r="I108" s="363" t="str">
        <f t="shared" si="46"/>
        <v>-</v>
      </c>
      <c r="J108" s="363" t="str">
        <f t="shared" si="47"/>
        <v>-</v>
      </c>
      <c r="K108" s="199" t="str">
        <f t="shared" si="48"/>
        <v>-</v>
      </c>
      <c r="L108" s="659"/>
      <c r="M108" s="313" t="e">
        <f>RANK(K108, K$107:$K$121)</f>
        <v>#VALUE!</v>
      </c>
      <c r="N108" s="643"/>
      <c r="O108" s="643"/>
      <c r="P108" s="563"/>
      <c r="Q108" s="565"/>
      <c r="R108" s="565"/>
      <c r="S108" s="563"/>
      <c r="T108" s="639"/>
      <c r="U108" s="563"/>
      <c r="V108" s="565"/>
      <c r="W108" s="565"/>
      <c r="X108" s="563"/>
      <c r="Y108" s="639"/>
      <c r="Z108" s="563"/>
      <c r="AA108" s="565"/>
      <c r="AB108" s="565"/>
      <c r="AC108" s="563"/>
      <c r="AD108" s="639"/>
      <c r="AE108" s="563"/>
      <c r="AF108" s="565"/>
      <c r="AG108" s="565"/>
      <c r="AH108" s="563"/>
      <c r="AI108" s="639"/>
      <c r="AJ108" s="563"/>
      <c r="AK108" s="565"/>
      <c r="AL108" s="565"/>
      <c r="AM108" s="563"/>
      <c r="AN108" s="639"/>
      <c r="AO108" s="563"/>
      <c r="AP108" s="565"/>
      <c r="AQ108" s="565"/>
      <c r="AR108" s="563"/>
      <c r="AS108" s="639"/>
      <c r="AT108" s="563"/>
      <c r="AU108" s="565"/>
      <c r="AV108" s="565"/>
      <c r="AW108" s="563"/>
      <c r="AX108" s="639"/>
      <c r="AZ108" s="368" t="e">
        <f t="shared" ref="AZ108:AZ121" si="49">RANK(AY108, AY$107:AY$121)</f>
        <v>#N/A</v>
      </c>
      <c r="BA108" s="644"/>
    </row>
    <row r="109" spans="2:53">
      <c r="B109" s="649"/>
      <c r="C109" s="303">
        <v>3</v>
      </c>
      <c r="D109" s="225"/>
      <c r="E109" s="181"/>
      <c r="F109" s="353"/>
      <c r="G109" s="354"/>
      <c r="H109" s="703"/>
      <c r="I109" s="363" t="str">
        <f t="shared" si="46"/>
        <v>-</v>
      </c>
      <c r="J109" s="363" t="str">
        <f t="shared" si="47"/>
        <v>-</v>
      </c>
      <c r="K109" s="199" t="str">
        <f t="shared" si="48"/>
        <v>-</v>
      </c>
      <c r="L109" s="659"/>
      <c r="M109" s="313" t="e">
        <f>RANK(K109, K$107:$K$121)</f>
        <v>#VALUE!</v>
      </c>
      <c r="N109" s="643"/>
      <c r="O109" s="643"/>
      <c r="P109" s="563"/>
      <c r="Q109" s="565"/>
      <c r="R109" s="565"/>
      <c r="S109" s="563"/>
      <c r="T109" s="639"/>
      <c r="U109" s="563"/>
      <c r="V109" s="565"/>
      <c r="W109" s="565"/>
      <c r="X109" s="563"/>
      <c r="Y109" s="639"/>
      <c r="Z109" s="563"/>
      <c r="AA109" s="565"/>
      <c r="AB109" s="565"/>
      <c r="AC109" s="563"/>
      <c r="AD109" s="639"/>
      <c r="AE109" s="563"/>
      <c r="AF109" s="565"/>
      <c r="AG109" s="565"/>
      <c r="AH109" s="563"/>
      <c r="AI109" s="639"/>
      <c r="AJ109" s="563"/>
      <c r="AK109" s="565"/>
      <c r="AL109" s="565"/>
      <c r="AM109" s="563"/>
      <c r="AN109" s="639"/>
      <c r="AO109" s="563"/>
      <c r="AP109" s="565"/>
      <c r="AQ109" s="565"/>
      <c r="AR109" s="563"/>
      <c r="AS109" s="639"/>
      <c r="AT109" s="563"/>
      <c r="AU109" s="565"/>
      <c r="AV109" s="565"/>
      <c r="AW109" s="563"/>
      <c r="AX109" s="639"/>
      <c r="AZ109" s="368" t="e">
        <f t="shared" si="49"/>
        <v>#N/A</v>
      </c>
      <c r="BA109" s="644"/>
    </row>
    <row r="110" spans="2:53">
      <c r="B110" s="649"/>
      <c r="C110" s="303">
        <v>4</v>
      </c>
      <c r="D110" s="225"/>
      <c r="E110" s="181"/>
      <c r="F110" s="353"/>
      <c r="G110" s="354"/>
      <c r="H110" s="703"/>
      <c r="I110" s="363" t="str">
        <f t="shared" si="46"/>
        <v>-</v>
      </c>
      <c r="J110" s="363" t="str">
        <f t="shared" si="47"/>
        <v>-</v>
      </c>
      <c r="K110" s="199" t="str">
        <f t="shared" si="48"/>
        <v>-</v>
      </c>
      <c r="L110" s="659"/>
      <c r="M110" s="313" t="e">
        <f>RANK(K110, K$107:$K$121)</f>
        <v>#VALUE!</v>
      </c>
      <c r="N110" s="643"/>
      <c r="O110" s="643"/>
      <c r="P110" s="563"/>
      <c r="Q110" s="565"/>
      <c r="R110" s="565"/>
      <c r="S110" s="563"/>
      <c r="T110" s="639"/>
      <c r="U110" s="563"/>
      <c r="V110" s="565"/>
      <c r="W110" s="565"/>
      <c r="X110" s="563"/>
      <c r="Y110" s="639"/>
      <c r="Z110" s="563"/>
      <c r="AA110" s="565"/>
      <c r="AB110" s="565"/>
      <c r="AC110" s="563"/>
      <c r="AD110" s="639"/>
      <c r="AE110" s="563"/>
      <c r="AF110" s="565"/>
      <c r="AG110" s="565"/>
      <c r="AH110" s="563"/>
      <c r="AI110" s="639"/>
      <c r="AJ110" s="563"/>
      <c r="AK110" s="565"/>
      <c r="AL110" s="565"/>
      <c r="AM110" s="563"/>
      <c r="AN110" s="639"/>
      <c r="AO110" s="563"/>
      <c r="AP110" s="565"/>
      <c r="AQ110" s="565"/>
      <c r="AR110" s="563"/>
      <c r="AS110" s="639"/>
      <c r="AT110" s="563"/>
      <c r="AU110" s="565"/>
      <c r="AV110" s="565"/>
      <c r="AW110" s="563"/>
      <c r="AX110" s="639"/>
      <c r="AZ110" s="368" t="e">
        <f t="shared" si="49"/>
        <v>#N/A</v>
      </c>
      <c r="BA110" s="644"/>
    </row>
    <row r="111" spans="2:53">
      <c r="B111" s="649"/>
      <c r="C111" s="303">
        <v>5</v>
      </c>
      <c r="D111" s="225"/>
      <c r="E111" s="181"/>
      <c r="F111" s="353"/>
      <c r="G111" s="354"/>
      <c r="H111" s="703"/>
      <c r="I111" s="363" t="str">
        <f t="shared" si="46"/>
        <v>-</v>
      </c>
      <c r="J111" s="363" t="str">
        <f t="shared" si="47"/>
        <v>-</v>
      </c>
      <c r="K111" s="199" t="str">
        <f t="shared" si="48"/>
        <v>-</v>
      </c>
      <c r="L111" s="659"/>
      <c r="M111" s="313" t="e">
        <f>RANK(K111, K$107:$K$121)</f>
        <v>#VALUE!</v>
      </c>
      <c r="N111" s="643"/>
      <c r="O111" s="643"/>
      <c r="P111" s="563"/>
      <c r="Q111" s="565"/>
      <c r="R111" s="565"/>
      <c r="S111" s="563"/>
      <c r="T111" s="639"/>
      <c r="U111" s="563"/>
      <c r="V111" s="565"/>
      <c r="W111" s="565"/>
      <c r="X111" s="563"/>
      <c r="Y111" s="639"/>
      <c r="Z111" s="563"/>
      <c r="AA111" s="565"/>
      <c r="AB111" s="565"/>
      <c r="AC111" s="563"/>
      <c r="AD111" s="639"/>
      <c r="AE111" s="563"/>
      <c r="AF111" s="565"/>
      <c r="AG111" s="565"/>
      <c r="AH111" s="563"/>
      <c r="AI111" s="639"/>
      <c r="AJ111" s="563"/>
      <c r="AK111" s="565"/>
      <c r="AL111" s="565"/>
      <c r="AM111" s="563"/>
      <c r="AN111" s="639"/>
      <c r="AO111" s="563"/>
      <c r="AP111" s="565"/>
      <c r="AQ111" s="565"/>
      <c r="AR111" s="563"/>
      <c r="AS111" s="639"/>
      <c r="AT111" s="563"/>
      <c r="AU111" s="565"/>
      <c r="AV111" s="565"/>
      <c r="AW111" s="563"/>
      <c r="AX111" s="639"/>
      <c r="AZ111" s="368" t="e">
        <f t="shared" si="49"/>
        <v>#N/A</v>
      </c>
      <c r="BA111" s="644"/>
    </row>
    <row r="112" spans="2:53">
      <c r="B112" s="649"/>
      <c r="C112" s="303">
        <v>6</v>
      </c>
      <c r="D112" s="225"/>
      <c r="E112" s="181"/>
      <c r="F112" s="353"/>
      <c r="G112" s="354"/>
      <c r="H112" s="703"/>
      <c r="I112" s="363" t="str">
        <f t="shared" si="46"/>
        <v>-</v>
      </c>
      <c r="J112" s="363" t="str">
        <f t="shared" si="47"/>
        <v>-</v>
      </c>
      <c r="K112" s="199" t="str">
        <f t="shared" si="48"/>
        <v>-</v>
      </c>
      <c r="L112" s="659"/>
      <c r="M112" s="313" t="e">
        <f>RANK(K112, K$107:$K$121)</f>
        <v>#VALUE!</v>
      </c>
      <c r="N112" s="643"/>
      <c r="O112" s="643"/>
      <c r="P112" s="563"/>
      <c r="Q112" s="565"/>
      <c r="R112" s="565"/>
      <c r="S112" s="563"/>
      <c r="T112" s="639"/>
      <c r="U112" s="563"/>
      <c r="V112" s="565"/>
      <c r="W112" s="565"/>
      <c r="X112" s="563"/>
      <c r="Y112" s="639"/>
      <c r="Z112" s="563"/>
      <c r="AA112" s="565"/>
      <c r="AB112" s="565"/>
      <c r="AC112" s="563"/>
      <c r="AD112" s="639"/>
      <c r="AE112" s="563"/>
      <c r="AF112" s="565"/>
      <c r="AG112" s="565"/>
      <c r="AH112" s="563"/>
      <c r="AI112" s="639"/>
      <c r="AJ112" s="563"/>
      <c r="AK112" s="565"/>
      <c r="AL112" s="565"/>
      <c r="AM112" s="563"/>
      <c r="AN112" s="639"/>
      <c r="AO112" s="563"/>
      <c r="AP112" s="565"/>
      <c r="AQ112" s="565"/>
      <c r="AR112" s="563"/>
      <c r="AS112" s="639"/>
      <c r="AT112" s="563"/>
      <c r="AU112" s="565"/>
      <c r="AV112" s="565"/>
      <c r="AW112" s="563"/>
      <c r="AX112" s="639"/>
      <c r="AZ112" s="368" t="e">
        <f t="shared" si="49"/>
        <v>#N/A</v>
      </c>
      <c r="BA112" s="644"/>
    </row>
    <row r="113" spans="2:53">
      <c r="B113" s="649"/>
      <c r="C113" s="303">
        <v>7</v>
      </c>
      <c r="D113" s="225"/>
      <c r="E113" s="181"/>
      <c r="F113" s="353"/>
      <c r="G113" s="354"/>
      <c r="H113" s="703"/>
      <c r="I113" s="363" t="str">
        <f t="shared" si="46"/>
        <v>-</v>
      </c>
      <c r="J113" s="363" t="str">
        <f t="shared" si="47"/>
        <v>-</v>
      </c>
      <c r="K113" s="199" t="str">
        <f t="shared" si="48"/>
        <v>-</v>
      </c>
      <c r="L113" s="659"/>
      <c r="M113" s="313" t="e">
        <f>RANK(K113, K$107:$K$121)</f>
        <v>#VALUE!</v>
      </c>
      <c r="N113" s="643"/>
      <c r="O113" s="643"/>
      <c r="P113" s="563"/>
      <c r="Q113" s="565"/>
      <c r="R113" s="565"/>
      <c r="S113" s="563"/>
      <c r="T113" s="639"/>
      <c r="U113" s="563"/>
      <c r="V113" s="565"/>
      <c r="W113" s="565"/>
      <c r="X113" s="563"/>
      <c r="Y113" s="639"/>
      <c r="Z113" s="563"/>
      <c r="AA113" s="565"/>
      <c r="AB113" s="565"/>
      <c r="AC113" s="563"/>
      <c r="AD113" s="639"/>
      <c r="AE113" s="563"/>
      <c r="AF113" s="565"/>
      <c r="AG113" s="565"/>
      <c r="AH113" s="563"/>
      <c r="AI113" s="639"/>
      <c r="AJ113" s="563"/>
      <c r="AK113" s="565"/>
      <c r="AL113" s="565"/>
      <c r="AM113" s="563"/>
      <c r="AN113" s="639"/>
      <c r="AO113" s="563"/>
      <c r="AP113" s="565"/>
      <c r="AQ113" s="565"/>
      <c r="AR113" s="563"/>
      <c r="AS113" s="639"/>
      <c r="AT113" s="563"/>
      <c r="AU113" s="565"/>
      <c r="AV113" s="565"/>
      <c r="AW113" s="563"/>
      <c r="AX113" s="639"/>
      <c r="AZ113" s="368" t="e">
        <f t="shared" si="49"/>
        <v>#N/A</v>
      </c>
      <c r="BA113" s="644"/>
    </row>
    <row r="114" spans="2:53">
      <c r="B114" s="649"/>
      <c r="C114" s="303">
        <v>8</v>
      </c>
      <c r="D114" s="225"/>
      <c r="E114" s="181"/>
      <c r="F114" s="353"/>
      <c r="G114" s="354"/>
      <c r="H114" s="703"/>
      <c r="I114" s="363" t="str">
        <f t="shared" si="46"/>
        <v>-</v>
      </c>
      <c r="J114" s="363" t="str">
        <f t="shared" si="47"/>
        <v>-</v>
      </c>
      <c r="K114" s="199" t="str">
        <f t="shared" si="48"/>
        <v>-</v>
      </c>
      <c r="L114" s="659"/>
      <c r="M114" s="313" t="e">
        <f>RANK(K114, K$107:$K$121)</f>
        <v>#VALUE!</v>
      </c>
      <c r="N114" s="643"/>
      <c r="O114" s="643"/>
      <c r="P114" s="563"/>
      <c r="Q114" s="565"/>
      <c r="R114" s="565"/>
      <c r="S114" s="563"/>
      <c r="T114" s="639"/>
      <c r="U114" s="563"/>
      <c r="V114" s="565"/>
      <c r="W114" s="565"/>
      <c r="X114" s="563"/>
      <c r="Y114" s="639"/>
      <c r="Z114" s="563"/>
      <c r="AA114" s="565"/>
      <c r="AB114" s="565"/>
      <c r="AC114" s="563"/>
      <c r="AD114" s="639"/>
      <c r="AE114" s="563"/>
      <c r="AF114" s="565"/>
      <c r="AG114" s="565"/>
      <c r="AH114" s="563"/>
      <c r="AI114" s="639"/>
      <c r="AJ114" s="563"/>
      <c r="AK114" s="565"/>
      <c r="AL114" s="565"/>
      <c r="AM114" s="563"/>
      <c r="AN114" s="639"/>
      <c r="AO114" s="563"/>
      <c r="AP114" s="565"/>
      <c r="AQ114" s="565"/>
      <c r="AR114" s="563"/>
      <c r="AS114" s="639"/>
      <c r="AT114" s="563"/>
      <c r="AU114" s="565"/>
      <c r="AV114" s="565"/>
      <c r="AW114" s="563"/>
      <c r="AX114" s="639"/>
      <c r="AZ114" s="368" t="e">
        <f t="shared" si="49"/>
        <v>#N/A</v>
      </c>
      <c r="BA114" s="644"/>
    </row>
    <row r="115" spans="2:53">
      <c r="B115" s="649"/>
      <c r="C115" s="303">
        <v>9</v>
      </c>
      <c r="D115" s="225"/>
      <c r="E115" s="181"/>
      <c r="F115" s="353"/>
      <c r="G115" s="354"/>
      <c r="H115" s="703"/>
      <c r="I115" s="363" t="str">
        <f t="shared" si="46"/>
        <v>-</v>
      </c>
      <c r="J115" s="363" t="str">
        <f t="shared" si="47"/>
        <v>-</v>
      </c>
      <c r="K115" s="199" t="str">
        <f t="shared" si="48"/>
        <v>-</v>
      </c>
      <c r="L115" s="659"/>
      <c r="M115" s="313" t="e">
        <f>RANK(K115, K$107:$K$121)</f>
        <v>#VALUE!</v>
      </c>
      <c r="N115" s="643"/>
      <c r="O115" s="643"/>
      <c r="P115" s="563"/>
      <c r="Q115" s="565"/>
      <c r="R115" s="565"/>
      <c r="S115" s="563"/>
      <c r="T115" s="639"/>
      <c r="U115" s="563"/>
      <c r="V115" s="565"/>
      <c r="W115" s="565"/>
      <c r="X115" s="563"/>
      <c r="Y115" s="639"/>
      <c r="Z115" s="563"/>
      <c r="AA115" s="565"/>
      <c r="AB115" s="565"/>
      <c r="AC115" s="563"/>
      <c r="AD115" s="639"/>
      <c r="AE115" s="563"/>
      <c r="AF115" s="565"/>
      <c r="AG115" s="565"/>
      <c r="AH115" s="563"/>
      <c r="AI115" s="639"/>
      <c r="AJ115" s="563"/>
      <c r="AK115" s="565"/>
      <c r="AL115" s="565"/>
      <c r="AM115" s="563"/>
      <c r="AN115" s="639"/>
      <c r="AO115" s="563"/>
      <c r="AP115" s="565"/>
      <c r="AQ115" s="565"/>
      <c r="AR115" s="563"/>
      <c r="AS115" s="639"/>
      <c r="AT115" s="563"/>
      <c r="AU115" s="565"/>
      <c r="AV115" s="565"/>
      <c r="AW115" s="563"/>
      <c r="AX115" s="639"/>
      <c r="AZ115" s="368" t="e">
        <f t="shared" si="49"/>
        <v>#N/A</v>
      </c>
      <c r="BA115" s="644"/>
    </row>
    <row r="116" spans="2:53">
      <c r="B116" s="649"/>
      <c r="C116" s="303">
        <v>10</v>
      </c>
      <c r="D116" s="225"/>
      <c r="E116" s="181"/>
      <c r="F116" s="353"/>
      <c r="G116" s="354"/>
      <c r="H116" s="703"/>
      <c r="I116" s="363" t="str">
        <f t="shared" si="46"/>
        <v>-</v>
      </c>
      <c r="J116" s="363" t="str">
        <f t="shared" si="47"/>
        <v>-</v>
      </c>
      <c r="K116" s="199" t="str">
        <f t="shared" si="48"/>
        <v>-</v>
      </c>
      <c r="L116" s="659"/>
      <c r="M116" s="313" t="e">
        <f>RANK(K116, K$107:$K$121)</f>
        <v>#VALUE!</v>
      </c>
      <c r="N116" s="643"/>
      <c r="O116" s="643"/>
      <c r="P116" s="563"/>
      <c r="Q116" s="565"/>
      <c r="R116" s="565"/>
      <c r="S116" s="563"/>
      <c r="T116" s="639"/>
      <c r="U116" s="563"/>
      <c r="V116" s="565"/>
      <c r="W116" s="565"/>
      <c r="X116" s="563"/>
      <c r="Y116" s="639"/>
      <c r="Z116" s="563"/>
      <c r="AA116" s="565"/>
      <c r="AB116" s="565"/>
      <c r="AC116" s="563"/>
      <c r="AD116" s="639"/>
      <c r="AE116" s="563"/>
      <c r="AF116" s="565"/>
      <c r="AG116" s="565"/>
      <c r="AH116" s="563"/>
      <c r="AI116" s="639"/>
      <c r="AJ116" s="563"/>
      <c r="AK116" s="565"/>
      <c r="AL116" s="565"/>
      <c r="AM116" s="563"/>
      <c r="AN116" s="639"/>
      <c r="AO116" s="563"/>
      <c r="AP116" s="565"/>
      <c r="AQ116" s="565"/>
      <c r="AR116" s="563"/>
      <c r="AS116" s="639"/>
      <c r="AT116" s="563"/>
      <c r="AU116" s="565"/>
      <c r="AV116" s="565"/>
      <c r="AW116" s="563"/>
      <c r="AX116" s="639"/>
      <c r="AZ116" s="368" t="e">
        <f t="shared" si="49"/>
        <v>#N/A</v>
      </c>
      <c r="BA116" s="644"/>
    </row>
    <row r="117" spans="2:53">
      <c r="B117" s="649"/>
      <c r="C117" s="303">
        <v>11</v>
      </c>
      <c r="D117" s="225"/>
      <c r="E117" s="181"/>
      <c r="F117" s="353"/>
      <c r="G117" s="354"/>
      <c r="H117" s="703"/>
      <c r="I117" s="363" t="str">
        <f t="shared" si="46"/>
        <v>-</v>
      </c>
      <c r="J117" s="363" t="str">
        <f t="shared" si="47"/>
        <v>-</v>
      </c>
      <c r="K117" s="199" t="str">
        <f t="shared" si="48"/>
        <v>-</v>
      </c>
      <c r="L117" s="659"/>
      <c r="M117" s="313" t="e">
        <f>RANK(K117, K$107:$K$121)</f>
        <v>#VALUE!</v>
      </c>
      <c r="N117" s="643"/>
      <c r="O117" s="643"/>
      <c r="P117" s="563"/>
      <c r="Q117" s="565"/>
      <c r="R117" s="565"/>
      <c r="S117" s="563"/>
      <c r="T117" s="639"/>
      <c r="U117" s="563"/>
      <c r="V117" s="565"/>
      <c r="W117" s="565"/>
      <c r="X117" s="563"/>
      <c r="Y117" s="639"/>
      <c r="Z117" s="563"/>
      <c r="AA117" s="565"/>
      <c r="AB117" s="565"/>
      <c r="AC117" s="563"/>
      <c r="AD117" s="639"/>
      <c r="AE117" s="563"/>
      <c r="AF117" s="565"/>
      <c r="AG117" s="565"/>
      <c r="AH117" s="563"/>
      <c r="AI117" s="639"/>
      <c r="AJ117" s="563"/>
      <c r="AK117" s="565"/>
      <c r="AL117" s="565"/>
      <c r="AM117" s="563"/>
      <c r="AN117" s="639"/>
      <c r="AO117" s="563"/>
      <c r="AP117" s="565"/>
      <c r="AQ117" s="565"/>
      <c r="AR117" s="563"/>
      <c r="AS117" s="639"/>
      <c r="AT117" s="563"/>
      <c r="AU117" s="565"/>
      <c r="AV117" s="565"/>
      <c r="AW117" s="563"/>
      <c r="AX117" s="639"/>
      <c r="AZ117" s="368" t="e">
        <f t="shared" si="49"/>
        <v>#N/A</v>
      </c>
      <c r="BA117" s="644"/>
    </row>
    <row r="118" spans="2:53">
      <c r="B118" s="649"/>
      <c r="C118" s="303">
        <v>12</v>
      </c>
      <c r="D118" s="225"/>
      <c r="E118" s="181"/>
      <c r="F118" s="353"/>
      <c r="G118" s="354"/>
      <c r="H118" s="703"/>
      <c r="I118" s="363" t="str">
        <f t="shared" si="46"/>
        <v>-</v>
      </c>
      <c r="J118" s="363" t="str">
        <f t="shared" si="47"/>
        <v>-</v>
      </c>
      <c r="K118" s="199" t="str">
        <f t="shared" si="48"/>
        <v>-</v>
      </c>
      <c r="L118" s="659"/>
      <c r="M118" s="313" t="e">
        <f>RANK(K118, K$107:$K$121)</f>
        <v>#VALUE!</v>
      </c>
      <c r="N118" s="643"/>
      <c r="O118" s="643"/>
      <c r="P118" s="563"/>
      <c r="Q118" s="565"/>
      <c r="R118" s="565"/>
      <c r="S118" s="563"/>
      <c r="T118" s="639"/>
      <c r="U118" s="563"/>
      <c r="V118" s="565"/>
      <c r="W118" s="565"/>
      <c r="X118" s="563"/>
      <c r="Y118" s="639"/>
      <c r="Z118" s="563"/>
      <c r="AA118" s="565"/>
      <c r="AB118" s="565"/>
      <c r="AC118" s="563"/>
      <c r="AD118" s="639"/>
      <c r="AE118" s="563"/>
      <c r="AF118" s="565"/>
      <c r="AG118" s="565"/>
      <c r="AH118" s="563"/>
      <c r="AI118" s="639"/>
      <c r="AJ118" s="563"/>
      <c r="AK118" s="565"/>
      <c r="AL118" s="565"/>
      <c r="AM118" s="563"/>
      <c r="AN118" s="639"/>
      <c r="AO118" s="563"/>
      <c r="AP118" s="565"/>
      <c r="AQ118" s="565"/>
      <c r="AR118" s="563"/>
      <c r="AS118" s="639"/>
      <c r="AT118" s="563"/>
      <c r="AU118" s="565"/>
      <c r="AV118" s="565"/>
      <c r="AW118" s="563"/>
      <c r="AX118" s="639"/>
      <c r="AZ118" s="368" t="e">
        <f t="shared" si="49"/>
        <v>#N/A</v>
      </c>
      <c r="BA118" s="644"/>
    </row>
    <row r="119" spans="2:53">
      <c r="B119" s="649"/>
      <c r="C119" s="303">
        <v>13</v>
      </c>
      <c r="D119" s="225"/>
      <c r="E119" s="181"/>
      <c r="F119" s="353"/>
      <c r="G119" s="354"/>
      <c r="H119" s="703"/>
      <c r="I119" s="363" t="str">
        <f t="shared" si="46"/>
        <v>-</v>
      </c>
      <c r="J119" s="363" t="str">
        <f t="shared" si="47"/>
        <v>-</v>
      </c>
      <c r="K119" s="199" t="str">
        <f t="shared" si="48"/>
        <v>-</v>
      </c>
      <c r="L119" s="659"/>
      <c r="M119" s="313" t="e">
        <f>RANK(K119, K$107:$K$121)</f>
        <v>#VALUE!</v>
      </c>
      <c r="N119" s="643"/>
      <c r="O119" s="643"/>
      <c r="P119" s="563"/>
      <c r="Q119" s="565"/>
      <c r="R119" s="565"/>
      <c r="S119" s="563"/>
      <c r="T119" s="639"/>
      <c r="U119" s="563"/>
      <c r="V119" s="565"/>
      <c r="W119" s="565"/>
      <c r="X119" s="563"/>
      <c r="Y119" s="639"/>
      <c r="Z119" s="563"/>
      <c r="AA119" s="565"/>
      <c r="AB119" s="565"/>
      <c r="AC119" s="563"/>
      <c r="AD119" s="639"/>
      <c r="AE119" s="563"/>
      <c r="AF119" s="565"/>
      <c r="AG119" s="565"/>
      <c r="AH119" s="563"/>
      <c r="AI119" s="639"/>
      <c r="AJ119" s="563"/>
      <c r="AK119" s="565"/>
      <c r="AL119" s="565"/>
      <c r="AM119" s="563"/>
      <c r="AN119" s="639"/>
      <c r="AO119" s="563"/>
      <c r="AP119" s="565"/>
      <c r="AQ119" s="565"/>
      <c r="AR119" s="563"/>
      <c r="AS119" s="639"/>
      <c r="AT119" s="563"/>
      <c r="AU119" s="565"/>
      <c r="AV119" s="565"/>
      <c r="AW119" s="563"/>
      <c r="AX119" s="639"/>
      <c r="AZ119" s="368" t="e">
        <f t="shared" si="49"/>
        <v>#N/A</v>
      </c>
      <c r="BA119" s="644"/>
    </row>
    <row r="120" spans="2:53">
      <c r="B120" s="649"/>
      <c r="C120" s="303">
        <v>14</v>
      </c>
      <c r="D120" s="225"/>
      <c r="E120" s="181"/>
      <c r="F120" s="353"/>
      <c r="G120" s="354"/>
      <c r="H120" s="703"/>
      <c r="I120" s="363" t="str">
        <f t="shared" si="46"/>
        <v>-</v>
      </c>
      <c r="J120" s="363" t="str">
        <f t="shared" si="47"/>
        <v>-</v>
      </c>
      <c r="K120" s="199" t="str">
        <f t="shared" si="48"/>
        <v>-</v>
      </c>
      <c r="L120" s="659"/>
      <c r="M120" s="313" t="e">
        <f>RANK(K120, K$107:$K$121)</f>
        <v>#VALUE!</v>
      </c>
      <c r="N120" s="643"/>
      <c r="O120" s="643"/>
      <c r="P120" s="563"/>
      <c r="Q120" s="565"/>
      <c r="R120" s="565"/>
      <c r="S120" s="563"/>
      <c r="T120" s="639"/>
      <c r="U120" s="563"/>
      <c r="V120" s="565"/>
      <c r="W120" s="565"/>
      <c r="X120" s="563"/>
      <c r="Y120" s="639"/>
      <c r="Z120" s="563"/>
      <c r="AA120" s="565"/>
      <c r="AB120" s="565"/>
      <c r="AC120" s="563"/>
      <c r="AD120" s="639"/>
      <c r="AE120" s="563"/>
      <c r="AF120" s="565"/>
      <c r="AG120" s="565"/>
      <c r="AH120" s="563"/>
      <c r="AI120" s="639"/>
      <c r="AJ120" s="563"/>
      <c r="AK120" s="565"/>
      <c r="AL120" s="565"/>
      <c r="AM120" s="563"/>
      <c r="AN120" s="639"/>
      <c r="AO120" s="563"/>
      <c r="AP120" s="565"/>
      <c r="AQ120" s="565"/>
      <c r="AR120" s="563"/>
      <c r="AS120" s="639"/>
      <c r="AT120" s="563"/>
      <c r="AU120" s="565"/>
      <c r="AV120" s="565"/>
      <c r="AW120" s="563"/>
      <c r="AX120" s="639"/>
      <c r="AZ120" s="368" t="e">
        <f t="shared" si="49"/>
        <v>#N/A</v>
      </c>
      <c r="BA120" s="644"/>
    </row>
    <row r="121" spans="2:53">
      <c r="B121" s="649"/>
      <c r="C121" s="303">
        <v>15</v>
      </c>
      <c r="D121" s="225"/>
      <c r="E121" s="181"/>
      <c r="F121" s="353"/>
      <c r="G121" s="354"/>
      <c r="H121" s="704"/>
      <c r="I121" s="201"/>
      <c r="J121" s="201"/>
      <c r="K121" s="201"/>
      <c r="L121" s="660"/>
      <c r="M121" s="313" t="e">
        <f>RANK(K121, K$107:$K$121)</f>
        <v>#N/A</v>
      </c>
      <c r="N121" s="643"/>
      <c r="O121" s="643"/>
      <c r="P121" s="563"/>
      <c r="Q121" s="565"/>
      <c r="R121" s="565"/>
      <c r="S121" s="563"/>
      <c r="T121" s="640"/>
      <c r="U121" s="563"/>
      <c r="V121" s="565"/>
      <c r="W121" s="565"/>
      <c r="X121" s="563"/>
      <c r="Y121" s="640"/>
      <c r="Z121" s="563"/>
      <c r="AA121" s="565"/>
      <c r="AB121" s="565"/>
      <c r="AC121" s="563"/>
      <c r="AD121" s="640"/>
      <c r="AE121" s="563"/>
      <c r="AF121" s="565"/>
      <c r="AG121" s="565"/>
      <c r="AH121" s="563"/>
      <c r="AI121" s="640"/>
      <c r="AJ121" s="563"/>
      <c r="AK121" s="565"/>
      <c r="AL121" s="565"/>
      <c r="AM121" s="563"/>
      <c r="AN121" s="640"/>
      <c r="AO121" s="563"/>
      <c r="AP121" s="565"/>
      <c r="AQ121" s="565"/>
      <c r="AR121" s="563"/>
      <c r="AS121" s="640"/>
      <c r="AT121" s="563"/>
      <c r="AU121" s="565"/>
      <c r="AV121" s="565"/>
      <c r="AW121" s="563"/>
      <c r="AX121" s="640"/>
      <c r="AZ121" s="368" t="e">
        <f t="shared" si="49"/>
        <v>#N/A</v>
      </c>
      <c r="BA121" s="644"/>
    </row>
    <row r="123" spans="2:53" ht="15.75">
      <c r="B123" s="651" t="s">
        <v>465</v>
      </c>
      <c r="C123" s="652"/>
      <c r="D123" s="652"/>
      <c r="E123" s="652"/>
      <c r="F123" s="652"/>
      <c r="G123" s="652"/>
      <c r="H123" s="653"/>
      <c r="I123" s="307"/>
      <c r="J123" s="307"/>
      <c r="K123" s="307"/>
      <c r="L123" s="307"/>
      <c r="M123" s="308"/>
    </row>
    <row r="124" spans="2:53" ht="15.75">
      <c r="B124" s="654"/>
      <c r="C124" s="654"/>
      <c r="D124" s="654"/>
      <c r="E124" s="654"/>
      <c r="F124" s="654"/>
      <c r="G124" s="654"/>
      <c r="H124" s="654"/>
      <c r="I124" s="309"/>
      <c r="J124" s="309"/>
      <c r="K124" s="309"/>
      <c r="L124" s="309"/>
      <c r="M124" s="310"/>
    </row>
    <row r="125" spans="2:53">
      <c r="B125" s="643" t="s">
        <v>466</v>
      </c>
      <c r="C125" s="643" t="s">
        <v>467</v>
      </c>
      <c r="D125" s="643"/>
      <c r="E125" s="643" t="s">
        <v>468</v>
      </c>
      <c r="F125" s="643"/>
      <c r="G125" s="643"/>
      <c r="H125" s="675" t="s">
        <v>469</v>
      </c>
      <c r="I125" s="655" t="s">
        <v>470</v>
      </c>
      <c r="J125" s="655"/>
      <c r="K125" s="655"/>
      <c r="L125" s="708" t="s">
        <v>469</v>
      </c>
      <c r="M125" s="711" t="s">
        <v>471</v>
      </c>
    </row>
    <row r="126" spans="2:53">
      <c r="B126" s="643"/>
      <c r="C126" s="643"/>
      <c r="D126" s="643"/>
      <c r="E126" s="643" t="s">
        <v>472</v>
      </c>
      <c r="F126" s="643"/>
      <c r="G126" s="643"/>
      <c r="H126" s="676"/>
      <c r="I126" s="655" t="s">
        <v>472</v>
      </c>
      <c r="J126" s="655"/>
      <c r="K126" s="655"/>
      <c r="L126" s="709"/>
      <c r="M126" s="712"/>
    </row>
    <row r="127" spans="2:53">
      <c r="B127" s="643"/>
      <c r="C127" s="643"/>
      <c r="D127" s="643"/>
      <c r="E127" s="304" t="s">
        <v>473</v>
      </c>
      <c r="F127" s="304" t="s">
        <v>474</v>
      </c>
      <c r="G127" s="304" t="s">
        <v>475</v>
      </c>
      <c r="H127" s="677"/>
      <c r="I127" s="311" t="s">
        <v>473</v>
      </c>
      <c r="J127" s="311" t="s">
        <v>474</v>
      </c>
      <c r="K127" s="311" t="s">
        <v>475</v>
      </c>
      <c r="L127" s="710"/>
      <c r="M127" s="713"/>
    </row>
    <row r="128" spans="2:53">
      <c r="B128" s="643" t="s">
        <v>481</v>
      </c>
      <c r="C128" s="303">
        <v>1</v>
      </c>
      <c r="D128" s="225"/>
      <c r="E128" s="181"/>
      <c r="F128" s="303"/>
      <c r="G128" s="306"/>
      <c r="H128" s="702" t="e">
        <f>AVERAGE(G128:G142)</f>
        <v>#DIV/0!</v>
      </c>
      <c r="I128" s="198" t="e">
        <f t="shared" ref="I128:J135" si="50">AVERAGEIF($D$7:$D$121,$D128,I$7:I$121)</f>
        <v>#DIV/0!</v>
      </c>
      <c r="J128" s="198" t="e">
        <f t="shared" si="50"/>
        <v>#DIV/0!</v>
      </c>
      <c r="K128" s="198" t="e">
        <f t="shared" ref="K128:K135" si="51">AVERAGEIF($D$7:$D$121,$D128,K$7:K$121)</f>
        <v>#DIV/0!</v>
      </c>
      <c r="L128" s="705" t="e">
        <f>AVERAGE(K128:K142)</f>
        <v>#DIV/0!</v>
      </c>
      <c r="M128" s="198" t="e">
        <f>RANK(K128, K$128:$K$142)</f>
        <v>#DIV/0!</v>
      </c>
    </row>
    <row r="129" spans="2:39">
      <c r="B129" s="649"/>
      <c r="C129" s="303">
        <v>2</v>
      </c>
      <c r="D129" s="225"/>
      <c r="E129" s="181"/>
      <c r="F129" s="303"/>
      <c r="G129" s="306"/>
      <c r="H129" s="703"/>
      <c r="I129" s="198" t="e">
        <f t="shared" si="50"/>
        <v>#DIV/0!</v>
      </c>
      <c r="J129" s="198" t="e">
        <f t="shared" si="50"/>
        <v>#DIV/0!</v>
      </c>
      <c r="K129" s="198" t="e">
        <f t="shared" si="51"/>
        <v>#DIV/0!</v>
      </c>
      <c r="L129" s="706"/>
      <c r="M129" s="198" t="e">
        <f>RANK(K129, K$128:$K$142)</f>
        <v>#DIV/0!</v>
      </c>
      <c r="N129" s="107"/>
      <c r="O129" s="107"/>
      <c r="P129" s="107"/>
      <c r="Q129" s="107"/>
      <c r="R129" s="107"/>
      <c r="S129" s="107"/>
      <c r="T129" s="107"/>
      <c r="X129" s="107"/>
      <c r="AC129" s="107"/>
      <c r="AH129" s="107"/>
      <c r="AM129" s="107"/>
    </row>
    <row r="130" spans="2:39">
      <c r="B130" s="649"/>
      <c r="C130" s="303">
        <v>3</v>
      </c>
      <c r="D130" s="225"/>
      <c r="E130" s="181"/>
      <c r="F130" s="303"/>
      <c r="G130" s="306"/>
      <c r="H130" s="703"/>
      <c r="I130" s="198" t="e">
        <f t="shared" si="50"/>
        <v>#DIV/0!</v>
      </c>
      <c r="J130" s="198" t="e">
        <f t="shared" si="50"/>
        <v>#DIV/0!</v>
      </c>
      <c r="K130" s="198" t="e">
        <f t="shared" si="51"/>
        <v>#DIV/0!</v>
      </c>
      <c r="L130" s="706"/>
      <c r="M130" s="198" t="e">
        <f>RANK(K130, K$128:$K$142)</f>
        <v>#DIV/0!</v>
      </c>
      <c r="N130" s="107"/>
      <c r="O130" s="107"/>
      <c r="P130" s="107"/>
      <c r="Q130" s="107"/>
      <c r="R130" s="107"/>
      <c r="S130" s="107"/>
      <c r="T130" s="107"/>
      <c r="X130" s="107"/>
      <c r="AC130" s="107"/>
      <c r="AH130" s="107"/>
      <c r="AM130" s="107"/>
    </row>
    <row r="131" spans="2:39">
      <c r="B131" s="649"/>
      <c r="C131" s="303">
        <v>4</v>
      </c>
      <c r="D131" s="225"/>
      <c r="E131" s="181"/>
      <c r="F131" s="303"/>
      <c r="G131" s="306"/>
      <c r="H131" s="703"/>
      <c r="I131" s="198" t="e">
        <f t="shared" si="50"/>
        <v>#DIV/0!</v>
      </c>
      <c r="J131" s="198" t="e">
        <f t="shared" si="50"/>
        <v>#DIV/0!</v>
      </c>
      <c r="K131" s="198" t="e">
        <f t="shared" si="51"/>
        <v>#DIV/0!</v>
      </c>
      <c r="L131" s="706"/>
      <c r="M131" s="198" t="e">
        <f>RANK(K131, K$128:$K$142)</f>
        <v>#DIV/0!</v>
      </c>
      <c r="N131" s="107"/>
      <c r="O131" s="107"/>
      <c r="P131" s="107"/>
      <c r="Q131" s="107"/>
      <c r="R131" s="107"/>
      <c r="S131" s="107"/>
      <c r="T131" s="107"/>
      <c r="X131" s="107"/>
      <c r="AC131" s="107"/>
      <c r="AH131" s="107"/>
      <c r="AM131" s="107"/>
    </row>
    <row r="132" spans="2:39">
      <c r="B132" s="649"/>
      <c r="C132" s="303">
        <v>5</v>
      </c>
      <c r="D132" s="225"/>
      <c r="E132" s="181"/>
      <c r="F132" s="303"/>
      <c r="G132" s="306"/>
      <c r="H132" s="703"/>
      <c r="I132" s="198" t="e">
        <f t="shared" si="50"/>
        <v>#DIV/0!</v>
      </c>
      <c r="J132" s="198" t="e">
        <f t="shared" si="50"/>
        <v>#DIV/0!</v>
      </c>
      <c r="K132" s="198" t="e">
        <f t="shared" si="51"/>
        <v>#DIV/0!</v>
      </c>
      <c r="L132" s="706"/>
      <c r="M132" s="198" t="e">
        <f>RANK(K132, K$128:$K$142)</f>
        <v>#DIV/0!</v>
      </c>
      <c r="N132" s="107"/>
      <c r="O132" s="107"/>
      <c r="P132" s="107"/>
      <c r="Q132" s="107"/>
      <c r="R132" s="107"/>
      <c r="S132" s="107"/>
      <c r="T132" s="107"/>
      <c r="X132" s="107"/>
      <c r="AC132" s="107"/>
      <c r="AH132" s="107"/>
      <c r="AM132" s="107"/>
    </row>
    <row r="133" spans="2:39">
      <c r="B133" s="649"/>
      <c r="C133" s="303">
        <v>6</v>
      </c>
      <c r="D133" s="312"/>
      <c r="E133" s="181"/>
      <c r="F133" s="303"/>
      <c r="G133" s="306"/>
      <c r="H133" s="703"/>
      <c r="I133" s="198" t="e">
        <f t="shared" si="50"/>
        <v>#DIV/0!</v>
      </c>
      <c r="J133" s="198" t="e">
        <f t="shared" si="50"/>
        <v>#DIV/0!</v>
      </c>
      <c r="K133" s="198" t="e">
        <f t="shared" si="51"/>
        <v>#DIV/0!</v>
      </c>
      <c r="L133" s="706"/>
      <c r="M133" s="198" t="e">
        <f>RANK(K133, K$128:$K$142)</f>
        <v>#DIV/0!</v>
      </c>
      <c r="N133" s="107"/>
      <c r="O133" s="107"/>
      <c r="P133" s="107"/>
      <c r="Q133" s="107"/>
      <c r="R133" s="107"/>
      <c r="S133" s="107"/>
      <c r="T133" s="107"/>
      <c r="X133" s="107"/>
      <c r="AC133" s="107"/>
      <c r="AH133" s="107"/>
      <c r="AM133" s="107"/>
    </row>
    <row r="134" spans="2:39">
      <c r="B134" s="649"/>
      <c r="C134" s="303">
        <v>7</v>
      </c>
      <c r="D134" s="225"/>
      <c r="E134" s="181"/>
      <c r="F134" s="303"/>
      <c r="G134" s="306"/>
      <c r="H134" s="703"/>
      <c r="I134" s="198" t="e">
        <f t="shared" si="50"/>
        <v>#DIV/0!</v>
      </c>
      <c r="J134" s="198" t="e">
        <f t="shared" si="50"/>
        <v>#DIV/0!</v>
      </c>
      <c r="K134" s="198" t="e">
        <f t="shared" si="51"/>
        <v>#DIV/0!</v>
      </c>
      <c r="L134" s="706"/>
      <c r="M134" s="198" t="e">
        <f>RANK(K134, K$128:$K$142)</f>
        <v>#DIV/0!</v>
      </c>
      <c r="N134" s="107"/>
      <c r="O134" s="107"/>
      <c r="P134" s="107"/>
      <c r="Q134" s="107"/>
      <c r="R134" s="107"/>
      <c r="S134" s="107"/>
      <c r="T134" s="107"/>
      <c r="X134" s="107"/>
      <c r="AC134" s="107"/>
      <c r="AH134" s="107"/>
      <c r="AM134" s="107"/>
    </row>
    <row r="135" spans="2:39">
      <c r="B135" s="649"/>
      <c r="C135" s="303">
        <v>8</v>
      </c>
      <c r="D135" s="225"/>
      <c r="E135" s="181"/>
      <c r="F135" s="303"/>
      <c r="G135" s="306"/>
      <c r="H135" s="703"/>
      <c r="I135" s="198" t="e">
        <f t="shared" si="50"/>
        <v>#DIV/0!</v>
      </c>
      <c r="J135" s="198" t="e">
        <f t="shared" si="50"/>
        <v>#DIV/0!</v>
      </c>
      <c r="K135" s="198" t="e">
        <f t="shared" si="51"/>
        <v>#DIV/0!</v>
      </c>
      <c r="L135" s="706"/>
      <c r="M135" s="198" t="e">
        <f>RANK(K135, K$128:$K$142)</f>
        <v>#DIV/0!</v>
      </c>
      <c r="N135" s="107"/>
      <c r="O135" s="107"/>
      <c r="P135" s="107"/>
      <c r="Q135" s="107"/>
      <c r="R135" s="107"/>
      <c r="S135" s="107"/>
      <c r="T135" s="107"/>
      <c r="X135" s="107"/>
      <c r="AC135" s="107"/>
      <c r="AH135" s="107"/>
      <c r="AM135" s="107"/>
    </row>
    <row r="136" spans="2:39">
      <c r="B136" s="649"/>
      <c r="C136" s="303">
        <v>9</v>
      </c>
      <c r="D136" s="225"/>
      <c r="E136" s="303"/>
      <c r="F136" s="303"/>
      <c r="G136" s="303"/>
      <c r="H136" s="703"/>
      <c r="I136" s="198"/>
      <c r="J136" s="198"/>
      <c r="K136" s="198"/>
      <c r="L136" s="706"/>
      <c r="M136" s="198" t="e">
        <f>RANK(K136, K$128:$K$142)</f>
        <v>#DIV/0!</v>
      </c>
      <c r="N136" s="107"/>
      <c r="O136" s="107"/>
      <c r="P136" s="107"/>
      <c r="Q136" s="107"/>
      <c r="R136" s="107"/>
      <c r="S136" s="107"/>
      <c r="T136" s="107"/>
      <c r="X136" s="107"/>
      <c r="AC136" s="107"/>
      <c r="AH136" s="107"/>
      <c r="AM136" s="107"/>
    </row>
    <row r="137" spans="2:39">
      <c r="B137" s="649"/>
      <c r="C137" s="303">
        <v>10</v>
      </c>
      <c r="D137" s="225"/>
      <c r="E137" s="303"/>
      <c r="F137" s="303"/>
      <c r="G137" s="303"/>
      <c r="H137" s="703"/>
      <c r="I137" s="198"/>
      <c r="J137" s="198"/>
      <c r="K137" s="198"/>
      <c r="L137" s="706"/>
      <c r="M137" s="198" t="e">
        <f>RANK(K137, K$128:$K$142)</f>
        <v>#DIV/0!</v>
      </c>
      <c r="N137" s="107"/>
      <c r="O137" s="107"/>
      <c r="P137" s="107"/>
      <c r="Q137" s="107"/>
      <c r="R137" s="107"/>
      <c r="S137" s="107"/>
      <c r="T137" s="107"/>
      <c r="X137" s="107"/>
      <c r="AC137" s="107"/>
      <c r="AH137" s="107"/>
      <c r="AM137" s="107"/>
    </row>
    <row r="138" spans="2:39">
      <c r="B138" s="649"/>
      <c r="C138" s="303">
        <v>11</v>
      </c>
      <c r="D138" s="225"/>
      <c r="E138" s="303"/>
      <c r="F138" s="303"/>
      <c r="G138" s="303"/>
      <c r="H138" s="703"/>
      <c r="I138" s="198"/>
      <c r="J138" s="198"/>
      <c r="K138" s="198"/>
      <c r="L138" s="706"/>
      <c r="M138" s="198" t="e">
        <f>RANK(K138, K$128:$K$142)</f>
        <v>#DIV/0!</v>
      </c>
      <c r="N138" s="107"/>
      <c r="O138" s="107"/>
      <c r="P138" s="107"/>
      <c r="Q138" s="107"/>
      <c r="R138" s="107"/>
      <c r="S138" s="107"/>
      <c r="T138" s="107"/>
      <c r="X138" s="107"/>
      <c r="AC138" s="107"/>
      <c r="AH138" s="107"/>
      <c r="AM138" s="107"/>
    </row>
    <row r="139" spans="2:39">
      <c r="B139" s="649"/>
      <c r="C139" s="303">
        <v>12</v>
      </c>
      <c r="D139" s="225"/>
      <c r="E139" s="303"/>
      <c r="F139" s="303"/>
      <c r="G139" s="303"/>
      <c r="H139" s="703"/>
      <c r="I139" s="198"/>
      <c r="J139" s="198"/>
      <c r="K139" s="198"/>
      <c r="L139" s="706"/>
      <c r="M139" s="198" t="e">
        <f>RANK(K139, K$128:$K$142)</f>
        <v>#DIV/0!</v>
      </c>
      <c r="N139" s="107"/>
      <c r="O139" s="107"/>
      <c r="P139" s="107"/>
      <c r="Q139" s="107"/>
      <c r="R139" s="107"/>
      <c r="S139" s="107"/>
      <c r="T139" s="107"/>
      <c r="X139" s="107"/>
      <c r="AC139" s="107"/>
      <c r="AH139" s="107"/>
      <c r="AM139" s="107"/>
    </row>
    <row r="140" spans="2:39">
      <c r="B140" s="649"/>
      <c r="C140" s="303">
        <v>13</v>
      </c>
      <c r="D140" s="225"/>
      <c r="E140" s="303"/>
      <c r="F140" s="303"/>
      <c r="G140" s="303"/>
      <c r="H140" s="703"/>
      <c r="I140" s="198"/>
      <c r="J140" s="198"/>
      <c r="K140" s="198"/>
      <c r="L140" s="706"/>
      <c r="M140" s="198" t="e">
        <f>RANK(K140, K$128:$K$142)</f>
        <v>#DIV/0!</v>
      </c>
      <c r="N140" s="107"/>
      <c r="O140" s="107"/>
      <c r="P140" s="107"/>
      <c r="Q140" s="107"/>
      <c r="R140" s="107"/>
      <c r="S140" s="107"/>
      <c r="T140" s="107"/>
      <c r="X140" s="107"/>
      <c r="AC140" s="107"/>
      <c r="AH140" s="107"/>
      <c r="AM140" s="107"/>
    </row>
    <row r="141" spans="2:39">
      <c r="B141" s="649"/>
      <c r="C141" s="303">
        <v>14</v>
      </c>
      <c r="D141" s="225"/>
      <c r="E141" s="303"/>
      <c r="F141" s="303"/>
      <c r="G141" s="303"/>
      <c r="H141" s="703"/>
      <c r="I141" s="198"/>
      <c r="J141" s="198"/>
      <c r="K141" s="198"/>
      <c r="L141" s="706"/>
      <c r="M141" s="198" t="e">
        <f>RANK(K141, K$128:$K$142)</f>
        <v>#DIV/0!</v>
      </c>
      <c r="N141" s="107"/>
      <c r="O141" s="107"/>
      <c r="P141" s="107"/>
      <c r="Q141" s="107"/>
      <c r="R141" s="107"/>
      <c r="S141" s="107"/>
      <c r="T141" s="107"/>
      <c r="X141" s="107"/>
      <c r="AC141" s="107"/>
      <c r="AH141" s="107"/>
      <c r="AM141" s="107"/>
    </row>
    <row r="142" spans="2:39">
      <c r="B142" s="649"/>
      <c r="C142" s="303">
        <v>15</v>
      </c>
      <c r="D142" s="225"/>
      <c r="E142" s="303"/>
      <c r="F142" s="303"/>
      <c r="G142" s="303"/>
      <c r="H142" s="704"/>
      <c r="I142" s="198"/>
      <c r="J142" s="198"/>
      <c r="K142" s="198"/>
      <c r="L142" s="707"/>
      <c r="M142" s="198" t="e">
        <f>RANK(K142, K$128:$K$142)</f>
        <v>#DIV/0!</v>
      </c>
      <c r="N142" s="107"/>
      <c r="O142" s="107"/>
      <c r="P142" s="107"/>
      <c r="Q142" s="107"/>
      <c r="R142" s="107"/>
      <c r="S142" s="107"/>
      <c r="T142" s="107"/>
      <c r="X142" s="107"/>
      <c r="AC142" s="107"/>
      <c r="AH142" s="107"/>
      <c r="AM142" s="107"/>
    </row>
  </sheetData>
  <mergeCells count="379">
    <mergeCell ref="BA87:BA101"/>
    <mergeCell ref="BA104:BA106"/>
    <mergeCell ref="BA107:BA121"/>
    <mergeCell ref="BA4:BA6"/>
    <mergeCell ref="BA7:BA21"/>
    <mergeCell ref="BA24:BA26"/>
    <mergeCell ref="BA27:BA41"/>
    <mergeCell ref="BA44:BA46"/>
    <mergeCell ref="BA47:BA61"/>
    <mergeCell ref="BA64:BA66"/>
    <mergeCell ref="BA67:BA81"/>
    <mergeCell ref="BA84:BA86"/>
    <mergeCell ref="B87:B101"/>
    <mergeCell ref="AS87:AS101"/>
    <mergeCell ref="AX87:AX101"/>
    <mergeCell ref="AO85:AR85"/>
    <mergeCell ref="AT85:AW85"/>
    <mergeCell ref="AO84:AR84"/>
    <mergeCell ref="AS84:AS86"/>
    <mergeCell ref="AT84:AW84"/>
    <mergeCell ref="AX84:AX86"/>
    <mergeCell ref="AJ85:AM85"/>
    <mergeCell ref="AN87:AN101"/>
    <mergeCell ref="AN84:AN86"/>
    <mergeCell ref="AJ84:AM84"/>
    <mergeCell ref="C84:D86"/>
    <mergeCell ref="E84:G84"/>
    <mergeCell ref="H84:H86"/>
    <mergeCell ref="I84:K84"/>
    <mergeCell ref="L84:L86"/>
    <mergeCell ref="AD84:AD86"/>
    <mergeCell ref="AE84:AH84"/>
    <mergeCell ref="AI84:AI86"/>
    <mergeCell ref="AE85:AH85"/>
    <mergeCell ref="Z85:AC85"/>
    <mergeCell ref="Y84:Y86"/>
    <mergeCell ref="Z84:AC84"/>
    <mergeCell ref="P84:S84"/>
    <mergeCell ref="T84:T86"/>
    <mergeCell ref="U84:X84"/>
    <mergeCell ref="E85:G85"/>
    <mergeCell ref="I85:K85"/>
    <mergeCell ref="P85:S85"/>
    <mergeCell ref="U85:X85"/>
    <mergeCell ref="M84:M86"/>
    <mergeCell ref="N84:N101"/>
    <mergeCell ref="O84:O101"/>
    <mergeCell ref="H87:H101"/>
    <mergeCell ref="L87:L101"/>
    <mergeCell ref="T87:T101"/>
    <mergeCell ref="Y87:Y101"/>
    <mergeCell ref="AX67:AX81"/>
    <mergeCell ref="B82:H83"/>
    <mergeCell ref="N82:N83"/>
    <mergeCell ref="O82:O83"/>
    <mergeCell ref="P82:T82"/>
    <mergeCell ref="U82:Y82"/>
    <mergeCell ref="Z82:AD82"/>
    <mergeCell ref="AE82:AI82"/>
    <mergeCell ref="AJ82:AN82"/>
    <mergeCell ref="AO82:AS82"/>
    <mergeCell ref="AT82:AX82"/>
    <mergeCell ref="P83:T83"/>
    <mergeCell ref="U83:Y83"/>
    <mergeCell ref="Z83:AD83"/>
    <mergeCell ref="AE83:AI83"/>
    <mergeCell ref="AJ83:AN83"/>
    <mergeCell ref="AO83:AS83"/>
    <mergeCell ref="AT83:AX83"/>
    <mergeCell ref="AO65:AR65"/>
    <mergeCell ref="AT65:AW65"/>
    <mergeCell ref="B67:B81"/>
    <mergeCell ref="H67:H81"/>
    <mergeCell ref="L67:L81"/>
    <mergeCell ref="T67:T81"/>
    <mergeCell ref="Y67:Y81"/>
    <mergeCell ref="AD67:AD81"/>
    <mergeCell ref="AI67:AI81"/>
    <mergeCell ref="AN67:AN81"/>
    <mergeCell ref="AN64:AN66"/>
    <mergeCell ref="AO64:AR64"/>
    <mergeCell ref="AS64:AS66"/>
    <mergeCell ref="AT64:AW64"/>
    <mergeCell ref="B64:B66"/>
    <mergeCell ref="C64:D66"/>
    <mergeCell ref="AS67:AS81"/>
    <mergeCell ref="H64:H66"/>
    <mergeCell ref="I64:K64"/>
    <mergeCell ref="L64:L66"/>
    <mergeCell ref="AD87:AD101"/>
    <mergeCell ref="AI87:AI101"/>
    <mergeCell ref="B84:B86"/>
    <mergeCell ref="AX64:AX66"/>
    <mergeCell ref="E65:G65"/>
    <mergeCell ref="I65:K65"/>
    <mergeCell ref="P65:S65"/>
    <mergeCell ref="U65:X65"/>
    <mergeCell ref="Z65:AC65"/>
    <mergeCell ref="Y64:Y66"/>
    <mergeCell ref="Z64:AC64"/>
    <mergeCell ref="AD64:AD66"/>
    <mergeCell ref="AE64:AH64"/>
    <mergeCell ref="AI64:AI66"/>
    <mergeCell ref="AJ64:AM64"/>
    <mergeCell ref="AE65:AH65"/>
    <mergeCell ref="AJ65:AM65"/>
    <mergeCell ref="M64:M66"/>
    <mergeCell ref="N64:N81"/>
    <mergeCell ref="O64:O81"/>
    <mergeCell ref="P64:S64"/>
    <mergeCell ref="T64:T66"/>
    <mergeCell ref="U64:X64"/>
    <mergeCell ref="E64:G64"/>
    <mergeCell ref="AX47:AX61"/>
    <mergeCell ref="B62:H63"/>
    <mergeCell ref="N62:N63"/>
    <mergeCell ref="O62:O63"/>
    <mergeCell ref="P62:T62"/>
    <mergeCell ref="U62:Y62"/>
    <mergeCell ref="Z62:AD62"/>
    <mergeCell ref="AE62:AI62"/>
    <mergeCell ref="AJ62:AN62"/>
    <mergeCell ref="AO62:AS62"/>
    <mergeCell ref="AT62:AX62"/>
    <mergeCell ref="P63:T63"/>
    <mergeCell ref="U63:Y63"/>
    <mergeCell ref="Z63:AD63"/>
    <mergeCell ref="AE63:AI63"/>
    <mergeCell ref="AJ63:AN63"/>
    <mergeCell ref="AO63:AS63"/>
    <mergeCell ref="AT63:AX63"/>
    <mergeCell ref="AO45:AR45"/>
    <mergeCell ref="AT45:AW45"/>
    <mergeCell ref="B47:B61"/>
    <mergeCell ref="H47:H61"/>
    <mergeCell ref="L47:L61"/>
    <mergeCell ref="T47:T61"/>
    <mergeCell ref="Y47:Y61"/>
    <mergeCell ref="AD47:AD61"/>
    <mergeCell ref="AI47:AI61"/>
    <mergeCell ref="AN47:AN61"/>
    <mergeCell ref="AN44:AN46"/>
    <mergeCell ref="AO44:AR44"/>
    <mergeCell ref="AS44:AS46"/>
    <mergeCell ref="AT44:AW44"/>
    <mergeCell ref="B44:B46"/>
    <mergeCell ref="C44:D46"/>
    <mergeCell ref="AS47:AS61"/>
    <mergeCell ref="AX44:AX46"/>
    <mergeCell ref="E45:G45"/>
    <mergeCell ref="I45:K45"/>
    <mergeCell ref="P45:S45"/>
    <mergeCell ref="U45:X45"/>
    <mergeCell ref="Z45:AC45"/>
    <mergeCell ref="Y44:Y46"/>
    <mergeCell ref="Z44:AC44"/>
    <mergeCell ref="AD44:AD46"/>
    <mergeCell ref="AE44:AH44"/>
    <mergeCell ref="AI44:AI46"/>
    <mergeCell ref="AJ44:AM44"/>
    <mergeCell ref="AE45:AH45"/>
    <mergeCell ref="AJ45:AM45"/>
    <mergeCell ref="M44:M46"/>
    <mergeCell ref="N44:N61"/>
    <mergeCell ref="O44:O61"/>
    <mergeCell ref="P44:S44"/>
    <mergeCell ref="T44:T46"/>
    <mergeCell ref="U44:X44"/>
    <mergeCell ref="E44:G44"/>
    <mergeCell ref="H44:H46"/>
    <mergeCell ref="I44:K44"/>
    <mergeCell ref="L44:L46"/>
    <mergeCell ref="AX27:AX41"/>
    <mergeCell ref="B42:H43"/>
    <mergeCell ref="N42:N43"/>
    <mergeCell ref="O42:O43"/>
    <mergeCell ref="P42:T42"/>
    <mergeCell ref="U42:Y42"/>
    <mergeCell ref="Z42:AD42"/>
    <mergeCell ref="AE42:AI42"/>
    <mergeCell ref="AJ42:AN42"/>
    <mergeCell ref="AO42:AS42"/>
    <mergeCell ref="AT42:AX42"/>
    <mergeCell ref="P43:T43"/>
    <mergeCell ref="U43:Y43"/>
    <mergeCell ref="Z43:AD43"/>
    <mergeCell ref="AE43:AI43"/>
    <mergeCell ref="AJ43:AN43"/>
    <mergeCell ref="AO43:AS43"/>
    <mergeCell ref="AT43:AX43"/>
    <mergeCell ref="AO25:AR25"/>
    <mergeCell ref="AT25:AW25"/>
    <mergeCell ref="B27:B41"/>
    <mergeCell ref="H27:H41"/>
    <mergeCell ref="L27:L41"/>
    <mergeCell ref="T27:T41"/>
    <mergeCell ref="Y27:Y41"/>
    <mergeCell ref="AD27:AD41"/>
    <mergeCell ref="AI27:AI41"/>
    <mergeCell ref="AN27:AN41"/>
    <mergeCell ref="AN24:AN26"/>
    <mergeCell ref="AO24:AR24"/>
    <mergeCell ref="AS24:AS26"/>
    <mergeCell ref="AT24:AW24"/>
    <mergeCell ref="B24:B26"/>
    <mergeCell ref="C24:D26"/>
    <mergeCell ref="AS27:AS41"/>
    <mergeCell ref="AX24:AX26"/>
    <mergeCell ref="E25:G25"/>
    <mergeCell ref="I25:K25"/>
    <mergeCell ref="P25:S25"/>
    <mergeCell ref="U25:X25"/>
    <mergeCell ref="Z25:AC25"/>
    <mergeCell ref="Y24:Y26"/>
    <mergeCell ref="Z24:AC24"/>
    <mergeCell ref="AD24:AD26"/>
    <mergeCell ref="AE24:AH24"/>
    <mergeCell ref="AI24:AI26"/>
    <mergeCell ref="AJ24:AM24"/>
    <mergeCell ref="AE25:AH25"/>
    <mergeCell ref="AJ25:AM25"/>
    <mergeCell ref="M24:M26"/>
    <mergeCell ref="N24:N41"/>
    <mergeCell ref="O24:O41"/>
    <mergeCell ref="P24:S24"/>
    <mergeCell ref="T24:T26"/>
    <mergeCell ref="U24:X24"/>
    <mergeCell ref="E24:G24"/>
    <mergeCell ref="H24:H26"/>
    <mergeCell ref="I24:K24"/>
    <mergeCell ref="L24:L26"/>
    <mergeCell ref="AT22:AX22"/>
    <mergeCell ref="P23:T23"/>
    <mergeCell ref="U23:Y23"/>
    <mergeCell ref="Z23:AD23"/>
    <mergeCell ref="AE23:AI23"/>
    <mergeCell ref="AJ23:AN23"/>
    <mergeCell ref="AO23:AS23"/>
    <mergeCell ref="AT23:AX23"/>
    <mergeCell ref="AX7:AX21"/>
    <mergeCell ref="B22:H23"/>
    <mergeCell ref="N22:N23"/>
    <mergeCell ref="O22:O23"/>
    <mergeCell ref="P22:T22"/>
    <mergeCell ref="U22:Y22"/>
    <mergeCell ref="Z22:AD22"/>
    <mergeCell ref="AE22:AI22"/>
    <mergeCell ref="AJ22:AN22"/>
    <mergeCell ref="AO22:AS22"/>
    <mergeCell ref="AD4:AD6"/>
    <mergeCell ref="AT5:AW5"/>
    <mergeCell ref="B7:B21"/>
    <mergeCell ref="H7:H21"/>
    <mergeCell ref="L7:L21"/>
    <mergeCell ref="T7:T21"/>
    <mergeCell ref="Y7:Y21"/>
    <mergeCell ref="AD7:AD21"/>
    <mergeCell ref="AI7:AI21"/>
    <mergeCell ref="AN7:AN21"/>
    <mergeCell ref="AS7:AS21"/>
    <mergeCell ref="B4:B6"/>
    <mergeCell ref="C4:D6"/>
    <mergeCell ref="E4:G4"/>
    <mergeCell ref="H4:H6"/>
    <mergeCell ref="I4:K4"/>
    <mergeCell ref="L4:L6"/>
    <mergeCell ref="M4:M6"/>
    <mergeCell ref="N4:N21"/>
    <mergeCell ref="O4:O21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102:H103"/>
    <mergeCell ref="N102:N103"/>
    <mergeCell ref="O102:O103"/>
    <mergeCell ref="P102:T102"/>
    <mergeCell ref="U102:Y102"/>
    <mergeCell ref="Z102:AD102"/>
    <mergeCell ref="AE102:AI102"/>
    <mergeCell ref="AJ102:AN102"/>
    <mergeCell ref="AO102:AS102"/>
    <mergeCell ref="AT102:AX102"/>
    <mergeCell ref="P103:T103"/>
    <mergeCell ref="U103:Y103"/>
    <mergeCell ref="Z103:AD103"/>
    <mergeCell ref="AE103:AI103"/>
    <mergeCell ref="AJ103:AN103"/>
    <mergeCell ref="AO103:AS103"/>
    <mergeCell ref="AT103:AX103"/>
    <mergeCell ref="B104:B106"/>
    <mergeCell ref="C104:D106"/>
    <mergeCell ref="E104:G104"/>
    <mergeCell ref="H104:H106"/>
    <mergeCell ref="I104:K104"/>
    <mergeCell ref="L104:L106"/>
    <mergeCell ref="M104:M106"/>
    <mergeCell ref="N104:N121"/>
    <mergeCell ref="O104:O121"/>
    <mergeCell ref="P104:S104"/>
    <mergeCell ref="T104:T106"/>
    <mergeCell ref="U104:X104"/>
    <mergeCell ref="Y104:Y106"/>
    <mergeCell ref="Z104:AC104"/>
    <mergeCell ref="AD104:AD106"/>
    <mergeCell ref="AE104:AH104"/>
    <mergeCell ref="AI104:AI106"/>
    <mergeCell ref="AJ104:AM104"/>
    <mergeCell ref="AN104:AN106"/>
    <mergeCell ref="AO104:AR104"/>
    <mergeCell ref="AS104:AS106"/>
    <mergeCell ref="AT104:AW104"/>
    <mergeCell ref="AX104:AX106"/>
    <mergeCell ref="E105:G105"/>
    <mergeCell ref="I105:K105"/>
    <mergeCell ref="P105:S105"/>
    <mergeCell ref="U105:X105"/>
    <mergeCell ref="Z105:AC105"/>
    <mergeCell ref="AE105:AH105"/>
    <mergeCell ref="AJ105:AM105"/>
    <mergeCell ref="AO105:AR105"/>
    <mergeCell ref="AT105:AW105"/>
    <mergeCell ref="B128:B142"/>
    <mergeCell ref="H128:H142"/>
    <mergeCell ref="L128:L142"/>
    <mergeCell ref="AX107:AX121"/>
    <mergeCell ref="B123:H124"/>
    <mergeCell ref="B125:B127"/>
    <mergeCell ref="C125:D127"/>
    <mergeCell ref="E125:G125"/>
    <mergeCell ref="H125:H127"/>
    <mergeCell ref="I125:K125"/>
    <mergeCell ref="L125:L127"/>
    <mergeCell ref="M125:M127"/>
    <mergeCell ref="E126:G126"/>
    <mergeCell ref="I126:K126"/>
    <mergeCell ref="B107:B121"/>
    <mergeCell ref="H107:H121"/>
    <mergeCell ref="L107:L121"/>
    <mergeCell ref="T107:T121"/>
    <mergeCell ref="Y107:Y121"/>
    <mergeCell ref="AD107:AD121"/>
    <mergeCell ref="AI107:AI121"/>
    <mergeCell ref="AN107:AN121"/>
    <mergeCell ref="AS107:AS121"/>
  </mergeCells>
  <phoneticPr fontId="13" type="noConversion"/>
  <pageMargins left="0.7" right="0.7" top="0.75" bottom="0.75" header="0.3" footer="0.3"/>
  <pageSetup paperSize="9"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A1:BA142"/>
  <sheetViews>
    <sheetView zoomScale="40" zoomScaleNormal="40" workbookViewId="0">
      <pane xSplit="15" topLeftCell="P1" activePane="topRight" state="frozen"/>
      <selection activeCell="P6" sqref="P6"/>
      <selection pane="topRight" activeCell="T7" sqref="S7:T21"/>
    </sheetView>
  </sheetViews>
  <sheetFormatPr defaultColWidth="8.85546875" defaultRowHeight="12.75"/>
  <cols>
    <col min="1" max="1" width="5.5703125" style="107" customWidth="1"/>
    <col min="2" max="2" width="12.42578125" style="107" customWidth="1"/>
    <col min="3" max="3" width="8.85546875" style="106"/>
    <col min="4" max="4" width="26.42578125" style="106" customWidth="1"/>
    <col min="5" max="7" width="8.42578125" style="106" customWidth="1"/>
    <col min="8" max="8" width="11.140625" style="106" bestFit="1" customWidth="1"/>
    <col min="9" max="12" width="11.140625" style="106" customWidth="1"/>
    <col min="13" max="13" width="13.5703125" style="106" customWidth="1"/>
    <col min="14" max="14" width="9.85546875" style="106" customWidth="1"/>
    <col min="15" max="15" width="7.140625" style="106" customWidth="1"/>
    <col min="16" max="18" width="12.85546875" style="106" customWidth="1"/>
    <col min="19" max="19" width="5.42578125" style="106" customWidth="1"/>
    <col min="20" max="20" width="12.85546875" style="106" customWidth="1"/>
    <col min="21" max="23" width="12.85546875" style="107" customWidth="1"/>
    <col min="24" max="24" width="5.42578125" style="106" customWidth="1"/>
    <col min="25" max="28" width="12.85546875" style="107" customWidth="1"/>
    <col min="29" max="29" width="5.42578125" style="106" customWidth="1"/>
    <col min="30" max="30" width="12.85546875" style="107" customWidth="1"/>
    <col min="31" max="33" width="12.5703125" style="107" customWidth="1"/>
    <col min="34" max="34" width="5.42578125" style="106" customWidth="1"/>
    <col min="35" max="35" width="13" style="107" customWidth="1"/>
    <col min="36" max="38" width="12.5703125" style="107" customWidth="1"/>
    <col min="39" max="39" width="5.42578125" style="106" customWidth="1"/>
    <col min="40" max="40" width="13" style="107" customWidth="1"/>
    <col min="41" max="43" width="13.140625" style="107" customWidth="1"/>
    <col min="44" max="44" width="5.42578125" style="107" customWidth="1"/>
    <col min="45" max="48" width="13.140625" style="107" customWidth="1"/>
    <col min="49" max="49" width="5.42578125" style="107" customWidth="1"/>
    <col min="50" max="50" width="13.140625" style="107" customWidth="1"/>
    <col min="51" max="51" width="8.85546875" style="107"/>
    <col min="52" max="52" width="5.42578125" style="107" customWidth="1"/>
    <col min="53" max="53" width="13.140625" style="107" customWidth="1"/>
    <col min="54" max="16384" width="8.85546875" style="107"/>
  </cols>
  <sheetData>
    <row r="1" spans="1:53" ht="24">
      <c r="A1" s="75"/>
      <c r="B1" s="220" t="s">
        <v>313</v>
      </c>
      <c r="C1" s="219">
        <f>AVERAGE(L7,L27,L47,L67,L87,L107)</f>
        <v>80.896252830499606</v>
      </c>
    </row>
    <row r="2" spans="1:53" ht="15.75">
      <c r="A2" s="81"/>
      <c r="B2" s="671" t="s">
        <v>162</v>
      </c>
      <c r="C2" s="671"/>
      <c r="D2" s="671"/>
      <c r="E2" s="671"/>
      <c r="F2" s="671"/>
      <c r="G2" s="671"/>
      <c r="H2" s="671"/>
      <c r="I2" s="284"/>
      <c r="J2" s="284"/>
      <c r="K2" s="284"/>
      <c r="L2" s="284"/>
      <c r="M2" s="196"/>
      <c r="N2" s="645" t="s">
        <v>156</v>
      </c>
      <c r="O2" s="645" t="s">
        <v>155</v>
      </c>
      <c r="P2" s="670">
        <v>46266</v>
      </c>
      <c r="Q2" s="649"/>
      <c r="R2" s="649"/>
      <c r="S2" s="649"/>
      <c r="T2" s="649"/>
      <c r="U2" s="667">
        <f>P2+1</f>
        <v>46267</v>
      </c>
      <c r="V2" s="668"/>
      <c r="W2" s="668"/>
      <c r="X2" s="668"/>
      <c r="Y2" s="669"/>
      <c r="Z2" s="667">
        <f>U2+1</f>
        <v>46268</v>
      </c>
      <c r="AA2" s="668"/>
      <c r="AB2" s="668"/>
      <c r="AC2" s="668"/>
      <c r="AD2" s="669"/>
      <c r="AE2" s="667">
        <f>Z2+1</f>
        <v>46269</v>
      </c>
      <c r="AF2" s="668"/>
      <c r="AG2" s="668"/>
      <c r="AH2" s="668"/>
      <c r="AI2" s="669"/>
      <c r="AJ2" s="667">
        <f>AE2+1</f>
        <v>46270</v>
      </c>
      <c r="AK2" s="668"/>
      <c r="AL2" s="668"/>
      <c r="AM2" s="668"/>
      <c r="AN2" s="669"/>
      <c r="AO2" s="667">
        <f>AJ2+1</f>
        <v>46271</v>
      </c>
      <c r="AP2" s="668"/>
      <c r="AQ2" s="668"/>
      <c r="AR2" s="668"/>
      <c r="AS2" s="669"/>
      <c r="AT2" s="667">
        <f>AO2+1</f>
        <v>46272</v>
      </c>
      <c r="AU2" s="668"/>
      <c r="AV2" s="668"/>
      <c r="AW2" s="668"/>
      <c r="AX2" s="669"/>
    </row>
    <row r="3" spans="1:53" ht="15.75">
      <c r="A3" s="81"/>
      <c r="B3" s="715"/>
      <c r="C3" s="715"/>
      <c r="D3" s="715"/>
      <c r="E3" s="715"/>
      <c r="F3" s="715"/>
      <c r="G3" s="715"/>
      <c r="H3" s="715"/>
      <c r="I3" s="285"/>
      <c r="J3" s="285"/>
      <c r="K3" s="285"/>
      <c r="L3" s="285"/>
      <c r="M3" s="197"/>
      <c r="N3" s="647"/>
      <c r="O3" s="647"/>
      <c r="P3" s="670" t="s">
        <v>158</v>
      </c>
      <c r="Q3" s="649"/>
      <c r="R3" s="649"/>
      <c r="S3" s="649"/>
      <c r="T3" s="649"/>
      <c r="U3" s="670" t="s">
        <v>114</v>
      </c>
      <c r="V3" s="649"/>
      <c r="W3" s="649"/>
      <c r="X3" s="649"/>
      <c r="Y3" s="649"/>
      <c r="Z3" s="670" t="s">
        <v>159</v>
      </c>
      <c r="AA3" s="649"/>
      <c r="AB3" s="649"/>
      <c r="AC3" s="649"/>
      <c r="AD3" s="649"/>
      <c r="AE3" s="670" t="s">
        <v>157</v>
      </c>
      <c r="AF3" s="649"/>
      <c r="AG3" s="649"/>
      <c r="AH3" s="649"/>
      <c r="AI3" s="649"/>
      <c r="AJ3" s="670" t="s">
        <v>160</v>
      </c>
      <c r="AK3" s="649"/>
      <c r="AL3" s="649"/>
      <c r="AM3" s="649"/>
      <c r="AN3" s="649"/>
      <c r="AO3" s="670" t="s">
        <v>115</v>
      </c>
      <c r="AP3" s="649"/>
      <c r="AQ3" s="649"/>
      <c r="AR3" s="649"/>
      <c r="AS3" s="649"/>
      <c r="AT3" s="670" t="s">
        <v>161</v>
      </c>
      <c r="AU3" s="649"/>
      <c r="AV3" s="649"/>
      <c r="AW3" s="649"/>
      <c r="AX3" s="649"/>
    </row>
    <row r="4" spans="1:53" ht="14.25">
      <c r="A4" s="81"/>
      <c r="B4" s="643" t="s">
        <v>522</v>
      </c>
      <c r="C4" s="643" t="s">
        <v>523</v>
      </c>
      <c r="D4" s="643"/>
      <c r="E4" s="643" t="s">
        <v>524</v>
      </c>
      <c r="F4" s="643"/>
      <c r="G4" s="643"/>
      <c r="H4" s="675" t="s">
        <v>525</v>
      </c>
      <c r="I4" s="643" t="s">
        <v>526</v>
      </c>
      <c r="J4" s="643"/>
      <c r="K4" s="643"/>
      <c r="L4" s="675" t="s">
        <v>359</v>
      </c>
      <c r="M4" s="645" t="s">
        <v>527</v>
      </c>
      <c r="N4" s="643"/>
      <c r="O4" s="643" t="s">
        <v>528</v>
      </c>
      <c r="P4" s="661" t="s">
        <v>361</v>
      </c>
      <c r="Q4" s="662"/>
      <c r="R4" s="662"/>
      <c r="S4" s="663"/>
      <c r="T4" s="643" t="s">
        <v>359</v>
      </c>
      <c r="U4" s="661" t="s">
        <v>361</v>
      </c>
      <c r="V4" s="662"/>
      <c r="W4" s="662"/>
      <c r="X4" s="663"/>
      <c r="Y4" s="643" t="s">
        <v>359</v>
      </c>
      <c r="Z4" s="661" t="s">
        <v>361</v>
      </c>
      <c r="AA4" s="662"/>
      <c r="AB4" s="662"/>
      <c r="AC4" s="663"/>
      <c r="AD4" s="643" t="s">
        <v>359</v>
      </c>
      <c r="AE4" s="661" t="s">
        <v>361</v>
      </c>
      <c r="AF4" s="662"/>
      <c r="AG4" s="662"/>
      <c r="AH4" s="663"/>
      <c r="AI4" s="643" t="s">
        <v>359</v>
      </c>
      <c r="AJ4" s="661" t="s">
        <v>361</v>
      </c>
      <c r="AK4" s="662"/>
      <c r="AL4" s="662"/>
      <c r="AM4" s="663"/>
      <c r="AN4" s="643" t="s">
        <v>359</v>
      </c>
      <c r="AO4" s="661" t="s">
        <v>361</v>
      </c>
      <c r="AP4" s="662"/>
      <c r="AQ4" s="662"/>
      <c r="AR4" s="663"/>
      <c r="AS4" s="643" t="s">
        <v>359</v>
      </c>
      <c r="AT4" s="661" t="s">
        <v>361</v>
      </c>
      <c r="AU4" s="662"/>
      <c r="AV4" s="662"/>
      <c r="AW4" s="663"/>
      <c r="AX4" s="643" t="s">
        <v>359</v>
      </c>
      <c r="BA4" s="643" t="s">
        <v>359</v>
      </c>
    </row>
    <row r="5" spans="1:53" ht="14.25">
      <c r="A5" s="81"/>
      <c r="B5" s="643"/>
      <c r="C5" s="643"/>
      <c r="D5" s="643"/>
      <c r="E5" s="643" t="s">
        <v>529</v>
      </c>
      <c r="F5" s="643"/>
      <c r="G5" s="643"/>
      <c r="H5" s="676"/>
      <c r="I5" s="643" t="s">
        <v>529</v>
      </c>
      <c r="J5" s="643"/>
      <c r="K5" s="643"/>
      <c r="L5" s="676"/>
      <c r="M5" s="646"/>
      <c r="N5" s="643"/>
      <c r="O5" s="643"/>
      <c r="P5" s="661" t="s">
        <v>367</v>
      </c>
      <c r="Q5" s="662"/>
      <c r="R5" s="662"/>
      <c r="S5" s="663"/>
      <c r="T5" s="643"/>
      <c r="U5" s="661" t="s">
        <v>367</v>
      </c>
      <c r="V5" s="662"/>
      <c r="W5" s="662"/>
      <c r="X5" s="663"/>
      <c r="Y5" s="643"/>
      <c r="Z5" s="661" t="s">
        <v>367</v>
      </c>
      <c r="AA5" s="662"/>
      <c r="AB5" s="662"/>
      <c r="AC5" s="663"/>
      <c r="AD5" s="643"/>
      <c r="AE5" s="661" t="s">
        <v>367</v>
      </c>
      <c r="AF5" s="662"/>
      <c r="AG5" s="662"/>
      <c r="AH5" s="663"/>
      <c r="AI5" s="643"/>
      <c r="AJ5" s="661" t="s">
        <v>367</v>
      </c>
      <c r="AK5" s="662"/>
      <c r="AL5" s="662"/>
      <c r="AM5" s="663"/>
      <c r="AN5" s="643"/>
      <c r="AO5" s="661" t="s">
        <v>367</v>
      </c>
      <c r="AP5" s="662"/>
      <c r="AQ5" s="662"/>
      <c r="AR5" s="663"/>
      <c r="AS5" s="643"/>
      <c r="AT5" s="661" t="s">
        <v>367</v>
      </c>
      <c r="AU5" s="662"/>
      <c r="AV5" s="662"/>
      <c r="AW5" s="663"/>
      <c r="AX5" s="643"/>
      <c r="BA5" s="643"/>
    </row>
    <row r="6" spans="1:53" ht="14.25">
      <c r="A6" s="79"/>
      <c r="B6" s="643"/>
      <c r="C6" s="643"/>
      <c r="D6" s="643"/>
      <c r="E6" s="525" t="s">
        <v>530</v>
      </c>
      <c r="F6" s="525" t="s">
        <v>531</v>
      </c>
      <c r="G6" s="525" t="s">
        <v>532</v>
      </c>
      <c r="H6" s="677"/>
      <c r="I6" s="525" t="s">
        <v>530</v>
      </c>
      <c r="J6" s="525" t="s">
        <v>531</v>
      </c>
      <c r="K6" s="525" t="s">
        <v>532</v>
      </c>
      <c r="L6" s="677"/>
      <c r="M6" s="647"/>
      <c r="N6" s="643"/>
      <c r="O6" s="643"/>
      <c r="P6" s="525" t="s">
        <v>368</v>
      </c>
      <c r="Q6" s="525" t="s">
        <v>369</v>
      </c>
      <c r="R6" s="525" t="s">
        <v>370</v>
      </c>
      <c r="S6" s="525" t="s">
        <v>360</v>
      </c>
      <c r="T6" s="643"/>
      <c r="U6" s="525" t="s">
        <v>368</v>
      </c>
      <c r="V6" s="525" t="s">
        <v>369</v>
      </c>
      <c r="W6" s="525" t="s">
        <v>370</v>
      </c>
      <c r="X6" s="525" t="s">
        <v>360</v>
      </c>
      <c r="Y6" s="643"/>
      <c r="Z6" s="525" t="s">
        <v>368</v>
      </c>
      <c r="AA6" s="525" t="s">
        <v>369</v>
      </c>
      <c r="AB6" s="525" t="s">
        <v>370</v>
      </c>
      <c r="AC6" s="525" t="s">
        <v>360</v>
      </c>
      <c r="AD6" s="643"/>
      <c r="AE6" s="525" t="s">
        <v>368</v>
      </c>
      <c r="AF6" s="525" t="s">
        <v>369</v>
      </c>
      <c r="AG6" s="525" t="s">
        <v>370</v>
      </c>
      <c r="AH6" s="525" t="s">
        <v>360</v>
      </c>
      <c r="AI6" s="643"/>
      <c r="AJ6" s="525" t="s">
        <v>368</v>
      </c>
      <c r="AK6" s="525" t="s">
        <v>369</v>
      </c>
      <c r="AL6" s="525" t="s">
        <v>370</v>
      </c>
      <c r="AM6" s="525" t="s">
        <v>360</v>
      </c>
      <c r="AN6" s="643"/>
      <c r="AO6" s="525" t="s">
        <v>368</v>
      </c>
      <c r="AP6" s="525" t="s">
        <v>369</v>
      </c>
      <c r="AQ6" s="525" t="s">
        <v>370</v>
      </c>
      <c r="AR6" s="525" t="s">
        <v>360</v>
      </c>
      <c r="AS6" s="643"/>
      <c r="AT6" s="525" t="s">
        <v>368</v>
      </c>
      <c r="AU6" s="525" t="s">
        <v>369</v>
      </c>
      <c r="AV6" s="525" t="s">
        <v>370</v>
      </c>
      <c r="AW6" s="525" t="s">
        <v>360</v>
      </c>
      <c r="AX6" s="643"/>
      <c r="AZ6" s="367" t="s">
        <v>360</v>
      </c>
      <c r="BA6" s="643"/>
    </row>
    <row r="7" spans="1:53" ht="14.25">
      <c r="A7" s="81"/>
      <c r="B7" s="643" t="s">
        <v>135</v>
      </c>
      <c r="C7" s="528">
        <v>1</v>
      </c>
      <c r="D7" s="225" t="s">
        <v>566</v>
      </c>
      <c r="E7" s="565">
        <v>17</v>
      </c>
      <c r="F7" s="563">
        <v>1565</v>
      </c>
      <c r="G7" s="564">
        <v>92.058823529411768</v>
      </c>
      <c r="H7" s="656">
        <f>AVERAGE(G7:G21)</f>
        <v>89.547152194211023</v>
      </c>
      <c r="I7" s="529">
        <f t="shared" ref="I7:I20" si="0">IFERROR(AVERAGE(P7,U7,Z7,AE7,AJ7,AO7,AT7),"-")</f>
        <v>17</v>
      </c>
      <c r="J7" s="529">
        <f t="shared" ref="J7:J20" si="1">IFERROR(AVERAGE(Q7,V7,AA7,AF7,AK7,AP7,AU7),"-")</f>
        <v>1426.9449511161304</v>
      </c>
      <c r="K7" s="199">
        <f t="shared" ref="K7:K20" si="2">IFERROR(AVERAGE(R7,W7,AB7,AG7,AL7,AQ7,AV7),"-")</f>
        <v>83.937938300948844</v>
      </c>
      <c r="L7" s="658">
        <f>IFERROR(AVERAGE(K7:K21),"-")</f>
        <v>80.896252830499606</v>
      </c>
      <c r="M7" s="510">
        <f>RANK(K7, K$7:$K$21)</f>
        <v>3</v>
      </c>
      <c r="N7" s="643"/>
      <c r="O7" s="643"/>
      <c r="P7" s="576">
        <v>17</v>
      </c>
      <c r="Q7" s="578">
        <v>1432.133333333333</v>
      </c>
      <c r="R7" s="578">
        <v>84.243137254901939</v>
      </c>
      <c r="S7" s="510">
        <f t="shared" ref="S7:S21" si="3">RANK(R7, R$7:R$21)</f>
        <v>2</v>
      </c>
      <c r="T7" s="719">
        <f t="shared" ref="T7" si="4">AVERAGE(R7:R21)</f>
        <v>81.167145287264674</v>
      </c>
      <c r="U7" s="576">
        <v>17</v>
      </c>
      <c r="V7" s="578">
        <v>1433.3901639344265</v>
      </c>
      <c r="W7" s="578">
        <v>84.317068466730973</v>
      </c>
      <c r="X7" s="510">
        <f t="shared" ref="X7:X21" si="5">RANK(W7, W$7:W$21)</f>
        <v>2</v>
      </c>
      <c r="Y7" s="719">
        <f t="shared" ref="Y7" si="6">AVERAGE(W7:W21)</f>
        <v>80.722617352531842</v>
      </c>
      <c r="Z7" s="576">
        <v>17</v>
      </c>
      <c r="AA7" s="578">
        <v>1438.6363636363635</v>
      </c>
      <c r="AB7" s="578">
        <v>84.62566844919786</v>
      </c>
      <c r="AC7" s="510">
        <f t="shared" ref="AC7:AC21" si="7">RANK(AB7, AB$7:AB$21)</f>
        <v>2</v>
      </c>
      <c r="AD7" s="719">
        <f t="shared" ref="AD7" si="8">AVERAGE(AB7:AB21)</f>
        <v>80.682987662688646</v>
      </c>
      <c r="AE7" s="576">
        <v>17</v>
      </c>
      <c r="AF7" s="578">
        <v>1449.4117647058818</v>
      </c>
      <c r="AG7" s="578">
        <v>85.259515570934227</v>
      </c>
      <c r="AH7" s="510">
        <f t="shared" ref="AH7:AH21" si="9">RANK(AG7, AG$7:AG$21)</f>
        <v>2</v>
      </c>
      <c r="AI7" s="719">
        <f t="shared" ref="AI7" si="10">AVERAGE(AG7:AG21)</f>
        <v>81.14188248006225</v>
      </c>
      <c r="AJ7" s="576">
        <v>17</v>
      </c>
      <c r="AK7" s="578">
        <v>1432.2727272727273</v>
      </c>
      <c r="AL7" s="578">
        <v>84.251336898395721</v>
      </c>
      <c r="AM7" s="510">
        <f t="shared" ref="AM7:AM21" si="11">RANK(AL7, AL$7:AL$21)</f>
        <v>3</v>
      </c>
      <c r="AN7" s="719">
        <f t="shared" ref="AN7" si="12">AVERAGE(AL7:AL21)</f>
        <v>80.486693842246979</v>
      </c>
      <c r="AO7" s="576">
        <v>17</v>
      </c>
      <c r="AP7" s="578">
        <v>1424.5289256198339</v>
      </c>
      <c r="AQ7" s="578">
        <v>83.795819154107875</v>
      </c>
      <c r="AR7" s="510">
        <f t="shared" ref="AR7:AR21" si="13">RANK(AQ7, AQ$7:AQ$21)</f>
        <v>3</v>
      </c>
      <c r="AS7" s="719">
        <f t="shared" ref="AS7" si="14">AVERAGE(AQ7:AQ21)</f>
        <v>81.253426803283091</v>
      </c>
      <c r="AT7" s="576">
        <v>17</v>
      </c>
      <c r="AU7" s="578">
        <v>1378.2413793103458</v>
      </c>
      <c r="AV7" s="578">
        <v>81.073022312373283</v>
      </c>
      <c r="AW7" s="510">
        <f t="shared" ref="AW7:AW21" si="15">RANK(AV7, AV$7:AV$21)</f>
        <v>3</v>
      </c>
      <c r="AX7" s="719">
        <f t="shared" ref="AX7" si="16">AVERAGE(AV7:AV21)</f>
        <v>80.819016385419744</v>
      </c>
      <c r="AZ7" s="370" t="e">
        <f t="shared" ref="AZ7:AZ21" si="17">RANK(AY7, AY$7:AY$21)</f>
        <v>#N/A</v>
      </c>
      <c r="BA7" s="719" t="e">
        <f t="shared" ref="BA7" si="18">AVERAGE(AY7:AY21)</f>
        <v>#DIV/0!</v>
      </c>
    </row>
    <row r="8" spans="1:53" ht="15" customHeight="1">
      <c r="A8" s="81"/>
      <c r="B8" s="678"/>
      <c r="C8" s="528">
        <v>2</v>
      </c>
      <c r="D8" s="225" t="s">
        <v>587</v>
      </c>
      <c r="E8" s="565">
        <v>18</v>
      </c>
      <c r="F8" s="563">
        <v>1565</v>
      </c>
      <c r="G8" s="564">
        <v>86.944444444444443</v>
      </c>
      <c r="H8" s="657"/>
      <c r="I8" s="529">
        <f t="shared" si="0"/>
        <v>18</v>
      </c>
      <c r="J8" s="529">
        <f t="shared" si="1"/>
        <v>1430.1257080824944</v>
      </c>
      <c r="K8" s="199">
        <f t="shared" si="2"/>
        <v>79.451428226805234</v>
      </c>
      <c r="L8" s="659"/>
      <c r="M8" s="510">
        <f>RANK(K8, K$7:$K$21)</f>
        <v>4</v>
      </c>
      <c r="N8" s="643"/>
      <c r="O8" s="643"/>
      <c r="P8" s="576">
        <v>18</v>
      </c>
      <c r="Q8" s="578">
        <v>1428.1142857142852</v>
      </c>
      <c r="R8" s="578">
        <v>79.339682539682514</v>
      </c>
      <c r="S8" s="510">
        <f t="shared" si="3"/>
        <v>5</v>
      </c>
      <c r="T8" s="720"/>
      <c r="U8" s="576">
        <v>18</v>
      </c>
      <c r="V8" s="578">
        <v>1417.0588235294117</v>
      </c>
      <c r="W8" s="578">
        <v>78.725490196078425</v>
      </c>
      <c r="X8" s="510">
        <f t="shared" si="5"/>
        <v>4</v>
      </c>
      <c r="Y8" s="720"/>
      <c r="Z8" s="576">
        <v>18</v>
      </c>
      <c r="AA8" s="578">
        <v>1428.9230769230765</v>
      </c>
      <c r="AB8" s="578">
        <v>79.384615384615358</v>
      </c>
      <c r="AC8" s="510">
        <f t="shared" si="7"/>
        <v>4</v>
      </c>
      <c r="AD8" s="720"/>
      <c r="AE8" s="576">
        <v>18</v>
      </c>
      <c r="AF8" s="578">
        <v>1424.6511627906975</v>
      </c>
      <c r="AG8" s="578">
        <v>79.147286821705421</v>
      </c>
      <c r="AH8" s="510">
        <f t="shared" si="9"/>
        <v>4</v>
      </c>
      <c r="AI8" s="720"/>
      <c r="AJ8" s="576">
        <v>18</v>
      </c>
      <c r="AK8" s="578">
        <v>1419.5744680851067</v>
      </c>
      <c r="AL8" s="578">
        <v>78.865248226950371</v>
      </c>
      <c r="AM8" s="510">
        <f t="shared" si="11"/>
        <v>4</v>
      </c>
      <c r="AN8" s="720"/>
      <c r="AO8" s="576">
        <v>18</v>
      </c>
      <c r="AP8" s="578">
        <v>1440</v>
      </c>
      <c r="AQ8" s="578">
        <v>80</v>
      </c>
      <c r="AR8" s="510">
        <f t="shared" si="13"/>
        <v>4</v>
      </c>
      <c r="AS8" s="720"/>
      <c r="AT8" s="576">
        <v>18</v>
      </c>
      <c r="AU8" s="578">
        <v>1452.5581395348834</v>
      </c>
      <c r="AV8" s="578">
        <v>80.697674418604635</v>
      </c>
      <c r="AW8" s="510">
        <f t="shared" si="15"/>
        <v>4</v>
      </c>
      <c r="AX8" s="720"/>
      <c r="AZ8" s="370" t="e">
        <f t="shared" si="17"/>
        <v>#N/A</v>
      </c>
      <c r="BA8" s="720"/>
    </row>
    <row r="9" spans="1:53" ht="14.25">
      <c r="A9" s="81"/>
      <c r="B9" s="678"/>
      <c r="C9" s="528">
        <v>3</v>
      </c>
      <c r="D9" s="225" t="s">
        <v>592</v>
      </c>
      <c r="E9" s="565">
        <v>17</v>
      </c>
      <c r="F9" s="563">
        <v>1565</v>
      </c>
      <c r="G9" s="564">
        <v>92.058823529411768</v>
      </c>
      <c r="H9" s="657"/>
      <c r="I9" s="529">
        <f t="shared" si="0"/>
        <v>17</v>
      </c>
      <c r="J9" s="529">
        <f t="shared" si="1"/>
        <v>1443.162331676541</v>
      </c>
      <c r="K9" s="199">
        <f t="shared" si="2"/>
        <v>84.891901863325955</v>
      </c>
      <c r="L9" s="659"/>
      <c r="M9" s="510">
        <f>RANK(K9, K$7:$K$21)</f>
        <v>2</v>
      </c>
      <c r="N9" s="643"/>
      <c r="O9" s="643"/>
      <c r="P9" s="576">
        <v>17</v>
      </c>
      <c r="Q9" s="578">
        <v>1427.3684210526312</v>
      </c>
      <c r="R9" s="578">
        <v>83.962848297213597</v>
      </c>
      <c r="S9" s="510">
        <f t="shared" si="3"/>
        <v>3</v>
      </c>
      <c r="T9" s="720"/>
      <c r="U9" s="576">
        <v>17</v>
      </c>
      <c r="V9" s="578">
        <v>1422.2535211267607</v>
      </c>
      <c r="W9" s="578">
        <v>83.661971830985919</v>
      </c>
      <c r="X9" s="510">
        <f t="shared" si="5"/>
        <v>3</v>
      </c>
      <c r="Y9" s="720"/>
      <c r="Z9" s="576">
        <v>17</v>
      </c>
      <c r="AA9" s="578">
        <v>1440.9230769230767</v>
      </c>
      <c r="AB9" s="578">
        <v>84.760180995475096</v>
      </c>
      <c r="AC9" s="510">
        <f t="shared" si="7"/>
        <v>1</v>
      </c>
      <c r="AD9" s="720"/>
      <c r="AE9" s="576">
        <v>17</v>
      </c>
      <c r="AF9" s="578">
        <v>1432.6530612244901</v>
      </c>
      <c r="AG9" s="578">
        <v>84.273709483793539</v>
      </c>
      <c r="AH9" s="510">
        <f t="shared" si="9"/>
        <v>3</v>
      </c>
      <c r="AI9" s="720"/>
      <c r="AJ9" s="576">
        <v>17</v>
      </c>
      <c r="AK9" s="578">
        <v>1449.2307692307688</v>
      </c>
      <c r="AL9" s="578">
        <v>85.248868778280524</v>
      </c>
      <c r="AM9" s="510">
        <f t="shared" si="11"/>
        <v>2</v>
      </c>
      <c r="AN9" s="720"/>
      <c r="AO9" s="576">
        <v>17</v>
      </c>
      <c r="AP9" s="578">
        <v>1458.6486486486492</v>
      </c>
      <c r="AQ9" s="578">
        <v>85.802861685214665</v>
      </c>
      <c r="AR9" s="510">
        <f t="shared" si="13"/>
        <v>1</v>
      </c>
      <c r="AS9" s="720"/>
      <c r="AT9" s="576">
        <v>17</v>
      </c>
      <c r="AU9" s="578">
        <v>1471.0588235294099</v>
      </c>
      <c r="AV9" s="578">
        <v>86.532871972318233</v>
      </c>
      <c r="AW9" s="510">
        <f t="shared" si="15"/>
        <v>1</v>
      </c>
      <c r="AX9" s="720"/>
      <c r="AZ9" s="370" t="e">
        <f t="shared" si="17"/>
        <v>#N/A</v>
      </c>
      <c r="BA9" s="720"/>
    </row>
    <row r="10" spans="1:53" ht="14.25">
      <c r="A10" s="81"/>
      <c r="B10" s="678"/>
      <c r="C10" s="528">
        <v>4</v>
      </c>
      <c r="D10" s="225" t="s">
        <v>664</v>
      </c>
      <c r="E10" s="565">
        <v>17</v>
      </c>
      <c r="F10" s="563">
        <v>1565</v>
      </c>
      <c r="G10" s="564">
        <v>92.058823529411768</v>
      </c>
      <c r="H10" s="657"/>
      <c r="I10" s="529">
        <f t="shared" si="0"/>
        <v>17</v>
      </c>
      <c r="J10" s="529">
        <f t="shared" si="1"/>
        <v>1323.412475698183</v>
      </c>
      <c r="K10" s="199">
        <f t="shared" si="2"/>
        <v>77.847792688128393</v>
      </c>
      <c r="L10" s="659"/>
      <c r="M10" s="510">
        <f>RANK(K10, K$7:$K$21)</f>
        <v>6</v>
      </c>
      <c r="N10" s="643"/>
      <c r="O10" s="643"/>
      <c r="P10" s="576">
        <v>17</v>
      </c>
      <c r="Q10" s="578">
        <v>1333.5</v>
      </c>
      <c r="R10" s="578">
        <v>78.441176470588232</v>
      </c>
      <c r="S10" s="510">
        <f t="shared" si="3"/>
        <v>6</v>
      </c>
      <c r="T10" s="720"/>
      <c r="U10" s="576">
        <v>17</v>
      </c>
      <c r="V10" s="578">
        <v>1319.9999999999998</v>
      </c>
      <c r="W10" s="578">
        <v>77.647058823529392</v>
      </c>
      <c r="X10" s="510">
        <f t="shared" si="5"/>
        <v>6</v>
      </c>
      <c r="Y10" s="720"/>
      <c r="Z10" s="576">
        <v>17</v>
      </c>
      <c r="AA10" s="578">
        <v>1320.8955223880598</v>
      </c>
      <c r="AB10" s="578">
        <v>77.699736611062349</v>
      </c>
      <c r="AC10" s="510">
        <f t="shared" si="7"/>
        <v>6</v>
      </c>
      <c r="AD10" s="720"/>
      <c r="AE10" s="576">
        <v>17</v>
      </c>
      <c r="AF10" s="578">
        <v>1321.2765957446811</v>
      </c>
      <c r="AG10" s="578">
        <v>77.722152690863595</v>
      </c>
      <c r="AH10" s="510">
        <f t="shared" si="9"/>
        <v>6</v>
      </c>
      <c r="AI10" s="720"/>
      <c r="AJ10" s="576">
        <v>17</v>
      </c>
      <c r="AK10" s="578">
        <v>1295.7692307692314</v>
      </c>
      <c r="AL10" s="578">
        <v>76.221719457013606</v>
      </c>
      <c r="AM10" s="510">
        <f t="shared" si="11"/>
        <v>6</v>
      </c>
      <c r="AN10" s="720"/>
      <c r="AO10" s="576">
        <v>17</v>
      </c>
      <c r="AP10" s="578">
        <v>1326.1538461538462</v>
      </c>
      <c r="AQ10" s="578">
        <v>78.009049773755663</v>
      </c>
      <c r="AR10" s="510">
        <f t="shared" si="13"/>
        <v>6</v>
      </c>
      <c r="AS10" s="720"/>
      <c r="AT10" s="576">
        <v>17</v>
      </c>
      <c r="AU10" s="578">
        <v>1346.2921348314608</v>
      </c>
      <c r="AV10" s="578">
        <v>79.193654990085932</v>
      </c>
      <c r="AW10" s="510">
        <f t="shared" si="15"/>
        <v>5</v>
      </c>
      <c r="AX10" s="720"/>
      <c r="AZ10" s="370" t="e">
        <f t="shared" si="17"/>
        <v>#N/A</v>
      </c>
      <c r="BA10" s="720"/>
    </row>
    <row r="11" spans="1:53" ht="14.25">
      <c r="A11" s="81"/>
      <c r="B11" s="678"/>
      <c r="C11" s="528">
        <v>5</v>
      </c>
      <c r="D11" s="225" t="s">
        <v>701</v>
      </c>
      <c r="E11" s="565">
        <v>17</v>
      </c>
      <c r="F11" s="563">
        <v>1565</v>
      </c>
      <c r="G11" s="564">
        <v>92.058823529411768</v>
      </c>
      <c r="H11" s="657"/>
      <c r="I11" s="529">
        <f t="shared" si="0"/>
        <v>17</v>
      </c>
      <c r="J11" s="529">
        <f t="shared" si="1"/>
        <v>1452.2220725610293</v>
      </c>
      <c r="K11" s="199">
        <f t="shared" si="2"/>
        <v>85.424827797707607</v>
      </c>
      <c r="L11" s="659"/>
      <c r="M11" s="510">
        <f>RANK(K11, K$7:$K$21)</f>
        <v>1</v>
      </c>
      <c r="N11" s="643"/>
      <c r="O11" s="643"/>
      <c r="P11" s="576">
        <v>17</v>
      </c>
      <c r="Q11" s="578">
        <v>1461.6461538461535</v>
      </c>
      <c r="R11" s="578">
        <v>85.979185520361966</v>
      </c>
      <c r="S11" s="510">
        <f t="shared" si="3"/>
        <v>1</v>
      </c>
      <c r="T11" s="720"/>
      <c r="U11" s="576">
        <v>17</v>
      </c>
      <c r="V11" s="578">
        <v>1456.2947368421053</v>
      </c>
      <c r="W11" s="578">
        <v>85.664396284829721</v>
      </c>
      <c r="X11" s="510">
        <f t="shared" si="5"/>
        <v>1</v>
      </c>
      <c r="Y11" s="720"/>
      <c r="Z11" s="576">
        <v>17</v>
      </c>
      <c r="AA11" s="578">
        <v>1427.3207547169811</v>
      </c>
      <c r="AB11" s="578">
        <v>83.96004439511654</v>
      </c>
      <c r="AC11" s="510">
        <f t="shared" si="7"/>
        <v>3</v>
      </c>
      <c r="AD11" s="720"/>
      <c r="AE11" s="576">
        <v>17</v>
      </c>
      <c r="AF11" s="578">
        <v>1455.0000000000002</v>
      </c>
      <c r="AG11" s="578">
        <v>85.588235294117666</v>
      </c>
      <c r="AH11" s="510">
        <f t="shared" si="9"/>
        <v>1</v>
      </c>
      <c r="AI11" s="720"/>
      <c r="AJ11" s="576">
        <v>17</v>
      </c>
      <c r="AK11" s="578">
        <v>1460.5405405405404</v>
      </c>
      <c r="AL11" s="578">
        <v>85.9141494435612</v>
      </c>
      <c r="AM11" s="510">
        <f t="shared" si="11"/>
        <v>1</v>
      </c>
      <c r="AN11" s="720"/>
      <c r="AO11" s="576">
        <v>17</v>
      </c>
      <c r="AP11" s="578">
        <v>1457.64705882353</v>
      </c>
      <c r="AQ11" s="578">
        <v>85.743944636678236</v>
      </c>
      <c r="AR11" s="510">
        <f t="shared" si="13"/>
        <v>2</v>
      </c>
      <c r="AS11" s="720"/>
      <c r="AT11" s="576">
        <v>17</v>
      </c>
      <c r="AU11" s="578">
        <v>1447.105263157895</v>
      </c>
      <c r="AV11" s="578">
        <v>85.123839009287948</v>
      </c>
      <c r="AW11" s="510">
        <f t="shared" si="15"/>
        <v>2</v>
      </c>
      <c r="AX11" s="720"/>
      <c r="AZ11" s="370" t="e">
        <f t="shared" si="17"/>
        <v>#N/A</v>
      </c>
      <c r="BA11" s="720"/>
    </row>
    <row r="12" spans="1:53" ht="14.25">
      <c r="A12" s="81"/>
      <c r="B12" s="678"/>
      <c r="C12" s="528">
        <v>6</v>
      </c>
      <c r="D12" s="225" t="s">
        <v>704</v>
      </c>
      <c r="E12" s="565">
        <v>17</v>
      </c>
      <c r="F12" s="563">
        <v>1440</v>
      </c>
      <c r="G12" s="564">
        <v>84.705882352941174</v>
      </c>
      <c r="H12" s="657"/>
      <c r="I12" s="529">
        <f t="shared" si="0"/>
        <v>17</v>
      </c>
      <c r="J12" s="529">
        <f t="shared" si="1"/>
        <v>1295.5077974545075</v>
      </c>
      <c r="K12" s="199">
        <f t="shared" si="2"/>
        <v>76.206341026735728</v>
      </c>
      <c r="L12" s="659"/>
      <c r="M12" s="510">
        <f>RANK(K12, K$7:$K$21)</f>
        <v>7</v>
      </c>
      <c r="N12" s="643"/>
      <c r="O12" s="643"/>
      <c r="P12" s="576">
        <v>17</v>
      </c>
      <c r="Q12" s="578">
        <v>1286.2499999999982</v>
      </c>
      <c r="R12" s="578">
        <v>75.661764705882248</v>
      </c>
      <c r="S12" s="510">
        <f t="shared" si="3"/>
        <v>7</v>
      </c>
      <c r="T12" s="720"/>
      <c r="U12" s="576">
        <v>17</v>
      </c>
      <c r="V12" s="578">
        <v>1313.0232558139533</v>
      </c>
      <c r="W12" s="578">
        <v>77.236662106703136</v>
      </c>
      <c r="X12" s="510">
        <f t="shared" si="5"/>
        <v>7</v>
      </c>
      <c r="Y12" s="720"/>
      <c r="Z12" s="576">
        <v>17</v>
      </c>
      <c r="AA12" s="578">
        <v>1301.7391304347825</v>
      </c>
      <c r="AB12" s="578">
        <v>76.572890025575447</v>
      </c>
      <c r="AC12" s="510">
        <f t="shared" si="7"/>
        <v>7</v>
      </c>
      <c r="AD12" s="720"/>
      <c r="AE12" s="576">
        <v>17</v>
      </c>
      <c r="AF12" s="578">
        <v>1311.5789473684201</v>
      </c>
      <c r="AG12" s="578">
        <v>77.151702786377655</v>
      </c>
      <c r="AH12" s="510">
        <f t="shared" si="9"/>
        <v>7</v>
      </c>
      <c r="AI12" s="720"/>
      <c r="AJ12" s="576">
        <v>17</v>
      </c>
      <c r="AK12" s="578">
        <v>1266.5217391304348</v>
      </c>
      <c r="AL12" s="578">
        <v>74.501278772378512</v>
      </c>
      <c r="AM12" s="510">
        <f t="shared" si="11"/>
        <v>7</v>
      </c>
      <c r="AN12" s="720"/>
      <c r="AO12" s="576">
        <v>17</v>
      </c>
      <c r="AP12" s="578">
        <v>1306.8000000000002</v>
      </c>
      <c r="AQ12" s="578">
        <v>76.870588235294122</v>
      </c>
      <c r="AR12" s="510">
        <f t="shared" si="13"/>
        <v>7</v>
      </c>
      <c r="AS12" s="720"/>
      <c r="AT12" s="576">
        <v>17</v>
      </c>
      <c r="AU12" s="578">
        <v>1282.6415094339629</v>
      </c>
      <c r="AV12" s="578">
        <v>75.449500554938993</v>
      </c>
      <c r="AW12" s="510">
        <f t="shared" si="15"/>
        <v>7</v>
      </c>
      <c r="AX12" s="720"/>
      <c r="AZ12" s="370" t="e">
        <f t="shared" si="17"/>
        <v>#N/A</v>
      </c>
      <c r="BA12" s="720"/>
    </row>
    <row r="13" spans="1:53" ht="14.25">
      <c r="A13" s="81"/>
      <c r="B13" s="678"/>
      <c r="C13" s="528">
        <v>7</v>
      </c>
      <c r="D13" s="225" t="s">
        <v>718</v>
      </c>
      <c r="E13" s="565">
        <v>18</v>
      </c>
      <c r="F13" s="563">
        <v>1565</v>
      </c>
      <c r="G13" s="564">
        <v>86.944444444444443</v>
      </c>
      <c r="H13" s="657"/>
      <c r="I13" s="529">
        <f t="shared" si="0"/>
        <v>18</v>
      </c>
      <c r="J13" s="529">
        <f t="shared" si="1"/>
        <v>1413.2437183772179</v>
      </c>
      <c r="K13" s="199">
        <f t="shared" si="2"/>
        <v>78.513539909845449</v>
      </c>
      <c r="L13" s="659"/>
      <c r="M13" s="510">
        <f>RANK(K13, K$7:$K$21)</f>
        <v>5</v>
      </c>
      <c r="N13" s="643"/>
      <c r="O13" s="643"/>
      <c r="P13" s="576">
        <v>18</v>
      </c>
      <c r="Q13" s="578">
        <v>1449.7599999999989</v>
      </c>
      <c r="R13" s="578">
        <v>80.542222222222165</v>
      </c>
      <c r="S13" s="510">
        <f t="shared" si="3"/>
        <v>4</v>
      </c>
      <c r="T13" s="720"/>
      <c r="U13" s="576">
        <v>18</v>
      </c>
      <c r="V13" s="578">
        <v>1400.5021276595746</v>
      </c>
      <c r="W13" s="578">
        <v>77.805673758865254</v>
      </c>
      <c r="X13" s="510">
        <f t="shared" si="5"/>
        <v>5</v>
      </c>
      <c r="Y13" s="720"/>
      <c r="Z13" s="576">
        <v>18</v>
      </c>
      <c r="AA13" s="578">
        <v>1399.9999999999998</v>
      </c>
      <c r="AB13" s="578">
        <v>77.777777777777771</v>
      </c>
      <c r="AC13" s="510">
        <f t="shared" si="7"/>
        <v>5</v>
      </c>
      <c r="AD13" s="720"/>
      <c r="AE13" s="576">
        <v>18</v>
      </c>
      <c r="AF13" s="578">
        <v>1419.3103448275865</v>
      </c>
      <c r="AG13" s="578">
        <v>78.850574712643692</v>
      </c>
      <c r="AH13" s="510">
        <f t="shared" si="9"/>
        <v>5</v>
      </c>
      <c r="AI13" s="720"/>
      <c r="AJ13" s="576">
        <v>18</v>
      </c>
      <c r="AK13" s="578">
        <v>1411.2765957446804</v>
      </c>
      <c r="AL13" s="578">
        <v>78.404255319148916</v>
      </c>
      <c r="AM13" s="510">
        <f t="shared" si="11"/>
        <v>5</v>
      </c>
      <c r="AN13" s="720"/>
      <c r="AO13" s="576">
        <v>18</v>
      </c>
      <c r="AP13" s="578">
        <v>1413.9310344827591</v>
      </c>
      <c r="AQ13" s="578">
        <v>78.55172413793106</v>
      </c>
      <c r="AR13" s="510">
        <f t="shared" si="13"/>
        <v>5</v>
      </c>
      <c r="AS13" s="720"/>
      <c r="AT13" s="576">
        <v>18</v>
      </c>
      <c r="AU13" s="578">
        <v>1397.9259259259254</v>
      </c>
      <c r="AV13" s="578">
        <v>77.662551440329196</v>
      </c>
      <c r="AW13" s="510">
        <f t="shared" si="15"/>
        <v>6</v>
      </c>
      <c r="AX13" s="720"/>
      <c r="AZ13" s="370" t="e">
        <f t="shared" si="17"/>
        <v>#N/A</v>
      </c>
      <c r="BA13" s="720"/>
    </row>
    <row r="14" spans="1:53" ht="14.25">
      <c r="A14" s="81"/>
      <c r="B14" s="678"/>
      <c r="C14" s="528">
        <v>8</v>
      </c>
      <c r="D14" s="225"/>
      <c r="E14" s="565"/>
      <c r="F14" s="563"/>
      <c r="G14" s="564"/>
      <c r="H14" s="657"/>
      <c r="I14" s="529" t="str">
        <f t="shared" si="0"/>
        <v>-</v>
      </c>
      <c r="J14" s="529" t="str">
        <f t="shared" si="1"/>
        <v>-</v>
      </c>
      <c r="K14" s="199" t="str">
        <f t="shared" si="2"/>
        <v>-</v>
      </c>
      <c r="L14" s="659"/>
      <c r="M14" s="510" t="e">
        <f>RANK(K14, K$7:$K$21)</f>
        <v>#VALUE!</v>
      </c>
      <c r="N14" s="643"/>
      <c r="O14" s="643"/>
      <c r="P14" s="576" t="s">
        <v>564</v>
      </c>
      <c r="Q14" s="578" t="s">
        <v>564</v>
      </c>
      <c r="R14" s="578" t="s">
        <v>564</v>
      </c>
      <c r="S14" s="510" t="e">
        <f t="shared" si="3"/>
        <v>#VALUE!</v>
      </c>
      <c r="T14" s="720"/>
      <c r="U14" s="576" t="s">
        <v>564</v>
      </c>
      <c r="V14" s="578" t="s">
        <v>564</v>
      </c>
      <c r="W14" s="578" t="s">
        <v>564</v>
      </c>
      <c r="X14" s="510" t="e">
        <f t="shared" si="5"/>
        <v>#VALUE!</v>
      </c>
      <c r="Y14" s="720"/>
      <c r="Z14" s="576" t="s">
        <v>564</v>
      </c>
      <c r="AA14" s="578" t="s">
        <v>564</v>
      </c>
      <c r="AB14" s="578" t="s">
        <v>564</v>
      </c>
      <c r="AC14" s="510" t="e">
        <f t="shared" si="7"/>
        <v>#VALUE!</v>
      </c>
      <c r="AD14" s="720"/>
      <c r="AE14" s="576" t="s">
        <v>564</v>
      </c>
      <c r="AF14" s="578" t="s">
        <v>564</v>
      </c>
      <c r="AG14" s="578" t="s">
        <v>564</v>
      </c>
      <c r="AH14" s="510" t="e">
        <f t="shared" si="9"/>
        <v>#VALUE!</v>
      </c>
      <c r="AI14" s="720"/>
      <c r="AJ14" s="576" t="s">
        <v>564</v>
      </c>
      <c r="AK14" s="578" t="s">
        <v>564</v>
      </c>
      <c r="AL14" s="578" t="s">
        <v>564</v>
      </c>
      <c r="AM14" s="510" t="e">
        <f t="shared" si="11"/>
        <v>#VALUE!</v>
      </c>
      <c r="AN14" s="720"/>
      <c r="AO14" s="576" t="s">
        <v>564</v>
      </c>
      <c r="AP14" s="578" t="s">
        <v>564</v>
      </c>
      <c r="AQ14" s="578" t="s">
        <v>564</v>
      </c>
      <c r="AR14" s="510" t="e">
        <f t="shared" si="13"/>
        <v>#VALUE!</v>
      </c>
      <c r="AS14" s="720"/>
      <c r="AT14" s="576" t="s">
        <v>564</v>
      </c>
      <c r="AU14" s="578" t="s">
        <v>564</v>
      </c>
      <c r="AV14" s="578" t="s">
        <v>564</v>
      </c>
      <c r="AW14" s="510" t="e">
        <f t="shared" si="15"/>
        <v>#VALUE!</v>
      </c>
      <c r="AX14" s="720"/>
      <c r="AZ14" s="370" t="e">
        <f t="shared" si="17"/>
        <v>#N/A</v>
      </c>
      <c r="BA14" s="720"/>
    </row>
    <row r="15" spans="1:53" ht="14.25">
      <c r="A15" s="81"/>
      <c r="B15" s="678"/>
      <c r="C15" s="528">
        <v>9</v>
      </c>
      <c r="D15" s="225"/>
      <c r="E15" s="565"/>
      <c r="F15" s="563"/>
      <c r="G15" s="564"/>
      <c r="H15" s="657"/>
      <c r="I15" s="529" t="str">
        <f t="shared" si="0"/>
        <v>-</v>
      </c>
      <c r="J15" s="529" t="str">
        <f t="shared" si="1"/>
        <v>-</v>
      </c>
      <c r="K15" s="199" t="str">
        <f t="shared" si="2"/>
        <v>-</v>
      </c>
      <c r="L15" s="659"/>
      <c r="M15" s="510" t="e">
        <f>RANK(K15, K$7:$K$21)</f>
        <v>#VALUE!</v>
      </c>
      <c r="N15" s="643"/>
      <c r="O15" s="643"/>
      <c r="P15" s="576" t="s">
        <v>564</v>
      </c>
      <c r="Q15" s="578" t="s">
        <v>564</v>
      </c>
      <c r="R15" s="578" t="s">
        <v>564</v>
      </c>
      <c r="S15" s="510" t="e">
        <f t="shared" si="3"/>
        <v>#VALUE!</v>
      </c>
      <c r="T15" s="720"/>
      <c r="U15" s="576" t="s">
        <v>564</v>
      </c>
      <c r="V15" s="578" t="s">
        <v>564</v>
      </c>
      <c r="W15" s="578" t="s">
        <v>564</v>
      </c>
      <c r="X15" s="510" t="e">
        <f t="shared" si="5"/>
        <v>#VALUE!</v>
      </c>
      <c r="Y15" s="720"/>
      <c r="Z15" s="576" t="s">
        <v>564</v>
      </c>
      <c r="AA15" s="578" t="s">
        <v>564</v>
      </c>
      <c r="AB15" s="578" t="s">
        <v>564</v>
      </c>
      <c r="AC15" s="510" t="e">
        <f t="shared" si="7"/>
        <v>#VALUE!</v>
      </c>
      <c r="AD15" s="720"/>
      <c r="AE15" s="576" t="s">
        <v>564</v>
      </c>
      <c r="AF15" s="578" t="s">
        <v>564</v>
      </c>
      <c r="AG15" s="578" t="s">
        <v>564</v>
      </c>
      <c r="AH15" s="510" t="e">
        <f t="shared" si="9"/>
        <v>#VALUE!</v>
      </c>
      <c r="AI15" s="720"/>
      <c r="AJ15" s="576" t="s">
        <v>564</v>
      </c>
      <c r="AK15" s="578" t="s">
        <v>564</v>
      </c>
      <c r="AL15" s="578" t="s">
        <v>564</v>
      </c>
      <c r="AM15" s="510" t="e">
        <f t="shared" si="11"/>
        <v>#VALUE!</v>
      </c>
      <c r="AN15" s="720"/>
      <c r="AO15" s="576" t="s">
        <v>564</v>
      </c>
      <c r="AP15" s="578" t="s">
        <v>564</v>
      </c>
      <c r="AQ15" s="578" t="s">
        <v>564</v>
      </c>
      <c r="AR15" s="510" t="e">
        <f t="shared" si="13"/>
        <v>#VALUE!</v>
      </c>
      <c r="AS15" s="720"/>
      <c r="AT15" s="576" t="s">
        <v>564</v>
      </c>
      <c r="AU15" s="578" t="s">
        <v>564</v>
      </c>
      <c r="AV15" s="578" t="s">
        <v>564</v>
      </c>
      <c r="AW15" s="510" t="e">
        <f t="shared" si="15"/>
        <v>#VALUE!</v>
      </c>
      <c r="AX15" s="720"/>
      <c r="AZ15" s="370" t="e">
        <f t="shared" si="17"/>
        <v>#N/A</v>
      </c>
      <c r="BA15" s="720"/>
    </row>
    <row r="16" spans="1:53" ht="14.25">
      <c r="A16" s="81"/>
      <c r="B16" s="678"/>
      <c r="C16" s="528">
        <v>10</v>
      </c>
      <c r="D16" s="225"/>
      <c r="E16" s="565"/>
      <c r="F16" s="563"/>
      <c r="G16" s="564"/>
      <c r="H16" s="657"/>
      <c r="I16" s="529" t="str">
        <f t="shared" si="0"/>
        <v>-</v>
      </c>
      <c r="J16" s="529" t="str">
        <f t="shared" si="1"/>
        <v>-</v>
      </c>
      <c r="K16" s="199" t="str">
        <f t="shared" si="2"/>
        <v>-</v>
      </c>
      <c r="L16" s="659"/>
      <c r="M16" s="510" t="e">
        <f>RANK(K16, K$7:$K$21)</f>
        <v>#VALUE!</v>
      </c>
      <c r="N16" s="643"/>
      <c r="O16" s="643"/>
      <c r="P16" s="576" t="s">
        <v>564</v>
      </c>
      <c r="Q16" s="578" t="s">
        <v>564</v>
      </c>
      <c r="R16" s="578" t="s">
        <v>564</v>
      </c>
      <c r="S16" s="510" t="e">
        <f t="shared" si="3"/>
        <v>#VALUE!</v>
      </c>
      <c r="T16" s="720"/>
      <c r="U16" s="576" t="s">
        <v>564</v>
      </c>
      <c r="V16" s="578" t="s">
        <v>564</v>
      </c>
      <c r="W16" s="578" t="s">
        <v>564</v>
      </c>
      <c r="X16" s="510" t="e">
        <f t="shared" si="5"/>
        <v>#VALUE!</v>
      </c>
      <c r="Y16" s="720"/>
      <c r="Z16" s="576" t="s">
        <v>564</v>
      </c>
      <c r="AA16" s="578" t="s">
        <v>564</v>
      </c>
      <c r="AB16" s="578" t="s">
        <v>564</v>
      </c>
      <c r="AC16" s="510" t="e">
        <f t="shared" si="7"/>
        <v>#VALUE!</v>
      </c>
      <c r="AD16" s="720"/>
      <c r="AE16" s="576" t="s">
        <v>564</v>
      </c>
      <c r="AF16" s="578" t="s">
        <v>564</v>
      </c>
      <c r="AG16" s="578" t="s">
        <v>564</v>
      </c>
      <c r="AH16" s="510" t="e">
        <f t="shared" si="9"/>
        <v>#VALUE!</v>
      </c>
      <c r="AI16" s="720"/>
      <c r="AJ16" s="576" t="s">
        <v>564</v>
      </c>
      <c r="AK16" s="578" t="s">
        <v>564</v>
      </c>
      <c r="AL16" s="578" t="s">
        <v>564</v>
      </c>
      <c r="AM16" s="510" t="e">
        <f t="shared" si="11"/>
        <v>#VALUE!</v>
      </c>
      <c r="AN16" s="720"/>
      <c r="AO16" s="576" t="s">
        <v>564</v>
      </c>
      <c r="AP16" s="578" t="s">
        <v>564</v>
      </c>
      <c r="AQ16" s="578" t="s">
        <v>564</v>
      </c>
      <c r="AR16" s="510" t="e">
        <f t="shared" si="13"/>
        <v>#VALUE!</v>
      </c>
      <c r="AS16" s="720"/>
      <c r="AT16" s="576" t="s">
        <v>564</v>
      </c>
      <c r="AU16" s="578" t="s">
        <v>564</v>
      </c>
      <c r="AV16" s="578" t="s">
        <v>564</v>
      </c>
      <c r="AW16" s="510" t="e">
        <f t="shared" si="15"/>
        <v>#VALUE!</v>
      </c>
      <c r="AX16" s="720"/>
      <c r="AZ16" s="370" t="e">
        <f t="shared" si="17"/>
        <v>#N/A</v>
      </c>
      <c r="BA16" s="720"/>
    </row>
    <row r="17" spans="2:53">
      <c r="B17" s="678"/>
      <c r="C17" s="528">
        <v>11</v>
      </c>
      <c r="D17" s="225"/>
      <c r="E17" s="565"/>
      <c r="F17" s="563"/>
      <c r="G17" s="564"/>
      <c r="H17" s="657"/>
      <c r="I17" s="529" t="str">
        <f t="shared" si="0"/>
        <v>-</v>
      </c>
      <c r="J17" s="529" t="str">
        <f t="shared" si="1"/>
        <v>-</v>
      </c>
      <c r="K17" s="199" t="str">
        <f t="shared" si="2"/>
        <v>-</v>
      </c>
      <c r="L17" s="659"/>
      <c r="M17" s="510" t="e">
        <f>RANK(K17, K$7:$K$21)</f>
        <v>#VALUE!</v>
      </c>
      <c r="N17" s="643"/>
      <c r="O17" s="643"/>
      <c r="P17" s="576" t="s">
        <v>564</v>
      </c>
      <c r="Q17" s="578" t="s">
        <v>564</v>
      </c>
      <c r="R17" s="578" t="s">
        <v>564</v>
      </c>
      <c r="S17" s="510" t="e">
        <f t="shared" si="3"/>
        <v>#VALUE!</v>
      </c>
      <c r="T17" s="720"/>
      <c r="U17" s="576" t="s">
        <v>564</v>
      </c>
      <c r="V17" s="578" t="s">
        <v>564</v>
      </c>
      <c r="W17" s="578" t="s">
        <v>564</v>
      </c>
      <c r="X17" s="510" t="e">
        <f t="shared" si="5"/>
        <v>#VALUE!</v>
      </c>
      <c r="Y17" s="720"/>
      <c r="Z17" s="576" t="s">
        <v>564</v>
      </c>
      <c r="AA17" s="578" t="s">
        <v>564</v>
      </c>
      <c r="AB17" s="578" t="s">
        <v>564</v>
      </c>
      <c r="AC17" s="510" t="e">
        <f t="shared" si="7"/>
        <v>#VALUE!</v>
      </c>
      <c r="AD17" s="720"/>
      <c r="AE17" s="576" t="s">
        <v>564</v>
      </c>
      <c r="AF17" s="578" t="s">
        <v>564</v>
      </c>
      <c r="AG17" s="578" t="s">
        <v>564</v>
      </c>
      <c r="AH17" s="510" t="e">
        <f t="shared" si="9"/>
        <v>#VALUE!</v>
      </c>
      <c r="AI17" s="720"/>
      <c r="AJ17" s="576" t="s">
        <v>564</v>
      </c>
      <c r="AK17" s="578" t="s">
        <v>564</v>
      </c>
      <c r="AL17" s="578" t="s">
        <v>564</v>
      </c>
      <c r="AM17" s="510" t="e">
        <f t="shared" si="11"/>
        <v>#VALUE!</v>
      </c>
      <c r="AN17" s="720"/>
      <c r="AO17" s="576" t="s">
        <v>564</v>
      </c>
      <c r="AP17" s="578" t="s">
        <v>564</v>
      </c>
      <c r="AQ17" s="578" t="s">
        <v>564</v>
      </c>
      <c r="AR17" s="510" t="e">
        <f t="shared" si="13"/>
        <v>#VALUE!</v>
      </c>
      <c r="AS17" s="720"/>
      <c r="AT17" s="576" t="s">
        <v>564</v>
      </c>
      <c r="AU17" s="578" t="s">
        <v>564</v>
      </c>
      <c r="AV17" s="578" t="s">
        <v>564</v>
      </c>
      <c r="AW17" s="510" t="e">
        <f t="shared" si="15"/>
        <v>#VALUE!</v>
      </c>
      <c r="AX17" s="720"/>
      <c r="AZ17" s="370" t="e">
        <f t="shared" si="17"/>
        <v>#N/A</v>
      </c>
      <c r="BA17" s="720"/>
    </row>
    <row r="18" spans="2:53">
      <c r="B18" s="678"/>
      <c r="C18" s="528">
        <v>12</v>
      </c>
      <c r="D18" s="225"/>
      <c r="E18" s="565"/>
      <c r="F18" s="563"/>
      <c r="G18" s="564"/>
      <c r="H18" s="657"/>
      <c r="I18" s="529" t="str">
        <f t="shared" si="0"/>
        <v>-</v>
      </c>
      <c r="J18" s="529" t="str">
        <f t="shared" si="1"/>
        <v>-</v>
      </c>
      <c r="K18" s="199" t="str">
        <f t="shared" si="2"/>
        <v>-</v>
      </c>
      <c r="L18" s="659"/>
      <c r="M18" s="510" t="e">
        <f>RANK(K18, K$7:$K$21)</f>
        <v>#VALUE!</v>
      </c>
      <c r="N18" s="643"/>
      <c r="O18" s="643"/>
      <c r="P18" s="576" t="s">
        <v>564</v>
      </c>
      <c r="Q18" s="578" t="s">
        <v>564</v>
      </c>
      <c r="R18" s="578" t="s">
        <v>564</v>
      </c>
      <c r="S18" s="510" t="e">
        <f t="shared" si="3"/>
        <v>#VALUE!</v>
      </c>
      <c r="T18" s="720"/>
      <c r="U18" s="576" t="s">
        <v>564</v>
      </c>
      <c r="V18" s="578" t="s">
        <v>564</v>
      </c>
      <c r="W18" s="578" t="s">
        <v>564</v>
      </c>
      <c r="X18" s="510" t="e">
        <f t="shared" si="5"/>
        <v>#VALUE!</v>
      </c>
      <c r="Y18" s="720"/>
      <c r="Z18" s="576" t="s">
        <v>564</v>
      </c>
      <c r="AA18" s="578" t="s">
        <v>564</v>
      </c>
      <c r="AB18" s="578" t="s">
        <v>564</v>
      </c>
      <c r="AC18" s="510" t="e">
        <f t="shared" si="7"/>
        <v>#VALUE!</v>
      </c>
      <c r="AD18" s="720"/>
      <c r="AE18" s="576" t="s">
        <v>564</v>
      </c>
      <c r="AF18" s="578" t="s">
        <v>564</v>
      </c>
      <c r="AG18" s="578" t="s">
        <v>564</v>
      </c>
      <c r="AH18" s="510" t="e">
        <f t="shared" si="9"/>
        <v>#VALUE!</v>
      </c>
      <c r="AI18" s="720"/>
      <c r="AJ18" s="576" t="s">
        <v>564</v>
      </c>
      <c r="AK18" s="578" t="s">
        <v>564</v>
      </c>
      <c r="AL18" s="578" t="s">
        <v>564</v>
      </c>
      <c r="AM18" s="510" t="e">
        <f t="shared" si="11"/>
        <v>#VALUE!</v>
      </c>
      <c r="AN18" s="720"/>
      <c r="AO18" s="576" t="s">
        <v>564</v>
      </c>
      <c r="AP18" s="578" t="s">
        <v>564</v>
      </c>
      <c r="AQ18" s="578" t="s">
        <v>564</v>
      </c>
      <c r="AR18" s="510" t="e">
        <f t="shared" si="13"/>
        <v>#VALUE!</v>
      </c>
      <c r="AS18" s="720"/>
      <c r="AT18" s="576" t="s">
        <v>564</v>
      </c>
      <c r="AU18" s="578" t="s">
        <v>564</v>
      </c>
      <c r="AV18" s="578" t="s">
        <v>564</v>
      </c>
      <c r="AW18" s="510" t="e">
        <f t="shared" si="15"/>
        <v>#VALUE!</v>
      </c>
      <c r="AX18" s="720"/>
      <c r="AZ18" s="370" t="e">
        <f t="shared" si="17"/>
        <v>#N/A</v>
      </c>
      <c r="BA18" s="720"/>
    </row>
    <row r="19" spans="2:53">
      <c r="B19" s="678"/>
      <c r="C19" s="528">
        <v>13</v>
      </c>
      <c r="D19" s="225"/>
      <c r="E19" s="565"/>
      <c r="F19" s="563"/>
      <c r="G19" s="564"/>
      <c r="H19" s="657"/>
      <c r="I19" s="529" t="str">
        <f t="shared" si="0"/>
        <v>-</v>
      </c>
      <c r="J19" s="529" t="str">
        <f t="shared" si="1"/>
        <v>-</v>
      </c>
      <c r="K19" s="199" t="str">
        <f t="shared" si="2"/>
        <v>-</v>
      </c>
      <c r="L19" s="659"/>
      <c r="M19" s="510" t="e">
        <f>RANK(K19, K$7:$K$21)</f>
        <v>#VALUE!</v>
      </c>
      <c r="N19" s="643"/>
      <c r="O19" s="643"/>
      <c r="P19" s="576" t="s">
        <v>564</v>
      </c>
      <c r="Q19" s="578" t="s">
        <v>564</v>
      </c>
      <c r="R19" s="578" t="s">
        <v>564</v>
      </c>
      <c r="S19" s="510" t="e">
        <f t="shared" si="3"/>
        <v>#VALUE!</v>
      </c>
      <c r="T19" s="720"/>
      <c r="U19" s="576" t="s">
        <v>564</v>
      </c>
      <c r="V19" s="578" t="s">
        <v>564</v>
      </c>
      <c r="W19" s="578" t="s">
        <v>564</v>
      </c>
      <c r="X19" s="510" t="e">
        <f t="shared" si="5"/>
        <v>#VALUE!</v>
      </c>
      <c r="Y19" s="720"/>
      <c r="Z19" s="576" t="s">
        <v>564</v>
      </c>
      <c r="AA19" s="578" t="s">
        <v>564</v>
      </c>
      <c r="AB19" s="578" t="s">
        <v>564</v>
      </c>
      <c r="AC19" s="510" t="e">
        <f t="shared" si="7"/>
        <v>#VALUE!</v>
      </c>
      <c r="AD19" s="720"/>
      <c r="AE19" s="576" t="s">
        <v>564</v>
      </c>
      <c r="AF19" s="578" t="s">
        <v>564</v>
      </c>
      <c r="AG19" s="578" t="s">
        <v>564</v>
      </c>
      <c r="AH19" s="510" t="e">
        <f t="shared" si="9"/>
        <v>#VALUE!</v>
      </c>
      <c r="AI19" s="720"/>
      <c r="AJ19" s="576" t="s">
        <v>564</v>
      </c>
      <c r="AK19" s="578" t="s">
        <v>564</v>
      </c>
      <c r="AL19" s="578" t="s">
        <v>564</v>
      </c>
      <c r="AM19" s="510" t="e">
        <f t="shared" si="11"/>
        <v>#VALUE!</v>
      </c>
      <c r="AN19" s="720"/>
      <c r="AO19" s="576" t="s">
        <v>564</v>
      </c>
      <c r="AP19" s="578" t="s">
        <v>564</v>
      </c>
      <c r="AQ19" s="578" t="s">
        <v>564</v>
      </c>
      <c r="AR19" s="510" t="e">
        <f t="shared" si="13"/>
        <v>#VALUE!</v>
      </c>
      <c r="AS19" s="720"/>
      <c r="AT19" s="576" t="s">
        <v>564</v>
      </c>
      <c r="AU19" s="578" t="s">
        <v>564</v>
      </c>
      <c r="AV19" s="578" t="s">
        <v>564</v>
      </c>
      <c r="AW19" s="510" t="e">
        <f t="shared" si="15"/>
        <v>#VALUE!</v>
      </c>
      <c r="AX19" s="720"/>
      <c r="AZ19" s="370" t="e">
        <f t="shared" si="17"/>
        <v>#N/A</v>
      </c>
      <c r="BA19" s="720"/>
    </row>
    <row r="20" spans="2:53">
      <c r="B20" s="678"/>
      <c r="C20" s="528">
        <v>14</v>
      </c>
      <c r="D20" s="225"/>
      <c r="E20" s="565"/>
      <c r="F20" s="563"/>
      <c r="G20" s="564"/>
      <c r="H20" s="657"/>
      <c r="I20" s="529" t="str">
        <f t="shared" si="0"/>
        <v>-</v>
      </c>
      <c r="J20" s="529" t="str">
        <f t="shared" si="1"/>
        <v>-</v>
      </c>
      <c r="K20" s="199" t="str">
        <f t="shared" si="2"/>
        <v>-</v>
      </c>
      <c r="L20" s="659"/>
      <c r="M20" s="510" t="e">
        <f>RANK(K20, K$7:$K$21)</f>
        <v>#VALUE!</v>
      </c>
      <c r="N20" s="643"/>
      <c r="O20" s="643"/>
      <c r="P20" s="576" t="s">
        <v>564</v>
      </c>
      <c r="Q20" s="578" t="s">
        <v>564</v>
      </c>
      <c r="R20" s="578" t="s">
        <v>564</v>
      </c>
      <c r="S20" s="510" t="e">
        <f t="shared" si="3"/>
        <v>#VALUE!</v>
      </c>
      <c r="T20" s="720"/>
      <c r="U20" s="576" t="s">
        <v>564</v>
      </c>
      <c r="V20" s="578" t="s">
        <v>564</v>
      </c>
      <c r="W20" s="578" t="s">
        <v>564</v>
      </c>
      <c r="X20" s="510" t="e">
        <f t="shared" si="5"/>
        <v>#VALUE!</v>
      </c>
      <c r="Y20" s="720"/>
      <c r="Z20" s="576" t="s">
        <v>564</v>
      </c>
      <c r="AA20" s="578" t="s">
        <v>564</v>
      </c>
      <c r="AB20" s="578" t="s">
        <v>564</v>
      </c>
      <c r="AC20" s="510" t="e">
        <f t="shared" si="7"/>
        <v>#VALUE!</v>
      </c>
      <c r="AD20" s="720"/>
      <c r="AE20" s="576" t="s">
        <v>564</v>
      </c>
      <c r="AF20" s="578" t="s">
        <v>564</v>
      </c>
      <c r="AG20" s="578" t="s">
        <v>564</v>
      </c>
      <c r="AH20" s="510" t="e">
        <f t="shared" si="9"/>
        <v>#VALUE!</v>
      </c>
      <c r="AI20" s="720"/>
      <c r="AJ20" s="576" t="s">
        <v>564</v>
      </c>
      <c r="AK20" s="578" t="s">
        <v>564</v>
      </c>
      <c r="AL20" s="578" t="s">
        <v>564</v>
      </c>
      <c r="AM20" s="510" t="e">
        <f t="shared" si="11"/>
        <v>#VALUE!</v>
      </c>
      <c r="AN20" s="720"/>
      <c r="AO20" s="576" t="s">
        <v>564</v>
      </c>
      <c r="AP20" s="578" t="s">
        <v>564</v>
      </c>
      <c r="AQ20" s="578" t="s">
        <v>564</v>
      </c>
      <c r="AR20" s="510" t="e">
        <f t="shared" si="13"/>
        <v>#VALUE!</v>
      </c>
      <c r="AS20" s="720"/>
      <c r="AT20" s="576" t="s">
        <v>564</v>
      </c>
      <c r="AU20" s="578" t="s">
        <v>564</v>
      </c>
      <c r="AV20" s="578" t="s">
        <v>564</v>
      </c>
      <c r="AW20" s="510" t="e">
        <f t="shared" si="15"/>
        <v>#VALUE!</v>
      </c>
      <c r="AX20" s="720"/>
      <c r="AZ20" s="370" t="e">
        <f t="shared" si="17"/>
        <v>#N/A</v>
      </c>
      <c r="BA20" s="720"/>
    </row>
    <row r="21" spans="2:53">
      <c r="B21" s="678"/>
      <c r="C21" s="528">
        <v>15</v>
      </c>
      <c r="D21" s="225"/>
      <c r="E21" s="565"/>
      <c r="F21" s="563"/>
      <c r="G21" s="564"/>
      <c r="H21" s="714"/>
      <c r="I21" s="528"/>
      <c r="J21" s="528"/>
      <c r="K21" s="528"/>
      <c r="L21" s="660"/>
      <c r="M21" s="510" t="e">
        <f>RANK(K21, K$7:$K$21)</f>
        <v>#N/A</v>
      </c>
      <c r="N21" s="643"/>
      <c r="O21" s="643"/>
      <c r="P21" s="576" t="s">
        <v>564</v>
      </c>
      <c r="Q21" s="578" t="s">
        <v>564</v>
      </c>
      <c r="R21" s="578" t="s">
        <v>564</v>
      </c>
      <c r="S21" s="510" t="e">
        <f t="shared" si="3"/>
        <v>#VALUE!</v>
      </c>
      <c r="T21" s="721"/>
      <c r="U21" s="576" t="s">
        <v>564</v>
      </c>
      <c r="V21" s="578" t="s">
        <v>564</v>
      </c>
      <c r="W21" s="578" t="s">
        <v>564</v>
      </c>
      <c r="X21" s="510" t="e">
        <f t="shared" si="5"/>
        <v>#VALUE!</v>
      </c>
      <c r="Y21" s="721"/>
      <c r="Z21" s="576" t="s">
        <v>564</v>
      </c>
      <c r="AA21" s="578" t="s">
        <v>564</v>
      </c>
      <c r="AB21" s="578" t="s">
        <v>564</v>
      </c>
      <c r="AC21" s="510" t="e">
        <f t="shared" si="7"/>
        <v>#VALUE!</v>
      </c>
      <c r="AD21" s="721"/>
      <c r="AE21" s="576" t="s">
        <v>564</v>
      </c>
      <c r="AF21" s="578" t="s">
        <v>564</v>
      </c>
      <c r="AG21" s="578" t="s">
        <v>564</v>
      </c>
      <c r="AH21" s="510" t="e">
        <f t="shared" si="9"/>
        <v>#VALUE!</v>
      </c>
      <c r="AI21" s="721"/>
      <c r="AJ21" s="576" t="s">
        <v>564</v>
      </c>
      <c r="AK21" s="578" t="s">
        <v>564</v>
      </c>
      <c r="AL21" s="578" t="s">
        <v>564</v>
      </c>
      <c r="AM21" s="510" t="e">
        <f t="shared" si="11"/>
        <v>#VALUE!</v>
      </c>
      <c r="AN21" s="721"/>
      <c r="AO21" s="576" t="s">
        <v>564</v>
      </c>
      <c r="AP21" s="578" t="s">
        <v>564</v>
      </c>
      <c r="AQ21" s="578" t="s">
        <v>564</v>
      </c>
      <c r="AR21" s="510" t="e">
        <f t="shared" si="13"/>
        <v>#VALUE!</v>
      </c>
      <c r="AS21" s="721"/>
      <c r="AT21" s="576" t="s">
        <v>564</v>
      </c>
      <c r="AU21" s="578" t="s">
        <v>564</v>
      </c>
      <c r="AV21" s="578" t="s">
        <v>564</v>
      </c>
      <c r="AW21" s="510" t="e">
        <f t="shared" si="15"/>
        <v>#VALUE!</v>
      </c>
      <c r="AX21" s="721"/>
      <c r="AZ21" s="370" t="e">
        <f t="shared" si="17"/>
        <v>#N/A</v>
      </c>
      <c r="BA21" s="721"/>
    </row>
    <row r="22" spans="2:53" ht="15.75">
      <c r="B22" s="682" t="s">
        <v>162</v>
      </c>
      <c r="C22" s="683"/>
      <c r="D22" s="683"/>
      <c r="E22" s="683"/>
      <c r="F22" s="683"/>
      <c r="G22" s="683"/>
      <c r="H22" s="683"/>
      <c r="I22" s="202"/>
      <c r="J22" s="202"/>
      <c r="K22" s="202"/>
      <c r="L22" s="202"/>
      <c r="M22" s="203"/>
      <c r="N22" s="645" t="s">
        <v>156</v>
      </c>
      <c r="O22" s="645" t="s">
        <v>105</v>
      </c>
      <c r="P22" s="670">
        <f>P2+7</f>
        <v>46273</v>
      </c>
      <c r="Q22" s="649"/>
      <c r="R22" s="649"/>
      <c r="S22" s="649"/>
      <c r="T22" s="649"/>
      <c r="U22" s="667">
        <f>P22+1</f>
        <v>46274</v>
      </c>
      <c r="V22" s="668"/>
      <c r="W22" s="668"/>
      <c r="X22" s="668"/>
      <c r="Y22" s="669"/>
      <c r="Z22" s="667">
        <f>U22+1</f>
        <v>46275</v>
      </c>
      <c r="AA22" s="668"/>
      <c r="AB22" s="668"/>
      <c r="AC22" s="668"/>
      <c r="AD22" s="669"/>
      <c r="AE22" s="667">
        <f>Z22+1</f>
        <v>46276</v>
      </c>
      <c r="AF22" s="668"/>
      <c r="AG22" s="668"/>
      <c r="AH22" s="668"/>
      <c r="AI22" s="669"/>
      <c r="AJ22" s="667">
        <f>AE22+1</f>
        <v>46277</v>
      </c>
      <c r="AK22" s="668"/>
      <c r="AL22" s="668"/>
      <c r="AM22" s="668"/>
      <c r="AN22" s="669"/>
      <c r="AO22" s="667">
        <f>AJ22+1</f>
        <v>46278</v>
      </c>
      <c r="AP22" s="668"/>
      <c r="AQ22" s="668"/>
      <c r="AR22" s="668"/>
      <c r="AS22" s="669"/>
      <c r="AT22" s="667">
        <f>AO22+1</f>
        <v>46279</v>
      </c>
      <c r="AU22" s="668"/>
      <c r="AV22" s="668"/>
      <c r="AW22" s="668"/>
      <c r="AX22" s="669"/>
    </row>
    <row r="23" spans="2:53" ht="15.75">
      <c r="B23" s="674"/>
      <c r="C23" s="674"/>
      <c r="D23" s="674"/>
      <c r="E23" s="674"/>
      <c r="F23" s="674"/>
      <c r="G23" s="674"/>
      <c r="H23" s="674"/>
      <c r="I23" s="204"/>
      <c r="J23" s="204"/>
      <c r="K23" s="204"/>
      <c r="L23" s="204"/>
      <c r="M23" s="205"/>
      <c r="N23" s="647"/>
      <c r="O23" s="647"/>
      <c r="P23" s="670" t="s">
        <v>317</v>
      </c>
      <c r="Q23" s="649"/>
      <c r="R23" s="649"/>
      <c r="S23" s="649"/>
      <c r="T23" s="649"/>
      <c r="U23" s="670" t="s">
        <v>318</v>
      </c>
      <c r="V23" s="649"/>
      <c r="W23" s="649"/>
      <c r="X23" s="649"/>
      <c r="Y23" s="649"/>
      <c r="Z23" s="670" t="s">
        <v>319</v>
      </c>
      <c r="AA23" s="649"/>
      <c r="AB23" s="649"/>
      <c r="AC23" s="649"/>
      <c r="AD23" s="649"/>
      <c r="AE23" s="670" t="s">
        <v>320</v>
      </c>
      <c r="AF23" s="649"/>
      <c r="AG23" s="649"/>
      <c r="AH23" s="649"/>
      <c r="AI23" s="649"/>
      <c r="AJ23" s="670" t="s">
        <v>321</v>
      </c>
      <c r="AK23" s="649"/>
      <c r="AL23" s="649"/>
      <c r="AM23" s="649"/>
      <c r="AN23" s="649"/>
      <c r="AO23" s="670" t="s">
        <v>322</v>
      </c>
      <c r="AP23" s="649"/>
      <c r="AQ23" s="649"/>
      <c r="AR23" s="649"/>
      <c r="AS23" s="649"/>
      <c r="AT23" s="670" t="s">
        <v>323</v>
      </c>
      <c r="AU23" s="649"/>
      <c r="AV23" s="649"/>
      <c r="AW23" s="649"/>
      <c r="AX23" s="649"/>
    </row>
    <row r="24" spans="2:53">
      <c r="B24" s="643" t="s">
        <v>362</v>
      </c>
      <c r="C24" s="643" t="s">
        <v>523</v>
      </c>
      <c r="D24" s="643"/>
      <c r="E24" s="643" t="s">
        <v>524</v>
      </c>
      <c r="F24" s="643"/>
      <c r="G24" s="643"/>
      <c r="H24" s="675" t="s">
        <v>525</v>
      </c>
      <c r="I24" s="643" t="s">
        <v>526</v>
      </c>
      <c r="J24" s="643"/>
      <c r="K24" s="643"/>
      <c r="L24" s="675" t="s">
        <v>359</v>
      </c>
      <c r="M24" s="645" t="s">
        <v>527</v>
      </c>
      <c r="N24" s="643"/>
      <c r="O24" s="643" t="s">
        <v>528</v>
      </c>
      <c r="P24" s="661" t="s">
        <v>361</v>
      </c>
      <c r="Q24" s="662"/>
      <c r="R24" s="662"/>
      <c r="S24" s="663"/>
      <c r="T24" s="643" t="s">
        <v>359</v>
      </c>
      <c r="U24" s="661" t="s">
        <v>361</v>
      </c>
      <c r="V24" s="662"/>
      <c r="W24" s="662"/>
      <c r="X24" s="663"/>
      <c r="Y24" s="643" t="s">
        <v>359</v>
      </c>
      <c r="Z24" s="661" t="s">
        <v>361</v>
      </c>
      <c r="AA24" s="662"/>
      <c r="AB24" s="662"/>
      <c r="AC24" s="663"/>
      <c r="AD24" s="643" t="s">
        <v>359</v>
      </c>
      <c r="AE24" s="661" t="s">
        <v>361</v>
      </c>
      <c r="AF24" s="662"/>
      <c r="AG24" s="662"/>
      <c r="AH24" s="663"/>
      <c r="AI24" s="643" t="s">
        <v>359</v>
      </c>
      <c r="AJ24" s="661" t="s">
        <v>361</v>
      </c>
      <c r="AK24" s="662"/>
      <c r="AL24" s="662"/>
      <c r="AM24" s="663"/>
      <c r="AN24" s="643" t="s">
        <v>359</v>
      </c>
      <c r="AO24" s="661" t="s">
        <v>361</v>
      </c>
      <c r="AP24" s="662"/>
      <c r="AQ24" s="662"/>
      <c r="AR24" s="663"/>
      <c r="AS24" s="643" t="s">
        <v>359</v>
      </c>
      <c r="AT24" s="661" t="s">
        <v>361</v>
      </c>
      <c r="AU24" s="662"/>
      <c r="AV24" s="662"/>
      <c r="AW24" s="663"/>
      <c r="AX24" s="643" t="s">
        <v>359</v>
      </c>
      <c r="BA24" s="643" t="s">
        <v>359</v>
      </c>
    </row>
    <row r="25" spans="2:53">
      <c r="B25" s="643"/>
      <c r="C25" s="643"/>
      <c r="D25" s="643"/>
      <c r="E25" s="643" t="s">
        <v>529</v>
      </c>
      <c r="F25" s="643"/>
      <c r="G25" s="643"/>
      <c r="H25" s="676"/>
      <c r="I25" s="643" t="s">
        <v>529</v>
      </c>
      <c r="J25" s="643"/>
      <c r="K25" s="643"/>
      <c r="L25" s="676"/>
      <c r="M25" s="646"/>
      <c r="N25" s="643"/>
      <c r="O25" s="643"/>
      <c r="P25" s="661" t="s">
        <v>367</v>
      </c>
      <c r="Q25" s="662"/>
      <c r="R25" s="662"/>
      <c r="S25" s="663"/>
      <c r="T25" s="643"/>
      <c r="U25" s="661" t="s">
        <v>367</v>
      </c>
      <c r="V25" s="662"/>
      <c r="W25" s="662"/>
      <c r="X25" s="663"/>
      <c r="Y25" s="643"/>
      <c r="Z25" s="661" t="s">
        <v>367</v>
      </c>
      <c r="AA25" s="662"/>
      <c r="AB25" s="662"/>
      <c r="AC25" s="663"/>
      <c r="AD25" s="643"/>
      <c r="AE25" s="661" t="s">
        <v>367</v>
      </c>
      <c r="AF25" s="662"/>
      <c r="AG25" s="662"/>
      <c r="AH25" s="663"/>
      <c r="AI25" s="643"/>
      <c r="AJ25" s="661" t="s">
        <v>367</v>
      </c>
      <c r="AK25" s="662"/>
      <c r="AL25" s="662"/>
      <c r="AM25" s="663"/>
      <c r="AN25" s="643"/>
      <c r="AO25" s="661" t="s">
        <v>367</v>
      </c>
      <c r="AP25" s="662"/>
      <c r="AQ25" s="662"/>
      <c r="AR25" s="663"/>
      <c r="AS25" s="643"/>
      <c r="AT25" s="661" t="s">
        <v>367</v>
      </c>
      <c r="AU25" s="662"/>
      <c r="AV25" s="662"/>
      <c r="AW25" s="663"/>
      <c r="AX25" s="643"/>
      <c r="BA25" s="643"/>
    </row>
    <row r="26" spans="2:53">
      <c r="B26" s="643"/>
      <c r="C26" s="643"/>
      <c r="D26" s="643"/>
      <c r="E26" s="378" t="s">
        <v>530</v>
      </c>
      <c r="F26" s="378" t="s">
        <v>531</v>
      </c>
      <c r="G26" s="378" t="s">
        <v>532</v>
      </c>
      <c r="H26" s="677"/>
      <c r="I26" s="378" t="s">
        <v>530</v>
      </c>
      <c r="J26" s="378" t="s">
        <v>531</v>
      </c>
      <c r="K26" s="378" t="s">
        <v>532</v>
      </c>
      <c r="L26" s="677"/>
      <c r="M26" s="647"/>
      <c r="N26" s="643"/>
      <c r="O26" s="643"/>
      <c r="P26" s="378" t="s">
        <v>368</v>
      </c>
      <c r="Q26" s="378" t="s">
        <v>369</v>
      </c>
      <c r="R26" s="378" t="s">
        <v>370</v>
      </c>
      <c r="S26" s="378" t="s">
        <v>360</v>
      </c>
      <c r="T26" s="643"/>
      <c r="U26" s="378" t="s">
        <v>368</v>
      </c>
      <c r="V26" s="378" t="s">
        <v>369</v>
      </c>
      <c r="W26" s="378" t="s">
        <v>370</v>
      </c>
      <c r="X26" s="378" t="s">
        <v>360</v>
      </c>
      <c r="Y26" s="643"/>
      <c r="Z26" s="378" t="s">
        <v>368</v>
      </c>
      <c r="AA26" s="378" t="s">
        <v>369</v>
      </c>
      <c r="AB26" s="378" t="s">
        <v>370</v>
      </c>
      <c r="AC26" s="378" t="s">
        <v>360</v>
      </c>
      <c r="AD26" s="643"/>
      <c r="AE26" s="378" t="s">
        <v>368</v>
      </c>
      <c r="AF26" s="378" t="s">
        <v>369</v>
      </c>
      <c r="AG26" s="378" t="s">
        <v>370</v>
      </c>
      <c r="AH26" s="378" t="s">
        <v>360</v>
      </c>
      <c r="AI26" s="643"/>
      <c r="AJ26" s="378" t="s">
        <v>368</v>
      </c>
      <c r="AK26" s="378" t="s">
        <v>369</v>
      </c>
      <c r="AL26" s="378" t="s">
        <v>370</v>
      </c>
      <c r="AM26" s="378" t="s">
        <v>360</v>
      </c>
      <c r="AN26" s="643"/>
      <c r="AO26" s="378" t="s">
        <v>368</v>
      </c>
      <c r="AP26" s="378" t="s">
        <v>369</v>
      </c>
      <c r="AQ26" s="378" t="s">
        <v>370</v>
      </c>
      <c r="AR26" s="378" t="s">
        <v>360</v>
      </c>
      <c r="AS26" s="643"/>
      <c r="AT26" s="378" t="s">
        <v>368</v>
      </c>
      <c r="AU26" s="378" t="s">
        <v>369</v>
      </c>
      <c r="AV26" s="378" t="s">
        <v>370</v>
      </c>
      <c r="AW26" s="378" t="s">
        <v>360</v>
      </c>
      <c r="AX26" s="643"/>
      <c r="AZ26" s="367" t="s">
        <v>360</v>
      </c>
      <c r="BA26" s="643"/>
    </row>
    <row r="27" spans="2:53">
      <c r="B27" s="643" t="s">
        <v>374</v>
      </c>
      <c r="C27" s="380">
        <v>1</v>
      </c>
      <c r="D27" s="225"/>
      <c r="E27" s="565"/>
      <c r="F27" s="563"/>
      <c r="G27" s="564"/>
      <c r="H27" s="656" t="e">
        <f>AVERAGE(G27:G41)</f>
        <v>#DIV/0!</v>
      </c>
      <c r="I27" s="381" t="str">
        <f t="shared" ref="I27:I40" si="19">IFERROR(AVERAGE(P27,U27,Z27,AE27,AJ27,AO27,AT27),"-")</f>
        <v>-</v>
      </c>
      <c r="J27" s="381" t="str">
        <f t="shared" ref="J27:J40" si="20">IFERROR(AVERAGE(Q27,V27,AA27,AF27,AK27,AP27,AU27),"-")</f>
        <v>-</v>
      </c>
      <c r="K27" s="199" t="str">
        <f t="shared" ref="K27:K40" si="21">IFERROR(AVERAGE(R27,W27,AB27,AG27,AL27,AQ27,AV27),"-")</f>
        <v>-</v>
      </c>
      <c r="L27" s="658" t="str">
        <f>IFERROR(AVERAGE(K27:K41),"-")</f>
        <v>-</v>
      </c>
      <c r="M27" s="384" t="e">
        <f>RANK(K27, K$24:$K$41)</f>
        <v>#VALUE!</v>
      </c>
      <c r="N27" s="643"/>
      <c r="O27" s="643"/>
      <c r="P27" s="547"/>
      <c r="Q27" s="548"/>
      <c r="R27" s="548"/>
      <c r="S27" s="547"/>
      <c r="T27" s="638"/>
      <c r="U27" s="547"/>
      <c r="V27" s="548"/>
      <c r="W27" s="548"/>
      <c r="X27" s="547"/>
      <c r="Y27" s="638"/>
      <c r="Z27" s="547"/>
      <c r="AA27" s="548"/>
      <c r="AB27" s="548"/>
      <c r="AC27" s="547"/>
      <c r="AD27" s="638"/>
      <c r="AE27" s="547"/>
      <c r="AF27" s="548"/>
      <c r="AG27" s="548"/>
      <c r="AH27" s="547"/>
      <c r="AI27" s="638"/>
      <c r="AJ27" s="547"/>
      <c r="AK27" s="548"/>
      <c r="AL27" s="548"/>
      <c r="AM27" s="547"/>
      <c r="AN27" s="638"/>
      <c r="AO27" s="547"/>
      <c r="AP27" s="548"/>
      <c r="AQ27" s="548"/>
      <c r="AR27" s="547"/>
      <c r="AS27" s="638"/>
      <c r="AT27" s="547"/>
      <c r="AU27" s="548"/>
      <c r="AV27" s="548"/>
      <c r="AW27" s="547"/>
      <c r="AX27" s="638"/>
      <c r="AZ27" s="368" t="e">
        <f t="shared" ref="AZ27:AZ41" si="22">RANK(AY27, AY$27:AY$41)</f>
        <v>#N/A</v>
      </c>
      <c r="BA27" s="638" t="e">
        <f t="shared" ref="BA27" si="23">AVERAGE(AY27:AY41)</f>
        <v>#DIV/0!</v>
      </c>
    </row>
    <row r="28" spans="2:53">
      <c r="B28" s="649"/>
      <c r="C28" s="380">
        <v>2</v>
      </c>
      <c r="D28" s="225"/>
      <c r="E28" s="565"/>
      <c r="F28" s="563"/>
      <c r="G28" s="564"/>
      <c r="H28" s="657"/>
      <c r="I28" s="381" t="str">
        <f t="shared" si="19"/>
        <v>-</v>
      </c>
      <c r="J28" s="381" t="str">
        <f t="shared" si="20"/>
        <v>-</v>
      </c>
      <c r="K28" s="199" t="str">
        <f t="shared" si="21"/>
        <v>-</v>
      </c>
      <c r="L28" s="659"/>
      <c r="M28" s="387" t="e">
        <f>RANK(K28, K$24:$K$41)</f>
        <v>#VALUE!</v>
      </c>
      <c r="N28" s="643"/>
      <c r="O28" s="643"/>
      <c r="P28" s="547"/>
      <c r="Q28" s="548"/>
      <c r="R28" s="548"/>
      <c r="S28" s="547"/>
      <c r="T28" s="639"/>
      <c r="U28" s="547"/>
      <c r="V28" s="548"/>
      <c r="W28" s="548"/>
      <c r="X28" s="547"/>
      <c r="Y28" s="639"/>
      <c r="Z28" s="547"/>
      <c r="AA28" s="548"/>
      <c r="AB28" s="548"/>
      <c r="AC28" s="547"/>
      <c r="AD28" s="639"/>
      <c r="AE28" s="547"/>
      <c r="AF28" s="548"/>
      <c r="AG28" s="548"/>
      <c r="AH28" s="547"/>
      <c r="AI28" s="639"/>
      <c r="AJ28" s="547"/>
      <c r="AK28" s="548"/>
      <c r="AL28" s="548"/>
      <c r="AM28" s="547"/>
      <c r="AN28" s="639"/>
      <c r="AO28" s="547"/>
      <c r="AP28" s="548"/>
      <c r="AQ28" s="548"/>
      <c r="AR28" s="547"/>
      <c r="AS28" s="639"/>
      <c r="AT28" s="547"/>
      <c r="AU28" s="548"/>
      <c r="AV28" s="548"/>
      <c r="AW28" s="547"/>
      <c r="AX28" s="639"/>
      <c r="AZ28" s="368" t="e">
        <f t="shared" si="22"/>
        <v>#N/A</v>
      </c>
      <c r="BA28" s="639"/>
    </row>
    <row r="29" spans="2:53">
      <c r="B29" s="649"/>
      <c r="C29" s="380">
        <v>3</v>
      </c>
      <c r="D29" s="225"/>
      <c r="E29" s="565"/>
      <c r="F29" s="563"/>
      <c r="G29" s="564"/>
      <c r="H29" s="657"/>
      <c r="I29" s="381" t="str">
        <f t="shared" si="19"/>
        <v>-</v>
      </c>
      <c r="J29" s="381" t="str">
        <f t="shared" si="20"/>
        <v>-</v>
      </c>
      <c r="K29" s="199" t="str">
        <f t="shared" si="21"/>
        <v>-</v>
      </c>
      <c r="L29" s="659"/>
      <c r="M29" s="387" t="e">
        <f>RANK(K29, K$24:$K$41)</f>
        <v>#VALUE!</v>
      </c>
      <c r="N29" s="643"/>
      <c r="O29" s="643"/>
      <c r="P29" s="547"/>
      <c r="Q29" s="548"/>
      <c r="R29" s="548"/>
      <c r="S29" s="547"/>
      <c r="T29" s="639"/>
      <c r="U29" s="547"/>
      <c r="V29" s="548"/>
      <c r="W29" s="548"/>
      <c r="X29" s="547"/>
      <c r="Y29" s="639"/>
      <c r="Z29" s="547"/>
      <c r="AA29" s="548"/>
      <c r="AB29" s="548"/>
      <c r="AC29" s="547"/>
      <c r="AD29" s="639"/>
      <c r="AE29" s="547"/>
      <c r="AF29" s="548"/>
      <c r="AG29" s="548"/>
      <c r="AH29" s="547"/>
      <c r="AI29" s="639"/>
      <c r="AJ29" s="547"/>
      <c r="AK29" s="548"/>
      <c r="AL29" s="548"/>
      <c r="AM29" s="547"/>
      <c r="AN29" s="639"/>
      <c r="AO29" s="547"/>
      <c r="AP29" s="548"/>
      <c r="AQ29" s="548"/>
      <c r="AR29" s="547"/>
      <c r="AS29" s="639"/>
      <c r="AT29" s="547"/>
      <c r="AU29" s="548"/>
      <c r="AV29" s="548"/>
      <c r="AW29" s="547"/>
      <c r="AX29" s="639"/>
      <c r="AZ29" s="368" t="e">
        <f t="shared" si="22"/>
        <v>#N/A</v>
      </c>
      <c r="BA29" s="639"/>
    </row>
    <row r="30" spans="2:53">
      <c r="B30" s="649"/>
      <c r="C30" s="380">
        <v>4</v>
      </c>
      <c r="D30" s="225"/>
      <c r="E30" s="565"/>
      <c r="F30" s="563"/>
      <c r="G30" s="564"/>
      <c r="H30" s="657"/>
      <c r="I30" s="381" t="str">
        <f t="shared" si="19"/>
        <v>-</v>
      </c>
      <c r="J30" s="381" t="str">
        <f t="shared" si="20"/>
        <v>-</v>
      </c>
      <c r="K30" s="199" t="str">
        <f t="shared" si="21"/>
        <v>-</v>
      </c>
      <c r="L30" s="659"/>
      <c r="M30" s="387" t="e">
        <f>RANK(K30, K$24:$K$41)</f>
        <v>#VALUE!</v>
      </c>
      <c r="N30" s="643"/>
      <c r="O30" s="643"/>
      <c r="P30" s="547"/>
      <c r="Q30" s="548"/>
      <c r="R30" s="548"/>
      <c r="S30" s="547"/>
      <c r="T30" s="639"/>
      <c r="U30" s="547"/>
      <c r="V30" s="548"/>
      <c r="W30" s="548"/>
      <c r="X30" s="547"/>
      <c r="Y30" s="639"/>
      <c r="Z30" s="547"/>
      <c r="AA30" s="548"/>
      <c r="AB30" s="548"/>
      <c r="AC30" s="547"/>
      <c r="AD30" s="639"/>
      <c r="AE30" s="547"/>
      <c r="AF30" s="548"/>
      <c r="AG30" s="548"/>
      <c r="AH30" s="547"/>
      <c r="AI30" s="639"/>
      <c r="AJ30" s="547"/>
      <c r="AK30" s="548"/>
      <c r="AL30" s="548"/>
      <c r="AM30" s="547"/>
      <c r="AN30" s="639"/>
      <c r="AO30" s="547"/>
      <c r="AP30" s="548"/>
      <c r="AQ30" s="548"/>
      <c r="AR30" s="547"/>
      <c r="AS30" s="639"/>
      <c r="AT30" s="547"/>
      <c r="AU30" s="548"/>
      <c r="AV30" s="548"/>
      <c r="AW30" s="547"/>
      <c r="AX30" s="639"/>
      <c r="AZ30" s="368" t="e">
        <f t="shared" si="22"/>
        <v>#N/A</v>
      </c>
      <c r="BA30" s="639"/>
    </row>
    <row r="31" spans="2:53">
      <c r="B31" s="649"/>
      <c r="C31" s="380">
        <v>5</v>
      </c>
      <c r="D31" s="225"/>
      <c r="E31" s="565"/>
      <c r="F31" s="563"/>
      <c r="G31" s="564"/>
      <c r="H31" s="657"/>
      <c r="I31" s="381" t="str">
        <f t="shared" si="19"/>
        <v>-</v>
      </c>
      <c r="J31" s="381" t="str">
        <f t="shared" si="20"/>
        <v>-</v>
      </c>
      <c r="K31" s="199" t="str">
        <f t="shared" si="21"/>
        <v>-</v>
      </c>
      <c r="L31" s="659"/>
      <c r="M31" s="387" t="e">
        <f>RANK(K31, K$24:$K$41)</f>
        <v>#VALUE!</v>
      </c>
      <c r="N31" s="643"/>
      <c r="O31" s="643"/>
      <c r="P31" s="547"/>
      <c r="Q31" s="548"/>
      <c r="R31" s="548"/>
      <c r="S31" s="547"/>
      <c r="T31" s="639"/>
      <c r="U31" s="547"/>
      <c r="V31" s="548"/>
      <c r="W31" s="548"/>
      <c r="X31" s="547"/>
      <c r="Y31" s="639"/>
      <c r="Z31" s="547"/>
      <c r="AA31" s="548"/>
      <c r="AB31" s="548"/>
      <c r="AC31" s="547"/>
      <c r="AD31" s="639"/>
      <c r="AE31" s="547"/>
      <c r="AF31" s="548"/>
      <c r="AG31" s="548"/>
      <c r="AH31" s="547"/>
      <c r="AI31" s="639"/>
      <c r="AJ31" s="547"/>
      <c r="AK31" s="548"/>
      <c r="AL31" s="548"/>
      <c r="AM31" s="547"/>
      <c r="AN31" s="639"/>
      <c r="AO31" s="547"/>
      <c r="AP31" s="548"/>
      <c r="AQ31" s="548"/>
      <c r="AR31" s="547"/>
      <c r="AS31" s="639"/>
      <c r="AT31" s="547"/>
      <c r="AU31" s="548"/>
      <c r="AV31" s="548"/>
      <c r="AW31" s="547"/>
      <c r="AX31" s="639"/>
      <c r="AZ31" s="368" t="e">
        <f t="shared" si="22"/>
        <v>#N/A</v>
      </c>
      <c r="BA31" s="639"/>
    </row>
    <row r="32" spans="2:53">
      <c r="B32" s="649"/>
      <c r="C32" s="380">
        <v>6</v>
      </c>
      <c r="D32" s="225"/>
      <c r="E32" s="565"/>
      <c r="F32" s="563"/>
      <c r="G32" s="564"/>
      <c r="H32" s="657"/>
      <c r="I32" s="381" t="str">
        <f t="shared" si="19"/>
        <v>-</v>
      </c>
      <c r="J32" s="381" t="str">
        <f t="shared" si="20"/>
        <v>-</v>
      </c>
      <c r="K32" s="199" t="str">
        <f t="shared" si="21"/>
        <v>-</v>
      </c>
      <c r="L32" s="659"/>
      <c r="M32" s="387" t="e">
        <f>RANK(K32, K$24:$K$41)</f>
        <v>#VALUE!</v>
      </c>
      <c r="N32" s="643"/>
      <c r="O32" s="643"/>
      <c r="P32" s="547"/>
      <c r="Q32" s="548"/>
      <c r="R32" s="548"/>
      <c r="S32" s="547"/>
      <c r="T32" s="639"/>
      <c r="U32" s="547"/>
      <c r="V32" s="548"/>
      <c r="W32" s="548"/>
      <c r="X32" s="547"/>
      <c r="Y32" s="639"/>
      <c r="Z32" s="547"/>
      <c r="AA32" s="548"/>
      <c r="AB32" s="548"/>
      <c r="AC32" s="547"/>
      <c r="AD32" s="639"/>
      <c r="AE32" s="547"/>
      <c r="AF32" s="548"/>
      <c r="AG32" s="548"/>
      <c r="AH32" s="547"/>
      <c r="AI32" s="639"/>
      <c r="AJ32" s="547"/>
      <c r="AK32" s="548"/>
      <c r="AL32" s="548"/>
      <c r="AM32" s="547"/>
      <c r="AN32" s="639"/>
      <c r="AO32" s="547"/>
      <c r="AP32" s="548"/>
      <c r="AQ32" s="548"/>
      <c r="AR32" s="547"/>
      <c r="AS32" s="639"/>
      <c r="AT32" s="547"/>
      <c r="AU32" s="548"/>
      <c r="AV32" s="548"/>
      <c r="AW32" s="547"/>
      <c r="AX32" s="639"/>
      <c r="AZ32" s="368" t="e">
        <f t="shared" si="22"/>
        <v>#N/A</v>
      </c>
      <c r="BA32" s="639"/>
    </row>
    <row r="33" spans="2:53">
      <c r="B33" s="649"/>
      <c r="C33" s="380">
        <v>7</v>
      </c>
      <c r="D33" s="225"/>
      <c r="E33" s="565"/>
      <c r="F33" s="563"/>
      <c r="G33" s="564"/>
      <c r="H33" s="657"/>
      <c r="I33" s="381" t="str">
        <f t="shared" si="19"/>
        <v>-</v>
      </c>
      <c r="J33" s="381" t="str">
        <f t="shared" si="20"/>
        <v>-</v>
      </c>
      <c r="K33" s="199" t="str">
        <f t="shared" si="21"/>
        <v>-</v>
      </c>
      <c r="L33" s="659"/>
      <c r="M33" s="387" t="e">
        <f>RANK(K33, K$24:$K$41)</f>
        <v>#VALUE!</v>
      </c>
      <c r="N33" s="643"/>
      <c r="O33" s="643"/>
      <c r="P33" s="547"/>
      <c r="Q33" s="548"/>
      <c r="R33" s="548"/>
      <c r="S33" s="547"/>
      <c r="T33" s="639"/>
      <c r="U33" s="547"/>
      <c r="V33" s="548"/>
      <c r="W33" s="548"/>
      <c r="X33" s="547"/>
      <c r="Y33" s="639"/>
      <c r="Z33" s="547"/>
      <c r="AA33" s="548"/>
      <c r="AB33" s="548"/>
      <c r="AC33" s="547"/>
      <c r="AD33" s="639"/>
      <c r="AE33" s="547"/>
      <c r="AF33" s="548"/>
      <c r="AG33" s="548"/>
      <c r="AH33" s="547"/>
      <c r="AI33" s="639"/>
      <c r="AJ33" s="547"/>
      <c r="AK33" s="548"/>
      <c r="AL33" s="548"/>
      <c r="AM33" s="547"/>
      <c r="AN33" s="639"/>
      <c r="AO33" s="547"/>
      <c r="AP33" s="548"/>
      <c r="AQ33" s="548"/>
      <c r="AR33" s="547"/>
      <c r="AS33" s="639"/>
      <c r="AT33" s="547"/>
      <c r="AU33" s="548"/>
      <c r="AV33" s="548"/>
      <c r="AW33" s="547"/>
      <c r="AX33" s="639"/>
      <c r="AZ33" s="368" t="e">
        <f t="shared" si="22"/>
        <v>#N/A</v>
      </c>
      <c r="BA33" s="639"/>
    </row>
    <row r="34" spans="2:53">
      <c r="B34" s="649"/>
      <c r="C34" s="380">
        <v>8</v>
      </c>
      <c r="D34" s="225"/>
      <c r="E34" s="565"/>
      <c r="F34" s="563"/>
      <c r="G34" s="564"/>
      <c r="H34" s="657"/>
      <c r="I34" s="381" t="str">
        <f t="shared" si="19"/>
        <v>-</v>
      </c>
      <c r="J34" s="381" t="str">
        <f t="shared" si="20"/>
        <v>-</v>
      </c>
      <c r="K34" s="199" t="str">
        <f t="shared" si="21"/>
        <v>-</v>
      </c>
      <c r="L34" s="659"/>
      <c r="M34" s="387" t="e">
        <f>RANK(K34, K$24:$K$41)</f>
        <v>#VALUE!</v>
      </c>
      <c r="N34" s="643"/>
      <c r="O34" s="643"/>
      <c r="P34" s="547"/>
      <c r="Q34" s="548"/>
      <c r="R34" s="548"/>
      <c r="S34" s="547"/>
      <c r="T34" s="639"/>
      <c r="U34" s="547"/>
      <c r="V34" s="548"/>
      <c r="W34" s="548"/>
      <c r="X34" s="547"/>
      <c r="Y34" s="639"/>
      <c r="Z34" s="547"/>
      <c r="AA34" s="548"/>
      <c r="AB34" s="548"/>
      <c r="AC34" s="547"/>
      <c r="AD34" s="639"/>
      <c r="AE34" s="547"/>
      <c r="AF34" s="548"/>
      <c r="AG34" s="548"/>
      <c r="AH34" s="547"/>
      <c r="AI34" s="639"/>
      <c r="AJ34" s="547"/>
      <c r="AK34" s="548"/>
      <c r="AL34" s="548"/>
      <c r="AM34" s="547"/>
      <c r="AN34" s="639"/>
      <c r="AO34" s="547"/>
      <c r="AP34" s="548"/>
      <c r="AQ34" s="548"/>
      <c r="AR34" s="547"/>
      <c r="AS34" s="639"/>
      <c r="AT34" s="547"/>
      <c r="AU34" s="548"/>
      <c r="AV34" s="548"/>
      <c r="AW34" s="547"/>
      <c r="AX34" s="639"/>
      <c r="AZ34" s="368" t="e">
        <f t="shared" si="22"/>
        <v>#N/A</v>
      </c>
      <c r="BA34" s="639"/>
    </row>
    <row r="35" spans="2:53">
      <c r="B35" s="649"/>
      <c r="C35" s="380">
        <v>9</v>
      </c>
      <c r="D35" s="225"/>
      <c r="E35" s="565"/>
      <c r="F35" s="563"/>
      <c r="G35" s="564"/>
      <c r="H35" s="657"/>
      <c r="I35" s="381" t="str">
        <f t="shared" si="19"/>
        <v>-</v>
      </c>
      <c r="J35" s="381" t="str">
        <f t="shared" si="20"/>
        <v>-</v>
      </c>
      <c r="K35" s="199" t="str">
        <f t="shared" si="21"/>
        <v>-</v>
      </c>
      <c r="L35" s="659"/>
      <c r="M35" s="387" t="e">
        <f>RANK(K35, K$24:$K$41)</f>
        <v>#VALUE!</v>
      </c>
      <c r="N35" s="643"/>
      <c r="O35" s="643"/>
      <c r="P35" s="547"/>
      <c r="Q35" s="548"/>
      <c r="R35" s="548"/>
      <c r="S35" s="547"/>
      <c r="T35" s="639"/>
      <c r="U35" s="547"/>
      <c r="V35" s="548"/>
      <c r="W35" s="548"/>
      <c r="X35" s="547"/>
      <c r="Y35" s="639"/>
      <c r="Z35" s="547"/>
      <c r="AA35" s="548"/>
      <c r="AB35" s="548"/>
      <c r="AC35" s="547"/>
      <c r="AD35" s="639"/>
      <c r="AE35" s="547"/>
      <c r="AF35" s="548"/>
      <c r="AG35" s="548"/>
      <c r="AH35" s="547"/>
      <c r="AI35" s="639"/>
      <c r="AJ35" s="547"/>
      <c r="AK35" s="548"/>
      <c r="AL35" s="548"/>
      <c r="AM35" s="547"/>
      <c r="AN35" s="639"/>
      <c r="AO35" s="547"/>
      <c r="AP35" s="548"/>
      <c r="AQ35" s="548"/>
      <c r="AR35" s="547"/>
      <c r="AS35" s="639"/>
      <c r="AT35" s="547"/>
      <c r="AU35" s="548"/>
      <c r="AV35" s="548"/>
      <c r="AW35" s="547"/>
      <c r="AX35" s="639"/>
      <c r="AZ35" s="368" t="e">
        <f t="shared" si="22"/>
        <v>#N/A</v>
      </c>
      <c r="BA35" s="639"/>
    </row>
    <row r="36" spans="2:53">
      <c r="B36" s="649"/>
      <c r="C36" s="380">
        <v>10</v>
      </c>
      <c r="D36" s="225"/>
      <c r="E36" s="565"/>
      <c r="F36" s="563"/>
      <c r="G36" s="564"/>
      <c r="H36" s="657"/>
      <c r="I36" s="381" t="str">
        <f t="shared" si="19"/>
        <v>-</v>
      </c>
      <c r="J36" s="381" t="str">
        <f t="shared" si="20"/>
        <v>-</v>
      </c>
      <c r="K36" s="199" t="str">
        <f t="shared" si="21"/>
        <v>-</v>
      </c>
      <c r="L36" s="659"/>
      <c r="M36" s="387" t="e">
        <f>RANK(K36, K$24:$K$41)</f>
        <v>#VALUE!</v>
      </c>
      <c r="N36" s="643"/>
      <c r="O36" s="643"/>
      <c r="P36" s="547"/>
      <c r="Q36" s="548"/>
      <c r="R36" s="548"/>
      <c r="S36" s="547"/>
      <c r="T36" s="639"/>
      <c r="U36" s="547"/>
      <c r="V36" s="548"/>
      <c r="W36" s="548"/>
      <c r="X36" s="547"/>
      <c r="Y36" s="639"/>
      <c r="Z36" s="547"/>
      <c r="AA36" s="548"/>
      <c r="AB36" s="548"/>
      <c r="AC36" s="547"/>
      <c r="AD36" s="639"/>
      <c r="AE36" s="547"/>
      <c r="AF36" s="548"/>
      <c r="AG36" s="548"/>
      <c r="AH36" s="547"/>
      <c r="AI36" s="639"/>
      <c r="AJ36" s="547"/>
      <c r="AK36" s="548"/>
      <c r="AL36" s="548"/>
      <c r="AM36" s="547"/>
      <c r="AN36" s="639"/>
      <c r="AO36" s="547"/>
      <c r="AP36" s="548"/>
      <c r="AQ36" s="548"/>
      <c r="AR36" s="547"/>
      <c r="AS36" s="639"/>
      <c r="AT36" s="547"/>
      <c r="AU36" s="548"/>
      <c r="AV36" s="548"/>
      <c r="AW36" s="547"/>
      <c r="AX36" s="639"/>
      <c r="AZ36" s="368" t="e">
        <f t="shared" si="22"/>
        <v>#N/A</v>
      </c>
      <c r="BA36" s="639"/>
    </row>
    <row r="37" spans="2:53">
      <c r="B37" s="649"/>
      <c r="C37" s="380">
        <v>11</v>
      </c>
      <c r="D37" s="225"/>
      <c r="E37" s="565"/>
      <c r="F37" s="563"/>
      <c r="G37" s="564"/>
      <c r="H37" s="657"/>
      <c r="I37" s="381" t="str">
        <f t="shared" si="19"/>
        <v>-</v>
      </c>
      <c r="J37" s="381" t="str">
        <f t="shared" si="20"/>
        <v>-</v>
      </c>
      <c r="K37" s="199" t="str">
        <f t="shared" si="21"/>
        <v>-</v>
      </c>
      <c r="L37" s="659"/>
      <c r="M37" s="387" t="e">
        <f>RANK(K37, K$24:$K$41)</f>
        <v>#VALUE!</v>
      </c>
      <c r="N37" s="643"/>
      <c r="O37" s="643"/>
      <c r="P37" s="547"/>
      <c r="Q37" s="548"/>
      <c r="R37" s="548"/>
      <c r="S37" s="547"/>
      <c r="T37" s="639"/>
      <c r="U37" s="547"/>
      <c r="V37" s="548"/>
      <c r="W37" s="548"/>
      <c r="X37" s="547"/>
      <c r="Y37" s="639"/>
      <c r="Z37" s="547"/>
      <c r="AA37" s="548"/>
      <c r="AB37" s="548"/>
      <c r="AC37" s="547"/>
      <c r="AD37" s="639"/>
      <c r="AE37" s="547"/>
      <c r="AF37" s="548"/>
      <c r="AG37" s="548"/>
      <c r="AH37" s="547"/>
      <c r="AI37" s="639"/>
      <c r="AJ37" s="547"/>
      <c r="AK37" s="548"/>
      <c r="AL37" s="548"/>
      <c r="AM37" s="547"/>
      <c r="AN37" s="639"/>
      <c r="AO37" s="547"/>
      <c r="AP37" s="548"/>
      <c r="AQ37" s="548"/>
      <c r="AR37" s="547"/>
      <c r="AS37" s="639"/>
      <c r="AT37" s="547"/>
      <c r="AU37" s="548"/>
      <c r="AV37" s="548"/>
      <c r="AW37" s="547"/>
      <c r="AX37" s="639"/>
      <c r="AZ37" s="368" t="e">
        <f t="shared" si="22"/>
        <v>#N/A</v>
      </c>
      <c r="BA37" s="639"/>
    </row>
    <row r="38" spans="2:53">
      <c r="B38" s="649"/>
      <c r="C38" s="380">
        <v>12</v>
      </c>
      <c r="D38" s="225"/>
      <c r="E38" s="565"/>
      <c r="F38" s="563"/>
      <c r="G38" s="564"/>
      <c r="H38" s="657"/>
      <c r="I38" s="381" t="str">
        <f t="shared" si="19"/>
        <v>-</v>
      </c>
      <c r="J38" s="381" t="str">
        <f t="shared" si="20"/>
        <v>-</v>
      </c>
      <c r="K38" s="199" t="str">
        <f t="shared" si="21"/>
        <v>-</v>
      </c>
      <c r="L38" s="659"/>
      <c r="M38" s="387" t="e">
        <f>RANK(K38, K$24:$K$41)</f>
        <v>#VALUE!</v>
      </c>
      <c r="N38" s="643"/>
      <c r="O38" s="643"/>
      <c r="P38" s="547"/>
      <c r="Q38" s="548"/>
      <c r="R38" s="548"/>
      <c r="S38" s="547"/>
      <c r="T38" s="639"/>
      <c r="U38" s="547"/>
      <c r="V38" s="548"/>
      <c r="W38" s="548"/>
      <c r="X38" s="547"/>
      <c r="Y38" s="639"/>
      <c r="Z38" s="547"/>
      <c r="AA38" s="548"/>
      <c r="AB38" s="548"/>
      <c r="AC38" s="547"/>
      <c r="AD38" s="639"/>
      <c r="AE38" s="547"/>
      <c r="AF38" s="548"/>
      <c r="AG38" s="548"/>
      <c r="AH38" s="547"/>
      <c r="AI38" s="639"/>
      <c r="AJ38" s="547"/>
      <c r="AK38" s="548"/>
      <c r="AL38" s="548"/>
      <c r="AM38" s="547"/>
      <c r="AN38" s="639"/>
      <c r="AO38" s="547"/>
      <c r="AP38" s="548"/>
      <c r="AQ38" s="548"/>
      <c r="AR38" s="547"/>
      <c r="AS38" s="639"/>
      <c r="AT38" s="547"/>
      <c r="AU38" s="548"/>
      <c r="AV38" s="548"/>
      <c r="AW38" s="547"/>
      <c r="AX38" s="639"/>
      <c r="AZ38" s="368" t="e">
        <f t="shared" si="22"/>
        <v>#N/A</v>
      </c>
      <c r="BA38" s="639"/>
    </row>
    <row r="39" spans="2:53">
      <c r="B39" s="649"/>
      <c r="C39" s="380">
        <v>13</v>
      </c>
      <c r="D39" s="225"/>
      <c r="E39" s="565"/>
      <c r="F39" s="563"/>
      <c r="G39" s="564"/>
      <c r="H39" s="657"/>
      <c r="I39" s="381" t="str">
        <f t="shared" si="19"/>
        <v>-</v>
      </c>
      <c r="J39" s="381" t="str">
        <f t="shared" si="20"/>
        <v>-</v>
      </c>
      <c r="K39" s="199" t="str">
        <f t="shared" si="21"/>
        <v>-</v>
      </c>
      <c r="L39" s="659"/>
      <c r="M39" s="387" t="e">
        <f>RANK(K39, K$24:$K$41)</f>
        <v>#VALUE!</v>
      </c>
      <c r="N39" s="643"/>
      <c r="O39" s="643"/>
      <c r="P39" s="547"/>
      <c r="Q39" s="548"/>
      <c r="R39" s="548"/>
      <c r="S39" s="547"/>
      <c r="T39" s="639"/>
      <c r="U39" s="547"/>
      <c r="V39" s="548"/>
      <c r="W39" s="548"/>
      <c r="X39" s="547"/>
      <c r="Y39" s="639"/>
      <c r="Z39" s="547"/>
      <c r="AA39" s="548"/>
      <c r="AB39" s="548"/>
      <c r="AC39" s="547"/>
      <c r="AD39" s="639"/>
      <c r="AE39" s="547"/>
      <c r="AF39" s="548"/>
      <c r="AG39" s="548"/>
      <c r="AH39" s="547"/>
      <c r="AI39" s="639"/>
      <c r="AJ39" s="547"/>
      <c r="AK39" s="548"/>
      <c r="AL39" s="548"/>
      <c r="AM39" s="547"/>
      <c r="AN39" s="639"/>
      <c r="AO39" s="547"/>
      <c r="AP39" s="548"/>
      <c r="AQ39" s="548"/>
      <c r="AR39" s="547"/>
      <c r="AS39" s="639"/>
      <c r="AT39" s="547"/>
      <c r="AU39" s="548"/>
      <c r="AV39" s="548"/>
      <c r="AW39" s="547"/>
      <c r="AX39" s="639"/>
      <c r="AZ39" s="368" t="e">
        <f t="shared" si="22"/>
        <v>#N/A</v>
      </c>
      <c r="BA39" s="639"/>
    </row>
    <row r="40" spans="2:53">
      <c r="B40" s="649"/>
      <c r="C40" s="380">
        <v>14</v>
      </c>
      <c r="D40" s="225"/>
      <c r="E40" s="565"/>
      <c r="F40" s="563"/>
      <c r="G40" s="564"/>
      <c r="H40" s="657"/>
      <c r="I40" s="381" t="str">
        <f t="shared" si="19"/>
        <v>-</v>
      </c>
      <c r="J40" s="381" t="str">
        <f t="shared" si="20"/>
        <v>-</v>
      </c>
      <c r="K40" s="199" t="str">
        <f t="shared" si="21"/>
        <v>-</v>
      </c>
      <c r="L40" s="659"/>
      <c r="M40" s="387" t="e">
        <f>RANK(K40, K$24:$K$41)</f>
        <v>#VALUE!</v>
      </c>
      <c r="N40" s="643"/>
      <c r="O40" s="643"/>
      <c r="P40" s="547"/>
      <c r="Q40" s="548"/>
      <c r="R40" s="548"/>
      <c r="S40" s="547"/>
      <c r="T40" s="639"/>
      <c r="U40" s="547"/>
      <c r="V40" s="548"/>
      <c r="W40" s="548"/>
      <c r="X40" s="547"/>
      <c r="Y40" s="639"/>
      <c r="Z40" s="547"/>
      <c r="AA40" s="548"/>
      <c r="AB40" s="548"/>
      <c r="AC40" s="547"/>
      <c r="AD40" s="639"/>
      <c r="AE40" s="547"/>
      <c r="AF40" s="548"/>
      <c r="AG40" s="548"/>
      <c r="AH40" s="547"/>
      <c r="AI40" s="639"/>
      <c r="AJ40" s="547"/>
      <c r="AK40" s="548"/>
      <c r="AL40" s="548"/>
      <c r="AM40" s="547"/>
      <c r="AN40" s="639"/>
      <c r="AO40" s="547"/>
      <c r="AP40" s="548"/>
      <c r="AQ40" s="548"/>
      <c r="AR40" s="547"/>
      <c r="AS40" s="639"/>
      <c r="AT40" s="547"/>
      <c r="AU40" s="548"/>
      <c r="AV40" s="548"/>
      <c r="AW40" s="547"/>
      <c r="AX40" s="639"/>
      <c r="AZ40" s="368" t="e">
        <f t="shared" si="22"/>
        <v>#N/A</v>
      </c>
      <c r="BA40" s="639"/>
    </row>
    <row r="41" spans="2:53">
      <c r="B41" s="649"/>
      <c r="C41" s="380">
        <v>15</v>
      </c>
      <c r="D41" s="225"/>
      <c r="E41" s="565"/>
      <c r="F41" s="563"/>
      <c r="G41" s="564"/>
      <c r="H41" s="714"/>
      <c r="I41" s="380"/>
      <c r="J41" s="380"/>
      <c r="K41" s="380"/>
      <c r="L41" s="660"/>
      <c r="M41" s="387" t="e">
        <f>RANK(K41, K$24:$K$41)</f>
        <v>#N/A</v>
      </c>
      <c r="N41" s="643"/>
      <c r="O41" s="643"/>
      <c r="P41" s="547"/>
      <c r="Q41" s="548"/>
      <c r="R41" s="548"/>
      <c r="S41" s="547"/>
      <c r="T41" s="640"/>
      <c r="U41" s="547"/>
      <c r="V41" s="548"/>
      <c r="W41" s="548"/>
      <c r="X41" s="547"/>
      <c r="Y41" s="640"/>
      <c r="Z41" s="547"/>
      <c r="AA41" s="548"/>
      <c r="AB41" s="548"/>
      <c r="AC41" s="547"/>
      <c r="AD41" s="640"/>
      <c r="AE41" s="547"/>
      <c r="AF41" s="548"/>
      <c r="AG41" s="548"/>
      <c r="AH41" s="547"/>
      <c r="AI41" s="640"/>
      <c r="AJ41" s="547"/>
      <c r="AK41" s="548"/>
      <c r="AL41" s="548"/>
      <c r="AM41" s="547"/>
      <c r="AN41" s="640"/>
      <c r="AO41" s="547"/>
      <c r="AP41" s="548"/>
      <c r="AQ41" s="548"/>
      <c r="AR41" s="547"/>
      <c r="AS41" s="640"/>
      <c r="AT41" s="547"/>
      <c r="AU41" s="548"/>
      <c r="AV41" s="548"/>
      <c r="AW41" s="547"/>
      <c r="AX41" s="640"/>
      <c r="AZ41" s="368" t="e">
        <f t="shared" si="22"/>
        <v>#N/A</v>
      </c>
      <c r="BA41" s="640"/>
    </row>
    <row r="42" spans="2:53" ht="15.75">
      <c r="B42" s="682" t="s">
        <v>162</v>
      </c>
      <c r="C42" s="683"/>
      <c r="D42" s="683"/>
      <c r="E42" s="683"/>
      <c r="F42" s="683"/>
      <c r="G42" s="683"/>
      <c r="H42" s="683"/>
      <c r="I42" s="207"/>
      <c r="J42" s="202"/>
      <c r="K42" s="207"/>
      <c r="L42" s="207"/>
      <c r="M42" s="203"/>
      <c r="N42" s="645" t="s">
        <v>156</v>
      </c>
      <c r="O42" s="645" t="s">
        <v>105</v>
      </c>
      <c r="P42" s="670">
        <f>P22+7</f>
        <v>46280</v>
      </c>
      <c r="Q42" s="649"/>
      <c r="R42" s="649"/>
      <c r="S42" s="649"/>
      <c r="T42" s="649"/>
      <c r="U42" s="667">
        <f>P42+1</f>
        <v>46281</v>
      </c>
      <c r="V42" s="668"/>
      <c r="W42" s="668"/>
      <c r="X42" s="668"/>
      <c r="Y42" s="669"/>
      <c r="Z42" s="667">
        <f>U42+1</f>
        <v>46282</v>
      </c>
      <c r="AA42" s="668"/>
      <c r="AB42" s="668"/>
      <c r="AC42" s="668"/>
      <c r="AD42" s="669"/>
      <c r="AE42" s="667">
        <f>Z42+1</f>
        <v>46283</v>
      </c>
      <c r="AF42" s="668"/>
      <c r="AG42" s="668"/>
      <c r="AH42" s="668"/>
      <c r="AI42" s="669"/>
      <c r="AJ42" s="667">
        <f>AE42+1</f>
        <v>46284</v>
      </c>
      <c r="AK42" s="668"/>
      <c r="AL42" s="668"/>
      <c r="AM42" s="668"/>
      <c r="AN42" s="669"/>
      <c r="AO42" s="667">
        <f>AJ42+1</f>
        <v>46285</v>
      </c>
      <c r="AP42" s="668"/>
      <c r="AQ42" s="668"/>
      <c r="AR42" s="668"/>
      <c r="AS42" s="669"/>
      <c r="AT42" s="667">
        <f>AO42+1</f>
        <v>46286</v>
      </c>
      <c r="AU42" s="668"/>
      <c r="AV42" s="668"/>
      <c r="AW42" s="668"/>
      <c r="AX42" s="669"/>
    </row>
    <row r="43" spans="2:53" ht="15.75">
      <c r="B43" s="674"/>
      <c r="C43" s="674"/>
      <c r="D43" s="674"/>
      <c r="E43" s="674"/>
      <c r="F43" s="674"/>
      <c r="G43" s="674"/>
      <c r="H43" s="674"/>
      <c r="I43" s="204"/>
      <c r="J43" s="204"/>
      <c r="K43" s="204"/>
      <c r="L43" s="204"/>
      <c r="M43" s="205"/>
      <c r="N43" s="647"/>
      <c r="O43" s="647"/>
      <c r="P43" s="670" t="s">
        <v>317</v>
      </c>
      <c r="Q43" s="649"/>
      <c r="R43" s="649"/>
      <c r="S43" s="649"/>
      <c r="T43" s="649"/>
      <c r="U43" s="670" t="s">
        <v>318</v>
      </c>
      <c r="V43" s="649"/>
      <c r="W43" s="649"/>
      <c r="X43" s="649"/>
      <c r="Y43" s="649"/>
      <c r="Z43" s="670" t="s">
        <v>319</v>
      </c>
      <c r="AA43" s="649"/>
      <c r="AB43" s="649"/>
      <c r="AC43" s="649"/>
      <c r="AD43" s="649"/>
      <c r="AE43" s="670" t="s">
        <v>320</v>
      </c>
      <c r="AF43" s="649"/>
      <c r="AG43" s="649"/>
      <c r="AH43" s="649"/>
      <c r="AI43" s="649"/>
      <c r="AJ43" s="670" t="s">
        <v>321</v>
      </c>
      <c r="AK43" s="649"/>
      <c r="AL43" s="649"/>
      <c r="AM43" s="649"/>
      <c r="AN43" s="649"/>
      <c r="AO43" s="670" t="s">
        <v>322</v>
      </c>
      <c r="AP43" s="649"/>
      <c r="AQ43" s="649"/>
      <c r="AR43" s="649"/>
      <c r="AS43" s="649"/>
      <c r="AT43" s="670" t="s">
        <v>323</v>
      </c>
      <c r="AU43" s="649"/>
      <c r="AV43" s="649"/>
      <c r="AW43" s="649"/>
      <c r="AX43" s="649"/>
    </row>
    <row r="44" spans="2:53">
      <c r="B44" s="643" t="s">
        <v>362</v>
      </c>
      <c r="C44" s="643" t="s">
        <v>523</v>
      </c>
      <c r="D44" s="643"/>
      <c r="E44" s="643" t="s">
        <v>524</v>
      </c>
      <c r="F44" s="643"/>
      <c r="G44" s="643"/>
      <c r="H44" s="675" t="s">
        <v>525</v>
      </c>
      <c r="I44" s="643" t="s">
        <v>526</v>
      </c>
      <c r="J44" s="643"/>
      <c r="K44" s="643"/>
      <c r="L44" s="675" t="s">
        <v>359</v>
      </c>
      <c r="M44" s="645" t="s">
        <v>527</v>
      </c>
      <c r="N44" s="643"/>
      <c r="O44" s="643" t="s">
        <v>528</v>
      </c>
      <c r="P44" s="661" t="s">
        <v>361</v>
      </c>
      <c r="Q44" s="662"/>
      <c r="R44" s="662"/>
      <c r="S44" s="663"/>
      <c r="T44" s="643" t="s">
        <v>359</v>
      </c>
      <c r="U44" s="661" t="s">
        <v>361</v>
      </c>
      <c r="V44" s="662"/>
      <c r="W44" s="662"/>
      <c r="X44" s="663"/>
      <c r="Y44" s="643" t="s">
        <v>359</v>
      </c>
      <c r="Z44" s="661" t="s">
        <v>361</v>
      </c>
      <c r="AA44" s="662"/>
      <c r="AB44" s="662"/>
      <c r="AC44" s="663"/>
      <c r="AD44" s="643" t="s">
        <v>359</v>
      </c>
      <c r="AE44" s="661" t="s">
        <v>361</v>
      </c>
      <c r="AF44" s="662"/>
      <c r="AG44" s="662"/>
      <c r="AH44" s="663"/>
      <c r="AI44" s="643" t="s">
        <v>359</v>
      </c>
      <c r="AJ44" s="661" t="s">
        <v>361</v>
      </c>
      <c r="AK44" s="662"/>
      <c r="AL44" s="662"/>
      <c r="AM44" s="663"/>
      <c r="AN44" s="643" t="s">
        <v>359</v>
      </c>
      <c r="AO44" s="661" t="s">
        <v>361</v>
      </c>
      <c r="AP44" s="662"/>
      <c r="AQ44" s="662"/>
      <c r="AR44" s="663"/>
      <c r="AS44" s="643" t="s">
        <v>359</v>
      </c>
      <c r="AT44" s="661" t="s">
        <v>361</v>
      </c>
      <c r="AU44" s="662"/>
      <c r="AV44" s="662"/>
      <c r="AW44" s="663"/>
      <c r="AX44" s="643" t="s">
        <v>359</v>
      </c>
      <c r="BA44" s="643" t="s">
        <v>359</v>
      </c>
    </row>
    <row r="45" spans="2:53">
      <c r="B45" s="643"/>
      <c r="C45" s="643"/>
      <c r="D45" s="643"/>
      <c r="E45" s="643" t="s">
        <v>529</v>
      </c>
      <c r="F45" s="643"/>
      <c r="G45" s="643"/>
      <c r="H45" s="676"/>
      <c r="I45" s="643" t="s">
        <v>529</v>
      </c>
      <c r="J45" s="643"/>
      <c r="K45" s="643"/>
      <c r="L45" s="676"/>
      <c r="M45" s="646"/>
      <c r="N45" s="643"/>
      <c r="O45" s="643"/>
      <c r="P45" s="661" t="s">
        <v>367</v>
      </c>
      <c r="Q45" s="662"/>
      <c r="R45" s="662"/>
      <c r="S45" s="663"/>
      <c r="T45" s="643"/>
      <c r="U45" s="661" t="s">
        <v>367</v>
      </c>
      <c r="V45" s="662"/>
      <c r="W45" s="662"/>
      <c r="X45" s="663"/>
      <c r="Y45" s="643"/>
      <c r="Z45" s="661" t="s">
        <v>367</v>
      </c>
      <c r="AA45" s="662"/>
      <c r="AB45" s="662"/>
      <c r="AC45" s="663"/>
      <c r="AD45" s="643"/>
      <c r="AE45" s="661" t="s">
        <v>367</v>
      </c>
      <c r="AF45" s="662"/>
      <c r="AG45" s="662"/>
      <c r="AH45" s="663"/>
      <c r="AI45" s="643"/>
      <c r="AJ45" s="661" t="s">
        <v>367</v>
      </c>
      <c r="AK45" s="662"/>
      <c r="AL45" s="662"/>
      <c r="AM45" s="663"/>
      <c r="AN45" s="643"/>
      <c r="AO45" s="661" t="s">
        <v>367</v>
      </c>
      <c r="AP45" s="662"/>
      <c r="AQ45" s="662"/>
      <c r="AR45" s="663"/>
      <c r="AS45" s="643"/>
      <c r="AT45" s="661" t="s">
        <v>367</v>
      </c>
      <c r="AU45" s="662"/>
      <c r="AV45" s="662"/>
      <c r="AW45" s="663"/>
      <c r="AX45" s="643"/>
      <c r="BA45" s="643"/>
    </row>
    <row r="46" spans="2:53">
      <c r="B46" s="643"/>
      <c r="C46" s="643"/>
      <c r="D46" s="643"/>
      <c r="E46" s="378" t="s">
        <v>530</v>
      </c>
      <c r="F46" s="378" t="s">
        <v>531</v>
      </c>
      <c r="G46" s="378" t="s">
        <v>532</v>
      </c>
      <c r="H46" s="677"/>
      <c r="I46" s="378" t="s">
        <v>530</v>
      </c>
      <c r="J46" s="378" t="s">
        <v>531</v>
      </c>
      <c r="K46" s="378" t="s">
        <v>532</v>
      </c>
      <c r="L46" s="677"/>
      <c r="M46" s="647"/>
      <c r="N46" s="643"/>
      <c r="O46" s="643"/>
      <c r="P46" s="378" t="s">
        <v>368</v>
      </c>
      <c r="Q46" s="378" t="s">
        <v>369</v>
      </c>
      <c r="R46" s="378" t="s">
        <v>370</v>
      </c>
      <c r="S46" s="378" t="s">
        <v>360</v>
      </c>
      <c r="T46" s="643"/>
      <c r="U46" s="378" t="s">
        <v>368</v>
      </c>
      <c r="V46" s="378" t="s">
        <v>369</v>
      </c>
      <c r="W46" s="378" t="s">
        <v>370</v>
      </c>
      <c r="X46" s="378" t="s">
        <v>360</v>
      </c>
      <c r="Y46" s="643"/>
      <c r="Z46" s="378" t="s">
        <v>368</v>
      </c>
      <c r="AA46" s="378" t="s">
        <v>369</v>
      </c>
      <c r="AB46" s="378" t="s">
        <v>370</v>
      </c>
      <c r="AC46" s="378" t="s">
        <v>360</v>
      </c>
      <c r="AD46" s="643"/>
      <c r="AE46" s="378" t="s">
        <v>368</v>
      </c>
      <c r="AF46" s="378" t="s">
        <v>369</v>
      </c>
      <c r="AG46" s="378" t="s">
        <v>370</v>
      </c>
      <c r="AH46" s="378" t="s">
        <v>360</v>
      </c>
      <c r="AI46" s="643"/>
      <c r="AJ46" s="378" t="s">
        <v>368</v>
      </c>
      <c r="AK46" s="378" t="s">
        <v>369</v>
      </c>
      <c r="AL46" s="378" t="s">
        <v>370</v>
      </c>
      <c r="AM46" s="378" t="s">
        <v>360</v>
      </c>
      <c r="AN46" s="643"/>
      <c r="AO46" s="378" t="s">
        <v>368</v>
      </c>
      <c r="AP46" s="378" t="s">
        <v>369</v>
      </c>
      <c r="AQ46" s="378" t="s">
        <v>370</v>
      </c>
      <c r="AR46" s="378" t="s">
        <v>360</v>
      </c>
      <c r="AS46" s="643"/>
      <c r="AT46" s="378" t="s">
        <v>368</v>
      </c>
      <c r="AU46" s="378" t="s">
        <v>369</v>
      </c>
      <c r="AV46" s="378" t="s">
        <v>370</v>
      </c>
      <c r="AW46" s="378" t="s">
        <v>360</v>
      </c>
      <c r="AX46" s="643"/>
      <c r="AZ46" s="367" t="s">
        <v>551</v>
      </c>
      <c r="BA46" s="643"/>
    </row>
    <row r="47" spans="2:53">
      <c r="B47" s="643" t="s">
        <v>374</v>
      </c>
      <c r="C47" s="380">
        <v>1</v>
      </c>
      <c r="D47" s="225"/>
      <c r="E47" s="565"/>
      <c r="F47" s="563"/>
      <c r="G47" s="564"/>
      <c r="H47" s="656" t="e">
        <f>AVERAGE(G47:G61)</f>
        <v>#DIV/0!</v>
      </c>
      <c r="I47" s="381" t="str">
        <f t="shared" ref="I47:I60" si="24">IFERROR(AVERAGE(P47,U47,Z47,AE47,AJ47,AO47,AT47),"-")</f>
        <v>-</v>
      </c>
      <c r="J47" s="381" t="str">
        <f t="shared" ref="J47:J60" si="25">IFERROR(AVERAGE(Q47,V47,AA47,AF47,AK47,AP47,AU47),"-")</f>
        <v>-</v>
      </c>
      <c r="K47" s="199" t="str">
        <f t="shared" ref="K47:K60" si="26">IFERROR(AVERAGE(R47,W47,AB47,AG47,AL47,AQ47,AV47),"-")</f>
        <v>-</v>
      </c>
      <c r="L47" s="658" t="str">
        <f>IFERROR(AVERAGE(K47:K61),"-")</f>
        <v>-</v>
      </c>
      <c r="M47" s="418" t="e">
        <f>RANK(K47, K$47:$K$61)</f>
        <v>#VALUE!</v>
      </c>
      <c r="N47" s="643"/>
      <c r="O47" s="643"/>
      <c r="P47" s="563"/>
      <c r="Q47" s="565"/>
      <c r="R47" s="565"/>
      <c r="S47" s="563"/>
      <c r="T47" s="638"/>
      <c r="U47" s="563"/>
      <c r="V47" s="565"/>
      <c r="W47" s="565"/>
      <c r="X47" s="563"/>
      <c r="Y47" s="638"/>
      <c r="Z47" s="563"/>
      <c r="AA47" s="565"/>
      <c r="AB47" s="565"/>
      <c r="AC47" s="563"/>
      <c r="AD47" s="638"/>
      <c r="AE47" s="563"/>
      <c r="AF47" s="565"/>
      <c r="AG47" s="565"/>
      <c r="AH47" s="563"/>
      <c r="AI47" s="638"/>
      <c r="AJ47" s="563"/>
      <c r="AK47" s="565"/>
      <c r="AL47" s="565"/>
      <c r="AM47" s="563"/>
      <c r="AN47" s="638"/>
      <c r="AO47" s="563"/>
      <c r="AP47" s="565"/>
      <c r="AQ47" s="565"/>
      <c r="AR47" s="563"/>
      <c r="AS47" s="638"/>
      <c r="AT47" s="563"/>
      <c r="AU47" s="565"/>
      <c r="AV47" s="565"/>
      <c r="AW47" s="563"/>
      <c r="AX47" s="638"/>
      <c r="AZ47" s="368" t="e">
        <f t="shared" ref="AZ47:AZ61" si="27">RANK(AY47, AY$47:AY$61)</f>
        <v>#N/A</v>
      </c>
      <c r="BA47" s="684" t="e">
        <f t="shared" ref="BA47" si="28">AVERAGE(AY47:AY61)</f>
        <v>#DIV/0!</v>
      </c>
    </row>
    <row r="48" spans="2:53">
      <c r="B48" s="649"/>
      <c r="C48" s="380">
        <v>2</v>
      </c>
      <c r="D48" s="225"/>
      <c r="E48" s="565"/>
      <c r="F48" s="563"/>
      <c r="G48" s="564"/>
      <c r="H48" s="657"/>
      <c r="I48" s="381" t="str">
        <f t="shared" si="24"/>
        <v>-</v>
      </c>
      <c r="J48" s="381" t="str">
        <f t="shared" si="25"/>
        <v>-</v>
      </c>
      <c r="K48" s="199" t="str">
        <f t="shared" si="26"/>
        <v>-</v>
      </c>
      <c r="L48" s="659"/>
      <c r="M48" s="418" t="e">
        <f>RANK(K48, K$47:$K$61)</f>
        <v>#VALUE!</v>
      </c>
      <c r="N48" s="643"/>
      <c r="O48" s="643"/>
      <c r="P48" s="563"/>
      <c r="Q48" s="565"/>
      <c r="R48" s="565"/>
      <c r="S48" s="563"/>
      <c r="T48" s="639"/>
      <c r="U48" s="563"/>
      <c r="V48" s="565"/>
      <c r="W48" s="565"/>
      <c r="X48" s="563"/>
      <c r="Y48" s="639"/>
      <c r="Z48" s="563"/>
      <c r="AA48" s="565"/>
      <c r="AB48" s="565"/>
      <c r="AC48" s="563"/>
      <c r="AD48" s="639"/>
      <c r="AE48" s="563"/>
      <c r="AF48" s="565"/>
      <c r="AG48" s="565"/>
      <c r="AH48" s="563"/>
      <c r="AI48" s="639"/>
      <c r="AJ48" s="563"/>
      <c r="AK48" s="565"/>
      <c r="AL48" s="565"/>
      <c r="AM48" s="563"/>
      <c r="AN48" s="639"/>
      <c r="AO48" s="563"/>
      <c r="AP48" s="565"/>
      <c r="AQ48" s="565"/>
      <c r="AR48" s="563"/>
      <c r="AS48" s="639"/>
      <c r="AT48" s="563"/>
      <c r="AU48" s="565"/>
      <c r="AV48" s="565"/>
      <c r="AW48" s="563"/>
      <c r="AX48" s="639"/>
      <c r="AZ48" s="368" t="e">
        <f t="shared" si="27"/>
        <v>#N/A</v>
      </c>
      <c r="BA48" s="685"/>
    </row>
    <row r="49" spans="2:53">
      <c r="B49" s="649"/>
      <c r="C49" s="380">
        <v>3</v>
      </c>
      <c r="D49" s="225"/>
      <c r="E49" s="565"/>
      <c r="F49" s="563"/>
      <c r="G49" s="564"/>
      <c r="H49" s="657"/>
      <c r="I49" s="381" t="str">
        <f t="shared" si="24"/>
        <v>-</v>
      </c>
      <c r="J49" s="381" t="str">
        <f t="shared" si="25"/>
        <v>-</v>
      </c>
      <c r="K49" s="199" t="str">
        <f t="shared" si="26"/>
        <v>-</v>
      </c>
      <c r="L49" s="659"/>
      <c r="M49" s="418" t="e">
        <f>RANK(K49, K$47:$K$61)</f>
        <v>#VALUE!</v>
      </c>
      <c r="N49" s="643"/>
      <c r="O49" s="643"/>
      <c r="P49" s="563"/>
      <c r="Q49" s="565"/>
      <c r="R49" s="565"/>
      <c r="S49" s="563"/>
      <c r="T49" s="639"/>
      <c r="U49" s="563"/>
      <c r="V49" s="565"/>
      <c r="W49" s="565"/>
      <c r="X49" s="563"/>
      <c r="Y49" s="639"/>
      <c r="Z49" s="563"/>
      <c r="AA49" s="565"/>
      <c r="AB49" s="565"/>
      <c r="AC49" s="563"/>
      <c r="AD49" s="639"/>
      <c r="AE49" s="563"/>
      <c r="AF49" s="565"/>
      <c r="AG49" s="565"/>
      <c r="AH49" s="563"/>
      <c r="AI49" s="639"/>
      <c r="AJ49" s="563"/>
      <c r="AK49" s="565"/>
      <c r="AL49" s="565"/>
      <c r="AM49" s="563"/>
      <c r="AN49" s="639"/>
      <c r="AO49" s="563"/>
      <c r="AP49" s="565"/>
      <c r="AQ49" s="565"/>
      <c r="AR49" s="563"/>
      <c r="AS49" s="639"/>
      <c r="AT49" s="563"/>
      <c r="AU49" s="565"/>
      <c r="AV49" s="565"/>
      <c r="AW49" s="563"/>
      <c r="AX49" s="639"/>
      <c r="AZ49" s="368" t="e">
        <f t="shared" si="27"/>
        <v>#N/A</v>
      </c>
      <c r="BA49" s="685"/>
    </row>
    <row r="50" spans="2:53">
      <c r="B50" s="649"/>
      <c r="C50" s="380">
        <v>4</v>
      </c>
      <c r="D50" s="225"/>
      <c r="E50" s="565"/>
      <c r="F50" s="563"/>
      <c r="G50" s="564"/>
      <c r="H50" s="657"/>
      <c r="I50" s="381" t="str">
        <f t="shared" si="24"/>
        <v>-</v>
      </c>
      <c r="J50" s="381" t="str">
        <f t="shared" si="25"/>
        <v>-</v>
      </c>
      <c r="K50" s="199" t="str">
        <f t="shared" si="26"/>
        <v>-</v>
      </c>
      <c r="L50" s="659"/>
      <c r="M50" s="418" t="e">
        <f>RANK(K50, K$47:$K$61)</f>
        <v>#VALUE!</v>
      </c>
      <c r="N50" s="643"/>
      <c r="O50" s="643"/>
      <c r="P50" s="563"/>
      <c r="Q50" s="565"/>
      <c r="R50" s="565"/>
      <c r="S50" s="563"/>
      <c r="T50" s="639"/>
      <c r="U50" s="563"/>
      <c r="V50" s="565"/>
      <c r="W50" s="565"/>
      <c r="X50" s="563"/>
      <c r="Y50" s="639"/>
      <c r="Z50" s="563"/>
      <c r="AA50" s="565"/>
      <c r="AB50" s="565"/>
      <c r="AC50" s="563"/>
      <c r="AD50" s="639"/>
      <c r="AE50" s="563"/>
      <c r="AF50" s="565"/>
      <c r="AG50" s="565"/>
      <c r="AH50" s="563"/>
      <c r="AI50" s="639"/>
      <c r="AJ50" s="563"/>
      <c r="AK50" s="565"/>
      <c r="AL50" s="565"/>
      <c r="AM50" s="563"/>
      <c r="AN50" s="639"/>
      <c r="AO50" s="563"/>
      <c r="AP50" s="565"/>
      <c r="AQ50" s="565"/>
      <c r="AR50" s="563"/>
      <c r="AS50" s="639"/>
      <c r="AT50" s="563"/>
      <c r="AU50" s="565"/>
      <c r="AV50" s="565"/>
      <c r="AW50" s="563"/>
      <c r="AX50" s="639"/>
      <c r="AZ50" s="368" t="e">
        <f t="shared" si="27"/>
        <v>#N/A</v>
      </c>
      <c r="BA50" s="685"/>
    </row>
    <row r="51" spans="2:53">
      <c r="B51" s="649"/>
      <c r="C51" s="380">
        <v>5</v>
      </c>
      <c r="D51" s="225"/>
      <c r="E51" s="565"/>
      <c r="F51" s="563"/>
      <c r="G51" s="564"/>
      <c r="H51" s="657"/>
      <c r="I51" s="381" t="str">
        <f t="shared" si="24"/>
        <v>-</v>
      </c>
      <c r="J51" s="381" t="str">
        <f t="shared" si="25"/>
        <v>-</v>
      </c>
      <c r="K51" s="199" t="str">
        <f t="shared" si="26"/>
        <v>-</v>
      </c>
      <c r="L51" s="659"/>
      <c r="M51" s="418" t="e">
        <f>RANK(K51, K$47:$K$61)</f>
        <v>#VALUE!</v>
      </c>
      <c r="N51" s="643"/>
      <c r="O51" s="643"/>
      <c r="P51" s="563"/>
      <c r="Q51" s="565"/>
      <c r="R51" s="565"/>
      <c r="S51" s="563"/>
      <c r="T51" s="639"/>
      <c r="U51" s="563"/>
      <c r="V51" s="565"/>
      <c r="W51" s="565"/>
      <c r="X51" s="563"/>
      <c r="Y51" s="639"/>
      <c r="Z51" s="563"/>
      <c r="AA51" s="565"/>
      <c r="AB51" s="565"/>
      <c r="AC51" s="563"/>
      <c r="AD51" s="639"/>
      <c r="AE51" s="563"/>
      <c r="AF51" s="565"/>
      <c r="AG51" s="565"/>
      <c r="AH51" s="563"/>
      <c r="AI51" s="639"/>
      <c r="AJ51" s="563"/>
      <c r="AK51" s="565"/>
      <c r="AL51" s="565"/>
      <c r="AM51" s="563"/>
      <c r="AN51" s="639"/>
      <c r="AO51" s="563"/>
      <c r="AP51" s="565"/>
      <c r="AQ51" s="565"/>
      <c r="AR51" s="563"/>
      <c r="AS51" s="639"/>
      <c r="AT51" s="563"/>
      <c r="AU51" s="565"/>
      <c r="AV51" s="565"/>
      <c r="AW51" s="563"/>
      <c r="AX51" s="639"/>
      <c r="AZ51" s="368" t="e">
        <f t="shared" si="27"/>
        <v>#N/A</v>
      </c>
      <c r="BA51" s="685"/>
    </row>
    <row r="52" spans="2:53">
      <c r="B52" s="649"/>
      <c r="C52" s="380">
        <v>6</v>
      </c>
      <c r="D52" s="225"/>
      <c r="E52" s="565"/>
      <c r="F52" s="563"/>
      <c r="G52" s="564"/>
      <c r="H52" s="657"/>
      <c r="I52" s="381" t="str">
        <f t="shared" si="24"/>
        <v>-</v>
      </c>
      <c r="J52" s="381" t="str">
        <f t="shared" si="25"/>
        <v>-</v>
      </c>
      <c r="K52" s="199" t="str">
        <f t="shared" si="26"/>
        <v>-</v>
      </c>
      <c r="L52" s="659"/>
      <c r="M52" s="418" t="e">
        <f>RANK(K52, K$47:$K$61)</f>
        <v>#VALUE!</v>
      </c>
      <c r="N52" s="643"/>
      <c r="O52" s="643"/>
      <c r="P52" s="563"/>
      <c r="Q52" s="565"/>
      <c r="R52" s="565"/>
      <c r="S52" s="563"/>
      <c r="T52" s="639"/>
      <c r="U52" s="563"/>
      <c r="V52" s="565"/>
      <c r="W52" s="565"/>
      <c r="X52" s="563"/>
      <c r="Y52" s="639"/>
      <c r="Z52" s="563"/>
      <c r="AA52" s="565"/>
      <c r="AB52" s="565"/>
      <c r="AC52" s="563"/>
      <c r="AD52" s="639"/>
      <c r="AE52" s="563"/>
      <c r="AF52" s="565"/>
      <c r="AG52" s="565"/>
      <c r="AH52" s="563"/>
      <c r="AI52" s="639"/>
      <c r="AJ52" s="563"/>
      <c r="AK52" s="565"/>
      <c r="AL52" s="565"/>
      <c r="AM52" s="563"/>
      <c r="AN52" s="639"/>
      <c r="AO52" s="563"/>
      <c r="AP52" s="565"/>
      <c r="AQ52" s="565"/>
      <c r="AR52" s="563"/>
      <c r="AS52" s="639"/>
      <c r="AT52" s="563"/>
      <c r="AU52" s="565"/>
      <c r="AV52" s="565"/>
      <c r="AW52" s="563"/>
      <c r="AX52" s="639"/>
      <c r="AZ52" s="368" t="e">
        <f t="shared" si="27"/>
        <v>#N/A</v>
      </c>
      <c r="BA52" s="685"/>
    </row>
    <row r="53" spans="2:53">
      <c r="B53" s="649"/>
      <c r="C53" s="380">
        <v>7</v>
      </c>
      <c r="D53" s="225"/>
      <c r="E53" s="565"/>
      <c r="F53" s="563"/>
      <c r="G53" s="564"/>
      <c r="H53" s="657"/>
      <c r="I53" s="381" t="str">
        <f t="shared" si="24"/>
        <v>-</v>
      </c>
      <c r="J53" s="381" t="str">
        <f t="shared" si="25"/>
        <v>-</v>
      </c>
      <c r="K53" s="199" t="str">
        <f t="shared" si="26"/>
        <v>-</v>
      </c>
      <c r="L53" s="659"/>
      <c r="M53" s="418" t="e">
        <f>RANK(K53, K$47:$K$61)</f>
        <v>#VALUE!</v>
      </c>
      <c r="N53" s="643"/>
      <c r="O53" s="643"/>
      <c r="P53" s="563"/>
      <c r="Q53" s="565"/>
      <c r="R53" s="565"/>
      <c r="S53" s="563"/>
      <c r="T53" s="639"/>
      <c r="U53" s="563"/>
      <c r="V53" s="565"/>
      <c r="W53" s="565"/>
      <c r="X53" s="563"/>
      <c r="Y53" s="639"/>
      <c r="Z53" s="563"/>
      <c r="AA53" s="565"/>
      <c r="AB53" s="565"/>
      <c r="AC53" s="563"/>
      <c r="AD53" s="639"/>
      <c r="AE53" s="563"/>
      <c r="AF53" s="565"/>
      <c r="AG53" s="565"/>
      <c r="AH53" s="563"/>
      <c r="AI53" s="639"/>
      <c r="AJ53" s="563"/>
      <c r="AK53" s="565"/>
      <c r="AL53" s="565"/>
      <c r="AM53" s="563"/>
      <c r="AN53" s="639"/>
      <c r="AO53" s="563"/>
      <c r="AP53" s="565"/>
      <c r="AQ53" s="565"/>
      <c r="AR53" s="563"/>
      <c r="AS53" s="639"/>
      <c r="AT53" s="563"/>
      <c r="AU53" s="565"/>
      <c r="AV53" s="565"/>
      <c r="AW53" s="563"/>
      <c r="AX53" s="639"/>
      <c r="AZ53" s="368" t="e">
        <f t="shared" si="27"/>
        <v>#N/A</v>
      </c>
      <c r="BA53" s="685"/>
    </row>
    <row r="54" spans="2:53">
      <c r="B54" s="649"/>
      <c r="C54" s="380">
        <v>8</v>
      </c>
      <c r="D54" s="225"/>
      <c r="E54" s="565"/>
      <c r="F54" s="563"/>
      <c r="G54" s="564"/>
      <c r="H54" s="657"/>
      <c r="I54" s="381" t="str">
        <f t="shared" si="24"/>
        <v>-</v>
      </c>
      <c r="J54" s="381" t="str">
        <f t="shared" si="25"/>
        <v>-</v>
      </c>
      <c r="K54" s="199" t="str">
        <f t="shared" si="26"/>
        <v>-</v>
      </c>
      <c r="L54" s="659"/>
      <c r="M54" s="418" t="e">
        <f>RANK(K54, K$47:$K$61)</f>
        <v>#VALUE!</v>
      </c>
      <c r="N54" s="643"/>
      <c r="O54" s="643"/>
      <c r="P54" s="563"/>
      <c r="Q54" s="565"/>
      <c r="R54" s="565"/>
      <c r="S54" s="563"/>
      <c r="T54" s="639"/>
      <c r="U54" s="563"/>
      <c r="V54" s="565"/>
      <c r="W54" s="565"/>
      <c r="X54" s="563"/>
      <c r="Y54" s="639"/>
      <c r="Z54" s="563"/>
      <c r="AA54" s="565"/>
      <c r="AB54" s="565"/>
      <c r="AC54" s="563"/>
      <c r="AD54" s="639"/>
      <c r="AE54" s="563"/>
      <c r="AF54" s="565"/>
      <c r="AG54" s="565"/>
      <c r="AH54" s="563"/>
      <c r="AI54" s="639"/>
      <c r="AJ54" s="563"/>
      <c r="AK54" s="565"/>
      <c r="AL54" s="565"/>
      <c r="AM54" s="563"/>
      <c r="AN54" s="639"/>
      <c r="AO54" s="563"/>
      <c r="AP54" s="565"/>
      <c r="AQ54" s="565"/>
      <c r="AR54" s="563"/>
      <c r="AS54" s="639"/>
      <c r="AT54" s="563"/>
      <c r="AU54" s="565"/>
      <c r="AV54" s="565"/>
      <c r="AW54" s="563"/>
      <c r="AX54" s="639"/>
      <c r="AZ54" s="368" t="e">
        <f t="shared" si="27"/>
        <v>#N/A</v>
      </c>
      <c r="BA54" s="685"/>
    </row>
    <row r="55" spans="2:53">
      <c r="B55" s="649"/>
      <c r="C55" s="380">
        <v>9</v>
      </c>
      <c r="D55" s="225"/>
      <c r="E55" s="565"/>
      <c r="F55" s="563"/>
      <c r="G55" s="564"/>
      <c r="H55" s="657"/>
      <c r="I55" s="381" t="str">
        <f t="shared" si="24"/>
        <v>-</v>
      </c>
      <c r="J55" s="381" t="str">
        <f t="shared" si="25"/>
        <v>-</v>
      </c>
      <c r="K55" s="199" t="str">
        <f t="shared" si="26"/>
        <v>-</v>
      </c>
      <c r="L55" s="659"/>
      <c r="M55" s="418" t="e">
        <f>RANK(K55, K$47:$K$61)</f>
        <v>#VALUE!</v>
      </c>
      <c r="N55" s="643"/>
      <c r="O55" s="643"/>
      <c r="P55" s="563"/>
      <c r="Q55" s="565"/>
      <c r="R55" s="565"/>
      <c r="S55" s="563"/>
      <c r="T55" s="639"/>
      <c r="U55" s="563"/>
      <c r="V55" s="565"/>
      <c r="W55" s="565"/>
      <c r="X55" s="563"/>
      <c r="Y55" s="639"/>
      <c r="Z55" s="563"/>
      <c r="AA55" s="565"/>
      <c r="AB55" s="565"/>
      <c r="AC55" s="563"/>
      <c r="AD55" s="639"/>
      <c r="AE55" s="563"/>
      <c r="AF55" s="565"/>
      <c r="AG55" s="565"/>
      <c r="AH55" s="563"/>
      <c r="AI55" s="639"/>
      <c r="AJ55" s="563"/>
      <c r="AK55" s="565"/>
      <c r="AL55" s="565"/>
      <c r="AM55" s="563"/>
      <c r="AN55" s="639"/>
      <c r="AO55" s="563"/>
      <c r="AP55" s="565"/>
      <c r="AQ55" s="565"/>
      <c r="AR55" s="563"/>
      <c r="AS55" s="639"/>
      <c r="AT55" s="563"/>
      <c r="AU55" s="565"/>
      <c r="AV55" s="565"/>
      <c r="AW55" s="563"/>
      <c r="AX55" s="639"/>
      <c r="AZ55" s="368" t="e">
        <f t="shared" si="27"/>
        <v>#N/A</v>
      </c>
      <c r="BA55" s="685"/>
    </row>
    <row r="56" spans="2:53">
      <c r="B56" s="649"/>
      <c r="C56" s="380">
        <v>10</v>
      </c>
      <c r="D56" s="225"/>
      <c r="E56" s="565"/>
      <c r="F56" s="563"/>
      <c r="G56" s="564"/>
      <c r="H56" s="657"/>
      <c r="I56" s="381" t="str">
        <f t="shared" si="24"/>
        <v>-</v>
      </c>
      <c r="J56" s="381" t="str">
        <f t="shared" si="25"/>
        <v>-</v>
      </c>
      <c r="K56" s="199" t="str">
        <f t="shared" si="26"/>
        <v>-</v>
      </c>
      <c r="L56" s="659"/>
      <c r="M56" s="418" t="e">
        <f>RANK(K56, K$47:$K$61)</f>
        <v>#VALUE!</v>
      </c>
      <c r="N56" s="643"/>
      <c r="O56" s="643"/>
      <c r="P56" s="563"/>
      <c r="Q56" s="565"/>
      <c r="R56" s="565"/>
      <c r="S56" s="563"/>
      <c r="T56" s="639"/>
      <c r="U56" s="563"/>
      <c r="V56" s="565"/>
      <c r="W56" s="565"/>
      <c r="X56" s="563"/>
      <c r="Y56" s="639"/>
      <c r="Z56" s="563"/>
      <c r="AA56" s="565"/>
      <c r="AB56" s="565"/>
      <c r="AC56" s="563"/>
      <c r="AD56" s="639"/>
      <c r="AE56" s="563"/>
      <c r="AF56" s="565"/>
      <c r="AG56" s="565"/>
      <c r="AH56" s="563"/>
      <c r="AI56" s="639"/>
      <c r="AJ56" s="563"/>
      <c r="AK56" s="565"/>
      <c r="AL56" s="565"/>
      <c r="AM56" s="563"/>
      <c r="AN56" s="639"/>
      <c r="AO56" s="563"/>
      <c r="AP56" s="565"/>
      <c r="AQ56" s="565"/>
      <c r="AR56" s="563"/>
      <c r="AS56" s="639"/>
      <c r="AT56" s="563"/>
      <c r="AU56" s="565"/>
      <c r="AV56" s="565"/>
      <c r="AW56" s="563"/>
      <c r="AX56" s="639"/>
      <c r="AZ56" s="368" t="e">
        <f t="shared" si="27"/>
        <v>#N/A</v>
      </c>
      <c r="BA56" s="685"/>
    </row>
    <row r="57" spans="2:53">
      <c r="B57" s="649"/>
      <c r="C57" s="380">
        <v>11</v>
      </c>
      <c r="D57" s="225"/>
      <c r="E57" s="565"/>
      <c r="F57" s="563"/>
      <c r="G57" s="564"/>
      <c r="H57" s="657"/>
      <c r="I57" s="381" t="str">
        <f t="shared" si="24"/>
        <v>-</v>
      </c>
      <c r="J57" s="381" t="str">
        <f t="shared" si="25"/>
        <v>-</v>
      </c>
      <c r="K57" s="199" t="str">
        <f t="shared" si="26"/>
        <v>-</v>
      </c>
      <c r="L57" s="659"/>
      <c r="M57" s="418" t="e">
        <f>RANK(K57, K$47:$K$61)</f>
        <v>#VALUE!</v>
      </c>
      <c r="N57" s="643"/>
      <c r="O57" s="643"/>
      <c r="P57" s="563"/>
      <c r="Q57" s="565"/>
      <c r="R57" s="565"/>
      <c r="S57" s="563"/>
      <c r="T57" s="639"/>
      <c r="U57" s="563"/>
      <c r="V57" s="565"/>
      <c r="W57" s="565"/>
      <c r="X57" s="563"/>
      <c r="Y57" s="639"/>
      <c r="Z57" s="563"/>
      <c r="AA57" s="565"/>
      <c r="AB57" s="565"/>
      <c r="AC57" s="563"/>
      <c r="AD57" s="639"/>
      <c r="AE57" s="563"/>
      <c r="AF57" s="565"/>
      <c r="AG57" s="565"/>
      <c r="AH57" s="563"/>
      <c r="AI57" s="639"/>
      <c r="AJ57" s="563"/>
      <c r="AK57" s="565"/>
      <c r="AL57" s="565"/>
      <c r="AM57" s="563"/>
      <c r="AN57" s="639"/>
      <c r="AO57" s="563"/>
      <c r="AP57" s="565"/>
      <c r="AQ57" s="565"/>
      <c r="AR57" s="563"/>
      <c r="AS57" s="639"/>
      <c r="AT57" s="563"/>
      <c r="AU57" s="565"/>
      <c r="AV57" s="565"/>
      <c r="AW57" s="563"/>
      <c r="AX57" s="639"/>
      <c r="AZ57" s="368" t="e">
        <f t="shared" si="27"/>
        <v>#N/A</v>
      </c>
      <c r="BA57" s="685"/>
    </row>
    <row r="58" spans="2:53">
      <c r="B58" s="649"/>
      <c r="C58" s="380">
        <v>12</v>
      </c>
      <c r="D58" s="225"/>
      <c r="E58" s="565"/>
      <c r="F58" s="563"/>
      <c r="G58" s="564"/>
      <c r="H58" s="657"/>
      <c r="I58" s="381" t="str">
        <f t="shared" si="24"/>
        <v>-</v>
      </c>
      <c r="J58" s="381" t="str">
        <f t="shared" si="25"/>
        <v>-</v>
      </c>
      <c r="K58" s="199" t="str">
        <f t="shared" si="26"/>
        <v>-</v>
      </c>
      <c r="L58" s="659"/>
      <c r="M58" s="418" t="e">
        <f>RANK(K58, K$47:$K$61)</f>
        <v>#VALUE!</v>
      </c>
      <c r="N58" s="643"/>
      <c r="O58" s="643"/>
      <c r="P58" s="563"/>
      <c r="Q58" s="565"/>
      <c r="R58" s="565"/>
      <c r="S58" s="563"/>
      <c r="T58" s="639"/>
      <c r="U58" s="563"/>
      <c r="V58" s="565"/>
      <c r="W58" s="565"/>
      <c r="X58" s="563"/>
      <c r="Y58" s="639"/>
      <c r="Z58" s="563"/>
      <c r="AA58" s="565"/>
      <c r="AB58" s="565"/>
      <c r="AC58" s="563"/>
      <c r="AD58" s="639"/>
      <c r="AE58" s="563"/>
      <c r="AF58" s="565"/>
      <c r="AG58" s="565"/>
      <c r="AH58" s="563"/>
      <c r="AI58" s="639"/>
      <c r="AJ58" s="563"/>
      <c r="AK58" s="565"/>
      <c r="AL58" s="565"/>
      <c r="AM58" s="563"/>
      <c r="AN58" s="639"/>
      <c r="AO58" s="563"/>
      <c r="AP58" s="565"/>
      <c r="AQ58" s="565"/>
      <c r="AR58" s="563"/>
      <c r="AS58" s="639"/>
      <c r="AT58" s="563"/>
      <c r="AU58" s="565"/>
      <c r="AV58" s="565"/>
      <c r="AW58" s="563"/>
      <c r="AX58" s="639"/>
      <c r="AZ58" s="368" t="e">
        <f t="shared" si="27"/>
        <v>#N/A</v>
      </c>
      <c r="BA58" s="685"/>
    </row>
    <row r="59" spans="2:53">
      <c r="B59" s="649"/>
      <c r="C59" s="380">
        <v>13</v>
      </c>
      <c r="D59" s="225"/>
      <c r="E59" s="565"/>
      <c r="F59" s="563"/>
      <c r="G59" s="564"/>
      <c r="H59" s="657"/>
      <c r="I59" s="381" t="str">
        <f t="shared" si="24"/>
        <v>-</v>
      </c>
      <c r="J59" s="381" t="str">
        <f t="shared" si="25"/>
        <v>-</v>
      </c>
      <c r="K59" s="199" t="str">
        <f t="shared" si="26"/>
        <v>-</v>
      </c>
      <c r="L59" s="659"/>
      <c r="M59" s="418" t="e">
        <f>RANK(K59, K$47:$K$61)</f>
        <v>#VALUE!</v>
      </c>
      <c r="N59" s="643"/>
      <c r="O59" s="643"/>
      <c r="P59" s="563"/>
      <c r="Q59" s="565"/>
      <c r="R59" s="565"/>
      <c r="S59" s="563"/>
      <c r="T59" s="639"/>
      <c r="U59" s="563"/>
      <c r="V59" s="565"/>
      <c r="W59" s="565"/>
      <c r="X59" s="563"/>
      <c r="Y59" s="639"/>
      <c r="Z59" s="563"/>
      <c r="AA59" s="565"/>
      <c r="AB59" s="565"/>
      <c r="AC59" s="563"/>
      <c r="AD59" s="639"/>
      <c r="AE59" s="563"/>
      <c r="AF59" s="565"/>
      <c r="AG59" s="565"/>
      <c r="AH59" s="563"/>
      <c r="AI59" s="639"/>
      <c r="AJ59" s="563"/>
      <c r="AK59" s="565"/>
      <c r="AL59" s="565"/>
      <c r="AM59" s="563"/>
      <c r="AN59" s="639"/>
      <c r="AO59" s="563"/>
      <c r="AP59" s="565"/>
      <c r="AQ59" s="565"/>
      <c r="AR59" s="563"/>
      <c r="AS59" s="639"/>
      <c r="AT59" s="563"/>
      <c r="AU59" s="565"/>
      <c r="AV59" s="565"/>
      <c r="AW59" s="563"/>
      <c r="AX59" s="639"/>
      <c r="AZ59" s="368" t="e">
        <f t="shared" si="27"/>
        <v>#N/A</v>
      </c>
      <c r="BA59" s="685"/>
    </row>
    <row r="60" spans="2:53">
      <c r="B60" s="649"/>
      <c r="C60" s="380">
        <v>14</v>
      </c>
      <c r="D60" s="225"/>
      <c r="E60" s="565"/>
      <c r="F60" s="563"/>
      <c r="G60" s="564"/>
      <c r="H60" s="657"/>
      <c r="I60" s="381" t="str">
        <f t="shared" si="24"/>
        <v>-</v>
      </c>
      <c r="J60" s="381" t="str">
        <f t="shared" si="25"/>
        <v>-</v>
      </c>
      <c r="K60" s="199" t="str">
        <f t="shared" si="26"/>
        <v>-</v>
      </c>
      <c r="L60" s="659"/>
      <c r="M60" s="418" t="e">
        <f>RANK(K60, K$47:$K$61)</f>
        <v>#VALUE!</v>
      </c>
      <c r="N60" s="643"/>
      <c r="O60" s="643"/>
      <c r="P60" s="563"/>
      <c r="Q60" s="565"/>
      <c r="R60" s="565"/>
      <c r="S60" s="563"/>
      <c r="T60" s="639"/>
      <c r="U60" s="563"/>
      <c r="V60" s="565"/>
      <c r="W60" s="565"/>
      <c r="X60" s="563"/>
      <c r="Y60" s="639"/>
      <c r="Z60" s="563"/>
      <c r="AA60" s="565"/>
      <c r="AB60" s="565"/>
      <c r="AC60" s="563"/>
      <c r="AD60" s="639"/>
      <c r="AE60" s="563"/>
      <c r="AF60" s="565"/>
      <c r="AG60" s="565"/>
      <c r="AH60" s="563"/>
      <c r="AI60" s="639"/>
      <c r="AJ60" s="563"/>
      <c r="AK60" s="565"/>
      <c r="AL60" s="565"/>
      <c r="AM60" s="563"/>
      <c r="AN60" s="639"/>
      <c r="AO60" s="563"/>
      <c r="AP60" s="565"/>
      <c r="AQ60" s="565"/>
      <c r="AR60" s="563"/>
      <c r="AS60" s="639"/>
      <c r="AT60" s="563"/>
      <c r="AU60" s="565"/>
      <c r="AV60" s="565"/>
      <c r="AW60" s="563"/>
      <c r="AX60" s="639"/>
      <c r="AZ60" s="368" t="e">
        <f t="shared" si="27"/>
        <v>#N/A</v>
      </c>
      <c r="BA60" s="685"/>
    </row>
    <row r="61" spans="2:53">
      <c r="B61" s="649"/>
      <c r="C61" s="380">
        <v>15</v>
      </c>
      <c r="D61" s="225"/>
      <c r="E61" s="565"/>
      <c r="F61" s="563"/>
      <c r="G61" s="564"/>
      <c r="H61" s="714"/>
      <c r="I61" s="380"/>
      <c r="J61" s="380"/>
      <c r="K61" s="380"/>
      <c r="L61" s="660"/>
      <c r="M61" s="418" t="e">
        <f>RANK(K61, K$47:$K$61)</f>
        <v>#N/A</v>
      </c>
      <c r="N61" s="643"/>
      <c r="O61" s="643"/>
      <c r="P61" s="563"/>
      <c r="Q61" s="565"/>
      <c r="R61" s="565"/>
      <c r="S61" s="563"/>
      <c r="T61" s="640"/>
      <c r="U61" s="563"/>
      <c r="V61" s="565"/>
      <c r="W61" s="565"/>
      <c r="X61" s="563"/>
      <c r="Y61" s="640"/>
      <c r="Z61" s="563"/>
      <c r="AA61" s="565"/>
      <c r="AB61" s="565"/>
      <c r="AC61" s="563"/>
      <c r="AD61" s="640"/>
      <c r="AE61" s="563"/>
      <c r="AF61" s="565"/>
      <c r="AG61" s="565"/>
      <c r="AH61" s="563"/>
      <c r="AI61" s="640"/>
      <c r="AJ61" s="563"/>
      <c r="AK61" s="565"/>
      <c r="AL61" s="565"/>
      <c r="AM61" s="563"/>
      <c r="AN61" s="640"/>
      <c r="AO61" s="563"/>
      <c r="AP61" s="565"/>
      <c r="AQ61" s="565"/>
      <c r="AR61" s="563"/>
      <c r="AS61" s="640"/>
      <c r="AT61" s="563"/>
      <c r="AU61" s="565"/>
      <c r="AV61" s="565"/>
      <c r="AW61" s="563"/>
      <c r="AX61" s="640"/>
      <c r="AZ61" s="368" t="e">
        <f t="shared" si="27"/>
        <v>#N/A</v>
      </c>
      <c r="BA61" s="686"/>
    </row>
    <row r="62" spans="2:53" ht="15.75">
      <c r="B62" s="671" t="s">
        <v>162</v>
      </c>
      <c r="C62" s="672"/>
      <c r="D62" s="672"/>
      <c r="E62" s="672"/>
      <c r="F62" s="672"/>
      <c r="G62" s="672"/>
      <c r="H62" s="673"/>
      <c r="I62" s="207"/>
      <c r="J62" s="207"/>
      <c r="K62" s="207"/>
      <c r="L62" s="207"/>
      <c r="M62" s="206"/>
      <c r="N62" s="645" t="s">
        <v>156</v>
      </c>
      <c r="O62" s="645" t="s">
        <v>105</v>
      </c>
      <c r="P62" s="670">
        <f>P42+7</f>
        <v>46287</v>
      </c>
      <c r="Q62" s="649"/>
      <c r="R62" s="649"/>
      <c r="S62" s="649"/>
      <c r="T62" s="649"/>
      <c r="U62" s="667">
        <f>P62+1</f>
        <v>46288</v>
      </c>
      <c r="V62" s="668"/>
      <c r="W62" s="668"/>
      <c r="X62" s="668"/>
      <c r="Y62" s="669"/>
      <c r="Z62" s="667">
        <f>U62+1</f>
        <v>46289</v>
      </c>
      <c r="AA62" s="668"/>
      <c r="AB62" s="668"/>
      <c r="AC62" s="668"/>
      <c r="AD62" s="669"/>
      <c r="AE62" s="667">
        <f>Z62+1</f>
        <v>46290</v>
      </c>
      <c r="AF62" s="668"/>
      <c r="AG62" s="668"/>
      <c r="AH62" s="668"/>
      <c r="AI62" s="669"/>
      <c r="AJ62" s="667">
        <f>AE62+1</f>
        <v>46291</v>
      </c>
      <c r="AK62" s="668"/>
      <c r="AL62" s="668"/>
      <c r="AM62" s="668"/>
      <c r="AN62" s="669"/>
      <c r="AO62" s="667">
        <f>AJ62+1</f>
        <v>46292</v>
      </c>
      <c r="AP62" s="668"/>
      <c r="AQ62" s="668"/>
      <c r="AR62" s="668"/>
      <c r="AS62" s="669"/>
      <c r="AT62" s="667">
        <f>AO62+1</f>
        <v>46293</v>
      </c>
      <c r="AU62" s="668"/>
      <c r="AV62" s="668"/>
      <c r="AW62" s="668"/>
      <c r="AX62" s="669"/>
    </row>
    <row r="63" spans="2:53" ht="15.75">
      <c r="B63" s="674"/>
      <c r="C63" s="674"/>
      <c r="D63" s="674"/>
      <c r="E63" s="674"/>
      <c r="F63" s="674"/>
      <c r="G63" s="674"/>
      <c r="H63" s="674"/>
      <c r="I63" s="204"/>
      <c r="J63" s="204"/>
      <c r="K63" s="204"/>
      <c r="L63" s="204"/>
      <c r="M63" s="205"/>
      <c r="N63" s="647"/>
      <c r="O63" s="647"/>
      <c r="P63" s="670" t="s">
        <v>317</v>
      </c>
      <c r="Q63" s="649"/>
      <c r="R63" s="649"/>
      <c r="S63" s="649"/>
      <c r="T63" s="649"/>
      <c r="U63" s="670" t="s">
        <v>318</v>
      </c>
      <c r="V63" s="649"/>
      <c r="W63" s="649"/>
      <c r="X63" s="649"/>
      <c r="Y63" s="649"/>
      <c r="Z63" s="670" t="s">
        <v>319</v>
      </c>
      <c r="AA63" s="649"/>
      <c r="AB63" s="649"/>
      <c r="AC63" s="649"/>
      <c r="AD63" s="649"/>
      <c r="AE63" s="670" t="s">
        <v>320</v>
      </c>
      <c r="AF63" s="649"/>
      <c r="AG63" s="649"/>
      <c r="AH63" s="649"/>
      <c r="AI63" s="649"/>
      <c r="AJ63" s="670" t="s">
        <v>321</v>
      </c>
      <c r="AK63" s="649"/>
      <c r="AL63" s="649"/>
      <c r="AM63" s="649"/>
      <c r="AN63" s="649"/>
      <c r="AO63" s="670" t="s">
        <v>322</v>
      </c>
      <c r="AP63" s="649"/>
      <c r="AQ63" s="649"/>
      <c r="AR63" s="649"/>
      <c r="AS63" s="649"/>
      <c r="AT63" s="670" t="s">
        <v>323</v>
      </c>
      <c r="AU63" s="649"/>
      <c r="AV63" s="649"/>
      <c r="AW63" s="649"/>
      <c r="AX63" s="649"/>
    </row>
    <row r="64" spans="2:53">
      <c r="B64" s="643" t="s">
        <v>362</v>
      </c>
      <c r="C64" s="643" t="s">
        <v>523</v>
      </c>
      <c r="D64" s="643"/>
      <c r="E64" s="643" t="s">
        <v>524</v>
      </c>
      <c r="F64" s="643"/>
      <c r="G64" s="643"/>
      <c r="H64" s="675" t="s">
        <v>525</v>
      </c>
      <c r="I64" s="643" t="s">
        <v>526</v>
      </c>
      <c r="J64" s="643"/>
      <c r="K64" s="643"/>
      <c r="L64" s="675" t="s">
        <v>359</v>
      </c>
      <c r="M64" s="645" t="s">
        <v>527</v>
      </c>
      <c r="N64" s="643"/>
      <c r="O64" s="643" t="s">
        <v>528</v>
      </c>
      <c r="P64" s="661" t="s">
        <v>361</v>
      </c>
      <c r="Q64" s="662"/>
      <c r="R64" s="662"/>
      <c r="S64" s="663"/>
      <c r="T64" s="643" t="s">
        <v>359</v>
      </c>
      <c r="U64" s="661" t="s">
        <v>361</v>
      </c>
      <c r="V64" s="662"/>
      <c r="W64" s="662"/>
      <c r="X64" s="663"/>
      <c r="Y64" s="643" t="s">
        <v>359</v>
      </c>
      <c r="Z64" s="661" t="s">
        <v>361</v>
      </c>
      <c r="AA64" s="662"/>
      <c r="AB64" s="662"/>
      <c r="AC64" s="663"/>
      <c r="AD64" s="643" t="s">
        <v>359</v>
      </c>
      <c r="AE64" s="661" t="s">
        <v>361</v>
      </c>
      <c r="AF64" s="662"/>
      <c r="AG64" s="662"/>
      <c r="AH64" s="663"/>
      <c r="AI64" s="643" t="s">
        <v>359</v>
      </c>
      <c r="AJ64" s="661" t="s">
        <v>361</v>
      </c>
      <c r="AK64" s="662"/>
      <c r="AL64" s="662"/>
      <c r="AM64" s="663"/>
      <c r="AN64" s="643" t="s">
        <v>359</v>
      </c>
      <c r="AO64" s="661" t="s">
        <v>361</v>
      </c>
      <c r="AP64" s="662"/>
      <c r="AQ64" s="662"/>
      <c r="AR64" s="663"/>
      <c r="AS64" s="643" t="s">
        <v>359</v>
      </c>
      <c r="AT64" s="661" t="s">
        <v>361</v>
      </c>
      <c r="AU64" s="662"/>
      <c r="AV64" s="662"/>
      <c r="AW64" s="663"/>
      <c r="AX64" s="643" t="s">
        <v>359</v>
      </c>
      <c r="BA64" s="643" t="s">
        <v>359</v>
      </c>
    </row>
    <row r="65" spans="2:53">
      <c r="B65" s="643"/>
      <c r="C65" s="643"/>
      <c r="D65" s="643"/>
      <c r="E65" s="643" t="s">
        <v>529</v>
      </c>
      <c r="F65" s="643"/>
      <c r="G65" s="643"/>
      <c r="H65" s="676"/>
      <c r="I65" s="643" t="s">
        <v>529</v>
      </c>
      <c r="J65" s="643"/>
      <c r="K65" s="643"/>
      <c r="L65" s="676"/>
      <c r="M65" s="646"/>
      <c r="N65" s="643"/>
      <c r="O65" s="643"/>
      <c r="P65" s="661" t="s">
        <v>367</v>
      </c>
      <c r="Q65" s="662"/>
      <c r="R65" s="662"/>
      <c r="S65" s="663"/>
      <c r="T65" s="643"/>
      <c r="U65" s="661" t="s">
        <v>367</v>
      </c>
      <c r="V65" s="662"/>
      <c r="W65" s="662"/>
      <c r="X65" s="663"/>
      <c r="Y65" s="643"/>
      <c r="Z65" s="661" t="s">
        <v>367</v>
      </c>
      <c r="AA65" s="662"/>
      <c r="AB65" s="662"/>
      <c r="AC65" s="663"/>
      <c r="AD65" s="643"/>
      <c r="AE65" s="661" t="s">
        <v>367</v>
      </c>
      <c r="AF65" s="662"/>
      <c r="AG65" s="662"/>
      <c r="AH65" s="663"/>
      <c r="AI65" s="643"/>
      <c r="AJ65" s="661" t="s">
        <v>367</v>
      </c>
      <c r="AK65" s="662"/>
      <c r="AL65" s="662"/>
      <c r="AM65" s="663"/>
      <c r="AN65" s="643"/>
      <c r="AO65" s="661" t="s">
        <v>367</v>
      </c>
      <c r="AP65" s="662"/>
      <c r="AQ65" s="662"/>
      <c r="AR65" s="663"/>
      <c r="AS65" s="643"/>
      <c r="AT65" s="661" t="s">
        <v>367</v>
      </c>
      <c r="AU65" s="662"/>
      <c r="AV65" s="662"/>
      <c r="AW65" s="663"/>
      <c r="AX65" s="643"/>
      <c r="BA65" s="643"/>
    </row>
    <row r="66" spans="2:53">
      <c r="B66" s="643"/>
      <c r="C66" s="643"/>
      <c r="D66" s="643"/>
      <c r="E66" s="378" t="s">
        <v>530</v>
      </c>
      <c r="F66" s="378" t="s">
        <v>531</v>
      </c>
      <c r="G66" s="378" t="s">
        <v>532</v>
      </c>
      <c r="H66" s="677"/>
      <c r="I66" s="378" t="s">
        <v>530</v>
      </c>
      <c r="J66" s="378" t="s">
        <v>531</v>
      </c>
      <c r="K66" s="378" t="s">
        <v>532</v>
      </c>
      <c r="L66" s="677"/>
      <c r="M66" s="647"/>
      <c r="N66" s="643"/>
      <c r="O66" s="643"/>
      <c r="P66" s="378" t="s">
        <v>368</v>
      </c>
      <c r="Q66" s="378" t="s">
        <v>369</v>
      </c>
      <c r="R66" s="378" t="s">
        <v>370</v>
      </c>
      <c r="S66" s="378" t="s">
        <v>360</v>
      </c>
      <c r="T66" s="643"/>
      <c r="U66" s="378" t="s">
        <v>368</v>
      </c>
      <c r="V66" s="378" t="s">
        <v>369</v>
      </c>
      <c r="W66" s="378" t="s">
        <v>370</v>
      </c>
      <c r="X66" s="378" t="s">
        <v>360</v>
      </c>
      <c r="Y66" s="643"/>
      <c r="Z66" s="378" t="s">
        <v>368</v>
      </c>
      <c r="AA66" s="378" t="s">
        <v>369</v>
      </c>
      <c r="AB66" s="378" t="s">
        <v>370</v>
      </c>
      <c r="AC66" s="378" t="s">
        <v>360</v>
      </c>
      <c r="AD66" s="643"/>
      <c r="AE66" s="378" t="s">
        <v>368</v>
      </c>
      <c r="AF66" s="378" t="s">
        <v>369</v>
      </c>
      <c r="AG66" s="378" t="s">
        <v>370</v>
      </c>
      <c r="AH66" s="378" t="s">
        <v>360</v>
      </c>
      <c r="AI66" s="643"/>
      <c r="AJ66" s="378" t="s">
        <v>368</v>
      </c>
      <c r="AK66" s="378" t="s">
        <v>369</v>
      </c>
      <c r="AL66" s="378" t="s">
        <v>370</v>
      </c>
      <c r="AM66" s="378" t="s">
        <v>360</v>
      </c>
      <c r="AN66" s="643"/>
      <c r="AO66" s="378" t="s">
        <v>368</v>
      </c>
      <c r="AP66" s="378" t="s">
        <v>369</v>
      </c>
      <c r="AQ66" s="378" t="s">
        <v>370</v>
      </c>
      <c r="AR66" s="378" t="s">
        <v>360</v>
      </c>
      <c r="AS66" s="643"/>
      <c r="AT66" s="378" t="s">
        <v>368</v>
      </c>
      <c r="AU66" s="378" t="s">
        <v>369</v>
      </c>
      <c r="AV66" s="378" t="s">
        <v>370</v>
      </c>
      <c r="AW66" s="378" t="s">
        <v>360</v>
      </c>
      <c r="AX66" s="643"/>
      <c r="AZ66" s="367" t="s">
        <v>360</v>
      </c>
      <c r="BA66" s="643"/>
    </row>
    <row r="67" spans="2:53">
      <c r="B67" s="643" t="s">
        <v>374</v>
      </c>
      <c r="C67" s="380">
        <v>1</v>
      </c>
      <c r="D67" s="225"/>
      <c r="E67" s="565"/>
      <c r="F67" s="563"/>
      <c r="G67" s="564"/>
      <c r="H67" s="656" t="e">
        <f>AVERAGE(G67:G81)</f>
        <v>#DIV/0!</v>
      </c>
      <c r="I67" s="381" t="str">
        <f t="shared" ref="I67:I80" si="29">IFERROR(AVERAGE(P67,U67,Z67,AE67,AJ67,AO67,AT67),"-")</f>
        <v>-</v>
      </c>
      <c r="J67" s="381" t="str">
        <f t="shared" ref="J67:J80" si="30">IFERROR(AVERAGE(Q67,V67,AA67,AF67,AK67,AP67,AU67),"-")</f>
        <v>-</v>
      </c>
      <c r="K67" s="199" t="str">
        <f t="shared" ref="K67:K80" si="31">IFERROR(AVERAGE(R67,W67,AB67,AG67,AL67,AQ67,AV67),"-")</f>
        <v>-</v>
      </c>
      <c r="L67" s="658" t="str">
        <f>IFERROR(AVERAGE(K67:K81),"-")</f>
        <v>-</v>
      </c>
      <c r="M67" s="384" t="e">
        <f>RANK(K67, K$67:$K$81)</f>
        <v>#VALUE!</v>
      </c>
      <c r="N67" s="643"/>
      <c r="O67" s="643"/>
      <c r="P67" s="563"/>
      <c r="Q67" s="565"/>
      <c r="R67" s="565"/>
      <c r="S67" s="563"/>
      <c r="T67" s="638"/>
      <c r="U67" s="563"/>
      <c r="V67" s="565"/>
      <c r="W67" s="565"/>
      <c r="X67" s="563"/>
      <c r="Y67" s="638"/>
      <c r="Z67" s="563"/>
      <c r="AA67" s="565"/>
      <c r="AB67" s="565"/>
      <c r="AC67" s="563"/>
      <c r="AD67" s="638"/>
      <c r="AE67" s="563"/>
      <c r="AF67" s="565"/>
      <c r="AG67" s="565"/>
      <c r="AH67" s="563"/>
      <c r="AI67" s="638"/>
      <c r="AJ67" s="563"/>
      <c r="AK67" s="565"/>
      <c r="AL67" s="565"/>
      <c r="AM67" s="563"/>
      <c r="AN67" s="638"/>
      <c r="AO67" s="563"/>
      <c r="AP67" s="565"/>
      <c r="AQ67" s="565"/>
      <c r="AR67" s="563"/>
      <c r="AS67" s="638"/>
      <c r="AT67" s="563"/>
      <c r="AU67" s="565"/>
      <c r="AV67" s="565"/>
      <c r="AW67" s="563"/>
      <c r="AX67" s="638"/>
      <c r="AZ67" s="368" t="e">
        <f t="shared" ref="AZ67:AZ81" si="32">RANK(AY67, AY$67:AY$81)</f>
        <v>#N/A</v>
      </c>
      <c r="BA67" s="684" t="e">
        <f t="shared" ref="BA67" si="33">AVERAGE(AY67:AY81)</f>
        <v>#DIV/0!</v>
      </c>
    </row>
    <row r="68" spans="2:53">
      <c r="B68" s="649"/>
      <c r="C68" s="380">
        <v>2</v>
      </c>
      <c r="D68" s="225"/>
      <c r="E68" s="565"/>
      <c r="F68" s="563"/>
      <c r="G68" s="564"/>
      <c r="H68" s="657"/>
      <c r="I68" s="381" t="str">
        <f t="shared" si="29"/>
        <v>-</v>
      </c>
      <c r="J68" s="381" t="str">
        <f t="shared" si="30"/>
        <v>-</v>
      </c>
      <c r="K68" s="199" t="str">
        <f t="shared" si="31"/>
        <v>-</v>
      </c>
      <c r="L68" s="659"/>
      <c r="M68" s="384" t="e">
        <f>RANK(K68, K$67:$K$81)</f>
        <v>#VALUE!</v>
      </c>
      <c r="N68" s="643"/>
      <c r="O68" s="643"/>
      <c r="P68" s="563"/>
      <c r="Q68" s="565"/>
      <c r="R68" s="565"/>
      <c r="S68" s="563"/>
      <c r="T68" s="639"/>
      <c r="U68" s="563"/>
      <c r="V68" s="565"/>
      <c r="W68" s="565"/>
      <c r="X68" s="563"/>
      <c r="Y68" s="639"/>
      <c r="Z68" s="563"/>
      <c r="AA68" s="565"/>
      <c r="AB68" s="565"/>
      <c r="AC68" s="563"/>
      <c r="AD68" s="639"/>
      <c r="AE68" s="563"/>
      <c r="AF68" s="565"/>
      <c r="AG68" s="565"/>
      <c r="AH68" s="563"/>
      <c r="AI68" s="639"/>
      <c r="AJ68" s="563"/>
      <c r="AK68" s="565"/>
      <c r="AL68" s="565"/>
      <c r="AM68" s="563"/>
      <c r="AN68" s="639"/>
      <c r="AO68" s="563"/>
      <c r="AP68" s="565"/>
      <c r="AQ68" s="565"/>
      <c r="AR68" s="563"/>
      <c r="AS68" s="639"/>
      <c r="AT68" s="563"/>
      <c r="AU68" s="565"/>
      <c r="AV68" s="565"/>
      <c r="AW68" s="563"/>
      <c r="AX68" s="639"/>
      <c r="AZ68" s="368" t="e">
        <f t="shared" si="32"/>
        <v>#N/A</v>
      </c>
      <c r="BA68" s="685"/>
    </row>
    <row r="69" spans="2:53">
      <c r="B69" s="649"/>
      <c r="C69" s="380">
        <v>3</v>
      </c>
      <c r="D69" s="225"/>
      <c r="E69" s="565"/>
      <c r="F69" s="563"/>
      <c r="G69" s="564"/>
      <c r="H69" s="657"/>
      <c r="I69" s="381" t="str">
        <f t="shared" si="29"/>
        <v>-</v>
      </c>
      <c r="J69" s="381" t="str">
        <f t="shared" si="30"/>
        <v>-</v>
      </c>
      <c r="K69" s="199" t="str">
        <f t="shared" si="31"/>
        <v>-</v>
      </c>
      <c r="L69" s="659"/>
      <c r="M69" s="384" t="e">
        <f>RANK(K69, K$67:$K$81)</f>
        <v>#VALUE!</v>
      </c>
      <c r="N69" s="643"/>
      <c r="O69" s="643"/>
      <c r="P69" s="563"/>
      <c r="Q69" s="565"/>
      <c r="R69" s="565"/>
      <c r="S69" s="563"/>
      <c r="T69" s="639"/>
      <c r="U69" s="563"/>
      <c r="V69" s="565"/>
      <c r="W69" s="565"/>
      <c r="X69" s="563"/>
      <c r="Y69" s="639"/>
      <c r="Z69" s="563"/>
      <c r="AA69" s="565"/>
      <c r="AB69" s="565"/>
      <c r="AC69" s="563"/>
      <c r="AD69" s="639"/>
      <c r="AE69" s="563"/>
      <c r="AF69" s="565"/>
      <c r="AG69" s="565"/>
      <c r="AH69" s="563"/>
      <c r="AI69" s="639"/>
      <c r="AJ69" s="563"/>
      <c r="AK69" s="565"/>
      <c r="AL69" s="565"/>
      <c r="AM69" s="563"/>
      <c r="AN69" s="639"/>
      <c r="AO69" s="563"/>
      <c r="AP69" s="565"/>
      <c r="AQ69" s="565"/>
      <c r="AR69" s="563"/>
      <c r="AS69" s="639"/>
      <c r="AT69" s="563"/>
      <c r="AU69" s="565"/>
      <c r="AV69" s="565"/>
      <c r="AW69" s="563"/>
      <c r="AX69" s="639"/>
      <c r="AZ69" s="368" t="e">
        <f t="shared" si="32"/>
        <v>#N/A</v>
      </c>
      <c r="BA69" s="685"/>
    </row>
    <row r="70" spans="2:53">
      <c r="B70" s="649"/>
      <c r="C70" s="380">
        <v>4</v>
      </c>
      <c r="D70" s="225"/>
      <c r="E70" s="565"/>
      <c r="F70" s="563"/>
      <c r="G70" s="564"/>
      <c r="H70" s="657"/>
      <c r="I70" s="381" t="str">
        <f t="shared" si="29"/>
        <v>-</v>
      </c>
      <c r="J70" s="381" t="str">
        <f t="shared" si="30"/>
        <v>-</v>
      </c>
      <c r="K70" s="199" t="str">
        <f t="shared" si="31"/>
        <v>-</v>
      </c>
      <c r="L70" s="659"/>
      <c r="M70" s="384" t="e">
        <f>RANK(K70, K$67:$K$81)</f>
        <v>#VALUE!</v>
      </c>
      <c r="N70" s="643"/>
      <c r="O70" s="643"/>
      <c r="P70" s="563"/>
      <c r="Q70" s="565"/>
      <c r="R70" s="565"/>
      <c r="S70" s="563"/>
      <c r="T70" s="639"/>
      <c r="U70" s="563"/>
      <c r="V70" s="565"/>
      <c r="W70" s="565"/>
      <c r="X70" s="563"/>
      <c r="Y70" s="639"/>
      <c r="Z70" s="563"/>
      <c r="AA70" s="565"/>
      <c r="AB70" s="565"/>
      <c r="AC70" s="563"/>
      <c r="AD70" s="639"/>
      <c r="AE70" s="563"/>
      <c r="AF70" s="565"/>
      <c r="AG70" s="565"/>
      <c r="AH70" s="563"/>
      <c r="AI70" s="639"/>
      <c r="AJ70" s="563"/>
      <c r="AK70" s="565"/>
      <c r="AL70" s="565"/>
      <c r="AM70" s="563"/>
      <c r="AN70" s="639"/>
      <c r="AO70" s="563"/>
      <c r="AP70" s="565"/>
      <c r="AQ70" s="565"/>
      <c r="AR70" s="563"/>
      <c r="AS70" s="639"/>
      <c r="AT70" s="563"/>
      <c r="AU70" s="565"/>
      <c r="AV70" s="565"/>
      <c r="AW70" s="563"/>
      <c r="AX70" s="639"/>
      <c r="AZ70" s="368" t="e">
        <f t="shared" si="32"/>
        <v>#N/A</v>
      </c>
      <c r="BA70" s="685"/>
    </row>
    <row r="71" spans="2:53">
      <c r="B71" s="649"/>
      <c r="C71" s="380">
        <v>5</v>
      </c>
      <c r="D71" s="225"/>
      <c r="E71" s="565"/>
      <c r="F71" s="563"/>
      <c r="G71" s="564"/>
      <c r="H71" s="657"/>
      <c r="I71" s="381" t="str">
        <f t="shared" si="29"/>
        <v>-</v>
      </c>
      <c r="J71" s="381" t="str">
        <f t="shared" si="30"/>
        <v>-</v>
      </c>
      <c r="K71" s="199" t="str">
        <f t="shared" si="31"/>
        <v>-</v>
      </c>
      <c r="L71" s="659"/>
      <c r="M71" s="384" t="e">
        <f>RANK(K71, K$67:$K$81)</f>
        <v>#VALUE!</v>
      </c>
      <c r="N71" s="643"/>
      <c r="O71" s="643"/>
      <c r="P71" s="563"/>
      <c r="Q71" s="565"/>
      <c r="R71" s="565"/>
      <c r="S71" s="563"/>
      <c r="T71" s="639"/>
      <c r="U71" s="563"/>
      <c r="V71" s="565"/>
      <c r="W71" s="565"/>
      <c r="X71" s="563"/>
      <c r="Y71" s="639"/>
      <c r="Z71" s="563"/>
      <c r="AA71" s="565"/>
      <c r="AB71" s="565"/>
      <c r="AC71" s="563"/>
      <c r="AD71" s="639"/>
      <c r="AE71" s="563"/>
      <c r="AF71" s="565"/>
      <c r="AG71" s="565"/>
      <c r="AH71" s="563"/>
      <c r="AI71" s="639"/>
      <c r="AJ71" s="563"/>
      <c r="AK71" s="565"/>
      <c r="AL71" s="565"/>
      <c r="AM71" s="563"/>
      <c r="AN71" s="639"/>
      <c r="AO71" s="563"/>
      <c r="AP71" s="565"/>
      <c r="AQ71" s="565"/>
      <c r="AR71" s="563"/>
      <c r="AS71" s="639"/>
      <c r="AT71" s="563"/>
      <c r="AU71" s="565"/>
      <c r="AV71" s="565"/>
      <c r="AW71" s="563"/>
      <c r="AX71" s="639"/>
      <c r="AZ71" s="368" t="e">
        <f t="shared" si="32"/>
        <v>#N/A</v>
      </c>
      <c r="BA71" s="685"/>
    </row>
    <row r="72" spans="2:53">
      <c r="B72" s="649"/>
      <c r="C72" s="380">
        <v>6</v>
      </c>
      <c r="D72" s="225"/>
      <c r="E72" s="565"/>
      <c r="F72" s="563"/>
      <c r="G72" s="564"/>
      <c r="H72" s="657"/>
      <c r="I72" s="381" t="str">
        <f t="shared" si="29"/>
        <v>-</v>
      </c>
      <c r="J72" s="381" t="str">
        <f t="shared" si="30"/>
        <v>-</v>
      </c>
      <c r="K72" s="199" t="str">
        <f t="shared" si="31"/>
        <v>-</v>
      </c>
      <c r="L72" s="659"/>
      <c r="M72" s="384" t="e">
        <f>RANK(K72, K$67:$K$81)</f>
        <v>#VALUE!</v>
      </c>
      <c r="N72" s="643"/>
      <c r="O72" s="643"/>
      <c r="P72" s="563"/>
      <c r="Q72" s="565"/>
      <c r="R72" s="565"/>
      <c r="S72" s="563"/>
      <c r="T72" s="639"/>
      <c r="U72" s="563"/>
      <c r="V72" s="565"/>
      <c r="W72" s="565"/>
      <c r="X72" s="563"/>
      <c r="Y72" s="639"/>
      <c r="Z72" s="563"/>
      <c r="AA72" s="565"/>
      <c r="AB72" s="565"/>
      <c r="AC72" s="563"/>
      <c r="AD72" s="639"/>
      <c r="AE72" s="563"/>
      <c r="AF72" s="565"/>
      <c r="AG72" s="565"/>
      <c r="AH72" s="563"/>
      <c r="AI72" s="639"/>
      <c r="AJ72" s="563"/>
      <c r="AK72" s="565"/>
      <c r="AL72" s="565"/>
      <c r="AM72" s="563"/>
      <c r="AN72" s="639"/>
      <c r="AO72" s="563"/>
      <c r="AP72" s="565"/>
      <c r="AQ72" s="565"/>
      <c r="AR72" s="563"/>
      <c r="AS72" s="639"/>
      <c r="AT72" s="563"/>
      <c r="AU72" s="565"/>
      <c r="AV72" s="565"/>
      <c r="AW72" s="563"/>
      <c r="AX72" s="639"/>
      <c r="AZ72" s="368" t="e">
        <f t="shared" si="32"/>
        <v>#N/A</v>
      </c>
      <c r="BA72" s="685"/>
    </row>
    <row r="73" spans="2:53">
      <c r="B73" s="649"/>
      <c r="C73" s="380">
        <v>7</v>
      </c>
      <c r="D73" s="225"/>
      <c r="E73" s="565"/>
      <c r="F73" s="563"/>
      <c r="G73" s="564"/>
      <c r="H73" s="657"/>
      <c r="I73" s="381" t="str">
        <f t="shared" si="29"/>
        <v>-</v>
      </c>
      <c r="J73" s="381" t="str">
        <f t="shared" si="30"/>
        <v>-</v>
      </c>
      <c r="K73" s="199" t="str">
        <f t="shared" si="31"/>
        <v>-</v>
      </c>
      <c r="L73" s="659"/>
      <c r="M73" s="384" t="e">
        <f>RANK(K73, K$67:$K$81)</f>
        <v>#VALUE!</v>
      </c>
      <c r="N73" s="643"/>
      <c r="O73" s="643"/>
      <c r="P73" s="563"/>
      <c r="Q73" s="565"/>
      <c r="R73" s="565"/>
      <c r="S73" s="563"/>
      <c r="T73" s="639"/>
      <c r="U73" s="563"/>
      <c r="V73" s="565"/>
      <c r="W73" s="565"/>
      <c r="X73" s="563"/>
      <c r="Y73" s="639"/>
      <c r="Z73" s="563"/>
      <c r="AA73" s="565"/>
      <c r="AB73" s="565"/>
      <c r="AC73" s="563"/>
      <c r="AD73" s="639"/>
      <c r="AE73" s="563"/>
      <c r="AF73" s="565"/>
      <c r="AG73" s="565"/>
      <c r="AH73" s="563"/>
      <c r="AI73" s="639"/>
      <c r="AJ73" s="563"/>
      <c r="AK73" s="565"/>
      <c r="AL73" s="565"/>
      <c r="AM73" s="563"/>
      <c r="AN73" s="639"/>
      <c r="AO73" s="563"/>
      <c r="AP73" s="565"/>
      <c r="AQ73" s="565"/>
      <c r="AR73" s="563"/>
      <c r="AS73" s="639"/>
      <c r="AT73" s="563"/>
      <c r="AU73" s="565"/>
      <c r="AV73" s="565"/>
      <c r="AW73" s="563"/>
      <c r="AX73" s="639"/>
      <c r="AZ73" s="368" t="e">
        <f t="shared" si="32"/>
        <v>#N/A</v>
      </c>
      <c r="BA73" s="685"/>
    </row>
    <row r="74" spans="2:53">
      <c r="B74" s="649"/>
      <c r="C74" s="380">
        <v>8</v>
      </c>
      <c r="D74" s="225"/>
      <c r="E74" s="565"/>
      <c r="F74" s="563"/>
      <c r="G74" s="564"/>
      <c r="H74" s="657"/>
      <c r="I74" s="381" t="str">
        <f t="shared" si="29"/>
        <v>-</v>
      </c>
      <c r="J74" s="381" t="str">
        <f t="shared" si="30"/>
        <v>-</v>
      </c>
      <c r="K74" s="199" t="str">
        <f t="shared" si="31"/>
        <v>-</v>
      </c>
      <c r="L74" s="659"/>
      <c r="M74" s="384" t="e">
        <f>RANK(K74, K$67:$K$81)</f>
        <v>#VALUE!</v>
      </c>
      <c r="N74" s="643"/>
      <c r="O74" s="643"/>
      <c r="P74" s="563"/>
      <c r="Q74" s="565"/>
      <c r="R74" s="565"/>
      <c r="S74" s="563"/>
      <c r="T74" s="639"/>
      <c r="U74" s="563"/>
      <c r="V74" s="565"/>
      <c r="W74" s="565"/>
      <c r="X74" s="563"/>
      <c r="Y74" s="639"/>
      <c r="Z74" s="563"/>
      <c r="AA74" s="565"/>
      <c r="AB74" s="565"/>
      <c r="AC74" s="563"/>
      <c r="AD74" s="639"/>
      <c r="AE74" s="563"/>
      <c r="AF74" s="565"/>
      <c r="AG74" s="565"/>
      <c r="AH74" s="563"/>
      <c r="AI74" s="639"/>
      <c r="AJ74" s="563"/>
      <c r="AK74" s="565"/>
      <c r="AL74" s="565"/>
      <c r="AM74" s="563"/>
      <c r="AN74" s="639"/>
      <c r="AO74" s="563"/>
      <c r="AP74" s="565"/>
      <c r="AQ74" s="565"/>
      <c r="AR74" s="563"/>
      <c r="AS74" s="639"/>
      <c r="AT74" s="563"/>
      <c r="AU74" s="565"/>
      <c r="AV74" s="565"/>
      <c r="AW74" s="563"/>
      <c r="AX74" s="639"/>
      <c r="AZ74" s="368" t="e">
        <f t="shared" si="32"/>
        <v>#N/A</v>
      </c>
      <c r="BA74" s="685"/>
    </row>
    <row r="75" spans="2:53">
      <c r="B75" s="649"/>
      <c r="C75" s="380">
        <v>9</v>
      </c>
      <c r="D75" s="225"/>
      <c r="E75" s="565"/>
      <c r="F75" s="563"/>
      <c r="G75" s="564"/>
      <c r="H75" s="657"/>
      <c r="I75" s="381" t="str">
        <f t="shared" si="29"/>
        <v>-</v>
      </c>
      <c r="J75" s="381" t="str">
        <f t="shared" si="30"/>
        <v>-</v>
      </c>
      <c r="K75" s="199" t="str">
        <f t="shared" si="31"/>
        <v>-</v>
      </c>
      <c r="L75" s="659"/>
      <c r="M75" s="384" t="e">
        <f>RANK(K75, K$67:$K$81)</f>
        <v>#VALUE!</v>
      </c>
      <c r="N75" s="643"/>
      <c r="O75" s="643"/>
      <c r="P75" s="563"/>
      <c r="Q75" s="565"/>
      <c r="R75" s="565"/>
      <c r="S75" s="563"/>
      <c r="T75" s="639"/>
      <c r="U75" s="563"/>
      <c r="V75" s="565"/>
      <c r="W75" s="565"/>
      <c r="X75" s="563"/>
      <c r="Y75" s="639"/>
      <c r="Z75" s="563"/>
      <c r="AA75" s="565"/>
      <c r="AB75" s="565"/>
      <c r="AC75" s="563"/>
      <c r="AD75" s="639"/>
      <c r="AE75" s="563"/>
      <c r="AF75" s="565"/>
      <c r="AG75" s="565"/>
      <c r="AH75" s="563"/>
      <c r="AI75" s="639"/>
      <c r="AJ75" s="563"/>
      <c r="AK75" s="565"/>
      <c r="AL75" s="565"/>
      <c r="AM75" s="563"/>
      <c r="AN75" s="639"/>
      <c r="AO75" s="563"/>
      <c r="AP75" s="565"/>
      <c r="AQ75" s="565"/>
      <c r="AR75" s="563"/>
      <c r="AS75" s="639"/>
      <c r="AT75" s="563"/>
      <c r="AU75" s="565"/>
      <c r="AV75" s="565"/>
      <c r="AW75" s="563"/>
      <c r="AX75" s="639"/>
      <c r="AZ75" s="368" t="e">
        <f t="shared" si="32"/>
        <v>#N/A</v>
      </c>
      <c r="BA75" s="685"/>
    </row>
    <row r="76" spans="2:53">
      <c r="B76" s="649"/>
      <c r="C76" s="380">
        <v>10</v>
      </c>
      <c r="D76" s="225"/>
      <c r="E76" s="565"/>
      <c r="F76" s="563"/>
      <c r="G76" s="564"/>
      <c r="H76" s="657"/>
      <c r="I76" s="381" t="str">
        <f t="shared" si="29"/>
        <v>-</v>
      </c>
      <c r="J76" s="381" t="str">
        <f t="shared" si="30"/>
        <v>-</v>
      </c>
      <c r="K76" s="199" t="str">
        <f t="shared" si="31"/>
        <v>-</v>
      </c>
      <c r="L76" s="659"/>
      <c r="M76" s="384" t="e">
        <f>RANK(K76, K$67:$K$81)</f>
        <v>#VALUE!</v>
      </c>
      <c r="N76" s="643"/>
      <c r="O76" s="643"/>
      <c r="P76" s="563"/>
      <c r="Q76" s="565"/>
      <c r="R76" s="565"/>
      <c r="S76" s="563"/>
      <c r="T76" s="639"/>
      <c r="U76" s="563"/>
      <c r="V76" s="565"/>
      <c r="W76" s="565"/>
      <c r="X76" s="563"/>
      <c r="Y76" s="639"/>
      <c r="Z76" s="563"/>
      <c r="AA76" s="565"/>
      <c r="AB76" s="565"/>
      <c r="AC76" s="563"/>
      <c r="AD76" s="639"/>
      <c r="AE76" s="563"/>
      <c r="AF76" s="565"/>
      <c r="AG76" s="565"/>
      <c r="AH76" s="563"/>
      <c r="AI76" s="639"/>
      <c r="AJ76" s="563"/>
      <c r="AK76" s="565"/>
      <c r="AL76" s="565"/>
      <c r="AM76" s="563"/>
      <c r="AN76" s="639"/>
      <c r="AO76" s="563"/>
      <c r="AP76" s="565"/>
      <c r="AQ76" s="565"/>
      <c r="AR76" s="563"/>
      <c r="AS76" s="639"/>
      <c r="AT76" s="563"/>
      <c r="AU76" s="565"/>
      <c r="AV76" s="565"/>
      <c r="AW76" s="563"/>
      <c r="AX76" s="639"/>
      <c r="AZ76" s="368" t="e">
        <f t="shared" si="32"/>
        <v>#N/A</v>
      </c>
      <c r="BA76" s="685"/>
    </row>
    <row r="77" spans="2:53">
      <c r="B77" s="649"/>
      <c r="C77" s="380">
        <v>11</v>
      </c>
      <c r="D77" s="225"/>
      <c r="E77" s="565"/>
      <c r="F77" s="563"/>
      <c r="G77" s="564"/>
      <c r="H77" s="657"/>
      <c r="I77" s="381" t="str">
        <f t="shared" si="29"/>
        <v>-</v>
      </c>
      <c r="J77" s="381" t="str">
        <f t="shared" si="30"/>
        <v>-</v>
      </c>
      <c r="K77" s="199" t="str">
        <f t="shared" si="31"/>
        <v>-</v>
      </c>
      <c r="L77" s="659"/>
      <c r="M77" s="384" t="e">
        <f>RANK(K77, K$67:$K$81)</f>
        <v>#VALUE!</v>
      </c>
      <c r="N77" s="643"/>
      <c r="O77" s="643"/>
      <c r="P77" s="563"/>
      <c r="Q77" s="565"/>
      <c r="R77" s="565"/>
      <c r="S77" s="563"/>
      <c r="T77" s="639"/>
      <c r="U77" s="563"/>
      <c r="V77" s="565"/>
      <c r="W77" s="565"/>
      <c r="X77" s="563"/>
      <c r="Y77" s="639"/>
      <c r="Z77" s="563"/>
      <c r="AA77" s="565"/>
      <c r="AB77" s="565"/>
      <c r="AC77" s="563"/>
      <c r="AD77" s="639"/>
      <c r="AE77" s="563"/>
      <c r="AF77" s="565"/>
      <c r="AG77" s="565"/>
      <c r="AH77" s="563"/>
      <c r="AI77" s="639"/>
      <c r="AJ77" s="563"/>
      <c r="AK77" s="565"/>
      <c r="AL77" s="565"/>
      <c r="AM77" s="563"/>
      <c r="AN77" s="639"/>
      <c r="AO77" s="563"/>
      <c r="AP77" s="565"/>
      <c r="AQ77" s="565"/>
      <c r="AR77" s="563"/>
      <c r="AS77" s="639"/>
      <c r="AT77" s="563"/>
      <c r="AU77" s="565"/>
      <c r="AV77" s="565"/>
      <c r="AW77" s="563"/>
      <c r="AX77" s="639"/>
      <c r="AZ77" s="368" t="e">
        <f t="shared" si="32"/>
        <v>#N/A</v>
      </c>
      <c r="BA77" s="685"/>
    </row>
    <row r="78" spans="2:53">
      <c r="B78" s="649"/>
      <c r="C78" s="380">
        <v>12</v>
      </c>
      <c r="D78" s="225"/>
      <c r="E78" s="565"/>
      <c r="F78" s="563"/>
      <c r="G78" s="564"/>
      <c r="H78" s="657"/>
      <c r="I78" s="381" t="str">
        <f t="shared" si="29"/>
        <v>-</v>
      </c>
      <c r="J78" s="381" t="str">
        <f t="shared" si="30"/>
        <v>-</v>
      </c>
      <c r="K78" s="199" t="str">
        <f t="shared" si="31"/>
        <v>-</v>
      </c>
      <c r="L78" s="659"/>
      <c r="M78" s="384" t="e">
        <f>RANK(K78, K$67:$K$81)</f>
        <v>#VALUE!</v>
      </c>
      <c r="N78" s="643"/>
      <c r="O78" s="643"/>
      <c r="P78" s="563"/>
      <c r="Q78" s="565"/>
      <c r="R78" s="565"/>
      <c r="S78" s="563"/>
      <c r="T78" s="639"/>
      <c r="U78" s="563"/>
      <c r="V78" s="565"/>
      <c r="W78" s="565"/>
      <c r="X78" s="563"/>
      <c r="Y78" s="639"/>
      <c r="Z78" s="563"/>
      <c r="AA78" s="565"/>
      <c r="AB78" s="565"/>
      <c r="AC78" s="563"/>
      <c r="AD78" s="639"/>
      <c r="AE78" s="563"/>
      <c r="AF78" s="565"/>
      <c r="AG78" s="565"/>
      <c r="AH78" s="563"/>
      <c r="AI78" s="639"/>
      <c r="AJ78" s="563"/>
      <c r="AK78" s="565"/>
      <c r="AL78" s="565"/>
      <c r="AM78" s="563"/>
      <c r="AN78" s="639"/>
      <c r="AO78" s="563"/>
      <c r="AP78" s="565"/>
      <c r="AQ78" s="565"/>
      <c r="AR78" s="563"/>
      <c r="AS78" s="639"/>
      <c r="AT78" s="563"/>
      <c r="AU78" s="565"/>
      <c r="AV78" s="565"/>
      <c r="AW78" s="563"/>
      <c r="AX78" s="639"/>
      <c r="AZ78" s="368" t="e">
        <f t="shared" si="32"/>
        <v>#N/A</v>
      </c>
      <c r="BA78" s="685"/>
    </row>
    <row r="79" spans="2:53">
      <c r="B79" s="649"/>
      <c r="C79" s="380">
        <v>13</v>
      </c>
      <c r="D79" s="225"/>
      <c r="E79" s="565"/>
      <c r="F79" s="563"/>
      <c r="G79" s="564"/>
      <c r="H79" s="657"/>
      <c r="I79" s="381" t="str">
        <f t="shared" si="29"/>
        <v>-</v>
      </c>
      <c r="J79" s="381" t="str">
        <f t="shared" si="30"/>
        <v>-</v>
      </c>
      <c r="K79" s="199" t="str">
        <f t="shared" si="31"/>
        <v>-</v>
      </c>
      <c r="L79" s="659"/>
      <c r="M79" s="384" t="e">
        <f>RANK(K79, K$67:$K$81)</f>
        <v>#VALUE!</v>
      </c>
      <c r="N79" s="643"/>
      <c r="O79" s="643"/>
      <c r="P79" s="563"/>
      <c r="Q79" s="565"/>
      <c r="R79" s="565"/>
      <c r="S79" s="563"/>
      <c r="T79" s="639"/>
      <c r="U79" s="563"/>
      <c r="V79" s="565"/>
      <c r="W79" s="565"/>
      <c r="X79" s="563"/>
      <c r="Y79" s="639"/>
      <c r="Z79" s="563"/>
      <c r="AA79" s="565"/>
      <c r="AB79" s="565"/>
      <c r="AC79" s="563"/>
      <c r="AD79" s="639"/>
      <c r="AE79" s="563"/>
      <c r="AF79" s="565"/>
      <c r="AG79" s="565"/>
      <c r="AH79" s="563"/>
      <c r="AI79" s="639"/>
      <c r="AJ79" s="563"/>
      <c r="AK79" s="565"/>
      <c r="AL79" s="565"/>
      <c r="AM79" s="563"/>
      <c r="AN79" s="639"/>
      <c r="AO79" s="563"/>
      <c r="AP79" s="565"/>
      <c r="AQ79" s="565"/>
      <c r="AR79" s="563"/>
      <c r="AS79" s="639"/>
      <c r="AT79" s="563"/>
      <c r="AU79" s="565"/>
      <c r="AV79" s="565"/>
      <c r="AW79" s="563"/>
      <c r="AX79" s="639"/>
      <c r="AZ79" s="368" t="e">
        <f t="shared" si="32"/>
        <v>#N/A</v>
      </c>
      <c r="BA79" s="685"/>
    </row>
    <row r="80" spans="2:53">
      <c r="B80" s="649"/>
      <c r="C80" s="380">
        <v>14</v>
      </c>
      <c r="D80" s="225"/>
      <c r="E80" s="565"/>
      <c r="F80" s="563"/>
      <c r="G80" s="564"/>
      <c r="H80" s="657"/>
      <c r="I80" s="381" t="str">
        <f t="shared" si="29"/>
        <v>-</v>
      </c>
      <c r="J80" s="381" t="str">
        <f t="shared" si="30"/>
        <v>-</v>
      </c>
      <c r="K80" s="199" t="str">
        <f t="shared" si="31"/>
        <v>-</v>
      </c>
      <c r="L80" s="659"/>
      <c r="M80" s="384" t="e">
        <f>RANK(K80, K$67:$K$81)</f>
        <v>#VALUE!</v>
      </c>
      <c r="N80" s="643"/>
      <c r="O80" s="643"/>
      <c r="P80" s="563"/>
      <c r="Q80" s="565"/>
      <c r="R80" s="565"/>
      <c r="S80" s="563"/>
      <c r="T80" s="639"/>
      <c r="U80" s="563"/>
      <c r="V80" s="565"/>
      <c r="W80" s="565"/>
      <c r="X80" s="563"/>
      <c r="Y80" s="639"/>
      <c r="Z80" s="563"/>
      <c r="AA80" s="565"/>
      <c r="AB80" s="565"/>
      <c r="AC80" s="563"/>
      <c r="AD80" s="639"/>
      <c r="AE80" s="563"/>
      <c r="AF80" s="565"/>
      <c r="AG80" s="565"/>
      <c r="AH80" s="563"/>
      <c r="AI80" s="639"/>
      <c r="AJ80" s="563"/>
      <c r="AK80" s="565"/>
      <c r="AL80" s="565"/>
      <c r="AM80" s="563"/>
      <c r="AN80" s="639"/>
      <c r="AO80" s="563"/>
      <c r="AP80" s="565"/>
      <c r="AQ80" s="565"/>
      <c r="AR80" s="563"/>
      <c r="AS80" s="639"/>
      <c r="AT80" s="563"/>
      <c r="AU80" s="565"/>
      <c r="AV80" s="565"/>
      <c r="AW80" s="563"/>
      <c r="AX80" s="639"/>
      <c r="AZ80" s="368" t="e">
        <f t="shared" si="32"/>
        <v>#N/A</v>
      </c>
      <c r="BA80" s="685"/>
    </row>
    <row r="81" spans="2:53">
      <c r="B81" s="649"/>
      <c r="C81" s="380">
        <v>15</v>
      </c>
      <c r="D81" s="225"/>
      <c r="E81" s="565"/>
      <c r="F81" s="563"/>
      <c r="G81" s="564"/>
      <c r="H81" s="714"/>
      <c r="I81" s="380"/>
      <c r="J81" s="380"/>
      <c r="K81" s="380"/>
      <c r="L81" s="660"/>
      <c r="M81" s="384" t="e">
        <f>RANK(K81, K$67:$K$81)</f>
        <v>#N/A</v>
      </c>
      <c r="N81" s="643"/>
      <c r="O81" s="643"/>
      <c r="P81" s="563"/>
      <c r="Q81" s="565"/>
      <c r="R81" s="565"/>
      <c r="S81" s="563"/>
      <c r="T81" s="640"/>
      <c r="U81" s="563"/>
      <c r="V81" s="565"/>
      <c r="W81" s="565"/>
      <c r="X81" s="563"/>
      <c r="Y81" s="640"/>
      <c r="Z81" s="563"/>
      <c r="AA81" s="565"/>
      <c r="AB81" s="565"/>
      <c r="AC81" s="563"/>
      <c r="AD81" s="640"/>
      <c r="AE81" s="563"/>
      <c r="AF81" s="565"/>
      <c r="AG81" s="565"/>
      <c r="AH81" s="563"/>
      <c r="AI81" s="640"/>
      <c r="AJ81" s="563"/>
      <c r="AK81" s="565"/>
      <c r="AL81" s="565"/>
      <c r="AM81" s="563"/>
      <c r="AN81" s="640"/>
      <c r="AO81" s="563"/>
      <c r="AP81" s="565"/>
      <c r="AQ81" s="565"/>
      <c r="AR81" s="563"/>
      <c r="AS81" s="640"/>
      <c r="AT81" s="563"/>
      <c r="AU81" s="565"/>
      <c r="AV81" s="565"/>
      <c r="AW81" s="563"/>
      <c r="AX81" s="640"/>
      <c r="AZ81" s="368" t="e">
        <f t="shared" si="32"/>
        <v>#N/A</v>
      </c>
      <c r="BA81" s="686"/>
    </row>
    <row r="82" spans="2:53" ht="15.75">
      <c r="B82" s="671" t="s">
        <v>162</v>
      </c>
      <c r="C82" s="672"/>
      <c r="D82" s="672"/>
      <c r="E82" s="672"/>
      <c r="F82" s="672"/>
      <c r="G82" s="672"/>
      <c r="H82" s="673"/>
      <c r="I82" s="207"/>
      <c r="J82" s="207"/>
      <c r="K82" s="207"/>
      <c r="L82" s="207"/>
      <c r="M82" s="206"/>
      <c r="N82" s="645" t="s">
        <v>156</v>
      </c>
      <c r="O82" s="645" t="s">
        <v>105</v>
      </c>
      <c r="P82" s="670">
        <f>P62+7</f>
        <v>46294</v>
      </c>
      <c r="Q82" s="649"/>
      <c r="R82" s="649"/>
      <c r="S82" s="649"/>
      <c r="T82" s="649"/>
      <c r="U82" s="667">
        <f>P82+1</f>
        <v>46295</v>
      </c>
      <c r="V82" s="668"/>
      <c r="W82" s="668"/>
      <c r="X82" s="668"/>
      <c r="Y82" s="669"/>
      <c r="Z82" s="667">
        <f>U82+1</f>
        <v>46296</v>
      </c>
      <c r="AA82" s="668"/>
      <c r="AB82" s="668"/>
      <c r="AC82" s="668"/>
      <c r="AD82" s="669"/>
      <c r="AE82" s="667">
        <f>Z82+1</f>
        <v>46297</v>
      </c>
      <c r="AF82" s="668"/>
      <c r="AG82" s="668"/>
      <c r="AH82" s="668"/>
      <c r="AI82" s="669"/>
      <c r="AJ82" s="667">
        <f>AE82+1</f>
        <v>46298</v>
      </c>
      <c r="AK82" s="668"/>
      <c r="AL82" s="668"/>
      <c r="AM82" s="668"/>
      <c r="AN82" s="669"/>
      <c r="AO82" s="667">
        <f>AJ82+1</f>
        <v>46299</v>
      </c>
      <c r="AP82" s="668"/>
      <c r="AQ82" s="668"/>
      <c r="AR82" s="668"/>
      <c r="AS82" s="669"/>
      <c r="AT82" s="667">
        <f>AO82+1</f>
        <v>46300</v>
      </c>
      <c r="AU82" s="668"/>
      <c r="AV82" s="668"/>
      <c r="AW82" s="668"/>
      <c r="AX82" s="669"/>
    </row>
    <row r="83" spans="2:53" ht="15.75">
      <c r="B83" s="674"/>
      <c r="C83" s="674"/>
      <c r="D83" s="674"/>
      <c r="E83" s="674"/>
      <c r="F83" s="674"/>
      <c r="G83" s="674"/>
      <c r="H83" s="674"/>
      <c r="I83" s="204"/>
      <c r="J83" s="204"/>
      <c r="K83" s="204"/>
      <c r="L83" s="204"/>
      <c r="M83" s="205"/>
      <c r="N83" s="647"/>
      <c r="O83" s="647"/>
      <c r="P83" s="670" t="s">
        <v>317</v>
      </c>
      <c r="Q83" s="649"/>
      <c r="R83" s="649"/>
      <c r="S83" s="649"/>
      <c r="T83" s="649"/>
      <c r="U83" s="670" t="s">
        <v>318</v>
      </c>
      <c r="V83" s="649"/>
      <c r="W83" s="649"/>
      <c r="X83" s="649"/>
      <c r="Y83" s="649"/>
      <c r="Z83" s="670" t="s">
        <v>319</v>
      </c>
      <c r="AA83" s="649"/>
      <c r="AB83" s="649"/>
      <c r="AC83" s="649"/>
      <c r="AD83" s="649"/>
      <c r="AE83" s="670" t="s">
        <v>320</v>
      </c>
      <c r="AF83" s="649"/>
      <c r="AG83" s="649"/>
      <c r="AH83" s="649"/>
      <c r="AI83" s="649"/>
      <c r="AJ83" s="670" t="s">
        <v>321</v>
      </c>
      <c r="AK83" s="649"/>
      <c r="AL83" s="649"/>
      <c r="AM83" s="649"/>
      <c r="AN83" s="649"/>
      <c r="AO83" s="670" t="s">
        <v>322</v>
      </c>
      <c r="AP83" s="649"/>
      <c r="AQ83" s="649"/>
      <c r="AR83" s="649"/>
      <c r="AS83" s="649"/>
      <c r="AT83" s="670" t="s">
        <v>323</v>
      </c>
      <c r="AU83" s="649"/>
      <c r="AV83" s="649"/>
      <c r="AW83" s="649"/>
      <c r="AX83" s="649"/>
    </row>
    <row r="84" spans="2:53">
      <c r="B84" s="643" t="s">
        <v>382</v>
      </c>
      <c r="C84" s="643" t="s">
        <v>523</v>
      </c>
      <c r="D84" s="643"/>
      <c r="E84" s="643" t="s">
        <v>524</v>
      </c>
      <c r="F84" s="643"/>
      <c r="G84" s="643"/>
      <c r="H84" s="675" t="s">
        <v>525</v>
      </c>
      <c r="I84" s="643" t="s">
        <v>526</v>
      </c>
      <c r="J84" s="643"/>
      <c r="K84" s="643"/>
      <c r="L84" s="675" t="s">
        <v>359</v>
      </c>
      <c r="M84" s="645" t="s">
        <v>527</v>
      </c>
      <c r="N84" s="643"/>
      <c r="O84" s="643" t="s">
        <v>528</v>
      </c>
      <c r="P84" s="661" t="s">
        <v>361</v>
      </c>
      <c r="Q84" s="662"/>
      <c r="R84" s="662"/>
      <c r="S84" s="663"/>
      <c r="T84" s="643" t="s">
        <v>359</v>
      </c>
      <c r="U84" s="661" t="s">
        <v>361</v>
      </c>
      <c r="V84" s="662"/>
      <c r="W84" s="662"/>
      <c r="X84" s="663"/>
      <c r="Y84" s="643" t="s">
        <v>359</v>
      </c>
      <c r="Z84" s="661" t="s">
        <v>361</v>
      </c>
      <c r="AA84" s="662"/>
      <c r="AB84" s="662"/>
      <c r="AC84" s="663"/>
      <c r="AD84" s="643" t="s">
        <v>359</v>
      </c>
      <c r="AE84" s="661" t="s">
        <v>361</v>
      </c>
      <c r="AF84" s="662"/>
      <c r="AG84" s="662"/>
      <c r="AH84" s="663"/>
      <c r="AI84" s="643" t="s">
        <v>359</v>
      </c>
      <c r="AJ84" s="661" t="s">
        <v>361</v>
      </c>
      <c r="AK84" s="662"/>
      <c r="AL84" s="662"/>
      <c r="AM84" s="663"/>
      <c r="AN84" s="643" t="s">
        <v>359</v>
      </c>
      <c r="AO84" s="661" t="s">
        <v>361</v>
      </c>
      <c r="AP84" s="662"/>
      <c r="AQ84" s="662"/>
      <c r="AR84" s="663"/>
      <c r="AS84" s="643" t="s">
        <v>359</v>
      </c>
      <c r="AT84" s="661" t="s">
        <v>361</v>
      </c>
      <c r="AU84" s="662"/>
      <c r="AV84" s="662"/>
      <c r="AW84" s="663"/>
      <c r="AX84" s="643" t="s">
        <v>359</v>
      </c>
      <c r="BA84" s="643" t="s">
        <v>359</v>
      </c>
    </row>
    <row r="85" spans="2:53">
      <c r="B85" s="643"/>
      <c r="C85" s="643"/>
      <c r="D85" s="643"/>
      <c r="E85" s="643" t="s">
        <v>529</v>
      </c>
      <c r="F85" s="643"/>
      <c r="G85" s="643"/>
      <c r="H85" s="676"/>
      <c r="I85" s="643" t="s">
        <v>529</v>
      </c>
      <c r="J85" s="643"/>
      <c r="K85" s="643"/>
      <c r="L85" s="676"/>
      <c r="M85" s="646"/>
      <c r="N85" s="643"/>
      <c r="O85" s="643"/>
      <c r="P85" s="661" t="s">
        <v>367</v>
      </c>
      <c r="Q85" s="662"/>
      <c r="R85" s="662"/>
      <c r="S85" s="663"/>
      <c r="T85" s="643"/>
      <c r="U85" s="661" t="s">
        <v>367</v>
      </c>
      <c r="V85" s="662"/>
      <c r="W85" s="662"/>
      <c r="X85" s="663"/>
      <c r="Y85" s="643"/>
      <c r="Z85" s="661" t="s">
        <v>367</v>
      </c>
      <c r="AA85" s="662"/>
      <c r="AB85" s="662"/>
      <c r="AC85" s="663"/>
      <c r="AD85" s="643"/>
      <c r="AE85" s="661" t="s">
        <v>367</v>
      </c>
      <c r="AF85" s="662"/>
      <c r="AG85" s="662"/>
      <c r="AH85" s="663"/>
      <c r="AI85" s="643"/>
      <c r="AJ85" s="661" t="s">
        <v>367</v>
      </c>
      <c r="AK85" s="662"/>
      <c r="AL85" s="662"/>
      <c r="AM85" s="663"/>
      <c r="AN85" s="643"/>
      <c r="AO85" s="661" t="s">
        <v>367</v>
      </c>
      <c r="AP85" s="662"/>
      <c r="AQ85" s="662"/>
      <c r="AR85" s="663"/>
      <c r="AS85" s="643"/>
      <c r="AT85" s="661" t="s">
        <v>367</v>
      </c>
      <c r="AU85" s="662"/>
      <c r="AV85" s="662"/>
      <c r="AW85" s="663"/>
      <c r="AX85" s="643"/>
      <c r="BA85" s="643"/>
    </row>
    <row r="86" spans="2:53">
      <c r="B86" s="643"/>
      <c r="C86" s="643"/>
      <c r="D86" s="643"/>
      <c r="E86" s="378" t="s">
        <v>530</v>
      </c>
      <c r="F86" s="378" t="s">
        <v>531</v>
      </c>
      <c r="G86" s="378" t="s">
        <v>532</v>
      </c>
      <c r="H86" s="677"/>
      <c r="I86" s="378" t="s">
        <v>530</v>
      </c>
      <c r="J86" s="378" t="s">
        <v>531</v>
      </c>
      <c r="K86" s="378" t="s">
        <v>532</v>
      </c>
      <c r="L86" s="677"/>
      <c r="M86" s="647"/>
      <c r="N86" s="643"/>
      <c r="O86" s="643"/>
      <c r="P86" s="378" t="s">
        <v>368</v>
      </c>
      <c r="Q86" s="378" t="s">
        <v>369</v>
      </c>
      <c r="R86" s="378" t="s">
        <v>370</v>
      </c>
      <c r="S86" s="378" t="s">
        <v>360</v>
      </c>
      <c r="T86" s="643"/>
      <c r="U86" s="378" t="s">
        <v>368</v>
      </c>
      <c r="V86" s="378" t="s">
        <v>369</v>
      </c>
      <c r="W86" s="378" t="s">
        <v>370</v>
      </c>
      <c r="X86" s="378" t="s">
        <v>360</v>
      </c>
      <c r="Y86" s="643"/>
      <c r="Z86" s="378" t="s">
        <v>368</v>
      </c>
      <c r="AA86" s="378" t="s">
        <v>369</v>
      </c>
      <c r="AB86" s="378" t="s">
        <v>370</v>
      </c>
      <c r="AC86" s="378" t="s">
        <v>360</v>
      </c>
      <c r="AD86" s="643"/>
      <c r="AE86" s="378" t="s">
        <v>368</v>
      </c>
      <c r="AF86" s="378" t="s">
        <v>369</v>
      </c>
      <c r="AG86" s="378" t="s">
        <v>370</v>
      </c>
      <c r="AH86" s="378" t="s">
        <v>360</v>
      </c>
      <c r="AI86" s="643"/>
      <c r="AJ86" s="378" t="s">
        <v>368</v>
      </c>
      <c r="AK86" s="378" t="s">
        <v>369</v>
      </c>
      <c r="AL86" s="378" t="s">
        <v>370</v>
      </c>
      <c r="AM86" s="378" t="s">
        <v>360</v>
      </c>
      <c r="AN86" s="643"/>
      <c r="AO86" s="378" t="s">
        <v>368</v>
      </c>
      <c r="AP86" s="378" t="s">
        <v>369</v>
      </c>
      <c r="AQ86" s="378" t="s">
        <v>370</v>
      </c>
      <c r="AR86" s="378" t="s">
        <v>360</v>
      </c>
      <c r="AS86" s="643"/>
      <c r="AT86" s="378" t="s">
        <v>368</v>
      </c>
      <c r="AU86" s="378" t="s">
        <v>369</v>
      </c>
      <c r="AV86" s="378" t="s">
        <v>370</v>
      </c>
      <c r="AW86" s="378" t="s">
        <v>360</v>
      </c>
      <c r="AX86" s="643"/>
      <c r="AZ86" s="367" t="s">
        <v>360</v>
      </c>
      <c r="BA86" s="643"/>
    </row>
    <row r="87" spans="2:53">
      <c r="B87" s="643" t="s">
        <v>399</v>
      </c>
      <c r="C87" s="380">
        <v>1</v>
      </c>
      <c r="D87" s="225"/>
      <c r="E87" s="516"/>
      <c r="F87" s="513"/>
      <c r="G87" s="512"/>
      <c r="H87" s="656" t="e">
        <f>AVERAGE(G87:G101)</f>
        <v>#DIV/0!</v>
      </c>
      <c r="I87" s="381" t="str">
        <f t="shared" ref="I87:I100" si="34">IFERROR(AVERAGE(P87,U87,Z87,AE87,AJ87,AO87,AT87),"-")</f>
        <v>-</v>
      </c>
      <c r="J87" s="381" t="str">
        <f t="shared" ref="J87:J100" si="35">IFERROR(AVERAGE(Q87,V87,AA87,AF87,AK87,AP87,AU87),"-")</f>
        <v>-</v>
      </c>
      <c r="K87" s="199" t="str">
        <f t="shared" ref="K87:K100" si="36">IFERROR(AVERAGE(R87,W87,AB87,AG87,AL87,AQ87,AV87),"-")</f>
        <v>-</v>
      </c>
      <c r="L87" s="658" t="str">
        <f>IFERROR(AVERAGE(K87:K101),"-")</f>
        <v>-</v>
      </c>
      <c r="M87" s="384" t="e">
        <f>RANK(K87, K$87:$K$101)</f>
        <v>#VALUE!</v>
      </c>
      <c r="N87" s="643"/>
      <c r="O87" s="643"/>
      <c r="P87" s="563"/>
      <c r="Q87" s="565"/>
      <c r="R87" s="565"/>
      <c r="S87" s="563"/>
      <c r="T87" s="638"/>
      <c r="U87" s="563"/>
      <c r="V87" s="565"/>
      <c r="W87" s="565"/>
      <c r="X87" s="563"/>
      <c r="Y87" s="638"/>
      <c r="Z87" s="563"/>
      <c r="AA87" s="565"/>
      <c r="AB87" s="565"/>
      <c r="AC87" s="563"/>
      <c r="AD87" s="638"/>
      <c r="AE87" s="563"/>
      <c r="AF87" s="565"/>
      <c r="AG87" s="565"/>
      <c r="AH87" s="563"/>
      <c r="AI87" s="638"/>
      <c r="AJ87" s="563"/>
      <c r="AK87" s="565"/>
      <c r="AL87" s="565"/>
      <c r="AM87" s="563"/>
      <c r="AN87" s="638"/>
      <c r="AO87" s="563"/>
      <c r="AP87" s="565"/>
      <c r="AQ87" s="565"/>
      <c r="AR87" s="563"/>
      <c r="AS87" s="638"/>
      <c r="AT87" s="563"/>
      <c r="AU87" s="565"/>
      <c r="AV87" s="565"/>
      <c r="AW87" s="563"/>
      <c r="AX87" s="638"/>
      <c r="AZ87" s="368" t="e">
        <f t="shared" ref="AZ87:AZ101" si="37">RANK(AY87, AY$87:AY$101)</f>
        <v>#N/A</v>
      </c>
      <c r="BA87" s="644" t="e">
        <f t="shared" ref="BA87" si="38">AVERAGE(AY87:AY101)</f>
        <v>#DIV/0!</v>
      </c>
    </row>
    <row r="88" spans="2:53">
      <c r="B88" s="649"/>
      <c r="C88" s="380">
        <v>2</v>
      </c>
      <c r="D88" s="225"/>
      <c r="E88" s="516"/>
      <c r="F88" s="513"/>
      <c r="G88" s="512"/>
      <c r="H88" s="657"/>
      <c r="I88" s="381" t="str">
        <f t="shared" si="34"/>
        <v>-</v>
      </c>
      <c r="J88" s="381" t="str">
        <f t="shared" si="35"/>
        <v>-</v>
      </c>
      <c r="K88" s="199" t="str">
        <f t="shared" si="36"/>
        <v>-</v>
      </c>
      <c r="L88" s="659"/>
      <c r="M88" s="422" t="e">
        <f>RANK(K88, K$87:$K$101)</f>
        <v>#VALUE!</v>
      </c>
      <c r="N88" s="643"/>
      <c r="O88" s="643"/>
      <c r="P88" s="563"/>
      <c r="Q88" s="565"/>
      <c r="R88" s="565"/>
      <c r="S88" s="563"/>
      <c r="T88" s="639"/>
      <c r="U88" s="563"/>
      <c r="V88" s="565"/>
      <c r="W88" s="565"/>
      <c r="X88" s="563"/>
      <c r="Y88" s="639"/>
      <c r="Z88" s="563"/>
      <c r="AA88" s="565"/>
      <c r="AB88" s="565"/>
      <c r="AC88" s="563"/>
      <c r="AD88" s="639"/>
      <c r="AE88" s="563"/>
      <c r="AF88" s="565"/>
      <c r="AG88" s="565"/>
      <c r="AH88" s="563"/>
      <c r="AI88" s="639"/>
      <c r="AJ88" s="563"/>
      <c r="AK88" s="565"/>
      <c r="AL88" s="565"/>
      <c r="AM88" s="563"/>
      <c r="AN88" s="639"/>
      <c r="AO88" s="563"/>
      <c r="AP88" s="565"/>
      <c r="AQ88" s="565"/>
      <c r="AR88" s="563"/>
      <c r="AS88" s="639"/>
      <c r="AT88" s="563"/>
      <c r="AU88" s="565"/>
      <c r="AV88" s="565"/>
      <c r="AW88" s="563"/>
      <c r="AX88" s="639"/>
      <c r="AZ88" s="368" t="e">
        <f t="shared" si="37"/>
        <v>#N/A</v>
      </c>
      <c r="BA88" s="644"/>
    </row>
    <row r="89" spans="2:53">
      <c r="B89" s="649"/>
      <c r="C89" s="380">
        <v>3</v>
      </c>
      <c r="D89" s="225"/>
      <c r="E89" s="516"/>
      <c r="F89" s="513"/>
      <c r="G89" s="512"/>
      <c r="H89" s="657"/>
      <c r="I89" s="381" t="str">
        <f t="shared" si="34"/>
        <v>-</v>
      </c>
      <c r="J89" s="381" t="str">
        <f t="shared" si="35"/>
        <v>-</v>
      </c>
      <c r="K89" s="199" t="str">
        <f t="shared" si="36"/>
        <v>-</v>
      </c>
      <c r="L89" s="659"/>
      <c r="M89" s="422" t="e">
        <f>RANK(K89, K$87:$K$101)</f>
        <v>#VALUE!</v>
      </c>
      <c r="N89" s="643"/>
      <c r="O89" s="643"/>
      <c r="P89" s="563"/>
      <c r="Q89" s="565"/>
      <c r="R89" s="565"/>
      <c r="S89" s="563"/>
      <c r="T89" s="639"/>
      <c r="U89" s="563"/>
      <c r="V89" s="565"/>
      <c r="W89" s="565"/>
      <c r="X89" s="563"/>
      <c r="Y89" s="639"/>
      <c r="Z89" s="563"/>
      <c r="AA89" s="565"/>
      <c r="AB89" s="565"/>
      <c r="AC89" s="563"/>
      <c r="AD89" s="639"/>
      <c r="AE89" s="563"/>
      <c r="AF89" s="565"/>
      <c r="AG89" s="565"/>
      <c r="AH89" s="563"/>
      <c r="AI89" s="639"/>
      <c r="AJ89" s="563"/>
      <c r="AK89" s="565"/>
      <c r="AL89" s="565"/>
      <c r="AM89" s="563"/>
      <c r="AN89" s="639"/>
      <c r="AO89" s="563"/>
      <c r="AP89" s="565"/>
      <c r="AQ89" s="565"/>
      <c r="AR89" s="563"/>
      <c r="AS89" s="639"/>
      <c r="AT89" s="563"/>
      <c r="AU89" s="565"/>
      <c r="AV89" s="565"/>
      <c r="AW89" s="563"/>
      <c r="AX89" s="639"/>
      <c r="AZ89" s="368" t="e">
        <f t="shared" si="37"/>
        <v>#N/A</v>
      </c>
      <c r="BA89" s="644"/>
    </row>
    <row r="90" spans="2:53">
      <c r="B90" s="649"/>
      <c r="C90" s="380">
        <v>4</v>
      </c>
      <c r="D90" s="225"/>
      <c r="E90" s="516"/>
      <c r="F90" s="513"/>
      <c r="G90" s="512"/>
      <c r="H90" s="657"/>
      <c r="I90" s="381" t="str">
        <f t="shared" si="34"/>
        <v>-</v>
      </c>
      <c r="J90" s="381" t="str">
        <f t="shared" si="35"/>
        <v>-</v>
      </c>
      <c r="K90" s="199" t="str">
        <f t="shared" si="36"/>
        <v>-</v>
      </c>
      <c r="L90" s="659"/>
      <c r="M90" s="422" t="e">
        <f>RANK(K90, K$87:$K$101)</f>
        <v>#VALUE!</v>
      </c>
      <c r="N90" s="643"/>
      <c r="O90" s="643"/>
      <c r="P90" s="563"/>
      <c r="Q90" s="565"/>
      <c r="R90" s="565"/>
      <c r="S90" s="563"/>
      <c r="T90" s="639"/>
      <c r="U90" s="563"/>
      <c r="V90" s="565"/>
      <c r="W90" s="565"/>
      <c r="X90" s="563"/>
      <c r="Y90" s="639"/>
      <c r="Z90" s="563"/>
      <c r="AA90" s="565"/>
      <c r="AB90" s="565"/>
      <c r="AC90" s="563"/>
      <c r="AD90" s="639"/>
      <c r="AE90" s="563"/>
      <c r="AF90" s="565"/>
      <c r="AG90" s="565"/>
      <c r="AH90" s="563"/>
      <c r="AI90" s="639"/>
      <c r="AJ90" s="563"/>
      <c r="AK90" s="565"/>
      <c r="AL90" s="565"/>
      <c r="AM90" s="563"/>
      <c r="AN90" s="639"/>
      <c r="AO90" s="563"/>
      <c r="AP90" s="565"/>
      <c r="AQ90" s="565"/>
      <c r="AR90" s="563"/>
      <c r="AS90" s="639"/>
      <c r="AT90" s="563"/>
      <c r="AU90" s="565"/>
      <c r="AV90" s="565"/>
      <c r="AW90" s="563"/>
      <c r="AX90" s="639"/>
      <c r="AZ90" s="368" t="e">
        <f t="shared" si="37"/>
        <v>#N/A</v>
      </c>
      <c r="BA90" s="644"/>
    </row>
    <row r="91" spans="2:53">
      <c r="B91" s="649"/>
      <c r="C91" s="380">
        <v>5</v>
      </c>
      <c r="D91" s="225"/>
      <c r="E91" s="516"/>
      <c r="F91" s="513"/>
      <c r="G91" s="512"/>
      <c r="H91" s="657"/>
      <c r="I91" s="381" t="str">
        <f t="shared" si="34"/>
        <v>-</v>
      </c>
      <c r="J91" s="381" t="str">
        <f t="shared" si="35"/>
        <v>-</v>
      </c>
      <c r="K91" s="199" t="str">
        <f t="shared" si="36"/>
        <v>-</v>
      </c>
      <c r="L91" s="659"/>
      <c r="M91" s="422" t="e">
        <f>RANK(K91, K$87:$K$101)</f>
        <v>#VALUE!</v>
      </c>
      <c r="N91" s="643"/>
      <c r="O91" s="643"/>
      <c r="P91" s="563"/>
      <c r="Q91" s="565"/>
      <c r="R91" s="565"/>
      <c r="S91" s="563"/>
      <c r="T91" s="639"/>
      <c r="U91" s="563"/>
      <c r="V91" s="565"/>
      <c r="W91" s="565"/>
      <c r="X91" s="563"/>
      <c r="Y91" s="639"/>
      <c r="Z91" s="563"/>
      <c r="AA91" s="565"/>
      <c r="AB91" s="565"/>
      <c r="AC91" s="563"/>
      <c r="AD91" s="639"/>
      <c r="AE91" s="563"/>
      <c r="AF91" s="565"/>
      <c r="AG91" s="565"/>
      <c r="AH91" s="563"/>
      <c r="AI91" s="639"/>
      <c r="AJ91" s="563"/>
      <c r="AK91" s="565"/>
      <c r="AL91" s="565"/>
      <c r="AM91" s="563"/>
      <c r="AN91" s="639"/>
      <c r="AO91" s="563"/>
      <c r="AP91" s="565"/>
      <c r="AQ91" s="565"/>
      <c r="AR91" s="563"/>
      <c r="AS91" s="639"/>
      <c r="AT91" s="563"/>
      <c r="AU91" s="565"/>
      <c r="AV91" s="565"/>
      <c r="AW91" s="563"/>
      <c r="AX91" s="639"/>
      <c r="AZ91" s="368" t="e">
        <f t="shared" si="37"/>
        <v>#N/A</v>
      </c>
      <c r="BA91" s="644"/>
    </row>
    <row r="92" spans="2:53">
      <c r="B92" s="649"/>
      <c r="C92" s="380">
        <v>6</v>
      </c>
      <c r="D92" s="225"/>
      <c r="E92" s="516"/>
      <c r="F92" s="513"/>
      <c r="G92" s="512"/>
      <c r="H92" s="657"/>
      <c r="I92" s="381" t="str">
        <f t="shared" si="34"/>
        <v>-</v>
      </c>
      <c r="J92" s="381" t="str">
        <f t="shared" si="35"/>
        <v>-</v>
      </c>
      <c r="K92" s="199" t="str">
        <f t="shared" si="36"/>
        <v>-</v>
      </c>
      <c r="L92" s="659"/>
      <c r="M92" s="422" t="e">
        <f>RANK(K92, K$87:$K$101)</f>
        <v>#VALUE!</v>
      </c>
      <c r="N92" s="643"/>
      <c r="O92" s="643"/>
      <c r="P92" s="563"/>
      <c r="Q92" s="565"/>
      <c r="R92" s="565"/>
      <c r="S92" s="563"/>
      <c r="T92" s="639"/>
      <c r="U92" s="563"/>
      <c r="V92" s="565"/>
      <c r="W92" s="565"/>
      <c r="X92" s="563"/>
      <c r="Y92" s="639"/>
      <c r="Z92" s="563"/>
      <c r="AA92" s="565"/>
      <c r="AB92" s="565"/>
      <c r="AC92" s="563"/>
      <c r="AD92" s="639"/>
      <c r="AE92" s="563"/>
      <c r="AF92" s="565"/>
      <c r="AG92" s="565"/>
      <c r="AH92" s="563"/>
      <c r="AI92" s="639"/>
      <c r="AJ92" s="563"/>
      <c r="AK92" s="565"/>
      <c r="AL92" s="565"/>
      <c r="AM92" s="563"/>
      <c r="AN92" s="639"/>
      <c r="AO92" s="563"/>
      <c r="AP92" s="565"/>
      <c r="AQ92" s="565"/>
      <c r="AR92" s="563"/>
      <c r="AS92" s="639"/>
      <c r="AT92" s="563"/>
      <c r="AU92" s="565"/>
      <c r="AV92" s="565"/>
      <c r="AW92" s="563"/>
      <c r="AX92" s="639"/>
      <c r="AZ92" s="368" t="e">
        <f t="shared" si="37"/>
        <v>#N/A</v>
      </c>
      <c r="BA92" s="644"/>
    </row>
    <row r="93" spans="2:53">
      <c r="B93" s="649"/>
      <c r="C93" s="380">
        <v>7</v>
      </c>
      <c r="D93" s="225"/>
      <c r="E93" s="516"/>
      <c r="F93" s="513"/>
      <c r="G93" s="512"/>
      <c r="H93" s="657"/>
      <c r="I93" s="381" t="str">
        <f t="shared" si="34"/>
        <v>-</v>
      </c>
      <c r="J93" s="381" t="str">
        <f t="shared" si="35"/>
        <v>-</v>
      </c>
      <c r="K93" s="199" t="str">
        <f t="shared" si="36"/>
        <v>-</v>
      </c>
      <c r="L93" s="659"/>
      <c r="M93" s="422" t="e">
        <f>RANK(K93, K$87:$K$101)</f>
        <v>#VALUE!</v>
      </c>
      <c r="N93" s="643"/>
      <c r="O93" s="643"/>
      <c r="P93" s="563"/>
      <c r="Q93" s="565"/>
      <c r="R93" s="565"/>
      <c r="S93" s="563"/>
      <c r="T93" s="639"/>
      <c r="U93" s="563"/>
      <c r="V93" s="565"/>
      <c r="W93" s="565"/>
      <c r="X93" s="563"/>
      <c r="Y93" s="639"/>
      <c r="Z93" s="563"/>
      <c r="AA93" s="565"/>
      <c r="AB93" s="565"/>
      <c r="AC93" s="563"/>
      <c r="AD93" s="639"/>
      <c r="AE93" s="563"/>
      <c r="AF93" s="565"/>
      <c r="AG93" s="565"/>
      <c r="AH93" s="563"/>
      <c r="AI93" s="639"/>
      <c r="AJ93" s="563"/>
      <c r="AK93" s="565"/>
      <c r="AL93" s="565"/>
      <c r="AM93" s="563"/>
      <c r="AN93" s="639"/>
      <c r="AO93" s="563"/>
      <c r="AP93" s="565"/>
      <c r="AQ93" s="565"/>
      <c r="AR93" s="563"/>
      <c r="AS93" s="639"/>
      <c r="AT93" s="563"/>
      <c r="AU93" s="565"/>
      <c r="AV93" s="565"/>
      <c r="AW93" s="563"/>
      <c r="AX93" s="639"/>
      <c r="AZ93" s="368" t="e">
        <f t="shared" si="37"/>
        <v>#N/A</v>
      </c>
      <c r="BA93" s="644"/>
    </row>
    <row r="94" spans="2:53">
      <c r="B94" s="649"/>
      <c r="C94" s="380">
        <v>8</v>
      </c>
      <c r="D94" s="225"/>
      <c r="E94" s="516"/>
      <c r="F94" s="513"/>
      <c r="G94" s="512"/>
      <c r="H94" s="657"/>
      <c r="I94" s="381" t="str">
        <f t="shared" si="34"/>
        <v>-</v>
      </c>
      <c r="J94" s="381" t="str">
        <f t="shared" si="35"/>
        <v>-</v>
      </c>
      <c r="K94" s="199" t="str">
        <f t="shared" si="36"/>
        <v>-</v>
      </c>
      <c r="L94" s="659"/>
      <c r="M94" s="422" t="e">
        <f>RANK(K94, K$87:$K$101)</f>
        <v>#VALUE!</v>
      </c>
      <c r="N94" s="643"/>
      <c r="O94" s="643"/>
      <c r="P94" s="563"/>
      <c r="Q94" s="565"/>
      <c r="R94" s="565"/>
      <c r="S94" s="563"/>
      <c r="T94" s="639"/>
      <c r="U94" s="563"/>
      <c r="V94" s="565"/>
      <c r="W94" s="565"/>
      <c r="X94" s="563"/>
      <c r="Y94" s="639"/>
      <c r="Z94" s="563"/>
      <c r="AA94" s="565"/>
      <c r="AB94" s="565"/>
      <c r="AC94" s="563"/>
      <c r="AD94" s="639"/>
      <c r="AE94" s="563"/>
      <c r="AF94" s="565"/>
      <c r="AG94" s="565"/>
      <c r="AH94" s="563"/>
      <c r="AI94" s="639"/>
      <c r="AJ94" s="563"/>
      <c r="AK94" s="565"/>
      <c r="AL94" s="565"/>
      <c r="AM94" s="563"/>
      <c r="AN94" s="639"/>
      <c r="AO94" s="563"/>
      <c r="AP94" s="565"/>
      <c r="AQ94" s="565"/>
      <c r="AR94" s="563"/>
      <c r="AS94" s="639"/>
      <c r="AT94" s="563"/>
      <c r="AU94" s="565"/>
      <c r="AV94" s="565"/>
      <c r="AW94" s="563"/>
      <c r="AX94" s="639"/>
      <c r="AZ94" s="368" t="e">
        <f t="shared" si="37"/>
        <v>#N/A</v>
      </c>
      <c r="BA94" s="644"/>
    </row>
    <row r="95" spans="2:53">
      <c r="B95" s="649"/>
      <c r="C95" s="380">
        <v>9</v>
      </c>
      <c r="D95" s="225"/>
      <c r="E95" s="516"/>
      <c r="F95" s="513"/>
      <c r="G95" s="512"/>
      <c r="H95" s="657"/>
      <c r="I95" s="381" t="str">
        <f t="shared" si="34"/>
        <v>-</v>
      </c>
      <c r="J95" s="381" t="str">
        <f t="shared" si="35"/>
        <v>-</v>
      </c>
      <c r="K95" s="199" t="str">
        <f t="shared" si="36"/>
        <v>-</v>
      </c>
      <c r="L95" s="659"/>
      <c r="M95" s="422" t="e">
        <f>RANK(K95, K$87:$K$101)</f>
        <v>#VALUE!</v>
      </c>
      <c r="N95" s="643"/>
      <c r="O95" s="643"/>
      <c r="P95" s="563"/>
      <c r="Q95" s="565"/>
      <c r="R95" s="565"/>
      <c r="S95" s="563"/>
      <c r="T95" s="639"/>
      <c r="U95" s="563"/>
      <c r="V95" s="565"/>
      <c r="W95" s="565"/>
      <c r="X95" s="563"/>
      <c r="Y95" s="639"/>
      <c r="Z95" s="563"/>
      <c r="AA95" s="565"/>
      <c r="AB95" s="565"/>
      <c r="AC95" s="563"/>
      <c r="AD95" s="639"/>
      <c r="AE95" s="563"/>
      <c r="AF95" s="565"/>
      <c r="AG95" s="565"/>
      <c r="AH95" s="563"/>
      <c r="AI95" s="639"/>
      <c r="AJ95" s="563"/>
      <c r="AK95" s="565"/>
      <c r="AL95" s="565"/>
      <c r="AM95" s="563"/>
      <c r="AN95" s="639"/>
      <c r="AO95" s="563"/>
      <c r="AP95" s="565"/>
      <c r="AQ95" s="565"/>
      <c r="AR95" s="563"/>
      <c r="AS95" s="639"/>
      <c r="AT95" s="563"/>
      <c r="AU95" s="565"/>
      <c r="AV95" s="565"/>
      <c r="AW95" s="563"/>
      <c r="AX95" s="639"/>
      <c r="AZ95" s="368" t="e">
        <f t="shared" si="37"/>
        <v>#N/A</v>
      </c>
      <c r="BA95" s="644"/>
    </row>
    <row r="96" spans="2:53">
      <c r="B96" s="649"/>
      <c r="C96" s="380">
        <v>10</v>
      </c>
      <c r="D96" s="225"/>
      <c r="E96" s="516"/>
      <c r="F96" s="513"/>
      <c r="G96" s="512"/>
      <c r="H96" s="657"/>
      <c r="I96" s="381" t="str">
        <f t="shared" si="34"/>
        <v>-</v>
      </c>
      <c r="J96" s="381" t="str">
        <f t="shared" si="35"/>
        <v>-</v>
      </c>
      <c r="K96" s="199" t="str">
        <f t="shared" si="36"/>
        <v>-</v>
      </c>
      <c r="L96" s="659"/>
      <c r="M96" s="422" t="e">
        <f>RANK(K96, K$87:$K$101)</f>
        <v>#VALUE!</v>
      </c>
      <c r="N96" s="643"/>
      <c r="O96" s="643"/>
      <c r="P96" s="563"/>
      <c r="Q96" s="565"/>
      <c r="R96" s="565"/>
      <c r="S96" s="563"/>
      <c r="T96" s="639"/>
      <c r="U96" s="563"/>
      <c r="V96" s="565"/>
      <c r="W96" s="565"/>
      <c r="X96" s="563"/>
      <c r="Y96" s="639"/>
      <c r="Z96" s="563"/>
      <c r="AA96" s="565"/>
      <c r="AB96" s="565"/>
      <c r="AC96" s="563"/>
      <c r="AD96" s="639"/>
      <c r="AE96" s="563"/>
      <c r="AF96" s="565"/>
      <c r="AG96" s="565"/>
      <c r="AH96" s="563"/>
      <c r="AI96" s="639"/>
      <c r="AJ96" s="563"/>
      <c r="AK96" s="565"/>
      <c r="AL96" s="565"/>
      <c r="AM96" s="563"/>
      <c r="AN96" s="639"/>
      <c r="AO96" s="563"/>
      <c r="AP96" s="565"/>
      <c r="AQ96" s="565"/>
      <c r="AR96" s="563"/>
      <c r="AS96" s="639"/>
      <c r="AT96" s="563"/>
      <c r="AU96" s="565"/>
      <c r="AV96" s="565"/>
      <c r="AW96" s="563"/>
      <c r="AX96" s="639"/>
      <c r="AZ96" s="368" t="e">
        <f t="shared" si="37"/>
        <v>#N/A</v>
      </c>
      <c r="BA96" s="644"/>
    </row>
    <row r="97" spans="2:53">
      <c r="B97" s="649"/>
      <c r="C97" s="380">
        <v>11</v>
      </c>
      <c r="D97" s="225"/>
      <c r="E97" s="516"/>
      <c r="F97" s="513"/>
      <c r="G97" s="512"/>
      <c r="H97" s="657"/>
      <c r="I97" s="381" t="str">
        <f t="shared" si="34"/>
        <v>-</v>
      </c>
      <c r="J97" s="381" t="str">
        <f t="shared" si="35"/>
        <v>-</v>
      </c>
      <c r="K97" s="199" t="str">
        <f t="shared" si="36"/>
        <v>-</v>
      </c>
      <c r="L97" s="659"/>
      <c r="M97" s="422" t="e">
        <f>RANK(K97, K$87:$K$101)</f>
        <v>#VALUE!</v>
      </c>
      <c r="N97" s="643"/>
      <c r="O97" s="643"/>
      <c r="P97" s="563"/>
      <c r="Q97" s="565"/>
      <c r="R97" s="565"/>
      <c r="S97" s="563"/>
      <c r="T97" s="639"/>
      <c r="U97" s="563"/>
      <c r="V97" s="565"/>
      <c r="W97" s="565"/>
      <c r="X97" s="563"/>
      <c r="Y97" s="639"/>
      <c r="Z97" s="563"/>
      <c r="AA97" s="565"/>
      <c r="AB97" s="565"/>
      <c r="AC97" s="563"/>
      <c r="AD97" s="639"/>
      <c r="AE97" s="563"/>
      <c r="AF97" s="565"/>
      <c r="AG97" s="565"/>
      <c r="AH97" s="563"/>
      <c r="AI97" s="639"/>
      <c r="AJ97" s="563"/>
      <c r="AK97" s="565"/>
      <c r="AL97" s="565"/>
      <c r="AM97" s="563"/>
      <c r="AN97" s="639"/>
      <c r="AO97" s="563"/>
      <c r="AP97" s="565"/>
      <c r="AQ97" s="565"/>
      <c r="AR97" s="563"/>
      <c r="AS97" s="639"/>
      <c r="AT97" s="563"/>
      <c r="AU97" s="565"/>
      <c r="AV97" s="565"/>
      <c r="AW97" s="563"/>
      <c r="AX97" s="639"/>
      <c r="AZ97" s="368" t="e">
        <f t="shared" si="37"/>
        <v>#N/A</v>
      </c>
      <c r="BA97" s="644"/>
    </row>
    <row r="98" spans="2:53">
      <c r="B98" s="649"/>
      <c r="C98" s="380">
        <v>12</v>
      </c>
      <c r="D98" s="225"/>
      <c r="E98" s="516"/>
      <c r="F98" s="513"/>
      <c r="G98" s="512"/>
      <c r="H98" s="657"/>
      <c r="I98" s="381" t="str">
        <f t="shared" si="34"/>
        <v>-</v>
      </c>
      <c r="J98" s="381" t="str">
        <f t="shared" si="35"/>
        <v>-</v>
      </c>
      <c r="K98" s="199" t="str">
        <f t="shared" si="36"/>
        <v>-</v>
      </c>
      <c r="L98" s="659"/>
      <c r="M98" s="422" t="e">
        <f>RANK(K98, K$87:$K$101)</f>
        <v>#VALUE!</v>
      </c>
      <c r="N98" s="643"/>
      <c r="O98" s="643"/>
      <c r="P98" s="563"/>
      <c r="Q98" s="565"/>
      <c r="R98" s="565"/>
      <c r="S98" s="563"/>
      <c r="T98" s="639"/>
      <c r="U98" s="563"/>
      <c r="V98" s="565"/>
      <c r="W98" s="565"/>
      <c r="X98" s="563"/>
      <c r="Y98" s="639"/>
      <c r="Z98" s="563"/>
      <c r="AA98" s="565"/>
      <c r="AB98" s="565"/>
      <c r="AC98" s="563"/>
      <c r="AD98" s="639"/>
      <c r="AE98" s="563"/>
      <c r="AF98" s="565"/>
      <c r="AG98" s="565"/>
      <c r="AH98" s="563"/>
      <c r="AI98" s="639"/>
      <c r="AJ98" s="563"/>
      <c r="AK98" s="565"/>
      <c r="AL98" s="565"/>
      <c r="AM98" s="563"/>
      <c r="AN98" s="639"/>
      <c r="AO98" s="563"/>
      <c r="AP98" s="565"/>
      <c r="AQ98" s="565"/>
      <c r="AR98" s="563"/>
      <c r="AS98" s="639"/>
      <c r="AT98" s="563"/>
      <c r="AU98" s="565"/>
      <c r="AV98" s="565"/>
      <c r="AW98" s="563"/>
      <c r="AX98" s="639"/>
      <c r="AZ98" s="368" t="e">
        <f t="shared" si="37"/>
        <v>#N/A</v>
      </c>
      <c r="BA98" s="644"/>
    </row>
    <row r="99" spans="2:53">
      <c r="B99" s="649"/>
      <c r="C99" s="380">
        <v>13</v>
      </c>
      <c r="D99" s="225"/>
      <c r="E99" s="516"/>
      <c r="F99" s="513"/>
      <c r="G99" s="512"/>
      <c r="H99" s="657"/>
      <c r="I99" s="381" t="str">
        <f t="shared" si="34"/>
        <v>-</v>
      </c>
      <c r="J99" s="381" t="str">
        <f t="shared" si="35"/>
        <v>-</v>
      </c>
      <c r="K99" s="199" t="str">
        <f t="shared" si="36"/>
        <v>-</v>
      </c>
      <c r="L99" s="659"/>
      <c r="M99" s="422" t="e">
        <f>RANK(K99, K$87:$K$101)</f>
        <v>#VALUE!</v>
      </c>
      <c r="N99" s="643"/>
      <c r="O99" s="643"/>
      <c r="P99" s="563"/>
      <c r="Q99" s="565"/>
      <c r="R99" s="565"/>
      <c r="S99" s="563"/>
      <c r="T99" s="639"/>
      <c r="U99" s="563"/>
      <c r="V99" s="565"/>
      <c r="W99" s="565"/>
      <c r="X99" s="563"/>
      <c r="Y99" s="639"/>
      <c r="Z99" s="563"/>
      <c r="AA99" s="565"/>
      <c r="AB99" s="565"/>
      <c r="AC99" s="563"/>
      <c r="AD99" s="639"/>
      <c r="AE99" s="563"/>
      <c r="AF99" s="565"/>
      <c r="AG99" s="565"/>
      <c r="AH99" s="563"/>
      <c r="AI99" s="639"/>
      <c r="AJ99" s="563"/>
      <c r="AK99" s="565"/>
      <c r="AL99" s="565"/>
      <c r="AM99" s="563"/>
      <c r="AN99" s="639"/>
      <c r="AO99" s="563"/>
      <c r="AP99" s="565"/>
      <c r="AQ99" s="565"/>
      <c r="AR99" s="563"/>
      <c r="AS99" s="639"/>
      <c r="AT99" s="563"/>
      <c r="AU99" s="565"/>
      <c r="AV99" s="565"/>
      <c r="AW99" s="563"/>
      <c r="AX99" s="639"/>
      <c r="AZ99" s="368" t="e">
        <f t="shared" si="37"/>
        <v>#N/A</v>
      </c>
      <c r="BA99" s="644"/>
    </row>
    <row r="100" spans="2:53">
      <c r="B100" s="649"/>
      <c r="C100" s="380">
        <v>14</v>
      </c>
      <c r="D100" s="225"/>
      <c r="E100" s="516"/>
      <c r="F100" s="513"/>
      <c r="G100" s="512"/>
      <c r="H100" s="657"/>
      <c r="I100" s="381" t="str">
        <f t="shared" si="34"/>
        <v>-</v>
      </c>
      <c r="J100" s="381" t="str">
        <f t="shared" si="35"/>
        <v>-</v>
      </c>
      <c r="K100" s="199" t="str">
        <f t="shared" si="36"/>
        <v>-</v>
      </c>
      <c r="L100" s="659"/>
      <c r="M100" s="422" t="e">
        <f>RANK(K100, K$87:$K$101)</f>
        <v>#VALUE!</v>
      </c>
      <c r="N100" s="643"/>
      <c r="O100" s="643"/>
      <c r="P100" s="563"/>
      <c r="Q100" s="565"/>
      <c r="R100" s="565"/>
      <c r="S100" s="563"/>
      <c r="T100" s="639"/>
      <c r="U100" s="563"/>
      <c r="V100" s="565"/>
      <c r="W100" s="565"/>
      <c r="X100" s="563"/>
      <c r="Y100" s="639"/>
      <c r="Z100" s="563"/>
      <c r="AA100" s="565"/>
      <c r="AB100" s="565"/>
      <c r="AC100" s="563"/>
      <c r="AD100" s="639"/>
      <c r="AE100" s="563"/>
      <c r="AF100" s="565"/>
      <c r="AG100" s="565"/>
      <c r="AH100" s="563"/>
      <c r="AI100" s="639"/>
      <c r="AJ100" s="563"/>
      <c r="AK100" s="565"/>
      <c r="AL100" s="565"/>
      <c r="AM100" s="563"/>
      <c r="AN100" s="639"/>
      <c r="AO100" s="563"/>
      <c r="AP100" s="565"/>
      <c r="AQ100" s="565"/>
      <c r="AR100" s="563"/>
      <c r="AS100" s="639"/>
      <c r="AT100" s="563"/>
      <c r="AU100" s="565"/>
      <c r="AV100" s="565"/>
      <c r="AW100" s="563"/>
      <c r="AX100" s="639"/>
      <c r="AZ100" s="368" t="e">
        <f t="shared" si="37"/>
        <v>#N/A</v>
      </c>
      <c r="BA100" s="644"/>
    </row>
    <row r="101" spans="2:53">
      <c r="B101" s="649"/>
      <c r="C101" s="380">
        <v>15</v>
      </c>
      <c r="D101" s="225"/>
      <c r="E101" s="516"/>
      <c r="F101" s="513"/>
      <c r="G101" s="512"/>
      <c r="H101" s="714"/>
      <c r="I101" s="380"/>
      <c r="J101" s="380"/>
      <c r="K101" s="380"/>
      <c r="L101" s="660"/>
      <c r="M101" s="422" t="e">
        <f>RANK(K101, K$87:$K$101)</f>
        <v>#N/A</v>
      </c>
      <c r="N101" s="643"/>
      <c r="O101" s="643"/>
      <c r="P101" s="563"/>
      <c r="Q101" s="565"/>
      <c r="R101" s="565"/>
      <c r="S101" s="563"/>
      <c r="T101" s="640"/>
      <c r="U101" s="563"/>
      <c r="V101" s="565"/>
      <c r="W101" s="565"/>
      <c r="X101" s="563"/>
      <c r="Y101" s="640"/>
      <c r="Z101" s="563"/>
      <c r="AA101" s="565"/>
      <c r="AB101" s="565"/>
      <c r="AC101" s="563"/>
      <c r="AD101" s="640"/>
      <c r="AE101" s="563"/>
      <c r="AF101" s="565"/>
      <c r="AG101" s="565"/>
      <c r="AH101" s="563"/>
      <c r="AI101" s="640"/>
      <c r="AJ101" s="563"/>
      <c r="AK101" s="565"/>
      <c r="AL101" s="565"/>
      <c r="AM101" s="563"/>
      <c r="AN101" s="640"/>
      <c r="AO101" s="563"/>
      <c r="AP101" s="565"/>
      <c r="AQ101" s="565"/>
      <c r="AR101" s="563"/>
      <c r="AS101" s="640"/>
      <c r="AT101" s="563"/>
      <c r="AU101" s="565"/>
      <c r="AV101" s="565"/>
      <c r="AW101" s="563"/>
      <c r="AX101" s="640"/>
      <c r="AZ101" s="368" t="e">
        <f t="shared" si="37"/>
        <v>#N/A</v>
      </c>
      <c r="BA101" s="644"/>
    </row>
    <row r="102" spans="2:53" ht="15.75">
      <c r="B102" s="671" t="s">
        <v>162</v>
      </c>
      <c r="C102" s="672"/>
      <c r="D102" s="672"/>
      <c r="E102" s="672"/>
      <c r="F102" s="672"/>
      <c r="G102" s="672"/>
      <c r="H102" s="673"/>
      <c r="I102" s="207"/>
      <c r="J102" s="207"/>
      <c r="K102" s="207"/>
      <c r="L102" s="207"/>
      <c r="M102" s="206"/>
      <c r="N102" s="645" t="s">
        <v>156</v>
      </c>
      <c r="O102" s="645" t="s">
        <v>105</v>
      </c>
      <c r="P102" s="670">
        <f>P82+7</f>
        <v>46301</v>
      </c>
      <c r="Q102" s="649"/>
      <c r="R102" s="649"/>
      <c r="S102" s="649"/>
      <c r="T102" s="649"/>
      <c r="U102" s="667">
        <f>P102+1</f>
        <v>46302</v>
      </c>
      <c r="V102" s="668"/>
      <c r="W102" s="668"/>
      <c r="X102" s="668"/>
      <c r="Y102" s="669"/>
      <c r="Z102" s="667">
        <f>U102+1</f>
        <v>46303</v>
      </c>
      <c r="AA102" s="668"/>
      <c r="AB102" s="668"/>
      <c r="AC102" s="668"/>
      <c r="AD102" s="669"/>
      <c r="AE102" s="667">
        <f>Z102+1</f>
        <v>46304</v>
      </c>
      <c r="AF102" s="668"/>
      <c r="AG102" s="668"/>
      <c r="AH102" s="668"/>
      <c r="AI102" s="669"/>
      <c r="AJ102" s="667">
        <f>AE102+1</f>
        <v>46305</v>
      </c>
      <c r="AK102" s="668"/>
      <c r="AL102" s="668"/>
      <c r="AM102" s="668"/>
      <c r="AN102" s="669"/>
      <c r="AO102" s="667">
        <f>AJ102+1</f>
        <v>46306</v>
      </c>
      <c r="AP102" s="668"/>
      <c r="AQ102" s="668"/>
      <c r="AR102" s="668"/>
      <c r="AS102" s="669"/>
      <c r="AT102" s="667">
        <f>AO102+1</f>
        <v>46307</v>
      </c>
      <c r="AU102" s="668"/>
      <c r="AV102" s="668"/>
      <c r="AW102" s="668"/>
      <c r="AX102" s="669"/>
    </row>
    <row r="103" spans="2:53" ht="15.75">
      <c r="B103" s="674"/>
      <c r="C103" s="674"/>
      <c r="D103" s="674"/>
      <c r="E103" s="674"/>
      <c r="F103" s="674"/>
      <c r="G103" s="674"/>
      <c r="H103" s="674"/>
      <c r="I103" s="204"/>
      <c r="J103" s="204"/>
      <c r="K103" s="204"/>
      <c r="L103" s="204"/>
      <c r="M103" s="205"/>
      <c r="N103" s="647"/>
      <c r="O103" s="647"/>
      <c r="P103" s="670" t="s">
        <v>158</v>
      </c>
      <c r="Q103" s="649"/>
      <c r="R103" s="649"/>
      <c r="S103" s="649"/>
      <c r="T103" s="649"/>
      <c r="U103" s="670" t="s">
        <v>114</v>
      </c>
      <c r="V103" s="649"/>
      <c r="W103" s="649"/>
      <c r="X103" s="649"/>
      <c r="Y103" s="649"/>
      <c r="Z103" s="670" t="s">
        <v>159</v>
      </c>
      <c r="AA103" s="649"/>
      <c r="AB103" s="649"/>
      <c r="AC103" s="649"/>
      <c r="AD103" s="649"/>
      <c r="AE103" s="670" t="s">
        <v>157</v>
      </c>
      <c r="AF103" s="649"/>
      <c r="AG103" s="649"/>
      <c r="AH103" s="649"/>
      <c r="AI103" s="649"/>
      <c r="AJ103" s="670" t="s">
        <v>160</v>
      </c>
      <c r="AK103" s="649"/>
      <c r="AL103" s="649"/>
      <c r="AM103" s="649"/>
      <c r="AN103" s="649"/>
      <c r="AO103" s="670" t="s">
        <v>115</v>
      </c>
      <c r="AP103" s="649"/>
      <c r="AQ103" s="649"/>
      <c r="AR103" s="649"/>
      <c r="AS103" s="649"/>
      <c r="AT103" s="670" t="s">
        <v>161</v>
      </c>
      <c r="AU103" s="649"/>
      <c r="AV103" s="649"/>
      <c r="AW103" s="649"/>
      <c r="AX103" s="649"/>
    </row>
    <row r="104" spans="2:53">
      <c r="B104" s="643" t="s">
        <v>522</v>
      </c>
      <c r="C104" s="643" t="s">
        <v>523</v>
      </c>
      <c r="D104" s="643"/>
      <c r="E104" s="643" t="s">
        <v>524</v>
      </c>
      <c r="F104" s="643"/>
      <c r="G104" s="643"/>
      <c r="H104" s="675" t="s">
        <v>525</v>
      </c>
      <c r="I104" s="643" t="s">
        <v>526</v>
      </c>
      <c r="J104" s="643"/>
      <c r="K104" s="643"/>
      <c r="L104" s="675" t="s">
        <v>359</v>
      </c>
      <c r="M104" s="645" t="s">
        <v>527</v>
      </c>
      <c r="N104" s="643"/>
      <c r="O104" s="643" t="s">
        <v>528</v>
      </c>
      <c r="P104" s="661" t="s">
        <v>514</v>
      </c>
      <c r="Q104" s="662"/>
      <c r="R104" s="662"/>
      <c r="S104" s="663"/>
      <c r="T104" s="643" t="s">
        <v>510</v>
      </c>
      <c r="U104" s="661" t="s">
        <v>514</v>
      </c>
      <c r="V104" s="662"/>
      <c r="W104" s="662"/>
      <c r="X104" s="663"/>
      <c r="Y104" s="643" t="s">
        <v>510</v>
      </c>
      <c r="Z104" s="661" t="s">
        <v>514</v>
      </c>
      <c r="AA104" s="662"/>
      <c r="AB104" s="662"/>
      <c r="AC104" s="663"/>
      <c r="AD104" s="643" t="s">
        <v>510</v>
      </c>
      <c r="AE104" s="661" t="s">
        <v>514</v>
      </c>
      <c r="AF104" s="662"/>
      <c r="AG104" s="662"/>
      <c r="AH104" s="663"/>
      <c r="AI104" s="643" t="s">
        <v>510</v>
      </c>
      <c r="AJ104" s="661" t="s">
        <v>514</v>
      </c>
      <c r="AK104" s="662"/>
      <c r="AL104" s="662"/>
      <c r="AM104" s="663"/>
      <c r="AN104" s="643" t="s">
        <v>510</v>
      </c>
      <c r="AO104" s="661" t="s">
        <v>514</v>
      </c>
      <c r="AP104" s="662"/>
      <c r="AQ104" s="662"/>
      <c r="AR104" s="663"/>
      <c r="AS104" s="643" t="s">
        <v>510</v>
      </c>
      <c r="AT104" s="661" t="s">
        <v>514</v>
      </c>
      <c r="AU104" s="662"/>
      <c r="AV104" s="662"/>
      <c r="AW104" s="663"/>
      <c r="AX104" s="643" t="s">
        <v>510</v>
      </c>
      <c r="BA104" s="643" t="s">
        <v>359</v>
      </c>
    </row>
    <row r="105" spans="2:53">
      <c r="B105" s="643"/>
      <c r="C105" s="643"/>
      <c r="D105" s="643"/>
      <c r="E105" s="643" t="s">
        <v>529</v>
      </c>
      <c r="F105" s="643"/>
      <c r="G105" s="643"/>
      <c r="H105" s="676"/>
      <c r="I105" s="643" t="s">
        <v>529</v>
      </c>
      <c r="J105" s="643"/>
      <c r="K105" s="643"/>
      <c r="L105" s="676"/>
      <c r="M105" s="646"/>
      <c r="N105" s="643"/>
      <c r="O105" s="643"/>
      <c r="P105" s="661" t="s">
        <v>516</v>
      </c>
      <c r="Q105" s="662"/>
      <c r="R105" s="662"/>
      <c r="S105" s="663"/>
      <c r="T105" s="643"/>
      <c r="U105" s="661" t="s">
        <v>516</v>
      </c>
      <c r="V105" s="662"/>
      <c r="W105" s="662"/>
      <c r="X105" s="663"/>
      <c r="Y105" s="643"/>
      <c r="Z105" s="661" t="s">
        <v>516</v>
      </c>
      <c r="AA105" s="662"/>
      <c r="AB105" s="662"/>
      <c r="AC105" s="663"/>
      <c r="AD105" s="643"/>
      <c r="AE105" s="661" t="s">
        <v>516</v>
      </c>
      <c r="AF105" s="662"/>
      <c r="AG105" s="662"/>
      <c r="AH105" s="663"/>
      <c r="AI105" s="643"/>
      <c r="AJ105" s="661" t="s">
        <v>516</v>
      </c>
      <c r="AK105" s="662"/>
      <c r="AL105" s="662"/>
      <c r="AM105" s="663"/>
      <c r="AN105" s="643"/>
      <c r="AO105" s="661" t="s">
        <v>516</v>
      </c>
      <c r="AP105" s="662"/>
      <c r="AQ105" s="662"/>
      <c r="AR105" s="663"/>
      <c r="AS105" s="643"/>
      <c r="AT105" s="661" t="s">
        <v>516</v>
      </c>
      <c r="AU105" s="662"/>
      <c r="AV105" s="662"/>
      <c r="AW105" s="663"/>
      <c r="AX105" s="643"/>
      <c r="BA105" s="643"/>
    </row>
    <row r="106" spans="2:53">
      <c r="B106" s="643"/>
      <c r="C106" s="643"/>
      <c r="D106" s="643"/>
      <c r="E106" s="345" t="s">
        <v>530</v>
      </c>
      <c r="F106" s="345" t="s">
        <v>531</v>
      </c>
      <c r="G106" s="345" t="s">
        <v>532</v>
      </c>
      <c r="H106" s="677"/>
      <c r="I106" s="345" t="s">
        <v>530</v>
      </c>
      <c r="J106" s="345" t="s">
        <v>531</v>
      </c>
      <c r="K106" s="345" t="s">
        <v>532</v>
      </c>
      <c r="L106" s="677"/>
      <c r="M106" s="647"/>
      <c r="N106" s="643"/>
      <c r="O106" s="643"/>
      <c r="P106" s="345" t="s">
        <v>517</v>
      </c>
      <c r="Q106" s="345" t="s">
        <v>518</v>
      </c>
      <c r="R106" s="345" t="s">
        <v>519</v>
      </c>
      <c r="S106" s="345" t="s">
        <v>512</v>
      </c>
      <c r="T106" s="643"/>
      <c r="U106" s="345" t="s">
        <v>517</v>
      </c>
      <c r="V106" s="345" t="s">
        <v>518</v>
      </c>
      <c r="W106" s="345" t="s">
        <v>519</v>
      </c>
      <c r="X106" s="345" t="s">
        <v>512</v>
      </c>
      <c r="Y106" s="643"/>
      <c r="Z106" s="345" t="s">
        <v>517</v>
      </c>
      <c r="AA106" s="345" t="s">
        <v>518</v>
      </c>
      <c r="AB106" s="345" t="s">
        <v>519</v>
      </c>
      <c r="AC106" s="345" t="s">
        <v>512</v>
      </c>
      <c r="AD106" s="643"/>
      <c r="AE106" s="345" t="s">
        <v>517</v>
      </c>
      <c r="AF106" s="345" t="s">
        <v>518</v>
      </c>
      <c r="AG106" s="345" t="s">
        <v>519</v>
      </c>
      <c r="AH106" s="345" t="s">
        <v>512</v>
      </c>
      <c r="AI106" s="643"/>
      <c r="AJ106" s="345" t="s">
        <v>517</v>
      </c>
      <c r="AK106" s="345" t="s">
        <v>518</v>
      </c>
      <c r="AL106" s="345" t="s">
        <v>519</v>
      </c>
      <c r="AM106" s="345" t="s">
        <v>512</v>
      </c>
      <c r="AN106" s="643"/>
      <c r="AO106" s="345" t="s">
        <v>517</v>
      </c>
      <c r="AP106" s="345" t="s">
        <v>518</v>
      </c>
      <c r="AQ106" s="345" t="s">
        <v>519</v>
      </c>
      <c r="AR106" s="345" t="s">
        <v>512</v>
      </c>
      <c r="AS106" s="643"/>
      <c r="AT106" s="345" t="s">
        <v>517</v>
      </c>
      <c r="AU106" s="345" t="s">
        <v>518</v>
      </c>
      <c r="AV106" s="345" t="s">
        <v>519</v>
      </c>
      <c r="AW106" s="345" t="s">
        <v>512</v>
      </c>
      <c r="AX106" s="643"/>
      <c r="AZ106" s="367" t="s">
        <v>512</v>
      </c>
      <c r="BA106" s="643"/>
    </row>
    <row r="107" spans="2:53">
      <c r="B107" s="643" t="s">
        <v>135</v>
      </c>
      <c r="C107" s="348">
        <v>1</v>
      </c>
      <c r="D107" s="225"/>
      <c r="E107" s="181"/>
      <c r="F107" s="353"/>
      <c r="G107" s="354"/>
      <c r="H107" s="656" t="e">
        <f>AVERAGE(G107:G121)</f>
        <v>#DIV/0!</v>
      </c>
      <c r="I107" s="363" t="str">
        <f t="shared" ref="I107:I120" si="39">IFERROR(AVERAGE(P107,U107,Z107,AE107,AJ107,AO107,AT107),"-")</f>
        <v>-</v>
      </c>
      <c r="J107" s="363" t="str">
        <f t="shared" ref="J107:J120" si="40">IFERROR(AVERAGE(Q107,V107,AA107,AF107,AK107,AP107,AU107),"-")</f>
        <v>-</v>
      </c>
      <c r="K107" s="199" t="str">
        <f t="shared" ref="K107:K120" si="41">IFERROR(AVERAGE(R107,W107,AB107,AG107,AL107,AQ107,AV107),"-")</f>
        <v>-</v>
      </c>
      <c r="L107" s="658" t="str">
        <f>IFERROR(AVERAGE(K107:K121),"-")</f>
        <v>-</v>
      </c>
      <c r="M107" s="349" t="e">
        <f>RANK(K107, K$67:$K$81)</f>
        <v>#VALUE!</v>
      </c>
      <c r="N107" s="643"/>
      <c r="O107" s="643"/>
      <c r="P107" s="563"/>
      <c r="Q107" s="565"/>
      <c r="R107" s="565"/>
      <c r="S107" s="563"/>
      <c r="T107" s="638"/>
      <c r="U107" s="563"/>
      <c r="V107" s="565"/>
      <c r="W107" s="565"/>
      <c r="X107" s="563"/>
      <c r="Y107" s="638"/>
      <c r="Z107" s="563"/>
      <c r="AA107" s="565"/>
      <c r="AB107" s="565"/>
      <c r="AC107" s="563"/>
      <c r="AD107" s="638"/>
      <c r="AE107" s="563"/>
      <c r="AF107" s="565"/>
      <c r="AG107" s="565"/>
      <c r="AH107" s="563"/>
      <c r="AI107" s="638"/>
      <c r="AJ107" s="563"/>
      <c r="AK107" s="565"/>
      <c r="AL107" s="565"/>
      <c r="AM107" s="563"/>
      <c r="AN107" s="638"/>
      <c r="AO107" s="563"/>
      <c r="AP107" s="565"/>
      <c r="AQ107" s="565"/>
      <c r="AR107" s="563"/>
      <c r="AS107" s="638"/>
      <c r="AT107" s="563"/>
      <c r="AU107" s="565"/>
      <c r="AV107" s="565"/>
      <c r="AW107" s="563"/>
      <c r="AX107" s="638"/>
      <c r="AZ107" s="369" t="e">
        <f>RANK(AY107, AY$67:AY$81)</f>
        <v>#N/A</v>
      </c>
      <c r="BA107" s="722" t="e">
        <f>AVERAGE(AY107:AY121)</f>
        <v>#DIV/0!</v>
      </c>
    </row>
    <row r="108" spans="2:53">
      <c r="B108" s="678"/>
      <c r="C108" s="348">
        <v>2</v>
      </c>
      <c r="D108" s="225"/>
      <c r="E108" s="181"/>
      <c r="F108" s="353"/>
      <c r="G108" s="354"/>
      <c r="H108" s="657"/>
      <c r="I108" s="363" t="str">
        <f t="shared" si="39"/>
        <v>-</v>
      </c>
      <c r="J108" s="363" t="str">
        <f t="shared" si="40"/>
        <v>-</v>
      </c>
      <c r="K108" s="199" t="str">
        <f t="shared" si="41"/>
        <v>-</v>
      </c>
      <c r="L108" s="659"/>
      <c r="M108" s="349" t="e">
        <f>RANK(K108, K$67:$K$81)</f>
        <v>#VALUE!</v>
      </c>
      <c r="N108" s="643"/>
      <c r="O108" s="643"/>
      <c r="P108" s="563"/>
      <c r="Q108" s="565"/>
      <c r="R108" s="565"/>
      <c r="S108" s="563"/>
      <c r="T108" s="639"/>
      <c r="U108" s="563"/>
      <c r="V108" s="565"/>
      <c r="W108" s="565"/>
      <c r="X108" s="563"/>
      <c r="Y108" s="639"/>
      <c r="Z108" s="563"/>
      <c r="AA108" s="565"/>
      <c r="AB108" s="565"/>
      <c r="AC108" s="563"/>
      <c r="AD108" s="639"/>
      <c r="AE108" s="563"/>
      <c r="AF108" s="565"/>
      <c r="AG108" s="565"/>
      <c r="AH108" s="563"/>
      <c r="AI108" s="639"/>
      <c r="AJ108" s="563"/>
      <c r="AK108" s="565"/>
      <c r="AL108" s="565"/>
      <c r="AM108" s="563"/>
      <c r="AN108" s="639"/>
      <c r="AO108" s="563"/>
      <c r="AP108" s="565"/>
      <c r="AQ108" s="565"/>
      <c r="AR108" s="563"/>
      <c r="AS108" s="639"/>
      <c r="AT108" s="563"/>
      <c r="AU108" s="565"/>
      <c r="AV108" s="565"/>
      <c r="AW108" s="563"/>
      <c r="AX108" s="639"/>
      <c r="AZ108" s="369" t="e">
        <f t="shared" ref="AZ108:AZ121" si="42">RANK(AY108, AY$67:AY$81)</f>
        <v>#N/A</v>
      </c>
      <c r="BA108" s="722"/>
    </row>
    <row r="109" spans="2:53">
      <c r="B109" s="678"/>
      <c r="C109" s="348">
        <v>3</v>
      </c>
      <c r="D109" s="225"/>
      <c r="E109" s="181"/>
      <c r="F109" s="353"/>
      <c r="G109" s="354"/>
      <c r="H109" s="657"/>
      <c r="I109" s="363" t="str">
        <f t="shared" si="39"/>
        <v>-</v>
      </c>
      <c r="J109" s="363" t="str">
        <f t="shared" si="40"/>
        <v>-</v>
      </c>
      <c r="K109" s="199" t="str">
        <f t="shared" si="41"/>
        <v>-</v>
      </c>
      <c r="L109" s="659"/>
      <c r="M109" s="349" t="e">
        <f>RANK(K109, K$67:$K$81)</f>
        <v>#VALUE!</v>
      </c>
      <c r="N109" s="643"/>
      <c r="O109" s="643"/>
      <c r="P109" s="563"/>
      <c r="Q109" s="565"/>
      <c r="R109" s="565"/>
      <c r="S109" s="563"/>
      <c r="T109" s="639"/>
      <c r="U109" s="563"/>
      <c r="V109" s="565"/>
      <c r="W109" s="565"/>
      <c r="X109" s="563"/>
      <c r="Y109" s="639"/>
      <c r="Z109" s="563"/>
      <c r="AA109" s="565"/>
      <c r="AB109" s="565"/>
      <c r="AC109" s="563"/>
      <c r="AD109" s="639"/>
      <c r="AE109" s="563"/>
      <c r="AF109" s="565"/>
      <c r="AG109" s="565"/>
      <c r="AH109" s="563"/>
      <c r="AI109" s="639"/>
      <c r="AJ109" s="563"/>
      <c r="AK109" s="565"/>
      <c r="AL109" s="565"/>
      <c r="AM109" s="563"/>
      <c r="AN109" s="639"/>
      <c r="AO109" s="563"/>
      <c r="AP109" s="565"/>
      <c r="AQ109" s="565"/>
      <c r="AR109" s="563"/>
      <c r="AS109" s="639"/>
      <c r="AT109" s="563"/>
      <c r="AU109" s="565"/>
      <c r="AV109" s="565"/>
      <c r="AW109" s="563"/>
      <c r="AX109" s="639"/>
      <c r="AZ109" s="369" t="e">
        <f t="shared" si="42"/>
        <v>#N/A</v>
      </c>
      <c r="BA109" s="722"/>
    </row>
    <row r="110" spans="2:53">
      <c r="B110" s="678"/>
      <c r="C110" s="348">
        <v>4</v>
      </c>
      <c r="D110" s="225"/>
      <c r="E110" s="181"/>
      <c r="F110" s="353"/>
      <c r="G110" s="354"/>
      <c r="H110" s="657"/>
      <c r="I110" s="363" t="str">
        <f t="shared" si="39"/>
        <v>-</v>
      </c>
      <c r="J110" s="363" t="str">
        <f t="shared" si="40"/>
        <v>-</v>
      </c>
      <c r="K110" s="199" t="str">
        <f t="shared" si="41"/>
        <v>-</v>
      </c>
      <c r="L110" s="659"/>
      <c r="M110" s="349" t="e">
        <f>RANK(K110, K$67:$K$81)</f>
        <v>#VALUE!</v>
      </c>
      <c r="N110" s="643"/>
      <c r="O110" s="643"/>
      <c r="P110" s="563"/>
      <c r="Q110" s="565"/>
      <c r="R110" s="565"/>
      <c r="S110" s="563"/>
      <c r="T110" s="639"/>
      <c r="U110" s="563"/>
      <c r="V110" s="565"/>
      <c r="W110" s="565"/>
      <c r="X110" s="563"/>
      <c r="Y110" s="639"/>
      <c r="Z110" s="563"/>
      <c r="AA110" s="565"/>
      <c r="AB110" s="565"/>
      <c r="AC110" s="563"/>
      <c r="AD110" s="639"/>
      <c r="AE110" s="563"/>
      <c r="AF110" s="565"/>
      <c r="AG110" s="565"/>
      <c r="AH110" s="563"/>
      <c r="AI110" s="639"/>
      <c r="AJ110" s="563"/>
      <c r="AK110" s="565"/>
      <c r="AL110" s="565"/>
      <c r="AM110" s="563"/>
      <c r="AN110" s="639"/>
      <c r="AO110" s="563"/>
      <c r="AP110" s="565"/>
      <c r="AQ110" s="565"/>
      <c r="AR110" s="563"/>
      <c r="AS110" s="639"/>
      <c r="AT110" s="563"/>
      <c r="AU110" s="565"/>
      <c r="AV110" s="565"/>
      <c r="AW110" s="563"/>
      <c r="AX110" s="639"/>
      <c r="AZ110" s="369" t="e">
        <f t="shared" si="42"/>
        <v>#N/A</v>
      </c>
      <c r="BA110" s="722"/>
    </row>
    <row r="111" spans="2:53">
      <c r="B111" s="678"/>
      <c r="C111" s="348">
        <v>5</v>
      </c>
      <c r="D111" s="225"/>
      <c r="E111" s="181"/>
      <c r="F111" s="353"/>
      <c r="G111" s="354"/>
      <c r="H111" s="657"/>
      <c r="I111" s="363" t="str">
        <f t="shared" si="39"/>
        <v>-</v>
      </c>
      <c r="J111" s="363" t="str">
        <f t="shared" si="40"/>
        <v>-</v>
      </c>
      <c r="K111" s="199" t="str">
        <f t="shared" si="41"/>
        <v>-</v>
      </c>
      <c r="L111" s="659"/>
      <c r="M111" s="349" t="e">
        <f>RANK(K111, K$67:$K$81)</f>
        <v>#VALUE!</v>
      </c>
      <c r="N111" s="643"/>
      <c r="O111" s="643"/>
      <c r="P111" s="563"/>
      <c r="Q111" s="565"/>
      <c r="R111" s="565"/>
      <c r="S111" s="563"/>
      <c r="T111" s="639"/>
      <c r="U111" s="563"/>
      <c r="V111" s="565"/>
      <c r="W111" s="565"/>
      <c r="X111" s="563"/>
      <c r="Y111" s="639"/>
      <c r="Z111" s="563"/>
      <c r="AA111" s="565"/>
      <c r="AB111" s="565"/>
      <c r="AC111" s="563"/>
      <c r="AD111" s="639"/>
      <c r="AE111" s="563"/>
      <c r="AF111" s="565"/>
      <c r="AG111" s="565"/>
      <c r="AH111" s="563"/>
      <c r="AI111" s="639"/>
      <c r="AJ111" s="563"/>
      <c r="AK111" s="565"/>
      <c r="AL111" s="565"/>
      <c r="AM111" s="563"/>
      <c r="AN111" s="639"/>
      <c r="AO111" s="563"/>
      <c r="AP111" s="565"/>
      <c r="AQ111" s="565"/>
      <c r="AR111" s="563"/>
      <c r="AS111" s="639"/>
      <c r="AT111" s="563"/>
      <c r="AU111" s="565"/>
      <c r="AV111" s="565"/>
      <c r="AW111" s="563"/>
      <c r="AX111" s="639"/>
      <c r="AZ111" s="369" t="e">
        <f t="shared" si="42"/>
        <v>#N/A</v>
      </c>
      <c r="BA111" s="722"/>
    </row>
    <row r="112" spans="2:53">
      <c r="B112" s="678"/>
      <c r="C112" s="348">
        <v>6</v>
      </c>
      <c r="D112" s="225"/>
      <c r="E112" s="181"/>
      <c r="F112" s="353"/>
      <c r="G112" s="354"/>
      <c r="H112" s="657"/>
      <c r="I112" s="363" t="str">
        <f t="shared" si="39"/>
        <v>-</v>
      </c>
      <c r="J112" s="363" t="str">
        <f t="shared" si="40"/>
        <v>-</v>
      </c>
      <c r="K112" s="199" t="str">
        <f t="shared" si="41"/>
        <v>-</v>
      </c>
      <c r="L112" s="659"/>
      <c r="M112" s="349" t="e">
        <f>RANK(K112, K$67:$K$81)</f>
        <v>#VALUE!</v>
      </c>
      <c r="N112" s="643"/>
      <c r="O112" s="643"/>
      <c r="P112" s="563"/>
      <c r="Q112" s="565"/>
      <c r="R112" s="565"/>
      <c r="S112" s="563"/>
      <c r="T112" s="639"/>
      <c r="U112" s="563"/>
      <c r="V112" s="565"/>
      <c r="W112" s="565"/>
      <c r="X112" s="563"/>
      <c r="Y112" s="639"/>
      <c r="Z112" s="563"/>
      <c r="AA112" s="565"/>
      <c r="AB112" s="565"/>
      <c r="AC112" s="563"/>
      <c r="AD112" s="639"/>
      <c r="AE112" s="563"/>
      <c r="AF112" s="565"/>
      <c r="AG112" s="565"/>
      <c r="AH112" s="563"/>
      <c r="AI112" s="639"/>
      <c r="AJ112" s="563"/>
      <c r="AK112" s="565"/>
      <c r="AL112" s="565"/>
      <c r="AM112" s="563"/>
      <c r="AN112" s="639"/>
      <c r="AO112" s="563"/>
      <c r="AP112" s="565"/>
      <c r="AQ112" s="565"/>
      <c r="AR112" s="563"/>
      <c r="AS112" s="639"/>
      <c r="AT112" s="563"/>
      <c r="AU112" s="565"/>
      <c r="AV112" s="565"/>
      <c r="AW112" s="563"/>
      <c r="AX112" s="639"/>
      <c r="AZ112" s="369" t="e">
        <f t="shared" si="42"/>
        <v>#N/A</v>
      </c>
      <c r="BA112" s="722"/>
    </row>
    <row r="113" spans="2:53">
      <c r="B113" s="678"/>
      <c r="C113" s="348">
        <v>7</v>
      </c>
      <c r="D113" s="225"/>
      <c r="E113" s="181"/>
      <c r="F113" s="353"/>
      <c r="G113" s="354"/>
      <c r="H113" s="657"/>
      <c r="I113" s="363" t="str">
        <f t="shared" si="39"/>
        <v>-</v>
      </c>
      <c r="J113" s="363" t="str">
        <f t="shared" si="40"/>
        <v>-</v>
      </c>
      <c r="K113" s="199" t="str">
        <f t="shared" si="41"/>
        <v>-</v>
      </c>
      <c r="L113" s="659"/>
      <c r="M113" s="349" t="e">
        <f>RANK(K113, K$67:$K$81)</f>
        <v>#VALUE!</v>
      </c>
      <c r="N113" s="643"/>
      <c r="O113" s="643"/>
      <c r="P113" s="563"/>
      <c r="Q113" s="565"/>
      <c r="R113" s="565"/>
      <c r="S113" s="563"/>
      <c r="T113" s="639"/>
      <c r="U113" s="563"/>
      <c r="V113" s="565"/>
      <c r="W113" s="565"/>
      <c r="X113" s="563"/>
      <c r="Y113" s="639"/>
      <c r="Z113" s="563"/>
      <c r="AA113" s="565"/>
      <c r="AB113" s="565"/>
      <c r="AC113" s="563"/>
      <c r="AD113" s="639"/>
      <c r="AE113" s="563"/>
      <c r="AF113" s="565"/>
      <c r="AG113" s="565"/>
      <c r="AH113" s="563"/>
      <c r="AI113" s="639"/>
      <c r="AJ113" s="563"/>
      <c r="AK113" s="565"/>
      <c r="AL113" s="565"/>
      <c r="AM113" s="563"/>
      <c r="AN113" s="639"/>
      <c r="AO113" s="563"/>
      <c r="AP113" s="565"/>
      <c r="AQ113" s="565"/>
      <c r="AR113" s="563"/>
      <c r="AS113" s="639"/>
      <c r="AT113" s="563"/>
      <c r="AU113" s="565"/>
      <c r="AV113" s="565"/>
      <c r="AW113" s="563"/>
      <c r="AX113" s="639"/>
      <c r="AZ113" s="369" t="e">
        <f t="shared" si="42"/>
        <v>#N/A</v>
      </c>
      <c r="BA113" s="722"/>
    </row>
    <row r="114" spans="2:53">
      <c r="B114" s="678"/>
      <c r="C114" s="348">
        <v>8</v>
      </c>
      <c r="D114" s="225"/>
      <c r="E114" s="181"/>
      <c r="F114" s="353"/>
      <c r="G114" s="354"/>
      <c r="H114" s="657"/>
      <c r="I114" s="363" t="str">
        <f t="shared" si="39"/>
        <v>-</v>
      </c>
      <c r="J114" s="363" t="str">
        <f t="shared" si="40"/>
        <v>-</v>
      </c>
      <c r="K114" s="199" t="str">
        <f t="shared" si="41"/>
        <v>-</v>
      </c>
      <c r="L114" s="659"/>
      <c r="M114" s="349" t="e">
        <f>RANK(K114, K$67:$K$81)</f>
        <v>#VALUE!</v>
      </c>
      <c r="N114" s="643"/>
      <c r="O114" s="643"/>
      <c r="P114" s="563"/>
      <c r="Q114" s="565"/>
      <c r="R114" s="565"/>
      <c r="S114" s="563"/>
      <c r="T114" s="639"/>
      <c r="U114" s="563"/>
      <c r="V114" s="565"/>
      <c r="W114" s="565"/>
      <c r="X114" s="563"/>
      <c r="Y114" s="639"/>
      <c r="Z114" s="563"/>
      <c r="AA114" s="565"/>
      <c r="AB114" s="565"/>
      <c r="AC114" s="563"/>
      <c r="AD114" s="639"/>
      <c r="AE114" s="563"/>
      <c r="AF114" s="565"/>
      <c r="AG114" s="565"/>
      <c r="AH114" s="563"/>
      <c r="AI114" s="639"/>
      <c r="AJ114" s="563"/>
      <c r="AK114" s="565"/>
      <c r="AL114" s="565"/>
      <c r="AM114" s="563"/>
      <c r="AN114" s="639"/>
      <c r="AO114" s="563"/>
      <c r="AP114" s="565"/>
      <c r="AQ114" s="565"/>
      <c r="AR114" s="563"/>
      <c r="AS114" s="639"/>
      <c r="AT114" s="563"/>
      <c r="AU114" s="565"/>
      <c r="AV114" s="565"/>
      <c r="AW114" s="563"/>
      <c r="AX114" s="639"/>
      <c r="AZ114" s="369" t="e">
        <f t="shared" si="42"/>
        <v>#N/A</v>
      </c>
      <c r="BA114" s="722"/>
    </row>
    <row r="115" spans="2:53">
      <c r="B115" s="678"/>
      <c r="C115" s="348">
        <v>9</v>
      </c>
      <c r="D115" s="225"/>
      <c r="E115" s="181"/>
      <c r="F115" s="353"/>
      <c r="G115" s="354"/>
      <c r="H115" s="657"/>
      <c r="I115" s="363" t="str">
        <f t="shared" si="39"/>
        <v>-</v>
      </c>
      <c r="J115" s="363" t="str">
        <f t="shared" si="40"/>
        <v>-</v>
      </c>
      <c r="K115" s="199" t="str">
        <f t="shared" si="41"/>
        <v>-</v>
      </c>
      <c r="L115" s="659"/>
      <c r="M115" s="349" t="e">
        <f>RANK(K115, K$67:$K$81)</f>
        <v>#VALUE!</v>
      </c>
      <c r="N115" s="643"/>
      <c r="O115" s="643"/>
      <c r="P115" s="563"/>
      <c r="Q115" s="565"/>
      <c r="R115" s="565"/>
      <c r="S115" s="563"/>
      <c r="T115" s="639"/>
      <c r="U115" s="563"/>
      <c r="V115" s="565"/>
      <c r="W115" s="565"/>
      <c r="X115" s="563"/>
      <c r="Y115" s="639"/>
      <c r="Z115" s="563"/>
      <c r="AA115" s="565"/>
      <c r="AB115" s="565"/>
      <c r="AC115" s="563"/>
      <c r="AD115" s="639"/>
      <c r="AE115" s="563"/>
      <c r="AF115" s="565"/>
      <c r="AG115" s="565"/>
      <c r="AH115" s="563"/>
      <c r="AI115" s="639"/>
      <c r="AJ115" s="563"/>
      <c r="AK115" s="565"/>
      <c r="AL115" s="565"/>
      <c r="AM115" s="563"/>
      <c r="AN115" s="639"/>
      <c r="AO115" s="563"/>
      <c r="AP115" s="565"/>
      <c r="AQ115" s="565"/>
      <c r="AR115" s="563"/>
      <c r="AS115" s="639"/>
      <c r="AT115" s="563"/>
      <c r="AU115" s="565"/>
      <c r="AV115" s="565"/>
      <c r="AW115" s="563"/>
      <c r="AX115" s="639"/>
      <c r="AZ115" s="369" t="e">
        <f t="shared" si="42"/>
        <v>#N/A</v>
      </c>
      <c r="BA115" s="722"/>
    </row>
    <row r="116" spans="2:53">
      <c r="B116" s="678"/>
      <c r="C116" s="348">
        <v>10</v>
      </c>
      <c r="D116" s="225"/>
      <c r="E116" s="181"/>
      <c r="F116" s="353"/>
      <c r="G116" s="354"/>
      <c r="H116" s="657"/>
      <c r="I116" s="363" t="str">
        <f t="shared" si="39"/>
        <v>-</v>
      </c>
      <c r="J116" s="363" t="str">
        <f t="shared" si="40"/>
        <v>-</v>
      </c>
      <c r="K116" s="199" t="str">
        <f t="shared" si="41"/>
        <v>-</v>
      </c>
      <c r="L116" s="659"/>
      <c r="M116" s="349" t="e">
        <f>RANK(K116, K$67:$K$81)</f>
        <v>#VALUE!</v>
      </c>
      <c r="N116" s="643"/>
      <c r="O116" s="643"/>
      <c r="P116" s="563"/>
      <c r="Q116" s="565"/>
      <c r="R116" s="565"/>
      <c r="S116" s="563"/>
      <c r="T116" s="639"/>
      <c r="U116" s="563"/>
      <c r="V116" s="565"/>
      <c r="W116" s="565"/>
      <c r="X116" s="563"/>
      <c r="Y116" s="639"/>
      <c r="Z116" s="563"/>
      <c r="AA116" s="565"/>
      <c r="AB116" s="565"/>
      <c r="AC116" s="563"/>
      <c r="AD116" s="639"/>
      <c r="AE116" s="563"/>
      <c r="AF116" s="565"/>
      <c r="AG116" s="565"/>
      <c r="AH116" s="563"/>
      <c r="AI116" s="639"/>
      <c r="AJ116" s="563"/>
      <c r="AK116" s="565"/>
      <c r="AL116" s="565"/>
      <c r="AM116" s="563"/>
      <c r="AN116" s="639"/>
      <c r="AO116" s="563"/>
      <c r="AP116" s="565"/>
      <c r="AQ116" s="565"/>
      <c r="AR116" s="563"/>
      <c r="AS116" s="639"/>
      <c r="AT116" s="563"/>
      <c r="AU116" s="565"/>
      <c r="AV116" s="565"/>
      <c r="AW116" s="563"/>
      <c r="AX116" s="639"/>
      <c r="AZ116" s="369" t="e">
        <f t="shared" si="42"/>
        <v>#N/A</v>
      </c>
      <c r="BA116" s="722"/>
    </row>
    <row r="117" spans="2:53">
      <c r="B117" s="678"/>
      <c r="C117" s="348">
        <v>11</v>
      </c>
      <c r="D117" s="225"/>
      <c r="E117" s="181"/>
      <c r="F117" s="353"/>
      <c r="G117" s="354"/>
      <c r="H117" s="657"/>
      <c r="I117" s="363" t="str">
        <f t="shared" si="39"/>
        <v>-</v>
      </c>
      <c r="J117" s="363" t="str">
        <f t="shared" si="40"/>
        <v>-</v>
      </c>
      <c r="K117" s="199" t="str">
        <f t="shared" si="41"/>
        <v>-</v>
      </c>
      <c r="L117" s="659"/>
      <c r="M117" s="349" t="e">
        <f>RANK(K117, K$67:$K$81)</f>
        <v>#VALUE!</v>
      </c>
      <c r="N117" s="643"/>
      <c r="O117" s="643"/>
      <c r="P117" s="563"/>
      <c r="Q117" s="565"/>
      <c r="R117" s="565"/>
      <c r="S117" s="563"/>
      <c r="T117" s="639"/>
      <c r="U117" s="563"/>
      <c r="V117" s="565"/>
      <c r="W117" s="565"/>
      <c r="X117" s="563"/>
      <c r="Y117" s="639"/>
      <c r="Z117" s="563"/>
      <c r="AA117" s="565"/>
      <c r="AB117" s="565"/>
      <c r="AC117" s="563"/>
      <c r="AD117" s="639"/>
      <c r="AE117" s="563"/>
      <c r="AF117" s="565"/>
      <c r="AG117" s="565"/>
      <c r="AH117" s="563"/>
      <c r="AI117" s="639"/>
      <c r="AJ117" s="563"/>
      <c r="AK117" s="565"/>
      <c r="AL117" s="565"/>
      <c r="AM117" s="563"/>
      <c r="AN117" s="639"/>
      <c r="AO117" s="563"/>
      <c r="AP117" s="565"/>
      <c r="AQ117" s="565"/>
      <c r="AR117" s="563"/>
      <c r="AS117" s="639"/>
      <c r="AT117" s="563"/>
      <c r="AU117" s="565"/>
      <c r="AV117" s="565"/>
      <c r="AW117" s="563"/>
      <c r="AX117" s="639"/>
      <c r="AZ117" s="369" t="e">
        <f t="shared" si="42"/>
        <v>#N/A</v>
      </c>
      <c r="BA117" s="722"/>
    </row>
    <row r="118" spans="2:53">
      <c r="B118" s="678"/>
      <c r="C118" s="348">
        <v>12</v>
      </c>
      <c r="D118" s="225"/>
      <c r="E118" s="181"/>
      <c r="F118" s="353"/>
      <c r="G118" s="354"/>
      <c r="H118" s="657"/>
      <c r="I118" s="363" t="str">
        <f t="shared" si="39"/>
        <v>-</v>
      </c>
      <c r="J118" s="363" t="str">
        <f t="shared" si="40"/>
        <v>-</v>
      </c>
      <c r="K118" s="199" t="str">
        <f t="shared" si="41"/>
        <v>-</v>
      </c>
      <c r="L118" s="659"/>
      <c r="M118" s="349" t="e">
        <f>RANK(K118, K$67:$K$81)</f>
        <v>#VALUE!</v>
      </c>
      <c r="N118" s="643"/>
      <c r="O118" s="643"/>
      <c r="P118" s="563"/>
      <c r="Q118" s="565"/>
      <c r="R118" s="565"/>
      <c r="S118" s="563"/>
      <c r="T118" s="639"/>
      <c r="U118" s="563"/>
      <c r="V118" s="565"/>
      <c r="W118" s="565"/>
      <c r="X118" s="563"/>
      <c r="Y118" s="639"/>
      <c r="Z118" s="563"/>
      <c r="AA118" s="565"/>
      <c r="AB118" s="565"/>
      <c r="AC118" s="563"/>
      <c r="AD118" s="639"/>
      <c r="AE118" s="563"/>
      <c r="AF118" s="565"/>
      <c r="AG118" s="565"/>
      <c r="AH118" s="563"/>
      <c r="AI118" s="639"/>
      <c r="AJ118" s="563"/>
      <c r="AK118" s="565"/>
      <c r="AL118" s="565"/>
      <c r="AM118" s="563"/>
      <c r="AN118" s="639"/>
      <c r="AO118" s="563"/>
      <c r="AP118" s="565"/>
      <c r="AQ118" s="565"/>
      <c r="AR118" s="563"/>
      <c r="AS118" s="639"/>
      <c r="AT118" s="563"/>
      <c r="AU118" s="565"/>
      <c r="AV118" s="565"/>
      <c r="AW118" s="563"/>
      <c r="AX118" s="639"/>
      <c r="AZ118" s="369" t="e">
        <f t="shared" si="42"/>
        <v>#N/A</v>
      </c>
      <c r="BA118" s="722"/>
    </row>
    <row r="119" spans="2:53">
      <c r="B119" s="678"/>
      <c r="C119" s="348">
        <v>13</v>
      </c>
      <c r="D119" s="225"/>
      <c r="E119" s="181"/>
      <c r="F119" s="353"/>
      <c r="G119" s="354"/>
      <c r="H119" s="657"/>
      <c r="I119" s="363" t="str">
        <f t="shared" si="39"/>
        <v>-</v>
      </c>
      <c r="J119" s="363" t="str">
        <f t="shared" si="40"/>
        <v>-</v>
      </c>
      <c r="K119" s="199" t="str">
        <f t="shared" si="41"/>
        <v>-</v>
      </c>
      <c r="L119" s="659"/>
      <c r="M119" s="349" t="e">
        <f>RANK(K119, K$67:$K$81)</f>
        <v>#VALUE!</v>
      </c>
      <c r="N119" s="643"/>
      <c r="O119" s="643"/>
      <c r="P119" s="563"/>
      <c r="Q119" s="565"/>
      <c r="R119" s="565"/>
      <c r="S119" s="563"/>
      <c r="T119" s="639"/>
      <c r="U119" s="563"/>
      <c r="V119" s="565"/>
      <c r="W119" s="565"/>
      <c r="X119" s="563"/>
      <c r="Y119" s="639"/>
      <c r="Z119" s="563"/>
      <c r="AA119" s="565"/>
      <c r="AB119" s="565"/>
      <c r="AC119" s="563"/>
      <c r="AD119" s="639"/>
      <c r="AE119" s="563"/>
      <c r="AF119" s="565"/>
      <c r="AG119" s="565"/>
      <c r="AH119" s="563"/>
      <c r="AI119" s="639"/>
      <c r="AJ119" s="563"/>
      <c r="AK119" s="565"/>
      <c r="AL119" s="565"/>
      <c r="AM119" s="563"/>
      <c r="AN119" s="639"/>
      <c r="AO119" s="563"/>
      <c r="AP119" s="565"/>
      <c r="AQ119" s="565"/>
      <c r="AR119" s="563"/>
      <c r="AS119" s="639"/>
      <c r="AT119" s="563"/>
      <c r="AU119" s="565"/>
      <c r="AV119" s="565"/>
      <c r="AW119" s="563"/>
      <c r="AX119" s="639"/>
      <c r="AZ119" s="369" t="e">
        <f t="shared" si="42"/>
        <v>#N/A</v>
      </c>
      <c r="BA119" s="722"/>
    </row>
    <row r="120" spans="2:53">
      <c r="B120" s="678"/>
      <c r="C120" s="348">
        <v>14</v>
      </c>
      <c r="D120" s="225"/>
      <c r="E120" s="181"/>
      <c r="F120" s="353"/>
      <c r="G120" s="354"/>
      <c r="H120" s="657"/>
      <c r="I120" s="363" t="str">
        <f t="shared" si="39"/>
        <v>-</v>
      </c>
      <c r="J120" s="363" t="str">
        <f t="shared" si="40"/>
        <v>-</v>
      </c>
      <c r="K120" s="199" t="str">
        <f t="shared" si="41"/>
        <v>-</v>
      </c>
      <c r="L120" s="659"/>
      <c r="M120" s="349" t="e">
        <f>RANK(K120, K$67:$K$81)</f>
        <v>#VALUE!</v>
      </c>
      <c r="N120" s="643"/>
      <c r="O120" s="643"/>
      <c r="P120" s="563"/>
      <c r="Q120" s="565"/>
      <c r="R120" s="565"/>
      <c r="S120" s="563"/>
      <c r="T120" s="639"/>
      <c r="U120" s="563"/>
      <c r="V120" s="565"/>
      <c r="W120" s="565"/>
      <c r="X120" s="563"/>
      <c r="Y120" s="639"/>
      <c r="Z120" s="563"/>
      <c r="AA120" s="565"/>
      <c r="AB120" s="565"/>
      <c r="AC120" s="563"/>
      <c r="AD120" s="639"/>
      <c r="AE120" s="563"/>
      <c r="AF120" s="565"/>
      <c r="AG120" s="565"/>
      <c r="AH120" s="563"/>
      <c r="AI120" s="639"/>
      <c r="AJ120" s="563"/>
      <c r="AK120" s="565"/>
      <c r="AL120" s="565"/>
      <c r="AM120" s="563"/>
      <c r="AN120" s="639"/>
      <c r="AO120" s="563"/>
      <c r="AP120" s="565"/>
      <c r="AQ120" s="565"/>
      <c r="AR120" s="563"/>
      <c r="AS120" s="639"/>
      <c r="AT120" s="563"/>
      <c r="AU120" s="565"/>
      <c r="AV120" s="565"/>
      <c r="AW120" s="563"/>
      <c r="AX120" s="639"/>
      <c r="AZ120" s="369" t="e">
        <f t="shared" si="42"/>
        <v>#N/A</v>
      </c>
      <c r="BA120" s="722"/>
    </row>
    <row r="121" spans="2:53">
      <c r="B121" s="678"/>
      <c r="C121" s="348">
        <v>15</v>
      </c>
      <c r="D121" s="225"/>
      <c r="E121" s="181"/>
      <c r="F121" s="353"/>
      <c r="G121" s="354"/>
      <c r="H121" s="714"/>
      <c r="I121" s="365"/>
      <c r="J121" s="365"/>
      <c r="K121" s="365"/>
      <c r="L121" s="660"/>
      <c r="M121" s="349" t="e">
        <f>RANK(K121, K$67:$K$81)</f>
        <v>#N/A</v>
      </c>
      <c r="N121" s="643"/>
      <c r="O121" s="643"/>
      <c r="P121" s="563"/>
      <c r="Q121" s="565"/>
      <c r="R121" s="565"/>
      <c r="S121" s="563"/>
      <c r="T121" s="640"/>
      <c r="U121" s="563"/>
      <c r="V121" s="565"/>
      <c r="W121" s="565"/>
      <c r="X121" s="563"/>
      <c r="Y121" s="640"/>
      <c r="Z121" s="563"/>
      <c r="AA121" s="565"/>
      <c r="AB121" s="565"/>
      <c r="AC121" s="563"/>
      <c r="AD121" s="640"/>
      <c r="AE121" s="563"/>
      <c r="AF121" s="565"/>
      <c r="AG121" s="565"/>
      <c r="AH121" s="563"/>
      <c r="AI121" s="640"/>
      <c r="AJ121" s="563"/>
      <c r="AK121" s="565"/>
      <c r="AL121" s="565"/>
      <c r="AM121" s="563"/>
      <c r="AN121" s="640"/>
      <c r="AO121" s="563"/>
      <c r="AP121" s="565"/>
      <c r="AQ121" s="565"/>
      <c r="AR121" s="563"/>
      <c r="AS121" s="640"/>
      <c r="AT121" s="563"/>
      <c r="AU121" s="565"/>
      <c r="AV121" s="565"/>
      <c r="AW121" s="563"/>
      <c r="AX121" s="640"/>
      <c r="AZ121" s="369" t="e">
        <f t="shared" si="42"/>
        <v>#N/A</v>
      </c>
      <c r="BA121" s="722"/>
    </row>
    <row r="123" spans="2:53" ht="15.75">
      <c r="B123" s="651" t="s">
        <v>478</v>
      </c>
      <c r="C123" s="652"/>
      <c r="D123" s="652"/>
      <c r="E123" s="652"/>
      <c r="F123" s="652"/>
      <c r="G123" s="652"/>
      <c r="H123" s="653"/>
      <c r="I123" s="307"/>
      <c r="J123" s="307"/>
      <c r="K123" s="307"/>
      <c r="L123" s="307"/>
      <c r="M123" s="308"/>
    </row>
    <row r="124" spans="2:53" ht="15.75">
      <c r="B124" s="654"/>
      <c r="C124" s="654"/>
      <c r="D124" s="654"/>
      <c r="E124" s="654"/>
      <c r="F124" s="654"/>
      <c r="G124" s="654"/>
      <c r="H124" s="654"/>
      <c r="I124" s="309"/>
      <c r="J124" s="309"/>
      <c r="K124" s="309"/>
      <c r="L124" s="309"/>
      <c r="M124" s="310"/>
    </row>
    <row r="125" spans="2:53">
      <c r="B125" s="643" t="s">
        <v>154</v>
      </c>
      <c r="C125" s="643" t="s">
        <v>372</v>
      </c>
      <c r="D125" s="643"/>
      <c r="E125" s="643" t="s">
        <v>363</v>
      </c>
      <c r="F125" s="643"/>
      <c r="G125" s="643"/>
      <c r="H125" s="675" t="s">
        <v>359</v>
      </c>
      <c r="I125" s="655" t="s">
        <v>364</v>
      </c>
      <c r="J125" s="655"/>
      <c r="K125" s="655"/>
      <c r="L125" s="708" t="s">
        <v>359</v>
      </c>
      <c r="M125" s="711" t="s">
        <v>360</v>
      </c>
    </row>
    <row r="126" spans="2:53">
      <c r="B126" s="643"/>
      <c r="C126" s="643"/>
      <c r="D126" s="643"/>
      <c r="E126" s="643" t="s">
        <v>366</v>
      </c>
      <c r="F126" s="643"/>
      <c r="G126" s="643"/>
      <c r="H126" s="676"/>
      <c r="I126" s="655" t="s">
        <v>366</v>
      </c>
      <c r="J126" s="655"/>
      <c r="K126" s="655"/>
      <c r="L126" s="709"/>
      <c r="M126" s="712"/>
    </row>
    <row r="127" spans="2:53">
      <c r="B127" s="643"/>
      <c r="C127" s="643"/>
      <c r="D127" s="643"/>
      <c r="E127" s="304" t="s">
        <v>368</v>
      </c>
      <c r="F127" s="304" t="s">
        <v>369</v>
      </c>
      <c r="G127" s="304" t="s">
        <v>370</v>
      </c>
      <c r="H127" s="677"/>
      <c r="I127" s="311" t="s">
        <v>368</v>
      </c>
      <c r="J127" s="311" t="s">
        <v>369</v>
      </c>
      <c r="K127" s="311" t="s">
        <v>370</v>
      </c>
      <c r="L127" s="710"/>
      <c r="M127" s="713"/>
    </row>
    <row r="128" spans="2:53">
      <c r="B128" s="643" t="s">
        <v>374</v>
      </c>
      <c r="C128" s="303">
        <v>1</v>
      </c>
      <c r="D128" s="225"/>
      <c r="E128" s="181"/>
      <c r="F128" s="303"/>
      <c r="G128" s="306"/>
      <c r="H128" s="702" t="e">
        <f>AVERAGE(G128:G142)</f>
        <v>#DIV/0!</v>
      </c>
      <c r="I128" s="198" t="e">
        <f t="shared" ref="I128:J137" si="43">AVERAGEIF($D$7:$D$121,$D128,I$7:I$121)</f>
        <v>#DIV/0!</v>
      </c>
      <c r="J128" s="198" t="e">
        <f t="shared" si="43"/>
        <v>#DIV/0!</v>
      </c>
      <c r="K128" s="198" t="e">
        <f t="shared" ref="K128:K137" si="44">AVERAGEIF($D$7:$D$121,$D128,K$7:K$121)</f>
        <v>#DIV/0!</v>
      </c>
      <c r="L128" s="705" t="e">
        <f>AVERAGE(K128:K142)</f>
        <v>#DIV/0!</v>
      </c>
      <c r="M128" s="198" t="e">
        <f>RANK(K128, K$128:$K$142)</f>
        <v>#DIV/0!</v>
      </c>
    </row>
    <row r="129" spans="2:39">
      <c r="B129" s="649"/>
      <c r="C129" s="303">
        <v>2</v>
      </c>
      <c r="D129" s="225"/>
      <c r="E129" s="181"/>
      <c r="F129" s="303"/>
      <c r="G129" s="306"/>
      <c r="H129" s="703"/>
      <c r="I129" s="198" t="e">
        <f t="shared" si="43"/>
        <v>#DIV/0!</v>
      </c>
      <c r="J129" s="198" t="e">
        <f t="shared" si="43"/>
        <v>#DIV/0!</v>
      </c>
      <c r="K129" s="198" t="e">
        <f t="shared" si="44"/>
        <v>#DIV/0!</v>
      </c>
      <c r="L129" s="706"/>
      <c r="M129" s="198" t="e">
        <f>RANK(K129, K$128:$K$142)</f>
        <v>#DIV/0!</v>
      </c>
      <c r="N129" s="107"/>
      <c r="O129" s="107"/>
      <c r="P129" s="107"/>
      <c r="Q129" s="107"/>
      <c r="R129" s="107"/>
      <c r="S129" s="107"/>
      <c r="T129" s="107"/>
      <c r="X129" s="107"/>
      <c r="AC129" s="107"/>
      <c r="AH129" s="107"/>
      <c r="AM129" s="107"/>
    </row>
    <row r="130" spans="2:39">
      <c r="B130" s="649"/>
      <c r="C130" s="303">
        <v>3</v>
      </c>
      <c r="D130" s="225"/>
      <c r="E130" s="181"/>
      <c r="F130" s="303"/>
      <c r="G130" s="306"/>
      <c r="H130" s="703"/>
      <c r="I130" s="198" t="e">
        <f t="shared" si="43"/>
        <v>#DIV/0!</v>
      </c>
      <c r="J130" s="198" t="e">
        <f t="shared" si="43"/>
        <v>#DIV/0!</v>
      </c>
      <c r="K130" s="198" t="e">
        <f t="shared" si="44"/>
        <v>#DIV/0!</v>
      </c>
      <c r="L130" s="706"/>
      <c r="M130" s="198" t="e">
        <f>RANK(K130, K$128:$K$142)</f>
        <v>#DIV/0!</v>
      </c>
      <c r="N130" s="107"/>
      <c r="O130" s="107"/>
      <c r="P130" s="107"/>
      <c r="Q130" s="107"/>
      <c r="R130" s="107"/>
      <c r="S130" s="107"/>
      <c r="T130" s="107"/>
      <c r="X130" s="107"/>
      <c r="AC130" s="107"/>
      <c r="AH130" s="107"/>
      <c r="AM130" s="107"/>
    </row>
    <row r="131" spans="2:39">
      <c r="B131" s="649"/>
      <c r="C131" s="303">
        <v>4</v>
      </c>
      <c r="D131" s="225"/>
      <c r="E131" s="181"/>
      <c r="F131" s="303"/>
      <c r="G131" s="306"/>
      <c r="H131" s="703"/>
      <c r="I131" s="198" t="e">
        <f t="shared" si="43"/>
        <v>#DIV/0!</v>
      </c>
      <c r="J131" s="198" t="e">
        <f t="shared" si="43"/>
        <v>#DIV/0!</v>
      </c>
      <c r="K131" s="198" t="e">
        <f t="shared" si="44"/>
        <v>#DIV/0!</v>
      </c>
      <c r="L131" s="706"/>
      <c r="M131" s="198" t="e">
        <f>RANK(K131, K$128:$K$142)</f>
        <v>#DIV/0!</v>
      </c>
      <c r="N131" s="107"/>
      <c r="O131" s="107"/>
      <c r="P131" s="107"/>
      <c r="Q131" s="107"/>
      <c r="R131" s="107"/>
      <c r="S131" s="107"/>
      <c r="T131" s="107"/>
      <c r="X131" s="107"/>
      <c r="AC131" s="107"/>
      <c r="AH131" s="107"/>
      <c r="AM131" s="107"/>
    </row>
    <row r="132" spans="2:39">
      <c r="B132" s="649"/>
      <c r="C132" s="303">
        <v>5</v>
      </c>
      <c r="D132" s="225"/>
      <c r="E132" s="181"/>
      <c r="F132" s="303"/>
      <c r="G132" s="306"/>
      <c r="H132" s="703"/>
      <c r="I132" s="198" t="e">
        <f t="shared" si="43"/>
        <v>#DIV/0!</v>
      </c>
      <c r="J132" s="198" t="e">
        <f t="shared" si="43"/>
        <v>#DIV/0!</v>
      </c>
      <c r="K132" s="198" t="e">
        <f t="shared" si="44"/>
        <v>#DIV/0!</v>
      </c>
      <c r="L132" s="706"/>
      <c r="M132" s="198" t="e">
        <f>RANK(K132, K$128:$K$142)</f>
        <v>#DIV/0!</v>
      </c>
      <c r="N132" s="107"/>
      <c r="O132" s="107"/>
      <c r="P132" s="107"/>
      <c r="Q132" s="107"/>
      <c r="R132" s="107"/>
      <c r="S132" s="107"/>
      <c r="T132" s="107"/>
      <c r="X132" s="107"/>
      <c r="AC132" s="107"/>
      <c r="AH132" s="107"/>
      <c r="AM132" s="107"/>
    </row>
    <row r="133" spans="2:39">
      <c r="B133" s="649"/>
      <c r="C133" s="303">
        <v>6</v>
      </c>
      <c r="D133" s="312"/>
      <c r="E133" s="181"/>
      <c r="F133" s="303"/>
      <c r="G133" s="306"/>
      <c r="H133" s="703"/>
      <c r="I133" s="198" t="e">
        <f t="shared" si="43"/>
        <v>#DIV/0!</v>
      </c>
      <c r="J133" s="198" t="e">
        <f t="shared" si="43"/>
        <v>#DIV/0!</v>
      </c>
      <c r="K133" s="198" t="e">
        <f t="shared" si="44"/>
        <v>#DIV/0!</v>
      </c>
      <c r="L133" s="706"/>
      <c r="M133" s="198" t="e">
        <f>RANK(K133, K$128:$K$142)</f>
        <v>#DIV/0!</v>
      </c>
      <c r="N133" s="107"/>
      <c r="O133" s="107"/>
      <c r="P133" s="107"/>
      <c r="Q133" s="107"/>
      <c r="R133" s="107"/>
      <c r="S133" s="107"/>
      <c r="T133" s="107"/>
      <c r="X133" s="107"/>
      <c r="AC133" s="107"/>
      <c r="AH133" s="107"/>
      <c r="AM133" s="107"/>
    </row>
    <row r="134" spans="2:39">
      <c r="B134" s="649"/>
      <c r="C134" s="303">
        <v>7</v>
      </c>
      <c r="D134" s="225"/>
      <c r="E134" s="181"/>
      <c r="F134" s="303"/>
      <c r="G134" s="306"/>
      <c r="H134" s="703"/>
      <c r="I134" s="198" t="e">
        <f t="shared" si="43"/>
        <v>#DIV/0!</v>
      </c>
      <c r="J134" s="198" t="e">
        <f t="shared" si="43"/>
        <v>#DIV/0!</v>
      </c>
      <c r="K134" s="198" t="e">
        <f t="shared" si="44"/>
        <v>#DIV/0!</v>
      </c>
      <c r="L134" s="706"/>
      <c r="M134" s="198" t="e">
        <f>RANK(K134, K$128:$K$142)</f>
        <v>#DIV/0!</v>
      </c>
      <c r="N134" s="107"/>
      <c r="O134" s="107"/>
      <c r="P134" s="107"/>
      <c r="Q134" s="107"/>
      <c r="R134" s="107"/>
      <c r="S134" s="107"/>
      <c r="T134" s="107"/>
      <c r="X134" s="107"/>
      <c r="AC134" s="107"/>
      <c r="AH134" s="107"/>
      <c r="AM134" s="107"/>
    </row>
    <row r="135" spans="2:39">
      <c r="B135" s="649"/>
      <c r="C135" s="303">
        <v>8</v>
      </c>
      <c r="D135" s="225"/>
      <c r="E135" s="181"/>
      <c r="F135" s="303"/>
      <c r="G135" s="306"/>
      <c r="H135" s="703"/>
      <c r="I135" s="198" t="e">
        <f t="shared" si="43"/>
        <v>#DIV/0!</v>
      </c>
      <c r="J135" s="198" t="e">
        <f t="shared" si="43"/>
        <v>#DIV/0!</v>
      </c>
      <c r="K135" s="198" t="e">
        <f t="shared" si="44"/>
        <v>#DIV/0!</v>
      </c>
      <c r="L135" s="706"/>
      <c r="M135" s="198" t="e">
        <f>RANK(K135, K$128:$K$142)</f>
        <v>#DIV/0!</v>
      </c>
      <c r="N135" s="107"/>
      <c r="O135" s="107"/>
      <c r="P135" s="107"/>
      <c r="Q135" s="107"/>
      <c r="R135" s="107"/>
      <c r="S135" s="107"/>
      <c r="T135" s="107"/>
      <c r="X135" s="107"/>
      <c r="AC135" s="107"/>
      <c r="AH135" s="107"/>
      <c r="AM135" s="107"/>
    </row>
    <row r="136" spans="2:39">
      <c r="B136" s="649"/>
      <c r="C136" s="303">
        <v>9</v>
      </c>
      <c r="D136" s="225"/>
      <c r="E136" s="303"/>
      <c r="F136" s="303"/>
      <c r="G136" s="303"/>
      <c r="H136" s="703"/>
      <c r="I136" s="198" t="e">
        <f t="shared" si="43"/>
        <v>#DIV/0!</v>
      </c>
      <c r="J136" s="198" t="e">
        <f t="shared" si="43"/>
        <v>#DIV/0!</v>
      </c>
      <c r="K136" s="198" t="e">
        <f t="shared" si="44"/>
        <v>#DIV/0!</v>
      </c>
      <c r="L136" s="706"/>
      <c r="M136" s="198" t="e">
        <f>RANK(K136, K$128:$K$142)</f>
        <v>#DIV/0!</v>
      </c>
      <c r="N136" s="107"/>
      <c r="O136" s="107"/>
      <c r="P136" s="107"/>
      <c r="Q136" s="107"/>
      <c r="R136" s="107"/>
      <c r="S136" s="107"/>
      <c r="T136" s="107"/>
      <c r="X136" s="107"/>
      <c r="AC136" s="107"/>
      <c r="AH136" s="107"/>
      <c r="AM136" s="107"/>
    </row>
    <row r="137" spans="2:39">
      <c r="B137" s="649"/>
      <c r="C137" s="303">
        <v>10</v>
      </c>
      <c r="D137" s="225"/>
      <c r="E137" s="303"/>
      <c r="F137" s="303"/>
      <c r="G137" s="303"/>
      <c r="H137" s="703"/>
      <c r="I137" s="198" t="e">
        <f t="shared" si="43"/>
        <v>#DIV/0!</v>
      </c>
      <c r="J137" s="198" t="e">
        <f t="shared" si="43"/>
        <v>#DIV/0!</v>
      </c>
      <c r="K137" s="198" t="e">
        <f t="shared" si="44"/>
        <v>#DIV/0!</v>
      </c>
      <c r="L137" s="706"/>
      <c r="M137" s="198" t="e">
        <f>RANK(K137, K$128:$K$142)</f>
        <v>#DIV/0!</v>
      </c>
      <c r="N137" s="107"/>
      <c r="O137" s="107"/>
      <c r="P137" s="107"/>
      <c r="Q137" s="107"/>
      <c r="R137" s="107"/>
      <c r="S137" s="107"/>
      <c r="T137" s="107"/>
      <c r="X137" s="107"/>
      <c r="AC137" s="107"/>
      <c r="AH137" s="107"/>
      <c r="AM137" s="107"/>
    </row>
    <row r="138" spans="2:39">
      <c r="B138" s="649"/>
      <c r="C138" s="303">
        <v>11</v>
      </c>
      <c r="D138" s="225"/>
      <c r="E138" s="303"/>
      <c r="F138" s="303"/>
      <c r="G138" s="303"/>
      <c r="H138" s="703"/>
      <c r="I138" s="198"/>
      <c r="J138" s="198"/>
      <c r="K138" s="198"/>
      <c r="L138" s="706"/>
      <c r="M138" s="198" t="e">
        <f>RANK(K138, K$128:$K$142)</f>
        <v>#DIV/0!</v>
      </c>
      <c r="N138" s="107"/>
      <c r="O138" s="107"/>
      <c r="P138" s="107"/>
      <c r="Q138" s="107"/>
      <c r="R138" s="107"/>
      <c r="S138" s="107"/>
      <c r="T138" s="107"/>
      <c r="X138" s="107"/>
      <c r="AC138" s="107"/>
      <c r="AH138" s="107"/>
      <c r="AM138" s="107"/>
    </row>
    <row r="139" spans="2:39">
      <c r="B139" s="649"/>
      <c r="C139" s="303">
        <v>12</v>
      </c>
      <c r="D139" s="225"/>
      <c r="E139" s="303"/>
      <c r="F139" s="303"/>
      <c r="G139" s="303"/>
      <c r="H139" s="703"/>
      <c r="I139" s="198"/>
      <c r="J139" s="198"/>
      <c r="K139" s="198"/>
      <c r="L139" s="706"/>
      <c r="M139" s="198" t="e">
        <f>RANK(K139, K$128:$K$142)</f>
        <v>#DIV/0!</v>
      </c>
      <c r="N139" s="107"/>
      <c r="O139" s="107"/>
      <c r="P139" s="107"/>
      <c r="Q139" s="107"/>
      <c r="R139" s="107"/>
      <c r="S139" s="107"/>
      <c r="T139" s="107"/>
      <c r="X139" s="107"/>
      <c r="AC139" s="107"/>
      <c r="AH139" s="107"/>
      <c r="AM139" s="107"/>
    </row>
    <row r="140" spans="2:39">
      <c r="B140" s="649"/>
      <c r="C140" s="303">
        <v>13</v>
      </c>
      <c r="D140" s="225"/>
      <c r="E140" s="303"/>
      <c r="F140" s="303"/>
      <c r="G140" s="303"/>
      <c r="H140" s="703"/>
      <c r="I140" s="198"/>
      <c r="J140" s="198"/>
      <c r="K140" s="198"/>
      <c r="L140" s="706"/>
      <c r="M140" s="198" t="e">
        <f>RANK(K140, K$128:$K$142)</f>
        <v>#DIV/0!</v>
      </c>
      <c r="N140" s="107"/>
      <c r="O140" s="107"/>
      <c r="P140" s="107"/>
      <c r="Q140" s="107"/>
      <c r="R140" s="107"/>
      <c r="S140" s="107"/>
      <c r="T140" s="107"/>
      <c r="X140" s="107"/>
      <c r="AC140" s="107"/>
      <c r="AH140" s="107"/>
      <c r="AM140" s="107"/>
    </row>
    <row r="141" spans="2:39">
      <c r="B141" s="649"/>
      <c r="C141" s="303">
        <v>14</v>
      </c>
      <c r="D141" s="225"/>
      <c r="E141" s="303"/>
      <c r="F141" s="303"/>
      <c r="G141" s="303"/>
      <c r="H141" s="703"/>
      <c r="I141" s="198"/>
      <c r="J141" s="198"/>
      <c r="K141" s="198"/>
      <c r="L141" s="706"/>
      <c r="M141" s="198" t="e">
        <f>RANK(K141, K$128:$K$142)</f>
        <v>#DIV/0!</v>
      </c>
      <c r="N141" s="107"/>
      <c r="O141" s="107"/>
      <c r="P141" s="107"/>
      <c r="Q141" s="107"/>
      <c r="R141" s="107"/>
      <c r="S141" s="107"/>
      <c r="T141" s="107"/>
      <c r="X141" s="107"/>
      <c r="AC141" s="107"/>
      <c r="AH141" s="107"/>
      <c r="AM141" s="107"/>
    </row>
    <row r="142" spans="2:39">
      <c r="B142" s="649"/>
      <c r="C142" s="303">
        <v>15</v>
      </c>
      <c r="D142" s="225"/>
      <c r="E142" s="303"/>
      <c r="F142" s="303"/>
      <c r="G142" s="303"/>
      <c r="H142" s="704"/>
      <c r="I142" s="198"/>
      <c r="J142" s="198"/>
      <c r="K142" s="198"/>
      <c r="L142" s="707"/>
      <c r="M142" s="198" t="e">
        <f>RANK(K142, K$128:$K$142)</f>
        <v>#DIV/0!</v>
      </c>
      <c r="N142" s="107"/>
      <c r="O142" s="107"/>
      <c r="P142" s="107"/>
      <c r="Q142" s="107"/>
      <c r="R142" s="107"/>
      <c r="S142" s="107"/>
      <c r="T142" s="107"/>
      <c r="X142" s="107"/>
      <c r="AC142" s="107"/>
      <c r="AH142" s="107"/>
      <c r="AM142" s="107"/>
    </row>
  </sheetData>
  <mergeCells count="379">
    <mergeCell ref="BA87:BA101"/>
    <mergeCell ref="BA104:BA106"/>
    <mergeCell ref="BA107:BA121"/>
    <mergeCell ref="BA4:BA6"/>
    <mergeCell ref="BA7:BA21"/>
    <mergeCell ref="BA24:BA26"/>
    <mergeCell ref="BA27:BA41"/>
    <mergeCell ref="BA44:BA46"/>
    <mergeCell ref="BA47:BA61"/>
    <mergeCell ref="BA64:BA66"/>
    <mergeCell ref="BA67:BA81"/>
    <mergeCell ref="BA84:BA86"/>
    <mergeCell ref="B87:B101"/>
    <mergeCell ref="AS87:AS101"/>
    <mergeCell ref="AX87:AX101"/>
    <mergeCell ref="AO85:AR85"/>
    <mergeCell ref="AT85:AW85"/>
    <mergeCell ref="AO84:AR84"/>
    <mergeCell ref="AS84:AS86"/>
    <mergeCell ref="AT84:AW84"/>
    <mergeCell ref="AX84:AX86"/>
    <mergeCell ref="AJ85:AM85"/>
    <mergeCell ref="AN87:AN101"/>
    <mergeCell ref="AN84:AN86"/>
    <mergeCell ref="AJ84:AM84"/>
    <mergeCell ref="C84:D86"/>
    <mergeCell ref="E84:G84"/>
    <mergeCell ref="H84:H86"/>
    <mergeCell ref="I84:K84"/>
    <mergeCell ref="L84:L86"/>
    <mergeCell ref="AD84:AD86"/>
    <mergeCell ref="AE84:AH84"/>
    <mergeCell ref="AI84:AI86"/>
    <mergeCell ref="AE85:AH85"/>
    <mergeCell ref="Z85:AC85"/>
    <mergeCell ref="Y84:Y86"/>
    <mergeCell ref="Z84:AC84"/>
    <mergeCell ref="P84:S84"/>
    <mergeCell ref="T84:T86"/>
    <mergeCell ref="U84:X84"/>
    <mergeCell ref="E85:G85"/>
    <mergeCell ref="I85:K85"/>
    <mergeCell ref="P85:S85"/>
    <mergeCell ref="U85:X85"/>
    <mergeCell ref="M84:M86"/>
    <mergeCell ref="N84:N101"/>
    <mergeCell ref="O84:O101"/>
    <mergeCell ref="H87:H101"/>
    <mergeCell ref="L87:L101"/>
    <mergeCell ref="T87:T101"/>
    <mergeCell ref="Y87:Y101"/>
    <mergeCell ref="AX67:AX81"/>
    <mergeCell ref="B82:H83"/>
    <mergeCell ref="N82:N83"/>
    <mergeCell ref="O82:O83"/>
    <mergeCell ref="P82:T82"/>
    <mergeCell ref="U82:Y82"/>
    <mergeCell ref="Z82:AD82"/>
    <mergeCell ref="AE82:AI82"/>
    <mergeCell ref="AJ82:AN82"/>
    <mergeCell ref="AO82:AS82"/>
    <mergeCell ref="AT82:AX82"/>
    <mergeCell ref="P83:T83"/>
    <mergeCell ref="U83:Y83"/>
    <mergeCell ref="Z83:AD83"/>
    <mergeCell ref="AE83:AI83"/>
    <mergeCell ref="AJ83:AN83"/>
    <mergeCell ref="AO83:AS83"/>
    <mergeCell ref="AT83:AX83"/>
    <mergeCell ref="AO65:AR65"/>
    <mergeCell ref="AT65:AW65"/>
    <mergeCell ref="B67:B81"/>
    <mergeCell ref="H67:H81"/>
    <mergeCell ref="L67:L81"/>
    <mergeCell ref="T67:T81"/>
    <mergeCell ref="Y67:Y81"/>
    <mergeCell ref="AD67:AD81"/>
    <mergeCell ref="AI67:AI81"/>
    <mergeCell ref="AN67:AN81"/>
    <mergeCell ref="AN64:AN66"/>
    <mergeCell ref="AO64:AR64"/>
    <mergeCell ref="AS64:AS66"/>
    <mergeCell ref="AT64:AW64"/>
    <mergeCell ref="B64:B66"/>
    <mergeCell ref="C64:D66"/>
    <mergeCell ref="AS67:AS81"/>
    <mergeCell ref="H64:H66"/>
    <mergeCell ref="I64:K64"/>
    <mergeCell ref="L64:L66"/>
    <mergeCell ref="AD87:AD101"/>
    <mergeCell ref="AI87:AI101"/>
    <mergeCell ref="B84:B86"/>
    <mergeCell ref="AX64:AX66"/>
    <mergeCell ref="E65:G65"/>
    <mergeCell ref="I65:K65"/>
    <mergeCell ref="P65:S65"/>
    <mergeCell ref="U65:X65"/>
    <mergeCell ref="Z65:AC65"/>
    <mergeCell ref="Y64:Y66"/>
    <mergeCell ref="Z64:AC64"/>
    <mergeCell ref="AD64:AD66"/>
    <mergeCell ref="AE64:AH64"/>
    <mergeCell ref="AI64:AI66"/>
    <mergeCell ref="AJ64:AM64"/>
    <mergeCell ref="AE65:AH65"/>
    <mergeCell ref="AJ65:AM65"/>
    <mergeCell ref="M64:M66"/>
    <mergeCell ref="N64:N81"/>
    <mergeCell ref="O64:O81"/>
    <mergeCell ref="P64:S64"/>
    <mergeCell ref="T64:T66"/>
    <mergeCell ref="U64:X64"/>
    <mergeCell ref="E64:G64"/>
    <mergeCell ref="AX47:AX61"/>
    <mergeCell ref="B62:H63"/>
    <mergeCell ref="N62:N63"/>
    <mergeCell ref="O62:O63"/>
    <mergeCell ref="P62:T62"/>
    <mergeCell ref="U62:Y62"/>
    <mergeCell ref="Z62:AD62"/>
    <mergeCell ref="AE62:AI62"/>
    <mergeCell ref="AJ62:AN62"/>
    <mergeCell ref="AO62:AS62"/>
    <mergeCell ref="AT62:AX62"/>
    <mergeCell ref="P63:T63"/>
    <mergeCell ref="U63:Y63"/>
    <mergeCell ref="Z63:AD63"/>
    <mergeCell ref="AE63:AI63"/>
    <mergeCell ref="AJ63:AN63"/>
    <mergeCell ref="AO63:AS63"/>
    <mergeCell ref="AT63:AX63"/>
    <mergeCell ref="AO45:AR45"/>
    <mergeCell ref="AT45:AW45"/>
    <mergeCell ref="B47:B61"/>
    <mergeCell ref="H47:H61"/>
    <mergeCell ref="L47:L61"/>
    <mergeCell ref="T47:T61"/>
    <mergeCell ref="Y47:Y61"/>
    <mergeCell ref="AD47:AD61"/>
    <mergeCell ref="AI47:AI61"/>
    <mergeCell ref="AN47:AN61"/>
    <mergeCell ref="AN44:AN46"/>
    <mergeCell ref="AO44:AR44"/>
    <mergeCell ref="AS44:AS46"/>
    <mergeCell ref="AT44:AW44"/>
    <mergeCell ref="B44:B46"/>
    <mergeCell ref="C44:D46"/>
    <mergeCell ref="AS47:AS61"/>
    <mergeCell ref="AX44:AX46"/>
    <mergeCell ref="E45:G45"/>
    <mergeCell ref="I45:K45"/>
    <mergeCell ref="P45:S45"/>
    <mergeCell ref="U45:X45"/>
    <mergeCell ref="Z45:AC45"/>
    <mergeCell ref="Y44:Y46"/>
    <mergeCell ref="Z44:AC44"/>
    <mergeCell ref="AD44:AD46"/>
    <mergeCell ref="AE44:AH44"/>
    <mergeCell ref="AI44:AI46"/>
    <mergeCell ref="AJ44:AM44"/>
    <mergeCell ref="AE45:AH45"/>
    <mergeCell ref="AJ45:AM45"/>
    <mergeCell ref="M44:M46"/>
    <mergeCell ref="N44:N61"/>
    <mergeCell ref="O44:O61"/>
    <mergeCell ref="P44:S44"/>
    <mergeCell ref="T44:T46"/>
    <mergeCell ref="U44:X44"/>
    <mergeCell ref="E44:G44"/>
    <mergeCell ref="H44:H46"/>
    <mergeCell ref="I44:K44"/>
    <mergeCell ref="L44:L46"/>
    <mergeCell ref="AX27:AX41"/>
    <mergeCell ref="B42:H43"/>
    <mergeCell ref="N42:N43"/>
    <mergeCell ref="O42:O43"/>
    <mergeCell ref="P42:T42"/>
    <mergeCell ref="U42:Y42"/>
    <mergeCell ref="Z42:AD42"/>
    <mergeCell ref="AE42:AI42"/>
    <mergeCell ref="AJ42:AN42"/>
    <mergeCell ref="AO42:AS42"/>
    <mergeCell ref="AT42:AX42"/>
    <mergeCell ref="P43:T43"/>
    <mergeCell ref="U43:Y43"/>
    <mergeCell ref="Z43:AD43"/>
    <mergeCell ref="AE43:AI43"/>
    <mergeCell ref="AJ43:AN43"/>
    <mergeCell ref="AO43:AS43"/>
    <mergeCell ref="AT43:AX43"/>
    <mergeCell ref="AO25:AR25"/>
    <mergeCell ref="AT25:AW25"/>
    <mergeCell ref="B27:B41"/>
    <mergeCell ref="H27:H41"/>
    <mergeCell ref="L27:L41"/>
    <mergeCell ref="T27:T41"/>
    <mergeCell ref="Y27:Y41"/>
    <mergeCell ref="AD27:AD41"/>
    <mergeCell ref="AI27:AI41"/>
    <mergeCell ref="AN27:AN41"/>
    <mergeCell ref="AN24:AN26"/>
    <mergeCell ref="AO24:AR24"/>
    <mergeCell ref="AS24:AS26"/>
    <mergeCell ref="AT24:AW24"/>
    <mergeCell ref="B24:B26"/>
    <mergeCell ref="C24:D26"/>
    <mergeCell ref="AS27:AS41"/>
    <mergeCell ref="AX24:AX26"/>
    <mergeCell ref="E25:G25"/>
    <mergeCell ref="I25:K25"/>
    <mergeCell ref="P25:S25"/>
    <mergeCell ref="U25:X25"/>
    <mergeCell ref="Z25:AC25"/>
    <mergeCell ref="Y24:Y26"/>
    <mergeCell ref="Z24:AC24"/>
    <mergeCell ref="AD24:AD26"/>
    <mergeCell ref="AE24:AH24"/>
    <mergeCell ref="AI24:AI26"/>
    <mergeCell ref="AJ24:AM24"/>
    <mergeCell ref="AE25:AH25"/>
    <mergeCell ref="AJ25:AM25"/>
    <mergeCell ref="M24:M26"/>
    <mergeCell ref="N24:N41"/>
    <mergeCell ref="O24:O41"/>
    <mergeCell ref="P24:S24"/>
    <mergeCell ref="T24:T26"/>
    <mergeCell ref="U24:X24"/>
    <mergeCell ref="E24:G24"/>
    <mergeCell ref="H24:H26"/>
    <mergeCell ref="I24:K24"/>
    <mergeCell ref="L24:L26"/>
    <mergeCell ref="AT22:AX22"/>
    <mergeCell ref="P23:T23"/>
    <mergeCell ref="U23:Y23"/>
    <mergeCell ref="Z23:AD23"/>
    <mergeCell ref="AE23:AI23"/>
    <mergeCell ref="AJ23:AN23"/>
    <mergeCell ref="AO23:AS23"/>
    <mergeCell ref="AT23:AX23"/>
    <mergeCell ref="AX7:AX21"/>
    <mergeCell ref="B22:H23"/>
    <mergeCell ref="N22:N23"/>
    <mergeCell ref="O22:O23"/>
    <mergeCell ref="P22:T22"/>
    <mergeCell ref="U22:Y22"/>
    <mergeCell ref="Z22:AD22"/>
    <mergeCell ref="AE22:AI22"/>
    <mergeCell ref="AJ22:AN22"/>
    <mergeCell ref="AO22:AS22"/>
    <mergeCell ref="AD4:AD6"/>
    <mergeCell ref="AT5:AW5"/>
    <mergeCell ref="B7:B21"/>
    <mergeCell ref="H7:H21"/>
    <mergeCell ref="L7:L21"/>
    <mergeCell ref="T7:T21"/>
    <mergeCell ref="Y7:Y21"/>
    <mergeCell ref="AD7:AD21"/>
    <mergeCell ref="AI7:AI21"/>
    <mergeCell ref="AN7:AN21"/>
    <mergeCell ref="AS7:AS21"/>
    <mergeCell ref="B4:B6"/>
    <mergeCell ref="C4:D6"/>
    <mergeCell ref="E4:G4"/>
    <mergeCell ref="H4:H6"/>
    <mergeCell ref="I4:K4"/>
    <mergeCell ref="L4:L6"/>
    <mergeCell ref="M4:M6"/>
    <mergeCell ref="N4:N21"/>
    <mergeCell ref="O4:O21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102:H103"/>
    <mergeCell ref="N102:N103"/>
    <mergeCell ref="O102:O103"/>
    <mergeCell ref="P102:T102"/>
    <mergeCell ref="U102:Y102"/>
    <mergeCell ref="Z102:AD102"/>
    <mergeCell ref="AE102:AI102"/>
    <mergeCell ref="AJ102:AN102"/>
    <mergeCell ref="AO102:AS102"/>
    <mergeCell ref="AT102:AX102"/>
    <mergeCell ref="P103:T103"/>
    <mergeCell ref="U103:Y103"/>
    <mergeCell ref="Z103:AD103"/>
    <mergeCell ref="AE103:AI103"/>
    <mergeCell ref="AJ103:AN103"/>
    <mergeCell ref="AO103:AS103"/>
    <mergeCell ref="AT103:AX103"/>
    <mergeCell ref="B104:B106"/>
    <mergeCell ref="C104:D106"/>
    <mergeCell ref="E104:G104"/>
    <mergeCell ref="H104:H106"/>
    <mergeCell ref="I104:K104"/>
    <mergeCell ref="L104:L106"/>
    <mergeCell ref="M104:M106"/>
    <mergeCell ref="N104:N121"/>
    <mergeCell ref="O104:O121"/>
    <mergeCell ref="P104:S104"/>
    <mergeCell ref="T104:T106"/>
    <mergeCell ref="U104:X104"/>
    <mergeCell ref="Y104:Y106"/>
    <mergeCell ref="Z104:AC104"/>
    <mergeCell ref="AD104:AD106"/>
    <mergeCell ref="AE104:AH104"/>
    <mergeCell ref="AI104:AI106"/>
    <mergeCell ref="AJ104:AM104"/>
    <mergeCell ref="AN104:AN106"/>
    <mergeCell ref="AO104:AR104"/>
    <mergeCell ref="AS104:AS106"/>
    <mergeCell ref="AT104:AW104"/>
    <mergeCell ref="AX104:AX106"/>
    <mergeCell ref="E105:G105"/>
    <mergeCell ref="I105:K105"/>
    <mergeCell ref="P105:S105"/>
    <mergeCell ref="U105:X105"/>
    <mergeCell ref="Z105:AC105"/>
    <mergeCell ref="AE105:AH105"/>
    <mergeCell ref="AJ105:AM105"/>
    <mergeCell ref="AO105:AR105"/>
    <mergeCell ref="AT105:AW105"/>
    <mergeCell ref="B128:B142"/>
    <mergeCell ref="H128:H142"/>
    <mergeCell ref="L128:L142"/>
    <mergeCell ref="AX107:AX121"/>
    <mergeCell ref="B123:H124"/>
    <mergeCell ref="B125:B127"/>
    <mergeCell ref="C125:D127"/>
    <mergeCell ref="E125:G125"/>
    <mergeCell ref="H125:H127"/>
    <mergeCell ref="I125:K125"/>
    <mergeCell ref="L125:L127"/>
    <mergeCell ref="M125:M127"/>
    <mergeCell ref="E126:G126"/>
    <mergeCell ref="I126:K126"/>
    <mergeCell ref="B107:B121"/>
    <mergeCell ref="H107:H121"/>
    <mergeCell ref="L107:L121"/>
    <mergeCell ref="T107:T121"/>
    <mergeCell ref="Y107:Y121"/>
    <mergeCell ref="AD107:AD121"/>
    <mergeCell ref="AI107:AI121"/>
    <mergeCell ref="AN107:AN121"/>
    <mergeCell ref="AS107:AS121"/>
  </mergeCells>
  <phoneticPr fontId="13" type="noConversion"/>
  <pageMargins left="0.7" right="0.7" top="0.75" bottom="0.75" header="0.3" footer="0.3"/>
  <pageSetup paperSize="9" orientation="portrait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A1:BA142"/>
  <sheetViews>
    <sheetView zoomScale="40" zoomScaleNormal="40" workbookViewId="0">
      <pane xSplit="15" topLeftCell="P1" activePane="topRight" state="frozen"/>
      <selection activeCell="P6" sqref="P6"/>
      <selection pane="topRight" activeCell="T7" sqref="S7:T21"/>
    </sheetView>
  </sheetViews>
  <sheetFormatPr defaultColWidth="8.85546875" defaultRowHeight="12.75"/>
  <cols>
    <col min="1" max="1" width="5.5703125" style="107" customWidth="1"/>
    <col min="2" max="2" width="12.42578125" style="107" customWidth="1"/>
    <col min="3" max="3" width="8.85546875" style="106"/>
    <col min="4" max="4" width="26.42578125" style="106" customWidth="1"/>
    <col min="5" max="7" width="8.42578125" style="106" customWidth="1"/>
    <col min="8" max="8" width="11.140625" style="106" bestFit="1" customWidth="1"/>
    <col min="9" max="12" width="11.140625" style="106" customWidth="1"/>
    <col min="13" max="13" width="13.5703125" style="106" customWidth="1"/>
    <col min="14" max="14" width="9.85546875" style="106" customWidth="1"/>
    <col min="15" max="15" width="7.140625" style="106" customWidth="1"/>
    <col min="16" max="18" width="12.85546875" style="106" customWidth="1"/>
    <col min="19" max="19" width="5.42578125" style="106" customWidth="1"/>
    <col min="20" max="20" width="12.85546875" style="106" customWidth="1"/>
    <col min="21" max="23" width="12.85546875" style="107" customWidth="1"/>
    <col min="24" max="24" width="5.42578125" style="106" customWidth="1"/>
    <col min="25" max="28" width="12.85546875" style="107" customWidth="1"/>
    <col min="29" max="29" width="5.42578125" style="106" customWidth="1"/>
    <col min="30" max="30" width="12.85546875" style="107" customWidth="1"/>
    <col min="31" max="33" width="12.5703125" style="107" customWidth="1"/>
    <col min="34" max="34" width="5.42578125" style="106" customWidth="1"/>
    <col min="35" max="35" width="13" style="107" customWidth="1"/>
    <col min="36" max="38" width="12.5703125" style="107" customWidth="1"/>
    <col min="39" max="39" width="5.42578125" style="106" customWidth="1"/>
    <col min="40" max="40" width="13" style="107" customWidth="1"/>
    <col min="41" max="43" width="13.140625" style="107" customWidth="1"/>
    <col min="44" max="44" width="5.42578125" style="107" customWidth="1"/>
    <col min="45" max="48" width="13.140625" style="107" customWidth="1"/>
    <col min="49" max="49" width="5.42578125" style="107" customWidth="1"/>
    <col min="50" max="50" width="13.140625" style="107" customWidth="1"/>
    <col min="51" max="51" width="8.85546875" style="107"/>
    <col min="52" max="52" width="5.42578125" style="107" customWidth="1"/>
    <col min="53" max="53" width="13.140625" style="107" customWidth="1"/>
    <col min="54" max="16384" width="8.85546875" style="107"/>
  </cols>
  <sheetData>
    <row r="1" spans="1:53" ht="24">
      <c r="A1" s="75"/>
      <c r="B1" s="220" t="s">
        <v>313</v>
      </c>
      <c r="C1" s="219">
        <f>AVERAGE(L7,L27,L47,L67,L87,L107)</f>
        <v>128.19631560423497</v>
      </c>
    </row>
    <row r="2" spans="1:53" ht="15.75">
      <c r="A2" s="81"/>
      <c r="B2" s="671" t="s">
        <v>162</v>
      </c>
      <c r="C2" s="671"/>
      <c r="D2" s="671"/>
      <c r="E2" s="671"/>
      <c r="F2" s="671"/>
      <c r="G2" s="671"/>
      <c r="H2" s="671"/>
      <c r="I2" s="284"/>
      <c r="J2" s="284"/>
      <c r="K2" s="284"/>
      <c r="L2" s="284"/>
      <c r="M2" s="196"/>
      <c r="N2" s="645" t="s">
        <v>156</v>
      </c>
      <c r="O2" s="645" t="s">
        <v>155</v>
      </c>
      <c r="P2" s="670">
        <v>46266</v>
      </c>
      <c r="Q2" s="649"/>
      <c r="R2" s="649"/>
      <c r="S2" s="649"/>
      <c r="T2" s="649"/>
      <c r="U2" s="667">
        <f>P2+1</f>
        <v>46267</v>
      </c>
      <c r="V2" s="668"/>
      <c r="W2" s="668"/>
      <c r="X2" s="668"/>
      <c r="Y2" s="669"/>
      <c r="Z2" s="667">
        <f>U2+1</f>
        <v>46268</v>
      </c>
      <c r="AA2" s="668"/>
      <c r="AB2" s="668"/>
      <c r="AC2" s="668"/>
      <c r="AD2" s="669"/>
      <c r="AE2" s="667">
        <f>Z2+1</f>
        <v>46269</v>
      </c>
      <c r="AF2" s="668"/>
      <c r="AG2" s="668"/>
      <c r="AH2" s="668"/>
      <c r="AI2" s="669"/>
      <c r="AJ2" s="667">
        <f>AE2+1</f>
        <v>46270</v>
      </c>
      <c r="AK2" s="668"/>
      <c r="AL2" s="668"/>
      <c r="AM2" s="668"/>
      <c r="AN2" s="669"/>
      <c r="AO2" s="667">
        <f>AJ2+1</f>
        <v>46271</v>
      </c>
      <c r="AP2" s="668"/>
      <c r="AQ2" s="668"/>
      <c r="AR2" s="668"/>
      <c r="AS2" s="669"/>
      <c r="AT2" s="667">
        <f>AO2+1</f>
        <v>46272</v>
      </c>
      <c r="AU2" s="668"/>
      <c r="AV2" s="668"/>
      <c r="AW2" s="668"/>
      <c r="AX2" s="669"/>
    </row>
    <row r="3" spans="1:53" ht="15.75">
      <c r="A3" s="81"/>
      <c r="B3" s="715"/>
      <c r="C3" s="715"/>
      <c r="D3" s="715"/>
      <c r="E3" s="715"/>
      <c r="F3" s="715"/>
      <c r="G3" s="715"/>
      <c r="H3" s="715"/>
      <c r="I3" s="285"/>
      <c r="J3" s="285"/>
      <c r="K3" s="285"/>
      <c r="L3" s="285"/>
      <c r="M3" s="197"/>
      <c r="N3" s="647"/>
      <c r="O3" s="647"/>
      <c r="P3" s="670" t="s">
        <v>158</v>
      </c>
      <c r="Q3" s="649"/>
      <c r="R3" s="649"/>
      <c r="S3" s="649"/>
      <c r="T3" s="649"/>
      <c r="U3" s="670" t="s">
        <v>114</v>
      </c>
      <c r="V3" s="649"/>
      <c r="W3" s="649"/>
      <c r="X3" s="649"/>
      <c r="Y3" s="649"/>
      <c r="Z3" s="670" t="s">
        <v>159</v>
      </c>
      <c r="AA3" s="649"/>
      <c r="AB3" s="649"/>
      <c r="AC3" s="649"/>
      <c r="AD3" s="649"/>
      <c r="AE3" s="670" t="s">
        <v>157</v>
      </c>
      <c r="AF3" s="649"/>
      <c r="AG3" s="649"/>
      <c r="AH3" s="649"/>
      <c r="AI3" s="649"/>
      <c r="AJ3" s="670" t="s">
        <v>160</v>
      </c>
      <c r="AK3" s="649"/>
      <c r="AL3" s="649"/>
      <c r="AM3" s="649"/>
      <c r="AN3" s="649"/>
      <c r="AO3" s="670" t="s">
        <v>115</v>
      </c>
      <c r="AP3" s="649"/>
      <c r="AQ3" s="649"/>
      <c r="AR3" s="649"/>
      <c r="AS3" s="649"/>
      <c r="AT3" s="670" t="s">
        <v>161</v>
      </c>
      <c r="AU3" s="649"/>
      <c r="AV3" s="649"/>
      <c r="AW3" s="649"/>
      <c r="AX3" s="649"/>
    </row>
    <row r="4" spans="1:53" ht="14.25">
      <c r="A4" s="81"/>
      <c r="B4" s="643" t="s">
        <v>522</v>
      </c>
      <c r="C4" s="643" t="s">
        <v>523</v>
      </c>
      <c r="D4" s="643"/>
      <c r="E4" s="643" t="s">
        <v>524</v>
      </c>
      <c r="F4" s="643"/>
      <c r="G4" s="643"/>
      <c r="H4" s="675" t="s">
        <v>525</v>
      </c>
      <c r="I4" s="643" t="s">
        <v>526</v>
      </c>
      <c r="J4" s="643"/>
      <c r="K4" s="643"/>
      <c r="L4" s="675" t="s">
        <v>359</v>
      </c>
      <c r="M4" s="645" t="s">
        <v>527</v>
      </c>
      <c r="N4" s="643"/>
      <c r="O4" s="643" t="s">
        <v>365</v>
      </c>
      <c r="P4" s="661" t="s">
        <v>361</v>
      </c>
      <c r="Q4" s="662"/>
      <c r="R4" s="662"/>
      <c r="S4" s="663"/>
      <c r="T4" s="643" t="s">
        <v>359</v>
      </c>
      <c r="U4" s="661" t="s">
        <v>361</v>
      </c>
      <c r="V4" s="662"/>
      <c r="W4" s="662"/>
      <c r="X4" s="663"/>
      <c r="Y4" s="643" t="s">
        <v>359</v>
      </c>
      <c r="Z4" s="661" t="s">
        <v>361</v>
      </c>
      <c r="AA4" s="662"/>
      <c r="AB4" s="662"/>
      <c r="AC4" s="663"/>
      <c r="AD4" s="643" t="s">
        <v>359</v>
      </c>
      <c r="AE4" s="661" t="s">
        <v>361</v>
      </c>
      <c r="AF4" s="662"/>
      <c r="AG4" s="662"/>
      <c r="AH4" s="663"/>
      <c r="AI4" s="643" t="s">
        <v>359</v>
      </c>
      <c r="AJ4" s="661" t="s">
        <v>361</v>
      </c>
      <c r="AK4" s="662"/>
      <c r="AL4" s="662"/>
      <c r="AM4" s="663"/>
      <c r="AN4" s="643" t="s">
        <v>359</v>
      </c>
      <c r="AO4" s="661" t="s">
        <v>361</v>
      </c>
      <c r="AP4" s="662"/>
      <c r="AQ4" s="662"/>
      <c r="AR4" s="663"/>
      <c r="AS4" s="643" t="s">
        <v>359</v>
      </c>
      <c r="AT4" s="661" t="s">
        <v>361</v>
      </c>
      <c r="AU4" s="662"/>
      <c r="AV4" s="662"/>
      <c r="AW4" s="663"/>
      <c r="AX4" s="643" t="s">
        <v>359</v>
      </c>
      <c r="BA4" s="643" t="s">
        <v>359</v>
      </c>
    </row>
    <row r="5" spans="1:53" ht="14.25">
      <c r="A5" s="81"/>
      <c r="B5" s="643"/>
      <c r="C5" s="643"/>
      <c r="D5" s="643"/>
      <c r="E5" s="643" t="s">
        <v>529</v>
      </c>
      <c r="F5" s="643"/>
      <c r="G5" s="643"/>
      <c r="H5" s="676"/>
      <c r="I5" s="643" t="s">
        <v>529</v>
      </c>
      <c r="J5" s="643"/>
      <c r="K5" s="643"/>
      <c r="L5" s="676"/>
      <c r="M5" s="646"/>
      <c r="N5" s="643"/>
      <c r="O5" s="643"/>
      <c r="P5" s="661" t="s">
        <v>367</v>
      </c>
      <c r="Q5" s="662"/>
      <c r="R5" s="662"/>
      <c r="S5" s="663"/>
      <c r="T5" s="643"/>
      <c r="U5" s="661" t="s">
        <v>367</v>
      </c>
      <c r="V5" s="662"/>
      <c r="W5" s="662"/>
      <c r="X5" s="663"/>
      <c r="Y5" s="643"/>
      <c r="Z5" s="661" t="s">
        <v>367</v>
      </c>
      <c r="AA5" s="662"/>
      <c r="AB5" s="662"/>
      <c r="AC5" s="663"/>
      <c r="AD5" s="643"/>
      <c r="AE5" s="661" t="s">
        <v>367</v>
      </c>
      <c r="AF5" s="662"/>
      <c r="AG5" s="662"/>
      <c r="AH5" s="663"/>
      <c r="AI5" s="643"/>
      <c r="AJ5" s="661" t="s">
        <v>367</v>
      </c>
      <c r="AK5" s="662"/>
      <c r="AL5" s="662"/>
      <c r="AM5" s="663"/>
      <c r="AN5" s="643"/>
      <c r="AO5" s="661" t="s">
        <v>367</v>
      </c>
      <c r="AP5" s="662"/>
      <c r="AQ5" s="662"/>
      <c r="AR5" s="663"/>
      <c r="AS5" s="643"/>
      <c r="AT5" s="661" t="s">
        <v>367</v>
      </c>
      <c r="AU5" s="662"/>
      <c r="AV5" s="662"/>
      <c r="AW5" s="663"/>
      <c r="AX5" s="643"/>
      <c r="BA5" s="643"/>
    </row>
    <row r="6" spans="1:53" ht="14.25">
      <c r="A6" s="79"/>
      <c r="B6" s="643"/>
      <c r="C6" s="643"/>
      <c r="D6" s="643"/>
      <c r="E6" s="525" t="s">
        <v>530</v>
      </c>
      <c r="F6" s="525" t="s">
        <v>531</v>
      </c>
      <c r="G6" s="525" t="s">
        <v>532</v>
      </c>
      <c r="H6" s="677"/>
      <c r="I6" s="525" t="s">
        <v>530</v>
      </c>
      <c r="J6" s="525" t="s">
        <v>531</v>
      </c>
      <c r="K6" s="525" t="s">
        <v>532</v>
      </c>
      <c r="L6" s="677"/>
      <c r="M6" s="647"/>
      <c r="N6" s="643"/>
      <c r="O6" s="643"/>
      <c r="P6" s="525" t="s">
        <v>368</v>
      </c>
      <c r="Q6" s="525" t="s">
        <v>369</v>
      </c>
      <c r="R6" s="525" t="s">
        <v>370</v>
      </c>
      <c r="S6" s="525" t="s">
        <v>360</v>
      </c>
      <c r="T6" s="643"/>
      <c r="U6" s="525" t="s">
        <v>368</v>
      </c>
      <c r="V6" s="525" t="s">
        <v>369</v>
      </c>
      <c r="W6" s="525" t="s">
        <v>370</v>
      </c>
      <c r="X6" s="525" t="s">
        <v>360</v>
      </c>
      <c r="Y6" s="643"/>
      <c r="Z6" s="525" t="s">
        <v>368</v>
      </c>
      <c r="AA6" s="525" t="s">
        <v>369</v>
      </c>
      <c r="AB6" s="525" t="s">
        <v>370</v>
      </c>
      <c r="AC6" s="525" t="s">
        <v>360</v>
      </c>
      <c r="AD6" s="643"/>
      <c r="AE6" s="525" t="s">
        <v>368</v>
      </c>
      <c r="AF6" s="525" t="s">
        <v>369</v>
      </c>
      <c r="AG6" s="525" t="s">
        <v>370</v>
      </c>
      <c r="AH6" s="525" t="s">
        <v>360</v>
      </c>
      <c r="AI6" s="643"/>
      <c r="AJ6" s="525" t="s">
        <v>368</v>
      </c>
      <c r="AK6" s="525" t="s">
        <v>369</v>
      </c>
      <c r="AL6" s="525" t="s">
        <v>370</v>
      </c>
      <c r="AM6" s="525" t="s">
        <v>360</v>
      </c>
      <c r="AN6" s="643"/>
      <c r="AO6" s="525" t="s">
        <v>368</v>
      </c>
      <c r="AP6" s="525" t="s">
        <v>369</v>
      </c>
      <c r="AQ6" s="525" t="s">
        <v>370</v>
      </c>
      <c r="AR6" s="525" t="s">
        <v>360</v>
      </c>
      <c r="AS6" s="643"/>
      <c r="AT6" s="525" t="s">
        <v>368</v>
      </c>
      <c r="AU6" s="525" t="s">
        <v>369</v>
      </c>
      <c r="AV6" s="525" t="s">
        <v>370</v>
      </c>
      <c r="AW6" s="525" t="s">
        <v>360</v>
      </c>
      <c r="AX6" s="643"/>
      <c r="AZ6" s="367" t="s">
        <v>360</v>
      </c>
      <c r="BA6" s="643"/>
    </row>
    <row r="7" spans="1:53" ht="14.25">
      <c r="A7" s="81"/>
      <c r="B7" s="643" t="s">
        <v>136</v>
      </c>
      <c r="C7" s="528">
        <v>1</v>
      </c>
      <c r="D7" s="225" t="s">
        <v>344</v>
      </c>
      <c r="E7" s="565">
        <v>20</v>
      </c>
      <c r="F7" s="563">
        <v>2400</v>
      </c>
      <c r="G7" s="564">
        <v>120</v>
      </c>
      <c r="H7" s="656">
        <f>AVERAGE(G7:G21)</f>
        <v>141.03193369453044</v>
      </c>
      <c r="I7" s="529">
        <f t="shared" ref="I7:I20" si="0">IFERROR(AVERAGE(P7,U7,Z7,AE7,AJ7,AO7,AT7),"-")</f>
        <v>20</v>
      </c>
      <c r="J7" s="529">
        <f t="shared" ref="J7:J20" si="1">IFERROR(AVERAGE(Q7,V7,AA7,AF7,AK7,AP7,AU7),"-")</f>
        <v>2320.2547447683232</v>
      </c>
      <c r="K7" s="199">
        <f t="shared" ref="K7:K20" si="2">IFERROR(AVERAGE(R7,W7,AB7,AG7,AL7,AQ7,AV7),"-")</f>
        <v>116.01273723841616</v>
      </c>
      <c r="L7" s="658">
        <f>IFERROR(AVERAGE(K7:K21),"-")</f>
        <v>128.19631560423497</v>
      </c>
      <c r="M7" s="510">
        <f>RANK(K7, K$7:$K$21)</f>
        <v>8</v>
      </c>
      <c r="N7" s="643"/>
      <c r="O7" s="643"/>
      <c r="P7" s="577">
        <v>20</v>
      </c>
      <c r="Q7" s="510">
        <v>2315.1999999999994</v>
      </c>
      <c r="R7" s="510">
        <v>115.75999999999996</v>
      </c>
      <c r="S7" s="577">
        <f t="shared" ref="S7:S21" si="3">RANK(R7, R$7:R$21)</f>
        <v>8</v>
      </c>
      <c r="T7" s="700">
        <f t="shared" ref="T7" si="4">AVERAGE(R7:R21)</f>
        <v>128.77548231243065</v>
      </c>
      <c r="U7" s="577">
        <v>20</v>
      </c>
      <c r="V7" s="510">
        <v>2302.3880597014927</v>
      </c>
      <c r="W7" s="510">
        <v>115.11940298507463</v>
      </c>
      <c r="X7" s="577">
        <f t="shared" ref="X7:X21" si="5">RANK(W7, W$7:W$21)</f>
        <v>8</v>
      </c>
      <c r="Y7" s="700">
        <f t="shared" ref="Y7" si="6">AVERAGE(W7:W21)</f>
        <v>127.7438552725738</v>
      </c>
      <c r="Z7" s="577">
        <v>20</v>
      </c>
      <c r="AA7" s="510">
        <v>2332.9687499999995</v>
      </c>
      <c r="AB7" s="510">
        <v>116.64843749999997</v>
      </c>
      <c r="AC7" s="577">
        <f t="shared" ref="AC7:AC21" si="7">RANK(AB7, AB$7:AB$21)</f>
        <v>8</v>
      </c>
      <c r="AD7" s="700">
        <f t="shared" ref="AD7" si="8">AVERAGE(AB7:AB21)</f>
        <v>127.73991931487537</v>
      </c>
      <c r="AE7" s="577">
        <v>20</v>
      </c>
      <c r="AF7" s="510">
        <v>2301.2903225806444</v>
      </c>
      <c r="AG7" s="510">
        <v>115.06451612903223</v>
      </c>
      <c r="AH7" s="577">
        <f t="shared" ref="AH7:AH21" si="9">RANK(AG7, AG$7:AG$21)</f>
        <v>8</v>
      </c>
      <c r="AI7" s="700">
        <f t="shared" ref="AI7" si="10">AVERAGE(AG7:AG21)</f>
        <v>127.35765202477853</v>
      </c>
      <c r="AJ7" s="577">
        <v>20</v>
      </c>
      <c r="AK7" s="510">
        <v>2362.5563909774437</v>
      </c>
      <c r="AL7" s="510">
        <v>118.12781954887218</v>
      </c>
      <c r="AM7" s="577">
        <f t="shared" ref="AM7:AM21" si="11">RANK(AL7, AL$7:AL$21)</f>
        <v>8</v>
      </c>
      <c r="AN7" s="700">
        <f t="shared" ref="AN7" si="12">AVERAGE(AL7:AL21)</f>
        <v>128.87368220015281</v>
      </c>
      <c r="AO7" s="577">
        <v>20</v>
      </c>
      <c r="AP7" s="510">
        <v>2328.2080924855491</v>
      </c>
      <c r="AQ7" s="510">
        <v>116.41040462427745</v>
      </c>
      <c r="AR7" s="577">
        <f t="shared" ref="AR7:AR21" si="13">RANK(AQ7, AQ$7:AQ$21)</f>
        <v>8</v>
      </c>
      <c r="AS7" s="700">
        <f t="shared" ref="AS7" si="14">AVERAGE(AQ7:AQ21)</f>
        <v>127.49057590206533</v>
      </c>
      <c r="AT7" s="576">
        <v>20</v>
      </c>
      <c r="AU7" s="578">
        <v>2299.1715976331357</v>
      </c>
      <c r="AV7" s="578">
        <v>114.95857988165679</v>
      </c>
      <c r="AW7" s="577">
        <f t="shared" ref="AW7:AW21" si="15">RANK(AV7, AV$7:AV$21)</f>
        <v>8</v>
      </c>
      <c r="AX7" s="700">
        <f t="shared" ref="AX7" si="16">AVERAGE(AV7:AV21)</f>
        <v>129.39304220276824</v>
      </c>
      <c r="AZ7" s="369" t="e">
        <f t="shared" ref="AZ7:AZ21" si="17">RANK(AY7, AY$7:AY$21)</f>
        <v>#N/A</v>
      </c>
      <c r="BA7" s="700" t="e">
        <f t="shared" ref="BA7" si="18">AVERAGE(AY7:AY21)</f>
        <v>#DIV/0!</v>
      </c>
    </row>
    <row r="8" spans="1:53" ht="15" customHeight="1">
      <c r="A8" s="81"/>
      <c r="B8" s="678"/>
      <c r="C8" s="528">
        <v>2</v>
      </c>
      <c r="D8" s="225" t="s">
        <v>345</v>
      </c>
      <c r="E8" s="565">
        <v>18</v>
      </c>
      <c r="F8" s="563">
        <v>2769</v>
      </c>
      <c r="G8" s="564">
        <v>153.83333333333334</v>
      </c>
      <c r="H8" s="657"/>
      <c r="I8" s="529">
        <f t="shared" si="0"/>
        <v>18.142857142857142</v>
      </c>
      <c r="J8" s="529">
        <f t="shared" si="1"/>
        <v>2399.2798736515897</v>
      </c>
      <c r="K8" s="199">
        <f t="shared" si="2"/>
        <v>132.2891492045369</v>
      </c>
      <c r="L8" s="659"/>
      <c r="M8" s="510">
        <f>RANK(K8, K$7:$K$21)</f>
        <v>3</v>
      </c>
      <c r="N8" s="643"/>
      <c r="O8" s="643"/>
      <c r="P8" s="577">
        <v>18</v>
      </c>
      <c r="Q8" s="510">
        <v>2417.6470588235306</v>
      </c>
      <c r="R8" s="510">
        <v>134.31372549019613</v>
      </c>
      <c r="S8" s="577">
        <f t="shared" si="3"/>
        <v>2</v>
      </c>
      <c r="T8" s="700"/>
      <c r="U8" s="577">
        <v>18</v>
      </c>
      <c r="V8" s="510">
        <v>2393.6170212765965</v>
      </c>
      <c r="W8" s="510">
        <v>132.97872340425536</v>
      </c>
      <c r="X8" s="577">
        <f t="shared" si="5"/>
        <v>3</v>
      </c>
      <c r="Y8" s="700"/>
      <c r="Z8" s="577">
        <v>18</v>
      </c>
      <c r="AA8" s="510">
        <v>2421.333333333333</v>
      </c>
      <c r="AB8" s="510">
        <v>134.5185185185185</v>
      </c>
      <c r="AC8" s="577">
        <f t="shared" si="7"/>
        <v>2</v>
      </c>
      <c r="AD8" s="700"/>
      <c r="AE8" s="577">
        <v>18</v>
      </c>
      <c r="AF8" s="510">
        <v>2369.36170212766</v>
      </c>
      <c r="AG8" s="510">
        <v>131.6312056737589</v>
      </c>
      <c r="AH8" s="577">
        <f t="shared" si="9"/>
        <v>3</v>
      </c>
      <c r="AI8" s="700"/>
      <c r="AJ8" s="577">
        <v>18</v>
      </c>
      <c r="AK8" s="510">
        <v>2400.0000000000014</v>
      </c>
      <c r="AL8" s="510">
        <v>133.3333333333334</v>
      </c>
      <c r="AM8" s="577">
        <f t="shared" si="11"/>
        <v>3</v>
      </c>
      <c r="AN8" s="700"/>
      <c r="AO8" s="577">
        <v>18</v>
      </c>
      <c r="AP8" s="510">
        <v>2389.0000000000023</v>
      </c>
      <c r="AQ8" s="510">
        <v>132.72222222222234</v>
      </c>
      <c r="AR8" s="577">
        <f t="shared" si="13"/>
        <v>2</v>
      </c>
      <c r="AS8" s="700"/>
      <c r="AT8" s="576">
        <v>19</v>
      </c>
      <c r="AU8" s="578">
        <v>2404.0000000000023</v>
      </c>
      <c r="AV8" s="578">
        <v>126.5263157894738</v>
      </c>
      <c r="AW8" s="577">
        <f t="shared" si="15"/>
        <v>6</v>
      </c>
      <c r="AX8" s="700"/>
      <c r="AZ8" s="369" t="e">
        <f t="shared" si="17"/>
        <v>#N/A</v>
      </c>
      <c r="BA8" s="700"/>
    </row>
    <row r="9" spans="1:53" ht="14.25">
      <c r="A9" s="81"/>
      <c r="B9" s="678"/>
      <c r="C9" s="528">
        <v>3</v>
      </c>
      <c r="D9" s="225" t="s">
        <v>346</v>
      </c>
      <c r="E9" s="565">
        <v>19</v>
      </c>
      <c r="F9" s="563">
        <v>2769</v>
      </c>
      <c r="G9" s="564">
        <v>145.73684210526315</v>
      </c>
      <c r="H9" s="657"/>
      <c r="I9" s="529">
        <f t="shared" si="0"/>
        <v>19</v>
      </c>
      <c r="J9" s="529">
        <f t="shared" si="1"/>
        <v>2528.9927741431507</v>
      </c>
      <c r="K9" s="199">
        <f t="shared" si="2"/>
        <v>133.10488284963955</v>
      </c>
      <c r="L9" s="659"/>
      <c r="M9" s="510">
        <f>RANK(K9, K$7:$K$21)</f>
        <v>2</v>
      </c>
      <c r="N9" s="643"/>
      <c r="O9" s="643"/>
      <c r="P9" s="577">
        <v>19</v>
      </c>
      <c r="Q9" s="510">
        <v>2545.7142857142885</v>
      </c>
      <c r="R9" s="510">
        <v>133.98496240601517</v>
      </c>
      <c r="S9" s="577">
        <f t="shared" si="3"/>
        <v>3</v>
      </c>
      <c r="T9" s="700"/>
      <c r="U9" s="577">
        <v>19</v>
      </c>
      <c r="V9" s="510">
        <v>2531.7857142857165</v>
      </c>
      <c r="W9" s="510">
        <v>133.25187969924824</v>
      </c>
      <c r="X9" s="577">
        <f t="shared" si="5"/>
        <v>2</v>
      </c>
      <c r="Y9" s="700"/>
      <c r="Z9" s="577">
        <v>19</v>
      </c>
      <c r="AA9" s="510">
        <v>2491.0714285714303</v>
      </c>
      <c r="AB9" s="510">
        <v>131.10902255639107</v>
      </c>
      <c r="AC9" s="577">
        <f t="shared" si="7"/>
        <v>3</v>
      </c>
      <c r="AD9" s="700"/>
      <c r="AE9" s="577">
        <v>19</v>
      </c>
      <c r="AF9" s="510">
        <v>2515.7894736842127</v>
      </c>
      <c r="AG9" s="510">
        <v>132.40997229916908</v>
      </c>
      <c r="AH9" s="577">
        <f t="shared" si="9"/>
        <v>2</v>
      </c>
      <c r="AI9" s="700"/>
      <c r="AJ9" s="577">
        <v>19</v>
      </c>
      <c r="AK9" s="510">
        <v>2547.2727272727302</v>
      </c>
      <c r="AL9" s="510">
        <v>134.06698564593316</v>
      </c>
      <c r="AM9" s="577">
        <f t="shared" si="11"/>
        <v>2</v>
      </c>
      <c r="AN9" s="700"/>
      <c r="AO9" s="577">
        <v>19</v>
      </c>
      <c r="AP9" s="510">
        <v>2511.3157894736823</v>
      </c>
      <c r="AQ9" s="510">
        <v>132.17451523545697</v>
      </c>
      <c r="AR9" s="577">
        <f t="shared" si="13"/>
        <v>3</v>
      </c>
      <c r="AS9" s="700"/>
      <c r="AT9" s="576">
        <v>19</v>
      </c>
      <c r="AU9" s="578">
        <v>2559.9999999999982</v>
      </c>
      <c r="AV9" s="578">
        <v>134.73684210526307</v>
      </c>
      <c r="AW9" s="577">
        <f t="shared" si="15"/>
        <v>3</v>
      </c>
      <c r="AX9" s="700"/>
      <c r="AZ9" s="369" t="e">
        <f t="shared" si="17"/>
        <v>#N/A</v>
      </c>
      <c r="BA9" s="700"/>
    </row>
    <row r="10" spans="1:53" ht="14.25">
      <c r="A10" s="81"/>
      <c r="B10" s="678"/>
      <c r="C10" s="528">
        <v>4</v>
      </c>
      <c r="D10" s="225" t="s">
        <v>347</v>
      </c>
      <c r="E10" s="565">
        <v>20</v>
      </c>
      <c r="F10" s="563">
        <v>2769</v>
      </c>
      <c r="G10" s="564">
        <v>138.44999999999999</v>
      </c>
      <c r="H10" s="657"/>
      <c r="I10" s="529">
        <f t="shared" si="0"/>
        <v>19.857142857142858</v>
      </c>
      <c r="J10" s="529">
        <f t="shared" si="1"/>
        <v>2539.635661606641</v>
      </c>
      <c r="K10" s="199">
        <f t="shared" si="2"/>
        <v>127.94783457269929</v>
      </c>
      <c r="L10" s="659"/>
      <c r="M10" s="510">
        <f>RANK(K10, K$7:$K$21)</f>
        <v>6</v>
      </c>
      <c r="N10" s="643"/>
      <c r="O10" s="643"/>
      <c r="P10" s="577">
        <v>20</v>
      </c>
      <c r="Q10" s="510">
        <v>2522.1686746987943</v>
      </c>
      <c r="R10" s="510">
        <v>126.10843373493972</v>
      </c>
      <c r="S10" s="577">
        <f t="shared" si="3"/>
        <v>6</v>
      </c>
      <c r="T10" s="700"/>
      <c r="U10" s="577">
        <v>20</v>
      </c>
      <c r="V10" s="510">
        <v>2529.8823529411761</v>
      </c>
      <c r="W10" s="510">
        <v>126.4941176470588</v>
      </c>
      <c r="X10" s="577">
        <f t="shared" si="5"/>
        <v>6</v>
      </c>
      <c r="Y10" s="700"/>
      <c r="Z10" s="577">
        <v>20</v>
      </c>
      <c r="AA10" s="510">
        <v>2546.3414634146334</v>
      </c>
      <c r="AB10" s="510">
        <v>127.31707317073167</v>
      </c>
      <c r="AC10" s="577">
        <f t="shared" si="7"/>
        <v>5</v>
      </c>
      <c r="AD10" s="700"/>
      <c r="AE10" s="577">
        <v>20</v>
      </c>
      <c r="AF10" s="510">
        <v>2522.1951219512189</v>
      </c>
      <c r="AG10" s="510">
        <v>126.10975609756095</v>
      </c>
      <c r="AH10" s="577">
        <f t="shared" si="9"/>
        <v>6</v>
      </c>
      <c r="AI10" s="700"/>
      <c r="AJ10" s="577">
        <v>20</v>
      </c>
      <c r="AK10" s="510">
        <v>2566</v>
      </c>
      <c r="AL10" s="510">
        <v>128.30000000000001</v>
      </c>
      <c r="AM10" s="577">
        <f t="shared" si="11"/>
        <v>6</v>
      </c>
      <c r="AN10" s="700"/>
      <c r="AO10" s="577">
        <v>20</v>
      </c>
      <c r="AP10" s="510">
        <v>2521.1650485436903</v>
      </c>
      <c r="AQ10" s="510">
        <v>126.05825242718451</v>
      </c>
      <c r="AR10" s="577">
        <f t="shared" si="13"/>
        <v>6</v>
      </c>
      <c r="AS10" s="700"/>
      <c r="AT10" s="576">
        <v>19</v>
      </c>
      <c r="AU10" s="578">
        <v>2569.6969696969704</v>
      </c>
      <c r="AV10" s="578">
        <v>135.24720893141949</v>
      </c>
      <c r="AW10" s="577">
        <f t="shared" si="15"/>
        <v>2</v>
      </c>
      <c r="AX10" s="700"/>
      <c r="AZ10" s="369" t="e">
        <f t="shared" si="17"/>
        <v>#N/A</v>
      </c>
      <c r="BA10" s="700"/>
    </row>
    <row r="11" spans="1:53" ht="14.25">
      <c r="A11" s="81"/>
      <c r="B11" s="678"/>
      <c r="C11" s="528">
        <v>5</v>
      </c>
      <c r="D11" s="225" t="s">
        <v>503</v>
      </c>
      <c r="E11" s="565">
        <v>18</v>
      </c>
      <c r="F11" s="563">
        <v>2400</v>
      </c>
      <c r="G11" s="564">
        <v>133.33333333333334</v>
      </c>
      <c r="H11" s="657"/>
      <c r="I11" s="529">
        <f t="shared" si="0"/>
        <v>18</v>
      </c>
      <c r="J11" s="529">
        <f t="shared" si="1"/>
        <v>2165.6618874959436</v>
      </c>
      <c r="K11" s="199">
        <f t="shared" si="2"/>
        <v>120.31454930533019</v>
      </c>
      <c r="L11" s="659"/>
      <c r="M11" s="510">
        <f>RANK(K11, K$7:$K$21)</f>
        <v>7</v>
      </c>
      <c r="N11" s="643"/>
      <c r="O11" s="643"/>
      <c r="P11" s="577">
        <v>18</v>
      </c>
      <c r="Q11" s="510">
        <v>2150.8695652173915</v>
      </c>
      <c r="R11" s="510">
        <v>119.49275362318842</v>
      </c>
      <c r="S11" s="577">
        <f t="shared" si="3"/>
        <v>7</v>
      </c>
      <c r="T11" s="700"/>
      <c r="U11" s="577">
        <v>18</v>
      </c>
      <c r="V11" s="510">
        <v>2164.2857142857138</v>
      </c>
      <c r="W11" s="510">
        <v>120.23809523809521</v>
      </c>
      <c r="X11" s="577">
        <f t="shared" si="5"/>
        <v>7</v>
      </c>
      <c r="Y11" s="700"/>
      <c r="Z11" s="577">
        <v>18</v>
      </c>
      <c r="AA11" s="510">
        <v>2139.9999999999995</v>
      </c>
      <c r="AB11" s="510">
        <v>118.88888888888886</v>
      </c>
      <c r="AC11" s="577">
        <f t="shared" si="7"/>
        <v>7</v>
      </c>
      <c r="AD11" s="700"/>
      <c r="AE11" s="577">
        <v>18</v>
      </c>
      <c r="AF11" s="510">
        <v>2171.4285714285706</v>
      </c>
      <c r="AG11" s="510">
        <v>120.63492063492059</v>
      </c>
      <c r="AH11" s="577">
        <f t="shared" si="9"/>
        <v>7</v>
      </c>
      <c r="AI11" s="700"/>
      <c r="AJ11" s="577">
        <v>18</v>
      </c>
      <c r="AK11" s="510">
        <v>2173.6363636363635</v>
      </c>
      <c r="AL11" s="510">
        <v>120.75757575757575</v>
      </c>
      <c r="AM11" s="577">
        <f t="shared" si="11"/>
        <v>7</v>
      </c>
      <c r="AN11" s="700"/>
      <c r="AO11" s="577">
        <v>18</v>
      </c>
      <c r="AP11" s="510">
        <v>2188.3018867924538</v>
      </c>
      <c r="AQ11" s="510">
        <v>121.57232704402522</v>
      </c>
      <c r="AR11" s="577">
        <f t="shared" si="13"/>
        <v>7</v>
      </c>
      <c r="AS11" s="700"/>
      <c r="AT11" s="576">
        <v>18</v>
      </c>
      <c r="AU11" s="578">
        <v>2171.1111111111122</v>
      </c>
      <c r="AV11" s="578">
        <v>120.61728395061735</v>
      </c>
      <c r="AW11" s="577">
        <f t="shared" si="15"/>
        <v>7</v>
      </c>
      <c r="AX11" s="700"/>
      <c r="AZ11" s="369" t="e">
        <f t="shared" si="17"/>
        <v>#N/A</v>
      </c>
      <c r="BA11" s="700"/>
    </row>
    <row r="12" spans="1:53" ht="14.25">
      <c r="A12" s="81"/>
      <c r="B12" s="678"/>
      <c r="C12" s="528">
        <v>6</v>
      </c>
      <c r="D12" s="225" t="s">
        <v>571</v>
      </c>
      <c r="E12" s="565">
        <v>17</v>
      </c>
      <c r="F12" s="563">
        <v>2571</v>
      </c>
      <c r="G12" s="564">
        <v>151.23529411764707</v>
      </c>
      <c r="H12" s="657"/>
      <c r="I12" s="529">
        <f t="shared" si="0"/>
        <v>17</v>
      </c>
      <c r="J12" s="529">
        <f t="shared" si="1"/>
        <v>2306.1430277440131</v>
      </c>
      <c r="K12" s="199">
        <f t="shared" si="2"/>
        <v>135.65547222023608</v>
      </c>
      <c r="L12" s="659"/>
      <c r="M12" s="510">
        <f>RANK(K12, K$7:$K$21)</f>
        <v>1</v>
      </c>
      <c r="N12" s="643"/>
      <c r="O12" s="643"/>
      <c r="P12" s="577">
        <v>17</v>
      </c>
      <c r="Q12" s="510">
        <v>2331.7241379310299</v>
      </c>
      <c r="R12" s="510">
        <v>137.16024340770764</v>
      </c>
      <c r="S12" s="577">
        <f t="shared" si="3"/>
        <v>1</v>
      </c>
      <c r="T12" s="700"/>
      <c r="U12" s="577">
        <v>17</v>
      </c>
      <c r="V12" s="510">
        <v>2299.285714285716</v>
      </c>
      <c r="W12" s="510">
        <v>135.25210084033623</v>
      </c>
      <c r="X12" s="577">
        <f t="shared" si="5"/>
        <v>1</v>
      </c>
      <c r="Y12" s="700"/>
      <c r="Z12" s="577">
        <v>17</v>
      </c>
      <c r="AA12" s="510">
        <v>2346.6666666666679</v>
      </c>
      <c r="AB12" s="510">
        <v>138.03921568627459</v>
      </c>
      <c r="AC12" s="577">
        <f t="shared" si="7"/>
        <v>1</v>
      </c>
      <c r="AD12" s="700"/>
      <c r="AE12" s="577">
        <v>17</v>
      </c>
      <c r="AF12" s="510">
        <v>2275.7142857142876</v>
      </c>
      <c r="AG12" s="510">
        <v>133.86554621848751</v>
      </c>
      <c r="AH12" s="577">
        <f t="shared" si="9"/>
        <v>1</v>
      </c>
      <c r="AI12" s="700"/>
      <c r="AJ12" s="577">
        <v>17</v>
      </c>
      <c r="AK12" s="510">
        <v>2340.0000000000014</v>
      </c>
      <c r="AL12" s="510">
        <v>137.64705882352951</v>
      </c>
      <c r="AM12" s="577">
        <f t="shared" si="11"/>
        <v>1</v>
      </c>
      <c r="AN12" s="700"/>
      <c r="AO12" s="577">
        <v>17</v>
      </c>
      <c r="AP12" s="510">
        <v>2278.1818181818207</v>
      </c>
      <c r="AQ12" s="510">
        <v>134.01069518716594</v>
      </c>
      <c r="AR12" s="577">
        <f t="shared" si="13"/>
        <v>1</v>
      </c>
      <c r="AS12" s="700"/>
      <c r="AT12" s="576">
        <v>17</v>
      </c>
      <c r="AU12" s="578">
        <v>2271.4285714285693</v>
      </c>
      <c r="AV12" s="578">
        <v>133.61344537815114</v>
      </c>
      <c r="AW12" s="577">
        <f t="shared" si="15"/>
        <v>4</v>
      </c>
      <c r="AX12" s="700"/>
      <c r="AZ12" s="369" t="e">
        <f t="shared" si="17"/>
        <v>#N/A</v>
      </c>
      <c r="BA12" s="700"/>
    </row>
    <row r="13" spans="1:53" ht="14.25">
      <c r="A13" s="81"/>
      <c r="B13" s="678"/>
      <c r="C13" s="528">
        <v>7</v>
      </c>
      <c r="D13" s="225" t="s">
        <v>588</v>
      </c>
      <c r="E13" s="565">
        <v>18</v>
      </c>
      <c r="F13" s="563">
        <v>2571</v>
      </c>
      <c r="G13" s="564">
        <v>142.83333333333334</v>
      </c>
      <c r="H13" s="657"/>
      <c r="I13" s="529">
        <f t="shared" si="0"/>
        <v>17.857142857142858</v>
      </c>
      <c r="J13" s="529">
        <f t="shared" si="1"/>
        <v>2336.2183873607441</v>
      </c>
      <c r="K13" s="199">
        <f t="shared" si="2"/>
        <v>130.89472442756093</v>
      </c>
      <c r="L13" s="659"/>
      <c r="M13" s="510">
        <f>RANK(K13, K$7:$K$21)</f>
        <v>4</v>
      </c>
      <c r="N13" s="643"/>
      <c r="O13" s="643"/>
      <c r="P13" s="577">
        <v>18</v>
      </c>
      <c r="Q13" s="510">
        <v>2381.7073170731701</v>
      </c>
      <c r="R13" s="510">
        <v>132.31707317073167</v>
      </c>
      <c r="S13" s="577">
        <f t="shared" si="3"/>
        <v>4</v>
      </c>
      <c r="T13" s="700"/>
      <c r="U13" s="577">
        <v>18</v>
      </c>
      <c r="V13" s="510">
        <v>2302.5974025974037</v>
      </c>
      <c r="W13" s="510">
        <v>127.92207792207799</v>
      </c>
      <c r="X13" s="577">
        <f t="shared" si="5"/>
        <v>5</v>
      </c>
      <c r="Y13" s="700"/>
      <c r="Z13" s="577">
        <v>18</v>
      </c>
      <c r="AA13" s="510">
        <v>2307.5675675675684</v>
      </c>
      <c r="AB13" s="510">
        <v>128.19819819819824</v>
      </c>
      <c r="AC13" s="577">
        <f t="shared" si="7"/>
        <v>4</v>
      </c>
      <c r="AD13" s="700"/>
      <c r="AE13" s="577">
        <v>18</v>
      </c>
      <c r="AF13" s="510">
        <v>2344.6153846153838</v>
      </c>
      <c r="AG13" s="510">
        <v>130.25641025641022</v>
      </c>
      <c r="AH13" s="577">
        <f t="shared" si="9"/>
        <v>4</v>
      </c>
      <c r="AI13" s="700"/>
      <c r="AJ13" s="577">
        <v>18</v>
      </c>
      <c r="AK13" s="510">
        <v>2328.5294117647063</v>
      </c>
      <c r="AL13" s="510">
        <v>129.36274509803923</v>
      </c>
      <c r="AM13" s="577">
        <f t="shared" si="11"/>
        <v>5</v>
      </c>
      <c r="AN13" s="700"/>
      <c r="AO13" s="577">
        <v>18</v>
      </c>
      <c r="AP13" s="510">
        <v>2322</v>
      </c>
      <c r="AQ13" s="510">
        <v>129</v>
      </c>
      <c r="AR13" s="577">
        <f t="shared" si="13"/>
        <v>4</v>
      </c>
      <c r="AS13" s="700"/>
      <c r="AT13" s="576">
        <v>17</v>
      </c>
      <c r="AU13" s="578">
        <v>2366.5116279069762</v>
      </c>
      <c r="AV13" s="578">
        <v>139.20656634746919</v>
      </c>
      <c r="AW13" s="577">
        <f t="shared" si="15"/>
        <v>1</v>
      </c>
      <c r="AX13" s="700"/>
      <c r="AZ13" s="369" t="e">
        <f t="shared" si="17"/>
        <v>#N/A</v>
      </c>
      <c r="BA13" s="700"/>
    </row>
    <row r="14" spans="1:53" ht="14.25">
      <c r="A14" s="81"/>
      <c r="B14" s="678"/>
      <c r="C14" s="528">
        <v>8</v>
      </c>
      <c r="D14" s="225" t="s">
        <v>680</v>
      </c>
      <c r="E14" s="565">
        <v>18</v>
      </c>
      <c r="F14" s="563">
        <v>2571</v>
      </c>
      <c r="G14" s="564">
        <v>142.83333333333334</v>
      </c>
      <c r="H14" s="657"/>
      <c r="I14" s="529">
        <f t="shared" si="0"/>
        <v>18</v>
      </c>
      <c r="J14" s="529">
        <f t="shared" si="1"/>
        <v>2328.321150278291</v>
      </c>
      <c r="K14" s="199">
        <f t="shared" si="2"/>
        <v>129.3511750154606</v>
      </c>
      <c r="L14" s="659"/>
      <c r="M14" s="510">
        <f>RANK(K14, K$7:$K$21)</f>
        <v>5</v>
      </c>
      <c r="N14" s="643"/>
      <c r="O14" s="643"/>
      <c r="P14" s="577">
        <v>18</v>
      </c>
      <c r="Q14" s="510">
        <v>2359.2000000000007</v>
      </c>
      <c r="R14" s="510">
        <v>131.06666666666672</v>
      </c>
      <c r="S14" s="577">
        <f t="shared" si="3"/>
        <v>5</v>
      </c>
      <c r="T14" s="700"/>
      <c r="U14" s="577">
        <v>18</v>
      </c>
      <c r="V14" s="510">
        <v>2352.4999999999927</v>
      </c>
      <c r="W14" s="510">
        <v>130.69444444444403</v>
      </c>
      <c r="X14" s="577">
        <f t="shared" si="5"/>
        <v>4</v>
      </c>
      <c r="Y14" s="700"/>
      <c r="Z14" s="577">
        <v>18</v>
      </c>
      <c r="AA14" s="510">
        <v>2289.6000000000008</v>
      </c>
      <c r="AB14" s="510">
        <v>127.20000000000005</v>
      </c>
      <c r="AC14" s="577">
        <f t="shared" si="7"/>
        <v>6</v>
      </c>
      <c r="AD14" s="700"/>
      <c r="AE14" s="577">
        <v>18</v>
      </c>
      <c r="AF14" s="510">
        <v>2320.0000000000009</v>
      </c>
      <c r="AG14" s="510">
        <v>128.88888888888894</v>
      </c>
      <c r="AH14" s="577">
        <f t="shared" si="9"/>
        <v>5</v>
      </c>
      <c r="AI14" s="700"/>
      <c r="AJ14" s="577">
        <v>18</v>
      </c>
      <c r="AK14" s="510">
        <v>2329.090909090909</v>
      </c>
      <c r="AL14" s="510">
        <v>129.39393939393938</v>
      </c>
      <c r="AM14" s="577">
        <f t="shared" si="11"/>
        <v>4</v>
      </c>
      <c r="AN14" s="700"/>
      <c r="AO14" s="577">
        <v>18</v>
      </c>
      <c r="AP14" s="510">
        <v>2303.5714285714234</v>
      </c>
      <c r="AQ14" s="510">
        <v>127.9761904761902</v>
      </c>
      <c r="AR14" s="577">
        <f t="shared" si="13"/>
        <v>5</v>
      </c>
      <c r="AS14" s="700"/>
      <c r="AT14" s="576">
        <v>18</v>
      </c>
      <c r="AU14" s="578">
        <v>2344.2857142857092</v>
      </c>
      <c r="AV14" s="578">
        <v>130.23809523809496</v>
      </c>
      <c r="AW14" s="577">
        <f t="shared" si="15"/>
        <v>5</v>
      </c>
      <c r="AX14" s="700"/>
      <c r="AZ14" s="369" t="e">
        <f t="shared" si="17"/>
        <v>#N/A</v>
      </c>
      <c r="BA14" s="700"/>
    </row>
    <row r="15" spans="1:53" ht="14.25">
      <c r="A15" s="81"/>
      <c r="B15" s="678"/>
      <c r="C15" s="528">
        <v>9</v>
      </c>
      <c r="D15" s="225"/>
      <c r="E15" s="565"/>
      <c r="F15" s="563"/>
      <c r="G15" s="564"/>
      <c r="H15" s="657"/>
      <c r="I15" s="529" t="str">
        <f t="shared" si="0"/>
        <v>-</v>
      </c>
      <c r="J15" s="529" t="str">
        <f t="shared" si="1"/>
        <v>-</v>
      </c>
      <c r="K15" s="199" t="str">
        <f t="shared" si="2"/>
        <v>-</v>
      </c>
      <c r="L15" s="659"/>
      <c r="M15" s="510" t="e">
        <f>RANK(K15, K$7:$K$21)</f>
        <v>#VALUE!</v>
      </c>
      <c r="N15" s="643"/>
      <c r="O15" s="643"/>
      <c r="P15" s="577" t="s">
        <v>564</v>
      </c>
      <c r="Q15" s="510" t="s">
        <v>564</v>
      </c>
      <c r="R15" s="510" t="s">
        <v>564</v>
      </c>
      <c r="S15" s="577" t="e">
        <f t="shared" si="3"/>
        <v>#VALUE!</v>
      </c>
      <c r="T15" s="700"/>
      <c r="U15" s="577" t="s">
        <v>564</v>
      </c>
      <c r="V15" s="510" t="s">
        <v>564</v>
      </c>
      <c r="W15" s="510" t="s">
        <v>564</v>
      </c>
      <c r="X15" s="577" t="e">
        <f t="shared" si="5"/>
        <v>#VALUE!</v>
      </c>
      <c r="Y15" s="700"/>
      <c r="Z15" s="577" t="s">
        <v>564</v>
      </c>
      <c r="AA15" s="510" t="s">
        <v>564</v>
      </c>
      <c r="AB15" s="510" t="s">
        <v>564</v>
      </c>
      <c r="AC15" s="577" t="e">
        <f t="shared" si="7"/>
        <v>#VALUE!</v>
      </c>
      <c r="AD15" s="700"/>
      <c r="AE15" s="577" t="s">
        <v>564</v>
      </c>
      <c r="AF15" s="510" t="s">
        <v>564</v>
      </c>
      <c r="AG15" s="510" t="s">
        <v>564</v>
      </c>
      <c r="AH15" s="577" t="e">
        <f t="shared" si="9"/>
        <v>#VALUE!</v>
      </c>
      <c r="AI15" s="700"/>
      <c r="AJ15" s="577" t="s">
        <v>564</v>
      </c>
      <c r="AK15" s="510" t="s">
        <v>564</v>
      </c>
      <c r="AL15" s="510" t="s">
        <v>564</v>
      </c>
      <c r="AM15" s="577" t="e">
        <f t="shared" si="11"/>
        <v>#VALUE!</v>
      </c>
      <c r="AN15" s="700"/>
      <c r="AO15" s="577" t="s">
        <v>564</v>
      </c>
      <c r="AP15" s="510" t="s">
        <v>564</v>
      </c>
      <c r="AQ15" s="510" t="s">
        <v>564</v>
      </c>
      <c r="AR15" s="577" t="e">
        <f t="shared" si="13"/>
        <v>#VALUE!</v>
      </c>
      <c r="AS15" s="700"/>
      <c r="AT15" s="576" t="s">
        <v>564</v>
      </c>
      <c r="AU15" s="578" t="s">
        <v>564</v>
      </c>
      <c r="AV15" s="578" t="s">
        <v>564</v>
      </c>
      <c r="AW15" s="577" t="e">
        <f t="shared" si="15"/>
        <v>#VALUE!</v>
      </c>
      <c r="AX15" s="700"/>
      <c r="AZ15" s="369" t="e">
        <f t="shared" si="17"/>
        <v>#N/A</v>
      </c>
      <c r="BA15" s="700"/>
    </row>
    <row r="16" spans="1:53" ht="14.25">
      <c r="A16" s="81"/>
      <c r="B16" s="678"/>
      <c r="C16" s="528">
        <v>10</v>
      </c>
      <c r="D16" s="225"/>
      <c r="E16" s="565"/>
      <c r="F16" s="563"/>
      <c r="G16" s="564"/>
      <c r="H16" s="657"/>
      <c r="I16" s="529" t="str">
        <f t="shared" si="0"/>
        <v>-</v>
      </c>
      <c r="J16" s="529" t="str">
        <f t="shared" si="1"/>
        <v>-</v>
      </c>
      <c r="K16" s="199" t="str">
        <f t="shared" si="2"/>
        <v>-</v>
      </c>
      <c r="L16" s="659"/>
      <c r="M16" s="510" t="e">
        <f>RANK(K16, K$7:$K$21)</f>
        <v>#VALUE!</v>
      </c>
      <c r="N16" s="643"/>
      <c r="O16" s="643"/>
      <c r="P16" s="577" t="s">
        <v>564</v>
      </c>
      <c r="Q16" s="510" t="s">
        <v>564</v>
      </c>
      <c r="R16" s="510" t="s">
        <v>564</v>
      </c>
      <c r="S16" s="577" t="e">
        <f t="shared" si="3"/>
        <v>#VALUE!</v>
      </c>
      <c r="T16" s="700"/>
      <c r="U16" s="577" t="s">
        <v>564</v>
      </c>
      <c r="V16" s="510" t="s">
        <v>564</v>
      </c>
      <c r="W16" s="510" t="s">
        <v>564</v>
      </c>
      <c r="X16" s="577" t="e">
        <f t="shared" si="5"/>
        <v>#VALUE!</v>
      </c>
      <c r="Y16" s="700"/>
      <c r="Z16" s="577" t="s">
        <v>564</v>
      </c>
      <c r="AA16" s="510" t="s">
        <v>564</v>
      </c>
      <c r="AB16" s="510" t="s">
        <v>564</v>
      </c>
      <c r="AC16" s="577" t="e">
        <f t="shared" si="7"/>
        <v>#VALUE!</v>
      </c>
      <c r="AD16" s="700"/>
      <c r="AE16" s="577" t="s">
        <v>564</v>
      </c>
      <c r="AF16" s="510" t="s">
        <v>564</v>
      </c>
      <c r="AG16" s="510" t="s">
        <v>564</v>
      </c>
      <c r="AH16" s="577" t="e">
        <f t="shared" si="9"/>
        <v>#VALUE!</v>
      </c>
      <c r="AI16" s="700"/>
      <c r="AJ16" s="577" t="s">
        <v>564</v>
      </c>
      <c r="AK16" s="510" t="s">
        <v>564</v>
      </c>
      <c r="AL16" s="510" t="s">
        <v>564</v>
      </c>
      <c r="AM16" s="577" t="e">
        <f t="shared" si="11"/>
        <v>#VALUE!</v>
      </c>
      <c r="AN16" s="700"/>
      <c r="AO16" s="577" t="s">
        <v>564</v>
      </c>
      <c r="AP16" s="510" t="s">
        <v>564</v>
      </c>
      <c r="AQ16" s="510" t="s">
        <v>564</v>
      </c>
      <c r="AR16" s="577" t="e">
        <f t="shared" si="13"/>
        <v>#VALUE!</v>
      </c>
      <c r="AS16" s="700"/>
      <c r="AT16" s="576" t="s">
        <v>564</v>
      </c>
      <c r="AU16" s="578" t="s">
        <v>564</v>
      </c>
      <c r="AV16" s="578" t="s">
        <v>564</v>
      </c>
      <c r="AW16" s="577" t="e">
        <f t="shared" si="15"/>
        <v>#VALUE!</v>
      </c>
      <c r="AX16" s="700"/>
      <c r="AZ16" s="369" t="e">
        <f t="shared" si="17"/>
        <v>#N/A</v>
      </c>
      <c r="BA16" s="700"/>
    </row>
    <row r="17" spans="2:53">
      <c r="B17" s="678"/>
      <c r="C17" s="528">
        <v>11</v>
      </c>
      <c r="D17" s="225"/>
      <c r="E17" s="565"/>
      <c r="F17" s="563"/>
      <c r="G17" s="564"/>
      <c r="H17" s="657"/>
      <c r="I17" s="529" t="str">
        <f t="shared" si="0"/>
        <v>-</v>
      </c>
      <c r="J17" s="529" t="str">
        <f t="shared" si="1"/>
        <v>-</v>
      </c>
      <c r="K17" s="199" t="str">
        <f t="shared" si="2"/>
        <v>-</v>
      </c>
      <c r="L17" s="659"/>
      <c r="M17" s="510" t="e">
        <f>RANK(K17, K$7:$K$21)</f>
        <v>#VALUE!</v>
      </c>
      <c r="N17" s="643"/>
      <c r="O17" s="643"/>
      <c r="P17" s="577" t="s">
        <v>564</v>
      </c>
      <c r="Q17" s="510" t="s">
        <v>564</v>
      </c>
      <c r="R17" s="510" t="s">
        <v>564</v>
      </c>
      <c r="S17" s="577" t="e">
        <f t="shared" si="3"/>
        <v>#VALUE!</v>
      </c>
      <c r="T17" s="700"/>
      <c r="U17" s="577" t="s">
        <v>564</v>
      </c>
      <c r="V17" s="510" t="s">
        <v>564</v>
      </c>
      <c r="W17" s="510" t="s">
        <v>564</v>
      </c>
      <c r="X17" s="577" t="e">
        <f t="shared" si="5"/>
        <v>#VALUE!</v>
      </c>
      <c r="Y17" s="700"/>
      <c r="Z17" s="577" t="s">
        <v>564</v>
      </c>
      <c r="AA17" s="510" t="s">
        <v>564</v>
      </c>
      <c r="AB17" s="510" t="s">
        <v>564</v>
      </c>
      <c r="AC17" s="577" t="e">
        <f t="shared" si="7"/>
        <v>#VALUE!</v>
      </c>
      <c r="AD17" s="700"/>
      <c r="AE17" s="577" t="s">
        <v>564</v>
      </c>
      <c r="AF17" s="510" t="s">
        <v>564</v>
      </c>
      <c r="AG17" s="510" t="s">
        <v>564</v>
      </c>
      <c r="AH17" s="577" t="e">
        <f t="shared" si="9"/>
        <v>#VALUE!</v>
      </c>
      <c r="AI17" s="700"/>
      <c r="AJ17" s="577" t="s">
        <v>564</v>
      </c>
      <c r="AK17" s="510" t="s">
        <v>564</v>
      </c>
      <c r="AL17" s="510" t="s">
        <v>564</v>
      </c>
      <c r="AM17" s="577" t="e">
        <f t="shared" si="11"/>
        <v>#VALUE!</v>
      </c>
      <c r="AN17" s="700"/>
      <c r="AO17" s="577" t="s">
        <v>564</v>
      </c>
      <c r="AP17" s="510" t="s">
        <v>564</v>
      </c>
      <c r="AQ17" s="510" t="s">
        <v>564</v>
      </c>
      <c r="AR17" s="577" t="e">
        <f t="shared" si="13"/>
        <v>#VALUE!</v>
      </c>
      <c r="AS17" s="700"/>
      <c r="AT17" s="576" t="s">
        <v>564</v>
      </c>
      <c r="AU17" s="578" t="s">
        <v>564</v>
      </c>
      <c r="AV17" s="578" t="s">
        <v>564</v>
      </c>
      <c r="AW17" s="577" t="e">
        <f t="shared" si="15"/>
        <v>#VALUE!</v>
      </c>
      <c r="AX17" s="700"/>
      <c r="AZ17" s="369" t="e">
        <f t="shared" si="17"/>
        <v>#N/A</v>
      </c>
      <c r="BA17" s="700"/>
    </row>
    <row r="18" spans="2:53">
      <c r="B18" s="678"/>
      <c r="C18" s="528">
        <v>12</v>
      </c>
      <c r="D18" s="225"/>
      <c r="E18" s="565"/>
      <c r="F18" s="563"/>
      <c r="G18" s="564"/>
      <c r="H18" s="657"/>
      <c r="I18" s="529" t="str">
        <f t="shared" si="0"/>
        <v>-</v>
      </c>
      <c r="J18" s="529" t="str">
        <f t="shared" si="1"/>
        <v>-</v>
      </c>
      <c r="K18" s="199" t="str">
        <f t="shared" si="2"/>
        <v>-</v>
      </c>
      <c r="L18" s="659"/>
      <c r="M18" s="510" t="e">
        <f>RANK(K18, K$7:$K$21)</f>
        <v>#VALUE!</v>
      </c>
      <c r="N18" s="643"/>
      <c r="O18" s="643"/>
      <c r="P18" s="577" t="s">
        <v>564</v>
      </c>
      <c r="Q18" s="510" t="s">
        <v>564</v>
      </c>
      <c r="R18" s="510" t="s">
        <v>564</v>
      </c>
      <c r="S18" s="577" t="e">
        <f t="shared" si="3"/>
        <v>#VALUE!</v>
      </c>
      <c r="T18" s="700"/>
      <c r="U18" s="577" t="s">
        <v>564</v>
      </c>
      <c r="V18" s="510" t="s">
        <v>564</v>
      </c>
      <c r="W18" s="510" t="s">
        <v>564</v>
      </c>
      <c r="X18" s="577" t="e">
        <f t="shared" si="5"/>
        <v>#VALUE!</v>
      </c>
      <c r="Y18" s="700"/>
      <c r="Z18" s="577" t="s">
        <v>564</v>
      </c>
      <c r="AA18" s="510" t="s">
        <v>564</v>
      </c>
      <c r="AB18" s="510" t="s">
        <v>564</v>
      </c>
      <c r="AC18" s="577" t="e">
        <f t="shared" si="7"/>
        <v>#VALUE!</v>
      </c>
      <c r="AD18" s="700"/>
      <c r="AE18" s="577" t="s">
        <v>564</v>
      </c>
      <c r="AF18" s="510" t="s">
        <v>564</v>
      </c>
      <c r="AG18" s="510" t="s">
        <v>564</v>
      </c>
      <c r="AH18" s="577" t="e">
        <f t="shared" si="9"/>
        <v>#VALUE!</v>
      </c>
      <c r="AI18" s="700"/>
      <c r="AJ18" s="577" t="s">
        <v>564</v>
      </c>
      <c r="AK18" s="510" t="s">
        <v>564</v>
      </c>
      <c r="AL18" s="510" t="s">
        <v>564</v>
      </c>
      <c r="AM18" s="577" t="e">
        <f t="shared" si="11"/>
        <v>#VALUE!</v>
      </c>
      <c r="AN18" s="700"/>
      <c r="AO18" s="577" t="s">
        <v>564</v>
      </c>
      <c r="AP18" s="510" t="s">
        <v>564</v>
      </c>
      <c r="AQ18" s="510" t="s">
        <v>564</v>
      </c>
      <c r="AR18" s="577" t="e">
        <f t="shared" si="13"/>
        <v>#VALUE!</v>
      </c>
      <c r="AS18" s="700"/>
      <c r="AT18" s="576" t="s">
        <v>564</v>
      </c>
      <c r="AU18" s="578" t="s">
        <v>564</v>
      </c>
      <c r="AV18" s="578" t="s">
        <v>564</v>
      </c>
      <c r="AW18" s="577" t="e">
        <f t="shared" si="15"/>
        <v>#VALUE!</v>
      </c>
      <c r="AX18" s="700"/>
      <c r="AZ18" s="369" t="e">
        <f t="shared" si="17"/>
        <v>#N/A</v>
      </c>
      <c r="BA18" s="700"/>
    </row>
    <row r="19" spans="2:53">
      <c r="B19" s="678"/>
      <c r="C19" s="528">
        <v>13</v>
      </c>
      <c r="D19" s="225"/>
      <c r="E19" s="565"/>
      <c r="F19" s="563"/>
      <c r="G19" s="564"/>
      <c r="H19" s="657"/>
      <c r="I19" s="529" t="str">
        <f t="shared" si="0"/>
        <v>-</v>
      </c>
      <c r="J19" s="529" t="str">
        <f t="shared" si="1"/>
        <v>-</v>
      </c>
      <c r="K19" s="199" t="str">
        <f t="shared" si="2"/>
        <v>-</v>
      </c>
      <c r="L19" s="659"/>
      <c r="M19" s="510" t="e">
        <f>RANK(K19, K$7:$K$21)</f>
        <v>#VALUE!</v>
      </c>
      <c r="N19" s="643"/>
      <c r="O19" s="643"/>
      <c r="P19" s="577" t="s">
        <v>564</v>
      </c>
      <c r="Q19" s="510" t="s">
        <v>564</v>
      </c>
      <c r="R19" s="510" t="s">
        <v>564</v>
      </c>
      <c r="S19" s="577" t="e">
        <f t="shared" si="3"/>
        <v>#VALUE!</v>
      </c>
      <c r="T19" s="700"/>
      <c r="U19" s="577" t="s">
        <v>564</v>
      </c>
      <c r="V19" s="510" t="s">
        <v>564</v>
      </c>
      <c r="W19" s="510" t="s">
        <v>564</v>
      </c>
      <c r="X19" s="577" t="e">
        <f t="shared" si="5"/>
        <v>#VALUE!</v>
      </c>
      <c r="Y19" s="700"/>
      <c r="Z19" s="577" t="s">
        <v>564</v>
      </c>
      <c r="AA19" s="510" t="s">
        <v>564</v>
      </c>
      <c r="AB19" s="510" t="s">
        <v>564</v>
      </c>
      <c r="AC19" s="577" t="e">
        <f t="shared" si="7"/>
        <v>#VALUE!</v>
      </c>
      <c r="AD19" s="700"/>
      <c r="AE19" s="577" t="s">
        <v>564</v>
      </c>
      <c r="AF19" s="510" t="s">
        <v>564</v>
      </c>
      <c r="AG19" s="510" t="s">
        <v>564</v>
      </c>
      <c r="AH19" s="577" t="e">
        <f t="shared" si="9"/>
        <v>#VALUE!</v>
      </c>
      <c r="AI19" s="700"/>
      <c r="AJ19" s="577" t="s">
        <v>564</v>
      </c>
      <c r="AK19" s="510" t="s">
        <v>564</v>
      </c>
      <c r="AL19" s="510" t="s">
        <v>564</v>
      </c>
      <c r="AM19" s="577" t="e">
        <f t="shared" si="11"/>
        <v>#VALUE!</v>
      </c>
      <c r="AN19" s="700"/>
      <c r="AO19" s="577" t="s">
        <v>564</v>
      </c>
      <c r="AP19" s="510" t="s">
        <v>564</v>
      </c>
      <c r="AQ19" s="510" t="s">
        <v>564</v>
      </c>
      <c r="AR19" s="577" t="e">
        <f t="shared" si="13"/>
        <v>#VALUE!</v>
      </c>
      <c r="AS19" s="700"/>
      <c r="AT19" s="576" t="s">
        <v>564</v>
      </c>
      <c r="AU19" s="578" t="s">
        <v>564</v>
      </c>
      <c r="AV19" s="578" t="s">
        <v>564</v>
      </c>
      <c r="AW19" s="577" t="e">
        <f t="shared" si="15"/>
        <v>#VALUE!</v>
      </c>
      <c r="AX19" s="700"/>
      <c r="AZ19" s="369" t="e">
        <f t="shared" si="17"/>
        <v>#N/A</v>
      </c>
      <c r="BA19" s="700"/>
    </row>
    <row r="20" spans="2:53">
      <c r="B20" s="678"/>
      <c r="C20" s="528">
        <v>14</v>
      </c>
      <c r="D20" s="225"/>
      <c r="E20" s="565"/>
      <c r="F20" s="563"/>
      <c r="G20" s="564"/>
      <c r="H20" s="657"/>
      <c r="I20" s="529" t="str">
        <f t="shared" si="0"/>
        <v>-</v>
      </c>
      <c r="J20" s="529" t="str">
        <f t="shared" si="1"/>
        <v>-</v>
      </c>
      <c r="K20" s="199" t="str">
        <f t="shared" si="2"/>
        <v>-</v>
      </c>
      <c r="L20" s="659"/>
      <c r="M20" s="510" t="e">
        <f>RANK(K20, K$7:$K$21)</f>
        <v>#VALUE!</v>
      </c>
      <c r="N20" s="643"/>
      <c r="O20" s="643"/>
      <c r="P20" s="577" t="s">
        <v>564</v>
      </c>
      <c r="Q20" s="510" t="s">
        <v>564</v>
      </c>
      <c r="R20" s="510" t="s">
        <v>564</v>
      </c>
      <c r="S20" s="577" t="e">
        <f t="shared" si="3"/>
        <v>#VALUE!</v>
      </c>
      <c r="T20" s="700"/>
      <c r="U20" s="577" t="s">
        <v>564</v>
      </c>
      <c r="V20" s="510" t="s">
        <v>564</v>
      </c>
      <c r="W20" s="510" t="s">
        <v>564</v>
      </c>
      <c r="X20" s="577" t="e">
        <f t="shared" si="5"/>
        <v>#VALUE!</v>
      </c>
      <c r="Y20" s="700"/>
      <c r="Z20" s="577" t="s">
        <v>564</v>
      </c>
      <c r="AA20" s="510" t="s">
        <v>564</v>
      </c>
      <c r="AB20" s="510" t="s">
        <v>564</v>
      </c>
      <c r="AC20" s="577" t="e">
        <f t="shared" si="7"/>
        <v>#VALUE!</v>
      </c>
      <c r="AD20" s="700"/>
      <c r="AE20" s="577" t="s">
        <v>564</v>
      </c>
      <c r="AF20" s="510" t="s">
        <v>564</v>
      </c>
      <c r="AG20" s="510" t="s">
        <v>564</v>
      </c>
      <c r="AH20" s="577" t="e">
        <f t="shared" si="9"/>
        <v>#VALUE!</v>
      </c>
      <c r="AI20" s="700"/>
      <c r="AJ20" s="577" t="s">
        <v>564</v>
      </c>
      <c r="AK20" s="510" t="s">
        <v>564</v>
      </c>
      <c r="AL20" s="510" t="s">
        <v>564</v>
      </c>
      <c r="AM20" s="577" t="e">
        <f t="shared" si="11"/>
        <v>#VALUE!</v>
      </c>
      <c r="AN20" s="700"/>
      <c r="AO20" s="577" t="s">
        <v>564</v>
      </c>
      <c r="AP20" s="510" t="s">
        <v>564</v>
      </c>
      <c r="AQ20" s="510" t="s">
        <v>564</v>
      </c>
      <c r="AR20" s="577" t="e">
        <f t="shared" si="13"/>
        <v>#VALUE!</v>
      </c>
      <c r="AS20" s="700"/>
      <c r="AT20" s="576" t="s">
        <v>564</v>
      </c>
      <c r="AU20" s="578" t="s">
        <v>564</v>
      </c>
      <c r="AV20" s="578" t="s">
        <v>564</v>
      </c>
      <c r="AW20" s="577" t="e">
        <f t="shared" si="15"/>
        <v>#VALUE!</v>
      </c>
      <c r="AX20" s="700"/>
      <c r="AZ20" s="369" t="e">
        <f t="shared" si="17"/>
        <v>#N/A</v>
      </c>
      <c r="BA20" s="700"/>
    </row>
    <row r="21" spans="2:53">
      <c r="B21" s="678"/>
      <c r="C21" s="528">
        <v>15</v>
      </c>
      <c r="D21" s="225"/>
      <c r="E21" s="565"/>
      <c r="F21" s="563"/>
      <c r="G21" s="564"/>
      <c r="H21" s="714"/>
      <c r="I21" s="528"/>
      <c r="J21" s="528"/>
      <c r="K21" s="528"/>
      <c r="L21" s="660"/>
      <c r="M21" s="510" t="e">
        <f>RANK(K21, K$7:$K$21)</f>
        <v>#N/A</v>
      </c>
      <c r="N21" s="643"/>
      <c r="O21" s="643"/>
      <c r="P21" s="577" t="s">
        <v>564</v>
      </c>
      <c r="Q21" s="510" t="s">
        <v>564</v>
      </c>
      <c r="R21" s="510" t="s">
        <v>564</v>
      </c>
      <c r="S21" s="577" t="e">
        <f t="shared" si="3"/>
        <v>#VALUE!</v>
      </c>
      <c r="T21" s="700"/>
      <c r="U21" s="577" t="s">
        <v>564</v>
      </c>
      <c r="V21" s="510" t="s">
        <v>564</v>
      </c>
      <c r="W21" s="510" t="s">
        <v>564</v>
      </c>
      <c r="X21" s="577" t="e">
        <f t="shared" si="5"/>
        <v>#VALUE!</v>
      </c>
      <c r="Y21" s="700"/>
      <c r="Z21" s="577" t="s">
        <v>564</v>
      </c>
      <c r="AA21" s="510" t="s">
        <v>564</v>
      </c>
      <c r="AB21" s="510" t="s">
        <v>564</v>
      </c>
      <c r="AC21" s="577" t="e">
        <f t="shared" si="7"/>
        <v>#VALUE!</v>
      </c>
      <c r="AD21" s="700"/>
      <c r="AE21" s="577" t="s">
        <v>564</v>
      </c>
      <c r="AF21" s="510" t="s">
        <v>564</v>
      </c>
      <c r="AG21" s="510" t="s">
        <v>564</v>
      </c>
      <c r="AH21" s="577" t="e">
        <f t="shared" si="9"/>
        <v>#VALUE!</v>
      </c>
      <c r="AI21" s="700"/>
      <c r="AJ21" s="577" t="s">
        <v>564</v>
      </c>
      <c r="AK21" s="510" t="s">
        <v>564</v>
      </c>
      <c r="AL21" s="510" t="s">
        <v>564</v>
      </c>
      <c r="AM21" s="577" t="e">
        <f t="shared" si="11"/>
        <v>#VALUE!</v>
      </c>
      <c r="AN21" s="700"/>
      <c r="AO21" s="577" t="s">
        <v>564</v>
      </c>
      <c r="AP21" s="510" t="s">
        <v>564</v>
      </c>
      <c r="AQ21" s="510" t="s">
        <v>564</v>
      </c>
      <c r="AR21" s="577" t="e">
        <f t="shared" si="13"/>
        <v>#VALUE!</v>
      </c>
      <c r="AS21" s="700"/>
      <c r="AT21" s="576" t="s">
        <v>564</v>
      </c>
      <c r="AU21" s="578" t="s">
        <v>564</v>
      </c>
      <c r="AV21" s="578" t="s">
        <v>564</v>
      </c>
      <c r="AW21" s="577" t="e">
        <f t="shared" si="15"/>
        <v>#VALUE!</v>
      </c>
      <c r="AX21" s="700"/>
      <c r="AZ21" s="369" t="e">
        <f t="shared" si="17"/>
        <v>#N/A</v>
      </c>
      <c r="BA21" s="700"/>
    </row>
    <row r="22" spans="2:53" ht="15.75">
      <c r="B22" s="682" t="s">
        <v>162</v>
      </c>
      <c r="C22" s="683"/>
      <c r="D22" s="683"/>
      <c r="E22" s="683"/>
      <c r="F22" s="683"/>
      <c r="G22" s="683"/>
      <c r="H22" s="683"/>
      <c r="I22" s="202"/>
      <c r="J22" s="202"/>
      <c r="K22" s="202"/>
      <c r="L22" s="202"/>
      <c r="M22" s="203"/>
      <c r="N22" s="645" t="s">
        <v>156</v>
      </c>
      <c r="O22" s="645" t="s">
        <v>105</v>
      </c>
      <c r="P22" s="670">
        <f>P2+7</f>
        <v>46273</v>
      </c>
      <c r="Q22" s="649"/>
      <c r="R22" s="649"/>
      <c r="S22" s="649"/>
      <c r="T22" s="649"/>
      <c r="U22" s="667">
        <f>P22+1</f>
        <v>46274</v>
      </c>
      <c r="V22" s="668"/>
      <c r="W22" s="668"/>
      <c r="X22" s="668"/>
      <c r="Y22" s="669"/>
      <c r="Z22" s="667">
        <f>U22+1</f>
        <v>46275</v>
      </c>
      <c r="AA22" s="668"/>
      <c r="AB22" s="668"/>
      <c r="AC22" s="668"/>
      <c r="AD22" s="669"/>
      <c r="AE22" s="667">
        <f>Z22+1</f>
        <v>46276</v>
      </c>
      <c r="AF22" s="668"/>
      <c r="AG22" s="668"/>
      <c r="AH22" s="668"/>
      <c r="AI22" s="669"/>
      <c r="AJ22" s="667">
        <f>AE22+1</f>
        <v>46277</v>
      </c>
      <c r="AK22" s="668"/>
      <c r="AL22" s="668"/>
      <c r="AM22" s="668"/>
      <c r="AN22" s="669"/>
      <c r="AO22" s="667">
        <f>AJ22+1</f>
        <v>46278</v>
      </c>
      <c r="AP22" s="668"/>
      <c r="AQ22" s="668"/>
      <c r="AR22" s="668"/>
      <c r="AS22" s="669"/>
      <c r="AT22" s="667">
        <f>AO22+1</f>
        <v>46279</v>
      </c>
      <c r="AU22" s="668"/>
      <c r="AV22" s="668"/>
      <c r="AW22" s="668"/>
      <c r="AX22" s="669"/>
    </row>
    <row r="23" spans="2:53" ht="15.75">
      <c r="B23" s="674"/>
      <c r="C23" s="674"/>
      <c r="D23" s="674"/>
      <c r="E23" s="674"/>
      <c r="F23" s="674"/>
      <c r="G23" s="674"/>
      <c r="H23" s="674"/>
      <c r="I23" s="204"/>
      <c r="J23" s="204"/>
      <c r="K23" s="204"/>
      <c r="L23" s="204"/>
      <c r="M23" s="205"/>
      <c r="N23" s="647"/>
      <c r="O23" s="647"/>
      <c r="P23" s="670" t="s">
        <v>317</v>
      </c>
      <c r="Q23" s="649"/>
      <c r="R23" s="649"/>
      <c r="S23" s="649"/>
      <c r="T23" s="649"/>
      <c r="U23" s="670" t="s">
        <v>318</v>
      </c>
      <c r="V23" s="649"/>
      <c r="W23" s="649"/>
      <c r="X23" s="649"/>
      <c r="Y23" s="649"/>
      <c r="Z23" s="670" t="s">
        <v>319</v>
      </c>
      <c r="AA23" s="649"/>
      <c r="AB23" s="649"/>
      <c r="AC23" s="649"/>
      <c r="AD23" s="649"/>
      <c r="AE23" s="670" t="s">
        <v>320</v>
      </c>
      <c r="AF23" s="649"/>
      <c r="AG23" s="649"/>
      <c r="AH23" s="649"/>
      <c r="AI23" s="649"/>
      <c r="AJ23" s="670" t="s">
        <v>321</v>
      </c>
      <c r="AK23" s="649"/>
      <c r="AL23" s="649"/>
      <c r="AM23" s="649"/>
      <c r="AN23" s="649"/>
      <c r="AO23" s="670" t="s">
        <v>322</v>
      </c>
      <c r="AP23" s="649"/>
      <c r="AQ23" s="649"/>
      <c r="AR23" s="649"/>
      <c r="AS23" s="649"/>
      <c r="AT23" s="670" t="s">
        <v>323</v>
      </c>
      <c r="AU23" s="649"/>
      <c r="AV23" s="649"/>
      <c r="AW23" s="649"/>
      <c r="AX23" s="649"/>
    </row>
    <row r="24" spans="2:53">
      <c r="B24" s="643" t="s">
        <v>154</v>
      </c>
      <c r="C24" s="643" t="s">
        <v>523</v>
      </c>
      <c r="D24" s="643"/>
      <c r="E24" s="643" t="s">
        <v>524</v>
      </c>
      <c r="F24" s="643"/>
      <c r="G24" s="643"/>
      <c r="H24" s="675" t="s">
        <v>525</v>
      </c>
      <c r="I24" s="643" t="s">
        <v>526</v>
      </c>
      <c r="J24" s="643"/>
      <c r="K24" s="643"/>
      <c r="L24" s="675" t="s">
        <v>359</v>
      </c>
      <c r="M24" s="645" t="s">
        <v>527</v>
      </c>
      <c r="N24" s="643"/>
      <c r="O24" s="643" t="s">
        <v>365</v>
      </c>
      <c r="P24" s="661" t="s">
        <v>361</v>
      </c>
      <c r="Q24" s="662"/>
      <c r="R24" s="662"/>
      <c r="S24" s="663"/>
      <c r="T24" s="643" t="s">
        <v>359</v>
      </c>
      <c r="U24" s="661" t="s">
        <v>361</v>
      </c>
      <c r="V24" s="662"/>
      <c r="W24" s="662"/>
      <c r="X24" s="663"/>
      <c r="Y24" s="643" t="s">
        <v>359</v>
      </c>
      <c r="Z24" s="661" t="s">
        <v>361</v>
      </c>
      <c r="AA24" s="662"/>
      <c r="AB24" s="662"/>
      <c r="AC24" s="663"/>
      <c r="AD24" s="643" t="s">
        <v>359</v>
      </c>
      <c r="AE24" s="661" t="s">
        <v>361</v>
      </c>
      <c r="AF24" s="662"/>
      <c r="AG24" s="662"/>
      <c r="AH24" s="663"/>
      <c r="AI24" s="643" t="s">
        <v>359</v>
      </c>
      <c r="AJ24" s="661" t="s">
        <v>361</v>
      </c>
      <c r="AK24" s="662"/>
      <c r="AL24" s="662"/>
      <c r="AM24" s="663"/>
      <c r="AN24" s="643" t="s">
        <v>359</v>
      </c>
      <c r="AO24" s="661" t="s">
        <v>361</v>
      </c>
      <c r="AP24" s="662"/>
      <c r="AQ24" s="662"/>
      <c r="AR24" s="663"/>
      <c r="AS24" s="643" t="s">
        <v>359</v>
      </c>
      <c r="AT24" s="661" t="s">
        <v>361</v>
      </c>
      <c r="AU24" s="662"/>
      <c r="AV24" s="662"/>
      <c r="AW24" s="663"/>
      <c r="AX24" s="643" t="s">
        <v>359</v>
      </c>
      <c r="BA24" s="643" t="s">
        <v>359</v>
      </c>
    </row>
    <row r="25" spans="2:53">
      <c r="B25" s="643"/>
      <c r="C25" s="643"/>
      <c r="D25" s="643"/>
      <c r="E25" s="643" t="s">
        <v>529</v>
      </c>
      <c r="F25" s="643"/>
      <c r="G25" s="643"/>
      <c r="H25" s="676"/>
      <c r="I25" s="643" t="s">
        <v>529</v>
      </c>
      <c r="J25" s="643"/>
      <c r="K25" s="643"/>
      <c r="L25" s="676"/>
      <c r="M25" s="646"/>
      <c r="N25" s="643"/>
      <c r="O25" s="643"/>
      <c r="P25" s="661" t="s">
        <v>367</v>
      </c>
      <c r="Q25" s="662"/>
      <c r="R25" s="662"/>
      <c r="S25" s="663"/>
      <c r="T25" s="643"/>
      <c r="U25" s="661" t="s">
        <v>367</v>
      </c>
      <c r="V25" s="662"/>
      <c r="W25" s="662"/>
      <c r="X25" s="663"/>
      <c r="Y25" s="643"/>
      <c r="Z25" s="661" t="s">
        <v>367</v>
      </c>
      <c r="AA25" s="662"/>
      <c r="AB25" s="662"/>
      <c r="AC25" s="663"/>
      <c r="AD25" s="643"/>
      <c r="AE25" s="661" t="s">
        <v>367</v>
      </c>
      <c r="AF25" s="662"/>
      <c r="AG25" s="662"/>
      <c r="AH25" s="663"/>
      <c r="AI25" s="643"/>
      <c r="AJ25" s="661" t="s">
        <v>367</v>
      </c>
      <c r="AK25" s="662"/>
      <c r="AL25" s="662"/>
      <c r="AM25" s="663"/>
      <c r="AN25" s="643"/>
      <c r="AO25" s="661" t="s">
        <v>367</v>
      </c>
      <c r="AP25" s="662"/>
      <c r="AQ25" s="662"/>
      <c r="AR25" s="663"/>
      <c r="AS25" s="643"/>
      <c r="AT25" s="661" t="s">
        <v>367</v>
      </c>
      <c r="AU25" s="662"/>
      <c r="AV25" s="662"/>
      <c r="AW25" s="663"/>
      <c r="AX25" s="643"/>
      <c r="BA25" s="643"/>
    </row>
    <row r="26" spans="2:53">
      <c r="B26" s="643"/>
      <c r="C26" s="643"/>
      <c r="D26" s="643"/>
      <c r="E26" s="378" t="s">
        <v>530</v>
      </c>
      <c r="F26" s="378" t="s">
        <v>531</v>
      </c>
      <c r="G26" s="378" t="s">
        <v>532</v>
      </c>
      <c r="H26" s="677"/>
      <c r="I26" s="378" t="s">
        <v>530</v>
      </c>
      <c r="J26" s="378" t="s">
        <v>531</v>
      </c>
      <c r="K26" s="378" t="s">
        <v>532</v>
      </c>
      <c r="L26" s="677"/>
      <c r="M26" s="647"/>
      <c r="N26" s="643"/>
      <c r="O26" s="643"/>
      <c r="P26" s="378" t="s">
        <v>368</v>
      </c>
      <c r="Q26" s="378" t="s">
        <v>369</v>
      </c>
      <c r="R26" s="378" t="s">
        <v>370</v>
      </c>
      <c r="S26" s="378" t="s">
        <v>360</v>
      </c>
      <c r="T26" s="643"/>
      <c r="U26" s="378" t="s">
        <v>368</v>
      </c>
      <c r="V26" s="378" t="s">
        <v>369</v>
      </c>
      <c r="W26" s="378" t="s">
        <v>370</v>
      </c>
      <c r="X26" s="378" t="s">
        <v>360</v>
      </c>
      <c r="Y26" s="643"/>
      <c r="Z26" s="378" t="s">
        <v>368</v>
      </c>
      <c r="AA26" s="378" t="s">
        <v>369</v>
      </c>
      <c r="AB26" s="378" t="s">
        <v>370</v>
      </c>
      <c r="AC26" s="378" t="s">
        <v>360</v>
      </c>
      <c r="AD26" s="643"/>
      <c r="AE26" s="378" t="s">
        <v>368</v>
      </c>
      <c r="AF26" s="378" t="s">
        <v>369</v>
      </c>
      <c r="AG26" s="378" t="s">
        <v>370</v>
      </c>
      <c r="AH26" s="378" t="s">
        <v>360</v>
      </c>
      <c r="AI26" s="643"/>
      <c r="AJ26" s="378" t="s">
        <v>368</v>
      </c>
      <c r="AK26" s="378" t="s">
        <v>369</v>
      </c>
      <c r="AL26" s="378" t="s">
        <v>370</v>
      </c>
      <c r="AM26" s="378" t="s">
        <v>360</v>
      </c>
      <c r="AN26" s="643"/>
      <c r="AO26" s="378" t="s">
        <v>368</v>
      </c>
      <c r="AP26" s="378" t="s">
        <v>369</v>
      </c>
      <c r="AQ26" s="378" t="s">
        <v>370</v>
      </c>
      <c r="AR26" s="378" t="s">
        <v>360</v>
      </c>
      <c r="AS26" s="643"/>
      <c r="AT26" s="378" t="s">
        <v>368</v>
      </c>
      <c r="AU26" s="378" t="s">
        <v>369</v>
      </c>
      <c r="AV26" s="378" t="s">
        <v>370</v>
      </c>
      <c r="AW26" s="378" t="s">
        <v>360</v>
      </c>
      <c r="AX26" s="643"/>
      <c r="AZ26" s="367" t="s">
        <v>360</v>
      </c>
      <c r="BA26" s="643"/>
    </row>
    <row r="27" spans="2:53">
      <c r="B27" s="643" t="s">
        <v>433</v>
      </c>
      <c r="C27" s="380">
        <v>1</v>
      </c>
      <c r="D27" s="225"/>
      <c r="E27" s="565"/>
      <c r="F27" s="563"/>
      <c r="G27" s="564"/>
      <c r="H27" s="656" t="e">
        <f>AVERAGE(G27:G41)</f>
        <v>#DIV/0!</v>
      </c>
      <c r="I27" s="381" t="str">
        <f t="shared" ref="I27:I40" si="19">IFERROR(AVERAGE(P27,U27,Z27,AE27,AJ27,AO27,AT27),"-")</f>
        <v>-</v>
      </c>
      <c r="J27" s="381" t="str">
        <f t="shared" ref="J27:J40" si="20">IFERROR(AVERAGE(Q27,V27,AA27,AF27,AK27,AP27,AU27),"-")</f>
        <v>-</v>
      </c>
      <c r="K27" s="199" t="str">
        <f t="shared" ref="K27:K40" si="21">IFERROR(AVERAGE(R27,W27,AB27,AG27,AL27,AQ27,AV27),"-")</f>
        <v>-</v>
      </c>
      <c r="L27" s="658" t="str">
        <f>IFERROR(AVERAGE(K27:K41),"-")</f>
        <v>-</v>
      </c>
      <c r="M27" s="384" t="e">
        <f>RANK(K27, K$24:$K$41)</f>
        <v>#VALUE!</v>
      </c>
      <c r="N27" s="643"/>
      <c r="O27" s="643"/>
      <c r="P27" s="547"/>
      <c r="Q27" s="548"/>
      <c r="R27" s="548"/>
      <c r="S27" s="547"/>
      <c r="T27" s="638"/>
      <c r="U27" s="547"/>
      <c r="V27" s="548"/>
      <c r="W27" s="548"/>
      <c r="X27" s="547"/>
      <c r="Y27" s="638"/>
      <c r="Z27" s="547"/>
      <c r="AA27" s="548"/>
      <c r="AB27" s="548"/>
      <c r="AC27" s="547"/>
      <c r="AD27" s="638"/>
      <c r="AE27" s="547"/>
      <c r="AF27" s="548"/>
      <c r="AG27" s="548"/>
      <c r="AH27" s="547"/>
      <c r="AI27" s="638"/>
      <c r="AJ27" s="547"/>
      <c r="AK27" s="548"/>
      <c r="AL27" s="548"/>
      <c r="AM27" s="547"/>
      <c r="AN27" s="638"/>
      <c r="AO27" s="547"/>
      <c r="AP27" s="548"/>
      <c r="AQ27" s="548"/>
      <c r="AR27" s="547"/>
      <c r="AS27" s="638"/>
      <c r="AT27" s="547"/>
      <c r="AU27" s="548"/>
      <c r="AV27" s="548"/>
      <c r="AW27" s="547"/>
      <c r="AX27" s="638"/>
      <c r="AZ27" s="368" t="e">
        <f t="shared" ref="AZ27:AZ41" si="22">RANK(AY27, AY$27:AY$41)</f>
        <v>#N/A</v>
      </c>
      <c r="BA27" s="638" t="e">
        <f t="shared" ref="BA27" si="23">AVERAGE(AY27:AY41)</f>
        <v>#DIV/0!</v>
      </c>
    </row>
    <row r="28" spans="2:53">
      <c r="B28" s="649"/>
      <c r="C28" s="380">
        <v>2</v>
      </c>
      <c r="D28" s="225"/>
      <c r="E28" s="565"/>
      <c r="F28" s="563"/>
      <c r="G28" s="564"/>
      <c r="H28" s="657"/>
      <c r="I28" s="381" t="str">
        <f t="shared" si="19"/>
        <v>-</v>
      </c>
      <c r="J28" s="381" t="str">
        <f t="shared" si="20"/>
        <v>-</v>
      </c>
      <c r="K28" s="199" t="str">
        <f t="shared" si="21"/>
        <v>-</v>
      </c>
      <c r="L28" s="659"/>
      <c r="M28" s="387" t="e">
        <f>RANK(K28, K$24:$K$41)</f>
        <v>#VALUE!</v>
      </c>
      <c r="N28" s="643"/>
      <c r="O28" s="643"/>
      <c r="P28" s="547"/>
      <c r="Q28" s="548"/>
      <c r="R28" s="548"/>
      <c r="S28" s="547"/>
      <c r="T28" s="639"/>
      <c r="U28" s="547"/>
      <c r="V28" s="548"/>
      <c r="W28" s="548"/>
      <c r="X28" s="547"/>
      <c r="Y28" s="639"/>
      <c r="Z28" s="547"/>
      <c r="AA28" s="548"/>
      <c r="AB28" s="548"/>
      <c r="AC28" s="547"/>
      <c r="AD28" s="639"/>
      <c r="AE28" s="547"/>
      <c r="AF28" s="548"/>
      <c r="AG28" s="548"/>
      <c r="AH28" s="547"/>
      <c r="AI28" s="639"/>
      <c r="AJ28" s="547"/>
      <c r="AK28" s="548"/>
      <c r="AL28" s="548"/>
      <c r="AM28" s="547"/>
      <c r="AN28" s="639"/>
      <c r="AO28" s="547"/>
      <c r="AP28" s="548"/>
      <c r="AQ28" s="548"/>
      <c r="AR28" s="547"/>
      <c r="AS28" s="639"/>
      <c r="AT28" s="547"/>
      <c r="AU28" s="548"/>
      <c r="AV28" s="548"/>
      <c r="AW28" s="547"/>
      <c r="AX28" s="639"/>
      <c r="AZ28" s="368" t="e">
        <f t="shared" si="22"/>
        <v>#N/A</v>
      </c>
      <c r="BA28" s="639"/>
    </row>
    <row r="29" spans="2:53">
      <c r="B29" s="649"/>
      <c r="C29" s="380">
        <v>3</v>
      </c>
      <c r="D29" s="225"/>
      <c r="E29" s="565"/>
      <c r="F29" s="563"/>
      <c r="G29" s="564"/>
      <c r="H29" s="657"/>
      <c r="I29" s="381" t="str">
        <f t="shared" si="19"/>
        <v>-</v>
      </c>
      <c r="J29" s="381" t="str">
        <f t="shared" si="20"/>
        <v>-</v>
      </c>
      <c r="K29" s="199" t="str">
        <f t="shared" si="21"/>
        <v>-</v>
      </c>
      <c r="L29" s="659"/>
      <c r="M29" s="387" t="e">
        <f>RANK(K29, K$24:$K$41)</f>
        <v>#VALUE!</v>
      </c>
      <c r="N29" s="643"/>
      <c r="O29" s="643"/>
      <c r="P29" s="547"/>
      <c r="Q29" s="548"/>
      <c r="R29" s="548"/>
      <c r="S29" s="547"/>
      <c r="T29" s="639"/>
      <c r="U29" s="547"/>
      <c r="V29" s="548"/>
      <c r="W29" s="548"/>
      <c r="X29" s="547"/>
      <c r="Y29" s="639"/>
      <c r="Z29" s="547"/>
      <c r="AA29" s="548"/>
      <c r="AB29" s="548"/>
      <c r="AC29" s="547"/>
      <c r="AD29" s="639"/>
      <c r="AE29" s="547"/>
      <c r="AF29" s="548"/>
      <c r="AG29" s="548"/>
      <c r="AH29" s="547"/>
      <c r="AI29" s="639"/>
      <c r="AJ29" s="547"/>
      <c r="AK29" s="548"/>
      <c r="AL29" s="548"/>
      <c r="AM29" s="547"/>
      <c r="AN29" s="639"/>
      <c r="AO29" s="547"/>
      <c r="AP29" s="548"/>
      <c r="AQ29" s="548"/>
      <c r="AR29" s="547"/>
      <c r="AS29" s="639"/>
      <c r="AT29" s="547"/>
      <c r="AU29" s="548"/>
      <c r="AV29" s="548"/>
      <c r="AW29" s="547"/>
      <c r="AX29" s="639"/>
      <c r="AZ29" s="368" t="e">
        <f t="shared" si="22"/>
        <v>#N/A</v>
      </c>
      <c r="BA29" s="639"/>
    </row>
    <row r="30" spans="2:53">
      <c r="B30" s="649"/>
      <c r="C30" s="380">
        <v>4</v>
      </c>
      <c r="D30" s="225"/>
      <c r="E30" s="565"/>
      <c r="F30" s="563"/>
      <c r="G30" s="564"/>
      <c r="H30" s="657"/>
      <c r="I30" s="381" t="str">
        <f t="shared" si="19"/>
        <v>-</v>
      </c>
      <c r="J30" s="381" t="str">
        <f t="shared" si="20"/>
        <v>-</v>
      </c>
      <c r="K30" s="199" t="str">
        <f t="shared" si="21"/>
        <v>-</v>
      </c>
      <c r="L30" s="659"/>
      <c r="M30" s="387" t="e">
        <f>RANK(K30, K$24:$K$41)</f>
        <v>#VALUE!</v>
      </c>
      <c r="N30" s="643"/>
      <c r="O30" s="643"/>
      <c r="P30" s="547"/>
      <c r="Q30" s="548"/>
      <c r="R30" s="548"/>
      <c r="S30" s="547"/>
      <c r="T30" s="639"/>
      <c r="U30" s="547"/>
      <c r="V30" s="548"/>
      <c r="W30" s="548"/>
      <c r="X30" s="547"/>
      <c r="Y30" s="639"/>
      <c r="Z30" s="547"/>
      <c r="AA30" s="548"/>
      <c r="AB30" s="548"/>
      <c r="AC30" s="547"/>
      <c r="AD30" s="639"/>
      <c r="AE30" s="547"/>
      <c r="AF30" s="548"/>
      <c r="AG30" s="548"/>
      <c r="AH30" s="547"/>
      <c r="AI30" s="639"/>
      <c r="AJ30" s="547"/>
      <c r="AK30" s="548"/>
      <c r="AL30" s="548"/>
      <c r="AM30" s="547"/>
      <c r="AN30" s="639"/>
      <c r="AO30" s="547"/>
      <c r="AP30" s="548"/>
      <c r="AQ30" s="548"/>
      <c r="AR30" s="547"/>
      <c r="AS30" s="639"/>
      <c r="AT30" s="547"/>
      <c r="AU30" s="548"/>
      <c r="AV30" s="548"/>
      <c r="AW30" s="547"/>
      <c r="AX30" s="639"/>
      <c r="AZ30" s="368" t="e">
        <f t="shared" si="22"/>
        <v>#N/A</v>
      </c>
      <c r="BA30" s="639"/>
    </row>
    <row r="31" spans="2:53">
      <c r="B31" s="649"/>
      <c r="C31" s="380">
        <v>5</v>
      </c>
      <c r="D31" s="225"/>
      <c r="E31" s="565"/>
      <c r="F31" s="563"/>
      <c r="G31" s="564"/>
      <c r="H31" s="657"/>
      <c r="I31" s="381" t="str">
        <f t="shared" si="19"/>
        <v>-</v>
      </c>
      <c r="J31" s="381" t="str">
        <f t="shared" si="20"/>
        <v>-</v>
      </c>
      <c r="K31" s="199" t="str">
        <f t="shared" si="21"/>
        <v>-</v>
      </c>
      <c r="L31" s="659"/>
      <c r="M31" s="387" t="e">
        <f>RANK(K31, K$24:$K$41)</f>
        <v>#VALUE!</v>
      </c>
      <c r="N31" s="643"/>
      <c r="O31" s="643"/>
      <c r="P31" s="547"/>
      <c r="Q31" s="548"/>
      <c r="R31" s="548"/>
      <c r="S31" s="547"/>
      <c r="T31" s="639"/>
      <c r="U31" s="547"/>
      <c r="V31" s="548"/>
      <c r="W31" s="548"/>
      <c r="X31" s="547"/>
      <c r="Y31" s="639"/>
      <c r="Z31" s="547"/>
      <c r="AA31" s="548"/>
      <c r="AB31" s="548"/>
      <c r="AC31" s="547"/>
      <c r="AD31" s="639"/>
      <c r="AE31" s="547"/>
      <c r="AF31" s="548"/>
      <c r="AG31" s="548"/>
      <c r="AH31" s="547"/>
      <c r="AI31" s="639"/>
      <c r="AJ31" s="547"/>
      <c r="AK31" s="548"/>
      <c r="AL31" s="548"/>
      <c r="AM31" s="547"/>
      <c r="AN31" s="639"/>
      <c r="AO31" s="547"/>
      <c r="AP31" s="548"/>
      <c r="AQ31" s="548"/>
      <c r="AR31" s="547"/>
      <c r="AS31" s="639"/>
      <c r="AT31" s="547"/>
      <c r="AU31" s="548"/>
      <c r="AV31" s="548"/>
      <c r="AW31" s="547"/>
      <c r="AX31" s="639"/>
      <c r="AZ31" s="368" t="e">
        <f t="shared" si="22"/>
        <v>#N/A</v>
      </c>
      <c r="BA31" s="639"/>
    </row>
    <row r="32" spans="2:53">
      <c r="B32" s="649"/>
      <c r="C32" s="380">
        <v>6</v>
      </c>
      <c r="D32" s="225"/>
      <c r="E32" s="565"/>
      <c r="F32" s="563"/>
      <c r="G32" s="564"/>
      <c r="H32" s="657"/>
      <c r="I32" s="381" t="str">
        <f t="shared" si="19"/>
        <v>-</v>
      </c>
      <c r="J32" s="381" t="str">
        <f t="shared" si="20"/>
        <v>-</v>
      </c>
      <c r="K32" s="199" t="str">
        <f t="shared" si="21"/>
        <v>-</v>
      </c>
      <c r="L32" s="659"/>
      <c r="M32" s="387" t="e">
        <f>RANK(K32, K$24:$K$41)</f>
        <v>#VALUE!</v>
      </c>
      <c r="N32" s="643"/>
      <c r="O32" s="643"/>
      <c r="P32" s="547"/>
      <c r="Q32" s="548"/>
      <c r="R32" s="548"/>
      <c r="S32" s="547"/>
      <c r="T32" s="639"/>
      <c r="U32" s="547"/>
      <c r="V32" s="548"/>
      <c r="W32" s="548"/>
      <c r="X32" s="547"/>
      <c r="Y32" s="639"/>
      <c r="Z32" s="547"/>
      <c r="AA32" s="548"/>
      <c r="AB32" s="548"/>
      <c r="AC32" s="547"/>
      <c r="AD32" s="639"/>
      <c r="AE32" s="547"/>
      <c r="AF32" s="548"/>
      <c r="AG32" s="548"/>
      <c r="AH32" s="547"/>
      <c r="AI32" s="639"/>
      <c r="AJ32" s="547"/>
      <c r="AK32" s="548"/>
      <c r="AL32" s="548"/>
      <c r="AM32" s="547"/>
      <c r="AN32" s="639"/>
      <c r="AO32" s="547"/>
      <c r="AP32" s="548"/>
      <c r="AQ32" s="548"/>
      <c r="AR32" s="547"/>
      <c r="AS32" s="639"/>
      <c r="AT32" s="547"/>
      <c r="AU32" s="548"/>
      <c r="AV32" s="548"/>
      <c r="AW32" s="547"/>
      <c r="AX32" s="639"/>
      <c r="AZ32" s="368" t="e">
        <f t="shared" si="22"/>
        <v>#N/A</v>
      </c>
      <c r="BA32" s="639"/>
    </row>
    <row r="33" spans="2:53">
      <c r="B33" s="649"/>
      <c r="C33" s="380">
        <v>7</v>
      </c>
      <c r="D33" s="225"/>
      <c r="E33" s="565"/>
      <c r="F33" s="563"/>
      <c r="G33" s="564"/>
      <c r="H33" s="657"/>
      <c r="I33" s="381" t="str">
        <f t="shared" si="19"/>
        <v>-</v>
      </c>
      <c r="J33" s="381" t="str">
        <f t="shared" si="20"/>
        <v>-</v>
      </c>
      <c r="K33" s="199" t="str">
        <f t="shared" si="21"/>
        <v>-</v>
      </c>
      <c r="L33" s="659"/>
      <c r="M33" s="387" t="e">
        <f>RANK(K33, K$24:$K$41)</f>
        <v>#VALUE!</v>
      </c>
      <c r="N33" s="643"/>
      <c r="O33" s="643"/>
      <c r="P33" s="547"/>
      <c r="Q33" s="548"/>
      <c r="R33" s="548"/>
      <c r="S33" s="547"/>
      <c r="T33" s="639"/>
      <c r="U33" s="547"/>
      <c r="V33" s="548"/>
      <c r="W33" s="548"/>
      <c r="X33" s="547"/>
      <c r="Y33" s="639"/>
      <c r="Z33" s="547"/>
      <c r="AA33" s="548"/>
      <c r="AB33" s="548"/>
      <c r="AC33" s="547"/>
      <c r="AD33" s="639"/>
      <c r="AE33" s="547"/>
      <c r="AF33" s="548"/>
      <c r="AG33" s="548"/>
      <c r="AH33" s="547"/>
      <c r="AI33" s="639"/>
      <c r="AJ33" s="547"/>
      <c r="AK33" s="548"/>
      <c r="AL33" s="548"/>
      <c r="AM33" s="547"/>
      <c r="AN33" s="639"/>
      <c r="AO33" s="547"/>
      <c r="AP33" s="548"/>
      <c r="AQ33" s="548"/>
      <c r="AR33" s="547"/>
      <c r="AS33" s="639"/>
      <c r="AT33" s="547"/>
      <c r="AU33" s="548"/>
      <c r="AV33" s="548"/>
      <c r="AW33" s="547"/>
      <c r="AX33" s="639"/>
      <c r="AZ33" s="368" t="e">
        <f t="shared" si="22"/>
        <v>#N/A</v>
      </c>
      <c r="BA33" s="639"/>
    </row>
    <row r="34" spans="2:53">
      <c r="B34" s="649"/>
      <c r="C34" s="380">
        <v>8</v>
      </c>
      <c r="D34" s="225"/>
      <c r="E34" s="565"/>
      <c r="F34" s="563"/>
      <c r="G34" s="564"/>
      <c r="H34" s="657"/>
      <c r="I34" s="381" t="str">
        <f t="shared" si="19"/>
        <v>-</v>
      </c>
      <c r="J34" s="381" t="str">
        <f t="shared" si="20"/>
        <v>-</v>
      </c>
      <c r="K34" s="199" t="str">
        <f t="shared" si="21"/>
        <v>-</v>
      </c>
      <c r="L34" s="659"/>
      <c r="M34" s="387" t="e">
        <f>RANK(K34, K$24:$K$41)</f>
        <v>#VALUE!</v>
      </c>
      <c r="N34" s="643"/>
      <c r="O34" s="643"/>
      <c r="P34" s="547"/>
      <c r="Q34" s="548"/>
      <c r="R34" s="548"/>
      <c r="S34" s="547"/>
      <c r="T34" s="639"/>
      <c r="U34" s="547"/>
      <c r="V34" s="548"/>
      <c r="W34" s="548"/>
      <c r="X34" s="547"/>
      <c r="Y34" s="639"/>
      <c r="Z34" s="547"/>
      <c r="AA34" s="548"/>
      <c r="AB34" s="548"/>
      <c r="AC34" s="547"/>
      <c r="AD34" s="639"/>
      <c r="AE34" s="547"/>
      <c r="AF34" s="548"/>
      <c r="AG34" s="548"/>
      <c r="AH34" s="547"/>
      <c r="AI34" s="639"/>
      <c r="AJ34" s="547"/>
      <c r="AK34" s="548"/>
      <c r="AL34" s="548"/>
      <c r="AM34" s="547"/>
      <c r="AN34" s="639"/>
      <c r="AO34" s="547"/>
      <c r="AP34" s="548"/>
      <c r="AQ34" s="548"/>
      <c r="AR34" s="547"/>
      <c r="AS34" s="639"/>
      <c r="AT34" s="547"/>
      <c r="AU34" s="548"/>
      <c r="AV34" s="548"/>
      <c r="AW34" s="547"/>
      <c r="AX34" s="639"/>
      <c r="AZ34" s="368" t="e">
        <f t="shared" si="22"/>
        <v>#N/A</v>
      </c>
      <c r="BA34" s="639"/>
    </row>
    <row r="35" spans="2:53">
      <c r="B35" s="649"/>
      <c r="C35" s="380">
        <v>9</v>
      </c>
      <c r="D35" s="225"/>
      <c r="E35" s="565"/>
      <c r="F35" s="563"/>
      <c r="G35" s="564"/>
      <c r="H35" s="657"/>
      <c r="I35" s="381" t="str">
        <f t="shared" si="19"/>
        <v>-</v>
      </c>
      <c r="J35" s="381" t="str">
        <f t="shared" si="20"/>
        <v>-</v>
      </c>
      <c r="K35" s="199" t="str">
        <f t="shared" si="21"/>
        <v>-</v>
      </c>
      <c r="L35" s="659"/>
      <c r="M35" s="387" t="e">
        <f>RANK(K35, K$24:$K$41)</f>
        <v>#VALUE!</v>
      </c>
      <c r="N35" s="643"/>
      <c r="O35" s="643"/>
      <c r="P35" s="547"/>
      <c r="Q35" s="548"/>
      <c r="R35" s="548"/>
      <c r="S35" s="547"/>
      <c r="T35" s="639"/>
      <c r="U35" s="547"/>
      <c r="V35" s="548"/>
      <c r="W35" s="548"/>
      <c r="X35" s="547"/>
      <c r="Y35" s="639"/>
      <c r="Z35" s="547"/>
      <c r="AA35" s="548"/>
      <c r="AB35" s="548"/>
      <c r="AC35" s="547"/>
      <c r="AD35" s="639"/>
      <c r="AE35" s="547"/>
      <c r="AF35" s="548"/>
      <c r="AG35" s="548"/>
      <c r="AH35" s="547"/>
      <c r="AI35" s="639"/>
      <c r="AJ35" s="547"/>
      <c r="AK35" s="548"/>
      <c r="AL35" s="548"/>
      <c r="AM35" s="547"/>
      <c r="AN35" s="639"/>
      <c r="AO35" s="547"/>
      <c r="AP35" s="548"/>
      <c r="AQ35" s="548"/>
      <c r="AR35" s="547"/>
      <c r="AS35" s="639"/>
      <c r="AT35" s="547"/>
      <c r="AU35" s="548"/>
      <c r="AV35" s="548"/>
      <c r="AW35" s="547"/>
      <c r="AX35" s="639"/>
      <c r="AZ35" s="368" t="e">
        <f t="shared" si="22"/>
        <v>#N/A</v>
      </c>
      <c r="BA35" s="639"/>
    </row>
    <row r="36" spans="2:53">
      <c r="B36" s="649"/>
      <c r="C36" s="380">
        <v>10</v>
      </c>
      <c r="D36" s="225"/>
      <c r="E36" s="565"/>
      <c r="F36" s="563"/>
      <c r="G36" s="564"/>
      <c r="H36" s="657"/>
      <c r="I36" s="381" t="str">
        <f t="shared" si="19"/>
        <v>-</v>
      </c>
      <c r="J36" s="381" t="str">
        <f t="shared" si="20"/>
        <v>-</v>
      </c>
      <c r="K36" s="199" t="str">
        <f t="shared" si="21"/>
        <v>-</v>
      </c>
      <c r="L36" s="659"/>
      <c r="M36" s="387" t="e">
        <f>RANK(K36, K$24:$K$41)</f>
        <v>#VALUE!</v>
      </c>
      <c r="N36" s="643"/>
      <c r="O36" s="643"/>
      <c r="P36" s="547"/>
      <c r="Q36" s="548"/>
      <c r="R36" s="548"/>
      <c r="S36" s="547"/>
      <c r="T36" s="639"/>
      <c r="U36" s="547"/>
      <c r="V36" s="548"/>
      <c r="W36" s="548"/>
      <c r="X36" s="547"/>
      <c r="Y36" s="639"/>
      <c r="Z36" s="547"/>
      <c r="AA36" s="548"/>
      <c r="AB36" s="548"/>
      <c r="AC36" s="547"/>
      <c r="AD36" s="639"/>
      <c r="AE36" s="547"/>
      <c r="AF36" s="548"/>
      <c r="AG36" s="548"/>
      <c r="AH36" s="547"/>
      <c r="AI36" s="639"/>
      <c r="AJ36" s="547"/>
      <c r="AK36" s="548"/>
      <c r="AL36" s="548"/>
      <c r="AM36" s="547"/>
      <c r="AN36" s="639"/>
      <c r="AO36" s="547"/>
      <c r="AP36" s="548"/>
      <c r="AQ36" s="548"/>
      <c r="AR36" s="547"/>
      <c r="AS36" s="639"/>
      <c r="AT36" s="547"/>
      <c r="AU36" s="548"/>
      <c r="AV36" s="548"/>
      <c r="AW36" s="547"/>
      <c r="AX36" s="639"/>
      <c r="AZ36" s="368" t="e">
        <f t="shared" si="22"/>
        <v>#N/A</v>
      </c>
      <c r="BA36" s="639"/>
    </row>
    <row r="37" spans="2:53">
      <c r="B37" s="649"/>
      <c r="C37" s="380">
        <v>11</v>
      </c>
      <c r="D37" s="225"/>
      <c r="E37" s="565"/>
      <c r="F37" s="563"/>
      <c r="G37" s="564"/>
      <c r="H37" s="657"/>
      <c r="I37" s="381" t="str">
        <f t="shared" si="19"/>
        <v>-</v>
      </c>
      <c r="J37" s="381" t="str">
        <f t="shared" si="20"/>
        <v>-</v>
      </c>
      <c r="K37" s="199" t="str">
        <f t="shared" si="21"/>
        <v>-</v>
      </c>
      <c r="L37" s="659"/>
      <c r="M37" s="387" t="e">
        <f>RANK(K37, K$24:$K$41)</f>
        <v>#VALUE!</v>
      </c>
      <c r="N37" s="643"/>
      <c r="O37" s="643"/>
      <c r="P37" s="547"/>
      <c r="Q37" s="548"/>
      <c r="R37" s="548"/>
      <c r="S37" s="547"/>
      <c r="T37" s="639"/>
      <c r="U37" s="547"/>
      <c r="V37" s="548"/>
      <c r="W37" s="548"/>
      <c r="X37" s="547"/>
      <c r="Y37" s="639"/>
      <c r="Z37" s="547"/>
      <c r="AA37" s="548"/>
      <c r="AB37" s="548"/>
      <c r="AC37" s="547"/>
      <c r="AD37" s="639"/>
      <c r="AE37" s="547"/>
      <c r="AF37" s="548"/>
      <c r="AG37" s="548"/>
      <c r="AH37" s="547"/>
      <c r="AI37" s="639"/>
      <c r="AJ37" s="547"/>
      <c r="AK37" s="548"/>
      <c r="AL37" s="548"/>
      <c r="AM37" s="547"/>
      <c r="AN37" s="639"/>
      <c r="AO37" s="547"/>
      <c r="AP37" s="548"/>
      <c r="AQ37" s="548"/>
      <c r="AR37" s="547"/>
      <c r="AS37" s="639"/>
      <c r="AT37" s="547"/>
      <c r="AU37" s="548"/>
      <c r="AV37" s="548"/>
      <c r="AW37" s="547"/>
      <c r="AX37" s="639"/>
      <c r="AZ37" s="368" t="e">
        <f t="shared" si="22"/>
        <v>#N/A</v>
      </c>
      <c r="BA37" s="639"/>
    </row>
    <row r="38" spans="2:53">
      <c r="B38" s="649"/>
      <c r="C38" s="380">
        <v>12</v>
      </c>
      <c r="D38" s="225"/>
      <c r="E38" s="565"/>
      <c r="F38" s="563"/>
      <c r="G38" s="564"/>
      <c r="H38" s="657"/>
      <c r="I38" s="381" t="str">
        <f t="shared" si="19"/>
        <v>-</v>
      </c>
      <c r="J38" s="381" t="str">
        <f t="shared" si="20"/>
        <v>-</v>
      </c>
      <c r="K38" s="199" t="str">
        <f t="shared" si="21"/>
        <v>-</v>
      </c>
      <c r="L38" s="659"/>
      <c r="M38" s="387" t="e">
        <f>RANK(K38, K$24:$K$41)</f>
        <v>#VALUE!</v>
      </c>
      <c r="N38" s="643"/>
      <c r="O38" s="643"/>
      <c r="P38" s="547"/>
      <c r="Q38" s="548"/>
      <c r="R38" s="548"/>
      <c r="S38" s="547"/>
      <c r="T38" s="639"/>
      <c r="U38" s="547"/>
      <c r="V38" s="548"/>
      <c r="W38" s="548"/>
      <c r="X38" s="547"/>
      <c r="Y38" s="639"/>
      <c r="Z38" s="547"/>
      <c r="AA38" s="548"/>
      <c r="AB38" s="548"/>
      <c r="AC38" s="547"/>
      <c r="AD38" s="639"/>
      <c r="AE38" s="547"/>
      <c r="AF38" s="548"/>
      <c r="AG38" s="548"/>
      <c r="AH38" s="547"/>
      <c r="AI38" s="639"/>
      <c r="AJ38" s="547"/>
      <c r="AK38" s="548"/>
      <c r="AL38" s="548"/>
      <c r="AM38" s="547"/>
      <c r="AN38" s="639"/>
      <c r="AO38" s="547"/>
      <c r="AP38" s="548"/>
      <c r="AQ38" s="548"/>
      <c r="AR38" s="547"/>
      <c r="AS38" s="639"/>
      <c r="AT38" s="547"/>
      <c r="AU38" s="548"/>
      <c r="AV38" s="548"/>
      <c r="AW38" s="547"/>
      <c r="AX38" s="639"/>
      <c r="AZ38" s="368" t="e">
        <f t="shared" si="22"/>
        <v>#N/A</v>
      </c>
      <c r="BA38" s="639"/>
    </row>
    <row r="39" spans="2:53">
      <c r="B39" s="649"/>
      <c r="C39" s="380">
        <v>13</v>
      </c>
      <c r="D39" s="225"/>
      <c r="E39" s="565"/>
      <c r="F39" s="563"/>
      <c r="G39" s="564"/>
      <c r="H39" s="657"/>
      <c r="I39" s="381" t="str">
        <f t="shared" si="19"/>
        <v>-</v>
      </c>
      <c r="J39" s="381" t="str">
        <f t="shared" si="20"/>
        <v>-</v>
      </c>
      <c r="K39" s="199" t="str">
        <f t="shared" si="21"/>
        <v>-</v>
      </c>
      <c r="L39" s="659"/>
      <c r="M39" s="387" t="e">
        <f>RANK(K39, K$24:$K$41)</f>
        <v>#VALUE!</v>
      </c>
      <c r="N39" s="643"/>
      <c r="O39" s="643"/>
      <c r="P39" s="547"/>
      <c r="Q39" s="548"/>
      <c r="R39" s="548"/>
      <c r="S39" s="547"/>
      <c r="T39" s="639"/>
      <c r="U39" s="547"/>
      <c r="V39" s="548"/>
      <c r="W39" s="548"/>
      <c r="X39" s="547"/>
      <c r="Y39" s="639"/>
      <c r="Z39" s="547"/>
      <c r="AA39" s="548"/>
      <c r="AB39" s="548"/>
      <c r="AC39" s="547"/>
      <c r="AD39" s="639"/>
      <c r="AE39" s="547"/>
      <c r="AF39" s="548"/>
      <c r="AG39" s="548"/>
      <c r="AH39" s="547"/>
      <c r="AI39" s="639"/>
      <c r="AJ39" s="547"/>
      <c r="AK39" s="548"/>
      <c r="AL39" s="548"/>
      <c r="AM39" s="547"/>
      <c r="AN39" s="639"/>
      <c r="AO39" s="547"/>
      <c r="AP39" s="548"/>
      <c r="AQ39" s="548"/>
      <c r="AR39" s="547"/>
      <c r="AS39" s="639"/>
      <c r="AT39" s="547"/>
      <c r="AU39" s="548"/>
      <c r="AV39" s="548"/>
      <c r="AW39" s="547"/>
      <c r="AX39" s="639"/>
      <c r="AZ39" s="368" t="e">
        <f t="shared" si="22"/>
        <v>#N/A</v>
      </c>
      <c r="BA39" s="639"/>
    </row>
    <row r="40" spans="2:53">
      <c r="B40" s="649"/>
      <c r="C40" s="380">
        <v>14</v>
      </c>
      <c r="D40" s="225"/>
      <c r="E40" s="565"/>
      <c r="F40" s="563"/>
      <c r="G40" s="564"/>
      <c r="H40" s="657"/>
      <c r="I40" s="381" t="str">
        <f t="shared" si="19"/>
        <v>-</v>
      </c>
      <c r="J40" s="381" t="str">
        <f t="shared" si="20"/>
        <v>-</v>
      </c>
      <c r="K40" s="199" t="str">
        <f t="shared" si="21"/>
        <v>-</v>
      </c>
      <c r="L40" s="659"/>
      <c r="M40" s="387" t="e">
        <f>RANK(K40, K$24:$K$41)</f>
        <v>#VALUE!</v>
      </c>
      <c r="N40" s="643"/>
      <c r="O40" s="643"/>
      <c r="P40" s="547"/>
      <c r="Q40" s="548"/>
      <c r="R40" s="548"/>
      <c r="S40" s="547"/>
      <c r="T40" s="639"/>
      <c r="U40" s="547"/>
      <c r="V40" s="548"/>
      <c r="W40" s="548"/>
      <c r="X40" s="547"/>
      <c r="Y40" s="639"/>
      <c r="Z40" s="547"/>
      <c r="AA40" s="548"/>
      <c r="AB40" s="548"/>
      <c r="AC40" s="547"/>
      <c r="AD40" s="639"/>
      <c r="AE40" s="547"/>
      <c r="AF40" s="548"/>
      <c r="AG40" s="548"/>
      <c r="AH40" s="547"/>
      <c r="AI40" s="639"/>
      <c r="AJ40" s="547"/>
      <c r="AK40" s="548"/>
      <c r="AL40" s="548"/>
      <c r="AM40" s="547"/>
      <c r="AN40" s="639"/>
      <c r="AO40" s="547"/>
      <c r="AP40" s="548"/>
      <c r="AQ40" s="548"/>
      <c r="AR40" s="547"/>
      <c r="AS40" s="639"/>
      <c r="AT40" s="547"/>
      <c r="AU40" s="548"/>
      <c r="AV40" s="548"/>
      <c r="AW40" s="547"/>
      <c r="AX40" s="639"/>
      <c r="AZ40" s="368" t="e">
        <f t="shared" si="22"/>
        <v>#N/A</v>
      </c>
      <c r="BA40" s="639"/>
    </row>
    <row r="41" spans="2:53">
      <c r="B41" s="649"/>
      <c r="C41" s="380">
        <v>15</v>
      </c>
      <c r="D41" s="225"/>
      <c r="E41" s="565"/>
      <c r="F41" s="563"/>
      <c r="G41" s="564"/>
      <c r="H41" s="714"/>
      <c r="I41" s="380"/>
      <c r="J41" s="380"/>
      <c r="K41" s="380"/>
      <c r="L41" s="660"/>
      <c r="M41" s="387" t="e">
        <f>RANK(K41, K$24:$K$41)</f>
        <v>#N/A</v>
      </c>
      <c r="N41" s="643"/>
      <c r="O41" s="643"/>
      <c r="P41" s="547"/>
      <c r="Q41" s="548"/>
      <c r="R41" s="548"/>
      <c r="S41" s="547"/>
      <c r="T41" s="640"/>
      <c r="U41" s="547"/>
      <c r="V41" s="548"/>
      <c r="W41" s="548"/>
      <c r="X41" s="547"/>
      <c r="Y41" s="640"/>
      <c r="Z41" s="547"/>
      <c r="AA41" s="548"/>
      <c r="AB41" s="548"/>
      <c r="AC41" s="547"/>
      <c r="AD41" s="640"/>
      <c r="AE41" s="547"/>
      <c r="AF41" s="548"/>
      <c r="AG41" s="548"/>
      <c r="AH41" s="547"/>
      <c r="AI41" s="640"/>
      <c r="AJ41" s="547"/>
      <c r="AK41" s="548"/>
      <c r="AL41" s="548"/>
      <c r="AM41" s="547"/>
      <c r="AN41" s="640"/>
      <c r="AO41" s="547"/>
      <c r="AP41" s="548"/>
      <c r="AQ41" s="548"/>
      <c r="AR41" s="547"/>
      <c r="AS41" s="640"/>
      <c r="AT41" s="547"/>
      <c r="AU41" s="548"/>
      <c r="AV41" s="548"/>
      <c r="AW41" s="547"/>
      <c r="AX41" s="640"/>
      <c r="AZ41" s="368" t="e">
        <f t="shared" si="22"/>
        <v>#N/A</v>
      </c>
      <c r="BA41" s="640"/>
    </row>
    <row r="42" spans="2:53" ht="15.75">
      <c r="B42" s="682" t="s">
        <v>162</v>
      </c>
      <c r="C42" s="683"/>
      <c r="D42" s="683"/>
      <c r="E42" s="683"/>
      <c r="F42" s="683"/>
      <c r="G42" s="683"/>
      <c r="H42" s="683"/>
      <c r="I42" s="207"/>
      <c r="J42" s="202"/>
      <c r="K42" s="207"/>
      <c r="L42" s="207"/>
      <c r="M42" s="203"/>
      <c r="N42" s="645" t="s">
        <v>156</v>
      </c>
      <c r="O42" s="645" t="s">
        <v>105</v>
      </c>
      <c r="P42" s="670">
        <f>P22+7</f>
        <v>46280</v>
      </c>
      <c r="Q42" s="649"/>
      <c r="R42" s="649"/>
      <c r="S42" s="649"/>
      <c r="T42" s="649"/>
      <c r="U42" s="667">
        <f>P42+1</f>
        <v>46281</v>
      </c>
      <c r="V42" s="668"/>
      <c r="W42" s="668"/>
      <c r="X42" s="668"/>
      <c r="Y42" s="669"/>
      <c r="Z42" s="667">
        <f>U42+1</f>
        <v>46282</v>
      </c>
      <c r="AA42" s="668"/>
      <c r="AB42" s="668"/>
      <c r="AC42" s="668"/>
      <c r="AD42" s="669"/>
      <c r="AE42" s="667">
        <f>Z42+1</f>
        <v>46283</v>
      </c>
      <c r="AF42" s="668"/>
      <c r="AG42" s="668"/>
      <c r="AH42" s="668"/>
      <c r="AI42" s="669"/>
      <c r="AJ42" s="667">
        <f>AE42+1</f>
        <v>46284</v>
      </c>
      <c r="AK42" s="668"/>
      <c r="AL42" s="668"/>
      <c r="AM42" s="668"/>
      <c r="AN42" s="669"/>
      <c r="AO42" s="667">
        <f>AJ42+1</f>
        <v>46285</v>
      </c>
      <c r="AP42" s="668"/>
      <c r="AQ42" s="668"/>
      <c r="AR42" s="668"/>
      <c r="AS42" s="669"/>
      <c r="AT42" s="667">
        <f>AO42+1</f>
        <v>46286</v>
      </c>
      <c r="AU42" s="668"/>
      <c r="AV42" s="668"/>
      <c r="AW42" s="668"/>
      <c r="AX42" s="669"/>
    </row>
    <row r="43" spans="2:53" ht="15.75">
      <c r="B43" s="674"/>
      <c r="C43" s="674"/>
      <c r="D43" s="674"/>
      <c r="E43" s="674"/>
      <c r="F43" s="674"/>
      <c r="G43" s="674"/>
      <c r="H43" s="674"/>
      <c r="I43" s="204"/>
      <c r="J43" s="204"/>
      <c r="K43" s="204"/>
      <c r="L43" s="204"/>
      <c r="M43" s="205"/>
      <c r="N43" s="647"/>
      <c r="O43" s="647"/>
      <c r="P43" s="670" t="s">
        <v>317</v>
      </c>
      <c r="Q43" s="649"/>
      <c r="R43" s="649"/>
      <c r="S43" s="649"/>
      <c r="T43" s="649"/>
      <c r="U43" s="670" t="s">
        <v>318</v>
      </c>
      <c r="V43" s="649"/>
      <c r="W43" s="649"/>
      <c r="X43" s="649"/>
      <c r="Y43" s="649"/>
      <c r="Z43" s="670" t="s">
        <v>319</v>
      </c>
      <c r="AA43" s="649"/>
      <c r="AB43" s="649"/>
      <c r="AC43" s="649"/>
      <c r="AD43" s="649"/>
      <c r="AE43" s="670" t="s">
        <v>320</v>
      </c>
      <c r="AF43" s="649"/>
      <c r="AG43" s="649"/>
      <c r="AH43" s="649"/>
      <c r="AI43" s="649"/>
      <c r="AJ43" s="670" t="s">
        <v>321</v>
      </c>
      <c r="AK43" s="649"/>
      <c r="AL43" s="649"/>
      <c r="AM43" s="649"/>
      <c r="AN43" s="649"/>
      <c r="AO43" s="670" t="s">
        <v>322</v>
      </c>
      <c r="AP43" s="649"/>
      <c r="AQ43" s="649"/>
      <c r="AR43" s="649"/>
      <c r="AS43" s="649"/>
      <c r="AT43" s="670" t="s">
        <v>323</v>
      </c>
      <c r="AU43" s="649"/>
      <c r="AV43" s="649"/>
      <c r="AW43" s="649"/>
      <c r="AX43" s="649"/>
    </row>
    <row r="44" spans="2:53">
      <c r="B44" s="643" t="s">
        <v>446</v>
      </c>
      <c r="C44" s="643" t="s">
        <v>523</v>
      </c>
      <c r="D44" s="643"/>
      <c r="E44" s="643" t="s">
        <v>524</v>
      </c>
      <c r="F44" s="643"/>
      <c r="G44" s="643"/>
      <c r="H44" s="675" t="s">
        <v>525</v>
      </c>
      <c r="I44" s="643" t="s">
        <v>526</v>
      </c>
      <c r="J44" s="643"/>
      <c r="K44" s="643"/>
      <c r="L44" s="675" t="s">
        <v>359</v>
      </c>
      <c r="M44" s="645" t="s">
        <v>527</v>
      </c>
      <c r="N44" s="643"/>
      <c r="O44" s="643" t="s">
        <v>365</v>
      </c>
      <c r="P44" s="661" t="s">
        <v>361</v>
      </c>
      <c r="Q44" s="662"/>
      <c r="R44" s="662"/>
      <c r="S44" s="663"/>
      <c r="T44" s="643" t="s">
        <v>359</v>
      </c>
      <c r="U44" s="661" t="s">
        <v>361</v>
      </c>
      <c r="V44" s="662"/>
      <c r="W44" s="662"/>
      <c r="X44" s="663"/>
      <c r="Y44" s="643" t="s">
        <v>359</v>
      </c>
      <c r="Z44" s="661" t="s">
        <v>361</v>
      </c>
      <c r="AA44" s="662"/>
      <c r="AB44" s="662"/>
      <c r="AC44" s="663"/>
      <c r="AD44" s="643" t="s">
        <v>359</v>
      </c>
      <c r="AE44" s="661" t="s">
        <v>361</v>
      </c>
      <c r="AF44" s="662"/>
      <c r="AG44" s="662"/>
      <c r="AH44" s="663"/>
      <c r="AI44" s="643" t="s">
        <v>359</v>
      </c>
      <c r="AJ44" s="661" t="s">
        <v>361</v>
      </c>
      <c r="AK44" s="662"/>
      <c r="AL44" s="662"/>
      <c r="AM44" s="663"/>
      <c r="AN44" s="643" t="s">
        <v>359</v>
      </c>
      <c r="AO44" s="661" t="s">
        <v>361</v>
      </c>
      <c r="AP44" s="662"/>
      <c r="AQ44" s="662"/>
      <c r="AR44" s="663"/>
      <c r="AS44" s="643" t="s">
        <v>359</v>
      </c>
      <c r="AT44" s="661" t="s">
        <v>361</v>
      </c>
      <c r="AU44" s="662"/>
      <c r="AV44" s="662"/>
      <c r="AW44" s="663"/>
      <c r="AX44" s="643" t="s">
        <v>359</v>
      </c>
      <c r="BA44" s="643" t="s">
        <v>359</v>
      </c>
    </row>
    <row r="45" spans="2:53">
      <c r="B45" s="643"/>
      <c r="C45" s="643"/>
      <c r="D45" s="643"/>
      <c r="E45" s="643" t="s">
        <v>529</v>
      </c>
      <c r="F45" s="643"/>
      <c r="G45" s="643"/>
      <c r="H45" s="676"/>
      <c r="I45" s="643" t="s">
        <v>529</v>
      </c>
      <c r="J45" s="643"/>
      <c r="K45" s="643"/>
      <c r="L45" s="676"/>
      <c r="M45" s="646"/>
      <c r="N45" s="643"/>
      <c r="O45" s="643"/>
      <c r="P45" s="661" t="s">
        <v>367</v>
      </c>
      <c r="Q45" s="662"/>
      <c r="R45" s="662"/>
      <c r="S45" s="663"/>
      <c r="T45" s="643"/>
      <c r="U45" s="661" t="s">
        <v>367</v>
      </c>
      <c r="V45" s="662"/>
      <c r="W45" s="662"/>
      <c r="X45" s="663"/>
      <c r="Y45" s="643"/>
      <c r="Z45" s="661" t="s">
        <v>367</v>
      </c>
      <c r="AA45" s="662"/>
      <c r="AB45" s="662"/>
      <c r="AC45" s="663"/>
      <c r="AD45" s="643"/>
      <c r="AE45" s="661" t="s">
        <v>367</v>
      </c>
      <c r="AF45" s="662"/>
      <c r="AG45" s="662"/>
      <c r="AH45" s="663"/>
      <c r="AI45" s="643"/>
      <c r="AJ45" s="661" t="s">
        <v>367</v>
      </c>
      <c r="AK45" s="662"/>
      <c r="AL45" s="662"/>
      <c r="AM45" s="663"/>
      <c r="AN45" s="643"/>
      <c r="AO45" s="661" t="s">
        <v>367</v>
      </c>
      <c r="AP45" s="662"/>
      <c r="AQ45" s="662"/>
      <c r="AR45" s="663"/>
      <c r="AS45" s="643"/>
      <c r="AT45" s="661" t="s">
        <v>367</v>
      </c>
      <c r="AU45" s="662"/>
      <c r="AV45" s="662"/>
      <c r="AW45" s="663"/>
      <c r="AX45" s="643"/>
      <c r="BA45" s="643"/>
    </row>
    <row r="46" spans="2:53">
      <c r="B46" s="643"/>
      <c r="C46" s="643"/>
      <c r="D46" s="643"/>
      <c r="E46" s="378" t="s">
        <v>530</v>
      </c>
      <c r="F46" s="378" t="s">
        <v>531</v>
      </c>
      <c r="G46" s="378" t="s">
        <v>532</v>
      </c>
      <c r="H46" s="677"/>
      <c r="I46" s="378" t="s">
        <v>530</v>
      </c>
      <c r="J46" s="378" t="s">
        <v>531</v>
      </c>
      <c r="K46" s="378" t="s">
        <v>532</v>
      </c>
      <c r="L46" s="677"/>
      <c r="M46" s="647"/>
      <c r="N46" s="643"/>
      <c r="O46" s="643"/>
      <c r="P46" s="378" t="s">
        <v>368</v>
      </c>
      <c r="Q46" s="378" t="s">
        <v>369</v>
      </c>
      <c r="R46" s="378" t="s">
        <v>370</v>
      </c>
      <c r="S46" s="378" t="s">
        <v>360</v>
      </c>
      <c r="T46" s="643"/>
      <c r="U46" s="378" t="s">
        <v>368</v>
      </c>
      <c r="V46" s="378" t="s">
        <v>369</v>
      </c>
      <c r="W46" s="378" t="s">
        <v>370</v>
      </c>
      <c r="X46" s="378" t="s">
        <v>360</v>
      </c>
      <c r="Y46" s="643"/>
      <c r="Z46" s="378" t="s">
        <v>368</v>
      </c>
      <c r="AA46" s="378" t="s">
        <v>369</v>
      </c>
      <c r="AB46" s="378" t="s">
        <v>370</v>
      </c>
      <c r="AC46" s="378" t="s">
        <v>360</v>
      </c>
      <c r="AD46" s="643"/>
      <c r="AE46" s="378" t="s">
        <v>368</v>
      </c>
      <c r="AF46" s="378" t="s">
        <v>369</v>
      </c>
      <c r="AG46" s="378" t="s">
        <v>370</v>
      </c>
      <c r="AH46" s="378" t="s">
        <v>360</v>
      </c>
      <c r="AI46" s="643"/>
      <c r="AJ46" s="378" t="s">
        <v>368</v>
      </c>
      <c r="AK46" s="378" t="s">
        <v>369</v>
      </c>
      <c r="AL46" s="378" t="s">
        <v>370</v>
      </c>
      <c r="AM46" s="378" t="s">
        <v>360</v>
      </c>
      <c r="AN46" s="643"/>
      <c r="AO46" s="378" t="s">
        <v>368</v>
      </c>
      <c r="AP46" s="378" t="s">
        <v>369</v>
      </c>
      <c r="AQ46" s="378" t="s">
        <v>370</v>
      </c>
      <c r="AR46" s="378" t="s">
        <v>360</v>
      </c>
      <c r="AS46" s="643"/>
      <c r="AT46" s="378" t="s">
        <v>368</v>
      </c>
      <c r="AU46" s="378" t="s">
        <v>369</v>
      </c>
      <c r="AV46" s="378" t="s">
        <v>370</v>
      </c>
      <c r="AW46" s="378" t="s">
        <v>360</v>
      </c>
      <c r="AX46" s="643"/>
      <c r="AZ46" s="367" t="s">
        <v>551</v>
      </c>
      <c r="BA46" s="643"/>
    </row>
    <row r="47" spans="2:53">
      <c r="B47" s="643" t="s">
        <v>461</v>
      </c>
      <c r="C47" s="380">
        <v>1</v>
      </c>
      <c r="D47" s="225"/>
      <c r="E47" s="565"/>
      <c r="F47" s="563"/>
      <c r="G47" s="564"/>
      <c r="H47" s="656" t="e">
        <f>AVERAGE(G47:G61)</f>
        <v>#DIV/0!</v>
      </c>
      <c r="I47" s="381" t="str">
        <f t="shared" ref="I47:I60" si="24">IFERROR(AVERAGE(P47,U47,Z47,AE47,AJ47,AO47,AT47),"-")</f>
        <v>-</v>
      </c>
      <c r="J47" s="381" t="str">
        <f t="shared" ref="J47:J60" si="25">IFERROR(AVERAGE(Q47,V47,AA47,AF47,AK47,AP47,AU47),"-")</f>
        <v>-</v>
      </c>
      <c r="K47" s="199" t="str">
        <f t="shared" ref="K47:K60" si="26">IFERROR(AVERAGE(R47,W47,AB47,AG47,AL47,AQ47,AV47),"-")</f>
        <v>-</v>
      </c>
      <c r="L47" s="658" t="str">
        <f>IFERROR(AVERAGE(K47:K61),"-")</f>
        <v>-</v>
      </c>
      <c r="M47" s="384" t="e">
        <f>RANK(K47, K$47:$K$61)</f>
        <v>#VALUE!</v>
      </c>
      <c r="N47" s="643"/>
      <c r="O47" s="643"/>
      <c r="P47" s="563"/>
      <c r="Q47" s="565"/>
      <c r="R47" s="565"/>
      <c r="S47" s="563"/>
      <c r="T47" s="638"/>
      <c r="U47" s="563"/>
      <c r="V47" s="565"/>
      <c r="W47" s="565"/>
      <c r="X47" s="563"/>
      <c r="Y47" s="638"/>
      <c r="Z47" s="563"/>
      <c r="AA47" s="565"/>
      <c r="AB47" s="565"/>
      <c r="AC47" s="563"/>
      <c r="AD47" s="638"/>
      <c r="AE47" s="563"/>
      <c r="AF47" s="565"/>
      <c r="AG47" s="565"/>
      <c r="AH47" s="563"/>
      <c r="AI47" s="638"/>
      <c r="AJ47" s="563"/>
      <c r="AK47" s="565"/>
      <c r="AL47" s="565"/>
      <c r="AM47" s="563"/>
      <c r="AN47" s="638"/>
      <c r="AO47" s="563"/>
      <c r="AP47" s="565"/>
      <c r="AQ47" s="565"/>
      <c r="AR47" s="563"/>
      <c r="AS47" s="638"/>
      <c r="AT47" s="563"/>
      <c r="AU47" s="565"/>
      <c r="AV47" s="565"/>
      <c r="AW47" s="563"/>
      <c r="AX47" s="638"/>
      <c r="AZ47" s="368" t="e">
        <f t="shared" ref="AZ47:AZ61" si="27">RANK(AY47, AY$47:AY$61)</f>
        <v>#N/A</v>
      </c>
      <c r="BA47" s="638" t="e">
        <f t="shared" ref="BA47" si="28">AVERAGE(AY47:AY61)</f>
        <v>#DIV/0!</v>
      </c>
    </row>
    <row r="48" spans="2:53">
      <c r="B48" s="649"/>
      <c r="C48" s="380">
        <v>2</v>
      </c>
      <c r="D48" s="225"/>
      <c r="E48" s="565"/>
      <c r="F48" s="563"/>
      <c r="G48" s="564"/>
      <c r="H48" s="657"/>
      <c r="I48" s="381" t="str">
        <f t="shared" si="24"/>
        <v>-</v>
      </c>
      <c r="J48" s="381" t="str">
        <f t="shared" si="25"/>
        <v>-</v>
      </c>
      <c r="K48" s="199" t="str">
        <f t="shared" si="26"/>
        <v>-</v>
      </c>
      <c r="L48" s="659"/>
      <c r="M48" s="418" t="e">
        <f>RANK(K48, K$47:$K$61)</f>
        <v>#VALUE!</v>
      </c>
      <c r="N48" s="643"/>
      <c r="O48" s="643"/>
      <c r="P48" s="563"/>
      <c r="Q48" s="565"/>
      <c r="R48" s="565"/>
      <c r="S48" s="563"/>
      <c r="T48" s="639"/>
      <c r="U48" s="563"/>
      <c r="V48" s="565"/>
      <c r="W48" s="565"/>
      <c r="X48" s="563"/>
      <c r="Y48" s="639"/>
      <c r="Z48" s="563"/>
      <c r="AA48" s="565"/>
      <c r="AB48" s="565"/>
      <c r="AC48" s="563"/>
      <c r="AD48" s="639"/>
      <c r="AE48" s="563"/>
      <c r="AF48" s="565"/>
      <c r="AG48" s="565"/>
      <c r="AH48" s="563"/>
      <c r="AI48" s="639"/>
      <c r="AJ48" s="563"/>
      <c r="AK48" s="565"/>
      <c r="AL48" s="565"/>
      <c r="AM48" s="563"/>
      <c r="AN48" s="639"/>
      <c r="AO48" s="563"/>
      <c r="AP48" s="565"/>
      <c r="AQ48" s="565"/>
      <c r="AR48" s="563"/>
      <c r="AS48" s="639"/>
      <c r="AT48" s="563"/>
      <c r="AU48" s="565"/>
      <c r="AV48" s="565"/>
      <c r="AW48" s="563"/>
      <c r="AX48" s="639"/>
      <c r="AZ48" s="416" t="e">
        <f t="shared" si="27"/>
        <v>#N/A</v>
      </c>
      <c r="BA48" s="639"/>
    </row>
    <row r="49" spans="2:53">
      <c r="B49" s="649"/>
      <c r="C49" s="380">
        <v>3</v>
      </c>
      <c r="D49" s="225"/>
      <c r="E49" s="565"/>
      <c r="F49" s="563"/>
      <c r="G49" s="564"/>
      <c r="H49" s="657"/>
      <c r="I49" s="381" t="str">
        <f t="shared" si="24"/>
        <v>-</v>
      </c>
      <c r="J49" s="381" t="str">
        <f t="shared" si="25"/>
        <v>-</v>
      </c>
      <c r="K49" s="199" t="str">
        <f t="shared" si="26"/>
        <v>-</v>
      </c>
      <c r="L49" s="659"/>
      <c r="M49" s="418" t="e">
        <f>RANK(K49, K$47:$K$61)</f>
        <v>#VALUE!</v>
      </c>
      <c r="N49" s="643"/>
      <c r="O49" s="643"/>
      <c r="P49" s="563"/>
      <c r="Q49" s="565"/>
      <c r="R49" s="565"/>
      <c r="S49" s="563"/>
      <c r="T49" s="639"/>
      <c r="U49" s="563"/>
      <c r="V49" s="565"/>
      <c r="W49" s="565"/>
      <c r="X49" s="563"/>
      <c r="Y49" s="639"/>
      <c r="Z49" s="563"/>
      <c r="AA49" s="565"/>
      <c r="AB49" s="565"/>
      <c r="AC49" s="563"/>
      <c r="AD49" s="639"/>
      <c r="AE49" s="563"/>
      <c r="AF49" s="565"/>
      <c r="AG49" s="565"/>
      <c r="AH49" s="563"/>
      <c r="AI49" s="639"/>
      <c r="AJ49" s="563"/>
      <c r="AK49" s="565"/>
      <c r="AL49" s="565"/>
      <c r="AM49" s="563"/>
      <c r="AN49" s="639"/>
      <c r="AO49" s="563"/>
      <c r="AP49" s="565"/>
      <c r="AQ49" s="565"/>
      <c r="AR49" s="563"/>
      <c r="AS49" s="639"/>
      <c r="AT49" s="563"/>
      <c r="AU49" s="565"/>
      <c r="AV49" s="565"/>
      <c r="AW49" s="563"/>
      <c r="AX49" s="639"/>
      <c r="AZ49" s="416" t="e">
        <f t="shared" si="27"/>
        <v>#N/A</v>
      </c>
      <c r="BA49" s="639"/>
    </row>
    <row r="50" spans="2:53">
      <c r="B50" s="649"/>
      <c r="C50" s="380">
        <v>4</v>
      </c>
      <c r="D50" s="225"/>
      <c r="E50" s="565"/>
      <c r="F50" s="563"/>
      <c r="G50" s="564"/>
      <c r="H50" s="657"/>
      <c r="I50" s="381" t="str">
        <f t="shared" si="24"/>
        <v>-</v>
      </c>
      <c r="J50" s="381" t="str">
        <f t="shared" si="25"/>
        <v>-</v>
      </c>
      <c r="K50" s="199" t="str">
        <f t="shared" si="26"/>
        <v>-</v>
      </c>
      <c r="L50" s="659"/>
      <c r="M50" s="418" t="e">
        <f>RANK(K50, K$47:$K$61)</f>
        <v>#VALUE!</v>
      </c>
      <c r="N50" s="643"/>
      <c r="O50" s="643"/>
      <c r="P50" s="563"/>
      <c r="Q50" s="565"/>
      <c r="R50" s="565"/>
      <c r="S50" s="563"/>
      <c r="T50" s="639"/>
      <c r="U50" s="563"/>
      <c r="V50" s="565"/>
      <c r="W50" s="565"/>
      <c r="X50" s="563"/>
      <c r="Y50" s="639"/>
      <c r="Z50" s="563"/>
      <c r="AA50" s="565"/>
      <c r="AB50" s="565"/>
      <c r="AC50" s="563"/>
      <c r="AD50" s="639"/>
      <c r="AE50" s="563"/>
      <c r="AF50" s="565"/>
      <c r="AG50" s="565"/>
      <c r="AH50" s="563"/>
      <c r="AI50" s="639"/>
      <c r="AJ50" s="563"/>
      <c r="AK50" s="565"/>
      <c r="AL50" s="565"/>
      <c r="AM50" s="563"/>
      <c r="AN50" s="639"/>
      <c r="AO50" s="563"/>
      <c r="AP50" s="565"/>
      <c r="AQ50" s="565"/>
      <c r="AR50" s="563"/>
      <c r="AS50" s="639"/>
      <c r="AT50" s="563"/>
      <c r="AU50" s="565"/>
      <c r="AV50" s="565"/>
      <c r="AW50" s="563"/>
      <c r="AX50" s="639"/>
      <c r="AZ50" s="416" t="e">
        <f t="shared" si="27"/>
        <v>#N/A</v>
      </c>
      <c r="BA50" s="639"/>
    </row>
    <row r="51" spans="2:53">
      <c r="B51" s="649"/>
      <c r="C51" s="380">
        <v>5</v>
      </c>
      <c r="D51" s="225"/>
      <c r="E51" s="565"/>
      <c r="F51" s="563"/>
      <c r="G51" s="564"/>
      <c r="H51" s="657"/>
      <c r="I51" s="381" t="str">
        <f t="shared" si="24"/>
        <v>-</v>
      </c>
      <c r="J51" s="381" t="str">
        <f t="shared" si="25"/>
        <v>-</v>
      </c>
      <c r="K51" s="199" t="str">
        <f t="shared" si="26"/>
        <v>-</v>
      </c>
      <c r="L51" s="659"/>
      <c r="M51" s="418" t="e">
        <f>RANK(K51, K$47:$K$61)</f>
        <v>#VALUE!</v>
      </c>
      <c r="N51" s="643"/>
      <c r="O51" s="643"/>
      <c r="P51" s="563"/>
      <c r="Q51" s="565"/>
      <c r="R51" s="565"/>
      <c r="S51" s="563"/>
      <c r="T51" s="639"/>
      <c r="U51" s="563"/>
      <c r="V51" s="565"/>
      <c r="W51" s="565"/>
      <c r="X51" s="563"/>
      <c r="Y51" s="639"/>
      <c r="Z51" s="563"/>
      <c r="AA51" s="565"/>
      <c r="AB51" s="565"/>
      <c r="AC51" s="563"/>
      <c r="AD51" s="639"/>
      <c r="AE51" s="563"/>
      <c r="AF51" s="565"/>
      <c r="AG51" s="565"/>
      <c r="AH51" s="563"/>
      <c r="AI51" s="639"/>
      <c r="AJ51" s="563"/>
      <c r="AK51" s="565"/>
      <c r="AL51" s="565"/>
      <c r="AM51" s="563"/>
      <c r="AN51" s="639"/>
      <c r="AO51" s="563"/>
      <c r="AP51" s="565"/>
      <c r="AQ51" s="565"/>
      <c r="AR51" s="563"/>
      <c r="AS51" s="639"/>
      <c r="AT51" s="563"/>
      <c r="AU51" s="565"/>
      <c r="AV51" s="565"/>
      <c r="AW51" s="563"/>
      <c r="AX51" s="639"/>
      <c r="AZ51" s="416" t="e">
        <f t="shared" si="27"/>
        <v>#N/A</v>
      </c>
      <c r="BA51" s="639"/>
    </row>
    <row r="52" spans="2:53">
      <c r="B52" s="649"/>
      <c r="C52" s="380">
        <v>6</v>
      </c>
      <c r="D52" s="225"/>
      <c r="E52" s="565"/>
      <c r="F52" s="563"/>
      <c r="G52" s="564"/>
      <c r="H52" s="657"/>
      <c r="I52" s="381" t="str">
        <f t="shared" si="24"/>
        <v>-</v>
      </c>
      <c r="J52" s="381" t="str">
        <f t="shared" si="25"/>
        <v>-</v>
      </c>
      <c r="K52" s="199" t="str">
        <f t="shared" si="26"/>
        <v>-</v>
      </c>
      <c r="L52" s="659"/>
      <c r="M52" s="418" t="e">
        <f>RANK(K52, K$47:$K$61)</f>
        <v>#VALUE!</v>
      </c>
      <c r="N52" s="643"/>
      <c r="O52" s="643"/>
      <c r="P52" s="563"/>
      <c r="Q52" s="565"/>
      <c r="R52" s="565"/>
      <c r="S52" s="563"/>
      <c r="T52" s="639"/>
      <c r="U52" s="563"/>
      <c r="V52" s="565"/>
      <c r="W52" s="565"/>
      <c r="X52" s="563"/>
      <c r="Y52" s="639"/>
      <c r="Z52" s="563"/>
      <c r="AA52" s="565"/>
      <c r="AB52" s="565"/>
      <c r="AC52" s="563"/>
      <c r="AD52" s="639"/>
      <c r="AE52" s="563"/>
      <c r="AF52" s="565"/>
      <c r="AG52" s="565"/>
      <c r="AH52" s="563"/>
      <c r="AI52" s="639"/>
      <c r="AJ52" s="563"/>
      <c r="AK52" s="565"/>
      <c r="AL52" s="565"/>
      <c r="AM52" s="563"/>
      <c r="AN52" s="639"/>
      <c r="AO52" s="563"/>
      <c r="AP52" s="565"/>
      <c r="AQ52" s="565"/>
      <c r="AR52" s="563"/>
      <c r="AS52" s="639"/>
      <c r="AT52" s="563"/>
      <c r="AU52" s="565"/>
      <c r="AV52" s="565"/>
      <c r="AW52" s="563"/>
      <c r="AX52" s="639"/>
      <c r="AZ52" s="416" t="e">
        <f t="shared" si="27"/>
        <v>#N/A</v>
      </c>
      <c r="BA52" s="639"/>
    </row>
    <row r="53" spans="2:53">
      <c r="B53" s="649"/>
      <c r="C53" s="380">
        <v>7</v>
      </c>
      <c r="D53" s="225"/>
      <c r="E53" s="565"/>
      <c r="F53" s="563"/>
      <c r="G53" s="564"/>
      <c r="H53" s="657"/>
      <c r="I53" s="381" t="str">
        <f t="shared" si="24"/>
        <v>-</v>
      </c>
      <c r="J53" s="381" t="str">
        <f t="shared" si="25"/>
        <v>-</v>
      </c>
      <c r="K53" s="199" t="str">
        <f t="shared" si="26"/>
        <v>-</v>
      </c>
      <c r="L53" s="659"/>
      <c r="M53" s="418" t="e">
        <f>RANK(K53, K$47:$K$61)</f>
        <v>#VALUE!</v>
      </c>
      <c r="N53" s="643"/>
      <c r="O53" s="643"/>
      <c r="P53" s="563"/>
      <c r="Q53" s="565"/>
      <c r="R53" s="565"/>
      <c r="S53" s="563"/>
      <c r="T53" s="639"/>
      <c r="U53" s="563"/>
      <c r="V53" s="565"/>
      <c r="W53" s="565"/>
      <c r="X53" s="563"/>
      <c r="Y53" s="639"/>
      <c r="Z53" s="563"/>
      <c r="AA53" s="565"/>
      <c r="AB53" s="565"/>
      <c r="AC53" s="563"/>
      <c r="AD53" s="639"/>
      <c r="AE53" s="563"/>
      <c r="AF53" s="565"/>
      <c r="AG53" s="565"/>
      <c r="AH53" s="563"/>
      <c r="AI53" s="639"/>
      <c r="AJ53" s="563"/>
      <c r="AK53" s="565"/>
      <c r="AL53" s="565"/>
      <c r="AM53" s="563"/>
      <c r="AN53" s="639"/>
      <c r="AO53" s="563"/>
      <c r="AP53" s="565"/>
      <c r="AQ53" s="565"/>
      <c r="AR53" s="563"/>
      <c r="AS53" s="639"/>
      <c r="AT53" s="563"/>
      <c r="AU53" s="565"/>
      <c r="AV53" s="565"/>
      <c r="AW53" s="563"/>
      <c r="AX53" s="639"/>
      <c r="AZ53" s="416" t="e">
        <f t="shared" si="27"/>
        <v>#N/A</v>
      </c>
      <c r="BA53" s="639"/>
    </row>
    <row r="54" spans="2:53">
      <c r="B54" s="649"/>
      <c r="C54" s="380">
        <v>8</v>
      </c>
      <c r="D54" s="225"/>
      <c r="E54" s="565"/>
      <c r="F54" s="563"/>
      <c r="G54" s="564"/>
      <c r="H54" s="657"/>
      <c r="I54" s="381" t="str">
        <f t="shared" si="24"/>
        <v>-</v>
      </c>
      <c r="J54" s="381" t="str">
        <f t="shared" si="25"/>
        <v>-</v>
      </c>
      <c r="K54" s="199" t="str">
        <f t="shared" si="26"/>
        <v>-</v>
      </c>
      <c r="L54" s="659"/>
      <c r="M54" s="418" t="e">
        <f>RANK(K54, K$47:$K$61)</f>
        <v>#VALUE!</v>
      </c>
      <c r="N54" s="643"/>
      <c r="O54" s="643"/>
      <c r="P54" s="563"/>
      <c r="Q54" s="565"/>
      <c r="R54" s="565"/>
      <c r="S54" s="563"/>
      <c r="T54" s="639"/>
      <c r="U54" s="563"/>
      <c r="V54" s="565"/>
      <c r="W54" s="565"/>
      <c r="X54" s="563"/>
      <c r="Y54" s="639"/>
      <c r="Z54" s="563"/>
      <c r="AA54" s="565"/>
      <c r="AB54" s="565"/>
      <c r="AC54" s="563"/>
      <c r="AD54" s="639"/>
      <c r="AE54" s="563"/>
      <c r="AF54" s="565"/>
      <c r="AG54" s="565"/>
      <c r="AH54" s="563"/>
      <c r="AI54" s="639"/>
      <c r="AJ54" s="563"/>
      <c r="AK54" s="565"/>
      <c r="AL54" s="565"/>
      <c r="AM54" s="563"/>
      <c r="AN54" s="639"/>
      <c r="AO54" s="563"/>
      <c r="AP54" s="565"/>
      <c r="AQ54" s="565"/>
      <c r="AR54" s="563"/>
      <c r="AS54" s="639"/>
      <c r="AT54" s="563"/>
      <c r="AU54" s="565"/>
      <c r="AV54" s="565"/>
      <c r="AW54" s="563"/>
      <c r="AX54" s="639"/>
      <c r="AZ54" s="416" t="e">
        <f t="shared" si="27"/>
        <v>#N/A</v>
      </c>
      <c r="BA54" s="639"/>
    </row>
    <row r="55" spans="2:53">
      <c r="B55" s="649"/>
      <c r="C55" s="380">
        <v>9</v>
      </c>
      <c r="D55" s="225"/>
      <c r="E55" s="565"/>
      <c r="F55" s="563"/>
      <c r="G55" s="564"/>
      <c r="H55" s="657"/>
      <c r="I55" s="381" t="str">
        <f t="shared" si="24"/>
        <v>-</v>
      </c>
      <c r="J55" s="381" t="str">
        <f t="shared" si="25"/>
        <v>-</v>
      </c>
      <c r="K55" s="199" t="str">
        <f t="shared" si="26"/>
        <v>-</v>
      </c>
      <c r="L55" s="659"/>
      <c r="M55" s="418" t="e">
        <f>RANK(K55, K$47:$K$61)</f>
        <v>#VALUE!</v>
      </c>
      <c r="N55" s="643"/>
      <c r="O55" s="643"/>
      <c r="P55" s="563"/>
      <c r="Q55" s="565"/>
      <c r="R55" s="565"/>
      <c r="S55" s="563"/>
      <c r="T55" s="639"/>
      <c r="U55" s="563"/>
      <c r="V55" s="565"/>
      <c r="W55" s="565"/>
      <c r="X55" s="563"/>
      <c r="Y55" s="639"/>
      <c r="Z55" s="563"/>
      <c r="AA55" s="565"/>
      <c r="AB55" s="565"/>
      <c r="AC55" s="563"/>
      <c r="AD55" s="639"/>
      <c r="AE55" s="563"/>
      <c r="AF55" s="565"/>
      <c r="AG55" s="565"/>
      <c r="AH55" s="563"/>
      <c r="AI55" s="639"/>
      <c r="AJ55" s="563"/>
      <c r="AK55" s="565"/>
      <c r="AL55" s="565"/>
      <c r="AM55" s="563"/>
      <c r="AN55" s="639"/>
      <c r="AO55" s="563"/>
      <c r="AP55" s="565"/>
      <c r="AQ55" s="565"/>
      <c r="AR55" s="563"/>
      <c r="AS55" s="639"/>
      <c r="AT55" s="563"/>
      <c r="AU55" s="565"/>
      <c r="AV55" s="565"/>
      <c r="AW55" s="563"/>
      <c r="AX55" s="639"/>
      <c r="AZ55" s="416" t="e">
        <f t="shared" si="27"/>
        <v>#N/A</v>
      </c>
      <c r="BA55" s="639"/>
    </row>
    <row r="56" spans="2:53">
      <c r="B56" s="649"/>
      <c r="C56" s="380">
        <v>10</v>
      </c>
      <c r="D56" s="225"/>
      <c r="E56" s="565"/>
      <c r="F56" s="563"/>
      <c r="G56" s="564"/>
      <c r="H56" s="657"/>
      <c r="I56" s="381" t="str">
        <f t="shared" si="24"/>
        <v>-</v>
      </c>
      <c r="J56" s="381" t="str">
        <f t="shared" si="25"/>
        <v>-</v>
      </c>
      <c r="K56" s="199" t="str">
        <f t="shared" si="26"/>
        <v>-</v>
      </c>
      <c r="L56" s="659"/>
      <c r="M56" s="418" t="e">
        <f>RANK(K56, K$47:$K$61)</f>
        <v>#VALUE!</v>
      </c>
      <c r="N56" s="643"/>
      <c r="O56" s="643"/>
      <c r="P56" s="563"/>
      <c r="Q56" s="565"/>
      <c r="R56" s="565"/>
      <c r="S56" s="563"/>
      <c r="T56" s="639"/>
      <c r="U56" s="563"/>
      <c r="V56" s="565"/>
      <c r="W56" s="565"/>
      <c r="X56" s="563"/>
      <c r="Y56" s="639"/>
      <c r="Z56" s="563"/>
      <c r="AA56" s="565"/>
      <c r="AB56" s="565"/>
      <c r="AC56" s="563"/>
      <c r="AD56" s="639"/>
      <c r="AE56" s="563"/>
      <c r="AF56" s="565"/>
      <c r="AG56" s="565"/>
      <c r="AH56" s="563"/>
      <c r="AI56" s="639"/>
      <c r="AJ56" s="563"/>
      <c r="AK56" s="565"/>
      <c r="AL56" s="565"/>
      <c r="AM56" s="563"/>
      <c r="AN56" s="639"/>
      <c r="AO56" s="563"/>
      <c r="AP56" s="565"/>
      <c r="AQ56" s="565"/>
      <c r="AR56" s="563"/>
      <c r="AS56" s="639"/>
      <c r="AT56" s="563"/>
      <c r="AU56" s="565"/>
      <c r="AV56" s="565"/>
      <c r="AW56" s="563"/>
      <c r="AX56" s="639"/>
      <c r="AZ56" s="416" t="e">
        <f t="shared" si="27"/>
        <v>#N/A</v>
      </c>
      <c r="BA56" s="639"/>
    </row>
    <row r="57" spans="2:53">
      <c r="B57" s="649"/>
      <c r="C57" s="380">
        <v>11</v>
      </c>
      <c r="D57" s="225"/>
      <c r="E57" s="565"/>
      <c r="F57" s="563"/>
      <c r="G57" s="564"/>
      <c r="H57" s="657"/>
      <c r="I57" s="381" t="str">
        <f t="shared" si="24"/>
        <v>-</v>
      </c>
      <c r="J57" s="381" t="str">
        <f t="shared" si="25"/>
        <v>-</v>
      </c>
      <c r="K57" s="199" t="str">
        <f t="shared" si="26"/>
        <v>-</v>
      </c>
      <c r="L57" s="659"/>
      <c r="M57" s="418" t="e">
        <f>RANK(K57, K$47:$K$61)</f>
        <v>#VALUE!</v>
      </c>
      <c r="N57" s="643"/>
      <c r="O57" s="643"/>
      <c r="P57" s="563"/>
      <c r="Q57" s="565"/>
      <c r="R57" s="565"/>
      <c r="S57" s="563"/>
      <c r="T57" s="639"/>
      <c r="U57" s="563"/>
      <c r="V57" s="565"/>
      <c r="W57" s="565"/>
      <c r="X57" s="563"/>
      <c r="Y57" s="639"/>
      <c r="Z57" s="563"/>
      <c r="AA57" s="565"/>
      <c r="AB57" s="565"/>
      <c r="AC57" s="563"/>
      <c r="AD57" s="639"/>
      <c r="AE57" s="563"/>
      <c r="AF57" s="565"/>
      <c r="AG57" s="565"/>
      <c r="AH57" s="563"/>
      <c r="AI57" s="639"/>
      <c r="AJ57" s="563"/>
      <c r="AK57" s="565"/>
      <c r="AL57" s="565"/>
      <c r="AM57" s="563"/>
      <c r="AN57" s="639"/>
      <c r="AO57" s="563"/>
      <c r="AP57" s="565"/>
      <c r="AQ57" s="565"/>
      <c r="AR57" s="563"/>
      <c r="AS57" s="639"/>
      <c r="AT57" s="563"/>
      <c r="AU57" s="565"/>
      <c r="AV57" s="565"/>
      <c r="AW57" s="563"/>
      <c r="AX57" s="639"/>
      <c r="AZ57" s="416" t="e">
        <f t="shared" si="27"/>
        <v>#N/A</v>
      </c>
      <c r="BA57" s="639"/>
    </row>
    <row r="58" spans="2:53">
      <c r="B58" s="649"/>
      <c r="C58" s="380">
        <v>12</v>
      </c>
      <c r="D58" s="225"/>
      <c r="E58" s="565"/>
      <c r="F58" s="563"/>
      <c r="G58" s="564"/>
      <c r="H58" s="657"/>
      <c r="I58" s="381" t="str">
        <f t="shared" si="24"/>
        <v>-</v>
      </c>
      <c r="J58" s="381" t="str">
        <f t="shared" si="25"/>
        <v>-</v>
      </c>
      <c r="K58" s="199" t="str">
        <f t="shared" si="26"/>
        <v>-</v>
      </c>
      <c r="L58" s="659"/>
      <c r="M58" s="418" t="e">
        <f>RANK(K58, K$47:$K$61)</f>
        <v>#VALUE!</v>
      </c>
      <c r="N58" s="643"/>
      <c r="O58" s="643"/>
      <c r="P58" s="563"/>
      <c r="Q58" s="565"/>
      <c r="R58" s="565"/>
      <c r="S58" s="563"/>
      <c r="T58" s="639"/>
      <c r="U58" s="563"/>
      <c r="V58" s="565"/>
      <c r="W58" s="565"/>
      <c r="X58" s="563"/>
      <c r="Y58" s="639"/>
      <c r="Z58" s="563"/>
      <c r="AA58" s="565"/>
      <c r="AB58" s="565"/>
      <c r="AC58" s="563"/>
      <c r="AD58" s="639"/>
      <c r="AE58" s="563"/>
      <c r="AF58" s="565"/>
      <c r="AG58" s="565"/>
      <c r="AH58" s="563"/>
      <c r="AI58" s="639"/>
      <c r="AJ58" s="563"/>
      <c r="AK58" s="565"/>
      <c r="AL58" s="565"/>
      <c r="AM58" s="563"/>
      <c r="AN58" s="639"/>
      <c r="AO58" s="563"/>
      <c r="AP58" s="565"/>
      <c r="AQ58" s="565"/>
      <c r="AR58" s="563"/>
      <c r="AS58" s="639"/>
      <c r="AT58" s="563"/>
      <c r="AU58" s="565"/>
      <c r="AV58" s="565"/>
      <c r="AW58" s="563"/>
      <c r="AX58" s="639"/>
      <c r="AZ58" s="416" t="e">
        <f t="shared" si="27"/>
        <v>#N/A</v>
      </c>
      <c r="BA58" s="639"/>
    </row>
    <row r="59" spans="2:53">
      <c r="B59" s="649"/>
      <c r="C59" s="380">
        <v>13</v>
      </c>
      <c r="D59" s="225"/>
      <c r="E59" s="565"/>
      <c r="F59" s="563"/>
      <c r="G59" s="564"/>
      <c r="H59" s="657"/>
      <c r="I59" s="381" t="str">
        <f t="shared" si="24"/>
        <v>-</v>
      </c>
      <c r="J59" s="381" t="str">
        <f t="shared" si="25"/>
        <v>-</v>
      </c>
      <c r="K59" s="199" t="str">
        <f t="shared" si="26"/>
        <v>-</v>
      </c>
      <c r="L59" s="659"/>
      <c r="M59" s="418" t="e">
        <f>RANK(K59, K$47:$K$61)</f>
        <v>#VALUE!</v>
      </c>
      <c r="N59" s="643"/>
      <c r="O59" s="643"/>
      <c r="P59" s="563"/>
      <c r="Q59" s="565"/>
      <c r="R59" s="565"/>
      <c r="S59" s="563"/>
      <c r="T59" s="639"/>
      <c r="U59" s="563"/>
      <c r="V59" s="565"/>
      <c r="W59" s="565"/>
      <c r="X59" s="563"/>
      <c r="Y59" s="639"/>
      <c r="Z59" s="563"/>
      <c r="AA59" s="565"/>
      <c r="AB59" s="565"/>
      <c r="AC59" s="563"/>
      <c r="AD59" s="639"/>
      <c r="AE59" s="563"/>
      <c r="AF59" s="565"/>
      <c r="AG59" s="565"/>
      <c r="AH59" s="563"/>
      <c r="AI59" s="639"/>
      <c r="AJ59" s="563"/>
      <c r="AK59" s="565"/>
      <c r="AL59" s="565"/>
      <c r="AM59" s="563"/>
      <c r="AN59" s="639"/>
      <c r="AO59" s="563"/>
      <c r="AP59" s="565"/>
      <c r="AQ59" s="565"/>
      <c r="AR59" s="563"/>
      <c r="AS59" s="639"/>
      <c r="AT59" s="563"/>
      <c r="AU59" s="565"/>
      <c r="AV59" s="565"/>
      <c r="AW59" s="563"/>
      <c r="AX59" s="639"/>
      <c r="AZ59" s="416" t="e">
        <f t="shared" si="27"/>
        <v>#N/A</v>
      </c>
      <c r="BA59" s="639"/>
    </row>
    <row r="60" spans="2:53">
      <c r="B60" s="649"/>
      <c r="C60" s="380">
        <v>14</v>
      </c>
      <c r="D60" s="225"/>
      <c r="E60" s="565"/>
      <c r="F60" s="563"/>
      <c r="G60" s="564"/>
      <c r="H60" s="657"/>
      <c r="I60" s="381" t="str">
        <f t="shared" si="24"/>
        <v>-</v>
      </c>
      <c r="J60" s="381" t="str">
        <f t="shared" si="25"/>
        <v>-</v>
      </c>
      <c r="K60" s="199" t="str">
        <f t="shared" si="26"/>
        <v>-</v>
      </c>
      <c r="L60" s="659"/>
      <c r="M60" s="418" t="e">
        <f>RANK(K60, K$47:$K$61)</f>
        <v>#VALUE!</v>
      </c>
      <c r="N60" s="643"/>
      <c r="O60" s="643"/>
      <c r="P60" s="563"/>
      <c r="Q60" s="565"/>
      <c r="R60" s="565"/>
      <c r="S60" s="563"/>
      <c r="T60" s="639"/>
      <c r="U60" s="563"/>
      <c r="V60" s="565"/>
      <c r="W60" s="565"/>
      <c r="X60" s="563"/>
      <c r="Y60" s="639"/>
      <c r="Z60" s="563"/>
      <c r="AA60" s="565"/>
      <c r="AB60" s="565"/>
      <c r="AC60" s="563"/>
      <c r="AD60" s="639"/>
      <c r="AE60" s="563"/>
      <c r="AF60" s="565"/>
      <c r="AG60" s="565"/>
      <c r="AH60" s="563"/>
      <c r="AI60" s="639"/>
      <c r="AJ60" s="563"/>
      <c r="AK60" s="565"/>
      <c r="AL60" s="565"/>
      <c r="AM60" s="563"/>
      <c r="AN60" s="639"/>
      <c r="AO60" s="563"/>
      <c r="AP60" s="565"/>
      <c r="AQ60" s="565"/>
      <c r="AR60" s="563"/>
      <c r="AS60" s="639"/>
      <c r="AT60" s="563"/>
      <c r="AU60" s="565"/>
      <c r="AV60" s="565"/>
      <c r="AW60" s="563"/>
      <c r="AX60" s="639"/>
      <c r="AZ60" s="416" t="e">
        <f t="shared" si="27"/>
        <v>#N/A</v>
      </c>
      <c r="BA60" s="639"/>
    </row>
    <row r="61" spans="2:53">
      <c r="B61" s="649"/>
      <c r="C61" s="380">
        <v>15</v>
      </c>
      <c r="D61" s="225"/>
      <c r="E61" s="565"/>
      <c r="F61" s="563"/>
      <c r="G61" s="564"/>
      <c r="H61" s="714"/>
      <c r="I61" s="380"/>
      <c r="J61" s="380"/>
      <c r="K61" s="380"/>
      <c r="L61" s="660"/>
      <c r="M61" s="418" t="e">
        <f>RANK(K61, K$47:$K$61)</f>
        <v>#N/A</v>
      </c>
      <c r="N61" s="643"/>
      <c r="O61" s="643"/>
      <c r="P61" s="563"/>
      <c r="Q61" s="565"/>
      <c r="R61" s="565"/>
      <c r="S61" s="563"/>
      <c r="T61" s="640"/>
      <c r="U61" s="563"/>
      <c r="V61" s="565"/>
      <c r="W61" s="565"/>
      <c r="X61" s="563"/>
      <c r="Y61" s="640"/>
      <c r="Z61" s="563"/>
      <c r="AA61" s="565"/>
      <c r="AB61" s="565"/>
      <c r="AC61" s="563"/>
      <c r="AD61" s="640"/>
      <c r="AE61" s="563"/>
      <c r="AF61" s="565"/>
      <c r="AG61" s="565"/>
      <c r="AH61" s="563"/>
      <c r="AI61" s="640"/>
      <c r="AJ61" s="563"/>
      <c r="AK61" s="565"/>
      <c r="AL61" s="565"/>
      <c r="AM61" s="563"/>
      <c r="AN61" s="640"/>
      <c r="AO61" s="563"/>
      <c r="AP61" s="565"/>
      <c r="AQ61" s="565"/>
      <c r="AR61" s="563"/>
      <c r="AS61" s="640"/>
      <c r="AT61" s="563"/>
      <c r="AU61" s="565"/>
      <c r="AV61" s="565"/>
      <c r="AW61" s="563"/>
      <c r="AX61" s="640"/>
      <c r="AZ61" s="416" t="e">
        <f t="shared" si="27"/>
        <v>#N/A</v>
      </c>
      <c r="BA61" s="640"/>
    </row>
    <row r="62" spans="2:53" ht="15.75">
      <c r="B62" s="671" t="s">
        <v>162</v>
      </c>
      <c r="C62" s="672"/>
      <c r="D62" s="672"/>
      <c r="E62" s="672"/>
      <c r="F62" s="672"/>
      <c r="G62" s="672"/>
      <c r="H62" s="673"/>
      <c r="I62" s="207"/>
      <c r="J62" s="207"/>
      <c r="K62" s="207"/>
      <c r="L62" s="207"/>
      <c r="M62" s="206"/>
      <c r="N62" s="645" t="s">
        <v>156</v>
      </c>
      <c r="O62" s="645" t="s">
        <v>105</v>
      </c>
      <c r="P62" s="670">
        <f>P42+7</f>
        <v>46287</v>
      </c>
      <c r="Q62" s="649"/>
      <c r="R62" s="649"/>
      <c r="S62" s="649"/>
      <c r="T62" s="649"/>
      <c r="U62" s="667">
        <f>P62+1</f>
        <v>46288</v>
      </c>
      <c r="V62" s="668"/>
      <c r="W62" s="668"/>
      <c r="X62" s="668"/>
      <c r="Y62" s="669"/>
      <c r="Z62" s="667">
        <f>U62+1</f>
        <v>46289</v>
      </c>
      <c r="AA62" s="668"/>
      <c r="AB62" s="668"/>
      <c r="AC62" s="668"/>
      <c r="AD62" s="669"/>
      <c r="AE62" s="667">
        <f>Z62+1</f>
        <v>46290</v>
      </c>
      <c r="AF62" s="668"/>
      <c r="AG62" s="668"/>
      <c r="AH62" s="668"/>
      <c r="AI62" s="669"/>
      <c r="AJ62" s="667">
        <f>AE62+1</f>
        <v>46291</v>
      </c>
      <c r="AK62" s="668"/>
      <c r="AL62" s="668"/>
      <c r="AM62" s="668"/>
      <c r="AN62" s="669"/>
      <c r="AO62" s="667">
        <f>AJ62+1</f>
        <v>46292</v>
      </c>
      <c r="AP62" s="668"/>
      <c r="AQ62" s="668"/>
      <c r="AR62" s="668"/>
      <c r="AS62" s="669"/>
      <c r="AT62" s="667">
        <f>AO62+1</f>
        <v>46293</v>
      </c>
      <c r="AU62" s="668"/>
      <c r="AV62" s="668"/>
      <c r="AW62" s="668"/>
      <c r="AX62" s="669"/>
    </row>
    <row r="63" spans="2:53" ht="15.75">
      <c r="B63" s="674"/>
      <c r="C63" s="674"/>
      <c r="D63" s="674"/>
      <c r="E63" s="674"/>
      <c r="F63" s="674"/>
      <c r="G63" s="674"/>
      <c r="H63" s="674"/>
      <c r="I63" s="204"/>
      <c r="J63" s="204"/>
      <c r="K63" s="204"/>
      <c r="L63" s="204"/>
      <c r="M63" s="205"/>
      <c r="N63" s="647"/>
      <c r="O63" s="647"/>
      <c r="P63" s="670" t="s">
        <v>317</v>
      </c>
      <c r="Q63" s="649"/>
      <c r="R63" s="649"/>
      <c r="S63" s="649"/>
      <c r="T63" s="649"/>
      <c r="U63" s="670" t="s">
        <v>318</v>
      </c>
      <c r="V63" s="649"/>
      <c r="W63" s="649"/>
      <c r="X63" s="649"/>
      <c r="Y63" s="649"/>
      <c r="Z63" s="670" t="s">
        <v>319</v>
      </c>
      <c r="AA63" s="649"/>
      <c r="AB63" s="649"/>
      <c r="AC63" s="649"/>
      <c r="AD63" s="649"/>
      <c r="AE63" s="670" t="s">
        <v>320</v>
      </c>
      <c r="AF63" s="649"/>
      <c r="AG63" s="649"/>
      <c r="AH63" s="649"/>
      <c r="AI63" s="649"/>
      <c r="AJ63" s="670" t="s">
        <v>321</v>
      </c>
      <c r="AK63" s="649"/>
      <c r="AL63" s="649"/>
      <c r="AM63" s="649"/>
      <c r="AN63" s="649"/>
      <c r="AO63" s="670" t="s">
        <v>322</v>
      </c>
      <c r="AP63" s="649"/>
      <c r="AQ63" s="649"/>
      <c r="AR63" s="649"/>
      <c r="AS63" s="649"/>
      <c r="AT63" s="670" t="s">
        <v>323</v>
      </c>
      <c r="AU63" s="649"/>
      <c r="AV63" s="649"/>
      <c r="AW63" s="649"/>
      <c r="AX63" s="649"/>
    </row>
    <row r="64" spans="2:53">
      <c r="B64" s="643" t="s">
        <v>400</v>
      </c>
      <c r="C64" s="643" t="s">
        <v>523</v>
      </c>
      <c r="D64" s="643"/>
      <c r="E64" s="643" t="s">
        <v>524</v>
      </c>
      <c r="F64" s="643"/>
      <c r="G64" s="643"/>
      <c r="H64" s="675" t="s">
        <v>525</v>
      </c>
      <c r="I64" s="643" t="s">
        <v>526</v>
      </c>
      <c r="J64" s="643"/>
      <c r="K64" s="643"/>
      <c r="L64" s="675" t="s">
        <v>359</v>
      </c>
      <c r="M64" s="645" t="s">
        <v>527</v>
      </c>
      <c r="N64" s="643"/>
      <c r="O64" s="643" t="s">
        <v>365</v>
      </c>
      <c r="P64" s="661" t="s">
        <v>361</v>
      </c>
      <c r="Q64" s="662"/>
      <c r="R64" s="662"/>
      <c r="S64" s="663"/>
      <c r="T64" s="643" t="s">
        <v>359</v>
      </c>
      <c r="U64" s="661" t="s">
        <v>361</v>
      </c>
      <c r="V64" s="662"/>
      <c r="W64" s="662"/>
      <c r="X64" s="663"/>
      <c r="Y64" s="643" t="s">
        <v>359</v>
      </c>
      <c r="Z64" s="661" t="s">
        <v>361</v>
      </c>
      <c r="AA64" s="662"/>
      <c r="AB64" s="662"/>
      <c r="AC64" s="663"/>
      <c r="AD64" s="643" t="s">
        <v>359</v>
      </c>
      <c r="AE64" s="661" t="s">
        <v>361</v>
      </c>
      <c r="AF64" s="662"/>
      <c r="AG64" s="662"/>
      <c r="AH64" s="663"/>
      <c r="AI64" s="643" t="s">
        <v>359</v>
      </c>
      <c r="AJ64" s="661" t="s">
        <v>361</v>
      </c>
      <c r="AK64" s="662"/>
      <c r="AL64" s="662"/>
      <c r="AM64" s="663"/>
      <c r="AN64" s="643" t="s">
        <v>359</v>
      </c>
      <c r="AO64" s="661" t="s">
        <v>361</v>
      </c>
      <c r="AP64" s="662"/>
      <c r="AQ64" s="662"/>
      <c r="AR64" s="663"/>
      <c r="AS64" s="643" t="s">
        <v>359</v>
      </c>
      <c r="AT64" s="661" t="s">
        <v>361</v>
      </c>
      <c r="AU64" s="662"/>
      <c r="AV64" s="662"/>
      <c r="AW64" s="663"/>
      <c r="AX64" s="643" t="s">
        <v>359</v>
      </c>
      <c r="BA64" s="643" t="s">
        <v>359</v>
      </c>
    </row>
    <row r="65" spans="2:53">
      <c r="B65" s="643"/>
      <c r="C65" s="643"/>
      <c r="D65" s="643"/>
      <c r="E65" s="643" t="s">
        <v>529</v>
      </c>
      <c r="F65" s="643"/>
      <c r="G65" s="643"/>
      <c r="H65" s="676"/>
      <c r="I65" s="643" t="s">
        <v>529</v>
      </c>
      <c r="J65" s="643"/>
      <c r="K65" s="643"/>
      <c r="L65" s="676"/>
      <c r="M65" s="646"/>
      <c r="N65" s="643"/>
      <c r="O65" s="643"/>
      <c r="P65" s="661" t="s">
        <v>367</v>
      </c>
      <c r="Q65" s="662"/>
      <c r="R65" s="662"/>
      <c r="S65" s="663"/>
      <c r="T65" s="643"/>
      <c r="U65" s="661" t="s">
        <v>367</v>
      </c>
      <c r="V65" s="662"/>
      <c r="W65" s="662"/>
      <c r="X65" s="663"/>
      <c r="Y65" s="643"/>
      <c r="Z65" s="661" t="s">
        <v>367</v>
      </c>
      <c r="AA65" s="662"/>
      <c r="AB65" s="662"/>
      <c r="AC65" s="663"/>
      <c r="AD65" s="643"/>
      <c r="AE65" s="661" t="s">
        <v>367</v>
      </c>
      <c r="AF65" s="662"/>
      <c r="AG65" s="662"/>
      <c r="AH65" s="663"/>
      <c r="AI65" s="643"/>
      <c r="AJ65" s="661" t="s">
        <v>367</v>
      </c>
      <c r="AK65" s="662"/>
      <c r="AL65" s="662"/>
      <c r="AM65" s="663"/>
      <c r="AN65" s="643"/>
      <c r="AO65" s="661" t="s">
        <v>367</v>
      </c>
      <c r="AP65" s="662"/>
      <c r="AQ65" s="662"/>
      <c r="AR65" s="663"/>
      <c r="AS65" s="643"/>
      <c r="AT65" s="661" t="s">
        <v>367</v>
      </c>
      <c r="AU65" s="662"/>
      <c r="AV65" s="662"/>
      <c r="AW65" s="663"/>
      <c r="AX65" s="643"/>
      <c r="BA65" s="643"/>
    </row>
    <row r="66" spans="2:53">
      <c r="B66" s="643"/>
      <c r="C66" s="643"/>
      <c r="D66" s="643"/>
      <c r="E66" s="378" t="s">
        <v>530</v>
      </c>
      <c r="F66" s="378" t="s">
        <v>531</v>
      </c>
      <c r="G66" s="378" t="s">
        <v>532</v>
      </c>
      <c r="H66" s="677"/>
      <c r="I66" s="378" t="s">
        <v>530</v>
      </c>
      <c r="J66" s="378" t="s">
        <v>531</v>
      </c>
      <c r="K66" s="378" t="s">
        <v>532</v>
      </c>
      <c r="L66" s="677"/>
      <c r="M66" s="647"/>
      <c r="N66" s="643"/>
      <c r="O66" s="643"/>
      <c r="P66" s="378" t="s">
        <v>368</v>
      </c>
      <c r="Q66" s="378" t="s">
        <v>369</v>
      </c>
      <c r="R66" s="378" t="s">
        <v>370</v>
      </c>
      <c r="S66" s="378" t="s">
        <v>360</v>
      </c>
      <c r="T66" s="643"/>
      <c r="U66" s="378" t="s">
        <v>368</v>
      </c>
      <c r="V66" s="378" t="s">
        <v>369</v>
      </c>
      <c r="W66" s="378" t="s">
        <v>370</v>
      </c>
      <c r="X66" s="378" t="s">
        <v>360</v>
      </c>
      <c r="Y66" s="643"/>
      <c r="Z66" s="378" t="s">
        <v>368</v>
      </c>
      <c r="AA66" s="378" t="s">
        <v>369</v>
      </c>
      <c r="AB66" s="378" t="s">
        <v>370</v>
      </c>
      <c r="AC66" s="378" t="s">
        <v>360</v>
      </c>
      <c r="AD66" s="643"/>
      <c r="AE66" s="378" t="s">
        <v>368</v>
      </c>
      <c r="AF66" s="378" t="s">
        <v>369</v>
      </c>
      <c r="AG66" s="378" t="s">
        <v>370</v>
      </c>
      <c r="AH66" s="378" t="s">
        <v>360</v>
      </c>
      <c r="AI66" s="643"/>
      <c r="AJ66" s="378" t="s">
        <v>368</v>
      </c>
      <c r="AK66" s="378" t="s">
        <v>369</v>
      </c>
      <c r="AL66" s="378" t="s">
        <v>370</v>
      </c>
      <c r="AM66" s="378" t="s">
        <v>360</v>
      </c>
      <c r="AN66" s="643"/>
      <c r="AO66" s="378" t="s">
        <v>368</v>
      </c>
      <c r="AP66" s="378" t="s">
        <v>369</v>
      </c>
      <c r="AQ66" s="378" t="s">
        <v>370</v>
      </c>
      <c r="AR66" s="378" t="s">
        <v>360</v>
      </c>
      <c r="AS66" s="643"/>
      <c r="AT66" s="378" t="s">
        <v>368</v>
      </c>
      <c r="AU66" s="378" t="s">
        <v>369</v>
      </c>
      <c r="AV66" s="378" t="s">
        <v>370</v>
      </c>
      <c r="AW66" s="378" t="s">
        <v>360</v>
      </c>
      <c r="AX66" s="643"/>
      <c r="AZ66" s="367" t="s">
        <v>360</v>
      </c>
      <c r="BA66" s="643"/>
    </row>
    <row r="67" spans="2:53">
      <c r="B67" s="643" t="s">
        <v>415</v>
      </c>
      <c r="C67" s="380">
        <v>1</v>
      </c>
      <c r="D67" s="225"/>
      <c r="E67" s="565"/>
      <c r="F67" s="563"/>
      <c r="G67" s="564"/>
      <c r="H67" s="656" t="e">
        <f>AVERAGE(G67:G81)</f>
        <v>#DIV/0!</v>
      </c>
      <c r="I67" s="381" t="str">
        <f t="shared" ref="I67:I80" si="29">IFERROR(AVERAGE(P67,U67,Z67,AE67,AJ67,AO67,AT67),"-")</f>
        <v>-</v>
      </c>
      <c r="J67" s="381" t="str">
        <f t="shared" ref="J67:J80" si="30">IFERROR(AVERAGE(Q67,V67,AA67,AF67,AK67,AP67,AU67),"-")</f>
        <v>-</v>
      </c>
      <c r="K67" s="199" t="str">
        <f t="shared" ref="K67:K80" si="31">IFERROR(AVERAGE(R67,W67,AB67,AG67,AL67,AQ67,AV67),"-")</f>
        <v>-</v>
      </c>
      <c r="L67" s="658" t="str">
        <f>IFERROR(AVERAGE(K67:K81),"-")</f>
        <v>-</v>
      </c>
      <c r="M67" s="384" t="e">
        <f>RANK(K67, K$67:$K$81)</f>
        <v>#VALUE!</v>
      </c>
      <c r="N67" s="643"/>
      <c r="O67" s="643"/>
      <c r="P67" s="563"/>
      <c r="Q67" s="565"/>
      <c r="R67" s="565"/>
      <c r="S67" s="563"/>
      <c r="T67" s="638"/>
      <c r="U67" s="563"/>
      <c r="V67" s="565"/>
      <c r="W67" s="565"/>
      <c r="X67" s="563"/>
      <c r="Y67" s="638"/>
      <c r="Z67" s="563"/>
      <c r="AA67" s="565"/>
      <c r="AB67" s="565"/>
      <c r="AC67" s="563"/>
      <c r="AD67" s="638"/>
      <c r="AE67" s="563"/>
      <c r="AF67" s="565"/>
      <c r="AG67" s="565"/>
      <c r="AH67" s="563"/>
      <c r="AI67" s="638"/>
      <c r="AJ67" s="563"/>
      <c r="AK67" s="565"/>
      <c r="AL67" s="565"/>
      <c r="AM67" s="563"/>
      <c r="AN67" s="638"/>
      <c r="AO67" s="563"/>
      <c r="AP67" s="565"/>
      <c r="AQ67" s="565"/>
      <c r="AR67" s="563"/>
      <c r="AS67" s="638"/>
      <c r="AT67" s="563"/>
      <c r="AU67" s="565"/>
      <c r="AV67" s="565"/>
      <c r="AW67" s="563"/>
      <c r="AX67" s="638"/>
      <c r="AZ67" s="368" t="e">
        <f t="shared" ref="AZ67:AZ81" si="32">RANK(AY67, AY$67:AY$81)</f>
        <v>#N/A</v>
      </c>
      <c r="BA67" s="638" t="e">
        <f t="shared" ref="BA67" si="33">AVERAGE(AY67:AY81)</f>
        <v>#DIV/0!</v>
      </c>
    </row>
    <row r="68" spans="2:53">
      <c r="B68" s="649"/>
      <c r="C68" s="380">
        <v>2</v>
      </c>
      <c r="D68" s="225"/>
      <c r="E68" s="565"/>
      <c r="F68" s="563"/>
      <c r="G68" s="564"/>
      <c r="H68" s="657"/>
      <c r="I68" s="381" t="str">
        <f t="shared" si="29"/>
        <v>-</v>
      </c>
      <c r="J68" s="381" t="str">
        <f t="shared" si="30"/>
        <v>-</v>
      </c>
      <c r="K68" s="199" t="str">
        <f t="shared" si="31"/>
        <v>-</v>
      </c>
      <c r="L68" s="659"/>
      <c r="M68" s="384" t="e">
        <f>RANK(K68, K$67:$K$81)</f>
        <v>#VALUE!</v>
      </c>
      <c r="N68" s="643"/>
      <c r="O68" s="643"/>
      <c r="P68" s="563"/>
      <c r="Q68" s="565"/>
      <c r="R68" s="565"/>
      <c r="S68" s="563"/>
      <c r="T68" s="639"/>
      <c r="U68" s="563"/>
      <c r="V68" s="565"/>
      <c r="W68" s="565"/>
      <c r="X68" s="563"/>
      <c r="Y68" s="639"/>
      <c r="Z68" s="563"/>
      <c r="AA68" s="565"/>
      <c r="AB68" s="565"/>
      <c r="AC68" s="563"/>
      <c r="AD68" s="639"/>
      <c r="AE68" s="563"/>
      <c r="AF68" s="565"/>
      <c r="AG68" s="565"/>
      <c r="AH68" s="563"/>
      <c r="AI68" s="639"/>
      <c r="AJ68" s="563"/>
      <c r="AK68" s="565"/>
      <c r="AL68" s="565"/>
      <c r="AM68" s="563"/>
      <c r="AN68" s="639"/>
      <c r="AO68" s="563"/>
      <c r="AP68" s="565"/>
      <c r="AQ68" s="565"/>
      <c r="AR68" s="563"/>
      <c r="AS68" s="639"/>
      <c r="AT68" s="563"/>
      <c r="AU68" s="565"/>
      <c r="AV68" s="565"/>
      <c r="AW68" s="563"/>
      <c r="AX68" s="639"/>
      <c r="AZ68" s="368" t="e">
        <f t="shared" si="32"/>
        <v>#N/A</v>
      </c>
      <c r="BA68" s="639"/>
    </row>
    <row r="69" spans="2:53">
      <c r="B69" s="649"/>
      <c r="C69" s="380">
        <v>3</v>
      </c>
      <c r="D69" s="225"/>
      <c r="E69" s="565"/>
      <c r="F69" s="563"/>
      <c r="G69" s="564"/>
      <c r="H69" s="657"/>
      <c r="I69" s="381" t="str">
        <f t="shared" si="29"/>
        <v>-</v>
      </c>
      <c r="J69" s="381" t="str">
        <f t="shared" si="30"/>
        <v>-</v>
      </c>
      <c r="K69" s="199" t="str">
        <f t="shared" si="31"/>
        <v>-</v>
      </c>
      <c r="L69" s="659"/>
      <c r="M69" s="384" t="e">
        <f>RANK(K69, K$67:$K$81)</f>
        <v>#VALUE!</v>
      </c>
      <c r="N69" s="643"/>
      <c r="O69" s="643"/>
      <c r="P69" s="563"/>
      <c r="Q69" s="565"/>
      <c r="R69" s="565"/>
      <c r="S69" s="563"/>
      <c r="T69" s="639"/>
      <c r="U69" s="563"/>
      <c r="V69" s="565"/>
      <c r="W69" s="565"/>
      <c r="X69" s="563"/>
      <c r="Y69" s="639"/>
      <c r="Z69" s="563"/>
      <c r="AA69" s="565"/>
      <c r="AB69" s="565"/>
      <c r="AC69" s="563"/>
      <c r="AD69" s="639"/>
      <c r="AE69" s="563"/>
      <c r="AF69" s="565"/>
      <c r="AG69" s="565"/>
      <c r="AH69" s="563"/>
      <c r="AI69" s="639"/>
      <c r="AJ69" s="563"/>
      <c r="AK69" s="565"/>
      <c r="AL69" s="565"/>
      <c r="AM69" s="563"/>
      <c r="AN69" s="639"/>
      <c r="AO69" s="563"/>
      <c r="AP69" s="565"/>
      <c r="AQ69" s="565"/>
      <c r="AR69" s="563"/>
      <c r="AS69" s="639"/>
      <c r="AT69" s="563"/>
      <c r="AU69" s="565"/>
      <c r="AV69" s="565"/>
      <c r="AW69" s="563"/>
      <c r="AX69" s="639"/>
      <c r="AZ69" s="368" t="e">
        <f t="shared" si="32"/>
        <v>#N/A</v>
      </c>
      <c r="BA69" s="639"/>
    </row>
    <row r="70" spans="2:53">
      <c r="B70" s="649"/>
      <c r="C70" s="380">
        <v>4</v>
      </c>
      <c r="D70" s="225"/>
      <c r="E70" s="565"/>
      <c r="F70" s="563"/>
      <c r="G70" s="564"/>
      <c r="H70" s="657"/>
      <c r="I70" s="381" t="str">
        <f t="shared" si="29"/>
        <v>-</v>
      </c>
      <c r="J70" s="381" t="str">
        <f t="shared" si="30"/>
        <v>-</v>
      </c>
      <c r="K70" s="199" t="str">
        <f t="shared" si="31"/>
        <v>-</v>
      </c>
      <c r="L70" s="659"/>
      <c r="M70" s="384" t="e">
        <f>RANK(K70, K$67:$K$81)</f>
        <v>#VALUE!</v>
      </c>
      <c r="N70" s="643"/>
      <c r="O70" s="643"/>
      <c r="P70" s="563"/>
      <c r="Q70" s="565"/>
      <c r="R70" s="565"/>
      <c r="S70" s="563"/>
      <c r="T70" s="639"/>
      <c r="U70" s="563"/>
      <c r="V70" s="565"/>
      <c r="W70" s="565"/>
      <c r="X70" s="563"/>
      <c r="Y70" s="639"/>
      <c r="Z70" s="563"/>
      <c r="AA70" s="565"/>
      <c r="AB70" s="565"/>
      <c r="AC70" s="563"/>
      <c r="AD70" s="639"/>
      <c r="AE70" s="563"/>
      <c r="AF70" s="565"/>
      <c r="AG70" s="565"/>
      <c r="AH70" s="563"/>
      <c r="AI70" s="639"/>
      <c r="AJ70" s="563"/>
      <c r="AK70" s="565"/>
      <c r="AL70" s="565"/>
      <c r="AM70" s="563"/>
      <c r="AN70" s="639"/>
      <c r="AO70" s="563"/>
      <c r="AP70" s="565"/>
      <c r="AQ70" s="565"/>
      <c r="AR70" s="563"/>
      <c r="AS70" s="639"/>
      <c r="AT70" s="563"/>
      <c r="AU70" s="565"/>
      <c r="AV70" s="565"/>
      <c r="AW70" s="563"/>
      <c r="AX70" s="639"/>
      <c r="AZ70" s="368" t="e">
        <f t="shared" si="32"/>
        <v>#N/A</v>
      </c>
      <c r="BA70" s="639"/>
    </row>
    <row r="71" spans="2:53">
      <c r="B71" s="649"/>
      <c r="C71" s="380">
        <v>5</v>
      </c>
      <c r="D71" s="225"/>
      <c r="E71" s="565"/>
      <c r="F71" s="563"/>
      <c r="G71" s="564"/>
      <c r="H71" s="657"/>
      <c r="I71" s="381" t="str">
        <f t="shared" si="29"/>
        <v>-</v>
      </c>
      <c r="J71" s="381" t="str">
        <f t="shared" si="30"/>
        <v>-</v>
      </c>
      <c r="K71" s="199" t="str">
        <f t="shared" si="31"/>
        <v>-</v>
      </c>
      <c r="L71" s="659"/>
      <c r="M71" s="384" t="e">
        <f>RANK(K71, K$67:$K$81)</f>
        <v>#VALUE!</v>
      </c>
      <c r="N71" s="643"/>
      <c r="O71" s="643"/>
      <c r="P71" s="563"/>
      <c r="Q71" s="565"/>
      <c r="R71" s="565"/>
      <c r="S71" s="563"/>
      <c r="T71" s="639"/>
      <c r="U71" s="563"/>
      <c r="V71" s="565"/>
      <c r="W71" s="565"/>
      <c r="X71" s="563"/>
      <c r="Y71" s="639"/>
      <c r="Z71" s="563"/>
      <c r="AA71" s="565"/>
      <c r="AB71" s="565"/>
      <c r="AC71" s="563"/>
      <c r="AD71" s="639"/>
      <c r="AE71" s="563"/>
      <c r="AF71" s="565"/>
      <c r="AG71" s="565"/>
      <c r="AH71" s="563"/>
      <c r="AI71" s="639"/>
      <c r="AJ71" s="563"/>
      <c r="AK71" s="565"/>
      <c r="AL71" s="565"/>
      <c r="AM71" s="563"/>
      <c r="AN71" s="639"/>
      <c r="AO71" s="563"/>
      <c r="AP71" s="565"/>
      <c r="AQ71" s="565"/>
      <c r="AR71" s="563"/>
      <c r="AS71" s="639"/>
      <c r="AT71" s="563"/>
      <c r="AU71" s="565"/>
      <c r="AV71" s="565"/>
      <c r="AW71" s="563"/>
      <c r="AX71" s="639"/>
      <c r="AZ71" s="368" t="e">
        <f t="shared" si="32"/>
        <v>#N/A</v>
      </c>
      <c r="BA71" s="639"/>
    </row>
    <row r="72" spans="2:53">
      <c r="B72" s="649"/>
      <c r="C72" s="380">
        <v>6</v>
      </c>
      <c r="D72" s="225"/>
      <c r="E72" s="565"/>
      <c r="F72" s="563"/>
      <c r="G72" s="564"/>
      <c r="H72" s="657"/>
      <c r="I72" s="381" t="str">
        <f t="shared" si="29"/>
        <v>-</v>
      </c>
      <c r="J72" s="381" t="str">
        <f t="shared" si="30"/>
        <v>-</v>
      </c>
      <c r="K72" s="199" t="str">
        <f t="shared" si="31"/>
        <v>-</v>
      </c>
      <c r="L72" s="659"/>
      <c r="M72" s="384" t="e">
        <f>RANK(K72, K$67:$K$81)</f>
        <v>#VALUE!</v>
      </c>
      <c r="N72" s="643"/>
      <c r="O72" s="643"/>
      <c r="P72" s="563"/>
      <c r="Q72" s="565"/>
      <c r="R72" s="565"/>
      <c r="S72" s="563"/>
      <c r="T72" s="639"/>
      <c r="U72" s="563"/>
      <c r="V72" s="565"/>
      <c r="W72" s="565"/>
      <c r="X72" s="563"/>
      <c r="Y72" s="639"/>
      <c r="Z72" s="563"/>
      <c r="AA72" s="565"/>
      <c r="AB72" s="565"/>
      <c r="AC72" s="563"/>
      <c r="AD72" s="639"/>
      <c r="AE72" s="563"/>
      <c r="AF72" s="565"/>
      <c r="AG72" s="565"/>
      <c r="AH72" s="563"/>
      <c r="AI72" s="639"/>
      <c r="AJ72" s="563"/>
      <c r="AK72" s="565"/>
      <c r="AL72" s="565"/>
      <c r="AM72" s="563"/>
      <c r="AN72" s="639"/>
      <c r="AO72" s="563"/>
      <c r="AP72" s="565"/>
      <c r="AQ72" s="565"/>
      <c r="AR72" s="563"/>
      <c r="AS72" s="639"/>
      <c r="AT72" s="563"/>
      <c r="AU72" s="565"/>
      <c r="AV72" s="565"/>
      <c r="AW72" s="563"/>
      <c r="AX72" s="639"/>
      <c r="AZ72" s="368" t="e">
        <f t="shared" si="32"/>
        <v>#N/A</v>
      </c>
      <c r="BA72" s="639"/>
    </row>
    <row r="73" spans="2:53">
      <c r="B73" s="649"/>
      <c r="C73" s="380">
        <v>7</v>
      </c>
      <c r="D73" s="225"/>
      <c r="E73" s="565"/>
      <c r="F73" s="563"/>
      <c r="G73" s="564"/>
      <c r="H73" s="657"/>
      <c r="I73" s="381" t="str">
        <f t="shared" si="29"/>
        <v>-</v>
      </c>
      <c r="J73" s="381" t="str">
        <f t="shared" si="30"/>
        <v>-</v>
      </c>
      <c r="K73" s="199" t="str">
        <f t="shared" si="31"/>
        <v>-</v>
      </c>
      <c r="L73" s="659"/>
      <c r="M73" s="384" t="e">
        <f>RANK(K73, K$67:$K$81)</f>
        <v>#VALUE!</v>
      </c>
      <c r="N73" s="643"/>
      <c r="O73" s="643"/>
      <c r="P73" s="563"/>
      <c r="Q73" s="565"/>
      <c r="R73" s="565"/>
      <c r="S73" s="563"/>
      <c r="T73" s="639"/>
      <c r="U73" s="563"/>
      <c r="V73" s="565"/>
      <c r="W73" s="565"/>
      <c r="X73" s="563"/>
      <c r="Y73" s="639"/>
      <c r="Z73" s="563"/>
      <c r="AA73" s="565"/>
      <c r="AB73" s="565"/>
      <c r="AC73" s="563"/>
      <c r="AD73" s="639"/>
      <c r="AE73" s="563"/>
      <c r="AF73" s="565"/>
      <c r="AG73" s="565"/>
      <c r="AH73" s="563"/>
      <c r="AI73" s="639"/>
      <c r="AJ73" s="563"/>
      <c r="AK73" s="565"/>
      <c r="AL73" s="565"/>
      <c r="AM73" s="563"/>
      <c r="AN73" s="639"/>
      <c r="AO73" s="563"/>
      <c r="AP73" s="565"/>
      <c r="AQ73" s="565"/>
      <c r="AR73" s="563"/>
      <c r="AS73" s="639"/>
      <c r="AT73" s="563"/>
      <c r="AU73" s="565"/>
      <c r="AV73" s="565"/>
      <c r="AW73" s="563"/>
      <c r="AX73" s="639"/>
      <c r="AZ73" s="368" t="e">
        <f t="shared" si="32"/>
        <v>#N/A</v>
      </c>
      <c r="BA73" s="639"/>
    </row>
    <row r="74" spans="2:53">
      <c r="B74" s="649"/>
      <c r="C74" s="380">
        <v>8</v>
      </c>
      <c r="D74" s="225"/>
      <c r="E74" s="565"/>
      <c r="F74" s="563"/>
      <c r="G74" s="564"/>
      <c r="H74" s="657"/>
      <c r="I74" s="381" t="str">
        <f t="shared" si="29"/>
        <v>-</v>
      </c>
      <c r="J74" s="381" t="str">
        <f t="shared" si="30"/>
        <v>-</v>
      </c>
      <c r="K74" s="199" t="str">
        <f t="shared" si="31"/>
        <v>-</v>
      </c>
      <c r="L74" s="659"/>
      <c r="M74" s="384" t="e">
        <f>RANK(K74, K$67:$K$81)</f>
        <v>#VALUE!</v>
      </c>
      <c r="N74" s="643"/>
      <c r="O74" s="643"/>
      <c r="P74" s="563"/>
      <c r="Q74" s="565"/>
      <c r="R74" s="565"/>
      <c r="S74" s="563"/>
      <c r="T74" s="639"/>
      <c r="U74" s="563"/>
      <c r="V74" s="565"/>
      <c r="W74" s="565"/>
      <c r="X74" s="563"/>
      <c r="Y74" s="639"/>
      <c r="Z74" s="563"/>
      <c r="AA74" s="565"/>
      <c r="AB74" s="565"/>
      <c r="AC74" s="563"/>
      <c r="AD74" s="639"/>
      <c r="AE74" s="563"/>
      <c r="AF74" s="565"/>
      <c r="AG74" s="565"/>
      <c r="AH74" s="563"/>
      <c r="AI74" s="639"/>
      <c r="AJ74" s="563"/>
      <c r="AK74" s="565"/>
      <c r="AL74" s="565"/>
      <c r="AM74" s="563"/>
      <c r="AN74" s="639"/>
      <c r="AO74" s="563"/>
      <c r="AP74" s="565"/>
      <c r="AQ74" s="565"/>
      <c r="AR74" s="563"/>
      <c r="AS74" s="639"/>
      <c r="AT74" s="563"/>
      <c r="AU74" s="565"/>
      <c r="AV74" s="565"/>
      <c r="AW74" s="563"/>
      <c r="AX74" s="639"/>
      <c r="AZ74" s="368" t="e">
        <f t="shared" si="32"/>
        <v>#N/A</v>
      </c>
      <c r="BA74" s="639"/>
    </row>
    <row r="75" spans="2:53">
      <c r="B75" s="649"/>
      <c r="C75" s="380">
        <v>9</v>
      </c>
      <c r="D75" s="225"/>
      <c r="E75" s="565"/>
      <c r="F75" s="563"/>
      <c r="G75" s="564"/>
      <c r="H75" s="657"/>
      <c r="I75" s="381" t="str">
        <f t="shared" si="29"/>
        <v>-</v>
      </c>
      <c r="J75" s="381" t="str">
        <f t="shared" si="30"/>
        <v>-</v>
      </c>
      <c r="K75" s="199" t="str">
        <f t="shared" si="31"/>
        <v>-</v>
      </c>
      <c r="L75" s="659"/>
      <c r="M75" s="384" t="e">
        <f>RANK(K75, K$67:$K$81)</f>
        <v>#VALUE!</v>
      </c>
      <c r="N75" s="643"/>
      <c r="O75" s="643"/>
      <c r="P75" s="563"/>
      <c r="Q75" s="565"/>
      <c r="R75" s="565"/>
      <c r="S75" s="563"/>
      <c r="T75" s="639"/>
      <c r="U75" s="563"/>
      <c r="V75" s="565"/>
      <c r="W75" s="565"/>
      <c r="X75" s="563"/>
      <c r="Y75" s="639"/>
      <c r="Z75" s="563"/>
      <c r="AA75" s="565"/>
      <c r="AB75" s="565"/>
      <c r="AC75" s="563"/>
      <c r="AD75" s="639"/>
      <c r="AE75" s="563"/>
      <c r="AF75" s="565"/>
      <c r="AG75" s="565"/>
      <c r="AH75" s="563"/>
      <c r="AI75" s="639"/>
      <c r="AJ75" s="563"/>
      <c r="AK75" s="565"/>
      <c r="AL75" s="565"/>
      <c r="AM75" s="563"/>
      <c r="AN75" s="639"/>
      <c r="AO75" s="563"/>
      <c r="AP75" s="565"/>
      <c r="AQ75" s="565"/>
      <c r="AR75" s="563"/>
      <c r="AS75" s="639"/>
      <c r="AT75" s="563"/>
      <c r="AU75" s="565"/>
      <c r="AV75" s="565"/>
      <c r="AW75" s="563"/>
      <c r="AX75" s="639"/>
      <c r="AZ75" s="368" t="e">
        <f t="shared" si="32"/>
        <v>#N/A</v>
      </c>
      <c r="BA75" s="639"/>
    </row>
    <row r="76" spans="2:53">
      <c r="B76" s="649"/>
      <c r="C76" s="380">
        <v>10</v>
      </c>
      <c r="D76" s="225"/>
      <c r="E76" s="565"/>
      <c r="F76" s="563"/>
      <c r="G76" s="564"/>
      <c r="H76" s="657"/>
      <c r="I76" s="381" t="str">
        <f t="shared" si="29"/>
        <v>-</v>
      </c>
      <c r="J76" s="381" t="str">
        <f t="shared" si="30"/>
        <v>-</v>
      </c>
      <c r="K76" s="199" t="str">
        <f t="shared" si="31"/>
        <v>-</v>
      </c>
      <c r="L76" s="659"/>
      <c r="M76" s="384" t="e">
        <f>RANK(K76, K$67:$K$81)</f>
        <v>#VALUE!</v>
      </c>
      <c r="N76" s="643"/>
      <c r="O76" s="643"/>
      <c r="P76" s="563"/>
      <c r="Q76" s="565"/>
      <c r="R76" s="565"/>
      <c r="S76" s="563"/>
      <c r="T76" s="639"/>
      <c r="U76" s="563"/>
      <c r="V76" s="565"/>
      <c r="W76" s="565"/>
      <c r="X76" s="563"/>
      <c r="Y76" s="639"/>
      <c r="Z76" s="563"/>
      <c r="AA76" s="565"/>
      <c r="AB76" s="565"/>
      <c r="AC76" s="563"/>
      <c r="AD76" s="639"/>
      <c r="AE76" s="563"/>
      <c r="AF76" s="565"/>
      <c r="AG76" s="565"/>
      <c r="AH76" s="563"/>
      <c r="AI76" s="639"/>
      <c r="AJ76" s="563"/>
      <c r="AK76" s="565"/>
      <c r="AL76" s="565"/>
      <c r="AM76" s="563"/>
      <c r="AN76" s="639"/>
      <c r="AO76" s="563"/>
      <c r="AP76" s="565"/>
      <c r="AQ76" s="565"/>
      <c r="AR76" s="563"/>
      <c r="AS76" s="639"/>
      <c r="AT76" s="563"/>
      <c r="AU76" s="565"/>
      <c r="AV76" s="565"/>
      <c r="AW76" s="563"/>
      <c r="AX76" s="639"/>
      <c r="AZ76" s="368" t="e">
        <f t="shared" si="32"/>
        <v>#N/A</v>
      </c>
      <c r="BA76" s="639"/>
    </row>
    <row r="77" spans="2:53">
      <c r="B77" s="649"/>
      <c r="C77" s="380">
        <v>11</v>
      </c>
      <c r="D77" s="225"/>
      <c r="E77" s="565"/>
      <c r="F77" s="563"/>
      <c r="G77" s="564"/>
      <c r="H77" s="657"/>
      <c r="I77" s="381" t="str">
        <f t="shared" si="29"/>
        <v>-</v>
      </c>
      <c r="J77" s="381" t="str">
        <f t="shared" si="30"/>
        <v>-</v>
      </c>
      <c r="K77" s="199" t="str">
        <f t="shared" si="31"/>
        <v>-</v>
      </c>
      <c r="L77" s="659"/>
      <c r="M77" s="384" t="e">
        <f>RANK(K77, K$67:$K$81)</f>
        <v>#VALUE!</v>
      </c>
      <c r="N77" s="643"/>
      <c r="O77" s="643"/>
      <c r="P77" s="563"/>
      <c r="Q77" s="565"/>
      <c r="R77" s="565"/>
      <c r="S77" s="563"/>
      <c r="T77" s="639"/>
      <c r="U77" s="563"/>
      <c r="V77" s="565"/>
      <c r="W77" s="565"/>
      <c r="X77" s="563"/>
      <c r="Y77" s="639"/>
      <c r="Z77" s="563"/>
      <c r="AA77" s="565"/>
      <c r="AB77" s="565"/>
      <c r="AC77" s="563"/>
      <c r="AD77" s="639"/>
      <c r="AE77" s="563"/>
      <c r="AF77" s="565"/>
      <c r="AG77" s="565"/>
      <c r="AH77" s="563"/>
      <c r="AI77" s="639"/>
      <c r="AJ77" s="563"/>
      <c r="AK77" s="565"/>
      <c r="AL77" s="565"/>
      <c r="AM77" s="563"/>
      <c r="AN77" s="639"/>
      <c r="AO77" s="563"/>
      <c r="AP77" s="565"/>
      <c r="AQ77" s="565"/>
      <c r="AR77" s="563"/>
      <c r="AS77" s="639"/>
      <c r="AT77" s="563"/>
      <c r="AU77" s="565"/>
      <c r="AV77" s="565"/>
      <c r="AW77" s="563"/>
      <c r="AX77" s="639"/>
      <c r="AZ77" s="368" t="e">
        <f t="shared" si="32"/>
        <v>#N/A</v>
      </c>
      <c r="BA77" s="639"/>
    </row>
    <row r="78" spans="2:53">
      <c r="B78" s="649"/>
      <c r="C78" s="380">
        <v>12</v>
      </c>
      <c r="D78" s="225"/>
      <c r="E78" s="565"/>
      <c r="F78" s="563"/>
      <c r="G78" s="564"/>
      <c r="H78" s="657"/>
      <c r="I78" s="381" t="str">
        <f t="shared" si="29"/>
        <v>-</v>
      </c>
      <c r="J78" s="381" t="str">
        <f t="shared" si="30"/>
        <v>-</v>
      </c>
      <c r="K78" s="199" t="str">
        <f t="shared" si="31"/>
        <v>-</v>
      </c>
      <c r="L78" s="659"/>
      <c r="M78" s="384" t="e">
        <f>RANK(K78, K$67:$K$81)</f>
        <v>#VALUE!</v>
      </c>
      <c r="N78" s="643"/>
      <c r="O78" s="643"/>
      <c r="P78" s="563"/>
      <c r="Q78" s="565"/>
      <c r="R78" s="565"/>
      <c r="S78" s="563"/>
      <c r="T78" s="639"/>
      <c r="U78" s="563"/>
      <c r="V78" s="565"/>
      <c r="W78" s="565"/>
      <c r="X78" s="563"/>
      <c r="Y78" s="639"/>
      <c r="Z78" s="563"/>
      <c r="AA78" s="565"/>
      <c r="AB78" s="565"/>
      <c r="AC78" s="563"/>
      <c r="AD78" s="639"/>
      <c r="AE78" s="563"/>
      <c r="AF78" s="565"/>
      <c r="AG78" s="565"/>
      <c r="AH78" s="563"/>
      <c r="AI78" s="639"/>
      <c r="AJ78" s="563"/>
      <c r="AK78" s="565"/>
      <c r="AL78" s="565"/>
      <c r="AM78" s="563"/>
      <c r="AN78" s="639"/>
      <c r="AO78" s="563"/>
      <c r="AP78" s="565"/>
      <c r="AQ78" s="565"/>
      <c r="AR78" s="563"/>
      <c r="AS78" s="639"/>
      <c r="AT78" s="563"/>
      <c r="AU78" s="565"/>
      <c r="AV78" s="565"/>
      <c r="AW78" s="563"/>
      <c r="AX78" s="639"/>
      <c r="AZ78" s="368" t="e">
        <f t="shared" si="32"/>
        <v>#N/A</v>
      </c>
      <c r="BA78" s="639"/>
    </row>
    <row r="79" spans="2:53">
      <c r="B79" s="649"/>
      <c r="C79" s="380">
        <v>13</v>
      </c>
      <c r="D79" s="225"/>
      <c r="E79" s="565"/>
      <c r="F79" s="563"/>
      <c r="G79" s="564"/>
      <c r="H79" s="657"/>
      <c r="I79" s="381" t="str">
        <f t="shared" si="29"/>
        <v>-</v>
      </c>
      <c r="J79" s="381" t="str">
        <f t="shared" si="30"/>
        <v>-</v>
      </c>
      <c r="K79" s="199" t="str">
        <f t="shared" si="31"/>
        <v>-</v>
      </c>
      <c r="L79" s="659"/>
      <c r="M79" s="384" t="e">
        <f>RANK(K79, K$67:$K$81)</f>
        <v>#VALUE!</v>
      </c>
      <c r="N79" s="643"/>
      <c r="O79" s="643"/>
      <c r="P79" s="563"/>
      <c r="Q79" s="565"/>
      <c r="R79" s="565"/>
      <c r="S79" s="563"/>
      <c r="T79" s="639"/>
      <c r="U79" s="563"/>
      <c r="V79" s="565"/>
      <c r="W79" s="565"/>
      <c r="X79" s="563"/>
      <c r="Y79" s="639"/>
      <c r="Z79" s="563"/>
      <c r="AA79" s="565"/>
      <c r="AB79" s="565"/>
      <c r="AC79" s="563"/>
      <c r="AD79" s="639"/>
      <c r="AE79" s="563"/>
      <c r="AF79" s="565"/>
      <c r="AG79" s="565"/>
      <c r="AH79" s="563"/>
      <c r="AI79" s="639"/>
      <c r="AJ79" s="563"/>
      <c r="AK79" s="565"/>
      <c r="AL79" s="565"/>
      <c r="AM79" s="563"/>
      <c r="AN79" s="639"/>
      <c r="AO79" s="563"/>
      <c r="AP79" s="565"/>
      <c r="AQ79" s="565"/>
      <c r="AR79" s="563"/>
      <c r="AS79" s="639"/>
      <c r="AT79" s="563"/>
      <c r="AU79" s="565"/>
      <c r="AV79" s="565"/>
      <c r="AW79" s="563"/>
      <c r="AX79" s="639"/>
      <c r="AZ79" s="368" t="e">
        <f t="shared" si="32"/>
        <v>#N/A</v>
      </c>
      <c r="BA79" s="639"/>
    </row>
    <row r="80" spans="2:53">
      <c r="B80" s="649"/>
      <c r="C80" s="380">
        <v>14</v>
      </c>
      <c r="D80" s="225"/>
      <c r="E80" s="565"/>
      <c r="F80" s="563"/>
      <c r="G80" s="564"/>
      <c r="H80" s="657"/>
      <c r="I80" s="381" t="str">
        <f t="shared" si="29"/>
        <v>-</v>
      </c>
      <c r="J80" s="381" t="str">
        <f t="shared" si="30"/>
        <v>-</v>
      </c>
      <c r="K80" s="199" t="str">
        <f t="shared" si="31"/>
        <v>-</v>
      </c>
      <c r="L80" s="659"/>
      <c r="M80" s="384" t="e">
        <f>RANK(K80, K$67:$K$81)</f>
        <v>#VALUE!</v>
      </c>
      <c r="N80" s="643"/>
      <c r="O80" s="643"/>
      <c r="P80" s="563"/>
      <c r="Q80" s="565"/>
      <c r="R80" s="565"/>
      <c r="S80" s="563"/>
      <c r="T80" s="639"/>
      <c r="U80" s="563"/>
      <c r="V80" s="565"/>
      <c r="W80" s="565"/>
      <c r="X80" s="563"/>
      <c r="Y80" s="639"/>
      <c r="Z80" s="563"/>
      <c r="AA80" s="565"/>
      <c r="AB80" s="565"/>
      <c r="AC80" s="563"/>
      <c r="AD80" s="639"/>
      <c r="AE80" s="563"/>
      <c r="AF80" s="565"/>
      <c r="AG80" s="565"/>
      <c r="AH80" s="563"/>
      <c r="AI80" s="639"/>
      <c r="AJ80" s="563"/>
      <c r="AK80" s="565"/>
      <c r="AL80" s="565"/>
      <c r="AM80" s="563"/>
      <c r="AN80" s="639"/>
      <c r="AO80" s="563"/>
      <c r="AP80" s="565"/>
      <c r="AQ80" s="565"/>
      <c r="AR80" s="563"/>
      <c r="AS80" s="639"/>
      <c r="AT80" s="563"/>
      <c r="AU80" s="565"/>
      <c r="AV80" s="565"/>
      <c r="AW80" s="563"/>
      <c r="AX80" s="639"/>
      <c r="AZ80" s="368" t="e">
        <f t="shared" si="32"/>
        <v>#N/A</v>
      </c>
      <c r="BA80" s="639"/>
    </row>
    <row r="81" spans="2:53">
      <c r="B81" s="649"/>
      <c r="C81" s="380">
        <v>15</v>
      </c>
      <c r="D81" s="225"/>
      <c r="E81" s="565"/>
      <c r="F81" s="563"/>
      <c r="G81" s="564"/>
      <c r="H81" s="714"/>
      <c r="I81" s="419" t="str">
        <f t="shared" ref="I81" si="34">IFERROR(AVERAGE(P81,U81,Z81,AE81,AJ81,AO81,AT81),"-")</f>
        <v>-</v>
      </c>
      <c r="J81" s="419" t="str">
        <f t="shared" ref="J81" si="35">IFERROR(AVERAGE(Q81,V81,AA81,AF81,AK81,AP81,AU81),"-")</f>
        <v>-</v>
      </c>
      <c r="K81" s="199" t="str">
        <f t="shared" ref="K81" si="36">IFERROR(AVERAGE(R81,W81,AB81,AG81,AL81,AQ81,AV81),"-")</f>
        <v>-</v>
      </c>
      <c r="L81" s="660"/>
      <c r="M81" s="384" t="e">
        <f>RANK(K81, K$47:$K$61)</f>
        <v>#VALUE!</v>
      </c>
      <c r="N81" s="643"/>
      <c r="O81" s="643"/>
      <c r="P81" s="563"/>
      <c r="Q81" s="565"/>
      <c r="R81" s="565"/>
      <c r="S81" s="563"/>
      <c r="T81" s="640"/>
      <c r="U81" s="563"/>
      <c r="V81" s="565"/>
      <c r="W81" s="565"/>
      <c r="X81" s="563"/>
      <c r="Y81" s="640"/>
      <c r="Z81" s="563"/>
      <c r="AA81" s="565"/>
      <c r="AB81" s="565"/>
      <c r="AC81" s="563"/>
      <c r="AD81" s="640"/>
      <c r="AE81" s="563"/>
      <c r="AF81" s="565"/>
      <c r="AG81" s="565"/>
      <c r="AH81" s="563"/>
      <c r="AI81" s="640"/>
      <c r="AJ81" s="563"/>
      <c r="AK81" s="565"/>
      <c r="AL81" s="565"/>
      <c r="AM81" s="563"/>
      <c r="AN81" s="640"/>
      <c r="AO81" s="563"/>
      <c r="AP81" s="565"/>
      <c r="AQ81" s="565"/>
      <c r="AR81" s="563"/>
      <c r="AS81" s="640"/>
      <c r="AT81" s="563"/>
      <c r="AU81" s="565"/>
      <c r="AV81" s="565"/>
      <c r="AW81" s="563"/>
      <c r="AX81" s="640"/>
      <c r="AZ81" s="368" t="e">
        <f t="shared" si="32"/>
        <v>#N/A</v>
      </c>
      <c r="BA81" s="640"/>
    </row>
    <row r="82" spans="2:53" ht="15.75">
      <c r="B82" s="671" t="s">
        <v>162</v>
      </c>
      <c r="C82" s="672"/>
      <c r="D82" s="672"/>
      <c r="E82" s="672"/>
      <c r="F82" s="672"/>
      <c r="G82" s="672"/>
      <c r="H82" s="673"/>
      <c r="I82" s="207"/>
      <c r="J82" s="207"/>
      <c r="K82" s="207"/>
      <c r="L82" s="207"/>
      <c r="M82" s="206"/>
      <c r="N82" s="645" t="s">
        <v>156</v>
      </c>
      <c r="O82" s="645" t="s">
        <v>105</v>
      </c>
      <c r="P82" s="670">
        <f>P62+7</f>
        <v>46294</v>
      </c>
      <c r="Q82" s="649"/>
      <c r="R82" s="649"/>
      <c r="S82" s="649"/>
      <c r="T82" s="649"/>
      <c r="U82" s="667">
        <f>P82+1</f>
        <v>46295</v>
      </c>
      <c r="V82" s="668"/>
      <c r="W82" s="668"/>
      <c r="X82" s="668"/>
      <c r="Y82" s="669"/>
      <c r="Z82" s="667">
        <f>U82+1</f>
        <v>46296</v>
      </c>
      <c r="AA82" s="668"/>
      <c r="AB82" s="668"/>
      <c r="AC82" s="668"/>
      <c r="AD82" s="669"/>
      <c r="AE82" s="667">
        <f>Z82+1</f>
        <v>46297</v>
      </c>
      <c r="AF82" s="668"/>
      <c r="AG82" s="668"/>
      <c r="AH82" s="668"/>
      <c r="AI82" s="669"/>
      <c r="AJ82" s="667">
        <f>AE82+1</f>
        <v>46298</v>
      </c>
      <c r="AK82" s="668"/>
      <c r="AL82" s="668"/>
      <c r="AM82" s="668"/>
      <c r="AN82" s="669"/>
      <c r="AO82" s="667">
        <f>AJ82+1</f>
        <v>46299</v>
      </c>
      <c r="AP82" s="668"/>
      <c r="AQ82" s="668"/>
      <c r="AR82" s="668"/>
      <c r="AS82" s="669"/>
      <c r="AT82" s="667">
        <f>AO82+1</f>
        <v>46300</v>
      </c>
      <c r="AU82" s="668"/>
      <c r="AV82" s="668"/>
      <c r="AW82" s="668"/>
      <c r="AX82" s="669"/>
    </row>
    <row r="83" spans="2:53" ht="15.75">
      <c r="B83" s="674"/>
      <c r="C83" s="674"/>
      <c r="D83" s="674"/>
      <c r="E83" s="674"/>
      <c r="F83" s="674"/>
      <c r="G83" s="674"/>
      <c r="H83" s="674"/>
      <c r="I83" s="204"/>
      <c r="J83" s="204"/>
      <c r="K83" s="204"/>
      <c r="L83" s="204"/>
      <c r="M83" s="205"/>
      <c r="N83" s="647"/>
      <c r="O83" s="647"/>
      <c r="P83" s="670" t="s">
        <v>317</v>
      </c>
      <c r="Q83" s="649"/>
      <c r="R83" s="649"/>
      <c r="S83" s="649"/>
      <c r="T83" s="649"/>
      <c r="U83" s="670" t="s">
        <v>318</v>
      </c>
      <c r="V83" s="649"/>
      <c r="W83" s="649"/>
      <c r="X83" s="649"/>
      <c r="Y83" s="649"/>
      <c r="Z83" s="670" t="s">
        <v>319</v>
      </c>
      <c r="AA83" s="649"/>
      <c r="AB83" s="649"/>
      <c r="AC83" s="649"/>
      <c r="AD83" s="649"/>
      <c r="AE83" s="670" t="s">
        <v>320</v>
      </c>
      <c r="AF83" s="649"/>
      <c r="AG83" s="649"/>
      <c r="AH83" s="649"/>
      <c r="AI83" s="649"/>
      <c r="AJ83" s="670" t="s">
        <v>321</v>
      </c>
      <c r="AK83" s="649"/>
      <c r="AL83" s="649"/>
      <c r="AM83" s="649"/>
      <c r="AN83" s="649"/>
      <c r="AO83" s="670" t="s">
        <v>322</v>
      </c>
      <c r="AP83" s="649"/>
      <c r="AQ83" s="649"/>
      <c r="AR83" s="649"/>
      <c r="AS83" s="649"/>
      <c r="AT83" s="670" t="s">
        <v>323</v>
      </c>
      <c r="AU83" s="649"/>
      <c r="AV83" s="649"/>
      <c r="AW83" s="649"/>
      <c r="AX83" s="649"/>
    </row>
    <row r="84" spans="2:53">
      <c r="B84" s="643" t="s">
        <v>400</v>
      </c>
      <c r="C84" s="643" t="s">
        <v>523</v>
      </c>
      <c r="D84" s="643"/>
      <c r="E84" s="643" t="s">
        <v>524</v>
      </c>
      <c r="F84" s="643"/>
      <c r="G84" s="643"/>
      <c r="H84" s="675" t="s">
        <v>525</v>
      </c>
      <c r="I84" s="643" t="s">
        <v>526</v>
      </c>
      <c r="J84" s="643"/>
      <c r="K84" s="643"/>
      <c r="L84" s="675" t="s">
        <v>359</v>
      </c>
      <c r="M84" s="645" t="s">
        <v>527</v>
      </c>
      <c r="N84" s="643"/>
      <c r="O84" s="643" t="s">
        <v>365</v>
      </c>
      <c r="P84" s="661" t="s">
        <v>361</v>
      </c>
      <c r="Q84" s="662"/>
      <c r="R84" s="662"/>
      <c r="S84" s="663"/>
      <c r="T84" s="643" t="s">
        <v>359</v>
      </c>
      <c r="U84" s="661" t="s">
        <v>361</v>
      </c>
      <c r="V84" s="662"/>
      <c r="W84" s="662"/>
      <c r="X84" s="663"/>
      <c r="Y84" s="643" t="s">
        <v>359</v>
      </c>
      <c r="Z84" s="661" t="s">
        <v>361</v>
      </c>
      <c r="AA84" s="662"/>
      <c r="AB84" s="662"/>
      <c r="AC84" s="663"/>
      <c r="AD84" s="643" t="s">
        <v>359</v>
      </c>
      <c r="AE84" s="661" t="s">
        <v>361</v>
      </c>
      <c r="AF84" s="662"/>
      <c r="AG84" s="662"/>
      <c r="AH84" s="663"/>
      <c r="AI84" s="643" t="s">
        <v>359</v>
      </c>
      <c r="AJ84" s="661" t="s">
        <v>361</v>
      </c>
      <c r="AK84" s="662"/>
      <c r="AL84" s="662"/>
      <c r="AM84" s="663"/>
      <c r="AN84" s="643" t="s">
        <v>359</v>
      </c>
      <c r="AO84" s="661" t="s">
        <v>361</v>
      </c>
      <c r="AP84" s="662"/>
      <c r="AQ84" s="662"/>
      <c r="AR84" s="663"/>
      <c r="AS84" s="643" t="s">
        <v>359</v>
      </c>
      <c r="AT84" s="661" t="s">
        <v>361</v>
      </c>
      <c r="AU84" s="662"/>
      <c r="AV84" s="662"/>
      <c r="AW84" s="663"/>
      <c r="AX84" s="643" t="s">
        <v>359</v>
      </c>
      <c r="BA84" s="643" t="s">
        <v>359</v>
      </c>
    </row>
    <row r="85" spans="2:53">
      <c r="B85" s="643"/>
      <c r="C85" s="643"/>
      <c r="D85" s="643"/>
      <c r="E85" s="643" t="s">
        <v>529</v>
      </c>
      <c r="F85" s="643"/>
      <c r="G85" s="643"/>
      <c r="H85" s="676"/>
      <c r="I85" s="643" t="s">
        <v>529</v>
      </c>
      <c r="J85" s="643"/>
      <c r="K85" s="643"/>
      <c r="L85" s="676"/>
      <c r="M85" s="646"/>
      <c r="N85" s="643"/>
      <c r="O85" s="643"/>
      <c r="P85" s="661" t="s">
        <v>367</v>
      </c>
      <c r="Q85" s="662"/>
      <c r="R85" s="662"/>
      <c r="S85" s="663"/>
      <c r="T85" s="643"/>
      <c r="U85" s="661" t="s">
        <v>367</v>
      </c>
      <c r="V85" s="662"/>
      <c r="W85" s="662"/>
      <c r="X85" s="663"/>
      <c r="Y85" s="643"/>
      <c r="Z85" s="661" t="s">
        <v>367</v>
      </c>
      <c r="AA85" s="662"/>
      <c r="AB85" s="662"/>
      <c r="AC85" s="663"/>
      <c r="AD85" s="643"/>
      <c r="AE85" s="661" t="s">
        <v>367</v>
      </c>
      <c r="AF85" s="662"/>
      <c r="AG85" s="662"/>
      <c r="AH85" s="663"/>
      <c r="AI85" s="643"/>
      <c r="AJ85" s="661" t="s">
        <v>367</v>
      </c>
      <c r="AK85" s="662"/>
      <c r="AL85" s="662"/>
      <c r="AM85" s="663"/>
      <c r="AN85" s="643"/>
      <c r="AO85" s="661" t="s">
        <v>367</v>
      </c>
      <c r="AP85" s="662"/>
      <c r="AQ85" s="662"/>
      <c r="AR85" s="663"/>
      <c r="AS85" s="643"/>
      <c r="AT85" s="661" t="s">
        <v>367</v>
      </c>
      <c r="AU85" s="662"/>
      <c r="AV85" s="662"/>
      <c r="AW85" s="663"/>
      <c r="AX85" s="643"/>
      <c r="BA85" s="643"/>
    </row>
    <row r="86" spans="2:53">
      <c r="B86" s="643"/>
      <c r="C86" s="643"/>
      <c r="D86" s="643"/>
      <c r="E86" s="378" t="s">
        <v>530</v>
      </c>
      <c r="F86" s="378" t="s">
        <v>531</v>
      </c>
      <c r="G86" s="378" t="s">
        <v>532</v>
      </c>
      <c r="H86" s="677"/>
      <c r="I86" s="378" t="s">
        <v>530</v>
      </c>
      <c r="J86" s="378" t="s">
        <v>531</v>
      </c>
      <c r="K86" s="378" t="s">
        <v>532</v>
      </c>
      <c r="L86" s="677"/>
      <c r="M86" s="647"/>
      <c r="N86" s="643"/>
      <c r="O86" s="643"/>
      <c r="P86" s="378" t="s">
        <v>368</v>
      </c>
      <c r="Q86" s="378" t="s">
        <v>369</v>
      </c>
      <c r="R86" s="378" t="s">
        <v>370</v>
      </c>
      <c r="S86" s="378" t="s">
        <v>360</v>
      </c>
      <c r="T86" s="643"/>
      <c r="U86" s="378" t="s">
        <v>368</v>
      </c>
      <c r="V86" s="378" t="s">
        <v>369</v>
      </c>
      <c r="W86" s="378" t="s">
        <v>370</v>
      </c>
      <c r="X86" s="378" t="s">
        <v>360</v>
      </c>
      <c r="Y86" s="643"/>
      <c r="Z86" s="378" t="s">
        <v>368</v>
      </c>
      <c r="AA86" s="378" t="s">
        <v>369</v>
      </c>
      <c r="AB86" s="378" t="s">
        <v>370</v>
      </c>
      <c r="AC86" s="378" t="s">
        <v>360</v>
      </c>
      <c r="AD86" s="643"/>
      <c r="AE86" s="378" t="s">
        <v>368</v>
      </c>
      <c r="AF86" s="378" t="s">
        <v>369</v>
      </c>
      <c r="AG86" s="378" t="s">
        <v>370</v>
      </c>
      <c r="AH86" s="378" t="s">
        <v>360</v>
      </c>
      <c r="AI86" s="643"/>
      <c r="AJ86" s="378" t="s">
        <v>368</v>
      </c>
      <c r="AK86" s="378" t="s">
        <v>369</v>
      </c>
      <c r="AL86" s="378" t="s">
        <v>370</v>
      </c>
      <c r="AM86" s="378" t="s">
        <v>360</v>
      </c>
      <c r="AN86" s="643"/>
      <c r="AO86" s="378" t="s">
        <v>368</v>
      </c>
      <c r="AP86" s="378" t="s">
        <v>369</v>
      </c>
      <c r="AQ86" s="378" t="s">
        <v>370</v>
      </c>
      <c r="AR86" s="378" t="s">
        <v>360</v>
      </c>
      <c r="AS86" s="643"/>
      <c r="AT86" s="378" t="s">
        <v>368</v>
      </c>
      <c r="AU86" s="378" t="s">
        <v>369</v>
      </c>
      <c r="AV86" s="378" t="s">
        <v>370</v>
      </c>
      <c r="AW86" s="378" t="s">
        <v>360</v>
      </c>
      <c r="AX86" s="643"/>
      <c r="AZ86" s="367" t="s">
        <v>360</v>
      </c>
      <c r="BA86" s="643"/>
    </row>
    <row r="87" spans="2:53">
      <c r="B87" s="643" t="s">
        <v>415</v>
      </c>
      <c r="C87" s="380">
        <v>1</v>
      </c>
      <c r="D87" s="225"/>
      <c r="E87" s="516"/>
      <c r="F87" s="513"/>
      <c r="G87" s="512"/>
      <c r="H87" s="656" t="e">
        <f>AVERAGE(G87:G101)</f>
        <v>#DIV/0!</v>
      </c>
      <c r="I87" s="381" t="str">
        <f t="shared" ref="I87:I100" si="37">IFERROR(AVERAGE(P87,U87,Z87,AE87,AJ87,AO87,AT87),"-")</f>
        <v>-</v>
      </c>
      <c r="J87" s="381" t="str">
        <f t="shared" ref="J87:J100" si="38">IFERROR(AVERAGE(Q87,V87,AA87,AF87,AK87,AP87,AU87),"-")</f>
        <v>-</v>
      </c>
      <c r="K87" s="199" t="str">
        <f t="shared" ref="K87:K100" si="39">IFERROR(AVERAGE(R87,W87,AB87,AG87,AL87,AQ87,AV87),"-")</f>
        <v>-</v>
      </c>
      <c r="L87" s="658" t="str">
        <f>IFERROR(AVERAGE(K87:K101),"-")</f>
        <v>-</v>
      </c>
      <c r="M87" s="384" t="e">
        <f>RANK(K87, K$87:$K$101)</f>
        <v>#VALUE!</v>
      </c>
      <c r="N87" s="643"/>
      <c r="O87" s="643"/>
      <c r="P87" s="563"/>
      <c r="Q87" s="565"/>
      <c r="R87" s="565"/>
      <c r="S87" s="563"/>
      <c r="T87" s="638"/>
      <c r="U87" s="563"/>
      <c r="V87" s="565"/>
      <c r="W87" s="565"/>
      <c r="X87" s="563"/>
      <c r="Y87" s="638"/>
      <c r="Z87" s="563"/>
      <c r="AA87" s="565"/>
      <c r="AB87" s="565"/>
      <c r="AC87" s="563"/>
      <c r="AD87" s="638"/>
      <c r="AE87" s="563"/>
      <c r="AF87" s="565"/>
      <c r="AG87" s="565"/>
      <c r="AH87" s="563"/>
      <c r="AI87" s="638"/>
      <c r="AJ87" s="563"/>
      <c r="AK87" s="565"/>
      <c r="AL87" s="565"/>
      <c r="AM87" s="563"/>
      <c r="AN87" s="638"/>
      <c r="AO87" s="563"/>
      <c r="AP87" s="565"/>
      <c r="AQ87" s="565"/>
      <c r="AR87" s="563"/>
      <c r="AS87" s="638"/>
      <c r="AT87" s="563"/>
      <c r="AU87" s="565"/>
      <c r="AV87" s="565"/>
      <c r="AW87" s="563"/>
      <c r="AX87" s="638"/>
      <c r="AZ87" s="368" t="e">
        <f t="shared" ref="AZ87:AZ101" si="40">RANK(AY87, AY$87:AY$101)</f>
        <v>#N/A</v>
      </c>
      <c r="BA87" s="644" t="e">
        <f t="shared" ref="BA87" si="41">AVERAGE(AY87:AY101)</f>
        <v>#DIV/0!</v>
      </c>
    </row>
    <row r="88" spans="2:53">
      <c r="B88" s="649"/>
      <c r="C88" s="380">
        <v>2</v>
      </c>
      <c r="D88" s="225"/>
      <c r="E88" s="516"/>
      <c r="F88" s="513"/>
      <c r="G88" s="512"/>
      <c r="H88" s="657"/>
      <c r="I88" s="381" t="str">
        <f t="shared" si="37"/>
        <v>-</v>
      </c>
      <c r="J88" s="381" t="str">
        <f t="shared" si="38"/>
        <v>-</v>
      </c>
      <c r="K88" s="199" t="str">
        <f t="shared" si="39"/>
        <v>-</v>
      </c>
      <c r="L88" s="659"/>
      <c r="M88" s="422" t="e">
        <f>RANK(K88, K$87:$K$101)</f>
        <v>#VALUE!</v>
      </c>
      <c r="N88" s="643"/>
      <c r="O88" s="643"/>
      <c r="P88" s="563"/>
      <c r="Q88" s="565"/>
      <c r="R88" s="565"/>
      <c r="S88" s="563"/>
      <c r="T88" s="639"/>
      <c r="U88" s="563"/>
      <c r="V88" s="565"/>
      <c r="W88" s="565"/>
      <c r="X88" s="563"/>
      <c r="Y88" s="639"/>
      <c r="Z88" s="563"/>
      <c r="AA88" s="565"/>
      <c r="AB88" s="565"/>
      <c r="AC88" s="563"/>
      <c r="AD88" s="639"/>
      <c r="AE88" s="563"/>
      <c r="AF88" s="565"/>
      <c r="AG88" s="565"/>
      <c r="AH88" s="563"/>
      <c r="AI88" s="639"/>
      <c r="AJ88" s="563"/>
      <c r="AK88" s="565"/>
      <c r="AL88" s="565"/>
      <c r="AM88" s="563"/>
      <c r="AN88" s="639"/>
      <c r="AO88" s="563"/>
      <c r="AP88" s="565"/>
      <c r="AQ88" s="565"/>
      <c r="AR88" s="563"/>
      <c r="AS88" s="639"/>
      <c r="AT88" s="563"/>
      <c r="AU88" s="565"/>
      <c r="AV88" s="565"/>
      <c r="AW88" s="563"/>
      <c r="AX88" s="639"/>
      <c r="AZ88" s="368" t="e">
        <f t="shared" si="40"/>
        <v>#N/A</v>
      </c>
      <c r="BA88" s="644"/>
    </row>
    <row r="89" spans="2:53">
      <c r="B89" s="649"/>
      <c r="C89" s="380">
        <v>3</v>
      </c>
      <c r="D89" s="225"/>
      <c r="E89" s="516"/>
      <c r="F89" s="513"/>
      <c r="G89" s="512"/>
      <c r="H89" s="657"/>
      <c r="I89" s="381" t="str">
        <f t="shared" si="37"/>
        <v>-</v>
      </c>
      <c r="J89" s="381" t="str">
        <f t="shared" si="38"/>
        <v>-</v>
      </c>
      <c r="K89" s="199" t="str">
        <f t="shared" si="39"/>
        <v>-</v>
      </c>
      <c r="L89" s="659"/>
      <c r="M89" s="422" t="e">
        <f>RANK(K89, K$87:$K$101)</f>
        <v>#VALUE!</v>
      </c>
      <c r="N89" s="643"/>
      <c r="O89" s="643"/>
      <c r="P89" s="563"/>
      <c r="Q89" s="565"/>
      <c r="R89" s="565"/>
      <c r="S89" s="563"/>
      <c r="T89" s="639"/>
      <c r="U89" s="563"/>
      <c r="V89" s="565"/>
      <c r="W89" s="565"/>
      <c r="X89" s="563"/>
      <c r="Y89" s="639"/>
      <c r="Z89" s="563"/>
      <c r="AA89" s="565"/>
      <c r="AB89" s="565"/>
      <c r="AC89" s="563"/>
      <c r="AD89" s="639"/>
      <c r="AE89" s="563"/>
      <c r="AF89" s="565"/>
      <c r="AG89" s="565"/>
      <c r="AH89" s="563"/>
      <c r="AI89" s="639"/>
      <c r="AJ89" s="563"/>
      <c r="AK89" s="565"/>
      <c r="AL89" s="565"/>
      <c r="AM89" s="563"/>
      <c r="AN89" s="639"/>
      <c r="AO89" s="563"/>
      <c r="AP89" s="565"/>
      <c r="AQ89" s="565"/>
      <c r="AR89" s="563"/>
      <c r="AS89" s="639"/>
      <c r="AT89" s="563"/>
      <c r="AU89" s="565"/>
      <c r="AV89" s="565"/>
      <c r="AW89" s="563"/>
      <c r="AX89" s="639"/>
      <c r="AZ89" s="368" t="e">
        <f t="shared" si="40"/>
        <v>#N/A</v>
      </c>
      <c r="BA89" s="644"/>
    </row>
    <row r="90" spans="2:53">
      <c r="B90" s="649"/>
      <c r="C90" s="380">
        <v>4</v>
      </c>
      <c r="D90" s="225"/>
      <c r="E90" s="516"/>
      <c r="F90" s="513"/>
      <c r="G90" s="512"/>
      <c r="H90" s="657"/>
      <c r="I90" s="381" t="str">
        <f t="shared" si="37"/>
        <v>-</v>
      </c>
      <c r="J90" s="381" t="str">
        <f t="shared" si="38"/>
        <v>-</v>
      </c>
      <c r="K90" s="199" t="str">
        <f t="shared" si="39"/>
        <v>-</v>
      </c>
      <c r="L90" s="659"/>
      <c r="M90" s="422" t="e">
        <f>RANK(K90, K$87:$K$101)</f>
        <v>#VALUE!</v>
      </c>
      <c r="N90" s="643"/>
      <c r="O90" s="643"/>
      <c r="P90" s="563"/>
      <c r="Q90" s="565"/>
      <c r="R90" s="565"/>
      <c r="S90" s="563"/>
      <c r="T90" s="639"/>
      <c r="U90" s="563"/>
      <c r="V90" s="565"/>
      <c r="W90" s="565"/>
      <c r="X90" s="563"/>
      <c r="Y90" s="639"/>
      <c r="Z90" s="563"/>
      <c r="AA90" s="565"/>
      <c r="AB90" s="565"/>
      <c r="AC90" s="563"/>
      <c r="AD90" s="639"/>
      <c r="AE90" s="563"/>
      <c r="AF90" s="565"/>
      <c r="AG90" s="565"/>
      <c r="AH90" s="563"/>
      <c r="AI90" s="639"/>
      <c r="AJ90" s="563"/>
      <c r="AK90" s="565"/>
      <c r="AL90" s="565"/>
      <c r="AM90" s="563"/>
      <c r="AN90" s="639"/>
      <c r="AO90" s="563"/>
      <c r="AP90" s="565"/>
      <c r="AQ90" s="565"/>
      <c r="AR90" s="563"/>
      <c r="AS90" s="639"/>
      <c r="AT90" s="563"/>
      <c r="AU90" s="565"/>
      <c r="AV90" s="565"/>
      <c r="AW90" s="563"/>
      <c r="AX90" s="639"/>
      <c r="AZ90" s="368" t="e">
        <f t="shared" si="40"/>
        <v>#N/A</v>
      </c>
      <c r="BA90" s="644"/>
    </row>
    <row r="91" spans="2:53">
      <c r="B91" s="649"/>
      <c r="C91" s="380">
        <v>5</v>
      </c>
      <c r="D91" s="225"/>
      <c r="E91" s="516"/>
      <c r="F91" s="513"/>
      <c r="G91" s="512"/>
      <c r="H91" s="657"/>
      <c r="I91" s="381" t="str">
        <f t="shared" si="37"/>
        <v>-</v>
      </c>
      <c r="J91" s="381" t="str">
        <f t="shared" si="38"/>
        <v>-</v>
      </c>
      <c r="K91" s="199" t="str">
        <f t="shared" si="39"/>
        <v>-</v>
      </c>
      <c r="L91" s="659"/>
      <c r="M91" s="422" t="e">
        <f>RANK(K91, K$87:$K$101)</f>
        <v>#VALUE!</v>
      </c>
      <c r="N91" s="643"/>
      <c r="O91" s="643"/>
      <c r="P91" s="563"/>
      <c r="Q91" s="565"/>
      <c r="R91" s="565"/>
      <c r="S91" s="563"/>
      <c r="T91" s="639"/>
      <c r="U91" s="563"/>
      <c r="V91" s="565"/>
      <c r="W91" s="565"/>
      <c r="X91" s="563"/>
      <c r="Y91" s="639"/>
      <c r="Z91" s="563"/>
      <c r="AA91" s="565"/>
      <c r="AB91" s="565"/>
      <c r="AC91" s="563"/>
      <c r="AD91" s="639"/>
      <c r="AE91" s="563"/>
      <c r="AF91" s="565"/>
      <c r="AG91" s="565"/>
      <c r="AH91" s="563"/>
      <c r="AI91" s="639"/>
      <c r="AJ91" s="563"/>
      <c r="AK91" s="565"/>
      <c r="AL91" s="565"/>
      <c r="AM91" s="563"/>
      <c r="AN91" s="639"/>
      <c r="AO91" s="563"/>
      <c r="AP91" s="565"/>
      <c r="AQ91" s="565"/>
      <c r="AR91" s="563"/>
      <c r="AS91" s="639"/>
      <c r="AT91" s="563"/>
      <c r="AU91" s="565"/>
      <c r="AV91" s="565"/>
      <c r="AW91" s="563"/>
      <c r="AX91" s="639"/>
      <c r="AZ91" s="368" t="e">
        <f t="shared" si="40"/>
        <v>#N/A</v>
      </c>
      <c r="BA91" s="644"/>
    </row>
    <row r="92" spans="2:53">
      <c r="B92" s="649"/>
      <c r="C92" s="380">
        <v>6</v>
      </c>
      <c r="D92" s="225"/>
      <c r="E92" s="516"/>
      <c r="F92" s="513"/>
      <c r="G92" s="512"/>
      <c r="H92" s="657"/>
      <c r="I92" s="381" t="str">
        <f t="shared" si="37"/>
        <v>-</v>
      </c>
      <c r="J92" s="381" t="str">
        <f t="shared" si="38"/>
        <v>-</v>
      </c>
      <c r="K92" s="199" t="str">
        <f t="shared" si="39"/>
        <v>-</v>
      </c>
      <c r="L92" s="659"/>
      <c r="M92" s="422" t="e">
        <f>RANK(K92, K$87:$K$101)</f>
        <v>#VALUE!</v>
      </c>
      <c r="N92" s="643"/>
      <c r="O92" s="643"/>
      <c r="P92" s="563"/>
      <c r="Q92" s="565"/>
      <c r="R92" s="565"/>
      <c r="S92" s="563"/>
      <c r="T92" s="639"/>
      <c r="U92" s="563"/>
      <c r="V92" s="565"/>
      <c r="W92" s="565"/>
      <c r="X92" s="563"/>
      <c r="Y92" s="639"/>
      <c r="Z92" s="563"/>
      <c r="AA92" s="565"/>
      <c r="AB92" s="565"/>
      <c r="AC92" s="563"/>
      <c r="AD92" s="639"/>
      <c r="AE92" s="563"/>
      <c r="AF92" s="565"/>
      <c r="AG92" s="565"/>
      <c r="AH92" s="563"/>
      <c r="AI92" s="639"/>
      <c r="AJ92" s="563"/>
      <c r="AK92" s="565"/>
      <c r="AL92" s="565"/>
      <c r="AM92" s="563"/>
      <c r="AN92" s="639"/>
      <c r="AO92" s="563"/>
      <c r="AP92" s="565"/>
      <c r="AQ92" s="565"/>
      <c r="AR92" s="563"/>
      <c r="AS92" s="639"/>
      <c r="AT92" s="563"/>
      <c r="AU92" s="565"/>
      <c r="AV92" s="565"/>
      <c r="AW92" s="563"/>
      <c r="AX92" s="639"/>
      <c r="AZ92" s="368" t="e">
        <f t="shared" si="40"/>
        <v>#N/A</v>
      </c>
      <c r="BA92" s="644"/>
    </row>
    <row r="93" spans="2:53">
      <c r="B93" s="649"/>
      <c r="C93" s="380">
        <v>7</v>
      </c>
      <c r="D93" s="225"/>
      <c r="E93" s="516"/>
      <c r="F93" s="513"/>
      <c r="G93" s="512"/>
      <c r="H93" s="657"/>
      <c r="I93" s="381" t="str">
        <f t="shared" si="37"/>
        <v>-</v>
      </c>
      <c r="J93" s="381" t="str">
        <f t="shared" si="38"/>
        <v>-</v>
      </c>
      <c r="K93" s="199" t="str">
        <f t="shared" si="39"/>
        <v>-</v>
      </c>
      <c r="L93" s="659"/>
      <c r="M93" s="422" t="e">
        <f>RANK(K93, K$87:$K$101)</f>
        <v>#VALUE!</v>
      </c>
      <c r="N93" s="643"/>
      <c r="O93" s="643"/>
      <c r="P93" s="563"/>
      <c r="Q93" s="565"/>
      <c r="R93" s="565"/>
      <c r="S93" s="563"/>
      <c r="T93" s="639"/>
      <c r="U93" s="563"/>
      <c r="V93" s="565"/>
      <c r="W93" s="565"/>
      <c r="X93" s="563"/>
      <c r="Y93" s="639"/>
      <c r="Z93" s="563"/>
      <c r="AA93" s="565"/>
      <c r="AB93" s="565"/>
      <c r="AC93" s="563"/>
      <c r="AD93" s="639"/>
      <c r="AE93" s="563"/>
      <c r="AF93" s="565"/>
      <c r="AG93" s="565"/>
      <c r="AH93" s="563"/>
      <c r="AI93" s="639"/>
      <c r="AJ93" s="563"/>
      <c r="AK93" s="565"/>
      <c r="AL93" s="565"/>
      <c r="AM93" s="563"/>
      <c r="AN93" s="639"/>
      <c r="AO93" s="563"/>
      <c r="AP93" s="565"/>
      <c r="AQ93" s="565"/>
      <c r="AR93" s="563"/>
      <c r="AS93" s="639"/>
      <c r="AT93" s="563"/>
      <c r="AU93" s="565"/>
      <c r="AV93" s="565"/>
      <c r="AW93" s="563"/>
      <c r="AX93" s="639"/>
      <c r="AZ93" s="368" t="e">
        <f t="shared" si="40"/>
        <v>#N/A</v>
      </c>
      <c r="BA93" s="644"/>
    </row>
    <row r="94" spans="2:53">
      <c r="B94" s="649"/>
      <c r="C94" s="380">
        <v>8</v>
      </c>
      <c r="D94" s="225"/>
      <c r="E94" s="516"/>
      <c r="F94" s="513"/>
      <c r="G94" s="512"/>
      <c r="H94" s="657"/>
      <c r="I94" s="381" t="str">
        <f t="shared" si="37"/>
        <v>-</v>
      </c>
      <c r="J94" s="381" t="str">
        <f t="shared" si="38"/>
        <v>-</v>
      </c>
      <c r="K94" s="199" t="str">
        <f t="shared" si="39"/>
        <v>-</v>
      </c>
      <c r="L94" s="659"/>
      <c r="M94" s="422" t="e">
        <f>RANK(K94, K$87:$K$101)</f>
        <v>#VALUE!</v>
      </c>
      <c r="N94" s="643"/>
      <c r="O94" s="643"/>
      <c r="P94" s="563"/>
      <c r="Q94" s="565"/>
      <c r="R94" s="565"/>
      <c r="S94" s="563"/>
      <c r="T94" s="639"/>
      <c r="U94" s="563"/>
      <c r="V94" s="565"/>
      <c r="W94" s="565"/>
      <c r="X94" s="563"/>
      <c r="Y94" s="639"/>
      <c r="Z94" s="563"/>
      <c r="AA94" s="565"/>
      <c r="AB94" s="565"/>
      <c r="AC94" s="563"/>
      <c r="AD94" s="639"/>
      <c r="AE94" s="563"/>
      <c r="AF94" s="565"/>
      <c r="AG94" s="565"/>
      <c r="AH94" s="563"/>
      <c r="AI94" s="639"/>
      <c r="AJ94" s="563"/>
      <c r="AK94" s="565"/>
      <c r="AL94" s="565"/>
      <c r="AM94" s="563"/>
      <c r="AN94" s="639"/>
      <c r="AO94" s="563"/>
      <c r="AP94" s="565"/>
      <c r="AQ94" s="565"/>
      <c r="AR94" s="563"/>
      <c r="AS94" s="639"/>
      <c r="AT94" s="563"/>
      <c r="AU94" s="565"/>
      <c r="AV94" s="565"/>
      <c r="AW94" s="563"/>
      <c r="AX94" s="639"/>
      <c r="AZ94" s="368" t="e">
        <f t="shared" si="40"/>
        <v>#N/A</v>
      </c>
      <c r="BA94" s="644"/>
    </row>
    <row r="95" spans="2:53">
      <c r="B95" s="649"/>
      <c r="C95" s="380">
        <v>9</v>
      </c>
      <c r="D95" s="225"/>
      <c r="E95" s="516"/>
      <c r="F95" s="513"/>
      <c r="G95" s="512"/>
      <c r="H95" s="657"/>
      <c r="I95" s="381" t="str">
        <f t="shared" si="37"/>
        <v>-</v>
      </c>
      <c r="J95" s="381" t="str">
        <f t="shared" si="38"/>
        <v>-</v>
      </c>
      <c r="K95" s="199" t="str">
        <f t="shared" si="39"/>
        <v>-</v>
      </c>
      <c r="L95" s="659"/>
      <c r="M95" s="422" t="e">
        <f>RANK(K95, K$87:$K$101)</f>
        <v>#VALUE!</v>
      </c>
      <c r="N95" s="643"/>
      <c r="O95" s="643"/>
      <c r="P95" s="563"/>
      <c r="Q95" s="565"/>
      <c r="R95" s="565"/>
      <c r="S95" s="563"/>
      <c r="T95" s="639"/>
      <c r="U95" s="563"/>
      <c r="V95" s="565"/>
      <c r="W95" s="565"/>
      <c r="X95" s="563"/>
      <c r="Y95" s="639"/>
      <c r="Z95" s="563"/>
      <c r="AA95" s="565"/>
      <c r="AB95" s="565"/>
      <c r="AC95" s="563"/>
      <c r="AD95" s="639"/>
      <c r="AE95" s="563"/>
      <c r="AF95" s="565"/>
      <c r="AG95" s="565"/>
      <c r="AH95" s="563"/>
      <c r="AI95" s="639"/>
      <c r="AJ95" s="563"/>
      <c r="AK95" s="565"/>
      <c r="AL95" s="565"/>
      <c r="AM95" s="563"/>
      <c r="AN95" s="639"/>
      <c r="AO95" s="563"/>
      <c r="AP95" s="565"/>
      <c r="AQ95" s="565"/>
      <c r="AR95" s="563"/>
      <c r="AS95" s="639"/>
      <c r="AT95" s="563"/>
      <c r="AU95" s="565"/>
      <c r="AV95" s="565"/>
      <c r="AW95" s="563"/>
      <c r="AX95" s="639"/>
      <c r="AZ95" s="368" t="e">
        <f t="shared" si="40"/>
        <v>#N/A</v>
      </c>
      <c r="BA95" s="644"/>
    </row>
    <row r="96" spans="2:53">
      <c r="B96" s="649"/>
      <c r="C96" s="380">
        <v>10</v>
      </c>
      <c r="D96" s="225"/>
      <c r="E96" s="516"/>
      <c r="F96" s="513"/>
      <c r="G96" s="512"/>
      <c r="H96" s="657"/>
      <c r="I96" s="381" t="str">
        <f t="shared" si="37"/>
        <v>-</v>
      </c>
      <c r="J96" s="381" t="str">
        <f t="shared" si="38"/>
        <v>-</v>
      </c>
      <c r="K96" s="199" t="str">
        <f t="shared" si="39"/>
        <v>-</v>
      </c>
      <c r="L96" s="659"/>
      <c r="M96" s="422" t="e">
        <f>RANK(K96, K$87:$K$101)</f>
        <v>#VALUE!</v>
      </c>
      <c r="N96" s="643"/>
      <c r="O96" s="643"/>
      <c r="P96" s="563"/>
      <c r="Q96" s="565"/>
      <c r="R96" s="565"/>
      <c r="S96" s="563"/>
      <c r="T96" s="639"/>
      <c r="U96" s="563"/>
      <c r="V96" s="565"/>
      <c r="W96" s="565"/>
      <c r="X96" s="563"/>
      <c r="Y96" s="639"/>
      <c r="Z96" s="563"/>
      <c r="AA96" s="565"/>
      <c r="AB96" s="565"/>
      <c r="AC96" s="563"/>
      <c r="AD96" s="639"/>
      <c r="AE96" s="563"/>
      <c r="AF96" s="565"/>
      <c r="AG96" s="565"/>
      <c r="AH96" s="563"/>
      <c r="AI96" s="639"/>
      <c r="AJ96" s="563"/>
      <c r="AK96" s="565"/>
      <c r="AL96" s="565"/>
      <c r="AM96" s="563"/>
      <c r="AN96" s="639"/>
      <c r="AO96" s="563"/>
      <c r="AP96" s="565"/>
      <c r="AQ96" s="565"/>
      <c r="AR96" s="563"/>
      <c r="AS96" s="639"/>
      <c r="AT96" s="563"/>
      <c r="AU96" s="565"/>
      <c r="AV96" s="565"/>
      <c r="AW96" s="563"/>
      <c r="AX96" s="639"/>
      <c r="AZ96" s="368" t="e">
        <f t="shared" si="40"/>
        <v>#N/A</v>
      </c>
      <c r="BA96" s="644"/>
    </row>
    <row r="97" spans="2:53">
      <c r="B97" s="649"/>
      <c r="C97" s="380">
        <v>11</v>
      </c>
      <c r="D97" s="225"/>
      <c r="E97" s="516"/>
      <c r="F97" s="513"/>
      <c r="G97" s="512"/>
      <c r="H97" s="657"/>
      <c r="I97" s="381" t="str">
        <f t="shared" si="37"/>
        <v>-</v>
      </c>
      <c r="J97" s="381" t="str">
        <f t="shared" si="38"/>
        <v>-</v>
      </c>
      <c r="K97" s="199" t="str">
        <f t="shared" si="39"/>
        <v>-</v>
      </c>
      <c r="L97" s="659"/>
      <c r="M97" s="422" t="e">
        <f>RANK(K97, K$87:$K$101)</f>
        <v>#VALUE!</v>
      </c>
      <c r="N97" s="643"/>
      <c r="O97" s="643"/>
      <c r="P97" s="563"/>
      <c r="Q97" s="565"/>
      <c r="R97" s="565"/>
      <c r="S97" s="563"/>
      <c r="T97" s="639"/>
      <c r="U97" s="563"/>
      <c r="V97" s="565"/>
      <c r="W97" s="565"/>
      <c r="X97" s="563"/>
      <c r="Y97" s="639"/>
      <c r="Z97" s="563"/>
      <c r="AA97" s="565"/>
      <c r="AB97" s="565"/>
      <c r="AC97" s="563"/>
      <c r="AD97" s="639"/>
      <c r="AE97" s="563"/>
      <c r="AF97" s="565"/>
      <c r="AG97" s="565"/>
      <c r="AH97" s="563"/>
      <c r="AI97" s="639"/>
      <c r="AJ97" s="563"/>
      <c r="AK97" s="565"/>
      <c r="AL97" s="565"/>
      <c r="AM97" s="563"/>
      <c r="AN97" s="639"/>
      <c r="AO97" s="563"/>
      <c r="AP97" s="565"/>
      <c r="AQ97" s="565"/>
      <c r="AR97" s="563"/>
      <c r="AS97" s="639"/>
      <c r="AT97" s="563"/>
      <c r="AU97" s="565"/>
      <c r="AV97" s="565"/>
      <c r="AW97" s="563"/>
      <c r="AX97" s="639"/>
      <c r="AZ97" s="368" t="e">
        <f t="shared" si="40"/>
        <v>#N/A</v>
      </c>
      <c r="BA97" s="644"/>
    </row>
    <row r="98" spans="2:53">
      <c r="B98" s="649"/>
      <c r="C98" s="380">
        <v>12</v>
      </c>
      <c r="D98" s="225"/>
      <c r="E98" s="516"/>
      <c r="F98" s="513"/>
      <c r="G98" s="512"/>
      <c r="H98" s="657"/>
      <c r="I98" s="381" t="str">
        <f t="shared" si="37"/>
        <v>-</v>
      </c>
      <c r="J98" s="381" t="str">
        <f t="shared" si="38"/>
        <v>-</v>
      </c>
      <c r="K98" s="199" t="str">
        <f t="shared" si="39"/>
        <v>-</v>
      </c>
      <c r="L98" s="659"/>
      <c r="M98" s="422" t="e">
        <f>RANK(K98, K$87:$K$101)</f>
        <v>#VALUE!</v>
      </c>
      <c r="N98" s="643"/>
      <c r="O98" s="643"/>
      <c r="P98" s="563"/>
      <c r="Q98" s="565"/>
      <c r="R98" s="565"/>
      <c r="S98" s="563"/>
      <c r="T98" s="639"/>
      <c r="U98" s="563"/>
      <c r="V98" s="565"/>
      <c r="W98" s="565"/>
      <c r="X98" s="563"/>
      <c r="Y98" s="639"/>
      <c r="Z98" s="563"/>
      <c r="AA98" s="565"/>
      <c r="AB98" s="565"/>
      <c r="AC98" s="563"/>
      <c r="AD98" s="639"/>
      <c r="AE98" s="563"/>
      <c r="AF98" s="565"/>
      <c r="AG98" s="565"/>
      <c r="AH98" s="563"/>
      <c r="AI98" s="639"/>
      <c r="AJ98" s="563"/>
      <c r="AK98" s="565"/>
      <c r="AL98" s="565"/>
      <c r="AM98" s="563"/>
      <c r="AN98" s="639"/>
      <c r="AO98" s="563"/>
      <c r="AP98" s="565"/>
      <c r="AQ98" s="565"/>
      <c r="AR98" s="563"/>
      <c r="AS98" s="639"/>
      <c r="AT98" s="563"/>
      <c r="AU98" s="565"/>
      <c r="AV98" s="565"/>
      <c r="AW98" s="563"/>
      <c r="AX98" s="639"/>
      <c r="AZ98" s="368" t="e">
        <f t="shared" si="40"/>
        <v>#N/A</v>
      </c>
      <c r="BA98" s="644"/>
    </row>
    <row r="99" spans="2:53">
      <c r="B99" s="649"/>
      <c r="C99" s="380">
        <v>13</v>
      </c>
      <c r="D99" s="225"/>
      <c r="E99" s="516"/>
      <c r="F99" s="513"/>
      <c r="G99" s="512"/>
      <c r="H99" s="657"/>
      <c r="I99" s="381" t="str">
        <f t="shared" si="37"/>
        <v>-</v>
      </c>
      <c r="J99" s="381" t="str">
        <f t="shared" si="38"/>
        <v>-</v>
      </c>
      <c r="K99" s="199" t="str">
        <f t="shared" si="39"/>
        <v>-</v>
      </c>
      <c r="L99" s="659"/>
      <c r="M99" s="422" t="e">
        <f>RANK(K99, K$87:$K$101)</f>
        <v>#VALUE!</v>
      </c>
      <c r="N99" s="643"/>
      <c r="O99" s="643"/>
      <c r="P99" s="563"/>
      <c r="Q99" s="565"/>
      <c r="R99" s="565"/>
      <c r="S99" s="563"/>
      <c r="T99" s="639"/>
      <c r="U99" s="563"/>
      <c r="V99" s="565"/>
      <c r="W99" s="565"/>
      <c r="X99" s="563"/>
      <c r="Y99" s="639"/>
      <c r="Z99" s="563"/>
      <c r="AA99" s="565"/>
      <c r="AB99" s="565"/>
      <c r="AC99" s="563"/>
      <c r="AD99" s="639"/>
      <c r="AE99" s="563"/>
      <c r="AF99" s="565"/>
      <c r="AG99" s="565"/>
      <c r="AH99" s="563"/>
      <c r="AI99" s="639"/>
      <c r="AJ99" s="563"/>
      <c r="AK99" s="565"/>
      <c r="AL99" s="565"/>
      <c r="AM99" s="563"/>
      <c r="AN99" s="639"/>
      <c r="AO99" s="563"/>
      <c r="AP99" s="565"/>
      <c r="AQ99" s="565"/>
      <c r="AR99" s="563"/>
      <c r="AS99" s="639"/>
      <c r="AT99" s="563"/>
      <c r="AU99" s="565"/>
      <c r="AV99" s="565"/>
      <c r="AW99" s="563"/>
      <c r="AX99" s="639"/>
      <c r="AZ99" s="368" t="e">
        <f t="shared" si="40"/>
        <v>#N/A</v>
      </c>
      <c r="BA99" s="644"/>
    </row>
    <row r="100" spans="2:53">
      <c r="B100" s="649"/>
      <c r="C100" s="380">
        <v>14</v>
      </c>
      <c r="D100" s="225"/>
      <c r="E100" s="516"/>
      <c r="F100" s="513"/>
      <c r="G100" s="512"/>
      <c r="H100" s="657"/>
      <c r="I100" s="381" t="str">
        <f t="shared" si="37"/>
        <v>-</v>
      </c>
      <c r="J100" s="381" t="str">
        <f t="shared" si="38"/>
        <v>-</v>
      </c>
      <c r="K100" s="199" t="str">
        <f t="shared" si="39"/>
        <v>-</v>
      </c>
      <c r="L100" s="659"/>
      <c r="M100" s="422" t="e">
        <f>RANK(K100, K$87:$K$101)</f>
        <v>#VALUE!</v>
      </c>
      <c r="N100" s="643"/>
      <c r="O100" s="643"/>
      <c r="P100" s="563"/>
      <c r="Q100" s="565"/>
      <c r="R100" s="565"/>
      <c r="S100" s="563"/>
      <c r="T100" s="639"/>
      <c r="U100" s="563"/>
      <c r="V100" s="565"/>
      <c r="W100" s="565"/>
      <c r="X100" s="563"/>
      <c r="Y100" s="639"/>
      <c r="Z100" s="563"/>
      <c r="AA100" s="565"/>
      <c r="AB100" s="565"/>
      <c r="AC100" s="563"/>
      <c r="AD100" s="639"/>
      <c r="AE100" s="563"/>
      <c r="AF100" s="565"/>
      <c r="AG100" s="565"/>
      <c r="AH100" s="563"/>
      <c r="AI100" s="639"/>
      <c r="AJ100" s="563"/>
      <c r="AK100" s="565"/>
      <c r="AL100" s="565"/>
      <c r="AM100" s="563"/>
      <c r="AN100" s="639"/>
      <c r="AO100" s="563"/>
      <c r="AP100" s="565"/>
      <c r="AQ100" s="565"/>
      <c r="AR100" s="563"/>
      <c r="AS100" s="639"/>
      <c r="AT100" s="563"/>
      <c r="AU100" s="565"/>
      <c r="AV100" s="565"/>
      <c r="AW100" s="563"/>
      <c r="AX100" s="639"/>
      <c r="AZ100" s="368" t="e">
        <f t="shared" si="40"/>
        <v>#N/A</v>
      </c>
      <c r="BA100" s="644"/>
    </row>
    <row r="101" spans="2:53">
      <c r="B101" s="649"/>
      <c r="C101" s="380">
        <v>15</v>
      </c>
      <c r="D101" s="225"/>
      <c r="E101" s="516"/>
      <c r="F101" s="513"/>
      <c r="G101" s="512"/>
      <c r="H101" s="714"/>
      <c r="I101" s="380"/>
      <c r="J101" s="380"/>
      <c r="K101" s="380"/>
      <c r="L101" s="660"/>
      <c r="M101" s="422" t="e">
        <f>RANK(K101, K$87:$K$101)</f>
        <v>#N/A</v>
      </c>
      <c r="N101" s="643"/>
      <c r="O101" s="643"/>
      <c r="P101" s="563"/>
      <c r="Q101" s="565"/>
      <c r="R101" s="565"/>
      <c r="S101" s="563"/>
      <c r="T101" s="640"/>
      <c r="U101" s="563"/>
      <c r="V101" s="565"/>
      <c r="W101" s="565"/>
      <c r="X101" s="563"/>
      <c r="Y101" s="640"/>
      <c r="Z101" s="563"/>
      <c r="AA101" s="565"/>
      <c r="AB101" s="565"/>
      <c r="AC101" s="563"/>
      <c r="AD101" s="640"/>
      <c r="AE101" s="563"/>
      <c r="AF101" s="565"/>
      <c r="AG101" s="565"/>
      <c r="AH101" s="563"/>
      <c r="AI101" s="640"/>
      <c r="AJ101" s="563"/>
      <c r="AK101" s="565"/>
      <c r="AL101" s="565"/>
      <c r="AM101" s="563"/>
      <c r="AN101" s="640"/>
      <c r="AO101" s="563"/>
      <c r="AP101" s="565"/>
      <c r="AQ101" s="565"/>
      <c r="AR101" s="563"/>
      <c r="AS101" s="640"/>
      <c r="AT101" s="563"/>
      <c r="AU101" s="565"/>
      <c r="AV101" s="565"/>
      <c r="AW101" s="563"/>
      <c r="AX101" s="640"/>
      <c r="AZ101" s="368" t="e">
        <f t="shared" si="40"/>
        <v>#N/A</v>
      </c>
      <c r="BA101" s="644"/>
    </row>
    <row r="102" spans="2:53" ht="15.75">
      <c r="B102" s="671" t="s">
        <v>162</v>
      </c>
      <c r="C102" s="672"/>
      <c r="D102" s="672"/>
      <c r="E102" s="672"/>
      <c r="F102" s="672"/>
      <c r="G102" s="672"/>
      <c r="H102" s="673"/>
      <c r="I102" s="207"/>
      <c r="J102" s="207"/>
      <c r="K102" s="207"/>
      <c r="L102" s="207"/>
      <c r="M102" s="206"/>
      <c r="N102" s="645" t="s">
        <v>156</v>
      </c>
      <c r="O102" s="645" t="s">
        <v>105</v>
      </c>
      <c r="P102" s="670">
        <f>P82+7</f>
        <v>46301</v>
      </c>
      <c r="Q102" s="649"/>
      <c r="R102" s="649"/>
      <c r="S102" s="649"/>
      <c r="T102" s="649"/>
      <c r="U102" s="667">
        <f>P102+1</f>
        <v>46302</v>
      </c>
      <c r="V102" s="668"/>
      <c r="W102" s="668"/>
      <c r="X102" s="668"/>
      <c r="Y102" s="669"/>
      <c r="Z102" s="667">
        <f>U102+1</f>
        <v>46303</v>
      </c>
      <c r="AA102" s="668"/>
      <c r="AB102" s="668"/>
      <c r="AC102" s="668"/>
      <c r="AD102" s="669"/>
      <c r="AE102" s="667">
        <f>Z102+1</f>
        <v>46304</v>
      </c>
      <c r="AF102" s="668"/>
      <c r="AG102" s="668"/>
      <c r="AH102" s="668"/>
      <c r="AI102" s="669"/>
      <c r="AJ102" s="667">
        <f>AE102+1</f>
        <v>46305</v>
      </c>
      <c r="AK102" s="668"/>
      <c r="AL102" s="668"/>
      <c r="AM102" s="668"/>
      <c r="AN102" s="669"/>
      <c r="AO102" s="667">
        <f>AJ102+1</f>
        <v>46306</v>
      </c>
      <c r="AP102" s="668"/>
      <c r="AQ102" s="668"/>
      <c r="AR102" s="668"/>
      <c r="AS102" s="669"/>
      <c r="AT102" s="667">
        <f>AO102+1</f>
        <v>46307</v>
      </c>
      <c r="AU102" s="668"/>
      <c r="AV102" s="668"/>
      <c r="AW102" s="668"/>
      <c r="AX102" s="669"/>
    </row>
    <row r="103" spans="2:53" ht="15.75">
      <c r="B103" s="674"/>
      <c r="C103" s="674"/>
      <c r="D103" s="674"/>
      <c r="E103" s="674"/>
      <c r="F103" s="674"/>
      <c r="G103" s="674"/>
      <c r="H103" s="674"/>
      <c r="I103" s="204"/>
      <c r="J103" s="204"/>
      <c r="K103" s="204"/>
      <c r="L103" s="204"/>
      <c r="M103" s="205"/>
      <c r="N103" s="647"/>
      <c r="O103" s="647"/>
      <c r="P103" s="670" t="s">
        <v>158</v>
      </c>
      <c r="Q103" s="649"/>
      <c r="R103" s="649"/>
      <c r="S103" s="649"/>
      <c r="T103" s="649"/>
      <c r="U103" s="670" t="s">
        <v>114</v>
      </c>
      <c r="V103" s="649"/>
      <c r="W103" s="649"/>
      <c r="X103" s="649"/>
      <c r="Y103" s="649"/>
      <c r="Z103" s="670" t="s">
        <v>159</v>
      </c>
      <c r="AA103" s="649"/>
      <c r="AB103" s="649"/>
      <c r="AC103" s="649"/>
      <c r="AD103" s="649"/>
      <c r="AE103" s="670" t="s">
        <v>157</v>
      </c>
      <c r="AF103" s="649"/>
      <c r="AG103" s="649"/>
      <c r="AH103" s="649"/>
      <c r="AI103" s="649"/>
      <c r="AJ103" s="670" t="s">
        <v>160</v>
      </c>
      <c r="AK103" s="649"/>
      <c r="AL103" s="649"/>
      <c r="AM103" s="649"/>
      <c r="AN103" s="649"/>
      <c r="AO103" s="670" t="s">
        <v>115</v>
      </c>
      <c r="AP103" s="649"/>
      <c r="AQ103" s="649"/>
      <c r="AR103" s="649"/>
      <c r="AS103" s="649"/>
      <c r="AT103" s="670" t="s">
        <v>161</v>
      </c>
      <c r="AU103" s="649"/>
      <c r="AV103" s="649"/>
      <c r="AW103" s="649"/>
      <c r="AX103" s="649"/>
    </row>
    <row r="104" spans="2:53">
      <c r="B104" s="643" t="s">
        <v>522</v>
      </c>
      <c r="C104" s="643" t="s">
        <v>523</v>
      </c>
      <c r="D104" s="643"/>
      <c r="E104" s="643" t="s">
        <v>524</v>
      </c>
      <c r="F104" s="643"/>
      <c r="G104" s="643"/>
      <c r="H104" s="675" t="s">
        <v>525</v>
      </c>
      <c r="I104" s="643" t="s">
        <v>526</v>
      </c>
      <c r="J104" s="643"/>
      <c r="K104" s="643"/>
      <c r="L104" s="675" t="s">
        <v>359</v>
      </c>
      <c r="M104" s="645" t="s">
        <v>527</v>
      </c>
      <c r="N104" s="643"/>
      <c r="O104" s="643" t="s">
        <v>513</v>
      </c>
      <c r="P104" s="661" t="s">
        <v>514</v>
      </c>
      <c r="Q104" s="662"/>
      <c r="R104" s="662"/>
      <c r="S104" s="663"/>
      <c r="T104" s="643" t="s">
        <v>510</v>
      </c>
      <c r="U104" s="661" t="s">
        <v>514</v>
      </c>
      <c r="V104" s="662"/>
      <c r="W104" s="662"/>
      <c r="X104" s="663"/>
      <c r="Y104" s="643" t="s">
        <v>510</v>
      </c>
      <c r="Z104" s="661" t="s">
        <v>514</v>
      </c>
      <c r="AA104" s="662"/>
      <c r="AB104" s="662"/>
      <c r="AC104" s="663"/>
      <c r="AD104" s="643" t="s">
        <v>510</v>
      </c>
      <c r="AE104" s="661" t="s">
        <v>514</v>
      </c>
      <c r="AF104" s="662"/>
      <c r="AG104" s="662"/>
      <c r="AH104" s="663"/>
      <c r="AI104" s="643" t="s">
        <v>510</v>
      </c>
      <c r="AJ104" s="661" t="s">
        <v>514</v>
      </c>
      <c r="AK104" s="662"/>
      <c r="AL104" s="662"/>
      <c r="AM104" s="663"/>
      <c r="AN104" s="643" t="s">
        <v>510</v>
      </c>
      <c r="AO104" s="661" t="s">
        <v>514</v>
      </c>
      <c r="AP104" s="662"/>
      <c r="AQ104" s="662"/>
      <c r="AR104" s="663"/>
      <c r="AS104" s="643" t="s">
        <v>510</v>
      </c>
      <c r="AT104" s="661" t="s">
        <v>514</v>
      </c>
      <c r="AU104" s="662"/>
      <c r="AV104" s="662"/>
      <c r="AW104" s="663"/>
      <c r="AX104" s="643" t="s">
        <v>510</v>
      </c>
      <c r="BA104" s="643" t="s">
        <v>359</v>
      </c>
    </row>
    <row r="105" spans="2:53">
      <c r="B105" s="643"/>
      <c r="C105" s="643"/>
      <c r="D105" s="643"/>
      <c r="E105" s="643" t="s">
        <v>529</v>
      </c>
      <c r="F105" s="643"/>
      <c r="G105" s="643"/>
      <c r="H105" s="676"/>
      <c r="I105" s="643" t="s">
        <v>529</v>
      </c>
      <c r="J105" s="643"/>
      <c r="K105" s="643"/>
      <c r="L105" s="676"/>
      <c r="M105" s="646"/>
      <c r="N105" s="643"/>
      <c r="O105" s="643"/>
      <c r="P105" s="661" t="s">
        <v>516</v>
      </c>
      <c r="Q105" s="662"/>
      <c r="R105" s="662"/>
      <c r="S105" s="663"/>
      <c r="T105" s="643"/>
      <c r="U105" s="661" t="s">
        <v>516</v>
      </c>
      <c r="V105" s="662"/>
      <c r="W105" s="662"/>
      <c r="X105" s="663"/>
      <c r="Y105" s="643"/>
      <c r="Z105" s="661" t="s">
        <v>516</v>
      </c>
      <c r="AA105" s="662"/>
      <c r="AB105" s="662"/>
      <c r="AC105" s="663"/>
      <c r="AD105" s="643"/>
      <c r="AE105" s="661" t="s">
        <v>516</v>
      </c>
      <c r="AF105" s="662"/>
      <c r="AG105" s="662"/>
      <c r="AH105" s="663"/>
      <c r="AI105" s="643"/>
      <c r="AJ105" s="661" t="s">
        <v>516</v>
      </c>
      <c r="AK105" s="662"/>
      <c r="AL105" s="662"/>
      <c r="AM105" s="663"/>
      <c r="AN105" s="643"/>
      <c r="AO105" s="661" t="s">
        <v>516</v>
      </c>
      <c r="AP105" s="662"/>
      <c r="AQ105" s="662"/>
      <c r="AR105" s="663"/>
      <c r="AS105" s="643"/>
      <c r="AT105" s="661" t="s">
        <v>516</v>
      </c>
      <c r="AU105" s="662"/>
      <c r="AV105" s="662"/>
      <c r="AW105" s="663"/>
      <c r="AX105" s="643"/>
      <c r="BA105" s="643"/>
    </row>
    <row r="106" spans="2:53">
      <c r="B106" s="643"/>
      <c r="C106" s="643"/>
      <c r="D106" s="643"/>
      <c r="E106" s="345" t="s">
        <v>530</v>
      </c>
      <c r="F106" s="345" t="s">
        <v>531</v>
      </c>
      <c r="G106" s="345" t="s">
        <v>532</v>
      </c>
      <c r="H106" s="677"/>
      <c r="I106" s="345" t="s">
        <v>530</v>
      </c>
      <c r="J106" s="345" t="s">
        <v>531</v>
      </c>
      <c r="K106" s="345" t="s">
        <v>532</v>
      </c>
      <c r="L106" s="677"/>
      <c r="M106" s="647"/>
      <c r="N106" s="643"/>
      <c r="O106" s="643"/>
      <c r="P106" s="345" t="s">
        <v>517</v>
      </c>
      <c r="Q106" s="345" t="s">
        <v>518</v>
      </c>
      <c r="R106" s="345" t="s">
        <v>519</v>
      </c>
      <c r="S106" s="345" t="s">
        <v>512</v>
      </c>
      <c r="T106" s="643"/>
      <c r="U106" s="345" t="s">
        <v>517</v>
      </c>
      <c r="V106" s="345" t="s">
        <v>518</v>
      </c>
      <c r="W106" s="345" t="s">
        <v>519</v>
      </c>
      <c r="X106" s="345" t="s">
        <v>512</v>
      </c>
      <c r="Y106" s="643"/>
      <c r="Z106" s="345" t="s">
        <v>517</v>
      </c>
      <c r="AA106" s="345" t="s">
        <v>518</v>
      </c>
      <c r="AB106" s="345" t="s">
        <v>519</v>
      </c>
      <c r="AC106" s="345" t="s">
        <v>512</v>
      </c>
      <c r="AD106" s="643"/>
      <c r="AE106" s="345" t="s">
        <v>517</v>
      </c>
      <c r="AF106" s="345" t="s">
        <v>518</v>
      </c>
      <c r="AG106" s="345" t="s">
        <v>519</v>
      </c>
      <c r="AH106" s="345" t="s">
        <v>512</v>
      </c>
      <c r="AI106" s="643"/>
      <c r="AJ106" s="345" t="s">
        <v>517</v>
      </c>
      <c r="AK106" s="345" t="s">
        <v>518</v>
      </c>
      <c r="AL106" s="345" t="s">
        <v>519</v>
      </c>
      <c r="AM106" s="345" t="s">
        <v>512</v>
      </c>
      <c r="AN106" s="643"/>
      <c r="AO106" s="345" t="s">
        <v>517</v>
      </c>
      <c r="AP106" s="345" t="s">
        <v>518</v>
      </c>
      <c r="AQ106" s="345" t="s">
        <v>519</v>
      </c>
      <c r="AR106" s="345" t="s">
        <v>512</v>
      </c>
      <c r="AS106" s="643"/>
      <c r="AT106" s="345" t="s">
        <v>517</v>
      </c>
      <c r="AU106" s="345" t="s">
        <v>518</v>
      </c>
      <c r="AV106" s="345" t="s">
        <v>519</v>
      </c>
      <c r="AW106" s="345" t="s">
        <v>512</v>
      </c>
      <c r="AX106" s="643"/>
      <c r="AZ106" s="367" t="s">
        <v>512</v>
      </c>
      <c r="BA106" s="643"/>
    </row>
    <row r="107" spans="2:53">
      <c r="B107" s="643" t="s">
        <v>136</v>
      </c>
      <c r="C107" s="348">
        <v>1</v>
      </c>
      <c r="D107" s="225"/>
      <c r="E107" s="181"/>
      <c r="F107" s="353"/>
      <c r="G107" s="354"/>
      <c r="H107" s="656" t="e">
        <f>AVERAGE(G107:G121)</f>
        <v>#DIV/0!</v>
      </c>
      <c r="I107" s="363" t="str">
        <f t="shared" ref="I107:I120" si="42">IFERROR(AVERAGE(P107,U107,Z107,AE107,AJ107,AO107,AT107),"-")</f>
        <v>-</v>
      </c>
      <c r="J107" s="363" t="str">
        <f t="shared" ref="J107:J120" si="43">IFERROR(AVERAGE(Q107,V107,AA107,AF107,AK107,AP107,AU107),"-")</f>
        <v>-</v>
      </c>
      <c r="K107" s="199" t="str">
        <f t="shared" ref="K107:K120" si="44">IFERROR(AVERAGE(R107,W107,AB107,AG107,AL107,AQ107,AV107),"-")</f>
        <v>-</v>
      </c>
      <c r="L107" s="658" t="str">
        <f>IFERROR(AVERAGE(K107:K121),"-")</f>
        <v>-</v>
      </c>
      <c r="M107" s="349" t="e">
        <f>RANK(K107, K$67:$K$81)</f>
        <v>#VALUE!</v>
      </c>
      <c r="N107" s="643"/>
      <c r="O107" s="643"/>
      <c r="P107" s="563"/>
      <c r="Q107" s="565"/>
      <c r="R107" s="565"/>
      <c r="S107" s="563"/>
      <c r="T107" s="638"/>
      <c r="U107" s="563"/>
      <c r="V107" s="565"/>
      <c r="W107" s="565"/>
      <c r="X107" s="563"/>
      <c r="Y107" s="638"/>
      <c r="Z107" s="563"/>
      <c r="AA107" s="565"/>
      <c r="AB107" s="565"/>
      <c r="AC107" s="563"/>
      <c r="AD107" s="638"/>
      <c r="AE107" s="563"/>
      <c r="AF107" s="565"/>
      <c r="AG107" s="565"/>
      <c r="AH107" s="563"/>
      <c r="AI107" s="638"/>
      <c r="AJ107" s="563"/>
      <c r="AK107" s="565"/>
      <c r="AL107" s="565"/>
      <c r="AM107" s="563"/>
      <c r="AN107" s="638"/>
      <c r="AO107" s="563"/>
      <c r="AP107" s="565"/>
      <c r="AQ107" s="565"/>
      <c r="AR107" s="563"/>
      <c r="AS107" s="638"/>
      <c r="AT107" s="563"/>
      <c r="AU107" s="565"/>
      <c r="AV107" s="565"/>
      <c r="AW107" s="563"/>
      <c r="AX107" s="638"/>
      <c r="AZ107" s="369" t="e">
        <f>RANK(AY107, AY$67:AY$81)</f>
        <v>#N/A</v>
      </c>
      <c r="BA107" s="700" t="e">
        <f>AVERAGE(AY107:AY121)</f>
        <v>#DIV/0!</v>
      </c>
    </row>
    <row r="108" spans="2:53">
      <c r="B108" s="678"/>
      <c r="C108" s="348">
        <v>2</v>
      </c>
      <c r="D108" s="225"/>
      <c r="E108" s="181"/>
      <c r="F108" s="353"/>
      <c r="G108" s="354"/>
      <c r="H108" s="657"/>
      <c r="I108" s="363" t="str">
        <f t="shared" si="42"/>
        <v>-</v>
      </c>
      <c r="J108" s="363" t="str">
        <f t="shared" si="43"/>
        <v>-</v>
      </c>
      <c r="K108" s="199" t="str">
        <f t="shared" si="44"/>
        <v>-</v>
      </c>
      <c r="L108" s="659"/>
      <c r="M108" s="349" t="e">
        <f>RANK(K108, K$67:$K$81)</f>
        <v>#VALUE!</v>
      </c>
      <c r="N108" s="643"/>
      <c r="O108" s="643"/>
      <c r="P108" s="563"/>
      <c r="Q108" s="565"/>
      <c r="R108" s="565"/>
      <c r="S108" s="563"/>
      <c r="T108" s="639"/>
      <c r="U108" s="563"/>
      <c r="V108" s="565"/>
      <c r="W108" s="565"/>
      <c r="X108" s="563"/>
      <c r="Y108" s="639"/>
      <c r="Z108" s="563"/>
      <c r="AA108" s="565"/>
      <c r="AB108" s="565"/>
      <c r="AC108" s="563"/>
      <c r="AD108" s="639"/>
      <c r="AE108" s="563"/>
      <c r="AF108" s="565"/>
      <c r="AG108" s="565"/>
      <c r="AH108" s="563"/>
      <c r="AI108" s="639"/>
      <c r="AJ108" s="563"/>
      <c r="AK108" s="565"/>
      <c r="AL108" s="565"/>
      <c r="AM108" s="563"/>
      <c r="AN108" s="639"/>
      <c r="AO108" s="563"/>
      <c r="AP108" s="565"/>
      <c r="AQ108" s="565"/>
      <c r="AR108" s="563"/>
      <c r="AS108" s="639"/>
      <c r="AT108" s="563"/>
      <c r="AU108" s="565"/>
      <c r="AV108" s="565"/>
      <c r="AW108" s="563"/>
      <c r="AX108" s="639"/>
      <c r="AZ108" s="369" t="e">
        <f t="shared" ref="AZ108:AZ121" si="45">RANK(AY108, AY$67:AY$81)</f>
        <v>#N/A</v>
      </c>
      <c r="BA108" s="700"/>
    </row>
    <row r="109" spans="2:53">
      <c r="B109" s="678"/>
      <c r="C109" s="348">
        <v>3</v>
      </c>
      <c r="D109" s="225"/>
      <c r="E109" s="181"/>
      <c r="F109" s="353"/>
      <c r="G109" s="354"/>
      <c r="H109" s="657"/>
      <c r="I109" s="363" t="str">
        <f t="shared" si="42"/>
        <v>-</v>
      </c>
      <c r="J109" s="363" t="str">
        <f t="shared" si="43"/>
        <v>-</v>
      </c>
      <c r="K109" s="199" t="str">
        <f t="shared" si="44"/>
        <v>-</v>
      </c>
      <c r="L109" s="659"/>
      <c r="M109" s="349" t="e">
        <f>RANK(K109, K$67:$K$81)</f>
        <v>#VALUE!</v>
      </c>
      <c r="N109" s="643"/>
      <c r="O109" s="643"/>
      <c r="P109" s="563"/>
      <c r="Q109" s="565"/>
      <c r="R109" s="565"/>
      <c r="S109" s="563"/>
      <c r="T109" s="639"/>
      <c r="U109" s="563"/>
      <c r="V109" s="565"/>
      <c r="W109" s="565"/>
      <c r="X109" s="563"/>
      <c r="Y109" s="639"/>
      <c r="Z109" s="563"/>
      <c r="AA109" s="565"/>
      <c r="AB109" s="565"/>
      <c r="AC109" s="563"/>
      <c r="AD109" s="639"/>
      <c r="AE109" s="563"/>
      <c r="AF109" s="565"/>
      <c r="AG109" s="565"/>
      <c r="AH109" s="563"/>
      <c r="AI109" s="639"/>
      <c r="AJ109" s="563"/>
      <c r="AK109" s="565"/>
      <c r="AL109" s="565"/>
      <c r="AM109" s="563"/>
      <c r="AN109" s="639"/>
      <c r="AO109" s="563"/>
      <c r="AP109" s="565"/>
      <c r="AQ109" s="565"/>
      <c r="AR109" s="563"/>
      <c r="AS109" s="639"/>
      <c r="AT109" s="563"/>
      <c r="AU109" s="565"/>
      <c r="AV109" s="565"/>
      <c r="AW109" s="563"/>
      <c r="AX109" s="639"/>
      <c r="AZ109" s="369" t="e">
        <f t="shared" si="45"/>
        <v>#N/A</v>
      </c>
      <c r="BA109" s="700"/>
    </row>
    <row r="110" spans="2:53">
      <c r="B110" s="678"/>
      <c r="C110" s="348">
        <v>4</v>
      </c>
      <c r="D110" s="225"/>
      <c r="E110" s="181"/>
      <c r="F110" s="353"/>
      <c r="G110" s="354"/>
      <c r="H110" s="657"/>
      <c r="I110" s="363" t="str">
        <f t="shared" si="42"/>
        <v>-</v>
      </c>
      <c r="J110" s="363" t="str">
        <f t="shared" si="43"/>
        <v>-</v>
      </c>
      <c r="K110" s="199" t="str">
        <f t="shared" si="44"/>
        <v>-</v>
      </c>
      <c r="L110" s="659"/>
      <c r="M110" s="349" t="e">
        <f>RANK(K110, K$67:$K$81)</f>
        <v>#VALUE!</v>
      </c>
      <c r="N110" s="643"/>
      <c r="O110" s="643"/>
      <c r="P110" s="563"/>
      <c r="Q110" s="565"/>
      <c r="R110" s="565"/>
      <c r="S110" s="563"/>
      <c r="T110" s="639"/>
      <c r="U110" s="563"/>
      <c r="V110" s="565"/>
      <c r="W110" s="565"/>
      <c r="X110" s="563"/>
      <c r="Y110" s="639"/>
      <c r="Z110" s="563"/>
      <c r="AA110" s="565"/>
      <c r="AB110" s="565"/>
      <c r="AC110" s="563"/>
      <c r="AD110" s="639"/>
      <c r="AE110" s="563"/>
      <c r="AF110" s="565"/>
      <c r="AG110" s="565"/>
      <c r="AH110" s="563"/>
      <c r="AI110" s="639"/>
      <c r="AJ110" s="563"/>
      <c r="AK110" s="565"/>
      <c r="AL110" s="565"/>
      <c r="AM110" s="563"/>
      <c r="AN110" s="639"/>
      <c r="AO110" s="563"/>
      <c r="AP110" s="565"/>
      <c r="AQ110" s="565"/>
      <c r="AR110" s="563"/>
      <c r="AS110" s="639"/>
      <c r="AT110" s="563"/>
      <c r="AU110" s="565"/>
      <c r="AV110" s="565"/>
      <c r="AW110" s="563"/>
      <c r="AX110" s="639"/>
      <c r="AZ110" s="369" t="e">
        <f t="shared" si="45"/>
        <v>#N/A</v>
      </c>
      <c r="BA110" s="700"/>
    </row>
    <row r="111" spans="2:53">
      <c r="B111" s="678"/>
      <c r="C111" s="348">
        <v>5</v>
      </c>
      <c r="D111" s="225"/>
      <c r="E111" s="181"/>
      <c r="F111" s="353"/>
      <c r="G111" s="354"/>
      <c r="H111" s="657"/>
      <c r="I111" s="363" t="str">
        <f t="shared" si="42"/>
        <v>-</v>
      </c>
      <c r="J111" s="363" t="str">
        <f t="shared" si="43"/>
        <v>-</v>
      </c>
      <c r="K111" s="199" t="str">
        <f t="shared" si="44"/>
        <v>-</v>
      </c>
      <c r="L111" s="659"/>
      <c r="M111" s="349" t="e">
        <f>RANK(K111, K$67:$K$81)</f>
        <v>#VALUE!</v>
      </c>
      <c r="N111" s="643"/>
      <c r="O111" s="643"/>
      <c r="P111" s="563"/>
      <c r="Q111" s="565"/>
      <c r="R111" s="565"/>
      <c r="S111" s="563"/>
      <c r="T111" s="639"/>
      <c r="U111" s="563"/>
      <c r="V111" s="565"/>
      <c r="W111" s="565"/>
      <c r="X111" s="563"/>
      <c r="Y111" s="639"/>
      <c r="Z111" s="563"/>
      <c r="AA111" s="565"/>
      <c r="AB111" s="565"/>
      <c r="AC111" s="563"/>
      <c r="AD111" s="639"/>
      <c r="AE111" s="563"/>
      <c r="AF111" s="565"/>
      <c r="AG111" s="565"/>
      <c r="AH111" s="563"/>
      <c r="AI111" s="639"/>
      <c r="AJ111" s="563"/>
      <c r="AK111" s="565"/>
      <c r="AL111" s="565"/>
      <c r="AM111" s="563"/>
      <c r="AN111" s="639"/>
      <c r="AO111" s="563"/>
      <c r="AP111" s="565"/>
      <c r="AQ111" s="565"/>
      <c r="AR111" s="563"/>
      <c r="AS111" s="639"/>
      <c r="AT111" s="563"/>
      <c r="AU111" s="565"/>
      <c r="AV111" s="565"/>
      <c r="AW111" s="563"/>
      <c r="AX111" s="639"/>
      <c r="AZ111" s="369" t="e">
        <f t="shared" si="45"/>
        <v>#N/A</v>
      </c>
      <c r="BA111" s="700"/>
    </row>
    <row r="112" spans="2:53">
      <c r="B112" s="678"/>
      <c r="C112" s="348">
        <v>6</v>
      </c>
      <c r="D112" s="225"/>
      <c r="E112" s="181"/>
      <c r="F112" s="353"/>
      <c r="G112" s="354"/>
      <c r="H112" s="657"/>
      <c r="I112" s="363" t="str">
        <f t="shared" si="42"/>
        <v>-</v>
      </c>
      <c r="J112" s="363" t="str">
        <f t="shared" si="43"/>
        <v>-</v>
      </c>
      <c r="K112" s="199" t="str">
        <f t="shared" si="44"/>
        <v>-</v>
      </c>
      <c r="L112" s="659"/>
      <c r="M112" s="349" t="e">
        <f>RANK(K112, K$67:$K$81)</f>
        <v>#VALUE!</v>
      </c>
      <c r="N112" s="643"/>
      <c r="O112" s="643"/>
      <c r="P112" s="563"/>
      <c r="Q112" s="565"/>
      <c r="R112" s="565"/>
      <c r="S112" s="563"/>
      <c r="T112" s="639"/>
      <c r="U112" s="563"/>
      <c r="V112" s="565"/>
      <c r="W112" s="565"/>
      <c r="X112" s="563"/>
      <c r="Y112" s="639"/>
      <c r="Z112" s="563"/>
      <c r="AA112" s="565"/>
      <c r="AB112" s="565"/>
      <c r="AC112" s="563"/>
      <c r="AD112" s="639"/>
      <c r="AE112" s="563"/>
      <c r="AF112" s="565"/>
      <c r="AG112" s="565"/>
      <c r="AH112" s="563"/>
      <c r="AI112" s="639"/>
      <c r="AJ112" s="563"/>
      <c r="AK112" s="565"/>
      <c r="AL112" s="565"/>
      <c r="AM112" s="563"/>
      <c r="AN112" s="639"/>
      <c r="AO112" s="563"/>
      <c r="AP112" s="565"/>
      <c r="AQ112" s="565"/>
      <c r="AR112" s="563"/>
      <c r="AS112" s="639"/>
      <c r="AT112" s="563"/>
      <c r="AU112" s="565"/>
      <c r="AV112" s="565"/>
      <c r="AW112" s="563"/>
      <c r="AX112" s="639"/>
      <c r="AZ112" s="369" t="e">
        <f t="shared" si="45"/>
        <v>#N/A</v>
      </c>
      <c r="BA112" s="700"/>
    </row>
    <row r="113" spans="2:53">
      <c r="B113" s="678"/>
      <c r="C113" s="348">
        <v>7</v>
      </c>
      <c r="D113" s="225"/>
      <c r="E113" s="181"/>
      <c r="F113" s="353"/>
      <c r="G113" s="354"/>
      <c r="H113" s="657"/>
      <c r="I113" s="363" t="str">
        <f t="shared" si="42"/>
        <v>-</v>
      </c>
      <c r="J113" s="363" t="str">
        <f t="shared" si="43"/>
        <v>-</v>
      </c>
      <c r="K113" s="199" t="str">
        <f t="shared" si="44"/>
        <v>-</v>
      </c>
      <c r="L113" s="659"/>
      <c r="M113" s="349" t="e">
        <f>RANK(K113, K$67:$K$81)</f>
        <v>#VALUE!</v>
      </c>
      <c r="N113" s="643"/>
      <c r="O113" s="643"/>
      <c r="P113" s="563"/>
      <c r="Q113" s="565"/>
      <c r="R113" s="565"/>
      <c r="S113" s="563"/>
      <c r="T113" s="639"/>
      <c r="U113" s="563"/>
      <c r="V113" s="565"/>
      <c r="W113" s="565"/>
      <c r="X113" s="563"/>
      <c r="Y113" s="639"/>
      <c r="Z113" s="563"/>
      <c r="AA113" s="565"/>
      <c r="AB113" s="565"/>
      <c r="AC113" s="563"/>
      <c r="AD113" s="639"/>
      <c r="AE113" s="563"/>
      <c r="AF113" s="565"/>
      <c r="AG113" s="565"/>
      <c r="AH113" s="563"/>
      <c r="AI113" s="639"/>
      <c r="AJ113" s="563"/>
      <c r="AK113" s="565"/>
      <c r="AL113" s="565"/>
      <c r="AM113" s="563"/>
      <c r="AN113" s="639"/>
      <c r="AO113" s="563"/>
      <c r="AP113" s="565"/>
      <c r="AQ113" s="565"/>
      <c r="AR113" s="563"/>
      <c r="AS113" s="639"/>
      <c r="AT113" s="563"/>
      <c r="AU113" s="565"/>
      <c r="AV113" s="565"/>
      <c r="AW113" s="563"/>
      <c r="AX113" s="639"/>
      <c r="AZ113" s="369" t="e">
        <f t="shared" si="45"/>
        <v>#N/A</v>
      </c>
      <c r="BA113" s="700"/>
    </row>
    <row r="114" spans="2:53">
      <c r="B114" s="678"/>
      <c r="C114" s="348">
        <v>8</v>
      </c>
      <c r="D114" s="225"/>
      <c r="E114" s="181"/>
      <c r="F114" s="353"/>
      <c r="G114" s="354"/>
      <c r="H114" s="657"/>
      <c r="I114" s="363" t="str">
        <f t="shared" si="42"/>
        <v>-</v>
      </c>
      <c r="J114" s="363" t="str">
        <f t="shared" si="43"/>
        <v>-</v>
      </c>
      <c r="K114" s="199" t="str">
        <f t="shared" si="44"/>
        <v>-</v>
      </c>
      <c r="L114" s="659"/>
      <c r="M114" s="349" t="e">
        <f>RANK(K114, K$67:$K$81)</f>
        <v>#VALUE!</v>
      </c>
      <c r="N114" s="643"/>
      <c r="O114" s="643"/>
      <c r="P114" s="563"/>
      <c r="Q114" s="565"/>
      <c r="R114" s="565"/>
      <c r="S114" s="563"/>
      <c r="T114" s="639"/>
      <c r="U114" s="563"/>
      <c r="V114" s="565"/>
      <c r="W114" s="565"/>
      <c r="X114" s="563"/>
      <c r="Y114" s="639"/>
      <c r="Z114" s="563"/>
      <c r="AA114" s="565"/>
      <c r="AB114" s="565"/>
      <c r="AC114" s="563"/>
      <c r="AD114" s="639"/>
      <c r="AE114" s="563"/>
      <c r="AF114" s="565"/>
      <c r="AG114" s="565"/>
      <c r="AH114" s="563"/>
      <c r="AI114" s="639"/>
      <c r="AJ114" s="563"/>
      <c r="AK114" s="565"/>
      <c r="AL114" s="565"/>
      <c r="AM114" s="563"/>
      <c r="AN114" s="639"/>
      <c r="AO114" s="563"/>
      <c r="AP114" s="565"/>
      <c r="AQ114" s="565"/>
      <c r="AR114" s="563"/>
      <c r="AS114" s="639"/>
      <c r="AT114" s="563"/>
      <c r="AU114" s="565"/>
      <c r="AV114" s="565"/>
      <c r="AW114" s="563"/>
      <c r="AX114" s="639"/>
      <c r="AZ114" s="369" t="e">
        <f t="shared" si="45"/>
        <v>#N/A</v>
      </c>
      <c r="BA114" s="700"/>
    </row>
    <row r="115" spans="2:53">
      <c r="B115" s="678"/>
      <c r="C115" s="348">
        <v>9</v>
      </c>
      <c r="D115" s="225"/>
      <c r="E115" s="181"/>
      <c r="F115" s="353"/>
      <c r="G115" s="354"/>
      <c r="H115" s="657"/>
      <c r="I115" s="363" t="str">
        <f t="shared" si="42"/>
        <v>-</v>
      </c>
      <c r="J115" s="363" t="str">
        <f t="shared" si="43"/>
        <v>-</v>
      </c>
      <c r="K115" s="199" t="str">
        <f t="shared" si="44"/>
        <v>-</v>
      </c>
      <c r="L115" s="659"/>
      <c r="M115" s="349" t="e">
        <f>RANK(K115, K$67:$K$81)</f>
        <v>#VALUE!</v>
      </c>
      <c r="N115" s="643"/>
      <c r="O115" s="643"/>
      <c r="P115" s="563"/>
      <c r="Q115" s="565"/>
      <c r="R115" s="565"/>
      <c r="S115" s="563"/>
      <c r="T115" s="639"/>
      <c r="U115" s="563"/>
      <c r="V115" s="565"/>
      <c r="W115" s="565"/>
      <c r="X115" s="563"/>
      <c r="Y115" s="639"/>
      <c r="Z115" s="563"/>
      <c r="AA115" s="565"/>
      <c r="AB115" s="565"/>
      <c r="AC115" s="563"/>
      <c r="AD115" s="639"/>
      <c r="AE115" s="563"/>
      <c r="AF115" s="565"/>
      <c r="AG115" s="565"/>
      <c r="AH115" s="563"/>
      <c r="AI115" s="639"/>
      <c r="AJ115" s="563"/>
      <c r="AK115" s="565"/>
      <c r="AL115" s="565"/>
      <c r="AM115" s="563"/>
      <c r="AN115" s="639"/>
      <c r="AO115" s="563"/>
      <c r="AP115" s="565"/>
      <c r="AQ115" s="565"/>
      <c r="AR115" s="563"/>
      <c r="AS115" s="639"/>
      <c r="AT115" s="563"/>
      <c r="AU115" s="565"/>
      <c r="AV115" s="565"/>
      <c r="AW115" s="563"/>
      <c r="AX115" s="639"/>
      <c r="AZ115" s="369" t="e">
        <f t="shared" si="45"/>
        <v>#N/A</v>
      </c>
      <c r="BA115" s="700"/>
    </row>
    <row r="116" spans="2:53">
      <c r="B116" s="678"/>
      <c r="C116" s="348">
        <v>10</v>
      </c>
      <c r="D116" s="225"/>
      <c r="E116" s="181"/>
      <c r="F116" s="353"/>
      <c r="G116" s="354"/>
      <c r="H116" s="657"/>
      <c r="I116" s="363" t="str">
        <f t="shared" si="42"/>
        <v>-</v>
      </c>
      <c r="J116" s="363" t="str">
        <f t="shared" si="43"/>
        <v>-</v>
      </c>
      <c r="K116" s="199" t="str">
        <f t="shared" si="44"/>
        <v>-</v>
      </c>
      <c r="L116" s="659"/>
      <c r="M116" s="349" t="e">
        <f>RANK(K116, K$67:$K$81)</f>
        <v>#VALUE!</v>
      </c>
      <c r="N116" s="643"/>
      <c r="O116" s="643"/>
      <c r="P116" s="563"/>
      <c r="Q116" s="565"/>
      <c r="R116" s="565"/>
      <c r="S116" s="563"/>
      <c r="T116" s="639"/>
      <c r="U116" s="563"/>
      <c r="V116" s="565"/>
      <c r="W116" s="565"/>
      <c r="X116" s="563"/>
      <c r="Y116" s="639"/>
      <c r="Z116" s="563"/>
      <c r="AA116" s="565"/>
      <c r="AB116" s="565"/>
      <c r="AC116" s="563"/>
      <c r="AD116" s="639"/>
      <c r="AE116" s="563"/>
      <c r="AF116" s="565"/>
      <c r="AG116" s="565"/>
      <c r="AH116" s="563"/>
      <c r="AI116" s="639"/>
      <c r="AJ116" s="563"/>
      <c r="AK116" s="565"/>
      <c r="AL116" s="565"/>
      <c r="AM116" s="563"/>
      <c r="AN116" s="639"/>
      <c r="AO116" s="563"/>
      <c r="AP116" s="565"/>
      <c r="AQ116" s="565"/>
      <c r="AR116" s="563"/>
      <c r="AS116" s="639"/>
      <c r="AT116" s="563"/>
      <c r="AU116" s="565"/>
      <c r="AV116" s="565"/>
      <c r="AW116" s="563"/>
      <c r="AX116" s="639"/>
      <c r="AZ116" s="369" t="e">
        <f t="shared" si="45"/>
        <v>#N/A</v>
      </c>
      <c r="BA116" s="700"/>
    </row>
    <row r="117" spans="2:53">
      <c r="B117" s="678"/>
      <c r="C117" s="348">
        <v>11</v>
      </c>
      <c r="D117" s="225"/>
      <c r="E117" s="181"/>
      <c r="F117" s="353"/>
      <c r="G117" s="354"/>
      <c r="H117" s="657"/>
      <c r="I117" s="363" t="str">
        <f t="shared" si="42"/>
        <v>-</v>
      </c>
      <c r="J117" s="363" t="str">
        <f t="shared" si="43"/>
        <v>-</v>
      </c>
      <c r="K117" s="199" t="str">
        <f t="shared" si="44"/>
        <v>-</v>
      </c>
      <c r="L117" s="659"/>
      <c r="M117" s="349" t="e">
        <f>RANK(K117, K$67:$K$81)</f>
        <v>#VALUE!</v>
      </c>
      <c r="N117" s="643"/>
      <c r="O117" s="643"/>
      <c r="P117" s="563"/>
      <c r="Q117" s="565"/>
      <c r="R117" s="565"/>
      <c r="S117" s="563"/>
      <c r="T117" s="639"/>
      <c r="U117" s="563"/>
      <c r="V117" s="565"/>
      <c r="W117" s="565"/>
      <c r="X117" s="563"/>
      <c r="Y117" s="639"/>
      <c r="Z117" s="563"/>
      <c r="AA117" s="565"/>
      <c r="AB117" s="565"/>
      <c r="AC117" s="563"/>
      <c r="AD117" s="639"/>
      <c r="AE117" s="563"/>
      <c r="AF117" s="565"/>
      <c r="AG117" s="565"/>
      <c r="AH117" s="563"/>
      <c r="AI117" s="639"/>
      <c r="AJ117" s="563"/>
      <c r="AK117" s="565"/>
      <c r="AL117" s="565"/>
      <c r="AM117" s="563"/>
      <c r="AN117" s="639"/>
      <c r="AO117" s="563"/>
      <c r="AP117" s="565"/>
      <c r="AQ117" s="565"/>
      <c r="AR117" s="563"/>
      <c r="AS117" s="639"/>
      <c r="AT117" s="563"/>
      <c r="AU117" s="565"/>
      <c r="AV117" s="565"/>
      <c r="AW117" s="563"/>
      <c r="AX117" s="639"/>
      <c r="AZ117" s="369" t="e">
        <f t="shared" si="45"/>
        <v>#N/A</v>
      </c>
      <c r="BA117" s="700"/>
    </row>
    <row r="118" spans="2:53">
      <c r="B118" s="678"/>
      <c r="C118" s="348">
        <v>12</v>
      </c>
      <c r="D118" s="225"/>
      <c r="E118" s="181"/>
      <c r="F118" s="353"/>
      <c r="G118" s="354"/>
      <c r="H118" s="657"/>
      <c r="I118" s="363" t="str">
        <f t="shared" si="42"/>
        <v>-</v>
      </c>
      <c r="J118" s="363" t="str">
        <f t="shared" si="43"/>
        <v>-</v>
      </c>
      <c r="K118" s="199" t="str">
        <f t="shared" si="44"/>
        <v>-</v>
      </c>
      <c r="L118" s="659"/>
      <c r="M118" s="349" t="e">
        <f>RANK(K118, K$67:$K$81)</f>
        <v>#VALUE!</v>
      </c>
      <c r="N118" s="643"/>
      <c r="O118" s="643"/>
      <c r="P118" s="563"/>
      <c r="Q118" s="565"/>
      <c r="R118" s="565"/>
      <c r="S118" s="563"/>
      <c r="T118" s="639"/>
      <c r="U118" s="563"/>
      <c r="V118" s="565"/>
      <c r="W118" s="565"/>
      <c r="X118" s="563"/>
      <c r="Y118" s="639"/>
      <c r="Z118" s="563"/>
      <c r="AA118" s="565"/>
      <c r="AB118" s="565"/>
      <c r="AC118" s="563"/>
      <c r="AD118" s="639"/>
      <c r="AE118" s="563"/>
      <c r="AF118" s="565"/>
      <c r="AG118" s="565"/>
      <c r="AH118" s="563"/>
      <c r="AI118" s="639"/>
      <c r="AJ118" s="563"/>
      <c r="AK118" s="565"/>
      <c r="AL118" s="565"/>
      <c r="AM118" s="563"/>
      <c r="AN118" s="639"/>
      <c r="AO118" s="563"/>
      <c r="AP118" s="565"/>
      <c r="AQ118" s="565"/>
      <c r="AR118" s="563"/>
      <c r="AS118" s="639"/>
      <c r="AT118" s="563"/>
      <c r="AU118" s="565"/>
      <c r="AV118" s="565"/>
      <c r="AW118" s="563"/>
      <c r="AX118" s="639"/>
      <c r="AZ118" s="369" t="e">
        <f t="shared" si="45"/>
        <v>#N/A</v>
      </c>
      <c r="BA118" s="700"/>
    </row>
    <row r="119" spans="2:53">
      <c r="B119" s="678"/>
      <c r="C119" s="348">
        <v>13</v>
      </c>
      <c r="D119" s="225"/>
      <c r="E119" s="181"/>
      <c r="F119" s="353"/>
      <c r="G119" s="354"/>
      <c r="H119" s="657"/>
      <c r="I119" s="363" t="str">
        <f t="shared" si="42"/>
        <v>-</v>
      </c>
      <c r="J119" s="363" t="str">
        <f t="shared" si="43"/>
        <v>-</v>
      </c>
      <c r="K119" s="199" t="str">
        <f t="shared" si="44"/>
        <v>-</v>
      </c>
      <c r="L119" s="659"/>
      <c r="M119" s="349" t="e">
        <f>RANK(K119, K$67:$K$81)</f>
        <v>#VALUE!</v>
      </c>
      <c r="N119" s="643"/>
      <c r="O119" s="643"/>
      <c r="P119" s="563"/>
      <c r="Q119" s="565"/>
      <c r="R119" s="565"/>
      <c r="S119" s="563"/>
      <c r="T119" s="639"/>
      <c r="U119" s="563"/>
      <c r="V119" s="565"/>
      <c r="W119" s="565"/>
      <c r="X119" s="563"/>
      <c r="Y119" s="639"/>
      <c r="Z119" s="563"/>
      <c r="AA119" s="565"/>
      <c r="AB119" s="565"/>
      <c r="AC119" s="563"/>
      <c r="AD119" s="639"/>
      <c r="AE119" s="563"/>
      <c r="AF119" s="565"/>
      <c r="AG119" s="565"/>
      <c r="AH119" s="563"/>
      <c r="AI119" s="639"/>
      <c r="AJ119" s="563"/>
      <c r="AK119" s="565"/>
      <c r="AL119" s="565"/>
      <c r="AM119" s="563"/>
      <c r="AN119" s="639"/>
      <c r="AO119" s="563"/>
      <c r="AP119" s="565"/>
      <c r="AQ119" s="565"/>
      <c r="AR119" s="563"/>
      <c r="AS119" s="639"/>
      <c r="AT119" s="563"/>
      <c r="AU119" s="565"/>
      <c r="AV119" s="565"/>
      <c r="AW119" s="563"/>
      <c r="AX119" s="639"/>
      <c r="AZ119" s="369" t="e">
        <f t="shared" si="45"/>
        <v>#N/A</v>
      </c>
      <c r="BA119" s="700"/>
    </row>
    <row r="120" spans="2:53">
      <c r="B120" s="678"/>
      <c r="C120" s="348">
        <v>14</v>
      </c>
      <c r="D120" s="225"/>
      <c r="E120" s="181"/>
      <c r="F120" s="353"/>
      <c r="G120" s="354"/>
      <c r="H120" s="657"/>
      <c r="I120" s="363" t="str">
        <f t="shared" si="42"/>
        <v>-</v>
      </c>
      <c r="J120" s="363" t="str">
        <f t="shared" si="43"/>
        <v>-</v>
      </c>
      <c r="K120" s="199" t="str">
        <f t="shared" si="44"/>
        <v>-</v>
      </c>
      <c r="L120" s="659"/>
      <c r="M120" s="349" t="e">
        <f>RANK(K120, K$67:$K$81)</f>
        <v>#VALUE!</v>
      </c>
      <c r="N120" s="643"/>
      <c r="O120" s="643"/>
      <c r="P120" s="563"/>
      <c r="Q120" s="565"/>
      <c r="R120" s="565"/>
      <c r="S120" s="563"/>
      <c r="T120" s="639"/>
      <c r="U120" s="563"/>
      <c r="V120" s="565"/>
      <c r="W120" s="565"/>
      <c r="X120" s="563"/>
      <c r="Y120" s="639"/>
      <c r="Z120" s="563"/>
      <c r="AA120" s="565"/>
      <c r="AB120" s="565"/>
      <c r="AC120" s="563"/>
      <c r="AD120" s="639"/>
      <c r="AE120" s="563"/>
      <c r="AF120" s="565"/>
      <c r="AG120" s="565"/>
      <c r="AH120" s="563"/>
      <c r="AI120" s="639"/>
      <c r="AJ120" s="563"/>
      <c r="AK120" s="565"/>
      <c r="AL120" s="565"/>
      <c r="AM120" s="563"/>
      <c r="AN120" s="639"/>
      <c r="AO120" s="563"/>
      <c r="AP120" s="565"/>
      <c r="AQ120" s="565"/>
      <c r="AR120" s="563"/>
      <c r="AS120" s="639"/>
      <c r="AT120" s="563"/>
      <c r="AU120" s="565"/>
      <c r="AV120" s="565"/>
      <c r="AW120" s="563"/>
      <c r="AX120" s="639"/>
      <c r="AZ120" s="369" t="e">
        <f t="shared" si="45"/>
        <v>#N/A</v>
      </c>
      <c r="BA120" s="700"/>
    </row>
    <row r="121" spans="2:53">
      <c r="B121" s="678"/>
      <c r="C121" s="348">
        <v>15</v>
      </c>
      <c r="D121" s="225"/>
      <c r="E121" s="181"/>
      <c r="F121" s="353"/>
      <c r="G121" s="354"/>
      <c r="H121" s="714"/>
      <c r="I121" s="365"/>
      <c r="J121" s="365"/>
      <c r="K121" s="365"/>
      <c r="L121" s="660"/>
      <c r="M121" s="349" t="e">
        <f>RANK(K121, K$47:$K$61)</f>
        <v>#N/A</v>
      </c>
      <c r="N121" s="643"/>
      <c r="O121" s="643"/>
      <c r="P121" s="563"/>
      <c r="Q121" s="565"/>
      <c r="R121" s="565"/>
      <c r="S121" s="563"/>
      <c r="T121" s="640"/>
      <c r="U121" s="563"/>
      <c r="V121" s="565"/>
      <c r="W121" s="565"/>
      <c r="X121" s="563"/>
      <c r="Y121" s="640"/>
      <c r="Z121" s="563"/>
      <c r="AA121" s="565"/>
      <c r="AB121" s="565"/>
      <c r="AC121" s="563"/>
      <c r="AD121" s="640"/>
      <c r="AE121" s="563"/>
      <c r="AF121" s="565"/>
      <c r="AG121" s="565"/>
      <c r="AH121" s="563"/>
      <c r="AI121" s="640"/>
      <c r="AJ121" s="563"/>
      <c r="AK121" s="565"/>
      <c r="AL121" s="565"/>
      <c r="AM121" s="563"/>
      <c r="AN121" s="640"/>
      <c r="AO121" s="563"/>
      <c r="AP121" s="565"/>
      <c r="AQ121" s="565"/>
      <c r="AR121" s="563"/>
      <c r="AS121" s="640"/>
      <c r="AT121" s="563"/>
      <c r="AU121" s="565"/>
      <c r="AV121" s="565"/>
      <c r="AW121" s="563"/>
      <c r="AX121" s="640"/>
      <c r="AZ121" s="369" t="e">
        <f t="shared" si="45"/>
        <v>#N/A</v>
      </c>
      <c r="BA121" s="700"/>
    </row>
    <row r="123" spans="2:53" ht="15.75">
      <c r="B123" s="651" t="s">
        <v>465</v>
      </c>
      <c r="C123" s="652"/>
      <c r="D123" s="652"/>
      <c r="E123" s="652"/>
      <c r="F123" s="652"/>
      <c r="G123" s="652"/>
      <c r="H123" s="653"/>
      <c r="I123" s="307"/>
      <c r="J123" s="307"/>
      <c r="K123" s="307"/>
      <c r="L123" s="307"/>
      <c r="M123" s="308"/>
    </row>
    <row r="124" spans="2:53" ht="15.75">
      <c r="B124" s="654"/>
      <c r="C124" s="654"/>
      <c r="D124" s="654"/>
      <c r="E124" s="654"/>
      <c r="F124" s="654"/>
      <c r="G124" s="654"/>
      <c r="H124" s="654"/>
      <c r="I124" s="309"/>
      <c r="J124" s="309"/>
      <c r="K124" s="309"/>
      <c r="L124" s="309"/>
      <c r="M124" s="310"/>
    </row>
    <row r="125" spans="2:53">
      <c r="B125" s="643" t="s">
        <v>466</v>
      </c>
      <c r="C125" s="643" t="s">
        <v>467</v>
      </c>
      <c r="D125" s="643"/>
      <c r="E125" s="643" t="s">
        <v>468</v>
      </c>
      <c r="F125" s="643"/>
      <c r="G125" s="643"/>
      <c r="H125" s="675" t="s">
        <v>469</v>
      </c>
      <c r="I125" s="655" t="s">
        <v>470</v>
      </c>
      <c r="J125" s="655"/>
      <c r="K125" s="655"/>
      <c r="L125" s="708" t="s">
        <v>469</v>
      </c>
      <c r="M125" s="711" t="s">
        <v>471</v>
      </c>
    </row>
    <row r="126" spans="2:53">
      <c r="B126" s="643"/>
      <c r="C126" s="643"/>
      <c r="D126" s="643"/>
      <c r="E126" s="643" t="s">
        <v>472</v>
      </c>
      <c r="F126" s="643"/>
      <c r="G126" s="643"/>
      <c r="H126" s="676"/>
      <c r="I126" s="655" t="s">
        <v>472</v>
      </c>
      <c r="J126" s="655"/>
      <c r="K126" s="655"/>
      <c r="L126" s="709"/>
      <c r="M126" s="712"/>
    </row>
    <row r="127" spans="2:53">
      <c r="B127" s="643"/>
      <c r="C127" s="643"/>
      <c r="D127" s="643"/>
      <c r="E127" s="304" t="s">
        <v>473</v>
      </c>
      <c r="F127" s="304" t="s">
        <v>474</v>
      </c>
      <c r="G127" s="304" t="s">
        <v>475</v>
      </c>
      <c r="H127" s="677"/>
      <c r="I127" s="311" t="s">
        <v>473</v>
      </c>
      <c r="J127" s="311" t="s">
        <v>474</v>
      </c>
      <c r="K127" s="311" t="s">
        <v>475</v>
      </c>
      <c r="L127" s="710"/>
      <c r="M127" s="713"/>
    </row>
    <row r="128" spans="2:53">
      <c r="B128" s="643" t="s">
        <v>482</v>
      </c>
      <c r="C128" s="303">
        <v>1</v>
      </c>
      <c r="D128" s="225"/>
      <c r="E128" s="181"/>
      <c r="F128" s="303"/>
      <c r="G128" s="306"/>
      <c r="H128" s="702" t="e">
        <f>AVERAGE(G128:G142)</f>
        <v>#DIV/0!</v>
      </c>
      <c r="I128" s="198" t="e">
        <f t="shared" ref="I128:J132" si="46">AVERAGEIF($D$7:$D$121,$D128,I$7:I$121)</f>
        <v>#DIV/0!</v>
      </c>
      <c r="J128" s="198" t="e">
        <f t="shared" si="46"/>
        <v>#DIV/0!</v>
      </c>
      <c r="K128" s="198" t="e">
        <f>AVERAGEIF($D$7:$D$121,$D128,K$7:K$121)</f>
        <v>#DIV/0!</v>
      </c>
      <c r="L128" s="705" t="e">
        <f>AVERAGE(K128:K142)</f>
        <v>#DIV/0!</v>
      </c>
      <c r="M128" s="198" t="e">
        <f>RANK(K128, K$128:$K$142)</f>
        <v>#DIV/0!</v>
      </c>
    </row>
    <row r="129" spans="2:39">
      <c r="B129" s="649"/>
      <c r="C129" s="303">
        <v>2</v>
      </c>
      <c r="D129" s="225"/>
      <c r="E129" s="181"/>
      <c r="F129" s="303"/>
      <c r="G129" s="306"/>
      <c r="H129" s="703"/>
      <c r="I129" s="198" t="e">
        <f t="shared" si="46"/>
        <v>#DIV/0!</v>
      </c>
      <c r="J129" s="198" t="e">
        <f t="shared" si="46"/>
        <v>#DIV/0!</v>
      </c>
      <c r="K129" s="198" t="e">
        <f>AVERAGEIF($D$7:$D$121,$D129,K$7:K$121)</f>
        <v>#DIV/0!</v>
      </c>
      <c r="L129" s="706"/>
      <c r="M129" s="198" t="e">
        <f>RANK(K129, K$128:$K$142)</f>
        <v>#DIV/0!</v>
      </c>
      <c r="N129" s="107"/>
      <c r="O129" s="107"/>
      <c r="P129" s="107"/>
      <c r="Q129" s="107"/>
      <c r="R129" s="107"/>
      <c r="S129" s="107"/>
      <c r="T129" s="107"/>
      <c r="X129" s="107"/>
      <c r="AC129" s="107"/>
      <c r="AH129" s="107"/>
      <c r="AM129" s="107"/>
    </row>
    <row r="130" spans="2:39">
      <c r="B130" s="649"/>
      <c r="C130" s="303">
        <v>3</v>
      </c>
      <c r="D130" s="225"/>
      <c r="E130" s="181"/>
      <c r="F130" s="303"/>
      <c r="G130" s="306"/>
      <c r="H130" s="703"/>
      <c r="I130" s="198" t="e">
        <f t="shared" si="46"/>
        <v>#DIV/0!</v>
      </c>
      <c r="J130" s="198" t="e">
        <f t="shared" si="46"/>
        <v>#DIV/0!</v>
      </c>
      <c r="K130" s="198" t="e">
        <f>AVERAGEIF($D$7:$D$121,$D130,K$7:K$121)</f>
        <v>#DIV/0!</v>
      </c>
      <c r="L130" s="706"/>
      <c r="M130" s="198" t="e">
        <f>RANK(K130, K$128:$K$142)</f>
        <v>#DIV/0!</v>
      </c>
      <c r="N130" s="107"/>
      <c r="O130" s="107"/>
      <c r="P130" s="107"/>
      <c r="Q130" s="107"/>
      <c r="R130" s="107"/>
      <c r="S130" s="107"/>
      <c r="T130" s="107"/>
      <c r="X130" s="107"/>
      <c r="AC130" s="107"/>
      <c r="AH130" s="107"/>
      <c r="AM130" s="107"/>
    </row>
    <row r="131" spans="2:39">
      <c r="B131" s="649"/>
      <c r="C131" s="303">
        <v>4</v>
      </c>
      <c r="D131" s="225"/>
      <c r="E131" s="181"/>
      <c r="F131" s="303"/>
      <c r="G131" s="306"/>
      <c r="H131" s="703"/>
      <c r="I131" s="198" t="e">
        <f t="shared" si="46"/>
        <v>#DIV/0!</v>
      </c>
      <c r="J131" s="198" t="e">
        <f t="shared" si="46"/>
        <v>#DIV/0!</v>
      </c>
      <c r="K131" s="198" t="e">
        <f>AVERAGEIF($D$7:$D$121,$D131,K$7:K$121)</f>
        <v>#DIV/0!</v>
      </c>
      <c r="L131" s="706"/>
      <c r="M131" s="198" t="e">
        <f>RANK(K131, K$128:$K$142)</f>
        <v>#DIV/0!</v>
      </c>
      <c r="N131" s="107"/>
      <c r="O131" s="107"/>
      <c r="P131" s="107"/>
      <c r="Q131" s="107"/>
      <c r="R131" s="107"/>
      <c r="S131" s="107"/>
      <c r="T131" s="107"/>
      <c r="X131" s="107"/>
      <c r="AC131" s="107"/>
      <c r="AH131" s="107"/>
      <c r="AM131" s="107"/>
    </row>
    <row r="132" spans="2:39">
      <c r="B132" s="649"/>
      <c r="C132" s="303">
        <v>5</v>
      </c>
      <c r="D132" s="225"/>
      <c r="E132" s="181"/>
      <c r="F132" s="303"/>
      <c r="G132" s="306"/>
      <c r="H132" s="703"/>
      <c r="I132" s="198" t="e">
        <f t="shared" si="46"/>
        <v>#DIV/0!</v>
      </c>
      <c r="J132" s="198" t="e">
        <f t="shared" si="46"/>
        <v>#DIV/0!</v>
      </c>
      <c r="K132" s="198" t="e">
        <f>AVERAGEIF($D$7:$D$121,$D132,K$7:K$121)</f>
        <v>#DIV/0!</v>
      </c>
      <c r="L132" s="706"/>
      <c r="M132" s="198" t="e">
        <f>RANK(K132, K$128:$K$142)</f>
        <v>#DIV/0!</v>
      </c>
      <c r="N132" s="107"/>
      <c r="O132" s="107"/>
      <c r="P132" s="107"/>
      <c r="Q132" s="107"/>
      <c r="R132" s="107"/>
      <c r="S132" s="107"/>
      <c r="T132" s="107"/>
      <c r="X132" s="107"/>
      <c r="AC132" s="107"/>
      <c r="AH132" s="107"/>
      <c r="AM132" s="107"/>
    </row>
    <row r="133" spans="2:39">
      <c r="B133" s="649"/>
      <c r="C133" s="303">
        <v>6</v>
      </c>
      <c r="D133" s="312"/>
      <c r="E133" s="181"/>
      <c r="F133" s="303"/>
      <c r="G133" s="306"/>
      <c r="H133" s="703"/>
      <c r="I133" s="198"/>
      <c r="J133" s="198"/>
      <c r="K133" s="198"/>
      <c r="L133" s="706"/>
      <c r="M133" s="198" t="e">
        <f>RANK(K133, K$128:$K$142)</f>
        <v>#DIV/0!</v>
      </c>
      <c r="N133" s="107"/>
      <c r="O133" s="107"/>
      <c r="P133" s="107"/>
      <c r="Q133" s="107"/>
      <c r="R133" s="107"/>
      <c r="S133" s="107"/>
      <c r="T133" s="107"/>
      <c r="X133" s="107"/>
      <c r="AC133" s="107"/>
      <c r="AH133" s="107"/>
      <c r="AM133" s="107"/>
    </row>
    <row r="134" spans="2:39">
      <c r="B134" s="649"/>
      <c r="C134" s="303">
        <v>7</v>
      </c>
      <c r="D134" s="225"/>
      <c r="E134" s="181"/>
      <c r="F134" s="303"/>
      <c r="G134" s="306"/>
      <c r="H134" s="703"/>
      <c r="I134" s="198"/>
      <c r="J134" s="198"/>
      <c r="K134" s="198"/>
      <c r="L134" s="706"/>
      <c r="M134" s="198" t="e">
        <f>RANK(K134, K$128:$K$142)</f>
        <v>#DIV/0!</v>
      </c>
      <c r="N134" s="107"/>
      <c r="O134" s="107"/>
      <c r="P134" s="107"/>
      <c r="Q134" s="107"/>
      <c r="R134" s="107"/>
      <c r="S134" s="107"/>
      <c r="T134" s="107"/>
      <c r="X134" s="107"/>
      <c r="AC134" s="107"/>
      <c r="AH134" s="107"/>
      <c r="AM134" s="107"/>
    </row>
    <row r="135" spans="2:39">
      <c r="B135" s="649"/>
      <c r="C135" s="303">
        <v>8</v>
      </c>
      <c r="D135" s="225"/>
      <c r="E135" s="181"/>
      <c r="F135" s="303"/>
      <c r="G135" s="306"/>
      <c r="H135" s="703"/>
      <c r="I135" s="198"/>
      <c r="J135" s="198"/>
      <c r="K135" s="198"/>
      <c r="L135" s="706"/>
      <c r="M135" s="198" t="e">
        <f>RANK(K135, K$128:$K$142)</f>
        <v>#DIV/0!</v>
      </c>
      <c r="N135" s="107"/>
      <c r="O135" s="107"/>
      <c r="P135" s="107"/>
      <c r="Q135" s="107"/>
      <c r="R135" s="107"/>
      <c r="S135" s="107"/>
      <c r="T135" s="107"/>
      <c r="X135" s="107"/>
      <c r="AC135" s="107"/>
      <c r="AH135" s="107"/>
      <c r="AM135" s="107"/>
    </row>
    <row r="136" spans="2:39">
      <c r="B136" s="649"/>
      <c r="C136" s="303">
        <v>9</v>
      </c>
      <c r="D136" s="225"/>
      <c r="E136" s="303"/>
      <c r="F136" s="303"/>
      <c r="G136" s="303"/>
      <c r="H136" s="703"/>
      <c r="I136" s="198"/>
      <c r="J136" s="198"/>
      <c r="K136" s="198"/>
      <c r="L136" s="706"/>
      <c r="M136" s="198" t="e">
        <f>RANK(K136, K$128:$K$142)</f>
        <v>#DIV/0!</v>
      </c>
      <c r="N136" s="107"/>
      <c r="O136" s="107"/>
      <c r="P136" s="107"/>
      <c r="Q136" s="107"/>
      <c r="R136" s="107"/>
      <c r="S136" s="107"/>
      <c r="T136" s="107"/>
      <c r="X136" s="107"/>
      <c r="AC136" s="107"/>
      <c r="AH136" s="107"/>
      <c r="AM136" s="107"/>
    </row>
    <row r="137" spans="2:39">
      <c r="B137" s="649"/>
      <c r="C137" s="303">
        <v>10</v>
      </c>
      <c r="D137" s="225"/>
      <c r="E137" s="303"/>
      <c r="F137" s="303"/>
      <c r="G137" s="303"/>
      <c r="H137" s="703"/>
      <c r="I137" s="198"/>
      <c r="J137" s="198"/>
      <c r="K137" s="198"/>
      <c r="L137" s="706"/>
      <c r="M137" s="198" t="e">
        <f>RANK(K137, K$128:$K$142)</f>
        <v>#DIV/0!</v>
      </c>
      <c r="N137" s="107"/>
      <c r="O137" s="107"/>
      <c r="P137" s="107"/>
      <c r="Q137" s="107"/>
      <c r="R137" s="107"/>
      <c r="S137" s="107"/>
      <c r="T137" s="107"/>
      <c r="X137" s="107"/>
      <c r="AC137" s="107"/>
      <c r="AH137" s="107"/>
      <c r="AM137" s="107"/>
    </row>
    <row r="138" spans="2:39">
      <c r="B138" s="649"/>
      <c r="C138" s="303">
        <v>11</v>
      </c>
      <c r="D138" s="225"/>
      <c r="E138" s="303"/>
      <c r="F138" s="303"/>
      <c r="G138" s="303"/>
      <c r="H138" s="703"/>
      <c r="I138" s="198"/>
      <c r="J138" s="198"/>
      <c r="K138" s="198"/>
      <c r="L138" s="706"/>
      <c r="M138" s="198" t="e">
        <f>RANK(K138, K$128:$K$142)</f>
        <v>#DIV/0!</v>
      </c>
      <c r="N138" s="107"/>
      <c r="O138" s="107"/>
      <c r="P138" s="107"/>
      <c r="Q138" s="107"/>
      <c r="R138" s="107"/>
      <c r="S138" s="107"/>
      <c r="T138" s="107"/>
      <c r="X138" s="107"/>
      <c r="AC138" s="107"/>
      <c r="AH138" s="107"/>
      <c r="AM138" s="107"/>
    </row>
    <row r="139" spans="2:39">
      <c r="B139" s="649"/>
      <c r="C139" s="303">
        <v>12</v>
      </c>
      <c r="D139" s="225"/>
      <c r="E139" s="303"/>
      <c r="F139" s="303"/>
      <c r="G139" s="303"/>
      <c r="H139" s="703"/>
      <c r="I139" s="198"/>
      <c r="J139" s="198"/>
      <c r="K139" s="198"/>
      <c r="L139" s="706"/>
      <c r="M139" s="198" t="e">
        <f>RANK(K139, K$128:$K$142)</f>
        <v>#DIV/0!</v>
      </c>
      <c r="N139" s="107"/>
      <c r="O139" s="107"/>
      <c r="P139" s="107"/>
      <c r="Q139" s="107"/>
      <c r="R139" s="107"/>
      <c r="S139" s="107"/>
      <c r="T139" s="107"/>
      <c r="X139" s="107"/>
      <c r="AC139" s="107"/>
      <c r="AH139" s="107"/>
      <c r="AM139" s="107"/>
    </row>
    <row r="140" spans="2:39">
      <c r="B140" s="649"/>
      <c r="C140" s="303">
        <v>13</v>
      </c>
      <c r="D140" s="225"/>
      <c r="E140" s="303"/>
      <c r="F140" s="303"/>
      <c r="G140" s="303"/>
      <c r="H140" s="703"/>
      <c r="I140" s="198"/>
      <c r="J140" s="198"/>
      <c r="K140" s="198"/>
      <c r="L140" s="706"/>
      <c r="M140" s="198" t="e">
        <f>RANK(K140, K$128:$K$142)</f>
        <v>#DIV/0!</v>
      </c>
      <c r="N140" s="107"/>
      <c r="O140" s="107"/>
      <c r="P140" s="107"/>
      <c r="Q140" s="107"/>
      <c r="R140" s="107"/>
      <c r="S140" s="107"/>
      <c r="T140" s="107"/>
      <c r="X140" s="107"/>
      <c r="AC140" s="107"/>
      <c r="AH140" s="107"/>
      <c r="AM140" s="107"/>
    </row>
    <row r="141" spans="2:39">
      <c r="B141" s="649"/>
      <c r="C141" s="303">
        <v>14</v>
      </c>
      <c r="D141" s="225"/>
      <c r="E141" s="303"/>
      <c r="F141" s="303"/>
      <c r="G141" s="303"/>
      <c r="H141" s="703"/>
      <c r="I141" s="198"/>
      <c r="J141" s="198"/>
      <c r="K141" s="198"/>
      <c r="L141" s="706"/>
      <c r="M141" s="198" t="e">
        <f>RANK(K141, K$128:$K$142)</f>
        <v>#DIV/0!</v>
      </c>
      <c r="N141" s="107"/>
      <c r="O141" s="107"/>
      <c r="P141" s="107"/>
      <c r="Q141" s="107"/>
      <c r="R141" s="107"/>
      <c r="S141" s="107"/>
      <c r="T141" s="107"/>
      <c r="X141" s="107"/>
      <c r="AC141" s="107"/>
      <c r="AH141" s="107"/>
      <c r="AM141" s="107"/>
    </row>
    <row r="142" spans="2:39">
      <c r="B142" s="649"/>
      <c r="C142" s="303">
        <v>15</v>
      </c>
      <c r="D142" s="225"/>
      <c r="E142" s="303"/>
      <c r="F142" s="303"/>
      <c r="G142" s="303"/>
      <c r="H142" s="704"/>
      <c r="I142" s="198"/>
      <c r="J142" s="198"/>
      <c r="K142" s="198"/>
      <c r="L142" s="707"/>
      <c r="M142" s="198" t="e">
        <f>RANK(K142, K$128:$K$142)</f>
        <v>#DIV/0!</v>
      </c>
      <c r="N142" s="107"/>
      <c r="O142" s="107"/>
      <c r="P142" s="107"/>
      <c r="Q142" s="107"/>
      <c r="R142" s="107"/>
      <c r="S142" s="107"/>
      <c r="T142" s="107"/>
      <c r="X142" s="107"/>
      <c r="AC142" s="107"/>
      <c r="AH142" s="107"/>
      <c r="AM142" s="107"/>
    </row>
  </sheetData>
  <mergeCells count="379">
    <mergeCell ref="BA87:BA101"/>
    <mergeCell ref="BA104:BA106"/>
    <mergeCell ref="BA107:BA121"/>
    <mergeCell ref="BA4:BA6"/>
    <mergeCell ref="BA7:BA21"/>
    <mergeCell ref="BA24:BA26"/>
    <mergeCell ref="BA27:BA41"/>
    <mergeCell ref="BA44:BA46"/>
    <mergeCell ref="BA47:BA61"/>
    <mergeCell ref="BA64:BA66"/>
    <mergeCell ref="BA67:BA81"/>
    <mergeCell ref="BA84:BA86"/>
    <mergeCell ref="B87:B101"/>
    <mergeCell ref="AS87:AS101"/>
    <mergeCell ref="AX87:AX101"/>
    <mergeCell ref="AO85:AR85"/>
    <mergeCell ref="AT85:AW85"/>
    <mergeCell ref="AO84:AR84"/>
    <mergeCell ref="AS84:AS86"/>
    <mergeCell ref="AT84:AW84"/>
    <mergeCell ref="AX84:AX86"/>
    <mergeCell ref="AJ85:AM85"/>
    <mergeCell ref="AN87:AN101"/>
    <mergeCell ref="AN84:AN86"/>
    <mergeCell ref="AJ84:AM84"/>
    <mergeCell ref="C84:D86"/>
    <mergeCell ref="E84:G84"/>
    <mergeCell ref="H84:H86"/>
    <mergeCell ref="I84:K84"/>
    <mergeCell ref="L84:L86"/>
    <mergeCell ref="AD84:AD86"/>
    <mergeCell ref="AE84:AH84"/>
    <mergeCell ref="AI84:AI86"/>
    <mergeCell ref="AE85:AH85"/>
    <mergeCell ref="Z85:AC85"/>
    <mergeCell ref="Y84:Y86"/>
    <mergeCell ref="Z84:AC84"/>
    <mergeCell ref="P84:S84"/>
    <mergeCell ref="T84:T86"/>
    <mergeCell ref="U84:X84"/>
    <mergeCell ref="E85:G85"/>
    <mergeCell ref="I85:K85"/>
    <mergeCell ref="P85:S85"/>
    <mergeCell ref="U85:X85"/>
    <mergeCell ref="M84:M86"/>
    <mergeCell ref="N84:N101"/>
    <mergeCell ref="O84:O101"/>
    <mergeCell ref="H87:H101"/>
    <mergeCell ref="L87:L101"/>
    <mergeCell ref="T87:T101"/>
    <mergeCell ref="Y87:Y101"/>
    <mergeCell ref="AX67:AX81"/>
    <mergeCell ref="B82:H83"/>
    <mergeCell ref="N82:N83"/>
    <mergeCell ref="O82:O83"/>
    <mergeCell ref="P82:T82"/>
    <mergeCell ref="U82:Y82"/>
    <mergeCell ref="Z82:AD82"/>
    <mergeCell ref="AE82:AI82"/>
    <mergeCell ref="AJ82:AN82"/>
    <mergeCell ref="AO82:AS82"/>
    <mergeCell ref="AT82:AX82"/>
    <mergeCell ref="P83:T83"/>
    <mergeCell ref="U83:Y83"/>
    <mergeCell ref="Z83:AD83"/>
    <mergeCell ref="AE83:AI83"/>
    <mergeCell ref="AJ83:AN83"/>
    <mergeCell ref="AO83:AS83"/>
    <mergeCell ref="AT83:AX83"/>
    <mergeCell ref="AO65:AR65"/>
    <mergeCell ref="AT65:AW65"/>
    <mergeCell ref="B67:B81"/>
    <mergeCell ref="H67:H81"/>
    <mergeCell ref="L67:L81"/>
    <mergeCell ref="T67:T81"/>
    <mergeCell ref="Y67:Y81"/>
    <mergeCell ref="AD67:AD81"/>
    <mergeCell ref="AI67:AI81"/>
    <mergeCell ref="AN67:AN81"/>
    <mergeCell ref="AN64:AN66"/>
    <mergeCell ref="AO64:AR64"/>
    <mergeCell ref="AS64:AS66"/>
    <mergeCell ref="AT64:AW64"/>
    <mergeCell ref="B64:B66"/>
    <mergeCell ref="C64:D66"/>
    <mergeCell ref="AS67:AS81"/>
    <mergeCell ref="H64:H66"/>
    <mergeCell ref="I64:K64"/>
    <mergeCell ref="L64:L66"/>
    <mergeCell ref="AD87:AD101"/>
    <mergeCell ref="AI87:AI101"/>
    <mergeCell ref="B84:B86"/>
    <mergeCell ref="AX64:AX66"/>
    <mergeCell ref="E65:G65"/>
    <mergeCell ref="I65:K65"/>
    <mergeCell ref="P65:S65"/>
    <mergeCell ref="U65:X65"/>
    <mergeCell ref="Z65:AC65"/>
    <mergeCell ref="Y64:Y66"/>
    <mergeCell ref="Z64:AC64"/>
    <mergeCell ref="AD64:AD66"/>
    <mergeCell ref="AE64:AH64"/>
    <mergeCell ref="AI64:AI66"/>
    <mergeCell ref="AJ64:AM64"/>
    <mergeCell ref="AE65:AH65"/>
    <mergeCell ref="AJ65:AM65"/>
    <mergeCell ref="M64:M66"/>
    <mergeCell ref="N64:N81"/>
    <mergeCell ref="O64:O81"/>
    <mergeCell ref="P64:S64"/>
    <mergeCell ref="T64:T66"/>
    <mergeCell ref="U64:X64"/>
    <mergeCell ref="E64:G64"/>
    <mergeCell ref="AX47:AX61"/>
    <mergeCell ref="B62:H63"/>
    <mergeCell ref="N62:N63"/>
    <mergeCell ref="O62:O63"/>
    <mergeCell ref="P62:T62"/>
    <mergeCell ref="U62:Y62"/>
    <mergeCell ref="Z62:AD62"/>
    <mergeCell ref="AE62:AI62"/>
    <mergeCell ref="AJ62:AN62"/>
    <mergeCell ref="AO62:AS62"/>
    <mergeCell ref="AT62:AX62"/>
    <mergeCell ref="P63:T63"/>
    <mergeCell ref="U63:Y63"/>
    <mergeCell ref="Z63:AD63"/>
    <mergeCell ref="AE63:AI63"/>
    <mergeCell ref="AJ63:AN63"/>
    <mergeCell ref="AO63:AS63"/>
    <mergeCell ref="AT63:AX63"/>
    <mergeCell ref="AO45:AR45"/>
    <mergeCell ref="AT45:AW45"/>
    <mergeCell ref="B47:B61"/>
    <mergeCell ref="H47:H61"/>
    <mergeCell ref="L47:L61"/>
    <mergeCell ref="T47:T61"/>
    <mergeCell ref="Y47:Y61"/>
    <mergeCell ref="AD47:AD61"/>
    <mergeCell ref="AI47:AI61"/>
    <mergeCell ref="AN47:AN61"/>
    <mergeCell ref="AN44:AN46"/>
    <mergeCell ref="AO44:AR44"/>
    <mergeCell ref="AS44:AS46"/>
    <mergeCell ref="AT44:AW44"/>
    <mergeCell ref="B44:B46"/>
    <mergeCell ref="C44:D46"/>
    <mergeCell ref="AS47:AS61"/>
    <mergeCell ref="AX44:AX46"/>
    <mergeCell ref="E45:G45"/>
    <mergeCell ref="I45:K45"/>
    <mergeCell ref="P45:S45"/>
    <mergeCell ref="U45:X45"/>
    <mergeCell ref="Z45:AC45"/>
    <mergeCell ref="Y44:Y46"/>
    <mergeCell ref="Z44:AC44"/>
    <mergeCell ref="AD44:AD46"/>
    <mergeCell ref="AE44:AH44"/>
    <mergeCell ref="AI44:AI46"/>
    <mergeCell ref="AJ44:AM44"/>
    <mergeCell ref="AE45:AH45"/>
    <mergeCell ref="AJ45:AM45"/>
    <mergeCell ref="M44:M46"/>
    <mergeCell ref="N44:N61"/>
    <mergeCell ref="O44:O61"/>
    <mergeCell ref="P44:S44"/>
    <mergeCell ref="T44:T46"/>
    <mergeCell ref="U44:X44"/>
    <mergeCell ref="E44:G44"/>
    <mergeCell ref="H44:H46"/>
    <mergeCell ref="I44:K44"/>
    <mergeCell ref="L44:L46"/>
    <mergeCell ref="AX27:AX41"/>
    <mergeCell ref="B42:H43"/>
    <mergeCell ref="N42:N43"/>
    <mergeCell ref="O42:O43"/>
    <mergeCell ref="P42:T42"/>
    <mergeCell ref="U42:Y42"/>
    <mergeCell ref="Z42:AD42"/>
    <mergeCell ref="AE42:AI42"/>
    <mergeCell ref="AJ42:AN42"/>
    <mergeCell ref="AO42:AS42"/>
    <mergeCell ref="AT42:AX42"/>
    <mergeCell ref="P43:T43"/>
    <mergeCell ref="U43:Y43"/>
    <mergeCell ref="Z43:AD43"/>
    <mergeCell ref="AE43:AI43"/>
    <mergeCell ref="AJ43:AN43"/>
    <mergeCell ref="AO43:AS43"/>
    <mergeCell ref="AT43:AX43"/>
    <mergeCell ref="AO25:AR25"/>
    <mergeCell ref="AT25:AW25"/>
    <mergeCell ref="B27:B41"/>
    <mergeCell ref="H27:H41"/>
    <mergeCell ref="L27:L41"/>
    <mergeCell ref="T27:T41"/>
    <mergeCell ref="Y27:Y41"/>
    <mergeCell ref="AD27:AD41"/>
    <mergeCell ref="AI27:AI41"/>
    <mergeCell ref="AN27:AN41"/>
    <mergeCell ref="AN24:AN26"/>
    <mergeCell ref="AO24:AR24"/>
    <mergeCell ref="AS24:AS26"/>
    <mergeCell ref="AT24:AW24"/>
    <mergeCell ref="B24:B26"/>
    <mergeCell ref="C24:D26"/>
    <mergeCell ref="AS27:AS41"/>
    <mergeCell ref="AX24:AX26"/>
    <mergeCell ref="E25:G25"/>
    <mergeCell ref="I25:K25"/>
    <mergeCell ref="P25:S25"/>
    <mergeCell ref="U25:X25"/>
    <mergeCell ref="Z25:AC25"/>
    <mergeCell ref="Y24:Y26"/>
    <mergeCell ref="Z24:AC24"/>
    <mergeCell ref="AD24:AD26"/>
    <mergeCell ref="AE24:AH24"/>
    <mergeCell ref="AI24:AI26"/>
    <mergeCell ref="AJ24:AM24"/>
    <mergeCell ref="AE25:AH25"/>
    <mergeCell ref="AJ25:AM25"/>
    <mergeCell ref="M24:M26"/>
    <mergeCell ref="N24:N41"/>
    <mergeCell ref="O24:O41"/>
    <mergeCell ref="P24:S24"/>
    <mergeCell ref="T24:T26"/>
    <mergeCell ref="U24:X24"/>
    <mergeCell ref="E24:G24"/>
    <mergeCell ref="H24:H26"/>
    <mergeCell ref="I24:K24"/>
    <mergeCell ref="L24:L26"/>
    <mergeCell ref="AT22:AX22"/>
    <mergeCell ref="P23:T23"/>
    <mergeCell ref="U23:Y23"/>
    <mergeCell ref="Z23:AD23"/>
    <mergeCell ref="AE23:AI23"/>
    <mergeCell ref="AJ23:AN23"/>
    <mergeCell ref="AO23:AS23"/>
    <mergeCell ref="AT23:AX23"/>
    <mergeCell ref="AX7:AX21"/>
    <mergeCell ref="B22:H23"/>
    <mergeCell ref="N22:N23"/>
    <mergeCell ref="O22:O23"/>
    <mergeCell ref="P22:T22"/>
    <mergeCell ref="U22:Y22"/>
    <mergeCell ref="Z22:AD22"/>
    <mergeCell ref="AE22:AI22"/>
    <mergeCell ref="AJ22:AN22"/>
    <mergeCell ref="AO22:AS22"/>
    <mergeCell ref="AD4:AD6"/>
    <mergeCell ref="AT5:AW5"/>
    <mergeCell ref="B7:B21"/>
    <mergeCell ref="H7:H21"/>
    <mergeCell ref="L7:L21"/>
    <mergeCell ref="T7:T21"/>
    <mergeCell ref="Y7:Y21"/>
    <mergeCell ref="AD7:AD21"/>
    <mergeCell ref="AI7:AI21"/>
    <mergeCell ref="AN7:AN21"/>
    <mergeCell ref="AS7:AS21"/>
    <mergeCell ref="B4:B6"/>
    <mergeCell ref="C4:D6"/>
    <mergeCell ref="E4:G4"/>
    <mergeCell ref="H4:H6"/>
    <mergeCell ref="I4:K4"/>
    <mergeCell ref="L4:L6"/>
    <mergeCell ref="M4:M6"/>
    <mergeCell ref="N4:N21"/>
    <mergeCell ref="O4:O21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102:H103"/>
    <mergeCell ref="N102:N103"/>
    <mergeCell ref="O102:O103"/>
    <mergeCell ref="P102:T102"/>
    <mergeCell ref="U102:Y102"/>
    <mergeCell ref="Z102:AD102"/>
    <mergeCell ref="AE102:AI102"/>
    <mergeCell ref="AJ102:AN102"/>
    <mergeCell ref="AO102:AS102"/>
    <mergeCell ref="AT102:AX102"/>
    <mergeCell ref="P103:T103"/>
    <mergeCell ref="U103:Y103"/>
    <mergeCell ref="Z103:AD103"/>
    <mergeCell ref="AE103:AI103"/>
    <mergeCell ref="AJ103:AN103"/>
    <mergeCell ref="AO103:AS103"/>
    <mergeCell ref="AT103:AX103"/>
    <mergeCell ref="B104:B106"/>
    <mergeCell ref="C104:D106"/>
    <mergeCell ref="E104:G104"/>
    <mergeCell ref="H104:H106"/>
    <mergeCell ref="I104:K104"/>
    <mergeCell ref="L104:L106"/>
    <mergeCell ref="M104:M106"/>
    <mergeCell ref="N104:N121"/>
    <mergeCell ref="O104:O121"/>
    <mergeCell ref="P104:S104"/>
    <mergeCell ref="T104:T106"/>
    <mergeCell ref="U104:X104"/>
    <mergeCell ref="Y104:Y106"/>
    <mergeCell ref="Z104:AC104"/>
    <mergeCell ref="AD104:AD106"/>
    <mergeCell ref="AE104:AH104"/>
    <mergeCell ref="AI104:AI106"/>
    <mergeCell ref="AJ104:AM104"/>
    <mergeCell ref="AN104:AN106"/>
    <mergeCell ref="AO104:AR104"/>
    <mergeCell ref="AS104:AS106"/>
    <mergeCell ref="AT104:AW104"/>
    <mergeCell ref="AX104:AX106"/>
    <mergeCell ref="E105:G105"/>
    <mergeCell ref="I105:K105"/>
    <mergeCell ref="P105:S105"/>
    <mergeCell ref="U105:X105"/>
    <mergeCell ref="Z105:AC105"/>
    <mergeCell ref="AE105:AH105"/>
    <mergeCell ref="AJ105:AM105"/>
    <mergeCell ref="AO105:AR105"/>
    <mergeCell ref="AT105:AW105"/>
    <mergeCell ref="B128:B142"/>
    <mergeCell ref="H128:H142"/>
    <mergeCell ref="L128:L142"/>
    <mergeCell ref="AX107:AX121"/>
    <mergeCell ref="E125:G125"/>
    <mergeCell ref="I125:K125"/>
    <mergeCell ref="B107:B121"/>
    <mergeCell ref="H107:H121"/>
    <mergeCell ref="L107:L121"/>
    <mergeCell ref="T107:T121"/>
    <mergeCell ref="Y107:Y121"/>
    <mergeCell ref="AD107:AD121"/>
    <mergeCell ref="AI107:AI121"/>
    <mergeCell ref="AN107:AN121"/>
    <mergeCell ref="AS107:AS121"/>
    <mergeCell ref="B123:H124"/>
    <mergeCell ref="B125:B127"/>
    <mergeCell ref="C125:D127"/>
    <mergeCell ref="H125:H127"/>
    <mergeCell ref="L125:L127"/>
    <mergeCell ref="M125:M127"/>
    <mergeCell ref="E126:G126"/>
    <mergeCell ref="I126:K126"/>
  </mergeCells>
  <phoneticPr fontId="13" type="noConversion"/>
  <pageMargins left="0.7" right="0.7" top="0.75" bottom="0.75" header="0.3" footer="0.3"/>
  <pageSetup paperSize="9" orientation="portrait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A1:BA142"/>
  <sheetViews>
    <sheetView zoomScale="40" zoomScaleNormal="40" workbookViewId="0">
      <pane xSplit="15" topLeftCell="P1" activePane="topRight" state="frozen"/>
      <selection activeCell="P6" sqref="P6"/>
      <selection pane="topRight" activeCell="T7" sqref="S7:T21"/>
    </sheetView>
  </sheetViews>
  <sheetFormatPr defaultColWidth="8.85546875" defaultRowHeight="12.75"/>
  <cols>
    <col min="1" max="1" width="5.5703125" style="107" customWidth="1"/>
    <col min="2" max="2" width="12.42578125" style="107" customWidth="1"/>
    <col min="3" max="3" width="8.85546875" style="106"/>
    <col min="4" max="4" width="26.42578125" style="106" customWidth="1"/>
    <col min="5" max="7" width="8.42578125" style="106" customWidth="1"/>
    <col min="8" max="8" width="11.140625" style="106" bestFit="1" customWidth="1"/>
    <col min="9" max="12" width="11.140625" style="106" customWidth="1"/>
    <col min="13" max="13" width="13.5703125" style="106" customWidth="1"/>
    <col min="14" max="14" width="9.85546875" style="106" customWidth="1"/>
    <col min="15" max="15" width="7.140625" style="106" customWidth="1"/>
    <col min="16" max="18" width="12.85546875" style="106" customWidth="1"/>
    <col min="19" max="19" width="5.42578125" style="106" customWidth="1"/>
    <col min="20" max="20" width="12.85546875" style="106" customWidth="1"/>
    <col min="21" max="23" width="12.85546875" style="107" customWidth="1"/>
    <col min="24" max="24" width="5.42578125" style="106" customWidth="1"/>
    <col min="25" max="28" width="12.85546875" style="107" customWidth="1"/>
    <col min="29" max="29" width="5.42578125" style="106" customWidth="1"/>
    <col min="30" max="30" width="12.85546875" style="107" customWidth="1"/>
    <col min="31" max="33" width="12.5703125" style="107" customWidth="1"/>
    <col min="34" max="34" width="5.42578125" style="106" customWidth="1"/>
    <col min="35" max="35" width="13" style="107" customWidth="1"/>
    <col min="36" max="38" width="12.5703125" style="107" customWidth="1"/>
    <col min="39" max="39" width="5.42578125" style="106" customWidth="1"/>
    <col min="40" max="40" width="13" style="107" customWidth="1"/>
    <col min="41" max="43" width="13.140625" style="107" customWidth="1"/>
    <col min="44" max="44" width="5.42578125" style="107" customWidth="1"/>
    <col min="45" max="48" width="13.140625" style="107" customWidth="1"/>
    <col min="49" max="49" width="5.42578125" style="107" customWidth="1"/>
    <col min="50" max="50" width="13.140625" style="107" customWidth="1"/>
    <col min="51" max="51" width="8.85546875" style="107"/>
    <col min="52" max="52" width="5.42578125" style="107" customWidth="1"/>
    <col min="53" max="53" width="13.140625" style="107" customWidth="1"/>
    <col min="54" max="16384" width="8.85546875" style="107"/>
  </cols>
  <sheetData>
    <row r="1" spans="1:53" ht="24">
      <c r="A1" s="75"/>
      <c r="B1" s="220" t="s">
        <v>313</v>
      </c>
      <c r="C1" s="219">
        <f>AVERAGE(L7,L27,L47,L67,L87,L107)</f>
        <v>154.62316490637193</v>
      </c>
    </row>
    <row r="2" spans="1:53" ht="15.75">
      <c r="A2" s="81"/>
      <c r="B2" s="671" t="s">
        <v>162</v>
      </c>
      <c r="C2" s="671"/>
      <c r="D2" s="671"/>
      <c r="E2" s="671"/>
      <c r="F2" s="671"/>
      <c r="G2" s="671"/>
      <c r="H2" s="671"/>
      <c r="I2" s="284"/>
      <c r="J2" s="284"/>
      <c r="K2" s="284"/>
      <c r="L2" s="284"/>
      <c r="M2" s="196"/>
      <c r="N2" s="645" t="s">
        <v>156</v>
      </c>
      <c r="O2" s="645" t="s">
        <v>155</v>
      </c>
      <c r="P2" s="670">
        <v>46266</v>
      </c>
      <c r="Q2" s="649"/>
      <c r="R2" s="649"/>
      <c r="S2" s="649"/>
      <c r="T2" s="649"/>
      <c r="U2" s="667">
        <f>P2+1</f>
        <v>46267</v>
      </c>
      <c r="V2" s="668"/>
      <c r="W2" s="668"/>
      <c r="X2" s="668"/>
      <c r="Y2" s="669"/>
      <c r="Z2" s="667">
        <f>U2+1</f>
        <v>46268</v>
      </c>
      <c r="AA2" s="668"/>
      <c r="AB2" s="668"/>
      <c r="AC2" s="668"/>
      <c r="AD2" s="669"/>
      <c r="AE2" s="667">
        <f>Z2+1</f>
        <v>46269</v>
      </c>
      <c r="AF2" s="668"/>
      <c r="AG2" s="668"/>
      <c r="AH2" s="668"/>
      <c r="AI2" s="669"/>
      <c r="AJ2" s="667">
        <f>AE2+1</f>
        <v>46270</v>
      </c>
      <c r="AK2" s="668"/>
      <c r="AL2" s="668"/>
      <c r="AM2" s="668"/>
      <c r="AN2" s="669"/>
      <c r="AO2" s="667">
        <f>AJ2+1</f>
        <v>46271</v>
      </c>
      <c r="AP2" s="668"/>
      <c r="AQ2" s="668"/>
      <c r="AR2" s="668"/>
      <c r="AS2" s="669"/>
      <c r="AT2" s="667">
        <f>AO2+1</f>
        <v>46272</v>
      </c>
      <c r="AU2" s="668"/>
      <c r="AV2" s="668"/>
      <c r="AW2" s="668"/>
      <c r="AX2" s="669"/>
    </row>
    <row r="3" spans="1:53" ht="15.75">
      <c r="A3" s="81"/>
      <c r="B3" s="715"/>
      <c r="C3" s="715"/>
      <c r="D3" s="715"/>
      <c r="E3" s="715"/>
      <c r="F3" s="715"/>
      <c r="G3" s="715"/>
      <c r="H3" s="715"/>
      <c r="I3" s="285"/>
      <c r="J3" s="285"/>
      <c r="K3" s="285"/>
      <c r="L3" s="285"/>
      <c r="M3" s="197"/>
      <c r="N3" s="647"/>
      <c r="O3" s="647"/>
      <c r="P3" s="670" t="s">
        <v>158</v>
      </c>
      <c r="Q3" s="649"/>
      <c r="R3" s="649"/>
      <c r="S3" s="649"/>
      <c r="T3" s="649"/>
      <c r="U3" s="670" t="s">
        <v>114</v>
      </c>
      <c r="V3" s="649"/>
      <c r="W3" s="649"/>
      <c r="X3" s="649"/>
      <c r="Y3" s="649"/>
      <c r="Z3" s="670" t="s">
        <v>159</v>
      </c>
      <c r="AA3" s="649"/>
      <c r="AB3" s="649"/>
      <c r="AC3" s="649"/>
      <c r="AD3" s="649"/>
      <c r="AE3" s="670" t="s">
        <v>157</v>
      </c>
      <c r="AF3" s="649"/>
      <c r="AG3" s="649"/>
      <c r="AH3" s="649"/>
      <c r="AI3" s="649"/>
      <c r="AJ3" s="670" t="s">
        <v>160</v>
      </c>
      <c r="AK3" s="649"/>
      <c r="AL3" s="649"/>
      <c r="AM3" s="649"/>
      <c r="AN3" s="649"/>
      <c r="AO3" s="670" t="s">
        <v>115</v>
      </c>
      <c r="AP3" s="649"/>
      <c r="AQ3" s="649"/>
      <c r="AR3" s="649"/>
      <c r="AS3" s="649"/>
      <c r="AT3" s="670" t="s">
        <v>161</v>
      </c>
      <c r="AU3" s="649"/>
      <c r="AV3" s="649"/>
      <c r="AW3" s="649"/>
      <c r="AX3" s="649"/>
    </row>
    <row r="4" spans="1:53" ht="14.25">
      <c r="A4" s="81"/>
      <c r="B4" s="643" t="s">
        <v>522</v>
      </c>
      <c r="C4" s="643" t="s">
        <v>523</v>
      </c>
      <c r="D4" s="643"/>
      <c r="E4" s="643" t="s">
        <v>524</v>
      </c>
      <c r="F4" s="643"/>
      <c r="G4" s="643"/>
      <c r="H4" s="675" t="s">
        <v>525</v>
      </c>
      <c r="I4" s="643" t="s">
        <v>526</v>
      </c>
      <c r="J4" s="643"/>
      <c r="K4" s="643"/>
      <c r="L4" s="675" t="s">
        <v>359</v>
      </c>
      <c r="M4" s="645" t="s">
        <v>527</v>
      </c>
      <c r="N4" s="643"/>
      <c r="O4" s="643" t="s">
        <v>365</v>
      </c>
      <c r="P4" s="661" t="s">
        <v>361</v>
      </c>
      <c r="Q4" s="662"/>
      <c r="R4" s="662"/>
      <c r="S4" s="663"/>
      <c r="T4" s="643" t="s">
        <v>359</v>
      </c>
      <c r="U4" s="661" t="s">
        <v>361</v>
      </c>
      <c r="V4" s="662"/>
      <c r="W4" s="662"/>
      <c r="X4" s="663"/>
      <c r="Y4" s="643" t="s">
        <v>359</v>
      </c>
      <c r="Z4" s="661" t="s">
        <v>361</v>
      </c>
      <c r="AA4" s="662"/>
      <c r="AB4" s="662"/>
      <c r="AC4" s="663"/>
      <c r="AD4" s="643" t="s">
        <v>359</v>
      </c>
      <c r="AE4" s="661" t="s">
        <v>361</v>
      </c>
      <c r="AF4" s="662"/>
      <c r="AG4" s="662"/>
      <c r="AH4" s="663"/>
      <c r="AI4" s="643" t="s">
        <v>359</v>
      </c>
      <c r="AJ4" s="661" t="s">
        <v>361</v>
      </c>
      <c r="AK4" s="662"/>
      <c r="AL4" s="662"/>
      <c r="AM4" s="663"/>
      <c r="AN4" s="643" t="s">
        <v>359</v>
      </c>
      <c r="AO4" s="661" t="s">
        <v>361</v>
      </c>
      <c r="AP4" s="662"/>
      <c r="AQ4" s="662"/>
      <c r="AR4" s="663"/>
      <c r="AS4" s="643" t="s">
        <v>359</v>
      </c>
      <c r="AT4" s="661" t="s">
        <v>361</v>
      </c>
      <c r="AU4" s="662"/>
      <c r="AV4" s="662"/>
      <c r="AW4" s="663"/>
      <c r="AX4" s="643" t="s">
        <v>359</v>
      </c>
      <c r="BA4" s="643" t="s">
        <v>359</v>
      </c>
    </row>
    <row r="5" spans="1:53" ht="14.25">
      <c r="A5" s="81"/>
      <c r="B5" s="643"/>
      <c r="C5" s="643"/>
      <c r="D5" s="643"/>
      <c r="E5" s="643" t="s">
        <v>529</v>
      </c>
      <c r="F5" s="643"/>
      <c r="G5" s="643"/>
      <c r="H5" s="676"/>
      <c r="I5" s="643" t="s">
        <v>529</v>
      </c>
      <c r="J5" s="643"/>
      <c r="K5" s="643"/>
      <c r="L5" s="676"/>
      <c r="M5" s="646"/>
      <c r="N5" s="643"/>
      <c r="O5" s="643"/>
      <c r="P5" s="661" t="s">
        <v>367</v>
      </c>
      <c r="Q5" s="662"/>
      <c r="R5" s="662"/>
      <c r="S5" s="663"/>
      <c r="T5" s="643"/>
      <c r="U5" s="661" t="s">
        <v>367</v>
      </c>
      <c r="V5" s="662"/>
      <c r="W5" s="662"/>
      <c r="X5" s="663"/>
      <c r="Y5" s="643"/>
      <c r="Z5" s="661" t="s">
        <v>367</v>
      </c>
      <c r="AA5" s="662"/>
      <c r="AB5" s="662"/>
      <c r="AC5" s="663"/>
      <c r="AD5" s="643"/>
      <c r="AE5" s="661" t="s">
        <v>367</v>
      </c>
      <c r="AF5" s="662"/>
      <c r="AG5" s="662"/>
      <c r="AH5" s="663"/>
      <c r="AI5" s="643"/>
      <c r="AJ5" s="661" t="s">
        <v>367</v>
      </c>
      <c r="AK5" s="662"/>
      <c r="AL5" s="662"/>
      <c r="AM5" s="663"/>
      <c r="AN5" s="643"/>
      <c r="AO5" s="661" t="s">
        <v>367</v>
      </c>
      <c r="AP5" s="662"/>
      <c r="AQ5" s="662"/>
      <c r="AR5" s="663"/>
      <c r="AS5" s="643"/>
      <c r="AT5" s="661" t="s">
        <v>367</v>
      </c>
      <c r="AU5" s="662"/>
      <c r="AV5" s="662"/>
      <c r="AW5" s="663"/>
      <c r="AX5" s="643"/>
      <c r="BA5" s="643"/>
    </row>
    <row r="6" spans="1:53" ht="14.25">
      <c r="A6" s="79"/>
      <c r="B6" s="643"/>
      <c r="C6" s="643"/>
      <c r="D6" s="643"/>
      <c r="E6" s="525" t="s">
        <v>530</v>
      </c>
      <c r="F6" s="525" t="s">
        <v>531</v>
      </c>
      <c r="G6" s="525" t="s">
        <v>532</v>
      </c>
      <c r="H6" s="677"/>
      <c r="I6" s="525" t="s">
        <v>530</v>
      </c>
      <c r="J6" s="525" t="s">
        <v>531</v>
      </c>
      <c r="K6" s="525" t="s">
        <v>532</v>
      </c>
      <c r="L6" s="677"/>
      <c r="M6" s="647"/>
      <c r="N6" s="643"/>
      <c r="O6" s="643"/>
      <c r="P6" s="525" t="s">
        <v>368</v>
      </c>
      <c r="Q6" s="525" t="s">
        <v>369</v>
      </c>
      <c r="R6" s="525" t="s">
        <v>370</v>
      </c>
      <c r="S6" s="525" t="s">
        <v>360</v>
      </c>
      <c r="T6" s="643"/>
      <c r="U6" s="525" t="s">
        <v>368</v>
      </c>
      <c r="V6" s="525" t="s">
        <v>369</v>
      </c>
      <c r="W6" s="525" t="s">
        <v>370</v>
      </c>
      <c r="X6" s="525" t="s">
        <v>360</v>
      </c>
      <c r="Y6" s="643"/>
      <c r="Z6" s="525" t="s">
        <v>368</v>
      </c>
      <c r="AA6" s="525" t="s">
        <v>369</v>
      </c>
      <c r="AB6" s="525" t="s">
        <v>370</v>
      </c>
      <c r="AC6" s="525" t="s">
        <v>360</v>
      </c>
      <c r="AD6" s="643"/>
      <c r="AE6" s="525" t="s">
        <v>368</v>
      </c>
      <c r="AF6" s="525" t="s">
        <v>369</v>
      </c>
      <c r="AG6" s="525" t="s">
        <v>370</v>
      </c>
      <c r="AH6" s="525" t="s">
        <v>360</v>
      </c>
      <c r="AI6" s="643"/>
      <c r="AJ6" s="525" t="s">
        <v>368</v>
      </c>
      <c r="AK6" s="525" t="s">
        <v>369</v>
      </c>
      <c r="AL6" s="525" t="s">
        <v>370</v>
      </c>
      <c r="AM6" s="525" t="s">
        <v>360</v>
      </c>
      <c r="AN6" s="643"/>
      <c r="AO6" s="525" t="s">
        <v>368</v>
      </c>
      <c r="AP6" s="525" t="s">
        <v>369</v>
      </c>
      <c r="AQ6" s="525" t="s">
        <v>370</v>
      </c>
      <c r="AR6" s="525" t="s">
        <v>360</v>
      </c>
      <c r="AS6" s="643"/>
      <c r="AT6" s="525" t="s">
        <v>368</v>
      </c>
      <c r="AU6" s="525" t="s">
        <v>369</v>
      </c>
      <c r="AV6" s="525" t="s">
        <v>370</v>
      </c>
      <c r="AW6" s="525" t="s">
        <v>360</v>
      </c>
      <c r="AX6" s="643"/>
      <c r="AZ6" s="367" t="s">
        <v>360</v>
      </c>
      <c r="BA6" s="643"/>
    </row>
    <row r="7" spans="1:53" ht="14.25">
      <c r="A7" s="81"/>
      <c r="B7" s="643" t="s">
        <v>136</v>
      </c>
      <c r="C7" s="528">
        <v>1</v>
      </c>
      <c r="D7" s="225" t="s">
        <v>348</v>
      </c>
      <c r="E7" s="565">
        <v>7</v>
      </c>
      <c r="F7" s="563">
        <v>1500</v>
      </c>
      <c r="G7" s="564">
        <v>214.28571428571428</v>
      </c>
      <c r="H7" s="656">
        <f>AVERAGE(G7:G21)</f>
        <v>172.28217602830608</v>
      </c>
      <c r="I7" s="529">
        <f t="shared" ref="I7:I20" si="0">IFERROR(AVERAGE(P7,U7,Z7,AE7,AJ7,AO7,AT7),"-")</f>
        <v>7</v>
      </c>
      <c r="J7" s="529">
        <f t="shared" ref="J7:J20" si="1">IFERROR(AVERAGE(Q7,V7,AA7,AF7,AK7,AP7,AU7),"-")</f>
        <v>1451.070041022942</v>
      </c>
      <c r="K7" s="199">
        <f t="shared" ref="K7:K20" si="2">IFERROR(AVERAGE(R7,W7,AB7,AG7,AL7,AQ7,AV7),"-")</f>
        <v>207.29572014613453</v>
      </c>
      <c r="L7" s="658">
        <f>IFERROR(AVERAGE(K7:K21),"-")</f>
        <v>154.62316490637193</v>
      </c>
      <c r="M7" s="510">
        <f>RANK(K7, K$7:$K$21)</f>
        <v>4</v>
      </c>
      <c r="N7" s="643"/>
      <c r="O7" s="643"/>
      <c r="P7" s="577">
        <v>7</v>
      </c>
      <c r="Q7" s="510">
        <v>1443.8297872340427</v>
      </c>
      <c r="R7" s="510">
        <v>206.26139817629181</v>
      </c>
      <c r="S7" s="577">
        <f t="shared" ref="S7:S21" si="3">RANK(R7, R$7:R$21)</f>
        <v>4</v>
      </c>
      <c r="T7" s="700">
        <f t="shared" ref="T7" si="4">AVERAGE(R7:R21)</f>
        <v>157.03709479127153</v>
      </c>
      <c r="U7" s="577">
        <v>7</v>
      </c>
      <c r="V7" s="510">
        <v>1447.1428571428567</v>
      </c>
      <c r="W7" s="510">
        <v>206.73469387755094</v>
      </c>
      <c r="X7" s="577">
        <f t="shared" ref="X7:X21" si="5">RANK(W7, W$7:W$21)</f>
        <v>4</v>
      </c>
      <c r="Y7" s="700">
        <f t="shared" ref="Y7" si="6">AVERAGE(W7:W21)</f>
        <v>154.46750202762411</v>
      </c>
      <c r="Z7" s="577">
        <v>7</v>
      </c>
      <c r="AA7" s="510">
        <v>1441.395348837209</v>
      </c>
      <c r="AB7" s="510">
        <v>205.91362126245843</v>
      </c>
      <c r="AC7" s="577">
        <f t="shared" ref="AC7:AC21" si="7">RANK(AB7, AB$7:AB$21)</f>
        <v>5</v>
      </c>
      <c r="AD7" s="700">
        <f t="shared" ref="AD7" si="8">AVERAGE(AB7:AB21)</f>
        <v>159.34858324896479</v>
      </c>
      <c r="AE7" s="577">
        <v>7</v>
      </c>
      <c r="AF7" s="510">
        <v>1430.2702702702707</v>
      </c>
      <c r="AG7" s="510">
        <v>204.32432432432438</v>
      </c>
      <c r="AH7" s="577">
        <f t="shared" ref="AH7:AH21" si="9">RANK(AG7, AG$7:AG$21)</f>
        <v>4</v>
      </c>
      <c r="AI7" s="700">
        <f t="shared" ref="AI7" si="10">AVERAGE(AG7:AG21)</f>
        <v>151.78416265260032</v>
      </c>
      <c r="AJ7" s="577">
        <v>7</v>
      </c>
      <c r="AK7" s="510">
        <v>1465.714285714286</v>
      </c>
      <c r="AL7" s="510">
        <v>209.38775510204087</v>
      </c>
      <c r="AM7" s="577">
        <f t="shared" ref="AM7:AM21" si="11">RANK(AL7, AL$7:AL$21)</f>
        <v>3</v>
      </c>
      <c r="AN7" s="700">
        <f t="shared" ref="AN7" si="12">AVERAGE(AL7:AL21)</f>
        <v>152.11761237929264</v>
      </c>
      <c r="AO7" s="577">
        <v>7</v>
      </c>
      <c r="AP7" s="510">
        <v>1468.0851063829789</v>
      </c>
      <c r="AQ7" s="510">
        <v>209.72644376899697</v>
      </c>
      <c r="AR7" s="577">
        <f t="shared" ref="AR7:AR21" si="13">RANK(AQ7, AQ$7:AQ$21)</f>
        <v>3</v>
      </c>
      <c r="AS7" s="700">
        <f t="shared" ref="AS7" si="14">AVERAGE(AQ7:AQ21)</f>
        <v>152.28603481995955</v>
      </c>
      <c r="AT7" s="576">
        <v>7</v>
      </c>
      <c r="AU7" s="578">
        <v>1461.0526315789484</v>
      </c>
      <c r="AV7" s="578">
        <v>208.72180451127835</v>
      </c>
      <c r="AW7" s="577">
        <f t="shared" ref="AW7:AW21" si="15">RANK(AV7, AV$7:AV$21)</f>
        <v>4</v>
      </c>
      <c r="AX7" s="700">
        <f t="shared" ref="AX7" si="16">AVERAGE(AV7:AV21)</f>
        <v>155.32116442489047</v>
      </c>
      <c r="AZ7" s="369" t="e">
        <f t="shared" ref="AZ7:AZ21" si="17">RANK(AY7, AY$7:AY$21)</f>
        <v>#N/A</v>
      </c>
      <c r="BA7" s="700" t="e">
        <f t="shared" ref="BA7" si="18">AVERAGE(AY7:AY21)</f>
        <v>#DIV/0!</v>
      </c>
    </row>
    <row r="8" spans="1:53" ht="15" customHeight="1">
      <c r="A8" s="81"/>
      <c r="B8" s="678"/>
      <c r="C8" s="528">
        <v>2</v>
      </c>
      <c r="D8" s="225" t="s">
        <v>349</v>
      </c>
      <c r="E8" s="565">
        <v>7</v>
      </c>
      <c r="F8" s="563">
        <v>1500</v>
      </c>
      <c r="G8" s="564">
        <v>214.28571428571428</v>
      </c>
      <c r="H8" s="657"/>
      <c r="I8" s="529">
        <f t="shared" si="0"/>
        <v>7</v>
      </c>
      <c r="J8" s="529">
        <f t="shared" si="1"/>
        <v>1475.7312240114829</v>
      </c>
      <c r="K8" s="199">
        <f t="shared" si="2"/>
        <v>210.81874628735471</v>
      </c>
      <c r="L8" s="659"/>
      <c r="M8" s="510">
        <f>RANK(K8, K$7:$K$21)</f>
        <v>1</v>
      </c>
      <c r="N8" s="643"/>
      <c r="O8" s="643"/>
      <c r="P8" s="577">
        <v>7</v>
      </c>
      <c r="Q8" s="510">
        <v>1457.8124999999995</v>
      </c>
      <c r="R8" s="510">
        <v>208.2589285714285</v>
      </c>
      <c r="S8" s="577">
        <f t="shared" si="3"/>
        <v>3</v>
      </c>
      <c r="T8" s="700"/>
      <c r="U8" s="577">
        <v>7</v>
      </c>
      <c r="V8" s="510">
        <v>1486.6666666666663</v>
      </c>
      <c r="W8" s="510">
        <v>212.38095238095232</v>
      </c>
      <c r="X8" s="577">
        <f t="shared" si="5"/>
        <v>1</v>
      </c>
      <c r="Y8" s="700"/>
      <c r="Z8" s="577">
        <v>7</v>
      </c>
      <c r="AA8" s="510">
        <v>1493.5537190082646</v>
      </c>
      <c r="AB8" s="510">
        <v>213.36481700118065</v>
      </c>
      <c r="AC8" s="577">
        <f t="shared" si="7"/>
        <v>1</v>
      </c>
      <c r="AD8" s="700"/>
      <c r="AE8" s="577">
        <v>7</v>
      </c>
      <c r="AF8" s="510">
        <v>1485.454545454546</v>
      </c>
      <c r="AG8" s="510">
        <v>212.20779220779227</v>
      </c>
      <c r="AH8" s="577">
        <f t="shared" si="9"/>
        <v>1</v>
      </c>
      <c r="AI8" s="700"/>
      <c r="AJ8" s="577">
        <v>7</v>
      </c>
      <c r="AK8" s="510">
        <v>1452.2222222222219</v>
      </c>
      <c r="AL8" s="510">
        <v>207.46031746031741</v>
      </c>
      <c r="AM8" s="577">
        <f t="shared" si="11"/>
        <v>4</v>
      </c>
      <c r="AN8" s="700"/>
      <c r="AO8" s="577">
        <v>7</v>
      </c>
      <c r="AP8" s="510">
        <v>1482.3255813953485</v>
      </c>
      <c r="AQ8" s="510">
        <v>211.76079734219266</v>
      </c>
      <c r="AR8" s="577">
        <f t="shared" si="13"/>
        <v>1</v>
      </c>
      <c r="AS8" s="700"/>
      <c r="AT8" s="576">
        <v>7</v>
      </c>
      <c r="AU8" s="578">
        <v>1472.0833333333337</v>
      </c>
      <c r="AV8" s="578">
        <v>210.29761904761909</v>
      </c>
      <c r="AW8" s="577">
        <f t="shared" si="15"/>
        <v>2</v>
      </c>
      <c r="AX8" s="700"/>
      <c r="AZ8" s="369" t="e">
        <f t="shared" si="17"/>
        <v>#N/A</v>
      </c>
      <c r="BA8" s="700"/>
    </row>
    <row r="9" spans="1:53" ht="14.25">
      <c r="A9" s="81"/>
      <c r="B9" s="678"/>
      <c r="C9" s="528">
        <v>3</v>
      </c>
      <c r="D9" s="225" t="s">
        <v>350</v>
      </c>
      <c r="E9" s="565">
        <v>17</v>
      </c>
      <c r="F9" s="563">
        <v>1500</v>
      </c>
      <c r="G9" s="564">
        <v>88.235294117647058</v>
      </c>
      <c r="H9" s="657"/>
      <c r="I9" s="529">
        <f t="shared" si="0"/>
        <v>16.428571428571427</v>
      </c>
      <c r="J9" s="529">
        <f t="shared" si="1"/>
        <v>1350.5592895891095</v>
      </c>
      <c r="K9" s="199">
        <f t="shared" si="2"/>
        <v>82.287814175182135</v>
      </c>
      <c r="L9" s="659"/>
      <c r="M9" s="510">
        <f>RANK(K9, K$7:$K$21)</f>
        <v>9</v>
      </c>
      <c r="N9" s="643"/>
      <c r="O9" s="643"/>
      <c r="P9" s="577">
        <v>16</v>
      </c>
      <c r="Q9" s="510">
        <v>1321.2903225806454</v>
      </c>
      <c r="R9" s="510">
        <v>82.580645161290334</v>
      </c>
      <c r="S9" s="577">
        <f t="shared" si="3"/>
        <v>9</v>
      </c>
      <c r="T9" s="700"/>
      <c r="U9" s="577">
        <v>17</v>
      </c>
      <c r="V9" s="510">
        <v>1332.1428571428567</v>
      </c>
      <c r="W9" s="510">
        <v>78.3613445378151</v>
      </c>
      <c r="X9" s="577">
        <f t="shared" si="5"/>
        <v>9</v>
      </c>
      <c r="Y9" s="700"/>
      <c r="Z9" s="577">
        <v>16</v>
      </c>
      <c r="AA9" s="510">
        <v>1373.9240506329106</v>
      </c>
      <c r="AB9" s="510">
        <v>85.870253164556914</v>
      </c>
      <c r="AC9" s="577">
        <f t="shared" si="7"/>
        <v>9</v>
      </c>
      <c r="AD9" s="700"/>
      <c r="AE9" s="577">
        <v>16</v>
      </c>
      <c r="AF9" s="510">
        <v>1358.4374999999998</v>
      </c>
      <c r="AG9" s="510">
        <v>84.902343749999986</v>
      </c>
      <c r="AH9" s="577">
        <f t="shared" si="9"/>
        <v>9</v>
      </c>
      <c r="AI9" s="700"/>
      <c r="AJ9" s="577">
        <v>16</v>
      </c>
      <c r="AK9" s="510">
        <v>1359.705882352941</v>
      </c>
      <c r="AL9" s="510">
        <v>84.981617647058812</v>
      </c>
      <c r="AM9" s="577">
        <f t="shared" si="11"/>
        <v>9</v>
      </c>
      <c r="AN9" s="700"/>
      <c r="AO9" s="577">
        <v>17</v>
      </c>
      <c r="AP9" s="510">
        <v>1367.3333333333333</v>
      </c>
      <c r="AQ9" s="510">
        <v>80.431372549019599</v>
      </c>
      <c r="AR9" s="577">
        <f t="shared" si="13"/>
        <v>9</v>
      </c>
      <c r="AS9" s="700"/>
      <c r="AT9" s="576">
        <v>17</v>
      </c>
      <c r="AU9" s="578">
        <v>1341.081081081081</v>
      </c>
      <c r="AV9" s="578">
        <v>78.887122416534183</v>
      </c>
      <c r="AW9" s="577">
        <f t="shared" si="15"/>
        <v>9</v>
      </c>
      <c r="AX9" s="700"/>
      <c r="AZ9" s="369" t="e">
        <f t="shared" si="17"/>
        <v>#N/A</v>
      </c>
      <c r="BA9" s="700"/>
    </row>
    <row r="10" spans="1:53" ht="14.25">
      <c r="A10" s="81"/>
      <c r="B10" s="678"/>
      <c r="C10" s="528">
        <v>4</v>
      </c>
      <c r="D10" s="225" t="s">
        <v>381</v>
      </c>
      <c r="E10" s="565">
        <v>7</v>
      </c>
      <c r="F10" s="563">
        <v>1500</v>
      </c>
      <c r="G10" s="564">
        <v>214.28571428571428</v>
      </c>
      <c r="H10" s="657"/>
      <c r="I10" s="529">
        <f t="shared" si="0"/>
        <v>7</v>
      </c>
      <c r="J10" s="529">
        <f t="shared" si="1"/>
        <v>1472.205182738237</v>
      </c>
      <c r="K10" s="199">
        <f t="shared" si="2"/>
        <v>210.31502610546244</v>
      </c>
      <c r="L10" s="659"/>
      <c r="M10" s="510">
        <f>RANK(K10, K$7:$K$21)</f>
        <v>2</v>
      </c>
      <c r="N10" s="643"/>
      <c r="O10" s="643"/>
      <c r="P10" s="577">
        <v>7</v>
      </c>
      <c r="Q10" s="510">
        <v>1488.1818181818182</v>
      </c>
      <c r="R10" s="510">
        <v>212.59740259740261</v>
      </c>
      <c r="S10" s="577">
        <f t="shared" si="3"/>
        <v>1</v>
      </c>
      <c r="T10" s="700"/>
      <c r="U10" s="577">
        <v>7</v>
      </c>
      <c r="V10" s="510">
        <v>1479.6610169491528</v>
      </c>
      <c r="W10" s="510">
        <v>211.38014527845039</v>
      </c>
      <c r="X10" s="577">
        <f t="shared" si="5"/>
        <v>2</v>
      </c>
      <c r="Y10" s="700"/>
      <c r="Z10" s="577">
        <v>7</v>
      </c>
      <c r="AA10" s="510">
        <v>1461.4285714285716</v>
      </c>
      <c r="AB10" s="510">
        <v>208.77551020408166</v>
      </c>
      <c r="AC10" s="577">
        <f t="shared" si="7"/>
        <v>3</v>
      </c>
      <c r="AD10" s="700"/>
      <c r="AE10" s="577">
        <v>7</v>
      </c>
      <c r="AF10" s="510">
        <v>1452.7777777777776</v>
      </c>
      <c r="AG10" s="510">
        <v>207.5396825396825</v>
      </c>
      <c r="AH10" s="577">
        <f t="shared" si="9"/>
        <v>2</v>
      </c>
      <c r="AI10" s="700"/>
      <c r="AJ10" s="577">
        <v>7</v>
      </c>
      <c r="AK10" s="510">
        <v>1493.5714285714284</v>
      </c>
      <c r="AL10" s="510">
        <v>213.36734693877548</v>
      </c>
      <c r="AM10" s="577">
        <f t="shared" si="11"/>
        <v>1</v>
      </c>
      <c r="AN10" s="700"/>
      <c r="AO10" s="577">
        <v>7</v>
      </c>
      <c r="AP10" s="510">
        <v>1453.5099337748343</v>
      </c>
      <c r="AQ10" s="510">
        <v>207.64427625354776</v>
      </c>
      <c r="AR10" s="577">
        <f t="shared" si="13"/>
        <v>4</v>
      </c>
      <c r="AS10" s="700"/>
      <c r="AT10" s="576">
        <v>7</v>
      </c>
      <c r="AU10" s="578">
        <v>1476.3057324840763</v>
      </c>
      <c r="AV10" s="578">
        <v>210.90081892629661</v>
      </c>
      <c r="AW10" s="577">
        <f t="shared" si="15"/>
        <v>1</v>
      </c>
      <c r="AX10" s="700"/>
      <c r="AZ10" s="369" t="e">
        <f t="shared" si="17"/>
        <v>#N/A</v>
      </c>
      <c r="BA10" s="700"/>
    </row>
    <row r="11" spans="1:53" ht="14.25">
      <c r="A11" s="81"/>
      <c r="B11" s="678"/>
      <c r="C11" s="528">
        <v>5</v>
      </c>
      <c r="D11" s="225" t="s">
        <v>558</v>
      </c>
      <c r="E11" s="565">
        <v>12</v>
      </c>
      <c r="F11" s="563">
        <v>2000</v>
      </c>
      <c r="G11" s="564">
        <v>166.66666666666666</v>
      </c>
      <c r="H11" s="657"/>
      <c r="I11" s="529">
        <f t="shared" si="0"/>
        <v>12</v>
      </c>
      <c r="J11" s="529">
        <f t="shared" si="1"/>
        <v>1567.8129721272785</v>
      </c>
      <c r="K11" s="199">
        <f t="shared" si="2"/>
        <v>130.65108101060653</v>
      </c>
      <c r="L11" s="659"/>
      <c r="M11" s="510">
        <f>RANK(K11, K$7:$K$21)</f>
        <v>6</v>
      </c>
      <c r="N11" s="643"/>
      <c r="O11" s="643"/>
      <c r="P11" s="577">
        <v>12</v>
      </c>
      <c r="Q11" s="510">
        <v>1573.4634146341459</v>
      </c>
      <c r="R11" s="510">
        <v>131.12195121951217</v>
      </c>
      <c r="S11" s="577">
        <f t="shared" si="3"/>
        <v>6</v>
      </c>
      <c r="T11" s="700"/>
      <c r="U11" s="577">
        <v>12</v>
      </c>
      <c r="V11" s="510">
        <v>1537.1428571428567</v>
      </c>
      <c r="W11" s="510">
        <v>128.09523809523805</v>
      </c>
      <c r="X11" s="577">
        <f t="shared" si="5"/>
        <v>6</v>
      </c>
      <c r="Y11" s="700"/>
      <c r="Z11" s="577">
        <v>12</v>
      </c>
      <c r="AA11" s="510">
        <v>1594.4615384615377</v>
      </c>
      <c r="AB11" s="510">
        <v>132.8717948717948</v>
      </c>
      <c r="AC11" s="577">
        <f t="shared" si="7"/>
        <v>7</v>
      </c>
      <c r="AD11" s="700"/>
      <c r="AE11" s="577">
        <v>12</v>
      </c>
      <c r="AF11" s="510">
        <v>1556.2500000000018</v>
      </c>
      <c r="AG11" s="510">
        <v>129.68750000000014</v>
      </c>
      <c r="AH11" s="577">
        <f t="shared" si="9"/>
        <v>6</v>
      </c>
      <c r="AI11" s="700"/>
      <c r="AJ11" s="577">
        <v>12</v>
      </c>
      <c r="AK11" s="510">
        <v>1588.9411764705906</v>
      </c>
      <c r="AL11" s="510">
        <v>132.41176470588255</v>
      </c>
      <c r="AM11" s="577">
        <f t="shared" si="11"/>
        <v>6</v>
      </c>
      <c r="AN11" s="700"/>
      <c r="AO11" s="577">
        <v>12</v>
      </c>
      <c r="AP11" s="510">
        <v>1559.9999999999986</v>
      </c>
      <c r="AQ11" s="510">
        <v>129.99999999999989</v>
      </c>
      <c r="AR11" s="577">
        <f t="shared" si="13"/>
        <v>7</v>
      </c>
      <c r="AS11" s="700"/>
      <c r="AT11" s="576">
        <v>12</v>
      </c>
      <c r="AU11" s="578">
        <v>1564.4318181818182</v>
      </c>
      <c r="AV11" s="578">
        <v>130.36931818181819</v>
      </c>
      <c r="AW11" s="577">
        <f t="shared" si="15"/>
        <v>6</v>
      </c>
      <c r="AX11" s="700"/>
      <c r="AZ11" s="369" t="e">
        <f t="shared" si="17"/>
        <v>#N/A</v>
      </c>
      <c r="BA11" s="700"/>
    </row>
    <row r="12" spans="1:53" ht="14.25">
      <c r="A12" s="81"/>
      <c r="B12" s="678"/>
      <c r="C12" s="528">
        <v>6</v>
      </c>
      <c r="D12" s="225" t="s">
        <v>553</v>
      </c>
      <c r="E12" s="565">
        <v>7</v>
      </c>
      <c r="F12" s="563">
        <v>1500</v>
      </c>
      <c r="G12" s="564">
        <v>214.28571428571428</v>
      </c>
      <c r="H12" s="657"/>
      <c r="I12" s="529">
        <f t="shared" si="0"/>
        <v>7</v>
      </c>
      <c r="J12" s="529">
        <f t="shared" si="1"/>
        <v>1466.4836211736381</v>
      </c>
      <c r="K12" s="199">
        <f t="shared" si="2"/>
        <v>209.49766016766262</v>
      </c>
      <c r="L12" s="659"/>
      <c r="M12" s="510">
        <f>RANK(K12, K$7:$K$21)</f>
        <v>3</v>
      </c>
      <c r="N12" s="643"/>
      <c r="O12" s="643"/>
      <c r="P12" s="577">
        <v>7</v>
      </c>
      <c r="Q12" s="510">
        <v>1487.7966101694917</v>
      </c>
      <c r="R12" s="510">
        <v>212.54237288135596</v>
      </c>
      <c r="S12" s="577">
        <f t="shared" si="3"/>
        <v>2</v>
      </c>
      <c r="T12" s="700"/>
      <c r="U12" s="577">
        <v>7</v>
      </c>
      <c r="V12" s="510">
        <v>1455.2380952380959</v>
      </c>
      <c r="W12" s="510">
        <v>207.89115646258512</v>
      </c>
      <c r="X12" s="577">
        <f t="shared" si="5"/>
        <v>3</v>
      </c>
      <c r="Y12" s="700"/>
      <c r="Z12" s="577">
        <v>7</v>
      </c>
      <c r="AA12" s="510">
        <v>1463.4374999999995</v>
      </c>
      <c r="AB12" s="510">
        <v>209.06249999999994</v>
      </c>
      <c r="AC12" s="577">
        <f t="shared" si="7"/>
        <v>2</v>
      </c>
      <c r="AD12" s="700"/>
      <c r="AE12" s="577">
        <v>7</v>
      </c>
      <c r="AF12" s="510">
        <v>1442.7272727272727</v>
      </c>
      <c r="AG12" s="510">
        <v>206.10389610389612</v>
      </c>
      <c r="AH12" s="577">
        <f t="shared" si="9"/>
        <v>3</v>
      </c>
      <c r="AI12" s="700"/>
      <c r="AJ12" s="577">
        <v>7</v>
      </c>
      <c r="AK12" s="510">
        <v>1490.6666666666667</v>
      </c>
      <c r="AL12" s="510">
        <v>212.95238095238096</v>
      </c>
      <c r="AM12" s="577">
        <f t="shared" si="11"/>
        <v>2</v>
      </c>
      <c r="AN12" s="700"/>
      <c r="AO12" s="577">
        <v>7</v>
      </c>
      <c r="AP12" s="510">
        <v>1475.7894736842104</v>
      </c>
      <c r="AQ12" s="510">
        <v>210.82706766917292</v>
      </c>
      <c r="AR12" s="577">
        <f t="shared" si="13"/>
        <v>2</v>
      </c>
      <c r="AS12" s="700"/>
      <c r="AT12" s="576">
        <v>7</v>
      </c>
      <c r="AU12" s="578">
        <v>1449.7297297297303</v>
      </c>
      <c r="AV12" s="578">
        <v>207.10424710424718</v>
      </c>
      <c r="AW12" s="577">
        <f t="shared" si="15"/>
        <v>5</v>
      </c>
      <c r="AX12" s="700"/>
      <c r="AZ12" s="369" t="e">
        <f t="shared" si="17"/>
        <v>#N/A</v>
      </c>
      <c r="BA12" s="700"/>
    </row>
    <row r="13" spans="1:53" ht="14.25">
      <c r="A13" s="81"/>
      <c r="B13" s="678"/>
      <c r="C13" s="528">
        <v>7</v>
      </c>
      <c r="D13" s="225" t="s">
        <v>582</v>
      </c>
      <c r="E13" s="565">
        <v>12</v>
      </c>
      <c r="F13" s="563">
        <v>2000</v>
      </c>
      <c r="G13" s="564">
        <v>166.66666666666666</v>
      </c>
      <c r="H13" s="657"/>
      <c r="I13" s="529">
        <f t="shared" si="0"/>
        <v>12</v>
      </c>
      <c r="J13" s="529">
        <f t="shared" si="1"/>
        <v>1522.1594081334019</v>
      </c>
      <c r="K13" s="199">
        <f t="shared" si="2"/>
        <v>126.84661734445015</v>
      </c>
      <c r="L13" s="659"/>
      <c r="M13" s="510">
        <f>RANK(K13, K$7:$K$21)</f>
        <v>7</v>
      </c>
      <c r="N13" s="643"/>
      <c r="O13" s="643"/>
      <c r="P13" s="577">
        <v>12</v>
      </c>
      <c r="Q13" s="510">
        <v>1495.1999999999996</v>
      </c>
      <c r="R13" s="510">
        <v>124.59999999999997</v>
      </c>
      <c r="S13" s="577">
        <f t="shared" si="3"/>
        <v>8</v>
      </c>
      <c r="T13" s="700"/>
      <c r="U13" s="577">
        <v>12</v>
      </c>
      <c r="V13" s="510">
        <v>1513.333333333333</v>
      </c>
      <c r="W13" s="510">
        <v>126.11111111111109</v>
      </c>
      <c r="X13" s="577">
        <f t="shared" si="5"/>
        <v>7</v>
      </c>
      <c r="Y13" s="700"/>
      <c r="Z13" s="577">
        <v>12</v>
      </c>
      <c r="AA13" s="510">
        <v>1513.4482758620693</v>
      </c>
      <c r="AB13" s="510">
        <v>126.12068965517244</v>
      </c>
      <c r="AC13" s="577">
        <f t="shared" si="7"/>
        <v>8</v>
      </c>
      <c r="AD13" s="700"/>
      <c r="AE13" s="577">
        <v>12</v>
      </c>
      <c r="AF13" s="510">
        <v>1530.4918032786879</v>
      </c>
      <c r="AG13" s="510">
        <v>127.54098360655733</v>
      </c>
      <c r="AH13" s="577">
        <f t="shared" si="9"/>
        <v>7</v>
      </c>
      <c r="AI13" s="700"/>
      <c r="AJ13" s="577">
        <v>12</v>
      </c>
      <c r="AK13" s="510">
        <v>1516.1194029850747</v>
      </c>
      <c r="AL13" s="510">
        <v>126.34328358208955</v>
      </c>
      <c r="AM13" s="577">
        <f t="shared" si="11"/>
        <v>7</v>
      </c>
      <c r="AN13" s="700"/>
      <c r="AO13" s="577">
        <v>12</v>
      </c>
      <c r="AP13" s="510">
        <v>1564.0714285714253</v>
      </c>
      <c r="AQ13" s="510">
        <v>130.33928571428544</v>
      </c>
      <c r="AR13" s="577">
        <f t="shared" si="13"/>
        <v>6</v>
      </c>
      <c r="AS13" s="700"/>
      <c r="AT13" s="576">
        <v>12</v>
      </c>
      <c r="AU13" s="578">
        <v>1522.4516129032236</v>
      </c>
      <c r="AV13" s="578">
        <v>126.8709677419353</v>
      </c>
      <c r="AW13" s="577">
        <f t="shared" si="15"/>
        <v>7</v>
      </c>
      <c r="AX13" s="700"/>
      <c r="AZ13" s="369" t="e">
        <f t="shared" si="17"/>
        <v>#N/A</v>
      </c>
      <c r="BA13" s="700"/>
    </row>
    <row r="14" spans="1:53" ht="14.25">
      <c r="A14" s="81"/>
      <c r="B14" s="678"/>
      <c r="C14" s="528">
        <v>8</v>
      </c>
      <c r="D14" s="225" t="s">
        <v>583</v>
      </c>
      <c r="E14" s="565">
        <v>12</v>
      </c>
      <c r="F14" s="563">
        <v>2000</v>
      </c>
      <c r="G14" s="564">
        <v>166.66666666666666</v>
      </c>
      <c r="H14" s="657"/>
      <c r="I14" s="529">
        <f t="shared" si="0"/>
        <v>11.285714285714286</v>
      </c>
      <c r="J14" s="529">
        <f t="shared" si="1"/>
        <v>1283.2514977282772</v>
      </c>
      <c r="K14" s="199">
        <f t="shared" si="2"/>
        <v>115.09900047206543</v>
      </c>
      <c r="L14" s="659"/>
      <c r="M14" s="510">
        <f>RANK(K14, K$7:$K$21)</f>
        <v>8</v>
      </c>
      <c r="N14" s="643"/>
      <c r="O14" s="643"/>
      <c r="P14" s="577">
        <v>10</v>
      </c>
      <c r="Q14" s="510">
        <v>1283.3333333333323</v>
      </c>
      <c r="R14" s="510">
        <v>128.33333333333323</v>
      </c>
      <c r="S14" s="577">
        <f t="shared" si="3"/>
        <v>7</v>
      </c>
      <c r="T14" s="700"/>
      <c r="U14" s="577">
        <v>12</v>
      </c>
      <c r="V14" s="510">
        <v>1285.2631578947357</v>
      </c>
      <c r="W14" s="510">
        <v>107.10526315789464</v>
      </c>
      <c r="X14" s="577">
        <f t="shared" si="5"/>
        <v>8</v>
      </c>
      <c r="Y14" s="700"/>
      <c r="Z14" s="577">
        <v>9</v>
      </c>
      <c r="AA14" s="510">
        <v>1286.6666666666656</v>
      </c>
      <c r="AB14" s="510">
        <v>142.96296296296285</v>
      </c>
      <c r="AC14" s="577">
        <f t="shared" si="7"/>
        <v>6</v>
      </c>
      <c r="AD14" s="700"/>
      <c r="AE14" s="577">
        <v>12</v>
      </c>
      <c r="AF14" s="510">
        <v>1325.4545454545455</v>
      </c>
      <c r="AG14" s="510">
        <v>110.45454545454545</v>
      </c>
      <c r="AH14" s="577">
        <f t="shared" si="9"/>
        <v>8</v>
      </c>
      <c r="AI14" s="700"/>
      <c r="AJ14" s="577">
        <v>12</v>
      </c>
      <c r="AK14" s="510">
        <v>1235.9999999999995</v>
      </c>
      <c r="AL14" s="510">
        <v>102.99999999999996</v>
      </c>
      <c r="AM14" s="577">
        <f t="shared" si="11"/>
        <v>8</v>
      </c>
      <c r="AN14" s="700"/>
      <c r="AO14" s="577">
        <v>12</v>
      </c>
      <c r="AP14" s="510">
        <v>1270.5882352941162</v>
      </c>
      <c r="AQ14" s="510">
        <v>105.88235294117635</v>
      </c>
      <c r="AR14" s="577">
        <f t="shared" si="13"/>
        <v>8</v>
      </c>
      <c r="AS14" s="700"/>
      <c r="AT14" s="576">
        <v>12</v>
      </c>
      <c r="AU14" s="578">
        <v>1295.4545454545455</v>
      </c>
      <c r="AV14" s="578">
        <v>107.95454545454545</v>
      </c>
      <c r="AW14" s="577">
        <f t="shared" si="15"/>
        <v>8</v>
      </c>
      <c r="AX14" s="700"/>
      <c r="AZ14" s="369" t="e">
        <f t="shared" si="17"/>
        <v>#N/A</v>
      </c>
      <c r="BA14" s="700"/>
    </row>
    <row r="15" spans="1:53" ht="14.25">
      <c r="A15" s="81"/>
      <c r="B15" s="678"/>
      <c r="C15" s="528">
        <v>9</v>
      </c>
      <c r="D15" s="225" t="s">
        <v>590</v>
      </c>
      <c r="E15" s="565">
        <v>7</v>
      </c>
      <c r="F15" s="563">
        <v>1500</v>
      </c>
      <c r="G15" s="564">
        <v>214.28571428571428</v>
      </c>
      <c r="H15" s="657"/>
      <c r="I15" s="529">
        <f t="shared" si="0"/>
        <v>7</v>
      </c>
      <c r="J15" s="529">
        <f t="shared" si="1"/>
        <v>1351.8318911772606</v>
      </c>
      <c r="K15" s="199">
        <f t="shared" si="2"/>
        <v>193.11884159675154</v>
      </c>
      <c r="L15" s="659"/>
      <c r="M15" s="510">
        <f>RANK(K15, K$7:$K$21)</f>
        <v>5</v>
      </c>
      <c r="N15" s="643"/>
      <c r="O15" s="643"/>
      <c r="P15" s="577">
        <v>7</v>
      </c>
      <c r="Q15" s="510">
        <v>1437.7777777777785</v>
      </c>
      <c r="R15" s="510">
        <v>205.39682539682551</v>
      </c>
      <c r="S15" s="577">
        <f t="shared" si="3"/>
        <v>5</v>
      </c>
      <c r="T15" s="700"/>
      <c r="U15" s="577">
        <v>7</v>
      </c>
      <c r="V15" s="510">
        <v>1442.0689655172425</v>
      </c>
      <c r="W15" s="510">
        <v>206.00985221674893</v>
      </c>
      <c r="X15" s="577">
        <f t="shared" si="5"/>
        <v>5</v>
      </c>
      <c r="Y15" s="700"/>
      <c r="Z15" s="577">
        <v>7</v>
      </c>
      <c r="AA15" s="510">
        <v>1457.7777777777785</v>
      </c>
      <c r="AB15" s="510">
        <v>208.25396825396837</v>
      </c>
      <c r="AC15" s="577">
        <f t="shared" si="7"/>
        <v>4</v>
      </c>
      <c r="AD15" s="700"/>
      <c r="AE15" s="577">
        <v>7</v>
      </c>
      <c r="AF15" s="510">
        <v>1222.8571428571424</v>
      </c>
      <c r="AG15" s="510">
        <v>174.69387755102034</v>
      </c>
      <c r="AH15" s="577">
        <f t="shared" si="9"/>
        <v>5</v>
      </c>
      <c r="AI15" s="700"/>
      <c r="AJ15" s="577">
        <v>7</v>
      </c>
      <c r="AK15" s="510">
        <v>1205.2173913043478</v>
      </c>
      <c r="AL15" s="510">
        <v>172.17391304347825</v>
      </c>
      <c r="AM15" s="577">
        <f t="shared" si="11"/>
        <v>5</v>
      </c>
      <c r="AN15" s="700"/>
      <c r="AO15" s="577">
        <v>7</v>
      </c>
      <c r="AP15" s="510">
        <v>1228.8888888888896</v>
      </c>
      <c r="AQ15" s="510">
        <v>175.55555555555566</v>
      </c>
      <c r="AR15" s="577">
        <f t="shared" si="13"/>
        <v>5</v>
      </c>
      <c r="AS15" s="700"/>
      <c r="AT15" s="576">
        <v>7</v>
      </c>
      <c r="AU15" s="578">
        <v>1468.2352941176453</v>
      </c>
      <c r="AV15" s="578">
        <v>209.7478991596636</v>
      </c>
      <c r="AW15" s="577">
        <f t="shared" si="15"/>
        <v>3</v>
      </c>
      <c r="AX15" s="700"/>
      <c r="AZ15" s="369" t="e">
        <f t="shared" si="17"/>
        <v>#N/A</v>
      </c>
      <c r="BA15" s="700"/>
    </row>
    <row r="16" spans="1:53" ht="14.25">
      <c r="A16" s="81"/>
      <c r="B16" s="678"/>
      <c r="C16" s="528">
        <v>10</v>
      </c>
      <c r="D16" s="225" t="s">
        <v>770</v>
      </c>
      <c r="E16" s="565">
        <v>19</v>
      </c>
      <c r="F16" s="563">
        <v>1200</v>
      </c>
      <c r="G16" s="564">
        <v>63.157894736842103</v>
      </c>
      <c r="H16" s="657"/>
      <c r="I16" s="529">
        <f t="shared" si="0"/>
        <v>19</v>
      </c>
      <c r="J16" s="529">
        <f t="shared" si="1"/>
        <v>1145.7216934029329</v>
      </c>
      <c r="K16" s="199">
        <f t="shared" si="2"/>
        <v>60.301141758049098</v>
      </c>
      <c r="L16" s="659"/>
      <c r="M16" s="510">
        <f>RANK(K16, K$7:$K$21)</f>
        <v>10</v>
      </c>
      <c r="N16" s="643"/>
      <c r="O16" s="643"/>
      <c r="P16" s="577">
        <v>19</v>
      </c>
      <c r="Q16" s="510">
        <v>1114.8837209302324</v>
      </c>
      <c r="R16" s="510">
        <v>58.678090575275384</v>
      </c>
      <c r="S16" s="577">
        <f t="shared" si="3"/>
        <v>10</v>
      </c>
      <c r="T16" s="700"/>
      <c r="U16" s="577">
        <v>19</v>
      </c>
      <c r="V16" s="510">
        <v>1151.4999999999995</v>
      </c>
      <c r="W16" s="510">
        <v>60.605263157894711</v>
      </c>
      <c r="X16" s="577">
        <f t="shared" si="5"/>
        <v>10</v>
      </c>
      <c r="Y16" s="700"/>
      <c r="Z16" s="577">
        <v>19</v>
      </c>
      <c r="AA16" s="510">
        <v>1145.5045871559639</v>
      </c>
      <c r="AB16" s="510">
        <v>60.289715113471786</v>
      </c>
      <c r="AC16" s="577">
        <f t="shared" si="7"/>
        <v>10</v>
      </c>
      <c r="AD16" s="700"/>
      <c r="AE16" s="577">
        <v>19</v>
      </c>
      <c r="AF16" s="510">
        <v>1147.3469387755104</v>
      </c>
      <c r="AG16" s="510">
        <v>60.386680988184757</v>
      </c>
      <c r="AH16" s="577">
        <f t="shared" si="9"/>
        <v>10</v>
      </c>
      <c r="AI16" s="700"/>
      <c r="AJ16" s="577">
        <v>19</v>
      </c>
      <c r="AK16" s="510">
        <v>1122.857142857144</v>
      </c>
      <c r="AL16" s="510">
        <v>59.097744360902318</v>
      </c>
      <c r="AM16" s="577">
        <f t="shared" si="11"/>
        <v>10</v>
      </c>
      <c r="AN16" s="700"/>
      <c r="AO16" s="577">
        <v>19</v>
      </c>
      <c r="AP16" s="510">
        <v>1153.1707317073151</v>
      </c>
      <c r="AQ16" s="510">
        <v>60.693196405648166</v>
      </c>
      <c r="AR16" s="577">
        <f t="shared" si="13"/>
        <v>10</v>
      </c>
      <c r="AS16" s="700"/>
      <c r="AT16" s="576">
        <v>19</v>
      </c>
      <c r="AU16" s="578">
        <v>1184.7887323943651</v>
      </c>
      <c r="AV16" s="578">
        <v>62.357301704966581</v>
      </c>
      <c r="AW16" s="577">
        <f t="shared" si="15"/>
        <v>10</v>
      </c>
      <c r="AX16" s="700"/>
      <c r="AZ16" s="369" t="e">
        <f t="shared" si="17"/>
        <v>#N/A</v>
      </c>
      <c r="BA16" s="700"/>
    </row>
    <row r="17" spans="2:53">
      <c r="B17" s="678"/>
      <c r="C17" s="528">
        <v>11</v>
      </c>
      <c r="D17" s="225"/>
      <c r="E17" s="565"/>
      <c r="F17" s="563"/>
      <c r="G17" s="564"/>
      <c r="H17" s="657"/>
      <c r="I17" s="529" t="str">
        <f t="shared" si="0"/>
        <v>-</v>
      </c>
      <c r="J17" s="529" t="str">
        <f t="shared" si="1"/>
        <v>-</v>
      </c>
      <c r="K17" s="199" t="str">
        <f t="shared" si="2"/>
        <v>-</v>
      </c>
      <c r="L17" s="659"/>
      <c r="M17" s="510" t="e">
        <f>RANK(K17, K$7:$K$21)</f>
        <v>#VALUE!</v>
      </c>
      <c r="N17" s="643"/>
      <c r="O17" s="643"/>
      <c r="P17" s="577" t="s">
        <v>564</v>
      </c>
      <c r="Q17" s="510" t="s">
        <v>564</v>
      </c>
      <c r="R17" s="510" t="s">
        <v>564</v>
      </c>
      <c r="S17" s="577" t="e">
        <f t="shared" si="3"/>
        <v>#VALUE!</v>
      </c>
      <c r="T17" s="700"/>
      <c r="U17" s="577" t="s">
        <v>564</v>
      </c>
      <c r="V17" s="510" t="s">
        <v>564</v>
      </c>
      <c r="W17" s="510" t="s">
        <v>564</v>
      </c>
      <c r="X17" s="577" t="e">
        <f t="shared" si="5"/>
        <v>#VALUE!</v>
      </c>
      <c r="Y17" s="700"/>
      <c r="Z17" s="577" t="s">
        <v>564</v>
      </c>
      <c r="AA17" s="510" t="s">
        <v>564</v>
      </c>
      <c r="AB17" s="510" t="s">
        <v>564</v>
      </c>
      <c r="AC17" s="577" t="e">
        <f t="shared" si="7"/>
        <v>#VALUE!</v>
      </c>
      <c r="AD17" s="700"/>
      <c r="AE17" s="577" t="s">
        <v>564</v>
      </c>
      <c r="AF17" s="510" t="s">
        <v>564</v>
      </c>
      <c r="AG17" s="510" t="s">
        <v>564</v>
      </c>
      <c r="AH17" s="577" t="e">
        <f t="shared" si="9"/>
        <v>#VALUE!</v>
      </c>
      <c r="AI17" s="700"/>
      <c r="AJ17" s="577" t="s">
        <v>564</v>
      </c>
      <c r="AK17" s="510" t="s">
        <v>564</v>
      </c>
      <c r="AL17" s="510" t="s">
        <v>564</v>
      </c>
      <c r="AM17" s="577" t="e">
        <f t="shared" si="11"/>
        <v>#VALUE!</v>
      </c>
      <c r="AN17" s="700"/>
      <c r="AO17" s="577" t="s">
        <v>564</v>
      </c>
      <c r="AP17" s="510" t="s">
        <v>564</v>
      </c>
      <c r="AQ17" s="510" t="s">
        <v>564</v>
      </c>
      <c r="AR17" s="577" t="e">
        <f t="shared" si="13"/>
        <v>#VALUE!</v>
      </c>
      <c r="AS17" s="700"/>
      <c r="AT17" s="576" t="s">
        <v>564</v>
      </c>
      <c r="AU17" s="578" t="s">
        <v>564</v>
      </c>
      <c r="AV17" s="578" t="s">
        <v>564</v>
      </c>
      <c r="AW17" s="577" t="e">
        <f t="shared" si="15"/>
        <v>#VALUE!</v>
      </c>
      <c r="AX17" s="700"/>
      <c r="AZ17" s="369" t="e">
        <f t="shared" si="17"/>
        <v>#N/A</v>
      </c>
      <c r="BA17" s="700"/>
    </row>
    <row r="18" spans="2:53">
      <c r="B18" s="678"/>
      <c r="C18" s="528">
        <v>12</v>
      </c>
      <c r="D18" s="225"/>
      <c r="E18" s="565"/>
      <c r="F18" s="563"/>
      <c r="G18" s="564"/>
      <c r="H18" s="657"/>
      <c r="I18" s="529" t="str">
        <f t="shared" si="0"/>
        <v>-</v>
      </c>
      <c r="J18" s="529" t="str">
        <f t="shared" si="1"/>
        <v>-</v>
      </c>
      <c r="K18" s="199" t="str">
        <f t="shared" si="2"/>
        <v>-</v>
      </c>
      <c r="L18" s="659"/>
      <c r="M18" s="510" t="e">
        <f>RANK(K18, K$7:$K$21)</f>
        <v>#VALUE!</v>
      </c>
      <c r="N18" s="643"/>
      <c r="O18" s="643"/>
      <c r="P18" s="577" t="s">
        <v>564</v>
      </c>
      <c r="Q18" s="510" t="s">
        <v>564</v>
      </c>
      <c r="R18" s="510" t="s">
        <v>564</v>
      </c>
      <c r="S18" s="577" t="e">
        <f t="shared" si="3"/>
        <v>#VALUE!</v>
      </c>
      <c r="T18" s="700"/>
      <c r="U18" s="577" t="s">
        <v>564</v>
      </c>
      <c r="V18" s="510" t="s">
        <v>564</v>
      </c>
      <c r="W18" s="510" t="s">
        <v>564</v>
      </c>
      <c r="X18" s="577" t="e">
        <f t="shared" si="5"/>
        <v>#VALUE!</v>
      </c>
      <c r="Y18" s="700"/>
      <c r="Z18" s="577" t="s">
        <v>564</v>
      </c>
      <c r="AA18" s="510" t="s">
        <v>564</v>
      </c>
      <c r="AB18" s="510" t="s">
        <v>564</v>
      </c>
      <c r="AC18" s="577" t="e">
        <f t="shared" si="7"/>
        <v>#VALUE!</v>
      </c>
      <c r="AD18" s="700"/>
      <c r="AE18" s="577" t="s">
        <v>564</v>
      </c>
      <c r="AF18" s="510" t="s">
        <v>564</v>
      </c>
      <c r="AG18" s="510" t="s">
        <v>564</v>
      </c>
      <c r="AH18" s="577" t="e">
        <f t="shared" si="9"/>
        <v>#VALUE!</v>
      </c>
      <c r="AI18" s="700"/>
      <c r="AJ18" s="577" t="s">
        <v>564</v>
      </c>
      <c r="AK18" s="510" t="s">
        <v>564</v>
      </c>
      <c r="AL18" s="510" t="s">
        <v>564</v>
      </c>
      <c r="AM18" s="577" t="e">
        <f t="shared" si="11"/>
        <v>#VALUE!</v>
      </c>
      <c r="AN18" s="700"/>
      <c r="AO18" s="577" t="s">
        <v>564</v>
      </c>
      <c r="AP18" s="510" t="s">
        <v>564</v>
      </c>
      <c r="AQ18" s="510" t="s">
        <v>564</v>
      </c>
      <c r="AR18" s="577" t="e">
        <f t="shared" si="13"/>
        <v>#VALUE!</v>
      </c>
      <c r="AS18" s="700"/>
      <c r="AT18" s="576" t="s">
        <v>564</v>
      </c>
      <c r="AU18" s="578" t="s">
        <v>564</v>
      </c>
      <c r="AV18" s="578" t="s">
        <v>564</v>
      </c>
      <c r="AW18" s="577" t="e">
        <f t="shared" si="15"/>
        <v>#VALUE!</v>
      </c>
      <c r="AX18" s="700"/>
      <c r="AZ18" s="369" t="e">
        <f t="shared" si="17"/>
        <v>#N/A</v>
      </c>
      <c r="BA18" s="700"/>
    </row>
    <row r="19" spans="2:53">
      <c r="B19" s="678"/>
      <c r="C19" s="528">
        <v>13</v>
      </c>
      <c r="D19" s="225"/>
      <c r="E19" s="565"/>
      <c r="F19" s="563"/>
      <c r="G19" s="564"/>
      <c r="H19" s="657"/>
      <c r="I19" s="529" t="str">
        <f t="shared" si="0"/>
        <v>-</v>
      </c>
      <c r="J19" s="529" t="str">
        <f t="shared" si="1"/>
        <v>-</v>
      </c>
      <c r="K19" s="199" t="str">
        <f t="shared" si="2"/>
        <v>-</v>
      </c>
      <c r="L19" s="659"/>
      <c r="M19" s="510" t="e">
        <f>RANK(K19, K$7:$K$21)</f>
        <v>#VALUE!</v>
      </c>
      <c r="N19" s="643"/>
      <c r="O19" s="643"/>
      <c r="P19" s="577" t="s">
        <v>564</v>
      </c>
      <c r="Q19" s="510" t="s">
        <v>564</v>
      </c>
      <c r="R19" s="510" t="s">
        <v>564</v>
      </c>
      <c r="S19" s="577" t="e">
        <f t="shared" si="3"/>
        <v>#VALUE!</v>
      </c>
      <c r="T19" s="700"/>
      <c r="U19" s="577" t="s">
        <v>564</v>
      </c>
      <c r="V19" s="510" t="s">
        <v>564</v>
      </c>
      <c r="W19" s="510" t="s">
        <v>564</v>
      </c>
      <c r="X19" s="577" t="e">
        <f t="shared" si="5"/>
        <v>#VALUE!</v>
      </c>
      <c r="Y19" s="700"/>
      <c r="Z19" s="577" t="s">
        <v>564</v>
      </c>
      <c r="AA19" s="510" t="s">
        <v>564</v>
      </c>
      <c r="AB19" s="510" t="s">
        <v>564</v>
      </c>
      <c r="AC19" s="577" t="e">
        <f t="shared" si="7"/>
        <v>#VALUE!</v>
      </c>
      <c r="AD19" s="700"/>
      <c r="AE19" s="577" t="s">
        <v>564</v>
      </c>
      <c r="AF19" s="510" t="s">
        <v>564</v>
      </c>
      <c r="AG19" s="510" t="s">
        <v>564</v>
      </c>
      <c r="AH19" s="577" t="e">
        <f t="shared" si="9"/>
        <v>#VALUE!</v>
      </c>
      <c r="AI19" s="700"/>
      <c r="AJ19" s="577" t="s">
        <v>564</v>
      </c>
      <c r="AK19" s="510" t="s">
        <v>564</v>
      </c>
      <c r="AL19" s="510" t="s">
        <v>564</v>
      </c>
      <c r="AM19" s="577" t="e">
        <f t="shared" si="11"/>
        <v>#VALUE!</v>
      </c>
      <c r="AN19" s="700"/>
      <c r="AO19" s="577" t="s">
        <v>564</v>
      </c>
      <c r="AP19" s="510" t="s">
        <v>564</v>
      </c>
      <c r="AQ19" s="510" t="s">
        <v>564</v>
      </c>
      <c r="AR19" s="577" t="e">
        <f t="shared" si="13"/>
        <v>#VALUE!</v>
      </c>
      <c r="AS19" s="700"/>
      <c r="AT19" s="576" t="s">
        <v>564</v>
      </c>
      <c r="AU19" s="578" t="s">
        <v>564</v>
      </c>
      <c r="AV19" s="578" t="s">
        <v>564</v>
      </c>
      <c r="AW19" s="577" t="e">
        <f t="shared" si="15"/>
        <v>#VALUE!</v>
      </c>
      <c r="AX19" s="700"/>
      <c r="AZ19" s="369" t="e">
        <f t="shared" si="17"/>
        <v>#N/A</v>
      </c>
      <c r="BA19" s="700"/>
    </row>
    <row r="20" spans="2:53">
      <c r="B20" s="678"/>
      <c r="C20" s="528">
        <v>14</v>
      </c>
      <c r="D20" s="225"/>
      <c r="E20" s="565"/>
      <c r="F20" s="563"/>
      <c r="G20" s="564"/>
      <c r="H20" s="657"/>
      <c r="I20" s="529" t="str">
        <f t="shared" si="0"/>
        <v>-</v>
      </c>
      <c r="J20" s="529" t="str">
        <f t="shared" si="1"/>
        <v>-</v>
      </c>
      <c r="K20" s="199" t="str">
        <f t="shared" si="2"/>
        <v>-</v>
      </c>
      <c r="L20" s="659"/>
      <c r="M20" s="510" t="e">
        <f>RANK(K20, K$7:$K$21)</f>
        <v>#VALUE!</v>
      </c>
      <c r="N20" s="643"/>
      <c r="O20" s="643"/>
      <c r="P20" s="577" t="s">
        <v>564</v>
      </c>
      <c r="Q20" s="510" t="s">
        <v>564</v>
      </c>
      <c r="R20" s="510" t="s">
        <v>564</v>
      </c>
      <c r="S20" s="577" t="e">
        <f t="shared" si="3"/>
        <v>#VALUE!</v>
      </c>
      <c r="T20" s="700"/>
      <c r="U20" s="577" t="s">
        <v>564</v>
      </c>
      <c r="V20" s="510" t="s">
        <v>564</v>
      </c>
      <c r="W20" s="510" t="s">
        <v>564</v>
      </c>
      <c r="X20" s="577" t="e">
        <f t="shared" si="5"/>
        <v>#VALUE!</v>
      </c>
      <c r="Y20" s="700"/>
      <c r="Z20" s="577" t="s">
        <v>564</v>
      </c>
      <c r="AA20" s="510" t="s">
        <v>564</v>
      </c>
      <c r="AB20" s="510" t="s">
        <v>564</v>
      </c>
      <c r="AC20" s="577" t="e">
        <f t="shared" si="7"/>
        <v>#VALUE!</v>
      </c>
      <c r="AD20" s="700"/>
      <c r="AE20" s="577" t="s">
        <v>564</v>
      </c>
      <c r="AF20" s="510" t="s">
        <v>564</v>
      </c>
      <c r="AG20" s="510" t="s">
        <v>564</v>
      </c>
      <c r="AH20" s="577" t="e">
        <f t="shared" si="9"/>
        <v>#VALUE!</v>
      </c>
      <c r="AI20" s="700"/>
      <c r="AJ20" s="577" t="s">
        <v>564</v>
      </c>
      <c r="AK20" s="510" t="s">
        <v>564</v>
      </c>
      <c r="AL20" s="510" t="s">
        <v>564</v>
      </c>
      <c r="AM20" s="577" t="e">
        <f t="shared" si="11"/>
        <v>#VALUE!</v>
      </c>
      <c r="AN20" s="700"/>
      <c r="AO20" s="577" t="s">
        <v>564</v>
      </c>
      <c r="AP20" s="510" t="s">
        <v>564</v>
      </c>
      <c r="AQ20" s="510" t="s">
        <v>564</v>
      </c>
      <c r="AR20" s="577" t="e">
        <f t="shared" si="13"/>
        <v>#VALUE!</v>
      </c>
      <c r="AS20" s="700"/>
      <c r="AT20" s="576" t="s">
        <v>564</v>
      </c>
      <c r="AU20" s="578" t="s">
        <v>564</v>
      </c>
      <c r="AV20" s="578" t="s">
        <v>564</v>
      </c>
      <c r="AW20" s="577" t="e">
        <f t="shared" si="15"/>
        <v>#VALUE!</v>
      </c>
      <c r="AX20" s="700"/>
      <c r="AZ20" s="369" t="e">
        <f t="shared" si="17"/>
        <v>#N/A</v>
      </c>
      <c r="BA20" s="700"/>
    </row>
    <row r="21" spans="2:53">
      <c r="B21" s="678"/>
      <c r="C21" s="528">
        <v>15</v>
      </c>
      <c r="D21" s="225"/>
      <c r="E21" s="565"/>
      <c r="F21" s="563"/>
      <c r="G21" s="564"/>
      <c r="H21" s="714"/>
      <c r="I21" s="528"/>
      <c r="J21" s="528"/>
      <c r="K21" s="528"/>
      <c r="L21" s="660"/>
      <c r="M21" s="510" t="e">
        <f>RANK(K21, K$7:$K$21)</f>
        <v>#N/A</v>
      </c>
      <c r="N21" s="643"/>
      <c r="O21" s="643"/>
      <c r="P21" s="577" t="s">
        <v>564</v>
      </c>
      <c r="Q21" s="510" t="s">
        <v>564</v>
      </c>
      <c r="R21" s="510" t="s">
        <v>564</v>
      </c>
      <c r="S21" s="577" t="e">
        <f t="shared" si="3"/>
        <v>#VALUE!</v>
      </c>
      <c r="T21" s="700"/>
      <c r="U21" s="577" t="s">
        <v>564</v>
      </c>
      <c r="V21" s="510" t="s">
        <v>564</v>
      </c>
      <c r="W21" s="510" t="s">
        <v>564</v>
      </c>
      <c r="X21" s="577" t="e">
        <f t="shared" si="5"/>
        <v>#VALUE!</v>
      </c>
      <c r="Y21" s="700"/>
      <c r="Z21" s="577" t="s">
        <v>564</v>
      </c>
      <c r="AA21" s="510" t="s">
        <v>564</v>
      </c>
      <c r="AB21" s="510" t="s">
        <v>564</v>
      </c>
      <c r="AC21" s="577" t="e">
        <f t="shared" si="7"/>
        <v>#VALUE!</v>
      </c>
      <c r="AD21" s="700"/>
      <c r="AE21" s="577" t="s">
        <v>564</v>
      </c>
      <c r="AF21" s="510" t="s">
        <v>564</v>
      </c>
      <c r="AG21" s="510" t="s">
        <v>564</v>
      </c>
      <c r="AH21" s="577" t="e">
        <f t="shared" si="9"/>
        <v>#VALUE!</v>
      </c>
      <c r="AI21" s="700"/>
      <c r="AJ21" s="577" t="s">
        <v>564</v>
      </c>
      <c r="AK21" s="510" t="s">
        <v>564</v>
      </c>
      <c r="AL21" s="510" t="s">
        <v>564</v>
      </c>
      <c r="AM21" s="577" t="e">
        <f t="shared" si="11"/>
        <v>#VALUE!</v>
      </c>
      <c r="AN21" s="700"/>
      <c r="AO21" s="577" t="s">
        <v>564</v>
      </c>
      <c r="AP21" s="510" t="s">
        <v>564</v>
      </c>
      <c r="AQ21" s="510" t="s">
        <v>564</v>
      </c>
      <c r="AR21" s="577" t="e">
        <f t="shared" si="13"/>
        <v>#VALUE!</v>
      </c>
      <c r="AS21" s="700"/>
      <c r="AT21" s="576" t="s">
        <v>564</v>
      </c>
      <c r="AU21" s="578" t="s">
        <v>564</v>
      </c>
      <c r="AV21" s="578" t="s">
        <v>564</v>
      </c>
      <c r="AW21" s="577" t="e">
        <f t="shared" si="15"/>
        <v>#VALUE!</v>
      </c>
      <c r="AX21" s="700"/>
      <c r="AZ21" s="369" t="e">
        <f t="shared" si="17"/>
        <v>#N/A</v>
      </c>
      <c r="BA21" s="700"/>
    </row>
    <row r="22" spans="2:53" ht="15.75">
      <c r="B22" s="682" t="s">
        <v>162</v>
      </c>
      <c r="C22" s="683"/>
      <c r="D22" s="683"/>
      <c r="E22" s="683"/>
      <c r="F22" s="683"/>
      <c r="G22" s="683"/>
      <c r="H22" s="683"/>
      <c r="I22" s="202"/>
      <c r="J22" s="202"/>
      <c r="K22" s="202"/>
      <c r="L22" s="202"/>
      <c r="M22" s="203"/>
      <c r="N22" s="645" t="s">
        <v>156</v>
      </c>
      <c r="O22" s="645" t="s">
        <v>105</v>
      </c>
      <c r="P22" s="670">
        <f>P2+7</f>
        <v>46273</v>
      </c>
      <c r="Q22" s="649"/>
      <c r="R22" s="649"/>
      <c r="S22" s="649"/>
      <c r="T22" s="649"/>
      <c r="U22" s="667">
        <f>P22+1</f>
        <v>46274</v>
      </c>
      <c r="V22" s="668"/>
      <c r="W22" s="668"/>
      <c r="X22" s="668"/>
      <c r="Y22" s="669"/>
      <c r="Z22" s="667">
        <f>U22+1</f>
        <v>46275</v>
      </c>
      <c r="AA22" s="668"/>
      <c r="AB22" s="668"/>
      <c r="AC22" s="668"/>
      <c r="AD22" s="669"/>
      <c r="AE22" s="667">
        <f>Z22+1</f>
        <v>46276</v>
      </c>
      <c r="AF22" s="668"/>
      <c r="AG22" s="668"/>
      <c r="AH22" s="668"/>
      <c r="AI22" s="669"/>
      <c r="AJ22" s="667">
        <f>AE22+1</f>
        <v>46277</v>
      </c>
      <c r="AK22" s="668"/>
      <c r="AL22" s="668"/>
      <c r="AM22" s="668"/>
      <c r="AN22" s="669"/>
      <c r="AO22" s="667">
        <f>AJ22+1</f>
        <v>46278</v>
      </c>
      <c r="AP22" s="668"/>
      <c r="AQ22" s="668"/>
      <c r="AR22" s="668"/>
      <c r="AS22" s="669"/>
      <c r="AT22" s="667">
        <f>AO22+1</f>
        <v>46279</v>
      </c>
      <c r="AU22" s="668"/>
      <c r="AV22" s="668"/>
      <c r="AW22" s="668"/>
      <c r="AX22" s="669"/>
    </row>
    <row r="23" spans="2:53" ht="15.75">
      <c r="B23" s="674"/>
      <c r="C23" s="674"/>
      <c r="D23" s="674"/>
      <c r="E23" s="674"/>
      <c r="F23" s="674"/>
      <c r="G23" s="674"/>
      <c r="H23" s="674"/>
      <c r="I23" s="204"/>
      <c r="J23" s="204"/>
      <c r="K23" s="204"/>
      <c r="L23" s="204"/>
      <c r="M23" s="205"/>
      <c r="N23" s="647"/>
      <c r="O23" s="647"/>
      <c r="P23" s="670" t="s">
        <v>317</v>
      </c>
      <c r="Q23" s="649"/>
      <c r="R23" s="649"/>
      <c r="S23" s="649"/>
      <c r="T23" s="649"/>
      <c r="U23" s="670" t="s">
        <v>318</v>
      </c>
      <c r="V23" s="649"/>
      <c r="W23" s="649"/>
      <c r="X23" s="649"/>
      <c r="Y23" s="649"/>
      <c r="Z23" s="670" t="s">
        <v>319</v>
      </c>
      <c r="AA23" s="649"/>
      <c r="AB23" s="649"/>
      <c r="AC23" s="649"/>
      <c r="AD23" s="649"/>
      <c r="AE23" s="670" t="s">
        <v>320</v>
      </c>
      <c r="AF23" s="649"/>
      <c r="AG23" s="649"/>
      <c r="AH23" s="649"/>
      <c r="AI23" s="649"/>
      <c r="AJ23" s="670" t="s">
        <v>321</v>
      </c>
      <c r="AK23" s="649"/>
      <c r="AL23" s="649"/>
      <c r="AM23" s="649"/>
      <c r="AN23" s="649"/>
      <c r="AO23" s="670" t="s">
        <v>322</v>
      </c>
      <c r="AP23" s="649"/>
      <c r="AQ23" s="649"/>
      <c r="AR23" s="649"/>
      <c r="AS23" s="649"/>
      <c r="AT23" s="670" t="s">
        <v>323</v>
      </c>
      <c r="AU23" s="649"/>
      <c r="AV23" s="649"/>
      <c r="AW23" s="649"/>
      <c r="AX23" s="649"/>
    </row>
    <row r="24" spans="2:53">
      <c r="B24" s="643" t="s">
        <v>434</v>
      </c>
      <c r="C24" s="643" t="s">
        <v>523</v>
      </c>
      <c r="D24" s="643"/>
      <c r="E24" s="643" t="s">
        <v>524</v>
      </c>
      <c r="F24" s="643"/>
      <c r="G24" s="643"/>
      <c r="H24" s="675" t="s">
        <v>525</v>
      </c>
      <c r="I24" s="643" t="s">
        <v>526</v>
      </c>
      <c r="J24" s="643"/>
      <c r="K24" s="643"/>
      <c r="L24" s="675" t="s">
        <v>359</v>
      </c>
      <c r="M24" s="645" t="s">
        <v>527</v>
      </c>
      <c r="N24" s="643"/>
      <c r="O24" s="643" t="s">
        <v>365</v>
      </c>
      <c r="P24" s="661" t="s">
        <v>361</v>
      </c>
      <c r="Q24" s="662"/>
      <c r="R24" s="662"/>
      <c r="S24" s="663"/>
      <c r="T24" s="643" t="s">
        <v>359</v>
      </c>
      <c r="U24" s="661" t="s">
        <v>361</v>
      </c>
      <c r="V24" s="662"/>
      <c r="W24" s="662"/>
      <c r="X24" s="663"/>
      <c r="Y24" s="643" t="s">
        <v>359</v>
      </c>
      <c r="Z24" s="661" t="s">
        <v>361</v>
      </c>
      <c r="AA24" s="662"/>
      <c r="AB24" s="662"/>
      <c r="AC24" s="663"/>
      <c r="AD24" s="643" t="s">
        <v>359</v>
      </c>
      <c r="AE24" s="661" t="s">
        <v>361</v>
      </c>
      <c r="AF24" s="662"/>
      <c r="AG24" s="662"/>
      <c r="AH24" s="663"/>
      <c r="AI24" s="643" t="s">
        <v>359</v>
      </c>
      <c r="AJ24" s="661" t="s">
        <v>361</v>
      </c>
      <c r="AK24" s="662"/>
      <c r="AL24" s="662"/>
      <c r="AM24" s="663"/>
      <c r="AN24" s="643" t="s">
        <v>359</v>
      </c>
      <c r="AO24" s="661" t="s">
        <v>361</v>
      </c>
      <c r="AP24" s="662"/>
      <c r="AQ24" s="662"/>
      <c r="AR24" s="663"/>
      <c r="AS24" s="643" t="s">
        <v>359</v>
      </c>
      <c r="AT24" s="661" t="s">
        <v>361</v>
      </c>
      <c r="AU24" s="662"/>
      <c r="AV24" s="662"/>
      <c r="AW24" s="663"/>
      <c r="AX24" s="643" t="s">
        <v>359</v>
      </c>
      <c r="BA24" s="643" t="s">
        <v>359</v>
      </c>
    </row>
    <row r="25" spans="2:53">
      <c r="B25" s="643"/>
      <c r="C25" s="643"/>
      <c r="D25" s="643"/>
      <c r="E25" s="643" t="s">
        <v>529</v>
      </c>
      <c r="F25" s="643"/>
      <c r="G25" s="643"/>
      <c r="H25" s="676"/>
      <c r="I25" s="643" t="s">
        <v>529</v>
      </c>
      <c r="J25" s="643"/>
      <c r="K25" s="643"/>
      <c r="L25" s="676"/>
      <c r="M25" s="646"/>
      <c r="N25" s="643"/>
      <c r="O25" s="643"/>
      <c r="P25" s="661" t="s">
        <v>367</v>
      </c>
      <c r="Q25" s="662"/>
      <c r="R25" s="662"/>
      <c r="S25" s="663"/>
      <c r="T25" s="643"/>
      <c r="U25" s="661" t="s">
        <v>367</v>
      </c>
      <c r="V25" s="662"/>
      <c r="W25" s="662"/>
      <c r="X25" s="663"/>
      <c r="Y25" s="643"/>
      <c r="Z25" s="661" t="s">
        <v>367</v>
      </c>
      <c r="AA25" s="662"/>
      <c r="AB25" s="662"/>
      <c r="AC25" s="663"/>
      <c r="AD25" s="643"/>
      <c r="AE25" s="661" t="s">
        <v>367</v>
      </c>
      <c r="AF25" s="662"/>
      <c r="AG25" s="662"/>
      <c r="AH25" s="663"/>
      <c r="AI25" s="643"/>
      <c r="AJ25" s="661" t="s">
        <v>367</v>
      </c>
      <c r="AK25" s="662"/>
      <c r="AL25" s="662"/>
      <c r="AM25" s="663"/>
      <c r="AN25" s="643"/>
      <c r="AO25" s="661" t="s">
        <v>367</v>
      </c>
      <c r="AP25" s="662"/>
      <c r="AQ25" s="662"/>
      <c r="AR25" s="663"/>
      <c r="AS25" s="643"/>
      <c r="AT25" s="661" t="s">
        <v>367</v>
      </c>
      <c r="AU25" s="662"/>
      <c r="AV25" s="662"/>
      <c r="AW25" s="663"/>
      <c r="AX25" s="643"/>
      <c r="BA25" s="643"/>
    </row>
    <row r="26" spans="2:53">
      <c r="B26" s="643"/>
      <c r="C26" s="643"/>
      <c r="D26" s="643"/>
      <c r="E26" s="378" t="s">
        <v>530</v>
      </c>
      <c r="F26" s="378" t="s">
        <v>531</v>
      </c>
      <c r="G26" s="378" t="s">
        <v>532</v>
      </c>
      <c r="H26" s="677"/>
      <c r="I26" s="378" t="s">
        <v>530</v>
      </c>
      <c r="J26" s="378" t="s">
        <v>531</v>
      </c>
      <c r="K26" s="378" t="s">
        <v>532</v>
      </c>
      <c r="L26" s="677"/>
      <c r="M26" s="647"/>
      <c r="N26" s="643"/>
      <c r="O26" s="643"/>
      <c r="P26" s="378" t="s">
        <v>368</v>
      </c>
      <c r="Q26" s="378" t="s">
        <v>369</v>
      </c>
      <c r="R26" s="378" t="s">
        <v>370</v>
      </c>
      <c r="S26" s="378" t="s">
        <v>360</v>
      </c>
      <c r="T26" s="643"/>
      <c r="U26" s="378" t="s">
        <v>368</v>
      </c>
      <c r="V26" s="378" t="s">
        <v>369</v>
      </c>
      <c r="W26" s="378" t="s">
        <v>370</v>
      </c>
      <c r="X26" s="378" t="s">
        <v>360</v>
      </c>
      <c r="Y26" s="643"/>
      <c r="Z26" s="378" t="s">
        <v>368</v>
      </c>
      <c r="AA26" s="378" t="s">
        <v>369</v>
      </c>
      <c r="AB26" s="378" t="s">
        <v>370</v>
      </c>
      <c r="AC26" s="378" t="s">
        <v>360</v>
      </c>
      <c r="AD26" s="643"/>
      <c r="AE26" s="378" t="s">
        <v>368</v>
      </c>
      <c r="AF26" s="378" t="s">
        <v>369</v>
      </c>
      <c r="AG26" s="378" t="s">
        <v>370</v>
      </c>
      <c r="AH26" s="378" t="s">
        <v>360</v>
      </c>
      <c r="AI26" s="643"/>
      <c r="AJ26" s="378" t="s">
        <v>368</v>
      </c>
      <c r="AK26" s="378" t="s">
        <v>369</v>
      </c>
      <c r="AL26" s="378" t="s">
        <v>370</v>
      </c>
      <c r="AM26" s="378" t="s">
        <v>360</v>
      </c>
      <c r="AN26" s="643"/>
      <c r="AO26" s="378" t="s">
        <v>368</v>
      </c>
      <c r="AP26" s="378" t="s">
        <v>369</v>
      </c>
      <c r="AQ26" s="378" t="s">
        <v>370</v>
      </c>
      <c r="AR26" s="378" t="s">
        <v>360</v>
      </c>
      <c r="AS26" s="643"/>
      <c r="AT26" s="378" t="s">
        <v>368</v>
      </c>
      <c r="AU26" s="378" t="s">
        <v>369</v>
      </c>
      <c r="AV26" s="378" t="s">
        <v>370</v>
      </c>
      <c r="AW26" s="378" t="s">
        <v>360</v>
      </c>
      <c r="AX26" s="643"/>
      <c r="AZ26" s="367" t="s">
        <v>360</v>
      </c>
      <c r="BA26" s="643"/>
    </row>
    <row r="27" spans="2:53">
      <c r="B27" s="643" t="s">
        <v>435</v>
      </c>
      <c r="C27" s="380">
        <v>1</v>
      </c>
      <c r="D27" s="225"/>
      <c r="E27" s="565"/>
      <c r="F27" s="563"/>
      <c r="G27" s="564"/>
      <c r="H27" s="656" t="e">
        <f>AVERAGE(G27:G41)</f>
        <v>#DIV/0!</v>
      </c>
      <c r="I27" s="381" t="str">
        <f t="shared" ref="I27:I40" si="19">IFERROR(AVERAGE(P27,U27,Z27,AE27,AJ27,AO27,AT27),"-")</f>
        <v>-</v>
      </c>
      <c r="J27" s="381" t="str">
        <f t="shared" ref="J27:J40" si="20">IFERROR(AVERAGE(Q27,V27,AA27,AF27,AK27,AP27,AU27),"-")</f>
        <v>-</v>
      </c>
      <c r="K27" s="199" t="str">
        <f t="shared" ref="K27:K40" si="21">IFERROR(AVERAGE(R27,W27,AB27,AG27,AL27,AQ27,AV27),"-")</f>
        <v>-</v>
      </c>
      <c r="L27" s="658" t="str">
        <f>IFERROR(AVERAGE(K27:K41),"-")</f>
        <v>-</v>
      </c>
      <c r="M27" s="384" t="e">
        <f>RANK(K27, K$24:$K$41)</f>
        <v>#VALUE!</v>
      </c>
      <c r="N27" s="643"/>
      <c r="O27" s="643"/>
      <c r="P27" s="547"/>
      <c r="Q27" s="548"/>
      <c r="R27" s="548"/>
      <c r="S27" s="547"/>
      <c r="T27" s="638"/>
      <c r="U27" s="547"/>
      <c r="V27" s="548"/>
      <c r="W27" s="548"/>
      <c r="X27" s="547"/>
      <c r="Y27" s="638"/>
      <c r="Z27" s="547"/>
      <c r="AA27" s="548"/>
      <c r="AB27" s="548"/>
      <c r="AC27" s="547"/>
      <c r="AD27" s="638"/>
      <c r="AE27" s="547"/>
      <c r="AF27" s="548"/>
      <c r="AG27" s="548"/>
      <c r="AH27" s="547"/>
      <c r="AI27" s="638"/>
      <c r="AJ27" s="547"/>
      <c r="AK27" s="548"/>
      <c r="AL27" s="548"/>
      <c r="AM27" s="547"/>
      <c r="AN27" s="638"/>
      <c r="AO27" s="547"/>
      <c r="AP27" s="548"/>
      <c r="AQ27" s="548"/>
      <c r="AR27" s="547"/>
      <c r="AS27" s="638"/>
      <c r="AT27" s="547"/>
      <c r="AU27" s="548"/>
      <c r="AV27" s="548"/>
      <c r="AW27" s="547"/>
      <c r="AX27" s="638"/>
      <c r="AZ27" s="368" t="e">
        <f t="shared" ref="AZ27:AZ41" si="22">RANK(AY27, AY$27:AY$41)</f>
        <v>#N/A</v>
      </c>
      <c r="BA27" s="638" t="e">
        <f t="shared" ref="BA27" si="23">AVERAGE(AY27:AY41)</f>
        <v>#DIV/0!</v>
      </c>
    </row>
    <row r="28" spans="2:53">
      <c r="B28" s="649"/>
      <c r="C28" s="380">
        <v>2</v>
      </c>
      <c r="D28" s="225"/>
      <c r="E28" s="565"/>
      <c r="F28" s="563"/>
      <c r="G28" s="564"/>
      <c r="H28" s="657"/>
      <c r="I28" s="381" t="str">
        <f t="shared" si="19"/>
        <v>-</v>
      </c>
      <c r="J28" s="381" t="str">
        <f t="shared" si="20"/>
        <v>-</v>
      </c>
      <c r="K28" s="199" t="str">
        <f t="shared" si="21"/>
        <v>-</v>
      </c>
      <c r="L28" s="659"/>
      <c r="M28" s="387" t="e">
        <f>RANK(K28, K$24:$K$41)</f>
        <v>#VALUE!</v>
      </c>
      <c r="N28" s="643"/>
      <c r="O28" s="643"/>
      <c r="P28" s="547"/>
      <c r="Q28" s="548"/>
      <c r="R28" s="548"/>
      <c r="S28" s="547"/>
      <c r="T28" s="639"/>
      <c r="U28" s="547"/>
      <c r="V28" s="548"/>
      <c r="W28" s="548"/>
      <c r="X28" s="547"/>
      <c r="Y28" s="639"/>
      <c r="Z28" s="547"/>
      <c r="AA28" s="548"/>
      <c r="AB28" s="548"/>
      <c r="AC28" s="547"/>
      <c r="AD28" s="639"/>
      <c r="AE28" s="547"/>
      <c r="AF28" s="548"/>
      <c r="AG28" s="548"/>
      <c r="AH28" s="547"/>
      <c r="AI28" s="639"/>
      <c r="AJ28" s="547"/>
      <c r="AK28" s="548"/>
      <c r="AL28" s="548"/>
      <c r="AM28" s="547"/>
      <c r="AN28" s="639"/>
      <c r="AO28" s="547"/>
      <c r="AP28" s="548"/>
      <c r="AQ28" s="548"/>
      <c r="AR28" s="547"/>
      <c r="AS28" s="639"/>
      <c r="AT28" s="547"/>
      <c r="AU28" s="548"/>
      <c r="AV28" s="548"/>
      <c r="AW28" s="547"/>
      <c r="AX28" s="639"/>
      <c r="AZ28" s="368" t="e">
        <f t="shared" si="22"/>
        <v>#N/A</v>
      </c>
      <c r="BA28" s="639"/>
    </row>
    <row r="29" spans="2:53">
      <c r="B29" s="649"/>
      <c r="C29" s="380">
        <v>3</v>
      </c>
      <c r="D29" s="225"/>
      <c r="E29" s="565"/>
      <c r="F29" s="563"/>
      <c r="G29" s="564"/>
      <c r="H29" s="657"/>
      <c r="I29" s="381" t="str">
        <f t="shared" si="19"/>
        <v>-</v>
      </c>
      <c r="J29" s="381" t="str">
        <f t="shared" si="20"/>
        <v>-</v>
      </c>
      <c r="K29" s="199" t="str">
        <f t="shared" si="21"/>
        <v>-</v>
      </c>
      <c r="L29" s="659"/>
      <c r="M29" s="387" t="e">
        <f>RANK(K29, K$24:$K$41)</f>
        <v>#VALUE!</v>
      </c>
      <c r="N29" s="643"/>
      <c r="O29" s="643"/>
      <c r="P29" s="547"/>
      <c r="Q29" s="548"/>
      <c r="R29" s="548"/>
      <c r="S29" s="547"/>
      <c r="T29" s="639"/>
      <c r="U29" s="547"/>
      <c r="V29" s="548"/>
      <c r="W29" s="548"/>
      <c r="X29" s="547"/>
      <c r="Y29" s="639"/>
      <c r="Z29" s="547"/>
      <c r="AA29" s="548"/>
      <c r="AB29" s="548"/>
      <c r="AC29" s="547"/>
      <c r="AD29" s="639"/>
      <c r="AE29" s="547"/>
      <c r="AF29" s="548"/>
      <c r="AG29" s="548"/>
      <c r="AH29" s="547"/>
      <c r="AI29" s="639"/>
      <c r="AJ29" s="547"/>
      <c r="AK29" s="548"/>
      <c r="AL29" s="548"/>
      <c r="AM29" s="547"/>
      <c r="AN29" s="639"/>
      <c r="AO29" s="547"/>
      <c r="AP29" s="548"/>
      <c r="AQ29" s="548"/>
      <c r="AR29" s="547"/>
      <c r="AS29" s="639"/>
      <c r="AT29" s="547"/>
      <c r="AU29" s="548"/>
      <c r="AV29" s="548"/>
      <c r="AW29" s="547"/>
      <c r="AX29" s="639"/>
      <c r="AZ29" s="368" t="e">
        <f t="shared" si="22"/>
        <v>#N/A</v>
      </c>
      <c r="BA29" s="639"/>
    </row>
    <row r="30" spans="2:53">
      <c r="B30" s="649"/>
      <c r="C30" s="380">
        <v>4</v>
      </c>
      <c r="D30" s="225"/>
      <c r="E30" s="565"/>
      <c r="F30" s="563"/>
      <c r="G30" s="564"/>
      <c r="H30" s="657"/>
      <c r="I30" s="381" t="str">
        <f t="shared" si="19"/>
        <v>-</v>
      </c>
      <c r="J30" s="381" t="str">
        <f t="shared" si="20"/>
        <v>-</v>
      </c>
      <c r="K30" s="199" t="str">
        <f t="shared" si="21"/>
        <v>-</v>
      </c>
      <c r="L30" s="659"/>
      <c r="M30" s="387" t="e">
        <f>RANK(K30, K$24:$K$41)</f>
        <v>#VALUE!</v>
      </c>
      <c r="N30" s="643"/>
      <c r="O30" s="643"/>
      <c r="P30" s="547"/>
      <c r="Q30" s="548"/>
      <c r="R30" s="548"/>
      <c r="S30" s="547"/>
      <c r="T30" s="639"/>
      <c r="U30" s="547"/>
      <c r="V30" s="548"/>
      <c r="W30" s="548"/>
      <c r="X30" s="547"/>
      <c r="Y30" s="639"/>
      <c r="Z30" s="547"/>
      <c r="AA30" s="548"/>
      <c r="AB30" s="548"/>
      <c r="AC30" s="547"/>
      <c r="AD30" s="639"/>
      <c r="AE30" s="547"/>
      <c r="AF30" s="548"/>
      <c r="AG30" s="548"/>
      <c r="AH30" s="547"/>
      <c r="AI30" s="639"/>
      <c r="AJ30" s="547"/>
      <c r="AK30" s="548"/>
      <c r="AL30" s="548"/>
      <c r="AM30" s="547"/>
      <c r="AN30" s="639"/>
      <c r="AO30" s="547"/>
      <c r="AP30" s="548"/>
      <c r="AQ30" s="548"/>
      <c r="AR30" s="547"/>
      <c r="AS30" s="639"/>
      <c r="AT30" s="547"/>
      <c r="AU30" s="548"/>
      <c r="AV30" s="548"/>
      <c r="AW30" s="547"/>
      <c r="AX30" s="639"/>
      <c r="AZ30" s="368" t="e">
        <f t="shared" si="22"/>
        <v>#N/A</v>
      </c>
      <c r="BA30" s="639"/>
    </row>
    <row r="31" spans="2:53">
      <c r="B31" s="649"/>
      <c r="C31" s="380">
        <v>5</v>
      </c>
      <c r="D31" s="225"/>
      <c r="E31" s="565"/>
      <c r="F31" s="563"/>
      <c r="G31" s="564"/>
      <c r="H31" s="657"/>
      <c r="I31" s="381" t="str">
        <f t="shared" si="19"/>
        <v>-</v>
      </c>
      <c r="J31" s="381" t="str">
        <f t="shared" si="20"/>
        <v>-</v>
      </c>
      <c r="K31" s="199" t="str">
        <f t="shared" si="21"/>
        <v>-</v>
      </c>
      <c r="L31" s="659"/>
      <c r="M31" s="387" t="e">
        <f>RANK(K31, K$24:$K$41)</f>
        <v>#VALUE!</v>
      </c>
      <c r="N31" s="643"/>
      <c r="O31" s="643"/>
      <c r="P31" s="547"/>
      <c r="Q31" s="548"/>
      <c r="R31" s="548"/>
      <c r="S31" s="547"/>
      <c r="T31" s="639"/>
      <c r="U31" s="547"/>
      <c r="V31" s="548"/>
      <c r="W31" s="548"/>
      <c r="X31" s="547"/>
      <c r="Y31" s="639"/>
      <c r="Z31" s="547"/>
      <c r="AA31" s="548"/>
      <c r="AB31" s="548"/>
      <c r="AC31" s="547"/>
      <c r="AD31" s="639"/>
      <c r="AE31" s="547"/>
      <c r="AF31" s="548"/>
      <c r="AG31" s="548"/>
      <c r="AH31" s="547"/>
      <c r="AI31" s="639"/>
      <c r="AJ31" s="547"/>
      <c r="AK31" s="548"/>
      <c r="AL31" s="548"/>
      <c r="AM31" s="547"/>
      <c r="AN31" s="639"/>
      <c r="AO31" s="547"/>
      <c r="AP31" s="548"/>
      <c r="AQ31" s="548"/>
      <c r="AR31" s="547"/>
      <c r="AS31" s="639"/>
      <c r="AT31" s="547"/>
      <c r="AU31" s="548"/>
      <c r="AV31" s="548"/>
      <c r="AW31" s="547"/>
      <c r="AX31" s="639"/>
      <c r="AZ31" s="368" t="e">
        <f t="shared" si="22"/>
        <v>#N/A</v>
      </c>
      <c r="BA31" s="639"/>
    </row>
    <row r="32" spans="2:53">
      <c r="B32" s="649"/>
      <c r="C32" s="380">
        <v>6</v>
      </c>
      <c r="D32" s="225"/>
      <c r="E32" s="565"/>
      <c r="F32" s="563"/>
      <c r="G32" s="564"/>
      <c r="H32" s="657"/>
      <c r="I32" s="381" t="str">
        <f t="shared" si="19"/>
        <v>-</v>
      </c>
      <c r="J32" s="381" t="str">
        <f t="shared" si="20"/>
        <v>-</v>
      </c>
      <c r="K32" s="199" t="str">
        <f t="shared" si="21"/>
        <v>-</v>
      </c>
      <c r="L32" s="659"/>
      <c r="M32" s="387" t="e">
        <f>RANK(K32, K$24:$K$41)</f>
        <v>#VALUE!</v>
      </c>
      <c r="N32" s="643"/>
      <c r="O32" s="643"/>
      <c r="P32" s="547"/>
      <c r="Q32" s="548"/>
      <c r="R32" s="548"/>
      <c r="S32" s="547"/>
      <c r="T32" s="639"/>
      <c r="U32" s="547"/>
      <c r="V32" s="548"/>
      <c r="W32" s="548"/>
      <c r="X32" s="547"/>
      <c r="Y32" s="639"/>
      <c r="Z32" s="547"/>
      <c r="AA32" s="548"/>
      <c r="AB32" s="548"/>
      <c r="AC32" s="547"/>
      <c r="AD32" s="639"/>
      <c r="AE32" s="547"/>
      <c r="AF32" s="548"/>
      <c r="AG32" s="548"/>
      <c r="AH32" s="547"/>
      <c r="AI32" s="639"/>
      <c r="AJ32" s="547"/>
      <c r="AK32" s="548"/>
      <c r="AL32" s="548"/>
      <c r="AM32" s="547"/>
      <c r="AN32" s="639"/>
      <c r="AO32" s="547"/>
      <c r="AP32" s="548"/>
      <c r="AQ32" s="548"/>
      <c r="AR32" s="547"/>
      <c r="AS32" s="639"/>
      <c r="AT32" s="547"/>
      <c r="AU32" s="548"/>
      <c r="AV32" s="548"/>
      <c r="AW32" s="547"/>
      <c r="AX32" s="639"/>
      <c r="AZ32" s="368" t="e">
        <f t="shared" si="22"/>
        <v>#N/A</v>
      </c>
      <c r="BA32" s="639"/>
    </row>
    <row r="33" spans="2:53">
      <c r="B33" s="649"/>
      <c r="C33" s="380">
        <v>7</v>
      </c>
      <c r="D33" s="225"/>
      <c r="E33" s="565"/>
      <c r="F33" s="563"/>
      <c r="G33" s="564"/>
      <c r="H33" s="657"/>
      <c r="I33" s="381" t="str">
        <f t="shared" si="19"/>
        <v>-</v>
      </c>
      <c r="J33" s="381" t="str">
        <f t="shared" si="20"/>
        <v>-</v>
      </c>
      <c r="K33" s="199" t="str">
        <f t="shared" si="21"/>
        <v>-</v>
      </c>
      <c r="L33" s="659"/>
      <c r="M33" s="387" t="e">
        <f>RANK(K33, K$24:$K$41)</f>
        <v>#VALUE!</v>
      </c>
      <c r="N33" s="643"/>
      <c r="O33" s="643"/>
      <c r="P33" s="547"/>
      <c r="Q33" s="548"/>
      <c r="R33" s="548"/>
      <c r="S33" s="547"/>
      <c r="T33" s="639"/>
      <c r="U33" s="547"/>
      <c r="V33" s="548"/>
      <c r="W33" s="548"/>
      <c r="X33" s="547"/>
      <c r="Y33" s="639"/>
      <c r="Z33" s="547"/>
      <c r="AA33" s="548"/>
      <c r="AB33" s="548"/>
      <c r="AC33" s="547"/>
      <c r="AD33" s="639"/>
      <c r="AE33" s="547"/>
      <c r="AF33" s="548"/>
      <c r="AG33" s="548"/>
      <c r="AH33" s="547"/>
      <c r="AI33" s="639"/>
      <c r="AJ33" s="547"/>
      <c r="AK33" s="548"/>
      <c r="AL33" s="548"/>
      <c r="AM33" s="547"/>
      <c r="AN33" s="639"/>
      <c r="AO33" s="547"/>
      <c r="AP33" s="548"/>
      <c r="AQ33" s="548"/>
      <c r="AR33" s="547"/>
      <c r="AS33" s="639"/>
      <c r="AT33" s="547"/>
      <c r="AU33" s="548"/>
      <c r="AV33" s="548"/>
      <c r="AW33" s="547"/>
      <c r="AX33" s="639"/>
      <c r="AZ33" s="368" t="e">
        <f t="shared" si="22"/>
        <v>#N/A</v>
      </c>
      <c r="BA33" s="639"/>
    </row>
    <row r="34" spans="2:53">
      <c r="B34" s="649"/>
      <c r="C34" s="380">
        <v>8</v>
      </c>
      <c r="D34" s="225"/>
      <c r="E34" s="565"/>
      <c r="F34" s="563"/>
      <c r="G34" s="564"/>
      <c r="H34" s="657"/>
      <c r="I34" s="381" t="str">
        <f t="shared" si="19"/>
        <v>-</v>
      </c>
      <c r="J34" s="381" t="str">
        <f t="shared" si="20"/>
        <v>-</v>
      </c>
      <c r="K34" s="199" t="str">
        <f t="shared" si="21"/>
        <v>-</v>
      </c>
      <c r="L34" s="659"/>
      <c r="M34" s="387" t="e">
        <f>RANK(K34, K$24:$K$41)</f>
        <v>#VALUE!</v>
      </c>
      <c r="N34" s="643"/>
      <c r="O34" s="643"/>
      <c r="P34" s="547"/>
      <c r="Q34" s="548"/>
      <c r="R34" s="548"/>
      <c r="S34" s="547"/>
      <c r="T34" s="639"/>
      <c r="U34" s="547"/>
      <c r="V34" s="548"/>
      <c r="W34" s="548"/>
      <c r="X34" s="547"/>
      <c r="Y34" s="639"/>
      <c r="Z34" s="547"/>
      <c r="AA34" s="548"/>
      <c r="AB34" s="548"/>
      <c r="AC34" s="547"/>
      <c r="AD34" s="639"/>
      <c r="AE34" s="547"/>
      <c r="AF34" s="548"/>
      <c r="AG34" s="548"/>
      <c r="AH34" s="547"/>
      <c r="AI34" s="639"/>
      <c r="AJ34" s="547"/>
      <c r="AK34" s="548"/>
      <c r="AL34" s="548"/>
      <c r="AM34" s="547"/>
      <c r="AN34" s="639"/>
      <c r="AO34" s="547"/>
      <c r="AP34" s="548"/>
      <c r="AQ34" s="548"/>
      <c r="AR34" s="547"/>
      <c r="AS34" s="639"/>
      <c r="AT34" s="547"/>
      <c r="AU34" s="548"/>
      <c r="AV34" s="548"/>
      <c r="AW34" s="547"/>
      <c r="AX34" s="639"/>
      <c r="AZ34" s="368" t="e">
        <f t="shared" si="22"/>
        <v>#N/A</v>
      </c>
      <c r="BA34" s="639"/>
    </row>
    <row r="35" spans="2:53">
      <c r="B35" s="649"/>
      <c r="C35" s="380">
        <v>9</v>
      </c>
      <c r="D35" s="225"/>
      <c r="E35" s="565"/>
      <c r="F35" s="563"/>
      <c r="G35" s="564"/>
      <c r="H35" s="657"/>
      <c r="I35" s="381" t="str">
        <f t="shared" si="19"/>
        <v>-</v>
      </c>
      <c r="J35" s="381" t="str">
        <f t="shared" si="20"/>
        <v>-</v>
      </c>
      <c r="K35" s="199" t="str">
        <f t="shared" si="21"/>
        <v>-</v>
      </c>
      <c r="L35" s="659"/>
      <c r="M35" s="387" t="e">
        <f>RANK(K35, K$24:$K$41)</f>
        <v>#VALUE!</v>
      </c>
      <c r="N35" s="643"/>
      <c r="O35" s="643"/>
      <c r="P35" s="547"/>
      <c r="Q35" s="548"/>
      <c r="R35" s="548"/>
      <c r="S35" s="547"/>
      <c r="T35" s="639"/>
      <c r="U35" s="547"/>
      <c r="V35" s="548"/>
      <c r="W35" s="548"/>
      <c r="X35" s="547"/>
      <c r="Y35" s="639"/>
      <c r="Z35" s="547"/>
      <c r="AA35" s="548"/>
      <c r="AB35" s="548"/>
      <c r="AC35" s="547"/>
      <c r="AD35" s="639"/>
      <c r="AE35" s="547"/>
      <c r="AF35" s="548"/>
      <c r="AG35" s="548"/>
      <c r="AH35" s="547"/>
      <c r="AI35" s="639"/>
      <c r="AJ35" s="547"/>
      <c r="AK35" s="548"/>
      <c r="AL35" s="548"/>
      <c r="AM35" s="547"/>
      <c r="AN35" s="639"/>
      <c r="AO35" s="547"/>
      <c r="AP35" s="548"/>
      <c r="AQ35" s="548"/>
      <c r="AR35" s="547"/>
      <c r="AS35" s="639"/>
      <c r="AT35" s="547"/>
      <c r="AU35" s="548"/>
      <c r="AV35" s="548"/>
      <c r="AW35" s="547"/>
      <c r="AX35" s="639"/>
      <c r="AZ35" s="368" t="e">
        <f t="shared" si="22"/>
        <v>#N/A</v>
      </c>
      <c r="BA35" s="639"/>
    </row>
    <row r="36" spans="2:53">
      <c r="B36" s="649"/>
      <c r="C36" s="380">
        <v>10</v>
      </c>
      <c r="D36" s="225"/>
      <c r="E36" s="565"/>
      <c r="F36" s="563"/>
      <c r="G36" s="564"/>
      <c r="H36" s="657"/>
      <c r="I36" s="381" t="str">
        <f t="shared" si="19"/>
        <v>-</v>
      </c>
      <c r="J36" s="381" t="str">
        <f t="shared" si="20"/>
        <v>-</v>
      </c>
      <c r="K36" s="199" t="str">
        <f t="shared" si="21"/>
        <v>-</v>
      </c>
      <c r="L36" s="659"/>
      <c r="M36" s="387" t="e">
        <f>RANK(K36, K$24:$K$41)</f>
        <v>#VALUE!</v>
      </c>
      <c r="N36" s="643"/>
      <c r="O36" s="643"/>
      <c r="P36" s="547"/>
      <c r="Q36" s="548"/>
      <c r="R36" s="548"/>
      <c r="S36" s="547"/>
      <c r="T36" s="639"/>
      <c r="U36" s="547"/>
      <c r="V36" s="548"/>
      <c r="W36" s="548"/>
      <c r="X36" s="547"/>
      <c r="Y36" s="639"/>
      <c r="Z36" s="547"/>
      <c r="AA36" s="548"/>
      <c r="AB36" s="548"/>
      <c r="AC36" s="547"/>
      <c r="AD36" s="639"/>
      <c r="AE36" s="547"/>
      <c r="AF36" s="548"/>
      <c r="AG36" s="548"/>
      <c r="AH36" s="547"/>
      <c r="AI36" s="639"/>
      <c r="AJ36" s="547"/>
      <c r="AK36" s="548"/>
      <c r="AL36" s="548"/>
      <c r="AM36" s="547"/>
      <c r="AN36" s="639"/>
      <c r="AO36" s="547"/>
      <c r="AP36" s="548"/>
      <c r="AQ36" s="548"/>
      <c r="AR36" s="547"/>
      <c r="AS36" s="639"/>
      <c r="AT36" s="547"/>
      <c r="AU36" s="548"/>
      <c r="AV36" s="548"/>
      <c r="AW36" s="547"/>
      <c r="AX36" s="639"/>
      <c r="AZ36" s="368" t="e">
        <f t="shared" si="22"/>
        <v>#N/A</v>
      </c>
      <c r="BA36" s="639"/>
    </row>
    <row r="37" spans="2:53">
      <c r="B37" s="649"/>
      <c r="C37" s="380">
        <v>11</v>
      </c>
      <c r="D37" s="225"/>
      <c r="E37" s="565"/>
      <c r="F37" s="563"/>
      <c r="G37" s="564"/>
      <c r="H37" s="657"/>
      <c r="I37" s="381" t="str">
        <f t="shared" si="19"/>
        <v>-</v>
      </c>
      <c r="J37" s="381" t="str">
        <f t="shared" si="20"/>
        <v>-</v>
      </c>
      <c r="K37" s="199" t="str">
        <f t="shared" si="21"/>
        <v>-</v>
      </c>
      <c r="L37" s="659"/>
      <c r="M37" s="387" t="e">
        <f>RANK(K37, K$24:$K$41)</f>
        <v>#VALUE!</v>
      </c>
      <c r="N37" s="643"/>
      <c r="O37" s="643"/>
      <c r="P37" s="547"/>
      <c r="Q37" s="548"/>
      <c r="R37" s="548"/>
      <c r="S37" s="547"/>
      <c r="T37" s="639"/>
      <c r="U37" s="547"/>
      <c r="V37" s="548"/>
      <c r="W37" s="548"/>
      <c r="X37" s="547"/>
      <c r="Y37" s="639"/>
      <c r="Z37" s="547"/>
      <c r="AA37" s="548"/>
      <c r="AB37" s="548"/>
      <c r="AC37" s="547"/>
      <c r="AD37" s="639"/>
      <c r="AE37" s="547"/>
      <c r="AF37" s="548"/>
      <c r="AG37" s="548"/>
      <c r="AH37" s="547"/>
      <c r="AI37" s="639"/>
      <c r="AJ37" s="547"/>
      <c r="AK37" s="548"/>
      <c r="AL37" s="548"/>
      <c r="AM37" s="547"/>
      <c r="AN37" s="639"/>
      <c r="AO37" s="547"/>
      <c r="AP37" s="548"/>
      <c r="AQ37" s="548"/>
      <c r="AR37" s="547"/>
      <c r="AS37" s="639"/>
      <c r="AT37" s="547"/>
      <c r="AU37" s="548"/>
      <c r="AV37" s="548"/>
      <c r="AW37" s="547"/>
      <c r="AX37" s="639"/>
      <c r="AZ37" s="368" t="e">
        <f t="shared" si="22"/>
        <v>#N/A</v>
      </c>
      <c r="BA37" s="639"/>
    </row>
    <row r="38" spans="2:53">
      <c r="B38" s="649"/>
      <c r="C38" s="380">
        <v>12</v>
      </c>
      <c r="D38" s="225"/>
      <c r="E38" s="565"/>
      <c r="F38" s="563"/>
      <c r="G38" s="564"/>
      <c r="H38" s="657"/>
      <c r="I38" s="381" t="str">
        <f t="shared" si="19"/>
        <v>-</v>
      </c>
      <c r="J38" s="381" t="str">
        <f t="shared" si="20"/>
        <v>-</v>
      </c>
      <c r="K38" s="199" t="str">
        <f t="shared" si="21"/>
        <v>-</v>
      </c>
      <c r="L38" s="659"/>
      <c r="M38" s="387" t="e">
        <f>RANK(K38, K$24:$K$41)</f>
        <v>#VALUE!</v>
      </c>
      <c r="N38" s="643"/>
      <c r="O38" s="643"/>
      <c r="P38" s="547"/>
      <c r="Q38" s="548"/>
      <c r="R38" s="548"/>
      <c r="S38" s="547"/>
      <c r="T38" s="639"/>
      <c r="U38" s="547"/>
      <c r="V38" s="548"/>
      <c r="W38" s="548"/>
      <c r="X38" s="547"/>
      <c r="Y38" s="639"/>
      <c r="Z38" s="547"/>
      <c r="AA38" s="548"/>
      <c r="AB38" s="548"/>
      <c r="AC38" s="547"/>
      <c r="AD38" s="639"/>
      <c r="AE38" s="547"/>
      <c r="AF38" s="548"/>
      <c r="AG38" s="548"/>
      <c r="AH38" s="547"/>
      <c r="AI38" s="639"/>
      <c r="AJ38" s="547"/>
      <c r="AK38" s="548"/>
      <c r="AL38" s="548"/>
      <c r="AM38" s="547"/>
      <c r="AN38" s="639"/>
      <c r="AO38" s="547"/>
      <c r="AP38" s="548"/>
      <c r="AQ38" s="548"/>
      <c r="AR38" s="547"/>
      <c r="AS38" s="639"/>
      <c r="AT38" s="547"/>
      <c r="AU38" s="548"/>
      <c r="AV38" s="548"/>
      <c r="AW38" s="547"/>
      <c r="AX38" s="639"/>
      <c r="AZ38" s="368" t="e">
        <f t="shared" si="22"/>
        <v>#N/A</v>
      </c>
      <c r="BA38" s="639"/>
    </row>
    <row r="39" spans="2:53">
      <c r="B39" s="649"/>
      <c r="C39" s="380">
        <v>13</v>
      </c>
      <c r="D39" s="225"/>
      <c r="E39" s="565"/>
      <c r="F39" s="563"/>
      <c r="G39" s="564"/>
      <c r="H39" s="657"/>
      <c r="I39" s="381" t="str">
        <f t="shared" si="19"/>
        <v>-</v>
      </c>
      <c r="J39" s="381" t="str">
        <f t="shared" si="20"/>
        <v>-</v>
      </c>
      <c r="K39" s="199" t="str">
        <f t="shared" si="21"/>
        <v>-</v>
      </c>
      <c r="L39" s="659"/>
      <c r="M39" s="387" t="e">
        <f>RANK(K39, K$24:$K$41)</f>
        <v>#VALUE!</v>
      </c>
      <c r="N39" s="643"/>
      <c r="O39" s="643"/>
      <c r="P39" s="547"/>
      <c r="Q39" s="548"/>
      <c r="R39" s="548"/>
      <c r="S39" s="547"/>
      <c r="T39" s="639"/>
      <c r="U39" s="547"/>
      <c r="V39" s="548"/>
      <c r="W39" s="548"/>
      <c r="X39" s="547"/>
      <c r="Y39" s="639"/>
      <c r="Z39" s="547"/>
      <c r="AA39" s="548"/>
      <c r="AB39" s="548"/>
      <c r="AC39" s="547"/>
      <c r="AD39" s="639"/>
      <c r="AE39" s="547"/>
      <c r="AF39" s="548"/>
      <c r="AG39" s="548"/>
      <c r="AH39" s="547"/>
      <c r="AI39" s="639"/>
      <c r="AJ39" s="547"/>
      <c r="AK39" s="548"/>
      <c r="AL39" s="548"/>
      <c r="AM39" s="547"/>
      <c r="AN39" s="639"/>
      <c r="AO39" s="547"/>
      <c r="AP39" s="548"/>
      <c r="AQ39" s="548"/>
      <c r="AR39" s="547"/>
      <c r="AS39" s="639"/>
      <c r="AT39" s="547"/>
      <c r="AU39" s="548"/>
      <c r="AV39" s="548"/>
      <c r="AW39" s="547"/>
      <c r="AX39" s="639"/>
      <c r="AZ39" s="368" t="e">
        <f t="shared" si="22"/>
        <v>#N/A</v>
      </c>
      <c r="BA39" s="639"/>
    </row>
    <row r="40" spans="2:53">
      <c r="B40" s="649"/>
      <c r="C40" s="380">
        <v>14</v>
      </c>
      <c r="D40" s="225"/>
      <c r="E40" s="565"/>
      <c r="F40" s="563"/>
      <c r="G40" s="564"/>
      <c r="H40" s="657"/>
      <c r="I40" s="381" t="str">
        <f t="shared" si="19"/>
        <v>-</v>
      </c>
      <c r="J40" s="381" t="str">
        <f t="shared" si="20"/>
        <v>-</v>
      </c>
      <c r="K40" s="199" t="str">
        <f t="shared" si="21"/>
        <v>-</v>
      </c>
      <c r="L40" s="659"/>
      <c r="M40" s="387" t="e">
        <f>RANK(K40, K$24:$K$41)</f>
        <v>#VALUE!</v>
      </c>
      <c r="N40" s="643"/>
      <c r="O40" s="643"/>
      <c r="P40" s="547"/>
      <c r="Q40" s="548"/>
      <c r="R40" s="548"/>
      <c r="S40" s="547"/>
      <c r="T40" s="639"/>
      <c r="U40" s="547"/>
      <c r="V40" s="548"/>
      <c r="W40" s="548"/>
      <c r="X40" s="547"/>
      <c r="Y40" s="639"/>
      <c r="Z40" s="547"/>
      <c r="AA40" s="548"/>
      <c r="AB40" s="548"/>
      <c r="AC40" s="547"/>
      <c r="AD40" s="639"/>
      <c r="AE40" s="547"/>
      <c r="AF40" s="548"/>
      <c r="AG40" s="548"/>
      <c r="AH40" s="547"/>
      <c r="AI40" s="639"/>
      <c r="AJ40" s="547"/>
      <c r="AK40" s="548"/>
      <c r="AL40" s="548"/>
      <c r="AM40" s="547"/>
      <c r="AN40" s="639"/>
      <c r="AO40" s="547"/>
      <c r="AP40" s="548"/>
      <c r="AQ40" s="548"/>
      <c r="AR40" s="547"/>
      <c r="AS40" s="639"/>
      <c r="AT40" s="547"/>
      <c r="AU40" s="548"/>
      <c r="AV40" s="548"/>
      <c r="AW40" s="547"/>
      <c r="AX40" s="639"/>
      <c r="AZ40" s="368" t="e">
        <f t="shared" si="22"/>
        <v>#N/A</v>
      </c>
      <c r="BA40" s="639"/>
    </row>
    <row r="41" spans="2:53">
      <c r="B41" s="649"/>
      <c r="C41" s="380">
        <v>15</v>
      </c>
      <c r="D41" s="225"/>
      <c r="E41" s="565"/>
      <c r="F41" s="563"/>
      <c r="G41" s="564"/>
      <c r="H41" s="714"/>
      <c r="I41" s="380"/>
      <c r="J41" s="380"/>
      <c r="K41" s="380"/>
      <c r="L41" s="660"/>
      <c r="M41" s="387" t="e">
        <f>RANK(K41, K$24:$K$41)</f>
        <v>#N/A</v>
      </c>
      <c r="N41" s="643"/>
      <c r="O41" s="643"/>
      <c r="P41" s="547"/>
      <c r="Q41" s="548"/>
      <c r="R41" s="548"/>
      <c r="S41" s="547"/>
      <c r="T41" s="640"/>
      <c r="U41" s="547"/>
      <c r="V41" s="548"/>
      <c r="W41" s="548"/>
      <c r="X41" s="547"/>
      <c r="Y41" s="640"/>
      <c r="Z41" s="547"/>
      <c r="AA41" s="548"/>
      <c r="AB41" s="548"/>
      <c r="AC41" s="547"/>
      <c r="AD41" s="640"/>
      <c r="AE41" s="547"/>
      <c r="AF41" s="548"/>
      <c r="AG41" s="548"/>
      <c r="AH41" s="547"/>
      <c r="AI41" s="640"/>
      <c r="AJ41" s="547"/>
      <c r="AK41" s="548"/>
      <c r="AL41" s="548"/>
      <c r="AM41" s="547"/>
      <c r="AN41" s="640"/>
      <c r="AO41" s="547"/>
      <c r="AP41" s="548"/>
      <c r="AQ41" s="548"/>
      <c r="AR41" s="547"/>
      <c r="AS41" s="640"/>
      <c r="AT41" s="547"/>
      <c r="AU41" s="548"/>
      <c r="AV41" s="548"/>
      <c r="AW41" s="547"/>
      <c r="AX41" s="640"/>
      <c r="AZ41" s="368" t="e">
        <f t="shared" si="22"/>
        <v>#N/A</v>
      </c>
      <c r="BA41" s="640"/>
    </row>
    <row r="42" spans="2:53" ht="15.75">
      <c r="B42" s="682" t="s">
        <v>162</v>
      </c>
      <c r="C42" s="683"/>
      <c r="D42" s="683"/>
      <c r="E42" s="683"/>
      <c r="F42" s="683"/>
      <c r="G42" s="683"/>
      <c r="H42" s="683"/>
      <c r="I42" s="207"/>
      <c r="J42" s="202"/>
      <c r="K42" s="207"/>
      <c r="L42" s="207"/>
      <c r="M42" s="203"/>
      <c r="N42" s="645" t="s">
        <v>156</v>
      </c>
      <c r="O42" s="645" t="s">
        <v>105</v>
      </c>
      <c r="P42" s="670">
        <f>P22+7</f>
        <v>46280</v>
      </c>
      <c r="Q42" s="649"/>
      <c r="R42" s="649"/>
      <c r="S42" s="649"/>
      <c r="T42" s="649"/>
      <c r="U42" s="667">
        <f>P42+1</f>
        <v>46281</v>
      </c>
      <c r="V42" s="668"/>
      <c r="W42" s="668"/>
      <c r="X42" s="668"/>
      <c r="Y42" s="669"/>
      <c r="Z42" s="667">
        <f>U42+1</f>
        <v>46282</v>
      </c>
      <c r="AA42" s="668"/>
      <c r="AB42" s="668"/>
      <c r="AC42" s="668"/>
      <c r="AD42" s="669"/>
      <c r="AE42" s="667">
        <f>Z42+1</f>
        <v>46283</v>
      </c>
      <c r="AF42" s="668"/>
      <c r="AG42" s="668"/>
      <c r="AH42" s="668"/>
      <c r="AI42" s="669"/>
      <c r="AJ42" s="667">
        <f>AE42+1</f>
        <v>46284</v>
      </c>
      <c r="AK42" s="668"/>
      <c r="AL42" s="668"/>
      <c r="AM42" s="668"/>
      <c r="AN42" s="669"/>
      <c r="AO42" s="667">
        <f>AJ42+1</f>
        <v>46285</v>
      </c>
      <c r="AP42" s="668"/>
      <c r="AQ42" s="668"/>
      <c r="AR42" s="668"/>
      <c r="AS42" s="669"/>
      <c r="AT42" s="667">
        <f>AO42+1</f>
        <v>46286</v>
      </c>
      <c r="AU42" s="668"/>
      <c r="AV42" s="668"/>
      <c r="AW42" s="668"/>
      <c r="AX42" s="669"/>
    </row>
    <row r="43" spans="2:53" ht="15.75">
      <c r="B43" s="674"/>
      <c r="C43" s="674"/>
      <c r="D43" s="674"/>
      <c r="E43" s="674"/>
      <c r="F43" s="674"/>
      <c r="G43" s="674"/>
      <c r="H43" s="674"/>
      <c r="I43" s="204"/>
      <c r="J43" s="204"/>
      <c r="K43" s="204"/>
      <c r="L43" s="204"/>
      <c r="M43" s="205"/>
      <c r="N43" s="647"/>
      <c r="O43" s="647"/>
      <c r="P43" s="670" t="s">
        <v>317</v>
      </c>
      <c r="Q43" s="649"/>
      <c r="R43" s="649"/>
      <c r="S43" s="649"/>
      <c r="T43" s="649"/>
      <c r="U43" s="670" t="s">
        <v>318</v>
      </c>
      <c r="V43" s="649"/>
      <c r="W43" s="649"/>
      <c r="X43" s="649"/>
      <c r="Y43" s="649"/>
      <c r="Z43" s="670" t="s">
        <v>319</v>
      </c>
      <c r="AA43" s="649"/>
      <c r="AB43" s="649"/>
      <c r="AC43" s="649"/>
      <c r="AD43" s="649"/>
      <c r="AE43" s="670" t="s">
        <v>320</v>
      </c>
      <c r="AF43" s="649"/>
      <c r="AG43" s="649"/>
      <c r="AH43" s="649"/>
      <c r="AI43" s="649"/>
      <c r="AJ43" s="670" t="s">
        <v>321</v>
      </c>
      <c r="AK43" s="649"/>
      <c r="AL43" s="649"/>
      <c r="AM43" s="649"/>
      <c r="AN43" s="649"/>
      <c r="AO43" s="670" t="s">
        <v>322</v>
      </c>
      <c r="AP43" s="649"/>
      <c r="AQ43" s="649"/>
      <c r="AR43" s="649"/>
      <c r="AS43" s="649"/>
      <c r="AT43" s="670" t="s">
        <v>323</v>
      </c>
      <c r="AU43" s="649"/>
      <c r="AV43" s="649"/>
      <c r="AW43" s="649"/>
      <c r="AX43" s="649"/>
    </row>
    <row r="44" spans="2:53">
      <c r="B44" s="643" t="s">
        <v>446</v>
      </c>
      <c r="C44" s="643" t="s">
        <v>523</v>
      </c>
      <c r="D44" s="643"/>
      <c r="E44" s="643" t="s">
        <v>524</v>
      </c>
      <c r="F44" s="643"/>
      <c r="G44" s="643"/>
      <c r="H44" s="675" t="s">
        <v>525</v>
      </c>
      <c r="I44" s="643" t="s">
        <v>526</v>
      </c>
      <c r="J44" s="643"/>
      <c r="K44" s="643"/>
      <c r="L44" s="675" t="s">
        <v>359</v>
      </c>
      <c r="M44" s="645" t="s">
        <v>527</v>
      </c>
      <c r="N44" s="643"/>
      <c r="O44" s="643" t="s">
        <v>365</v>
      </c>
      <c r="P44" s="661" t="s">
        <v>361</v>
      </c>
      <c r="Q44" s="662"/>
      <c r="R44" s="662"/>
      <c r="S44" s="663"/>
      <c r="T44" s="643" t="s">
        <v>359</v>
      </c>
      <c r="U44" s="661" t="s">
        <v>361</v>
      </c>
      <c r="V44" s="662"/>
      <c r="W44" s="662"/>
      <c r="X44" s="663"/>
      <c r="Y44" s="643" t="s">
        <v>359</v>
      </c>
      <c r="Z44" s="661" t="s">
        <v>361</v>
      </c>
      <c r="AA44" s="662"/>
      <c r="AB44" s="662"/>
      <c r="AC44" s="663"/>
      <c r="AD44" s="643" t="s">
        <v>359</v>
      </c>
      <c r="AE44" s="661" t="s">
        <v>361</v>
      </c>
      <c r="AF44" s="662"/>
      <c r="AG44" s="662"/>
      <c r="AH44" s="663"/>
      <c r="AI44" s="643" t="s">
        <v>359</v>
      </c>
      <c r="AJ44" s="661" t="s">
        <v>361</v>
      </c>
      <c r="AK44" s="662"/>
      <c r="AL44" s="662"/>
      <c r="AM44" s="663"/>
      <c r="AN44" s="643" t="s">
        <v>359</v>
      </c>
      <c r="AO44" s="661" t="s">
        <v>361</v>
      </c>
      <c r="AP44" s="662"/>
      <c r="AQ44" s="662"/>
      <c r="AR44" s="663"/>
      <c r="AS44" s="643" t="s">
        <v>359</v>
      </c>
      <c r="AT44" s="661" t="s">
        <v>361</v>
      </c>
      <c r="AU44" s="662"/>
      <c r="AV44" s="662"/>
      <c r="AW44" s="663"/>
      <c r="AX44" s="643" t="s">
        <v>359</v>
      </c>
      <c r="BA44" s="643" t="s">
        <v>359</v>
      </c>
    </row>
    <row r="45" spans="2:53">
      <c r="B45" s="643"/>
      <c r="C45" s="643"/>
      <c r="D45" s="643"/>
      <c r="E45" s="643" t="s">
        <v>529</v>
      </c>
      <c r="F45" s="643"/>
      <c r="G45" s="643"/>
      <c r="H45" s="676"/>
      <c r="I45" s="643" t="s">
        <v>529</v>
      </c>
      <c r="J45" s="643"/>
      <c r="K45" s="643"/>
      <c r="L45" s="676"/>
      <c r="M45" s="646"/>
      <c r="N45" s="643"/>
      <c r="O45" s="643"/>
      <c r="P45" s="661" t="s">
        <v>367</v>
      </c>
      <c r="Q45" s="662"/>
      <c r="R45" s="662"/>
      <c r="S45" s="663"/>
      <c r="T45" s="643"/>
      <c r="U45" s="661" t="s">
        <v>367</v>
      </c>
      <c r="V45" s="662"/>
      <c r="W45" s="662"/>
      <c r="X45" s="663"/>
      <c r="Y45" s="643"/>
      <c r="Z45" s="661" t="s">
        <v>367</v>
      </c>
      <c r="AA45" s="662"/>
      <c r="AB45" s="662"/>
      <c r="AC45" s="663"/>
      <c r="AD45" s="643"/>
      <c r="AE45" s="661" t="s">
        <v>367</v>
      </c>
      <c r="AF45" s="662"/>
      <c r="AG45" s="662"/>
      <c r="AH45" s="663"/>
      <c r="AI45" s="643"/>
      <c r="AJ45" s="661" t="s">
        <v>367</v>
      </c>
      <c r="AK45" s="662"/>
      <c r="AL45" s="662"/>
      <c r="AM45" s="663"/>
      <c r="AN45" s="643"/>
      <c r="AO45" s="661" t="s">
        <v>367</v>
      </c>
      <c r="AP45" s="662"/>
      <c r="AQ45" s="662"/>
      <c r="AR45" s="663"/>
      <c r="AS45" s="643"/>
      <c r="AT45" s="661" t="s">
        <v>367</v>
      </c>
      <c r="AU45" s="662"/>
      <c r="AV45" s="662"/>
      <c r="AW45" s="663"/>
      <c r="AX45" s="643"/>
      <c r="BA45" s="643"/>
    </row>
    <row r="46" spans="2:53">
      <c r="B46" s="643"/>
      <c r="C46" s="643"/>
      <c r="D46" s="643"/>
      <c r="E46" s="378" t="s">
        <v>530</v>
      </c>
      <c r="F46" s="378" t="s">
        <v>531</v>
      </c>
      <c r="G46" s="378" t="s">
        <v>532</v>
      </c>
      <c r="H46" s="677"/>
      <c r="I46" s="378" t="s">
        <v>530</v>
      </c>
      <c r="J46" s="378" t="s">
        <v>531</v>
      </c>
      <c r="K46" s="378" t="s">
        <v>532</v>
      </c>
      <c r="L46" s="677"/>
      <c r="M46" s="647"/>
      <c r="N46" s="643"/>
      <c r="O46" s="643"/>
      <c r="P46" s="378" t="s">
        <v>368</v>
      </c>
      <c r="Q46" s="378" t="s">
        <v>369</v>
      </c>
      <c r="R46" s="378" t="s">
        <v>370</v>
      </c>
      <c r="S46" s="378" t="s">
        <v>360</v>
      </c>
      <c r="T46" s="643"/>
      <c r="U46" s="378" t="s">
        <v>368</v>
      </c>
      <c r="V46" s="378" t="s">
        <v>369</v>
      </c>
      <c r="W46" s="378" t="s">
        <v>370</v>
      </c>
      <c r="X46" s="378" t="s">
        <v>360</v>
      </c>
      <c r="Y46" s="643"/>
      <c r="Z46" s="378" t="s">
        <v>368</v>
      </c>
      <c r="AA46" s="378" t="s">
        <v>369</v>
      </c>
      <c r="AB46" s="378" t="s">
        <v>370</v>
      </c>
      <c r="AC46" s="378" t="s">
        <v>360</v>
      </c>
      <c r="AD46" s="643"/>
      <c r="AE46" s="378" t="s">
        <v>368</v>
      </c>
      <c r="AF46" s="378" t="s">
        <v>369</v>
      </c>
      <c r="AG46" s="378" t="s">
        <v>370</v>
      </c>
      <c r="AH46" s="378" t="s">
        <v>360</v>
      </c>
      <c r="AI46" s="643"/>
      <c r="AJ46" s="378" t="s">
        <v>368</v>
      </c>
      <c r="AK46" s="378" t="s">
        <v>369</v>
      </c>
      <c r="AL46" s="378" t="s">
        <v>370</v>
      </c>
      <c r="AM46" s="378" t="s">
        <v>360</v>
      </c>
      <c r="AN46" s="643"/>
      <c r="AO46" s="378" t="s">
        <v>368</v>
      </c>
      <c r="AP46" s="378" t="s">
        <v>369</v>
      </c>
      <c r="AQ46" s="378" t="s">
        <v>370</v>
      </c>
      <c r="AR46" s="378" t="s">
        <v>360</v>
      </c>
      <c r="AS46" s="643"/>
      <c r="AT46" s="378" t="s">
        <v>368</v>
      </c>
      <c r="AU46" s="378" t="s">
        <v>369</v>
      </c>
      <c r="AV46" s="378" t="s">
        <v>370</v>
      </c>
      <c r="AW46" s="378" t="s">
        <v>360</v>
      </c>
      <c r="AX46" s="643"/>
      <c r="AZ46" s="367" t="s">
        <v>551</v>
      </c>
      <c r="BA46" s="643"/>
    </row>
    <row r="47" spans="2:53">
      <c r="B47" s="643" t="s">
        <v>462</v>
      </c>
      <c r="C47" s="380">
        <v>1</v>
      </c>
      <c r="D47" s="225"/>
      <c r="E47" s="565"/>
      <c r="F47" s="563"/>
      <c r="G47" s="564"/>
      <c r="H47" s="656" t="e">
        <f>AVERAGE(G47:G61)</f>
        <v>#DIV/0!</v>
      </c>
      <c r="I47" s="381" t="str">
        <f t="shared" ref="I47:I60" si="24">IFERROR(AVERAGE(P47,U47,Z47,AE47,AJ47,AO47,AT47),"-")</f>
        <v>-</v>
      </c>
      <c r="J47" s="381" t="str">
        <f t="shared" ref="J47:J60" si="25">IFERROR(AVERAGE(Q47,V47,AA47,AF47,AK47,AP47,AU47),"-")</f>
        <v>-</v>
      </c>
      <c r="K47" s="199" t="str">
        <f t="shared" ref="K47:K60" si="26">IFERROR(AVERAGE(R47,W47,AB47,AG47,AL47,AQ47,AV47),"-")</f>
        <v>-</v>
      </c>
      <c r="L47" s="658" t="str">
        <f>IFERROR(AVERAGE(K47:K61),"-")</f>
        <v>-</v>
      </c>
      <c r="M47" s="384" t="e">
        <f>RANK(K47, K$47:$K$61)</f>
        <v>#VALUE!</v>
      </c>
      <c r="N47" s="643"/>
      <c r="O47" s="643"/>
      <c r="P47" s="563"/>
      <c r="Q47" s="565"/>
      <c r="R47" s="565"/>
      <c r="S47" s="563"/>
      <c r="T47" s="638"/>
      <c r="U47" s="563"/>
      <c r="V47" s="565"/>
      <c r="W47" s="565"/>
      <c r="X47" s="563"/>
      <c r="Y47" s="638"/>
      <c r="Z47" s="563"/>
      <c r="AA47" s="565"/>
      <c r="AB47" s="565"/>
      <c r="AC47" s="563"/>
      <c r="AD47" s="638"/>
      <c r="AE47" s="563"/>
      <c r="AF47" s="565"/>
      <c r="AG47" s="565"/>
      <c r="AH47" s="563"/>
      <c r="AI47" s="638"/>
      <c r="AJ47" s="563"/>
      <c r="AK47" s="565"/>
      <c r="AL47" s="565"/>
      <c r="AM47" s="563"/>
      <c r="AN47" s="638"/>
      <c r="AO47" s="563"/>
      <c r="AP47" s="565"/>
      <c r="AQ47" s="565"/>
      <c r="AR47" s="563"/>
      <c r="AS47" s="638"/>
      <c r="AT47" s="563"/>
      <c r="AU47" s="565"/>
      <c r="AV47" s="565"/>
      <c r="AW47" s="563"/>
      <c r="AX47" s="638"/>
      <c r="AZ47" s="368" t="e">
        <f t="shared" ref="AZ47:AZ61" si="27">RANK(AY47, AY$47:AY$61)</f>
        <v>#N/A</v>
      </c>
      <c r="BA47" s="638" t="e">
        <f t="shared" ref="BA47" si="28">AVERAGE(AY47:AY61)</f>
        <v>#DIV/0!</v>
      </c>
    </row>
    <row r="48" spans="2:53">
      <c r="B48" s="649"/>
      <c r="C48" s="380">
        <v>2</v>
      </c>
      <c r="D48" s="225"/>
      <c r="E48" s="565"/>
      <c r="F48" s="563"/>
      <c r="G48" s="564"/>
      <c r="H48" s="657"/>
      <c r="I48" s="381" t="str">
        <f t="shared" si="24"/>
        <v>-</v>
      </c>
      <c r="J48" s="381" t="str">
        <f t="shared" si="25"/>
        <v>-</v>
      </c>
      <c r="K48" s="199" t="str">
        <f t="shared" si="26"/>
        <v>-</v>
      </c>
      <c r="L48" s="659"/>
      <c r="M48" s="418" t="e">
        <f>RANK(K48, K$47:$K$61)</f>
        <v>#VALUE!</v>
      </c>
      <c r="N48" s="643"/>
      <c r="O48" s="643"/>
      <c r="P48" s="563"/>
      <c r="Q48" s="565"/>
      <c r="R48" s="565"/>
      <c r="S48" s="563"/>
      <c r="T48" s="639"/>
      <c r="U48" s="563"/>
      <c r="V48" s="565"/>
      <c r="W48" s="565"/>
      <c r="X48" s="563"/>
      <c r="Y48" s="639"/>
      <c r="Z48" s="563"/>
      <c r="AA48" s="565"/>
      <c r="AB48" s="565"/>
      <c r="AC48" s="563"/>
      <c r="AD48" s="639"/>
      <c r="AE48" s="563"/>
      <c r="AF48" s="565"/>
      <c r="AG48" s="565"/>
      <c r="AH48" s="563"/>
      <c r="AI48" s="639"/>
      <c r="AJ48" s="563"/>
      <c r="AK48" s="565"/>
      <c r="AL48" s="565"/>
      <c r="AM48" s="563"/>
      <c r="AN48" s="639"/>
      <c r="AO48" s="563"/>
      <c r="AP48" s="565"/>
      <c r="AQ48" s="565"/>
      <c r="AR48" s="563"/>
      <c r="AS48" s="639"/>
      <c r="AT48" s="563"/>
      <c r="AU48" s="565"/>
      <c r="AV48" s="565"/>
      <c r="AW48" s="563"/>
      <c r="AX48" s="639"/>
      <c r="AZ48" s="368" t="e">
        <f t="shared" si="27"/>
        <v>#N/A</v>
      </c>
      <c r="BA48" s="639"/>
    </row>
    <row r="49" spans="2:53">
      <c r="B49" s="649"/>
      <c r="C49" s="380">
        <v>3</v>
      </c>
      <c r="D49" s="225"/>
      <c r="E49" s="565"/>
      <c r="F49" s="563"/>
      <c r="G49" s="564"/>
      <c r="H49" s="657"/>
      <c r="I49" s="381" t="str">
        <f t="shared" si="24"/>
        <v>-</v>
      </c>
      <c r="J49" s="381" t="str">
        <f t="shared" si="25"/>
        <v>-</v>
      </c>
      <c r="K49" s="199" t="str">
        <f t="shared" si="26"/>
        <v>-</v>
      </c>
      <c r="L49" s="659"/>
      <c r="M49" s="418" t="e">
        <f>RANK(K49, K$47:$K$61)</f>
        <v>#VALUE!</v>
      </c>
      <c r="N49" s="643"/>
      <c r="O49" s="643"/>
      <c r="P49" s="563"/>
      <c r="Q49" s="565"/>
      <c r="R49" s="565"/>
      <c r="S49" s="563"/>
      <c r="T49" s="639"/>
      <c r="U49" s="563"/>
      <c r="V49" s="565"/>
      <c r="W49" s="565"/>
      <c r="X49" s="563"/>
      <c r="Y49" s="639"/>
      <c r="Z49" s="563"/>
      <c r="AA49" s="565"/>
      <c r="AB49" s="565"/>
      <c r="AC49" s="563"/>
      <c r="AD49" s="639"/>
      <c r="AE49" s="563"/>
      <c r="AF49" s="565"/>
      <c r="AG49" s="565"/>
      <c r="AH49" s="563"/>
      <c r="AI49" s="639"/>
      <c r="AJ49" s="563"/>
      <c r="AK49" s="565"/>
      <c r="AL49" s="565"/>
      <c r="AM49" s="563"/>
      <c r="AN49" s="639"/>
      <c r="AO49" s="563"/>
      <c r="AP49" s="565"/>
      <c r="AQ49" s="565"/>
      <c r="AR49" s="563"/>
      <c r="AS49" s="639"/>
      <c r="AT49" s="563"/>
      <c r="AU49" s="565"/>
      <c r="AV49" s="565"/>
      <c r="AW49" s="563"/>
      <c r="AX49" s="639"/>
      <c r="AZ49" s="368" t="e">
        <f t="shared" si="27"/>
        <v>#N/A</v>
      </c>
      <c r="BA49" s="639"/>
    </row>
    <row r="50" spans="2:53">
      <c r="B50" s="649"/>
      <c r="C50" s="380">
        <v>4</v>
      </c>
      <c r="D50" s="225"/>
      <c r="E50" s="565"/>
      <c r="F50" s="563"/>
      <c r="G50" s="564"/>
      <c r="H50" s="657"/>
      <c r="I50" s="381" t="str">
        <f t="shared" si="24"/>
        <v>-</v>
      </c>
      <c r="J50" s="381" t="str">
        <f t="shared" si="25"/>
        <v>-</v>
      </c>
      <c r="K50" s="199" t="str">
        <f t="shared" si="26"/>
        <v>-</v>
      </c>
      <c r="L50" s="659"/>
      <c r="M50" s="418" t="e">
        <f>RANK(K50, K$47:$K$61)</f>
        <v>#VALUE!</v>
      </c>
      <c r="N50" s="643"/>
      <c r="O50" s="643"/>
      <c r="P50" s="563"/>
      <c r="Q50" s="565"/>
      <c r="R50" s="565"/>
      <c r="S50" s="563"/>
      <c r="T50" s="639"/>
      <c r="U50" s="563"/>
      <c r="V50" s="565"/>
      <c r="W50" s="565"/>
      <c r="X50" s="563"/>
      <c r="Y50" s="639"/>
      <c r="Z50" s="563"/>
      <c r="AA50" s="565"/>
      <c r="AB50" s="565"/>
      <c r="AC50" s="563"/>
      <c r="AD50" s="639"/>
      <c r="AE50" s="563"/>
      <c r="AF50" s="565"/>
      <c r="AG50" s="565"/>
      <c r="AH50" s="563"/>
      <c r="AI50" s="639"/>
      <c r="AJ50" s="563"/>
      <c r="AK50" s="565"/>
      <c r="AL50" s="565"/>
      <c r="AM50" s="563"/>
      <c r="AN50" s="639"/>
      <c r="AO50" s="563"/>
      <c r="AP50" s="565"/>
      <c r="AQ50" s="565"/>
      <c r="AR50" s="563"/>
      <c r="AS50" s="639"/>
      <c r="AT50" s="563"/>
      <c r="AU50" s="565"/>
      <c r="AV50" s="565"/>
      <c r="AW50" s="563"/>
      <c r="AX50" s="639"/>
      <c r="AZ50" s="368" t="e">
        <f t="shared" si="27"/>
        <v>#N/A</v>
      </c>
      <c r="BA50" s="639"/>
    </row>
    <row r="51" spans="2:53">
      <c r="B51" s="649"/>
      <c r="C51" s="380">
        <v>5</v>
      </c>
      <c r="D51" s="225"/>
      <c r="E51" s="565"/>
      <c r="F51" s="563"/>
      <c r="G51" s="564"/>
      <c r="H51" s="657"/>
      <c r="I51" s="381" t="str">
        <f t="shared" si="24"/>
        <v>-</v>
      </c>
      <c r="J51" s="381" t="str">
        <f t="shared" si="25"/>
        <v>-</v>
      </c>
      <c r="K51" s="199" t="str">
        <f t="shared" si="26"/>
        <v>-</v>
      </c>
      <c r="L51" s="659"/>
      <c r="M51" s="418" t="e">
        <f>RANK(K51, K$47:$K$61)</f>
        <v>#VALUE!</v>
      </c>
      <c r="N51" s="643"/>
      <c r="O51" s="643"/>
      <c r="P51" s="563"/>
      <c r="Q51" s="565"/>
      <c r="R51" s="565"/>
      <c r="S51" s="563"/>
      <c r="T51" s="639"/>
      <c r="U51" s="563"/>
      <c r="V51" s="565"/>
      <c r="W51" s="565"/>
      <c r="X51" s="563"/>
      <c r="Y51" s="639"/>
      <c r="Z51" s="563"/>
      <c r="AA51" s="565"/>
      <c r="AB51" s="565"/>
      <c r="AC51" s="563"/>
      <c r="AD51" s="639"/>
      <c r="AE51" s="563"/>
      <c r="AF51" s="565"/>
      <c r="AG51" s="565"/>
      <c r="AH51" s="563"/>
      <c r="AI51" s="639"/>
      <c r="AJ51" s="563"/>
      <c r="AK51" s="565"/>
      <c r="AL51" s="565"/>
      <c r="AM51" s="563"/>
      <c r="AN51" s="639"/>
      <c r="AO51" s="563"/>
      <c r="AP51" s="565"/>
      <c r="AQ51" s="565"/>
      <c r="AR51" s="563"/>
      <c r="AS51" s="639"/>
      <c r="AT51" s="563"/>
      <c r="AU51" s="565"/>
      <c r="AV51" s="565"/>
      <c r="AW51" s="563"/>
      <c r="AX51" s="639"/>
      <c r="AZ51" s="368" t="e">
        <f t="shared" si="27"/>
        <v>#N/A</v>
      </c>
      <c r="BA51" s="639"/>
    </row>
    <row r="52" spans="2:53">
      <c r="B52" s="649"/>
      <c r="C52" s="380">
        <v>6</v>
      </c>
      <c r="D52" s="225"/>
      <c r="E52" s="565"/>
      <c r="F52" s="563"/>
      <c r="G52" s="564"/>
      <c r="H52" s="657"/>
      <c r="I52" s="381" t="str">
        <f t="shared" si="24"/>
        <v>-</v>
      </c>
      <c r="J52" s="381" t="str">
        <f t="shared" si="25"/>
        <v>-</v>
      </c>
      <c r="K52" s="199" t="str">
        <f t="shared" si="26"/>
        <v>-</v>
      </c>
      <c r="L52" s="659"/>
      <c r="M52" s="418" t="e">
        <f>RANK(K52, K$47:$K$61)</f>
        <v>#VALUE!</v>
      </c>
      <c r="N52" s="643"/>
      <c r="O52" s="643"/>
      <c r="P52" s="563"/>
      <c r="Q52" s="565"/>
      <c r="R52" s="565"/>
      <c r="S52" s="563"/>
      <c r="T52" s="639"/>
      <c r="U52" s="563"/>
      <c r="V52" s="565"/>
      <c r="W52" s="565"/>
      <c r="X52" s="563"/>
      <c r="Y52" s="639"/>
      <c r="Z52" s="563"/>
      <c r="AA52" s="565"/>
      <c r="AB52" s="565"/>
      <c r="AC52" s="563"/>
      <c r="AD52" s="639"/>
      <c r="AE52" s="563"/>
      <c r="AF52" s="565"/>
      <c r="AG52" s="565"/>
      <c r="AH52" s="563"/>
      <c r="AI52" s="639"/>
      <c r="AJ52" s="563"/>
      <c r="AK52" s="565"/>
      <c r="AL52" s="565"/>
      <c r="AM52" s="563"/>
      <c r="AN52" s="639"/>
      <c r="AO52" s="563"/>
      <c r="AP52" s="565"/>
      <c r="AQ52" s="565"/>
      <c r="AR52" s="563"/>
      <c r="AS52" s="639"/>
      <c r="AT52" s="563"/>
      <c r="AU52" s="565"/>
      <c r="AV52" s="565"/>
      <c r="AW52" s="563"/>
      <c r="AX52" s="639"/>
      <c r="AZ52" s="368" t="e">
        <f t="shared" si="27"/>
        <v>#N/A</v>
      </c>
      <c r="BA52" s="639"/>
    </row>
    <row r="53" spans="2:53">
      <c r="B53" s="649"/>
      <c r="C53" s="380">
        <v>7</v>
      </c>
      <c r="D53" s="225"/>
      <c r="E53" s="565"/>
      <c r="F53" s="563"/>
      <c r="G53" s="564"/>
      <c r="H53" s="657"/>
      <c r="I53" s="381" t="str">
        <f t="shared" si="24"/>
        <v>-</v>
      </c>
      <c r="J53" s="381" t="str">
        <f t="shared" si="25"/>
        <v>-</v>
      </c>
      <c r="K53" s="199" t="str">
        <f t="shared" si="26"/>
        <v>-</v>
      </c>
      <c r="L53" s="659"/>
      <c r="M53" s="418" t="e">
        <f>RANK(K53, K$47:$K$61)</f>
        <v>#VALUE!</v>
      </c>
      <c r="N53" s="643"/>
      <c r="O53" s="643"/>
      <c r="P53" s="563"/>
      <c r="Q53" s="565"/>
      <c r="R53" s="565"/>
      <c r="S53" s="563"/>
      <c r="T53" s="639"/>
      <c r="U53" s="563"/>
      <c r="V53" s="565"/>
      <c r="W53" s="565"/>
      <c r="X53" s="563"/>
      <c r="Y53" s="639"/>
      <c r="Z53" s="563"/>
      <c r="AA53" s="565"/>
      <c r="AB53" s="565"/>
      <c r="AC53" s="563"/>
      <c r="AD53" s="639"/>
      <c r="AE53" s="563"/>
      <c r="AF53" s="565"/>
      <c r="AG53" s="565"/>
      <c r="AH53" s="563"/>
      <c r="AI53" s="639"/>
      <c r="AJ53" s="563"/>
      <c r="AK53" s="565"/>
      <c r="AL53" s="565"/>
      <c r="AM53" s="563"/>
      <c r="AN53" s="639"/>
      <c r="AO53" s="563"/>
      <c r="AP53" s="565"/>
      <c r="AQ53" s="565"/>
      <c r="AR53" s="563"/>
      <c r="AS53" s="639"/>
      <c r="AT53" s="563"/>
      <c r="AU53" s="565"/>
      <c r="AV53" s="565"/>
      <c r="AW53" s="563"/>
      <c r="AX53" s="639"/>
      <c r="AZ53" s="368" t="e">
        <f t="shared" si="27"/>
        <v>#N/A</v>
      </c>
      <c r="BA53" s="639"/>
    </row>
    <row r="54" spans="2:53">
      <c r="B54" s="649"/>
      <c r="C54" s="380">
        <v>8</v>
      </c>
      <c r="D54" s="225"/>
      <c r="E54" s="565"/>
      <c r="F54" s="563"/>
      <c r="G54" s="564"/>
      <c r="H54" s="657"/>
      <c r="I54" s="381" t="str">
        <f t="shared" si="24"/>
        <v>-</v>
      </c>
      <c r="J54" s="381" t="str">
        <f t="shared" si="25"/>
        <v>-</v>
      </c>
      <c r="K54" s="199" t="str">
        <f t="shared" si="26"/>
        <v>-</v>
      </c>
      <c r="L54" s="659"/>
      <c r="M54" s="418" t="e">
        <f>RANK(K54, K$47:$K$61)</f>
        <v>#VALUE!</v>
      </c>
      <c r="N54" s="643"/>
      <c r="O54" s="643"/>
      <c r="P54" s="563"/>
      <c r="Q54" s="565"/>
      <c r="R54" s="565"/>
      <c r="S54" s="563"/>
      <c r="T54" s="639"/>
      <c r="U54" s="563"/>
      <c r="V54" s="565"/>
      <c r="W54" s="565"/>
      <c r="X54" s="563"/>
      <c r="Y54" s="639"/>
      <c r="Z54" s="563"/>
      <c r="AA54" s="565"/>
      <c r="AB54" s="565"/>
      <c r="AC54" s="563"/>
      <c r="AD54" s="639"/>
      <c r="AE54" s="563"/>
      <c r="AF54" s="565"/>
      <c r="AG54" s="565"/>
      <c r="AH54" s="563"/>
      <c r="AI54" s="639"/>
      <c r="AJ54" s="563"/>
      <c r="AK54" s="565"/>
      <c r="AL54" s="565"/>
      <c r="AM54" s="563"/>
      <c r="AN54" s="639"/>
      <c r="AO54" s="563"/>
      <c r="AP54" s="565"/>
      <c r="AQ54" s="565"/>
      <c r="AR54" s="563"/>
      <c r="AS54" s="639"/>
      <c r="AT54" s="563"/>
      <c r="AU54" s="565"/>
      <c r="AV54" s="565"/>
      <c r="AW54" s="563"/>
      <c r="AX54" s="639"/>
      <c r="AZ54" s="368" t="e">
        <f t="shared" si="27"/>
        <v>#N/A</v>
      </c>
      <c r="BA54" s="639"/>
    </row>
    <row r="55" spans="2:53">
      <c r="B55" s="649"/>
      <c r="C55" s="380">
        <v>9</v>
      </c>
      <c r="D55" s="225"/>
      <c r="E55" s="565"/>
      <c r="F55" s="563"/>
      <c r="G55" s="564"/>
      <c r="H55" s="657"/>
      <c r="I55" s="381" t="str">
        <f t="shared" si="24"/>
        <v>-</v>
      </c>
      <c r="J55" s="381" t="str">
        <f t="shared" si="25"/>
        <v>-</v>
      </c>
      <c r="K55" s="199" t="str">
        <f t="shared" si="26"/>
        <v>-</v>
      </c>
      <c r="L55" s="659"/>
      <c r="M55" s="418" t="e">
        <f>RANK(K55, K$47:$K$61)</f>
        <v>#VALUE!</v>
      </c>
      <c r="N55" s="643"/>
      <c r="O55" s="643"/>
      <c r="P55" s="563"/>
      <c r="Q55" s="565"/>
      <c r="R55" s="565"/>
      <c r="S55" s="563"/>
      <c r="T55" s="639"/>
      <c r="U55" s="563"/>
      <c r="V55" s="565"/>
      <c r="W55" s="565"/>
      <c r="X55" s="563"/>
      <c r="Y55" s="639"/>
      <c r="Z55" s="563"/>
      <c r="AA55" s="565"/>
      <c r="AB55" s="565"/>
      <c r="AC55" s="563"/>
      <c r="AD55" s="639"/>
      <c r="AE55" s="563"/>
      <c r="AF55" s="565"/>
      <c r="AG55" s="565"/>
      <c r="AH55" s="563"/>
      <c r="AI55" s="639"/>
      <c r="AJ55" s="563"/>
      <c r="AK55" s="565"/>
      <c r="AL55" s="565"/>
      <c r="AM55" s="563"/>
      <c r="AN55" s="639"/>
      <c r="AO55" s="563"/>
      <c r="AP55" s="565"/>
      <c r="AQ55" s="565"/>
      <c r="AR55" s="563"/>
      <c r="AS55" s="639"/>
      <c r="AT55" s="563"/>
      <c r="AU55" s="565"/>
      <c r="AV55" s="565"/>
      <c r="AW55" s="563"/>
      <c r="AX55" s="639"/>
      <c r="AZ55" s="416" t="e">
        <f t="shared" si="27"/>
        <v>#N/A</v>
      </c>
      <c r="BA55" s="639"/>
    </row>
    <row r="56" spans="2:53">
      <c r="B56" s="649"/>
      <c r="C56" s="380">
        <v>10</v>
      </c>
      <c r="D56" s="225"/>
      <c r="E56" s="565"/>
      <c r="F56" s="563"/>
      <c r="G56" s="564"/>
      <c r="H56" s="657"/>
      <c r="I56" s="381" t="str">
        <f t="shared" si="24"/>
        <v>-</v>
      </c>
      <c r="J56" s="381" t="str">
        <f t="shared" si="25"/>
        <v>-</v>
      </c>
      <c r="K56" s="199" t="str">
        <f t="shared" si="26"/>
        <v>-</v>
      </c>
      <c r="L56" s="659"/>
      <c r="M56" s="418" t="e">
        <f>RANK(K56, K$47:$K$61)</f>
        <v>#VALUE!</v>
      </c>
      <c r="N56" s="643"/>
      <c r="O56" s="643"/>
      <c r="P56" s="563"/>
      <c r="Q56" s="565"/>
      <c r="R56" s="565"/>
      <c r="S56" s="563"/>
      <c r="T56" s="639"/>
      <c r="U56" s="563"/>
      <c r="V56" s="565"/>
      <c r="W56" s="565"/>
      <c r="X56" s="563"/>
      <c r="Y56" s="639"/>
      <c r="Z56" s="563"/>
      <c r="AA56" s="565"/>
      <c r="AB56" s="565"/>
      <c r="AC56" s="563"/>
      <c r="AD56" s="639"/>
      <c r="AE56" s="563"/>
      <c r="AF56" s="565"/>
      <c r="AG56" s="565"/>
      <c r="AH56" s="563"/>
      <c r="AI56" s="639"/>
      <c r="AJ56" s="563"/>
      <c r="AK56" s="565"/>
      <c r="AL56" s="565"/>
      <c r="AM56" s="563"/>
      <c r="AN56" s="639"/>
      <c r="AO56" s="563"/>
      <c r="AP56" s="565"/>
      <c r="AQ56" s="565"/>
      <c r="AR56" s="563"/>
      <c r="AS56" s="639"/>
      <c r="AT56" s="563"/>
      <c r="AU56" s="565"/>
      <c r="AV56" s="565"/>
      <c r="AW56" s="563"/>
      <c r="AX56" s="639"/>
      <c r="AZ56" s="416" t="e">
        <f t="shared" si="27"/>
        <v>#N/A</v>
      </c>
      <c r="BA56" s="639"/>
    </row>
    <row r="57" spans="2:53">
      <c r="B57" s="649"/>
      <c r="C57" s="380">
        <v>11</v>
      </c>
      <c r="D57" s="225"/>
      <c r="E57" s="565"/>
      <c r="F57" s="563"/>
      <c r="G57" s="564"/>
      <c r="H57" s="657"/>
      <c r="I57" s="381" t="str">
        <f t="shared" si="24"/>
        <v>-</v>
      </c>
      <c r="J57" s="381" t="str">
        <f t="shared" si="25"/>
        <v>-</v>
      </c>
      <c r="K57" s="199" t="str">
        <f t="shared" si="26"/>
        <v>-</v>
      </c>
      <c r="L57" s="659"/>
      <c r="M57" s="418" t="e">
        <f>RANK(K57, K$47:$K$61)</f>
        <v>#VALUE!</v>
      </c>
      <c r="N57" s="643"/>
      <c r="O57" s="643"/>
      <c r="P57" s="563"/>
      <c r="Q57" s="565"/>
      <c r="R57" s="565"/>
      <c r="S57" s="563"/>
      <c r="T57" s="639"/>
      <c r="U57" s="563"/>
      <c r="V57" s="565"/>
      <c r="W57" s="565"/>
      <c r="X57" s="563"/>
      <c r="Y57" s="639"/>
      <c r="Z57" s="563"/>
      <c r="AA57" s="565"/>
      <c r="AB57" s="565"/>
      <c r="AC57" s="563"/>
      <c r="AD57" s="639"/>
      <c r="AE57" s="563"/>
      <c r="AF57" s="565"/>
      <c r="AG57" s="565"/>
      <c r="AH57" s="563"/>
      <c r="AI57" s="639"/>
      <c r="AJ57" s="563"/>
      <c r="AK57" s="565"/>
      <c r="AL57" s="565"/>
      <c r="AM57" s="563"/>
      <c r="AN57" s="639"/>
      <c r="AO57" s="563"/>
      <c r="AP57" s="565"/>
      <c r="AQ57" s="565"/>
      <c r="AR57" s="563"/>
      <c r="AS57" s="639"/>
      <c r="AT57" s="563"/>
      <c r="AU57" s="565"/>
      <c r="AV57" s="565"/>
      <c r="AW57" s="563"/>
      <c r="AX57" s="639"/>
      <c r="AZ57" s="416" t="e">
        <f t="shared" si="27"/>
        <v>#N/A</v>
      </c>
      <c r="BA57" s="639"/>
    </row>
    <row r="58" spans="2:53">
      <c r="B58" s="649"/>
      <c r="C58" s="380">
        <v>12</v>
      </c>
      <c r="D58" s="225"/>
      <c r="E58" s="565"/>
      <c r="F58" s="563"/>
      <c r="G58" s="564"/>
      <c r="H58" s="657"/>
      <c r="I58" s="381" t="str">
        <f t="shared" si="24"/>
        <v>-</v>
      </c>
      <c r="J58" s="381" t="str">
        <f t="shared" si="25"/>
        <v>-</v>
      </c>
      <c r="K58" s="199" t="str">
        <f t="shared" si="26"/>
        <v>-</v>
      </c>
      <c r="L58" s="659"/>
      <c r="M58" s="418" t="e">
        <f>RANK(K58, K$47:$K$61)</f>
        <v>#VALUE!</v>
      </c>
      <c r="N58" s="643"/>
      <c r="O58" s="643"/>
      <c r="P58" s="563"/>
      <c r="Q58" s="565"/>
      <c r="R58" s="565"/>
      <c r="S58" s="563"/>
      <c r="T58" s="639"/>
      <c r="U58" s="563"/>
      <c r="V58" s="565"/>
      <c r="W58" s="565"/>
      <c r="X58" s="563"/>
      <c r="Y58" s="639"/>
      <c r="Z58" s="563"/>
      <c r="AA58" s="565"/>
      <c r="AB58" s="565"/>
      <c r="AC58" s="563"/>
      <c r="AD58" s="639"/>
      <c r="AE58" s="563"/>
      <c r="AF58" s="565"/>
      <c r="AG58" s="565"/>
      <c r="AH58" s="563"/>
      <c r="AI58" s="639"/>
      <c r="AJ58" s="563"/>
      <c r="AK58" s="565"/>
      <c r="AL58" s="565"/>
      <c r="AM58" s="563"/>
      <c r="AN58" s="639"/>
      <c r="AO58" s="563"/>
      <c r="AP58" s="565"/>
      <c r="AQ58" s="565"/>
      <c r="AR58" s="563"/>
      <c r="AS58" s="639"/>
      <c r="AT58" s="563"/>
      <c r="AU58" s="565"/>
      <c r="AV58" s="565"/>
      <c r="AW58" s="563"/>
      <c r="AX58" s="639"/>
      <c r="AZ58" s="416" t="e">
        <f t="shared" si="27"/>
        <v>#N/A</v>
      </c>
      <c r="BA58" s="639"/>
    </row>
    <row r="59" spans="2:53">
      <c r="B59" s="649"/>
      <c r="C59" s="380">
        <v>13</v>
      </c>
      <c r="D59" s="225"/>
      <c r="E59" s="565"/>
      <c r="F59" s="563"/>
      <c r="G59" s="564"/>
      <c r="H59" s="657"/>
      <c r="I59" s="381" t="str">
        <f t="shared" si="24"/>
        <v>-</v>
      </c>
      <c r="J59" s="381" t="str">
        <f t="shared" si="25"/>
        <v>-</v>
      </c>
      <c r="K59" s="199" t="str">
        <f t="shared" si="26"/>
        <v>-</v>
      </c>
      <c r="L59" s="659"/>
      <c r="M59" s="418" t="e">
        <f>RANK(K59, K$47:$K$61)</f>
        <v>#VALUE!</v>
      </c>
      <c r="N59" s="643"/>
      <c r="O59" s="643"/>
      <c r="P59" s="563"/>
      <c r="Q59" s="565"/>
      <c r="R59" s="565"/>
      <c r="S59" s="563"/>
      <c r="T59" s="639"/>
      <c r="U59" s="563"/>
      <c r="V59" s="565"/>
      <c r="W59" s="565"/>
      <c r="X59" s="563"/>
      <c r="Y59" s="639"/>
      <c r="Z59" s="563"/>
      <c r="AA59" s="565"/>
      <c r="AB59" s="565"/>
      <c r="AC59" s="563"/>
      <c r="AD59" s="639"/>
      <c r="AE59" s="563"/>
      <c r="AF59" s="565"/>
      <c r="AG59" s="565"/>
      <c r="AH59" s="563"/>
      <c r="AI59" s="639"/>
      <c r="AJ59" s="563"/>
      <c r="AK59" s="565"/>
      <c r="AL59" s="565"/>
      <c r="AM59" s="563"/>
      <c r="AN59" s="639"/>
      <c r="AO59" s="563"/>
      <c r="AP59" s="565"/>
      <c r="AQ59" s="565"/>
      <c r="AR59" s="563"/>
      <c r="AS59" s="639"/>
      <c r="AT59" s="563"/>
      <c r="AU59" s="565"/>
      <c r="AV59" s="565"/>
      <c r="AW59" s="563"/>
      <c r="AX59" s="639"/>
      <c r="AZ59" s="416" t="e">
        <f t="shared" si="27"/>
        <v>#N/A</v>
      </c>
      <c r="BA59" s="639"/>
    </row>
    <row r="60" spans="2:53">
      <c r="B60" s="649"/>
      <c r="C60" s="380">
        <v>14</v>
      </c>
      <c r="D60" s="225"/>
      <c r="E60" s="565"/>
      <c r="F60" s="563"/>
      <c r="G60" s="564"/>
      <c r="H60" s="657"/>
      <c r="I60" s="381" t="str">
        <f t="shared" si="24"/>
        <v>-</v>
      </c>
      <c r="J60" s="381" t="str">
        <f t="shared" si="25"/>
        <v>-</v>
      </c>
      <c r="K60" s="199" t="str">
        <f t="shared" si="26"/>
        <v>-</v>
      </c>
      <c r="L60" s="659"/>
      <c r="M60" s="418" t="e">
        <f>RANK(K60, K$47:$K$61)</f>
        <v>#VALUE!</v>
      </c>
      <c r="N60" s="643"/>
      <c r="O60" s="643"/>
      <c r="P60" s="563"/>
      <c r="Q60" s="565"/>
      <c r="R60" s="565"/>
      <c r="S60" s="563"/>
      <c r="T60" s="639"/>
      <c r="U60" s="563"/>
      <c r="V60" s="565"/>
      <c r="W60" s="565"/>
      <c r="X60" s="563"/>
      <c r="Y60" s="639"/>
      <c r="Z60" s="563"/>
      <c r="AA60" s="565"/>
      <c r="AB60" s="565"/>
      <c r="AC60" s="563"/>
      <c r="AD60" s="639"/>
      <c r="AE60" s="563"/>
      <c r="AF60" s="565"/>
      <c r="AG60" s="565"/>
      <c r="AH60" s="563"/>
      <c r="AI60" s="639"/>
      <c r="AJ60" s="563"/>
      <c r="AK60" s="565"/>
      <c r="AL60" s="565"/>
      <c r="AM60" s="563"/>
      <c r="AN60" s="639"/>
      <c r="AO60" s="563"/>
      <c r="AP60" s="565"/>
      <c r="AQ60" s="565"/>
      <c r="AR60" s="563"/>
      <c r="AS60" s="639"/>
      <c r="AT60" s="563"/>
      <c r="AU60" s="565"/>
      <c r="AV60" s="565"/>
      <c r="AW60" s="563"/>
      <c r="AX60" s="639"/>
      <c r="AZ60" s="416" t="e">
        <f t="shared" si="27"/>
        <v>#N/A</v>
      </c>
      <c r="BA60" s="639"/>
    </row>
    <row r="61" spans="2:53">
      <c r="B61" s="649"/>
      <c r="C61" s="380">
        <v>15</v>
      </c>
      <c r="D61" s="225"/>
      <c r="E61" s="565"/>
      <c r="F61" s="563"/>
      <c r="G61" s="564"/>
      <c r="H61" s="714"/>
      <c r="I61" s="380"/>
      <c r="J61" s="380"/>
      <c r="K61" s="380"/>
      <c r="L61" s="660"/>
      <c r="M61" s="418" t="e">
        <f>RANK(K61, K$47:$K$61)</f>
        <v>#N/A</v>
      </c>
      <c r="N61" s="643"/>
      <c r="O61" s="643"/>
      <c r="P61" s="563"/>
      <c r="Q61" s="565"/>
      <c r="R61" s="565"/>
      <c r="S61" s="563"/>
      <c r="T61" s="640"/>
      <c r="U61" s="563"/>
      <c r="V61" s="565"/>
      <c r="W61" s="565"/>
      <c r="X61" s="563"/>
      <c r="Y61" s="640"/>
      <c r="Z61" s="563"/>
      <c r="AA61" s="565"/>
      <c r="AB61" s="565"/>
      <c r="AC61" s="563"/>
      <c r="AD61" s="640"/>
      <c r="AE61" s="563"/>
      <c r="AF61" s="565"/>
      <c r="AG61" s="565"/>
      <c r="AH61" s="563"/>
      <c r="AI61" s="640"/>
      <c r="AJ61" s="563"/>
      <c r="AK61" s="565"/>
      <c r="AL61" s="565"/>
      <c r="AM61" s="563"/>
      <c r="AN61" s="640"/>
      <c r="AO61" s="563"/>
      <c r="AP61" s="565"/>
      <c r="AQ61" s="565"/>
      <c r="AR61" s="563"/>
      <c r="AS61" s="640"/>
      <c r="AT61" s="563"/>
      <c r="AU61" s="565"/>
      <c r="AV61" s="565"/>
      <c r="AW61" s="563"/>
      <c r="AX61" s="640"/>
      <c r="AZ61" s="416" t="e">
        <f t="shared" si="27"/>
        <v>#N/A</v>
      </c>
      <c r="BA61" s="640"/>
    </row>
    <row r="62" spans="2:53" ht="15.75">
      <c r="B62" s="671" t="s">
        <v>162</v>
      </c>
      <c r="C62" s="672"/>
      <c r="D62" s="672"/>
      <c r="E62" s="672"/>
      <c r="F62" s="672"/>
      <c r="G62" s="672"/>
      <c r="H62" s="673"/>
      <c r="I62" s="207"/>
      <c r="J62" s="207"/>
      <c r="K62" s="207"/>
      <c r="L62" s="207"/>
      <c r="M62" s="206"/>
      <c r="N62" s="645" t="s">
        <v>156</v>
      </c>
      <c r="O62" s="645" t="s">
        <v>105</v>
      </c>
      <c r="P62" s="670">
        <f>P42+7</f>
        <v>46287</v>
      </c>
      <c r="Q62" s="649"/>
      <c r="R62" s="649"/>
      <c r="S62" s="649"/>
      <c r="T62" s="649"/>
      <c r="U62" s="667">
        <f>P62+1</f>
        <v>46288</v>
      </c>
      <c r="V62" s="668"/>
      <c r="W62" s="668"/>
      <c r="X62" s="668"/>
      <c r="Y62" s="669"/>
      <c r="Z62" s="667">
        <f>U62+1</f>
        <v>46289</v>
      </c>
      <c r="AA62" s="668"/>
      <c r="AB62" s="668"/>
      <c r="AC62" s="668"/>
      <c r="AD62" s="669"/>
      <c r="AE62" s="667">
        <f>Z62+1</f>
        <v>46290</v>
      </c>
      <c r="AF62" s="668"/>
      <c r="AG62" s="668"/>
      <c r="AH62" s="668"/>
      <c r="AI62" s="669"/>
      <c r="AJ62" s="667">
        <f>AE62+1</f>
        <v>46291</v>
      </c>
      <c r="AK62" s="668"/>
      <c r="AL62" s="668"/>
      <c r="AM62" s="668"/>
      <c r="AN62" s="669"/>
      <c r="AO62" s="667">
        <f>AJ62+1</f>
        <v>46292</v>
      </c>
      <c r="AP62" s="668"/>
      <c r="AQ62" s="668"/>
      <c r="AR62" s="668"/>
      <c r="AS62" s="669"/>
      <c r="AT62" s="667">
        <f>AO62+1</f>
        <v>46293</v>
      </c>
      <c r="AU62" s="668"/>
      <c r="AV62" s="668"/>
      <c r="AW62" s="668"/>
      <c r="AX62" s="669"/>
    </row>
    <row r="63" spans="2:53" ht="15.75">
      <c r="B63" s="674"/>
      <c r="C63" s="674"/>
      <c r="D63" s="674"/>
      <c r="E63" s="674"/>
      <c r="F63" s="674"/>
      <c r="G63" s="674"/>
      <c r="H63" s="674"/>
      <c r="I63" s="204"/>
      <c r="J63" s="204"/>
      <c r="K63" s="204"/>
      <c r="L63" s="204"/>
      <c r="M63" s="205"/>
      <c r="N63" s="647"/>
      <c r="O63" s="647"/>
      <c r="P63" s="670" t="s">
        <v>317</v>
      </c>
      <c r="Q63" s="649"/>
      <c r="R63" s="649"/>
      <c r="S63" s="649"/>
      <c r="T63" s="649"/>
      <c r="U63" s="670" t="s">
        <v>318</v>
      </c>
      <c r="V63" s="649"/>
      <c r="W63" s="649"/>
      <c r="X63" s="649"/>
      <c r="Y63" s="649"/>
      <c r="Z63" s="670" t="s">
        <v>319</v>
      </c>
      <c r="AA63" s="649"/>
      <c r="AB63" s="649"/>
      <c r="AC63" s="649"/>
      <c r="AD63" s="649"/>
      <c r="AE63" s="670" t="s">
        <v>320</v>
      </c>
      <c r="AF63" s="649"/>
      <c r="AG63" s="649"/>
      <c r="AH63" s="649"/>
      <c r="AI63" s="649"/>
      <c r="AJ63" s="670" t="s">
        <v>321</v>
      </c>
      <c r="AK63" s="649"/>
      <c r="AL63" s="649"/>
      <c r="AM63" s="649"/>
      <c r="AN63" s="649"/>
      <c r="AO63" s="670" t="s">
        <v>322</v>
      </c>
      <c r="AP63" s="649"/>
      <c r="AQ63" s="649"/>
      <c r="AR63" s="649"/>
      <c r="AS63" s="649"/>
      <c r="AT63" s="670" t="s">
        <v>323</v>
      </c>
      <c r="AU63" s="649"/>
      <c r="AV63" s="649"/>
      <c r="AW63" s="649"/>
      <c r="AX63" s="649"/>
    </row>
    <row r="64" spans="2:53">
      <c r="B64" s="643" t="s">
        <v>400</v>
      </c>
      <c r="C64" s="643" t="s">
        <v>523</v>
      </c>
      <c r="D64" s="643"/>
      <c r="E64" s="643" t="s">
        <v>524</v>
      </c>
      <c r="F64" s="643"/>
      <c r="G64" s="643"/>
      <c r="H64" s="675" t="s">
        <v>525</v>
      </c>
      <c r="I64" s="643" t="s">
        <v>526</v>
      </c>
      <c r="J64" s="643"/>
      <c r="K64" s="643"/>
      <c r="L64" s="675" t="s">
        <v>359</v>
      </c>
      <c r="M64" s="645" t="s">
        <v>527</v>
      </c>
      <c r="N64" s="643"/>
      <c r="O64" s="643" t="s">
        <v>365</v>
      </c>
      <c r="P64" s="661" t="s">
        <v>361</v>
      </c>
      <c r="Q64" s="662"/>
      <c r="R64" s="662"/>
      <c r="S64" s="663"/>
      <c r="T64" s="643" t="s">
        <v>359</v>
      </c>
      <c r="U64" s="661" t="s">
        <v>361</v>
      </c>
      <c r="V64" s="662"/>
      <c r="W64" s="662"/>
      <c r="X64" s="663"/>
      <c r="Y64" s="643" t="s">
        <v>359</v>
      </c>
      <c r="Z64" s="661" t="s">
        <v>361</v>
      </c>
      <c r="AA64" s="662"/>
      <c r="AB64" s="662"/>
      <c r="AC64" s="663"/>
      <c r="AD64" s="643" t="s">
        <v>359</v>
      </c>
      <c r="AE64" s="661" t="s">
        <v>361</v>
      </c>
      <c r="AF64" s="662"/>
      <c r="AG64" s="662"/>
      <c r="AH64" s="663"/>
      <c r="AI64" s="643" t="s">
        <v>359</v>
      </c>
      <c r="AJ64" s="661" t="s">
        <v>361</v>
      </c>
      <c r="AK64" s="662"/>
      <c r="AL64" s="662"/>
      <c r="AM64" s="663"/>
      <c r="AN64" s="643" t="s">
        <v>359</v>
      </c>
      <c r="AO64" s="661" t="s">
        <v>361</v>
      </c>
      <c r="AP64" s="662"/>
      <c r="AQ64" s="662"/>
      <c r="AR64" s="663"/>
      <c r="AS64" s="643" t="s">
        <v>359</v>
      </c>
      <c r="AT64" s="661" t="s">
        <v>361</v>
      </c>
      <c r="AU64" s="662"/>
      <c r="AV64" s="662"/>
      <c r="AW64" s="663"/>
      <c r="AX64" s="643" t="s">
        <v>359</v>
      </c>
      <c r="BA64" s="643" t="s">
        <v>359</v>
      </c>
    </row>
    <row r="65" spans="2:53">
      <c r="B65" s="643"/>
      <c r="C65" s="643"/>
      <c r="D65" s="643"/>
      <c r="E65" s="643" t="s">
        <v>529</v>
      </c>
      <c r="F65" s="643"/>
      <c r="G65" s="643"/>
      <c r="H65" s="676"/>
      <c r="I65" s="643" t="s">
        <v>529</v>
      </c>
      <c r="J65" s="643"/>
      <c r="K65" s="643"/>
      <c r="L65" s="676"/>
      <c r="M65" s="646"/>
      <c r="N65" s="643"/>
      <c r="O65" s="643"/>
      <c r="P65" s="661" t="s">
        <v>367</v>
      </c>
      <c r="Q65" s="662"/>
      <c r="R65" s="662"/>
      <c r="S65" s="663"/>
      <c r="T65" s="643"/>
      <c r="U65" s="661" t="s">
        <v>367</v>
      </c>
      <c r="V65" s="662"/>
      <c r="W65" s="662"/>
      <c r="X65" s="663"/>
      <c r="Y65" s="643"/>
      <c r="Z65" s="661" t="s">
        <v>367</v>
      </c>
      <c r="AA65" s="662"/>
      <c r="AB65" s="662"/>
      <c r="AC65" s="663"/>
      <c r="AD65" s="643"/>
      <c r="AE65" s="661" t="s">
        <v>367</v>
      </c>
      <c r="AF65" s="662"/>
      <c r="AG65" s="662"/>
      <c r="AH65" s="663"/>
      <c r="AI65" s="643"/>
      <c r="AJ65" s="661" t="s">
        <v>367</v>
      </c>
      <c r="AK65" s="662"/>
      <c r="AL65" s="662"/>
      <c r="AM65" s="663"/>
      <c r="AN65" s="643"/>
      <c r="AO65" s="661" t="s">
        <v>367</v>
      </c>
      <c r="AP65" s="662"/>
      <c r="AQ65" s="662"/>
      <c r="AR65" s="663"/>
      <c r="AS65" s="643"/>
      <c r="AT65" s="661" t="s">
        <v>367</v>
      </c>
      <c r="AU65" s="662"/>
      <c r="AV65" s="662"/>
      <c r="AW65" s="663"/>
      <c r="AX65" s="643"/>
      <c r="BA65" s="643"/>
    </row>
    <row r="66" spans="2:53">
      <c r="B66" s="643"/>
      <c r="C66" s="643"/>
      <c r="D66" s="643"/>
      <c r="E66" s="378" t="s">
        <v>530</v>
      </c>
      <c r="F66" s="378" t="s">
        <v>531</v>
      </c>
      <c r="G66" s="378" t="s">
        <v>532</v>
      </c>
      <c r="H66" s="677"/>
      <c r="I66" s="378" t="s">
        <v>530</v>
      </c>
      <c r="J66" s="378" t="s">
        <v>531</v>
      </c>
      <c r="K66" s="378" t="s">
        <v>532</v>
      </c>
      <c r="L66" s="677"/>
      <c r="M66" s="647"/>
      <c r="N66" s="643"/>
      <c r="O66" s="643"/>
      <c r="P66" s="378" t="s">
        <v>368</v>
      </c>
      <c r="Q66" s="378" t="s">
        <v>369</v>
      </c>
      <c r="R66" s="378" t="s">
        <v>370</v>
      </c>
      <c r="S66" s="378" t="s">
        <v>360</v>
      </c>
      <c r="T66" s="643"/>
      <c r="U66" s="378" t="s">
        <v>368</v>
      </c>
      <c r="V66" s="378" t="s">
        <v>369</v>
      </c>
      <c r="W66" s="378" t="s">
        <v>370</v>
      </c>
      <c r="X66" s="378" t="s">
        <v>360</v>
      </c>
      <c r="Y66" s="643"/>
      <c r="Z66" s="378" t="s">
        <v>368</v>
      </c>
      <c r="AA66" s="378" t="s">
        <v>369</v>
      </c>
      <c r="AB66" s="378" t="s">
        <v>370</v>
      </c>
      <c r="AC66" s="378" t="s">
        <v>360</v>
      </c>
      <c r="AD66" s="643"/>
      <c r="AE66" s="378" t="s">
        <v>368</v>
      </c>
      <c r="AF66" s="378" t="s">
        <v>369</v>
      </c>
      <c r="AG66" s="378" t="s">
        <v>370</v>
      </c>
      <c r="AH66" s="378" t="s">
        <v>360</v>
      </c>
      <c r="AI66" s="643"/>
      <c r="AJ66" s="378" t="s">
        <v>368</v>
      </c>
      <c r="AK66" s="378" t="s">
        <v>369</v>
      </c>
      <c r="AL66" s="378" t="s">
        <v>370</v>
      </c>
      <c r="AM66" s="378" t="s">
        <v>360</v>
      </c>
      <c r="AN66" s="643"/>
      <c r="AO66" s="378" t="s">
        <v>368</v>
      </c>
      <c r="AP66" s="378" t="s">
        <v>369</v>
      </c>
      <c r="AQ66" s="378" t="s">
        <v>370</v>
      </c>
      <c r="AR66" s="378" t="s">
        <v>360</v>
      </c>
      <c r="AS66" s="643"/>
      <c r="AT66" s="378" t="s">
        <v>368</v>
      </c>
      <c r="AU66" s="378" t="s">
        <v>369</v>
      </c>
      <c r="AV66" s="378" t="s">
        <v>370</v>
      </c>
      <c r="AW66" s="378" t="s">
        <v>360</v>
      </c>
      <c r="AX66" s="643"/>
      <c r="AZ66" s="367" t="s">
        <v>360</v>
      </c>
      <c r="BA66" s="643"/>
    </row>
    <row r="67" spans="2:53">
      <c r="B67" s="643" t="s">
        <v>414</v>
      </c>
      <c r="C67" s="380">
        <v>1</v>
      </c>
      <c r="D67" s="225"/>
      <c r="E67" s="565"/>
      <c r="F67" s="563"/>
      <c r="G67" s="564"/>
      <c r="H67" s="656" t="e">
        <f>AVERAGE(G67:G81)</f>
        <v>#DIV/0!</v>
      </c>
      <c r="I67" s="381" t="str">
        <f t="shared" ref="I67:I80" si="29">IFERROR(AVERAGE(P67,U67,Z67,AE67,AJ67,AO67,AT67),"-")</f>
        <v>-</v>
      </c>
      <c r="J67" s="381" t="str">
        <f t="shared" ref="J67:J80" si="30">IFERROR(AVERAGE(Q67,V67,AA67,AF67,AK67,AP67,AU67),"-")</f>
        <v>-</v>
      </c>
      <c r="K67" s="199" t="str">
        <f t="shared" ref="K67:K80" si="31">IFERROR(AVERAGE(R67,W67,AB67,AG67,AL67,AQ67,AV67),"-")</f>
        <v>-</v>
      </c>
      <c r="L67" s="658" t="str">
        <f>IFERROR(AVERAGE(K67:K81),"-")</f>
        <v>-</v>
      </c>
      <c r="M67" s="384" t="e">
        <f>RANK(K67, K$67:$K$81)</f>
        <v>#VALUE!</v>
      </c>
      <c r="N67" s="643"/>
      <c r="O67" s="643"/>
      <c r="P67" s="563"/>
      <c r="Q67" s="565"/>
      <c r="R67" s="565"/>
      <c r="S67" s="563"/>
      <c r="T67" s="638"/>
      <c r="U67" s="563"/>
      <c r="V67" s="565"/>
      <c r="W67" s="565"/>
      <c r="X67" s="563"/>
      <c r="Y67" s="638"/>
      <c r="Z67" s="563"/>
      <c r="AA67" s="565"/>
      <c r="AB67" s="565"/>
      <c r="AC67" s="563"/>
      <c r="AD67" s="638"/>
      <c r="AE67" s="563"/>
      <c r="AF67" s="565"/>
      <c r="AG67" s="565"/>
      <c r="AH67" s="563"/>
      <c r="AI67" s="638"/>
      <c r="AJ67" s="563"/>
      <c r="AK67" s="565"/>
      <c r="AL67" s="565"/>
      <c r="AM67" s="563"/>
      <c r="AN67" s="638"/>
      <c r="AO67" s="563"/>
      <c r="AP67" s="565"/>
      <c r="AQ67" s="565"/>
      <c r="AR67" s="563"/>
      <c r="AS67" s="638"/>
      <c r="AT67" s="563"/>
      <c r="AU67" s="565"/>
      <c r="AV67" s="565"/>
      <c r="AW67" s="563"/>
      <c r="AX67" s="638"/>
      <c r="AZ67" s="368" t="e">
        <f t="shared" ref="AZ67:AZ81" si="32">RANK(AY67, AY$67:AY$81)</f>
        <v>#N/A</v>
      </c>
      <c r="BA67" s="638" t="e">
        <f t="shared" ref="BA67" si="33">AVERAGE(AY67:AY81)</f>
        <v>#DIV/0!</v>
      </c>
    </row>
    <row r="68" spans="2:53">
      <c r="B68" s="649"/>
      <c r="C68" s="380">
        <v>2</v>
      </c>
      <c r="D68" s="225"/>
      <c r="E68" s="565"/>
      <c r="F68" s="563"/>
      <c r="G68" s="564"/>
      <c r="H68" s="657"/>
      <c r="I68" s="381" t="str">
        <f t="shared" si="29"/>
        <v>-</v>
      </c>
      <c r="J68" s="381" t="str">
        <f t="shared" si="30"/>
        <v>-</v>
      </c>
      <c r="K68" s="199" t="str">
        <f t="shared" si="31"/>
        <v>-</v>
      </c>
      <c r="L68" s="659"/>
      <c r="M68" s="384" t="e">
        <f>RANK(K68, K$67:$K$81)</f>
        <v>#VALUE!</v>
      </c>
      <c r="N68" s="643"/>
      <c r="O68" s="643"/>
      <c r="P68" s="563"/>
      <c r="Q68" s="565"/>
      <c r="R68" s="565"/>
      <c r="S68" s="563"/>
      <c r="T68" s="639"/>
      <c r="U68" s="563"/>
      <c r="V68" s="565"/>
      <c r="W68" s="565"/>
      <c r="X68" s="563"/>
      <c r="Y68" s="639"/>
      <c r="Z68" s="563"/>
      <c r="AA68" s="565"/>
      <c r="AB68" s="565"/>
      <c r="AC68" s="563"/>
      <c r="AD68" s="639"/>
      <c r="AE68" s="563"/>
      <c r="AF68" s="565"/>
      <c r="AG68" s="565"/>
      <c r="AH68" s="563"/>
      <c r="AI68" s="639"/>
      <c r="AJ68" s="563"/>
      <c r="AK68" s="565"/>
      <c r="AL68" s="565"/>
      <c r="AM68" s="563"/>
      <c r="AN68" s="639"/>
      <c r="AO68" s="563"/>
      <c r="AP68" s="565"/>
      <c r="AQ68" s="565"/>
      <c r="AR68" s="563"/>
      <c r="AS68" s="639"/>
      <c r="AT68" s="563"/>
      <c r="AU68" s="565"/>
      <c r="AV68" s="565"/>
      <c r="AW68" s="563"/>
      <c r="AX68" s="639"/>
      <c r="AZ68" s="368" t="e">
        <f t="shared" si="32"/>
        <v>#N/A</v>
      </c>
      <c r="BA68" s="639"/>
    </row>
    <row r="69" spans="2:53">
      <c r="B69" s="649"/>
      <c r="C69" s="380">
        <v>3</v>
      </c>
      <c r="D69" s="225"/>
      <c r="E69" s="565"/>
      <c r="F69" s="563"/>
      <c r="G69" s="564"/>
      <c r="H69" s="657"/>
      <c r="I69" s="381" t="str">
        <f t="shared" si="29"/>
        <v>-</v>
      </c>
      <c r="J69" s="381" t="str">
        <f t="shared" si="30"/>
        <v>-</v>
      </c>
      <c r="K69" s="199" t="str">
        <f t="shared" si="31"/>
        <v>-</v>
      </c>
      <c r="L69" s="659"/>
      <c r="M69" s="384" t="e">
        <f>RANK(K69, K$67:$K$81)</f>
        <v>#VALUE!</v>
      </c>
      <c r="N69" s="643"/>
      <c r="O69" s="643"/>
      <c r="P69" s="563"/>
      <c r="Q69" s="565"/>
      <c r="R69" s="565"/>
      <c r="S69" s="563"/>
      <c r="T69" s="639"/>
      <c r="U69" s="563"/>
      <c r="V69" s="565"/>
      <c r="W69" s="565"/>
      <c r="X69" s="563"/>
      <c r="Y69" s="639"/>
      <c r="Z69" s="563"/>
      <c r="AA69" s="565"/>
      <c r="AB69" s="565"/>
      <c r="AC69" s="563"/>
      <c r="AD69" s="639"/>
      <c r="AE69" s="563"/>
      <c r="AF69" s="565"/>
      <c r="AG69" s="565"/>
      <c r="AH69" s="563"/>
      <c r="AI69" s="639"/>
      <c r="AJ69" s="563"/>
      <c r="AK69" s="565"/>
      <c r="AL69" s="565"/>
      <c r="AM69" s="563"/>
      <c r="AN69" s="639"/>
      <c r="AO69" s="563"/>
      <c r="AP69" s="565"/>
      <c r="AQ69" s="565"/>
      <c r="AR69" s="563"/>
      <c r="AS69" s="639"/>
      <c r="AT69" s="563"/>
      <c r="AU69" s="565"/>
      <c r="AV69" s="565"/>
      <c r="AW69" s="563"/>
      <c r="AX69" s="639"/>
      <c r="AZ69" s="368" t="e">
        <f t="shared" si="32"/>
        <v>#N/A</v>
      </c>
      <c r="BA69" s="639"/>
    </row>
    <row r="70" spans="2:53">
      <c r="B70" s="649"/>
      <c r="C70" s="380">
        <v>4</v>
      </c>
      <c r="D70" s="225"/>
      <c r="E70" s="565"/>
      <c r="F70" s="563"/>
      <c r="G70" s="564"/>
      <c r="H70" s="657"/>
      <c r="I70" s="381" t="str">
        <f t="shared" si="29"/>
        <v>-</v>
      </c>
      <c r="J70" s="381" t="str">
        <f t="shared" si="30"/>
        <v>-</v>
      </c>
      <c r="K70" s="199" t="str">
        <f t="shared" si="31"/>
        <v>-</v>
      </c>
      <c r="L70" s="659"/>
      <c r="M70" s="384" t="e">
        <f>RANK(K70, K$67:$K$81)</f>
        <v>#VALUE!</v>
      </c>
      <c r="N70" s="643"/>
      <c r="O70" s="643"/>
      <c r="P70" s="563"/>
      <c r="Q70" s="565"/>
      <c r="R70" s="565"/>
      <c r="S70" s="563"/>
      <c r="T70" s="639"/>
      <c r="U70" s="563"/>
      <c r="V70" s="565"/>
      <c r="W70" s="565"/>
      <c r="X70" s="563"/>
      <c r="Y70" s="639"/>
      <c r="Z70" s="563"/>
      <c r="AA70" s="565"/>
      <c r="AB70" s="565"/>
      <c r="AC70" s="563"/>
      <c r="AD70" s="639"/>
      <c r="AE70" s="563"/>
      <c r="AF70" s="565"/>
      <c r="AG70" s="565"/>
      <c r="AH70" s="563"/>
      <c r="AI70" s="639"/>
      <c r="AJ70" s="563"/>
      <c r="AK70" s="565"/>
      <c r="AL70" s="565"/>
      <c r="AM70" s="563"/>
      <c r="AN70" s="639"/>
      <c r="AO70" s="563"/>
      <c r="AP70" s="565"/>
      <c r="AQ70" s="565"/>
      <c r="AR70" s="563"/>
      <c r="AS70" s="639"/>
      <c r="AT70" s="563"/>
      <c r="AU70" s="565"/>
      <c r="AV70" s="565"/>
      <c r="AW70" s="563"/>
      <c r="AX70" s="639"/>
      <c r="AZ70" s="368" t="e">
        <f t="shared" si="32"/>
        <v>#N/A</v>
      </c>
      <c r="BA70" s="639"/>
    </row>
    <row r="71" spans="2:53">
      <c r="B71" s="649"/>
      <c r="C71" s="380">
        <v>5</v>
      </c>
      <c r="D71" s="225"/>
      <c r="E71" s="565"/>
      <c r="F71" s="563"/>
      <c r="G71" s="564"/>
      <c r="H71" s="657"/>
      <c r="I71" s="381" t="str">
        <f t="shared" si="29"/>
        <v>-</v>
      </c>
      <c r="J71" s="381" t="str">
        <f t="shared" si="30"/>
        <v>-</v>
      </c>
      <c r="K71" s="199" t="str">
        <f t="shared" si="31"/>
        <v>-</v>
      </c>
      <c r="L71" s="659"/>
      <c r="M71" s="384" t="e">
        <f>RANK(K71, K$67:$K$81)</f>
        <v>#VALUE!</v>
      </c>
      <c r="N71" s="643"/>
      <c r="O71" s="643"/>
      <c r="P71" s="563"/>
      <c r="Q71" s="565"/>
      <c r="R71" s="565"/>
      <c r="S71" s="563"/>
      <c r="T71" s="639"/>
      <c r="U71" s="563"/>
      <c r="V71" s="565"/>
      <c r="W71" s="565"/>
      <c r="X71" s="563"/>
      <c r="Y71" s="639"/>
      <c r="Z71" s="563"/>
      <c r="AA71" s="565"/>
      <c r="AB71" s="565"/>
      <c r="AC71" s="563"/>
      <c r="AD71" s="639"/>
      <c r="AE71" s="563"/>
      <c r="AF71" s="565"/>
      <c r="AG71" s="565"/>
      <c r="AH71" s="563"/>
      <c r="AI71" s="639"/>
      <c r="AJ71" s="563"/>
      <c r="AK71" s="565"/>
      <c r="AL71" s="565"/>
      <c r="AM71" s="563"/>
      <c r="AN71" s="639"/>
      <c r="AO71" s="563"/>
      <c r="AP71" s="565"/>
      <c r="AQ71" s="565"/>
      <c r="AR71" s="563"/>
      <c r="AS71" s="639"/>
      <c r="AT71" s="563"/>
      <c r="AU71" s="565"/>
      <c r="AV71" s="565"/>
      <c r="AW71" s="563"/>
      <c r="AX71" s="639"/>
      <c r="AZ71" s="368" t="e">
        <f t="shared" si="32"/>
        <v>#N/A</v>
      </c>
      <c r="BA71" s="639"/>
    </row>
    <row r="72" spans="2:53">
      <c r="B72" s="649"/>
      <c r="C72" s="380">
        <v>6</v>
      </c>
      <c r="D72" s="225"/>
      <c r="E72" s="565"/>
      <c r="F72" s="563"/>
      <c r="G72" s="564"/>
      <c r="H72" s="657"/>
      <c r="I72" s="381" t="str">
        <f t="shared" si="29"/>
        <v>-</v>
      </c>
      <c r="J72" s="381" t="str">
        <f t="shared" si="30"/>
        <v>-</v>
      </c>
      <c r="K72" s="199" t="str">
        <f t="shared" si="31"/>
        <v>-</v>
      </c>
      <c r="L72" s="659"/>
      <c r="M72" s="384" t="e">
        <f>RANK(K72, K$67:$K$81)</f>
        <v>#VALUE!</v>
      </c>
      <c r="N72" s="643"/>
      <c r="O72" s="643"/>
      <c r="P72" s="563"/>
      <c r="Q72" s="565"/>
      <c r="R72" s="565"/>
      <c r="S72" s="563"/>
      <c r="T72" s="639"/>
      <c r="U72" s="563"/>
      <c r="V72" s="565"/>
      <c r="W72" s="565"/>
      <c r="X72" s="563"/>
      <c r="Y72" s="639"/>
      <c r="Z72" s="563"/>
      <c r="AA72" s="565"/>
      <c r="AB72" s="565"/>
      <c r="AC72" s="563"/>
      <c r="AD72" s="639"/>
      <c r="AE72" s="563"/>
      <c r="AF72" s="565"/>
      <c r="AG72" s="565"/>
      <c r="AH72" s="563"/>
      <c r="AI72" s="639"/>
      <c r="AJ72" s="563"/>
      <c r="AK72" s="565"/>
      <c r="AL72" s="565"/>
      <c r="AM72" s="563"/>
      <c r="AN72" s="639"/>
      <c r="AO72" s="563"/>
      <c r="AP72" s="565"/>
      <c r="AQ72" s="565"/>
      <c r="AR72" s="563"/>
      <c r="AS72" s="639"/>
      <c r="AT72" s="563"/>
      <c r="AU72" s="565"/>
      <c r="AV72" s="565"/>
      <c r="AW72" s="563"/>
      <c r="AX72" s="639"/>
      <c r="AZ72" s="368" t="e">
        <f t="shared" si="32"/>
        <v>#N/A</v>
      </c>
      <c r="BA72" s="639"/>
    </row>
    <row r="73" spans="2:53">
      <c r="B73" s="649"/>
      <c r="C73" s="380">
        <v>7</v>
      </c>
      <c r="D73" s="225"/>
      <c r="E73" s="565"/>
      <c r="F73" s="563"/>
      <c r="G73" s="564"/>
      <c r="H73" s="657"/>
      <c r="I73" s="381" t="str">
        <f t="shared" si="29"/>
        <v>-</v>
      </c>
      <c r="J73" s="381" t="str">
        <f t="shared" si="30"/>
        <v>-</v>
      </c>
      <c r="K73" s="199" t="str">
        <f t="shared" si="31"/>
        <v>-</v>
      </c>
      <c r="L73" s="659"/>
      <c r="M73" s="384" t="e">
        <f>RANK(K73, K$67:$K$81)</f>
        <v>#VALUE!</v>
      </c>
      <c r="N73" s="643"/>
      <c r="O73" s="643"/>
      <c r="P73" s="563"/>
      <c r="Q73" s="565"/>
      <c r="R73" s="565"/>
      <c r="S73" s="563"/>
      <c r="T73" s="639"/>
      <c r="U73" s="563"/>
      <c r="V73" s="565"/>
      <c r="W73" s="565"/>
      <c r="X73" s="563"/>
      <c r="Y73" s="639"/>
      <c r="Z73" s="563"/>
      <c r="AA73" s="565"/>
      <c r="AB73" s="565"/>
      <c r="AC73" s="563"/>
      <c r="AD73" s="639"/>
      <c r="AE73" s="563"/>
      <c r="AF73" s="565"/>
      <c r="AG73" s="565"/>
      <c r="AH73" s="563"/>
      <c r="AI73" s="639"/>
      <c r="AJ73" s="563"/>
      <c r="AK73" s="565"/>
      <c r="AL73" s="565"/>
      <c r="AM73" s="563"/>
      <c r="AN73" s="639"/>
      <c r="AO73" s="563"/>
      <c r="AP73" s="565"/>
      <c r="AQ73" s="565"/>
      <c r="AR73" s="563"/>
      <c r="AS73" s="639"/>
      <c r="AT73" s="563"/>
      <c r="AU73" s="565"/>
      <c r="AV73" s="565"/>
      <c r="AW73" s="563"/>
      <c r="AX73" s="639"/>
      <c r="AZ73" s="368" t="e">
        <f t="shared" si="32"/>
        <v>#N/A</v>
      </c>
      <c r="BA73" s="639"/>
    </row>
    <row r="74" spans="2:53">
      <c r="B74" s="649"/>
      <c r="C74" s="380">
        <v>8</v>
      </c>
      <c r="D74" s="225"/>
      <c r="E74" s="565"/>
      <c r="F74" s="563"/>
      <c r="G74" s="564"/>
      <c r="H74" s="657"/>
      <c r="I74" s="381" t="str">
        <f t="shared" si="29"/>
        <v>-</v>
      </c>
      <c r="J74" s="381" t="str">
        <f t="shared" si="30"/>
        <v>-</v>
      </c>
      <c r="K74" s="199" t="str">
        <f t="shared" si="31"/>
        <v>-</v>
      </c>
      <c r="L74" s="659"/>
      <c r="M74" s="384" t="e">
        <f>RANK(K74, K$67:$K$81)</f>
        <v>#VALUE!</v>
      </c>
      <c r="N74" s="643"/>
      <c r="O74" s="643"/>
      <c r="P74" s="563"/>
      <c r="Q74" s="565"/>
      <c r="R74" s="565"/>
      <c r="S74" s="563"/>
      <c r="T74" s="639"/>
      <c r="U74" s="563"/>
      <c r="V74" s="565"/>
      <c r="W74" s="565"/>
      <c r="X74" s="563"/>
      <c r="Y74" s="639"/>
      <c r="Z74" s="563"/>
      <c r="AA74" s="565"/>
      <c r="AB74" s="565"/>
      <c r="AC74" s="563"/>
      <c r="AD74" s="639"/>
      <c r="AE74" s="563"/>
      <c r="AF74" s="565"/>
      <c r="AG74" s="565"/>
      <c r="AH74" s="563"/>
      <c r="AI74" s="639"/>
      <c r="AJ74" s="563"/>
      <c r="AK74" s="565"/>
      <c r="AL74" s="565"/>
      <c r="AM74" s="563"/>
      <c r="AN74" s="639"/>
      <c r="AO74" s="563"/>
      <c r="AP74" s="565"/>
      <c r="AQ74" s="565"/>
      <c r="AR74" s="563"/>
      <c r="AS74" s="639"/>
      <c r="AT74" s="563"/>
      <c r="AU74" s="565"/>
      <c r="AV74" s="565"/>
      <c r="AW74" s="563"/>
      <c r="AX74" s="639"/>
      <c r="AZ74" s="368" t="e">
        <f t="shared" si="32"/>
        <v>#N/A</v>
      </c>
      <c r="BA74" s="639"/>
    </row>
    <row r="75" spans="2:53">
      <c r="B75" s="649"/>
      <c r="C75" s="380">
        <v>9</v>
      </c>
      <c r="D75" s="225"/>
      <c r="E75" s="565"/>
      <c r="F75" s="563"/>
      <c r="G75" s="564"/>
      <c r="H75" s="657"/>
      <c r="I75" s="381" t="str">
        <f t="shared" si="29"/>
        <v>-</v>
      </c>
      <c r="J75" s="381" t="str">
        <f t="shared" si="30"/>
        <v>-</v>
      </c>
      <c r="K75" s="199" t="str">
        <f t="shared" si="31"/>
        <v>-</v>
      </c>
      <c r="L75" s="659"/>
      <c r="M75" s="384" t="e">
        <f>RANK(K75, K$67:$K$81)</f>
        <v>#VALUE!</v>
      </c>
      <c r="N75" s="643"/>
      <c r="O75" s="643"/>
      <c r="P75" s="563"/>
      <c r="Q75" s="565"/>
      <c r="R75" s="565"/>
      <c r="S75" s="563"/>
      <c r="T75" s="639"/>
      <c r="U75" s="563"/>
      <c r="V75" s="565"/>
      <c r="W75" s="565"/>
      <c r="X75" s="563"/>
      <c r="Y75" s="639"/>
      <c r="Z75" s="563"/>
      <c r="AA75" s="565"/>
      <c r="AB75" s="565"/>
      <c r="AC75" s="563"/>
      <c r="AD75" s="639"/>
      <c r="AE75" s="563"/>
      <c r="AF75" s="565"/>
      <c r="AG75" s="565"/>
      <c r="AH75" s="563"/>
      <c r="AI75" s="639"/>
      <c r="AJ75" s="563"/>
      <c r="AK75" s="565"/>
      <c r="AL75" s="565"/>
      <c r="AM75" s="563"/>
      <c r="AN75" s="639"/>
      <c r="AO75" s="563"/>
      <c r="AP75" s="565"/>
      <c r="AQ75" s="565"/>
      <c r="AR75" s="563"/>
      <c r="AS75" s="639"/>
      <c r="AT75" s="563"/>
      <c r="AU75" s="565"/>
      <c r="AV75" s="565"/>
      <c r="AW75" s="563"/>
      <c r="AX75" s="639"/>
      <c r="AZ75" s="368" t="e">
        <f t="shared" si="32"/>
        <v>#N/A</v>
      </c>
      <c r="BA75" s="639"/>
    </row>
    <row r="76" spans="2:53">
      <c r="B76" s="649"/>
      <c r="C76" s="380">
        <v>10</v>
      </c>
      <c r="D76" s="225"/>
      <c r="E76" s="565"/>
      <c r="F76" s="563"/>
      <c r="G76" s="564"/>
      <c r="H76" s="657"/>
      <c r="I76" s="381" t="str">
        <f t="shared" si="29"/>
        <v>-</v>
      </c>
      <c r="J76" s="381" t="str">
        <f t="shared" si="30"/>
        <v>-</v>
      </c>
      <c r="K76" s="199" t="str">
        <f t="shared" si="31"/>
        <v>-</v>
      </c>
      <c r="L76" s="659"/>
      <c r="M76" s="384" t="e">
        <f>RANK(K76, K$67:$K$81)</f>
        <v>#VALUE!</v>
      </c>
      <c r="N76" s="643"/>
      <c r="O76" s="643"/>
      <c r="P76" s="563"/>
      <c r="Q76" s="565"/>
      <c r="R76" s="565"/>
      <c r="S76" s="563"/>
      <c r="T76" s="639"/>
      <c r="U76" s="563"/>
      <c r="V76" s="565"/>
      <c r="W76" s="565"/>
      <c r="X76" s="563"/>
      <c r="Y76" s="639"/>
      <c r="Z76" s="563"/>
      <c r="AA76" s="565"/>
      <c r="AB76" s="565"/>
      <c r="AC76" s="563"/>
      <c r="AD76" s="639"/>
      <c r="AE76" s="563"/>
      <c r="AF76" s="565"/>
      <c r="AG76" s="565"/>
      <c r="AH76" s="563"/>
      <c r="AI76" s="639"/>
      <c r="AJ76" s="563"/>
      <c r="AK76" s="565"/>
      <c r="AL76" s="565"/>
      <c r="AM76" s="563"/>
      <c r="AN76" s="639"/>
      <c r="AO76" s="563"/>
      <c r="AP76" s="565"/>
      <c r="AQ76" s="565"/>
      <c r="AR76" s="563"/>
      <c r="AS76" s="639"/>
      <c r="AT76" s="563"/>
      <c r="AU76" s="565"/>
      <c r="AV76" s="565"/>
      <c r="AW76" s="563"/>
      <c r="AX76" s="639"/>
      <c r="AZ76" s="368" t="e">
        <f t="shared" si="32"/>
        <v>#N/A</v>
      </c>
      <c r="BA76" s="639"/>
    </row>
    <row r="77" spans="2:53">
      <c r="B77" s="649"/>
      <c r="C77" s="380">
        <v>11</v>
      </c>
      <c r="D77" s="225"/>
      <c r="E77" s="565"/>
      <c r="F77" s="563"/>
      <c r="G77" s="564"/>
      <c r="H77" s="657"/>
      <c r="I77" s="381" t="str">
        <f t="shared" si="29"/>
        <v>-</v>
      </c>
      <c r="J77" s="381" t="str">
        <f t="shared" si="30"/>
        <v>-</v>
      </c>
      <c r="K77" s="199" t="str">
        <f t="shared" si="31"/>
        <v>-</v>
      </c>
      <c r="L77" s="659"/>
      <c r="M77" s="384" t="e">
        <f>RANK(K77, K$67:$K$81)</f>
        <v>#VALUE!</v>
      </c>
      <c r="N77" s="643"/>
      <c r="O77" s="643"/>
      <c r="P77" s="563"/>
      <c r="Q77" s="565"/>
      <c r="R77" s="565"/>
      <c r="S77" s="563"/>
      <c r="T77" s="639"/>
      <c r="U77" s="563"/>
      <c r="V77" s="565"/>
      <c r="W77" s="565"/>
      <c r="X77" s="563"/>
      <c r="Y77" s="639"/>
      <c r="Z77" s="563"/>
      <c r="AA77" s="565"/>
      <c r="AB77" s="565"/>
      <c r="AC77" s="563"/>
      <c r="AD77" s="639"/>
      <c r="AE77" s="563"/>
      <c r="AF77" s="565"/>
      <c r="AG77" s="565"/>
      <c r="AH77" s="563"/>
      <c r="AI77" s="639"/>
      <c r="AJ77" s="563"/>
      <c r="AK77" s="565"/>
      <c r="AL77" s="565"/>
      <c r="AM77" s="563"/>
      <c r="AN77" s="639"/>
      <c r="AO77" s="563"/>
      <c r="AP77" s="565"/>
      <c r="AQ77" s="565"/>
      <c r="AR77" s="563"/>
      <c r="AS77" s="639"/>
      <c r="AT77" s="563"/>
      <c r="AU77" s="565"/>
      <c r="AV77" s="565"/>
      <c r="AW77" s="563"/>
      <c r="AX77" s="639"/>
      <c r="AZ77" s="368" t="e">
        <f t="shared" si="32"/>
        <v>#N/A</v>
      </c>
      <c r="BA77" s="639"/>
    </row>
    <row r="78" spans="2:53">
      <c r="B78" s="649"/>
      <c r="C78" s="380">
        <v>12</v>
      </c>
      <c r="D78" s="225"/>
      <c r="E78" s="565"/>
      <c r="F78" s="563"/>
      <c r="G78" s="564"/>
      <c r="H78" s="657"/>
      <c r="I78" s="381" t="str">
        <f t="shared" si="29"/>
        <v>-</v>
      </c>
      <c r="J78" s="381" t="str">
        <f t="shared" si="30"/>
        <v>-</v>
      </c>
      <c r="K78" s="199" t="str">
        <f t="shared" si="31"/>
        <v>-</v>
      </c>
      <c r="L78" s="659"/>
      <c r="M78" s="384" t="e">
        <f>RANK(K78, K$67:$K$81)</f>
        <v>#VALUE!</v>
      </c>
      <c r="N78" s="643"/>
      <c r="O78" s="643"/>
      <c r="P78" s="563"/>
      <c r="Q78" s="565"/>
      <c r="R78" s="565"/>
      <c r="S78" s="563"/>
      <c r="T78" s="639"/>
      <c r="U78" s="563"/>
      <c r="V78" s="565"/>
      <c r="W78" s="565"/>
      <c r="X78" s="563"/>
      <c r="Y78" s="639"/>
      <c r="Z78" s="563"/>
      <c r="AA78" s="565"/>
      <c r="AB78" s="565"/>
      <c r="AC78" s="563"/>
      <c r="AD78" s="639"/>
      <c r="AE78" s="563"/>
      <c r="AF78" s="565"/>
      <c r="AG78" s="565"/>
      <c r="AH78" s="563"/>
      <c r="AI78" s="639"/>
      <c r="AJ78" s="563"/>
      <c r="AK78" s="565"/>
      <c r="AL78" s="565"/>
      <c r="AM78" s="563"/>
      <c r="AN78" s="639"/>
      <c r="AO78" s="563"/>
      <c r="AP78" s="565"/>
      <c r="AQ78" s="565"/>
      <c r="AR78" s="563"/>
      <c r="AS78" s="639"/>
      <c r="AT78" s="563"/>
      <c r="AU78" s="565"/>
      <c r="AV78" s="565"/>
      <c r="AW78" s="563"/>
      <c r="AX78" s="639"/>
      <c r="AZ78" s="368" t="e">
        <f t="shared" si="32"/>
        <v>#N/A</v>
      </c>
      <c r="BA78" s="639"/>
    </row>
    <row r="79" spans="2:53">
      <c r="B79" s="649"/>
      <c r="C79" s="380">
        <v>13</v>
      </c>
      <c r="D79" s="225"/>
      <c r="E79" s="565"/>
      <c r="F79" s="563"/>
      <c r="G79" s="564"/>
      <c r="H79" s="657"/>
      <c r="I79" s="381" t="str">
        <f t="shared" si="29"/>
        <v>-</v>
      </c>
      <c r="J79" s="381" t="str">
        <f t="shared" si="30"/>
        <v>-</v>
      </c>
      <c r="K79" s="199" t="str">
        <f t="shared" si="31"/>
        <v>-</v>
      </c>
      <c r="L79" s="659"/>
      <c r="M79" s="384" t="e">
        <f>RANK(K79, K$67:$K$81)</f>
        <v>#VALUE!</v>
      </c>
      <c r="N79" s="643"/>
      <c r="O79" s="643"/>
      <c r="P79" s="563"/>
      <c r="Q79" s="565"/>
      <c r="R79" s="565"/>
      <c r="S79" s="563"/>
      <c r="T79" s="639"/>
      <c r="U79" s="563"/>
      <c r="V79" s="565"/>
      <c r="W79" s="565"/>
      <c r="X79" s="563"/>
      <c r="Y79" s="639"/>
      <c r="Z79" s="563"/>
      <c r="AA79" s="565"/>
      <c r="AB79" s="565"/>
      <c r="AC79" s="563"/>
      <c r="AD79" s="639"/>
      <c r="AE79" s="563"/>
      <c r="AF79" s="565"/>
      <c r="AG79" s="565"/>
      <c r="AH79" s="563"/>
      <c r="AI79" s="639"/>
      <c r="AJ79" s="563"/>
      <c r="AK79" s="565"/>
      <c r="AL79" s="565"/>
      <c r="AM79" s="563"/>
      <c r="AN79" s="639"/>
      <c r="AO79" s="563"/>
      <c r="AP79" s="565"/>
      <c r="AQ79" s="565"/>
      <c r="AR79" s="563"/>
      <c r="AS79" s="639"/>
      <c r="AT79" s="563"/>
      <c r="AU79" s="565"/>
      <c r="AV79" s="565"/>
      <c r="AW79" s="563"/>
      <c r="AX79" s="639"/>
      <c r="AZ79" s="368" t="e">
        <f t="shared" si="32"/>
        <v>#N/A</v>
      </c>
      <c r="BA79" s="639"/>
    </row>
    <row r="80" spans="2:53">
      <c r="B80" s="649"/>
      <c r="C80" s="380">
        <v>14</v>
      </c>
      <c r="D80" s="225"/>
      <c r="E80" s="565"/>
      <c r="F80" s="563"/>
      <c r="G80" s="564"/>
      <c r="H80" s="657"/>
      <c r="I80" s="381" t="str">
        <f t="shared" si="29"/>
        <v>-</v>
      </c>
      <c r="J80" s="381" t="str">
        <f t="shared" si="30"/>
        <v>-</v>
      </c>
      <c r="K80" s="199" t="str">
        <f t="shared" si="31"/>
        <v>-</v>
      </c>
      <c r="L80" s="659"/>
      <c r="M80" s="384" t="e">
        <f>RANK(K80, K$67:$K$81)</f>
        <v>#VALUE!</v>
      </c>
      <c r="N80" s="643"/>
      <c r="O80" s="643"/>
      <c r="P80" s="563"/>
      <c r="Q80" s="565"/>
      <c r="R80" s="565"/>
      <c r="S80" s="563"/>
      <c r="T80" s="639"/>
      <c r="U80" s="563"/>
      <c r="V80" s="565"/>
      <c r="W80" s="565"/>
      <c r="X80" s="563"/>
      <c r="Y80" s="639"/>
      <c r="Z80" s="563"/>
      <c r="AA80" s="565"/>
      <c r="AB80" s="565"/>
      <c r="AC80" s="563"/>
      <c r="AD80" s="639"/>
      <c r="AE80" s="563"/>
      <c r="AF80" s="565"/>
      <c r="AG80" s="565"/>
      <c r="AH80" s="563"/>
      <c r="AI80" s="639"/>
      <c r="AJ80" s="563"/>
      <c r="AK80" s="565"/>
      <c r="AL80" s="565"/>
      <c r="AM80" s="563"/>
      <c r="AN80" s="639"/>
      <c r="AO80" s="563"/>
      <c r="AP80" s="565"/>
      <c r="AQ80" s="565"/>
      <c r="AR80" s="563"/>
      <c r="AS80" s="639"/>
      <c r="AT80" s="563"/>
      <c r="AU80" s="565"/>
      <c r="AV80" s="565"/>
      <c r="AW80" s="563"/>
      <c r="AX80" s="639"/>
      <c r="AZ80" s="368" t="e">
        <f t="shared" si="32"/>
        <v>#N/A</v>
      </c>
      <c r="BA80" s="639"/>
    </row>
    <row r="81" spans="2:53">
      <c r="B81" s="649"/>
      <c r="C81" s="380">
        <v>15</v>
      </c>
      <c r="D81" s="225"/>
      <c r="E81" s="565"/>
      <c r="F81" s="563"/>
      <c r="G81" s="564"/>
      <c r="H81" s="714"/>
      <c r="I81" s="380"/>
      <c r="J81" s="380"/>
      <c r="K81" s="380"/>
      <c r="L81" s="660"/>
      <c r="M81" s="384" t="e">
        <f>RANK(K81, K$47:$K$61)</f>
        <v>#N/A</v>
      </c>
      <c r="N81" s="643"/>
      <c r="O81" s="643"/>
      <c r="P81" s="563"/>
      <c r="Q81" s="565"/>
      <c r="R81" s="565"/>
      <c r="S81" s="563"/>
      <c r="T81" s="640"/>
      <c r="U81" s="563"/>
      <c r="V81" s="565"/>
      <c r="W81" s="565"/>
      <c r="X81" s="563"/>
      <c r="Y81" s="640"/>
      <c r="Z81" s="563"/>
      <c r="AA81" s="565"/>
      <c r="AB81" s="565"/>
      <c r="AC81" s="563"/>
      <c r="AD81" s="640"/>
      <c r="AE81" s="563"/>
      <c r="AF81" s="565"/>
      <c r="AG81" s="565"/>
      <c r="AH81" s="563"/>
      <c r="AI81" s="640"/>
      <c r="AJ81" s="563"/>
      <c r="AK81" s="565"/>
      <c r="AL81" s="565"/>
      <c r="AM81" s="563"/>
      <c r="AN81" s="640"/>
      <c r="AO81" s="563"/>
      <c r="AP81" s="565"/>
      <c r="AQ81" s="565"/>
      <c r="AR81" s="563"/>
      <c r="AS81" s="640"/>
      <c r="AT81" s="563"/>
      <c r="AU81" s="565"/>
      <c r="AV81" s="565"/>
      <c r="AW81" s="563"/>
      <c r="AX81" s="640"/>
      <c r="AZ81" s="368" t="e">
        <f t="shared" si="32"/>
        <v>#N/A</v>
      </c>
      <c r="BA81" s="640"/>
    </row>
    <row r="82" spans="2:53" ht="15.75">
      <c r="B82" s="671" t="s">
        <v>162</v>
      </c>
      <c r="C82" s="672"/>
      <c r="D82" s="672"/>
      <c r="E82" s="672"/>
      <c r="F82" s="672"/>
      <c r="G82" s="672"/>
      <c r="H82" s="673"/>
      <c r="I82" s="207"/>
      <c r="J82" s="207"/>
      <c r="K82" s="207"/>
      <c r="L82" s="207"/>
      <c r="M82" s="206"/>
      <c r="N82" s="645" t="s">
        <v>156</v>
      </c>
      <c r="O82" s="645" t="s">
        <v>105</v>
      </c>
      <c r="P82" s="670">
        <f>P62+7</f>
        <v>46294</v>
      </c>
      <c r="Q82" s="649"/>
      <c r="R82" s="649"/>
      <c r="S82" s="649"/>
      <c r="T82" s="649"/>
      <c r="U82" s="667">
        <f>P82+1</f>
        <v>46295</v>
      </c>
      <c r="V82" s="668"/>
      <c r="W82" s="668"/>
      <c r="X82" s="668"/>
      <c r="Y82" s="669"/>
      <c r="Z82" s="667">
        <f>U82+1</f>
        <v>46296</v>
      </c>
      <c r="AA82" s="668"/>
      <c r="AB82" s="668"/>
      <c r="AC82" s="668"/>
      <c r="AD82" s="669"/>
      <c r="AE82" s="667">
        <f>Z82+1</f>
        <v>46297</v>
      </c>
      <c r="AF82" s="668"/>
      <c r="AG82" s="668"/>
      <c r="AH82" s="668"/>
      <c r="AI82" s="669"/>
      <c r="AJ82" s="667">
        <f>AE82+1</f>
        <v>46298</v>
      </c>
      <c r="AK82" s="668"/>
      <c r="AL82" s="668"/>
      <c r="AM82" s="668"/>
      <c r="AN82" s="669"/>
      <c r="AO82" s="667">
        <f>AJ82+1</f>
        <v>46299</v>
      </c>
      <c r="AP82" s="668"/>
      <c r="AQ82" s="668"/>
      <c r="AR82" s="668"/>
      <c r="AS82" s="669"/>
      <c r="AT82" s="667">
        <f>AO82+1</f>
        <v>46300</v>
      </c>
      <c r="AU82" s="668"/>
      <c r="AV82" s="668"/>
      <c r="AW82" s="668"/>
      <c r="AX82" s="669"/>
    </row>
    <row r="83" spans="2:53" ht="15.75">
      <c r="B83" s="674"/>
      <c r="C83" s="674"/>
      <c r="D83" s="674"/>
      <c r="E83" s="674"/>
      <c r="F83" s="674"/>
      <c r="G83" s="674"/>
      <c r="H83" s="674"/>
      <c r="I83" s="204"/>
      <c r="J83" s="204"/>
      <c r="K83" s="204"/>
      <c r="L83" s="204"/>
      <c r="M83" s="205"/>
      <c r="N83" s="647"/>
      <c r="O83" s="647"/>
      <c r="P83" s="670" t="s">
        <v>317</v>
      </c>
      <c r="Q83" s="649"/>
      <c r="R83" s="649"/>
      <c r="S83" s="649"/>
      <c r="T83" s="649"/>
      <c r="U83" s="670" t="s">
        <v>318</v>
      </c>
      <c r="V83" s="649"/>
      <c r="W83" s="649"/>
      <c r="X83" s="649"/>
      <c r="Y83" s="649"/>
      <c r="Z83" s="670" t="s">
        <v>319</v>
      </c>
      <c r="AA83" s="649"/>
      <c r="AB83" s="649"/>
      <c r="AC83" s="649"/>
      <c r="AD83" s="649"/>
      <c r="AE83" s="670" t="s">
        <v>320</v>
      </c>
      <c r="AF83" s="649"/>
      <c r="AG83" s="649"/>
      <c r="AH83" s="649"/>
      <c r="AI83" s="649"/>
      <c r="AJ83" s="670" t="s">
        <v>321</v>
      </c>
      <c r="AK83" s="649"/>
      <c r="AL83" s="649"/>
      <c r="AM83" s="649"/>
      <c r="AN83" s="649"/>
      <c r="AO83" s="670" t="s">
        <v>322</v>
      </c>
      <c r="AP83" s="649"/>
      <c r="AQ83" s="649"/>
      <c r="AR83" s="649"/>
      <c r="AS83" s="649"/>
      <c r="AT83" s="670" t="s">
        <v>323</v>
      </c>
      <c r="AU83" s="649"/>
      <c r="AV83" s="649"/>
      <c r="AW83" s="649"/>
      <c r="AX83" s="649"/>
    </row>
    <row r="84" spans="2:53">
      <c r="B84" s="643" t="s">
        <v>400</v>
      </c>
      <c r="C84" s="643" t="s">
        <v>523</v>
      </c>
      <c r="D84" s="643"/>
      <c r="E84" s="643" t="s">
        <v>524</v>
      </c>
      <c r="F84" s="643"/>
      <c r="G84" s="643"/>
      <c r="H84" s="675" t="s">
        <v>525</v>
      </c>
      <c r="I84" s="643" t="s">
        <v>526</v>
      </c>
      <c r="J84" s="643"/>
      <c r="K84" s="643"/>
      <c r="L84" s="675" t="s">
        <v>359</v>
      </c>
      <c r="M84" s="645" t="s">
        <v>527</v>
      </c>
      <c r="N84" s="643"/>
      <c r="O84" s="643" t="s">
        <v>365</v>
      </c>
      <c r="P84" s="661" t="s">
        <v>361</v>
      </c>
      <c r="Q84" s="662"/>
      <c r="R84" s="662"/>
      <c r="S84" s="663"/>
      <c r="T84" s="643" t="s">
        <v>359</v>
      </c>
      <c r="U84" s="661" t="s">
        <v>361</v>
      </c>
      <c r="V84" s="662"/>
      <c r="W84" s="662"/>
      <c r="X84" s="663"/>
      <c r="Y84" s="643" t="s">
        <v>359</v>
      </c>
      <c r="Z84" s="661" t="s">
        <v>361</v>
      </c>
      <c r="AA84" s="662"/>
      <c r="AB84" s="662"/>
      <c r="AC84" s="663"/>
      <c r="AD84" s="643" t="s">
        <v>359</v>
      </c>
      <c r="AE84" s="661" t="s">
        <v>361</v>
      </c>
      <c r="AF84" s="662"/>
      <c r="AG84" s="662"/>
      <c r="AH84" s="663"/>
      <c r="AI84" s="643" t="s">
        <v>359</v>
      </c>
      <c r="AJ84" s="661" t="s">
        <v>361</v>
      </c>
      <c r="AK84" s="662"/>
      <c r="AL84" s="662"/>
      <c r="AM84" s="663"/>
      <c r="AN84" s="643" t="s">
        <v>359</v>
      </c>
      <c r="AO84" s="661" t="s">
        <v>361</v>
      </c>
      <c r="AP84" s="662"/>
      <c r="AQ84" s="662"/>
      <c r="AR84" s="663"/>
      <c r="AS84" s="643" t="s">
        <v>359</v>
      </c>
      <c r="AT84" s="661" t="s">
        <v>361</v>
      </c>
      <c r="AU84" s="662"/>
      <c r="AV84" s="662"/>
      <c r="AW84" s="663"/>
      <c r="AX84" s="643" t="s">
        <v>359</v>
      </c>
      <c r="BA84" s="643" t="s">
        <v>359</v>
      </c>
    </row>
    <row r="85" spans="2:53">
      <c r="B85" s="643"/>
      <c r="C85" s="643"/>
      <c r="D85" s="643"/>
      <c r="E85" s="643" t="s">
        <v>529</v>
      </c>
      <c r="F85" s="643"/>
      <c r="G85" s="643"/>
      <c r="H85" s="676"/>
      <c r="I85" s="643" t="s">
        <v>529</v>
      </c>
      <c r="J85" s="643"/>
      <c r="K85" s="643"/>
      <c r="L85" s="676"/>
      <c r="M85" s="646"/>
      <c r="N85" s="643"/>
      <c r="O85" s="643"/>
      <c r="P85" s="661" t="s">
        <v>367</v>
      </c>
      <c r="Q85" s="662"/>
      <c r="R85" s="662"/>
      <c r="S85" s="663"/>
      <c r="T85" s="643"/>
      <c r="U85" s="661" t="s">
        <v>367</v>
      </c>
      <c r="V85" s="662"/>
      <c r="W85" s="662"/>
      <c r="X85" s="663"/>
      <c r="Y85" s="643"/>
      <c r="Z85" s="661" t="s">
        <v>367</v>
      </c>
      <c r="AA85" s="662"/>
      <c r="AB85" s="662"/>
      <c r="AC85" s="663"/>
      <c r="AD85" s="643"/>
      <c r="AE85" s="661" t="s">
        <v>367</v>
      </c>
      <c r="AF85" s="662"/>
      <c r="AG85" s="662"/>
      <c r="AH85" s="663"/>
      <c r="AI85" s="643"/>
      <c r="AJ85" s="661" t="s">
        <v>367</v>
      </c>
      <c r="AK85" s="662"/>
      <c r="AL85" s="662"/>
      <c r="AM85" s="663"/>
      <c r="AN85" s="643"/>
      <c r="AO85" s="661" t="s">
        <v>367</v>
      </c>
      <c r="AP85" s="662"/>
      <c r="AQ85" s="662"/>
      <c r="AR85" s="663"/>
      <c r="AS85" s="643"/>
      <c r="AT85" s="661" t="s">
        <v>367</v>
      </c>
      <c r="AU85" s="662"/>
      <c r="AV85" s="662"/>
      <c r="AW85" s="663"/>
      <c r="AX85" s="643"/>
      <c r="BA85" s="643"/>
    </row>
    <row r="86" spans="2:53">
      <c r="B86" s="643"/>
      <c r="C86" s="643"/>
      <c r="D86" s="643"/>
      <c r="E86" s="378" t="s">
        <v>530</v>
      </c>
      <c r="F86" s="378" t="s">
        <v>531</v>
      </c>
      <c r="G86" s="378" t="s">
        <v>532</v>
      </c>
      <c r="H86" s="677"/>
      <c r="I86" s="378" t="s">
        <v>530</v>
      </c>
      <c r="J86" s="378" t="s">
        <v>531</v>
      </c>
      <c r="K86" s="378" t="s">
        <v>532</v>
      </c>
      <c r="L86" s="677"/>
      <c r="M86" s="647"/>
      <c r="N86" s="643"/>
      <c r="O86" s="643"/>
      <c r="P86" s="378" t="s">
        <v>368</v>
      </c>
      <c r="Q86" s="378" t="s">
        <v>369</v>
      </c>
      <c r="R86" s="378" t="s">
        <v>370</v>
      </c>
      <c r="S86" s="378" t="s">
        <v>360</v>
      </c>
      <c r="T86" s="643"/>
      <c r="U86" s="378" t="s">
        <v>368</v>
      </c>
      <c r="V86" s="378" t="s">
        <v>369</v>
      </c>
      <c r="W86" s="378" t="s">
        <v>370</v>
      </c>
      <c r="X86" s="378" t="s">
        <v>360</v>
      </c>
      <c r="Y86" s="643"/>
      <c r="Z86" s="378" t="s">
        <v>368</v>
      </c>
      <c r="AA86" s="378" t="s">
        <v>369</v>
      </c>
      <c r="AB86" s="378" t="s">
        <v>370</v>
      </c>
      <c r="AC86" s="378" t="s">
        <v>360</v>
      </c>
      <c r="AD86" s="643"/>
      <c r="AE86" s="378" t="s">
        <v>368</v>
      </c>
      <c r="AF86" s="378" t="s">
        <v>369</v>
      </c>
      <c r="AG86" s="378" t="s">
        <v>370</v>
      </c>
      <c r="AH86" s="378" t="s">
        <v>360</v>
      </c>
      <c r="AI86" s="643"/>
      <c r="AJ86" s="378" t="s">
        <v>368</v>
      </c>
      <c r="AK86" s="378" t="s">
        <v>369</v>
      </c>
      <c r="AL86" s="378" t="s">
        <v>370</v>
      </c>
      <c r="AM86" s="378" t="s">
        <v>360</v>
      </c>
      <c r="AN86" s="643"/>
      <c r="AO86" s="378" t="s">
        <v>368</v>
      </c>
      <c r="AP86" s="378" t="s">
        <v>369</v>
      </c>
      <c r="AQ86" s="378" t="s">
        <v>370</v>
      </c>
      <c r="AR86" s="378" t="s">
        <v>360</v>
      </c>
      <c r="AS86" s="643"/>
      <c r="AT86" s="378" t="s">
        <v>368</v>
      </c>
      <c r="AU86" s="378" t="s">
        <v>369</v>
      </c>
      <c r="AV86" s="378" t="s">
        <v>370</v>
      </c>
      <c r="AW86" s="378" t="s">
        <v>360</v>
      </c>
      <c r="AX86" s="643"/>
      <c r="AZ86" s="367" t="s">
        <v>360</v>
      </c>
      <c r="BA86" s="643"/>
    </row>
    <row r="87" spans="2:53">
      <c r="B87" s="643" t="s">
        <v>414</v>
      </c>
      <c r="C87" s="380">
        <v>1</v>
      </c>
      <c r="D87" s="225"/>
      <c r="E87" s="516"/>
      <c r="F87" s="513"/>
      <c r="G87" s="512"/>
      <c r="H87" s="656" t="e">
        <f>AVERAGE(G87:G101)</f>
        <v>#DIV/0!</v>
      </c>
      <c r="I87" s="381" t="str">
        <f t="shared" ref="I87:I100" si="34">IFERROR(AVERAGE(P87,U87,Z87,AE87,AJ87,AO87,AT87),"-")</f>
        <v>-</v>
      </c>
      <c r="J87" s="381" t="str">
        <f t="shared" ref="J87:J100" si="35">IFERROR(AVERAGE(Q87,V87,AA87,AF87,AK87,AP87,AU87),"-")</f>
        <v>-</v>
      </c>
      <c r="K87" s="199" t="str">
        <f t="shared" ref="K87:K100" si="36">IFERROR(AVERAGE(R87,W87,AB87,AG87,AL87,AQ87,AV87),"-")</f>
        <v>-</v>
      </c>
      <c r="L87" s="658" t="str">
        <f>IFERROR(AVERAGE(K87:K101),"-")</f>
        <v>-</v>
      </c>
      <c r="M87" s="384" t="e">
        <f>RANK(K87, K$87:$K$101)</f>
        <v>#VALUE!</v>
      </c>
      <c r="N87" s="643"/>
      <c r="O87" s="643"/>
      <c r="P87" s="563"/>
      <c r="Q87" s="565"/>
      <c r="R87" s="565"/>
      <c r="S87" s="563"/>
      <c r="T87" s="638"/>
      <c r="U87" s="563"/>
      <c r="V87" s="565"/>
      <c r="W87" s="565"/>
      <c r="X87" s="563"/>
      <c r="Y87" s="638"/>
      <c r="Z87" s="563"/>
      <c r="AA87" s="565"/>
      <c r="AB87" s="565"/>
      <c r="AC87" s="563"/>
      <c r="AD87" s="638"/>
      <c r="AE87" s="563"/>
      <c r="AF87" s="565"/>
      <c r="AG87" s="565"/>
      <c r="AH87" s="563"/>
      <c r="AI87" s="638"/>
      <c r="AJ87" s="563"/>
      <c r="AK87" s="565"/>
      <c r="AL87" s="565"/>
      <c r="AM87" s="563"/>
      <c r="AN87" s="638"/>
      <c r="AO87" s="563"/>
      <c r="AP87" s="565"/>
      <c r="AQ87" s="565"/>
      <c r="AR87" s="563"/>
      <c r="AS87" s="638"/>
      <c r="AT87" s="563"/>
      <c r="AU87" s="565"/>
      <c r="AV87" s="565"/>
      <c r="AW87" s="563"/>
      <c r="AX87" s="638"/>
      <c r="AZ87" s="368" t="e">
        <f t="shared" ref="AZ87:AZ101" si="37">RANK(AY87, AY$87:AY$101)</f>
        <v>#N/A</v>
      </c>
      <c r="BA87" s="644" t="e">
        <f t="shared" ref="BA87" si="38">AVERAGE(AY87:AY101)</f>
        <v>#DIV/0!</v>
      </c>
    </row>
    <row r="88" spans="2:53">
      <c r="B88" s="649"/>
      <c r="C88" s="380">
        <v>2</v>
      </c>
      <c r="D88" s="225"/>
      <c r="E88" s="516"/>
      <c r="F88" s="513"/>
      <c r="G88" s="512"/>
      <c r="H88" s="657"/>
      <c r="I88" s="381" t="str">
        <f t="shared" si="34"/>
        <v>-</v>
      </c>
      <c r="J88" s="381" t="str">
        <f t="shared" si="35"/>
        <v>-</v>
      </c>
      <c r="K88" s="199" t="str">
        <f t="shared" si="36"/>
        <v>-</v>
      </c>
      <c r="L88" s="659"/>
      <c r="M88" s="467" t="e">
        <f>RANK(K88, K$87:$K$101)</f>
        <v>#VALUE!</v>
      </c>
      <c r="N88" s="643"/>
      <c r="O88" s="643"/>
      <c r="P88" s="563"/>
      <c r="Q88" s="565"/>
      <c r="R88" s="565"/>
      <c r="S88" s="563"/>
      <c r="T88" s="639"/>
      <c r="U88" s="563"/>
      <c r="V88" s="565"/>
      <c r="W88" s="565"/>
      <c r="X88" s="563"/>
      <c r="Y88" s="639"/>
      <c r="Z88" s="563"/>
      <c r="AA88" s="565"/>
      <c r="AB88" s="565"/>
      <c r="AC88" s="563"/>
      <c r="AD88" s="639"/>
      <c r="AE88" s="563"/>
      <c r="AF88" s="565"/>
      <c r="AG88" s="565"/>
      <c r="AH88" s="563"/>
      <c r="AI88" s="639"/>
      <c r="AJ88" s="563"/>
      <c r="AK88" s="565"/>
      <c r="AL88" s="565"/>
      <c r="AM88" s="563"/>
      <c r="AN88" s="639"/>
      <c r="AO88" s="563"/>
      <c r="AP88" s="565"/>
      <c r="AQ88" s="565"/>
      <c r="AR88" s="563"/>
      <c r="AS88" s="639"/>
      <c r="AT88" s="563"/>
      <c r="AU88" s="565"/>
      <c r="AV88" s="565"/>
      <c r="AW88" s="563"/>
      <c r="AX88" s="639"/>
      <c r="AZ88" s="368" t="e">
        <f t="shared" si="37"/>
        <v>#N/A</v>
      </c>
      <c r="BA88" s="644"/>
    </row>
    <row r="89" spans="2:53">
      <c r="B89" s="649"/>
      <c r="C89" s="380">
        <v>3</v>
      </c>
      <c r="D89" s="225"/>
      <c r="E89" s="516"/>
      <c r="F89" s="513"/>
      <c r="G89" s="512"/>
      <c r="H89" s="657"/>
      <c r="I89" s="381" t="str">
        <f t="shared" si="34"/>
        <v>-</v>
      </c>
      <c r="J89" s="381" t="str">
        <f t="shared" si="35"/>
        <v>-</v>
      </c>
      <c r="K89" s="199" t="str">
        <f t="shared" si="36"/>
        <v>-</v>
      </c>
      <c r="L89" s="659"/>
      <c r="M89" s="467" t="e">
        <f>RANK(K89, K$87:$K$101)</f>
        <v>#VALUE!</v>
      </c>
      <c r="N89" s="643"/>
      <c r="O89" s="643"/>
      <c r="P89" s="563"/>
      <c r="Q89" s="565"/>
      <c r="R89" s="565"/>
      <c r="S89" s="563"/>
      <c r="T89" s="639"/>
      <c r="U89" s="563"/>
      <c r="V89" s="565"/>
      <c r="W89" s="565"/>
      <c r="X89" s="563"/>
      <c r="Y89" s="639"/>
      <c r="Z89" s="563"/>
      <c r="AA89" s="565"/>
      <c r="AB89" s="565"/>
      <c r="AC89" s="563"/>
      <c r="AD89" s="639"/>
      <c r="AE89" s="563"/>
      <c r="AF89" s="565"/>
      <c r="AG89" s="565"/>
      <c r="AH89" s="563"/>
      <c r="AI89" s="639"/>
      <c r="AJ89" s="563"/>
      <c r="AK89" s="565"/>
      <c r="AL89" s="565"/>
      <c r="AM89" s="563"/>
      <c r="AN89" s="639"/>
      <c r="AO89" s="563"/>
      <c r="AP89" s="565"/>
      <c r="AQ89" s="565"/>
      <c r="AR89" s="563"/>
      <c r="AS89" s="639"/>
      <c r="AT89" s="563"/>
      <c r="AU89" s="565"/>
      <c r="AV89" s="565"/>
      <c r="AW89" s="563"/>
      <c r="AX89" s="639"/>
      <c r="AZ89" s="368" t="e">
        <f t="shared" si="37"/>
        <v>#N/A</v>
      </c>
      <c r="BA89" s="644"/>
    </row>
    <row r="90" spans="2:53">
      <c r="B90" s="649"/>
      <c r="C90" s="380">
        <v>4</v>
      </c>
      <c r="D90" s="225"/>
      <c r="E90" s="516"/>
      <c r="F90" s="513"/>
      <c r="G90" s="512"/>
      <c r="H90" s="657"/>
      <c r="I90" s="381" t="str">
        <f t="shared" si="34"/>
        <v>-</v>
      </c>
      <c r="J90" s="381" t="str">
        <f t="shared" si="35"/>
        <v>-</v>
      </c>
      <c r="K90" s="199" t="str">
        <f t="shared" si="36"/>
        <v>-</v>
      </c>
      <c r="L90" s="659"/>
      <c r="M90" s="467" t="e">
        <f>RANK(K90, K$87:$K$101)</f>
        <v>#VALUE!</v>
      </c>
      <c r="N90" s="643"/>
      <c r="O90" s="643"/>
      <c r="P90" s="563"/>
      <c r="Q90" s="565"/>
      <c r="R90" s="565"/>
      <c r="S90" s="563"/>
      <c r="T90" s="639"/>
      <c r="U90" s="563"/>
      <c r="V90" s="565"/>
      <c r="W90" s="565"/>
      <c r="X90" s="563"/>
      <c r="Y90" s="639"/>
      <c r="Z90" s="563"/>
      <c r="AA90" s="565"/>
      <c r="AB90" s="565"/>
      <c r="AC90" s="563"/>
      <c r="AD90" s="639"/>
      <c r="AE90" s="563"/>
      <c r="AF90" s="565"/>
      <c r="AG90" s="565"/>
      <c r="AH90" s="563"/>
      <c r="AI90" s="639"/>
      <c r="AJ90" s="563"/>
      <c r="AK90" s="565"/>
      <c r="AL90" s="565"/>
      <c r="AM90" s="563"/>
      <c r="AN90" s="639"/>
      <c r="AO90" s="563"/>
      <c r="AP90" s="565"/>
      <c r="AQ90" s="565"/>
      <c r="AR90" s="563"/>
      <c r="AS90" s="639"/>
      <c r="AT90" s="563"/>
      <c r="AU90" s="565"/>
      <c r="AV90" s="565"/>
      <c r="AW90" s="563"/>
      <c r="AX90" s="639"/>
      <c r="AZ90" s="368" t="e">
        <f t="shared" si="37"/>
        <v>#N/A</v>
      </c>
      <c r="BA90" s="644"/>
    </row>
    <row r="91" spans="2:53">
      <c r="B91" s="649"/>
      <c r="C91" s="380">
        <v>5</v>
      </c>
      <c r="D91" s="225"/>
      <c r="E91" s="516"/>
      <c r="F91" s="513"/>
      <c r="G91" s="512"/>
      <c r="H91" s="657"/>
      <c r="I91" s="381" t="str">
        <f t="shared" si="34"/>
        <v>-</v>
      </c>
      <c r="J91" s="381" t="str">
        <f t="shared" si="35"/>
        <v>-</v>
      </c>
      <c r="K91" s="199" t="str">
        <f t="shared" si="36"/>
        <v>-</v>
      </c>
      <c r="L91" s="659"/>
      <c r="M91" s="467" t="e">
        <f>RANK(K91, K$87:$K$101)</f>
        <v>#VALUE!</v>
      </c>
      <c r="N91" s="643"/>
      <c r="O91" s="643"/>
      <c r="P91" s="563"/>
      <c r="Q91" s="565"/>
      <c r="R91" s="565"/>
      <c r="S91" s="563"/>
      <c r="T91" s="639"/>
      <c r="U91" s="563"/>
      <c r="V91" s="565"/>
      <c r="W91" s="565"/>
      <c r="X91" s="563"/>
      <c r="Y91" s="639"/>
      <c r="Z91" s="563"/>
      <c r="AA91" s="565"/>
      <c r="AB91" s="565"/>
      <c r="AC91" s="563"/>
      <c r="AD91" s="639"/>
      <c r="AE91" s="563"/>
      <c r="AF91" s="565"/>
      <c r="AG91" s="565"/>
      <c r="AH91" s="563"/>
      <c r="AI91" s="639"/>
      <c r="AJ91" s="563"/>
      <c r="AK91" s="565"/>
      <c r="AL91" s="565"/>
      <c r="AM91" s="563"/>
      <c r="AN91" s="639"/>
      <c r="AO91" s="563"/>
      <c r="AP91" s="565"/>
      <c r="AQ91" s="565"/>
      <c r="AR91" s="563"/>
      <c r="AS91" s="639"/>
      <c r="AT91" s="563"/>
      <c r="AU91" s="565"/>
      <c r="AV91" s="565"/>
      <c r="AW91" s="563"/>
      <c r="AX91" s="639"/>
      <c r="AZ91" s="368" t="e">
        <f t="shared" si="37"/>
        <v>#N/A</v>
      </c>
      <c r="BA91" s="644"/>
    </row>
    <row r="92" spans="2:53">
      <c r="B92" s="649"/>
      <c r="C92" s="380">
        <v>6</v>
      </c>
      <c r="D92" s="225"/>
      <c r="E92" s="516"/>
      <c r="F92" s="513"/>
      <c r="G92" s="512"/>
      <c r="H92" s="657"/>
      <c r="I92" s="381" t="str">
        <f t="shared" si="34"/>
        <v>-</v>
      </c>
      <c r="J92" s="381" t="str">
        <f t="shared" si="35"/>
        <v>-</v>
      </c>
      <c r="K92" s="199" t="str">
        <f t="shared" si="36"/>
        <v>-</v>
      </c>
      <c r="L92" s="659"/>
      <c r="M92" s="467" t="e">
        <f>RANK(K92, K$87:$K$101)</f>
        <v>#VALUE!</v>
      </c>
      <c r="N92" s="643"/>
      <c r="O92" s="643"/>
      <c r="P92" s="563"/>
      <c r="Q92" s="565"/>
      <c r="R92" s="565"/>
      <c r="S92" s="563"/>
      <c r="T92" s="639"/>
      <c r="U92" s="563"/>
      <c r="V92" s="565"/>
      <c r="W92" s="565"/>
      <c r="X92" s="563"/>
      <c r="Y92" s="639"/>
      <c r="Z92" s="563"/>
      <c r="AA92" s="565"/>
      <c r="AB92" s="565"/>
      <c r="AC92" s="563"/>
      <c r="AD92" s="639"/>
      <c r="AE92" s="563"/>
      <c r="AF92" s="565"/>
      <c r="AG92" s="565"/>
      <c r="AH92" s="563"/>
      <c r="AI92" s="639"/>
      <c r="AJ92" s="563"/>
      <c r="AK92" s="565"/>
      <c r="AL92" s="565"/>
      <c r="AM92" s="563"/>
      <c r="AN92" s="639"/>
      <c r="AO92" s="563"/>
      <c r="AP92" s="565"/>
      <c r="AQ92" s="565"/>
      <c r="AR92" s="563"/>
      <c r="AS92" s="639"/>
      <c r="AT92" s="563"/>
      <c r="AU92" s="565"/>
      <c r="AV92" s="565"/>
      <c r="AW92" s="563"/>
      <c r="AX92" s="639"/>
      <c r="AZ92" s="368" t="e">
        <f t="shared" si="37"/>
        <v>#N/A</v>
      </c>
      <c r="BA92" s="644"/>
    </row>
    <row r="93" spans="2:53">
      <c r="B93" s="649"/>
      <c r="C93" s="380">
        <v>7</v>
      </c>
      <c r="D93" s="225"/>
      <c r="E93" s="516"/>
      <c r="F93" s="513"/>
      <c r="G93" s="512"/>
      <c r="H93" s="657"/>
      <c r="I93" s="381" t="str">
        <f t="shared" si="34"/>
        <v>-</v>
      </c>
      <c r="J93" s="381" t="str">
        <f t="shared" si="35"/>
        <v>-</v>
      </c>
      <c r="K93" s="199" t="str">
        <f t="shared" si="36"/>
        <v>-</v>
      </c>
      <c r="L93" s="659"/>
      <c r="M93" s="467" t="e">
        <f>RANK(K93, K$87:$K$101)</f>
        <v>#VALUE!</v>
      </c>
      <c r="N93" s="643"/>
      <c r="O93" s="643"/>
      <c r="P93" s="563"/>
      <c r="Q93" s="565"/>
      <c r="R93" s="565"/>
      <c r="S93" s="563"/>
      <c r="T93" s="639"/>
      <c r="U93" s="563"/>
      <c r="V93" s="565"/>
      <c r="W93" s="565"/>
      <c r="X93" s="563"/>
      <c r="Y93" s="639"/>
      <c r="Z93" s="563"/>
      <c r="AA93" s="565"/>
      <c r="AB93" s="565"/>
      <c r="AC93" s="563"/>
      <c r="AD93" s="639"/>
      <c r="AE93" s="563"/>
      <c r="AF93" s="565"/>
      <c r="AG93" s="565"/>
      <c r="AH93" s="563"/>
      <c r="AI93" s="639"/>
      <c r="AJ93" s="563"/>
      <c r="AK93" s="565"/>
      <c r="AL93" s="565"/>
      <c r="AM93" s="563"/>
      <c r="AN93" s="639"/>
      <c r="AO93" s="563"/>
      <c r="AP93" s="565"/>
      <c r="AQ93" s="565"/>
      <c r="AR93" s="563"/>
      <c r="AS93" s="639"/>
      <c r="AT93" s="563"/>
      <c r="AU93" s="565"/>
      <c r="AV93" s="565"/>
      <c r="AW93" s="563"/>
      <c r="AX93" s="639"/>
      <c r="AZ93" s="368" t="e">
        <f t="shared" si="37"/>
        <v>#N/A</v>
      </c>
      <c r="BA93" s="644"/>
    </row>
    <row r="94" spans="2:53">
      <c r="B94" s="649"/>
      <c r="C94" s="380">
        <v>8</v>
      </c>
      <c r="D94" s="225"/>
      <c r="E94" s="516"/>
      <c r="F94" s="513"/>
      <c r="G94" s="512"/>
      <c r="H94" s="657"/>
      <c r="I94" s="381" t="str">
        <f t="shared" si="34"/>
        <v>-</v>
      </c>
      <c r="J94" s="381" t="str">
        <f t="shared" si="35"/>
        <v>-</v>
      </c>
      <c r="K94" s="199" t="str">
        <f t="shared" si="36"/>
        <v>-</v>
      </c>
      <c r="L94" s="659"/>
      <c r="M94" s="467" t="e">
        <f>RANK(K94, K$87:$K$101)</f>
        <v>#VALUE!</v>
      </c>
      <c r="N94" s="643"/>
      <c r="O94" s="643"/>
      <c r="P94" s="563"/>
      <c r="Q94" s="565"/>
      <c r="R94" s="565"/>
      <c r="S94" s="563"/>
      <c r="T94" s="639"/>
      <c r="U94" s="563"/>
      <c r="V94" s="565"/>
      <c r="W94" s="565"/>
      <c r="X94" s="563"/>
      <c r="Y94" s="639"/>
      <c r="Z94" s="563"/>
      <c r="AA94" s="565"/>
      <c r="AB94" s="565"/>
      <c r="AC94" s="563"/>
      <c r="AD94" s="639"/>
      <c r="AE94" s="563"/>
      <c r="AF94" s="565"/>
      <c r="AG94" s="565"/>
      <c r="AH94" s="563"/>
      <c r="AI94" s="639"/>
      <c r="AJ94" s="563"/>
      <c r="AK94" s="565"/>
      <c r="AL94" s="565"/>
      <c r="AM94" s="563"/>
      <c r="AN94" s="639"/>
      <c r="AO94" s="563"/>
      <c r="AP94" s="565"/>
      <c r="AQ94" s="565"/>
      <c r="AR94" s="563"/>
      <c r="AS94" s="639"/>
      <c r="AT94" s="563"/>
      <c r="AU94" s="565"/>
      <c r="AV94" s="565"/>
      <c r="AW94" s="563"/>
      <c r="AX94" s="639"/>
      <c r="AZ94" s="368" t="e">
        <f t="shared" si="37"/>
        <v>#N/A</v>
      </c>
      <c r="BA94" s="644"/>
    </row>
    <row r="95" spans="2:53">
      <c r="B95" s="649"/>
      <c r="C95" s="380">
        <v>9</v>
      </c>
      <c r="D95" s="225"/>
      <c r="E95" s="516"/>
      <c r="F95" s="513"/>
      <c r="G95" s="512"/>
      <c r="H95" s="657"/>
      <c r="I95" s="381" t="str">
        <f t="shared" si="34"/>
        <v>-</v>
      </c>
      <c r="J95" s="381" t="str">
        <f t="shared" si="35"/>
        <v>-</v>
      </c>
      <c r="K95" s="199" t="str">
        <f t="shared" si="36"/>
        <v>-</v>
      </c>
      <c r="L95" s="659"/>
      <c r="M95" s="467" t="e">
        <f>RANK(K95, K$87:$K$101)</f>
        <v>#VALUE!</v>
      </c>
      <c r="N95" s="643"/>
      <c r="O95" s="643"/>
      <c r="P95" s="563"/>
      <c r="Q95" s="565"/>
      <c r="R95" s="565"/>
      <c r="S95" s="563"/>
      <c r="T95" s="639"/>
      <c r="U95" s="563"/>
      <c r="V95" s="565"/>
      <c r="W95" s="565"/>
      <c r="X95" s="563"/>
      <c r="Y95" s="639"/>
      <c r="Z95" s="563"/>
      <c r="AA95" s="565"/>
      <c r="AB95" s="565"/>
      <c r="AC95" s="563"/>
      <c r="AD95" s="639"/>
      <c r="AE95" s="563"/>
      <c r="AF95" s="565"/>
      <c r="AG95" s="565"/>
      <c r="AH95" s="563"/>
      <c r="AI95" s="639"/>
      <c r="AJ95" s="563"/>
      <c r="AK95" s="565"/>
      <c r="AL95" s="565"/>
      <c r="AM95" s="563"/>
      <c r="AN95" s="639"/>
      <c r="AO95" s="563"/>
      <c r="AP95" s="565"/>
      <c r="AQ95" s="565"/>
      <c r="AR95" s="563"/>
      <c r="AS95" s="639"/>
      <c r="AT95" s="563"/>
      <c r="AU95" s="565"/>
      <c r="AV95" s="565"/>
      <c r="AW95" s="563"/>
      <c r="AX95" s="639"/>
      <c r="AZ95" s="368" t="e">
        <f t="shared" si="37"/>
        <v>#N/A</v>
      </c>
      <c r="BA95" s="644"/>
    </row>
    <row r="96" spans="2:53">
      <c r="B96" s="649"/>
      <c r="C96" s="380">
        <v>10</v>
      </c>
      <c r="D96" s="225"/>
      <c r="E96" s="516"/>
      <c r="F96" s="513"/>
      <c r="G96" s="512"/>
      <c r="H96" s="657"/>
      <c r="I96" s="381" t="str">
        <f t="shared" si="34"/>
        <v>-</v>
      </c>
      <c r="J96" s="381" t="str">
        <f t="shared" si="35"/>
        <v>-</v>
      </c>
      <c r="K96" s="199" t="str">
        <f t="shared" si="36"/>
        <v>-</v>
      </c>
      <c r="L96" s="659"/>
      <c r="M96" s="467" t="e">
        <f>RANK(K96, K$87:$K$101)</f>
        <v>#VALUE!</v>
      </c>
      <c r="N96" s="643"/>
      <c r="O96" s="643"/>
      <c r="P96" s="563"/>
      <c r="Q96" s="565"/>
      <c r="R96" s="565"/>
      <c r="S96" s="563"/>
      <c r="T96" s="639"/>
      <c r="U96" s="563"/>
      <c r="V96" s="565"/>
      <c r="W96" s="565"/>
      <c r="X96" s="563"/>
      <c r="Y96" s="639"/>
      <c r="Z96" s="563"/>
      <c r="AA96" s="565"/>
      <c r="AB96" s="565"/>
      <c r="AC96" s="563"/>
      <c r="AD96" s="639"/>
      <c r="AE96" s="563"/>
      <c r="AF96" s="565"/>
      <c r="AG96" s="565"/>
      <c r="AH96" s="563"/>
      <c r="AI96" s="639"/>
      <c r="AJ96" s="563"/>
      <c r="AK96" s="565"/>
      <c r="AL96" s="565"/>
      <c r="AM96" s="563"/>
      <c r="AN96" s="639"/>
      <c r="AO96" s="563"/>
      <c r="AP96" s="565"/>
      <c r="AQ96" s="565"/>
      <c r="AR96" s="563"/>
      <c r="AS96" s="639"/>
      <c r="AT96" s="563"/>
      <c r="AU96" s="565"/>
      <c r="AV96" s="565"/>
      <c r="AW96" s="563"/>
      <c r="AX96" s="639"/>
      <c r="AZ96" s="368" t="e">
        <f t="shared" si="37"/>
        <v>#N/A</v>
      </c>
      <c r="BA96" s="644"/>
    </row>
    <row r="97" spans="2:53">
      <c r="B97" s="649"/>
      <c r="C97" s="380">
        <v>11</v>
      </c>
      <c r="D97" s="225"/>
      <c r="E97" s="516"/>
      <c r="F97" s="513"/>
      <c r="G97" s="512"/>
      <c r="H97" s="657"/>
      <c r="I97" s="381" t="str">
        <f t="shared" si="34"/>
        <v>-</v>
      </c>
      <c r="J97" s="381" t="str">
        <f t="shared" si="35"/>
        <v>-</v>
      </c>
      <c r="K97" s="199" t="str">
        <f t="shared" si="36"/>
        <v>-</v>
      </c>
      <c r="L97" s="659"/>
      <c r="M97" s="467" t="e">
        <f>RANK(K97, K$87:$K$101)</f>
        <v>#VALUE!</v>
      </c>
      <c r="N97" s="643"/>
      <c r="O97" s="643"/>
      <c r="P97" s="563"/>
      <c r="Q97" s="565"/>
      <c r="R97" s="565"/>
      <c r="S97" s="563"/>
      <c r="T97" s="639"/>
      <c r="U97" s="563"/>
      <c r="V97" s="565"/>
      <c r="W97" s="565"/>
      <c r="X97" s="563"/>
      <c r="Y97" s="639"/>
      <c r="Z97" s="563"/>
      <c r="AA97" s="565"/>
      <c r="AB97" s="565"/>
      <c r="AC97" s="563"/>
      <c r="AD97" s="639"/>
      <c r="AE97" s="563"/>
      <c r="AF97" s="565"/>
      <c r="AG97" s="565"/>
      <c r="AH97" s="563"/>
      <c r="AI97" s="639"/>
      <c r="AJ97" s="563"/>
      <c r="AK97" s="565"/>
      <c r="AL97" s="565"/>
      <c r="AM97" s="563"/>
      <c r="AN97" s="639"/>
      <c r="AO97" s="563"/>
      <c r="AP97" s="565"/>
      <c r="AQ97" s="565"/>
      <c r="AR97" s="563"/>
      <c r="AS97" s="639"/>
      <c r="AT97" s="563"/>
      <c r="AU97" s="565"/>
      <c r="AV97" s="565"/>
      <c r="AW97" s="563"/>
      <c r="AX97" s="639"/>
      <c r="AZ97" s="368" t="e">
        <f t="shared" si="37"/>
        <v>#N/A</v>
      </c>
      <c r="BA97" s="644"/>
    </row>
    <row r="98" spans="2:53">
      <c r="B98" s="649"/>
      <c r="C98" s="380">
        <v>12</v>
      </c>
      <c r="D98" s="225"/>
      <c r="E98" s="516"/>
      <c r="F98" s="513"/>
      <c r="G98" s="512"/>
      <c r="H98" s="657"/>
      <c r="I98" s="381" t="str">
        <f t="shared" si="34"/>
        <v>-</v>
      </c>
      <c r="J98" s="381" t="str">
        <f t="shared" si="35"/>
        <v>-</v>
      </c>
      <c r="K98" s="199" t="str">
        <f t="shared" si="36"/>
        <v>-</v>
      </c>
      <c r="L98" s="659"/>
      <c r="M98" s="467" t="e">
        <f>RANK(K98, K$87:$K$101)</f>
        <v>#VALUE!</v>
      </c>
      <c r="N98" s="643"/>
      <c r="O98" s="643"/>
      <c r="P98" s="563"/>
      <c r="Q98" s="565"/>
      <c r="R98" s="565"/>
      <c r="S98" s="563"/>
      <c r="T98" s="639"/>
      <c r="U98" s="563"/>
      <c r="V98" s="565"/>
      <c r="W98" s="565"/>
      <c r="X98" s="563"/>
      <c r="Y98" s="639"/>
      <c r="Z98" s="563"/>
      <c r="AA98" s="565"/>
      <c r="AB98" s="565"/>
      <c r="AC98" s="563"/>
      <c r="AD98" s="639"/>
      <c r="AE98" s="563"/>
      <c r="AF98" s="565"/>
      <c r="AG98" s="565"/>
      <c r="AH98" s="563"/>
      <c r="AI98" s="639"/>
      <c r="AJ98" s="563"/>
      <c r="AK98" s="565"/>
      <c r="AL98" s="565"/>
      <c r="AM98" s="563"/>
      <c r="AN98" s="639"/>
      <c r="AO98" s="563"/>
      <c r="AP98" s="565"/>
      <c r="AQ98" s="565"/>
      <c r="AR98" s="563"/>
      <c r="AS98" s="639"/>
      <c r="AT98" s="563"/>
      <c r="AU98" s="565"/>
      <c r="AV98" s="565"/>
      <c r="AW98" s="563"/>
      <c r="AX98" s="639"/>
      <c r="AZ98" s="368" t="e">
        <f t="shared" si="37"/>
        <v>#N/A</v>
      </c>
      <c r="BA98" s="644"/>
    </row>
    <row r="99" spans="2:53">
      <c r="B99" s="649"/>
      <c r="C99" s="380">
        <v>13</v>
      </c>
      <c r="D99" s="225"/>
      <c r="E99" s="516"/>
      <c r="F99" s="513"/>
      <c r="G99" s="512"/>
      <c r="H99" s="657"/>
      <c r="I99" s="381" t="str">
        <f t="shared" si="34"/>
        <v>-</v>
      </c>
      <c r="J99" s="381" t="str">
        <f t="shared" si="35"/>
        <v>-</v>
      </c>
      <c r="K99" s="199" t="str">
        <f t="shared" si="36"/>
        <v>-</v>
      </c>
      <c r="L99" s="659"/>
      <c r="M99" s="467" t="e">
        <f>RANK(K99, K$87:$K$101)</f>
        <v>#VALUE!</v>
      </c>
      <c r="N99" s="643"/>
      <c r="O99" s="643"/>
      <c r="P99" s="563"/>
      <c r="Q99" s="565"/>
      <c r="R99" s="565"/>
      <c r="S99" s="563"/>
      <c r="T99" s="639"/>
      <c r="U99" s="563"/>
      <c r="V99" s="565"/>
      <c r="W99" s="565"/>
      <c r="X99" s="563"/>
      <c r="Y99" s="639"/>
      <c r="Z99" s="563"/>
      <c r="AA99" s="565"/>
      <c r="AB99" s="565"/>
      <c r="AC99" s="563"/>
      <c r="AD99" s="639"/>
      <c r="AE99" s="563"/>
      <c r="AF99" s="565"/>
      <c r="AG99" s="565"/>
      <c r="AH99" s="563"/>
      <c r="AI99" s="639"/>
      <c r="AJ99" s="563"/>
      <c r="AK99" s="565"/>
      <c r="AL99" s="565"/>
      <c r="AM99" s="563"/>
      <c r="AN99" s="639"/>
      <c r="AO99" s="563"/>
      <c r="AP99" s="565"/>
      <c r="AQ99" s="565"/>
      <c r="AR99" s="563"/>
      <c r="AS99" s="639"/>
      <c r="AT99" s="563"/>
      <c r="AU99" s="565"/>
      <c r="AV99" s="565"/>
      <c r="AW99" s="563"/>
      <c r="AX99" s="639"/>
      <c r="AZ99" s="368" t="e">
        <f t="shared" si="37"/>
        <v>#N/A</v>
      </c>
      <c r="BA99" s="644"/>
    </row>
    <row r="100" spans="2:53">
      <c r="B100" s="649"/>
      <c r="C100" s="380">
        <v>14</v>
      </c>
      <c r="D100" s="225"/>
      <c r="E100" s="516"/>
      <c r="F100" s="513"/>
      <c r="G100" s="512"/>
      <c r="H100" s="657"/>
      <c r="I100" s="381" t="str">
        <f t="shared" si="34"/>
        <v>-</v>
      </c>
      <c r="J100" s="381" t="str">
        <f t="shared" si="35"/>
        <v>-</v>
      </c>
      <c r="K100" s="199" t="str">
        <f t="shared" si="36"/>
        <v>-</v>
      </c>
      <c r="L100" s="659"/>
      <c r="M100" s="467" t="e">
        <f>RANK(K100, K$87:$K$101)</f>
        <v>#VALUE!</v>
      </c>
      <c r="N100" s="643"/>
      <c r="O100" s="643"/>
      <c r="P100" s="563"/>
      <c r="Q100" s="565"/>
      <c r="R100" s="565"/>
      <c r="S100" s="563"/>
      <c r="T100" s="639"/>
      <c r="U100" s="563"/>
      <c r="V100" s="565"/>
      <c r="W100" s="565"/>
      <c r="X100" s="563"/>
      <c r="Y100" s="639"/>
      <c r="Z100" s="563"/>
      <c r="AA100" s="565"/>
      <c r="AB100" s="565"/>
      <c r="AC100" s="563"/>
      <c r="AD100" s="639"/>
      <c r="AE100" s="563"/>
      <c r="AF100" s="565"/>
      <c r="AG100" s="565"/>
      <c r="AH100" s="563"/>
      <c r="AI100" s="639"/>
      <c r="AJ100" s="563"/>
      <c r="AK100" s="565"/>
      <c r="AL100" s="565"/>
      <c r="AM100" s="563"/>
      <c r="AN100" s="639"/>
      <c r="AO100" s="563"/>
      <c r="AP100" s="565"/>
      <c r="AQ100" s="565"/>
      <c r="AR100" s="563"/>
      <c r="AS100" s="639"/>
      <c r="AT100" s="563"/>
      <c r="AU100" s="565"/>
      <c r="AV100" s="565"/>
      <c r="AW100" s="563"/>
      <c r="AX100" s="639"/>
      <c r="AZ100" s="368" t="e">
        <f t="shared" si="37"/>
        <v>#N/A</v>
      </c>
      <c r="BA100" s="644"/>
    </row>
    <row r="101" spans="2:53">
      <c r="B101" s="649"/>
      <c r="C101" s="380">
        <v>15</v>
      </c>
      <c r="D101" s="225"/>
      <c r="E101" s="516"/>
      <c r="F101" s="513"/>
      <c r="G101" s="512"/>
      <c r="H101" s="714"/>
      <c r="I101" s="380"/>
      <c r="J101" s="380"/>
      <c r="K101" s="380"/>
      <c r="L101" s="660"/>
      <c r="M101" s="467" t="e">
        <f>RANK(K101, K$87:$K$101)</f>
        <v>#N/A</v>
      </c>
      <c r="N101" s="643"/>
      <c r="O101" s="643"/>
      <c r="P101" s="563"/>
      <c r="Q101" s="565"/>
      <c r="R101" s="565"/>
      <c r="S101" s="563"/>
      <c r="T101" s="640"/>
      <c r="U101" s="563"/>
      <c r="V101" s="565"/>
      <c r="W101" s="565"/>
      <c r="X101" s="563"/>
      <c r="Y101" s="640"/>
      <c r="Z101" s="563"/>
      <c r="AA101" s="565"/>
      <c r="AB101" s="565"/>
      <c r="AC101" s="563"/>
      <c r="AD101" s="640"/>
      <c r="AE101" s="563"/>
      <c r="AF101" s="565"/>
      <c r="AG101" s="565"/>
      <c r="AH101" s="563"/>
      <c r="AI101" s="640"/>
      <c r="AJ101" s="563"/>
      <c r="AK101" s="565"/>
      <c r="AL101" s="565"/>
      <c r="AM101" s="563"/>
      <c r="AN101" s="640"/>
      <c r="AO101" s="563"/>
      <c r="AP101" s="565"/>
      <c r="AQ101" s="565"/>
      <c r="AR101" s="563"/>
      <c r="AS101" s="640"/>
      <c r="AT101" s="563"/>
      <c r="AU101" s="565"/>
      <c r="AV101" s="565"/>
      <c r="AW101" s="563"/>
      <c r="AX101" s="640"/>
      <c r="AZ101" s="368" t="e">
        <f t="shared" si="37"/>
        <v>#N/A</v>
      </c>
      <c r="BA101" s="644"/>
    </row>
    <row r="102" spans="2:53" ht="15.75">
      <c r="B102" s="671" t="s">
        <v>162</v>
      </c>
      <c r="C102" s="672"/>
      <c r="D102" s="672"/>
      <c r="E102" s="672"/>
      <c r="F102" s="672"/>
      <c r="G102" s="672"/>
      <c r="H102" s="673"/>
      <c r="I102" s="207"/>
      <c r="J102" s="207"/>
      <c r="K102" s="207"/>
      <c r="L102" s="207"/>
      <c r="M102" s="206"/>
      <c r="N102" s="645" t="s">
        <v>156</v>
      </c>
      <c r="O102" s="645" t="s">
        <v>105</v>
      </c>
      <c r="P102" s="670">
        <f>P82+7</f>
        <v>46301</v>
      </c>
      <c r="Q102" s="649"/>
      <c r="R102" s="649"/>
      <c r="S102" s="649"/>
      <c r="T102" s="649"/>
      <c r="U102" s="667">
        <f>P102+1</f>
        <v>46302</v>
      </c>
      <c r="V102" s="668"/>
      <c r="W102" s="668"/>
      <c r="X102" s="668"/>
      <c r="Y102" s="669"/>
      <c r="Z102" s="667">
        <f>U102+1</f>
        <v>46303</v>
      </c>
      <c r="AA102" s="668"/>
      <c r="AB102" s="668"/>
      <c r="AC102" s="668"/>
      <c r="AD102" s="669"/>
      <c r="AE102" s="667">
        <f>Z102+1</f>
        <v>46304</v>
      </c>
      <c r="AF102" s="668"/>
      <c r="AG102" s="668"/>
      <c r="AH102" s="668"/>
      <c r="AI102" s="669"/>
      <c r="AJ102" s="667">
        <f>AE102+1</f>
        <v>46305</v>
      </c>
      <c r="AK102" s="668"/>
      <c r="AL102" s="668"/>
      <c r="AM102" s="668"/>
      <c r="AN102" s="669"/>
      <c r="AO102" s="667">
        <f>AJ102+1</f>
        <v>46306</v>
      </c>
      <c r="AP102" s="668"/>
      <c r="AQ102" s="668"/>
      <c r="AR102" s="668"/>
      <c r="AS102" s="669"/>
      <c r="AT102" s="667">
        <f>AO102+1</f>
        <v>46307</v>
      </c>
      <c r="AU102" s="668"/>
      <c r="AV102" s="668"/>
      <c r="AW102" s="668"/>
      <c r="AX102" s="669"/>
    </row>
    <row r="103" spans="2:53" ht="15.75">
      <c r="B103" s="674"/>
      <c r="C103" s="674"/>
      <c r="D103" s="674"/>
      <c r="E103" s="674"/>
      <c r="F103" s="674"/>
      <c r="G103" s="674"/>
      <c r="H103" s="674"/>
      <c r="I103" s="204"/>
      <c r="J103" s="204"/>
      <c r="K103" s="204"/>
      <c r="L103" s="204"/>
      <c r="M103" s="205"/>
      <c r="N103" s="647"/>
      <c r="O103" s="647"/>
      <c r="P103" s="670" t="s">
        <v>158</v>
      </c>
      <c r="Q103" s="649"/>
      <c r="R103" s="649"/>
      <c r="S103" s="649"/>
      <c r="T103" s="649"/>
      <c r="U103" s="670" t="s">
        <v>114</v>
      </c>
      <c r="V103" s="649"/>
      <c r="W103" s="649"/>
      <c r="X103" s="649"/>
      <c r="Y103" s="649"/>
      <c r="Z103" s="670" t="s">
        <v>159</v>
      </c>
      <c r="AA103" s="649"/>
      <c r="AB103" s="649"/>
      <c r="AC103" s="649"/>
      <c r="AD103" s="649"/>
      <c r="AE103" s="670" t="s">
        <v>157</v>
      </c>
      <c r="AF103" s="649"/>
      <c r="AG103" s="649"/>
      <c r="AH103" s="649"/>
      <c r="AI103" s="649"/>
      <c r="AJ103" s="670" t="s">
        <v>160</v>
      </c>
      <c r="AK103" s="649"/>
      <c r="AL103" s="649"/>
      <c r="AM103" s="649"/>
      <c r="AN103" s="649"/>
      <c r="AO103" s="670" t="s">
        <v>115</v>
      </c>
      <c r="AP103" s="649"/>
      <c r="AQ103" s="649"/>
      <c r="AR103" s="649"/>
      <c r="AS103" s="649"/>
      <c r="AT103" s="670" t="s">
        <v>161</v>
      </c>
      <c r="AU103" s="649"/>
      <c r="AV103" s="649"/>
      <c r="AW103" s="649"/>
      <c r="AX103" s="649"/>
    </row>
    <row r="104" spans="2:53">
      <c r="B104" s="643" t="s">
        <v>522</v>
      </c>
      <c r="C104" s="643" t="s">
        <v>523</v>
      </c>
      <c r="D104" s="643"/>
      <c r="E104" s="643" t="s">
        <v>524</v>
      </c>
      <c r="F104" s="643"/>
      <c r="G104" s="643"/>
      <c r="H104" s="675" t="s">
        <v>525</v>
      </c>
      <c r="I104" s="643" t="s">
        <v>526</v>
      </c>
      <c r="J104" s="643"/>
      <c r="K104" s="643"/>
      <c r="L104" s="675" t="s">
        <v>359</v>
      </c>
      <c r="M104" s="645" t="s">
        <v>527</v>
      </c>
      <c r="N104" s="643"/>
      <c r="O104" s="643" t="s">
        <v>513</v>
      </c>
      <c r="P104" s="661" t="s">
        <v>514</v>
      </c>
      <c r="Q104" s="662"/>
      <c r="R104" s="662"/>
      <c r="S104" s="663"/>
      <c r="T104" s="643" t="s">
        <v>510</v>
      </c>
      <c r="U104" s="661" t="s">
        <v>514</v>
      </c>
      <c r="V104" s="662"/>
      <c r="W104" s="662"/>
      <c r="X104" s="663"/>
      <c r="Y104" s="643" t="s">
        <v>510</v>
      </c>
      <c r="Z104" s="661" t="s">
        <v>514</v>
      </c>
      <c r="AA104" s="662"/>
      <c r="AB104" s="662"/>
      <c r="AC104" s="663"/>
      <c r="AD104" s="643" t="s">
        <v>510</v>
      </c>
      <c r="AE104" s="661" t="s">
        <v>514</v>
      </c>
      <c r="AF104" s="662"/>
      <c r="AG104" s="662"/>
      <c r="AH104" s="663"/>
      <c r="AI104" s="643" t="s">
        <v>510</v>
      </c>
      <c r="AJ104" s="661" t="s">
        <v>514</v>
      </c>
      <c r="AK104" s="662"/>
      <c r="AL104" s="662"/>
      <c r="AM104" s="663"/>
      <c r="AN104" s="643" t="s">
        <v>510</v>
      </c>
      <c r="AO104" s="661" t="s">
        <v>514</v>
      </c>
      <c r="AP104" s="662"/>
      <c r="AQ104" s="662"/>
      <c r="AR104" s="663"/>
      <c r="AS104" s="643" t="s">
        <v>510</v>
      </c>
      <c r="AT104" s="661" t="s">
        <v>514</v>
      </c>
      <c r="AU104" s="662"/>
      <c r="AV104" s="662"/>
      <c r="AW104" s="663"/>
      <c r="AX104" s="643" t="s">
        <v>510</v>
      </c>
      <c r="BA104" s="643" t="s">
        <v>359</v>
      </c>
    </row>
    <row r="105" spans="2:53">
      <c r="B105" s="643"/>
      <c r="C105" s="643"/>
      <c r="D105" s="643"/>
      <c r="E105" s="643" t="s">
        <v>529</v>
      </c>
      <c r="F105" s="643"/>
      <c r="G105" s="643"/>
      <c r="H105" s="676"/>
      <c r="I105" s="643" t="s">
        <v>529</v>
      </c>
      <c r="J105" s="643"/>
      <c r="K105" s="643"/>
      <c r="L105" s="676"/>
      <c r="M105" s="646"/>
      <c r="N105" s="643"/>
      <c r="O105" s="643"/>
      <c r="P105" s="661" t="s">
        <v>516</v>
      </c>
      <c r="Q105" s="662"/>
      <c r="R105" s="662"/>
      <c r="S105" s="663"/>
      <c r="T105" s="643"/>
      <c r="U105" s="661" t="s">
        <v>516</v>
      </c>
      <c r="V105" s="662"/>
      <c r="W105" s="662"/>
      <c r="X105" s="663"/>
      <c r="Y105" s="643"/>
      <c r="Z105" s="661" t="s">
        <v>516</v>
      </c>
      <c r="AA105" s="662"/>
      <c r="AB105" s="662"/>
      <c r="AC105" s="663"/>
      <c r="AD105" s="643"/>
      <c r="AE105" s="661" t="s">
        <v>516</v>
      </c>
      <c r="AF105" s="662"/>
      <c r="AG105" s="662"/>
      <c r="AH105" s="663"/>
      <c r="AI105" s="643"/>
      <c r="AJ105" s="661" t="s">
        <v>516</v>
      </c>
      <c r="AK105" s="662"/>
      <c r="AL105" s="662"/>
      <c r="AM105" s="663"/>
      <c r="AN105" s="643"/>
      <c r="AO105" s="661" t="s">
        <v>516</v>
      </c>
      <c r="AP105" s="662"/>
      <c r="AQ105" s="662"/>
      <c r="AR105" s="663"/>
      <c r="AS105" s="643"/>
      <c r="AT105" s="661" t="s">
        <v>516</v>
      </c>
      <c r="AU105" s="662"/>
      <c r="AV105" s="662"/>
      <c r="AW105" s="663"/>
      <c r="AX105" s="643"/>
      <c r="BA105" s="643"/>
    </row>
    <row r="106" spans="2:53">
      <c r="B106" s="643"/>
      <c r="C106" s="643"/>
      <c r="D106" s="643"/>
      <c r="E106" s="345" t="s">
        <v>530</v>
      </c>
      <c r="F106" s="345" t="s">
        <v>531</v>
      </c>
      <c r="G106" s="345" t="s">
        <v>532</v>
      </c>
      <c r="H106" s="677"/>
      <c r="I106" s="345" t="s">
        <v>530</v>
      </c>
      <c r="J106" s="345" t="s">
        <v>531</v>
      </c>
      <c r="K106" s="345" t="s">
        <v>532</v>
      </c>
      <c r="L106" s="677"/>
      <c r="M106" s="647"/>
      <c r="N106" s="643"/>
      <c r="O106" s="643"/>
      <c r="P106" s="345" t="s">
        <v>517</v>
      </c>
      <c r="Q106" s="345" t="s">
        <v>518</v>
      </c>
      <c r="R106" s="345" t="s">
        <v>519</v>
      </c>
      <c r="S106" s="345" t="s">
        <v>512</v>
      </c>
      <c r="T106" s="643"/>
      <c r="U106" s="345" t="s">
        <v>517</v>
      </c>
      <c r="V106" s="345" t="s">
        <v>518</v>
      </c>
      <c r="W106" s="345" t="s">
        <v>519</v>
      </c>
      <c r="X106" s="345" t="s">
        <v>512</v>
      </c>
      <c r="Y106" s="643"/>
      <c r="Z106" s="345" t="s">
        <v>517</v>
      </c>
      <c r="AA106" s="345" t="s">
        <v>518</v>
      </c>
      <c r="AB106" s="345" t="s">
        <v>519</v>
      </c>
      <c r="AC106" s="345" t="s">
        <v>512</v>
      </c>
      <c r="AD106" s="643"/>
      <c r="AE106" s="345" t="s">
        <v>517</v>
      </c>
      <c r="AF106" s="345" t="s">
        <v>518</v>
      </c>
      <c r="AG106" s="345" t="s">
        <v>519</v>
      </c>
      <c r="AH106" s="345" t="s">
        <v>512</v>
      </c>
      <c r="AI106" s="643"/>
      <c r="AJ106" s="345" t="s">
        <v>517</v>
      </c>
      <c r="AK106" s="345" t="s">
        <v>518</v>
      </c>
      <c r="AL106" s="345" t="s">
        <v>519</v>
      </c>
      <c r="AM106" s="345" t="s">
        <v>512</v>
      </c>
      <c r="AN106" s="643"/>
      <c r="AO106" s="345" t="s">
        <v>517</v>
      </c>
      <c r="AP106" s="345" t="s">
        <v>518</v>
      </c>
      <c r="AQ106" s="345" t="s">
        <v>519</v>
      </c>
      <c r="AR106" s="345" t="s">
        <v>512</v>
      </c>
      <c r="AS106" s="643"/>
      <c r="AT106" s="345" t="s">
        <v>517</v>
      </c>
      <c r="AU106" s="345" t="s">
        <v>518</v>
      </c>
      <c r="AV106" s="345" t="s">
        <v>519</v>
      </c>
      <c r="AW106" s="345" t="s">
        <v>512</v>
      </c>
      <c r="AX106" s="643"/>
      <c r="AZ106" s="367" t="s">
        <v>512</v>
      </c>
      <c r="BA106" s="643"/>
    </row>
    <row r="107" spans="2:53">
      <c r="B107" s="643" t="s">
        <v>136</v>
      </c>
      <c r="C107" s="348">
        <v>1</v>
      </c>
      <c r="D107" s="225"/>
      <c r="E107" s="181"/>
      <c r="F107" s="353"/>
      <c r="G107" s="354"/>
      <c r="H107" s="656" t="e">
        <f>AVERAGE(G107:G121)</f>
        <v>#DIV/0!</v>
      </c>
      <c r="I107" s="363" t="str">
        <f t="shared" ref="I107:I120" si="39">IFERROR(AVERAGE(P107,U107,Z107,AE107,AJ107,AO107,AT107),"-")</f>
        <v>-</v>
      </c>
      <c r="J107" s="363" t="str">
        <f t="shared" ref="J107:J120" si="40">IFERROR(AVERAGE(Q107,V107,AA107,AF107,AK107,AP107,AU107),"-")</f>
        <v>-</v>
      </c>
      <c r="K107" s="199" t="str">
        <f t="shared" ref="K107:K120" si="41">IFERROR(AVERAGE(R107,W107,AB107,AG107,AL107,AQ107,AV107),"-")</f>
        <v>-</v>
      </c>
      <c r="L107" s="658" t="str">
        <f>IFERROR(AVERAGE(K107:K121),"-")</f>
        <v>-</v>
      </c>
      <c r="M107" s="349" t="e">
        <f>RANK(K107, K$67:$K$81)</f>
        <v>#VALUE!</v>
      </c>
      <c r="N107" s="643"/>
      <c r="O107" s="643"/>
      <c r="P107" s="563"/>
      <c r="Q107" s="565"/>
      <c r="R107" s="565"/>
      <c r="S107" s="563"/>
      <c r="T107" s="638"/>
      <c r="U107" s="563"/>
      <c r="V107" s="565"/>
      <c r="W107" s="565"/>
      <c r="X107" s="563"/>
      <c r="Y107" s="638"/>
      <c r="Z107" s="563"/>
      <c r="AA107" s="565"/>
      <c r="AB107" s="565"/>
      <c r="AC107" s="563"/>
      <c r="AD107" s="638"/>
      <c r="AE107" s="563"/>
      <c r="AF107" s="565"/>
      <c r="AG107" s="565"/>
      <c r="AH107" s="563"/>
      <c r="AI107" s="638"/>
      <c r="AJ107" s="563"/>
      <c r="AK107" s="565"/>
      <c r="AL107" s="565"/>
      <c r="AM107" s="563"/>
      <c r="AN107" s="638"/>
      <c r="AO107" s="563"/>
      <c r="AP107" s="565"/>
      <c r="AQ107" s="565"/>
      <c r="AR107" s="563"/>
      <c r="AS107" s="638"/>
      <c r="AT107" s="563"/>
      <c r="AU107" s="565"/>
      <c r="AV107" s="565"/>
      <c r="AW107" s="563"/>
      <c r="AX107" s="638"/>
      <c r="AZ107" s="369" t="e">
        <f>RANK(AY107, AY$67:AY$81)</f>
        <v>#N/A</v>
      </c>
      <c r="BA107" s="700" t="e">
        <f>AVERAGE(AY107:AY121)</f>
        <v>#DIV/0!</v>
      </c>
    </row>
    <row r="108" spans="2:53">
      <c r="B108" s="678"/>
      <c r="C108" s="348">
        <v>2</v>
      </c>
      <c r="D108" s="225"/>
      <c r="E108" s="181"/>
      <c r="F108" s="353"/>
      <c r="G108" s="354"/>
      <c r="H108" s="657"/>
      <c r="I108" s="363" t="str">
        <f t="shared" si="39"/>
        <v>-</v>
      </c>
      <c r="J108" s="363" t="str">
        <f t="shared" si="40"/>
        <v>-</v>
      </c>
      <c r="K108" s="199" t="str">
        <f t="shared" si="41"/>
        <v>-</v>
      </c>
      <c r="L108" s="659"/>
      <c r="M108" s="349" t="e">
        <f>RANK(K108, K$67:$K$81)</f>
        <v>#VALUE!</v>
      </c>
      <c r="N108" s="643"/>
      <c r="O108" s="643"/>
      <c r="P108" s="563"/>
      <c r="Q108" s="565"/>
      <c r="R108" s="565"/>
      <c r="S108" s="563"/>
      <c r="T108" s="639"/>
      <c r="U108" s="563"/>
      <c r="V108" s="565"/>
      <c r="W108" s="565"/>
      <c r="X108" s="563"/>
      <c r="Y108" s="639"/>
      <c r="Z108" s="563"/>
      <c r="AA108" s="565"/>
      <c r="AB108" s="565"/>
      <c r="AC108" s="563"/>
      <c r="AD108" s="639"/>
      <c r="AE108" s="563"/>
      <c r="AF108" s="565"/>
      <c r="AG108" s="565"/>
      <c r="AH108" s="563"/>
      <c r="AI108" s="639"/>
      <c r="AJ108" s="563"/>
      <c r="AK108" s="565"/>
      <c r="AL108" s="565"/>
      <c r="AM108" s="563"/>
      <c r="AN108" s="639"/>
      <c r="AO108" s="563"/>
      <c r="AP108" s="565"/>
      <c r="AQ108" s="565"/>
      <c r="AR108" s="563"/>
      <c r="AS108" s="639"/>
      <c r="AT108" s="563"/>
      <c r="AU108" s="565"/>
      <c r="AV108" s="565"/>
      <c r="AW108" s="563"/>
      <c r="AX108" s="639"/>
      <c r="AZ108" s="369" t="e">
        <f t="shared" ref="AZ108:AZ121" si="42">RANK(AY108, AY$67:AY$81)</f>
        <v>#N/A</v>
      </c>
      <c r="BA108" s="700"/>
    </row>
    <row r="109" spans="2:53">
      <c r="B109" s="678"/>
      <c r="C109" s="348">
        <v>3</v>
      </c>
      <c r="D109" s="225"/>
      <c r="E109" s="181"/>
      <c r="F109" s="353"/>
      <c r="G109" s="354"/>
      <c r="H109" s="657"/>
      <c r="I109" s="363" t="str">
        <f t="shared" si="39"/>
        <v>-</v>
      </c>
      <c r="J109" s="363" t="str">
        <f t="shared" si="40"/>
        <v>-</v>
      </c>
      <c r="K109" s="199" t="str">
        <f t="shared" si="41"/>
        <v>-</v>
      </c>
      <c r="L109" s="659"/>
      <c r="M109" s="349" t="e">
        <f>RANK(K109, K$67:$K$81)</f>
        <v>#VALUE!</v>
      </c>
      <c r="N109" s="643"/>
      <c r="O109" s="643"/>
      <c r="P109" s="563"/>
      <c r="Q109" s="565"/>
      <c r="R109" s="565"/>
      <c r="S109" s="563"/>
      <c r="T109" s="639"/>
      <c r="U109" s="563"/>
      <c r="V109" s="565"/>
      <c r="W109" s="565"/>
      <c r="X109" s="563"/>
      <c r="Y109" s="639"/>
      <c r="Z109" s="563"/>
      <c r="AA109" s="565"/>
      <c r="AB109" s="565"/>
      <c r="AC109" s="563"/>
      <c r="AD109" s="639"/>
      <c r="AE109" s="563"/>
      <c r="AF109" s="565"/>
      <c r="AG109" s="565"/>
      <c r="AH109" s="563"/>
      <c r="AI109" s="639"/>
      <c r="AJ109" s="563"/>
      <c r="AK109" s="565"/>
      <c r="AL109" s="565"/>
      <c r="AM109" s="563"/>
      <c r="AN109" s="639"/>
      <c r="AO109" s="563"/>
      <c r="AP109" s="565"/>
      <c r="AQ109" s="565"/>
      <c r="AR109" s="563"/>
      <c r="AS109" s="639"/>
      <c r="AT109" s="563"/>
      <c r="AU109" s="565"/>
      <c r="AV109" s="565"/>
      <c r="AW109" s="563"/>
      <c r="AX109" s="639"/>
      <c r="AZ109" s="369" t="e">
        <f t="shared" si="42"/>
        <v>#N/A</v>
      </c>
      <c r="BA109" s="700"/>
    </row>
    <row r="110" spans="2:53">
      <c r="B110" s="678"/>
      <c r="C110" s="348">
        <v>4</v>
      </c>
      <c r="D110" s="225"/>
      <c r="E110" s="181"/>
      <c r="F110" s="353"/>
      <c r="G110" s="354"/>
      <c r="H110" s="657"/>
      <c r="I110" s="363" t="str">
        <f t="shared" si="39"/>
        <v>-</v>
      </c>
      <c r="J110" s="363" t="str">
        <f t="shared" si="40"/>
        <v>-</v>
      </c>
      <c r="K110" s="199" t="str">
        <f t="shared" si="41"/>
        <v>-</v>
      </c>
      <c r="L110" s="659"/>
      <c r="M110" s="349" t="e">
        <f>RANK(K110, K$67:$K$81)</f>
        <v>#VALUE!</v>
      </c>
      <c r="N110" s="643"/>
      <c r="O110" s="643"/>
      <c r="P110" s="563"/>
      <c r="Q110" s="565"/>
      <c r="R110" s="565"/>
      <c r="S110" s="563"/>
      <c r="T110" s="639"/>
      <c r="U110" s="563"/>
      <c r="V110" s="565"/>
      <c r="W110" s="565"/>
      <c r="X110" s="563"/>
      <c r="Y110" s="639"/>
      <c r="Z110" s="563"/>
      <c r="AA110" s="565"/>
      <c r="AB110" s="565"/>
      <c r="AC110" s="563"/>
      <c r="AD110" s="639"/>
      <c r="AE110" s="563"/>
      <c r="AF110" s="565"/>
      <c r="AG110" s="565"/>
      <c r="AH110" s="563"/>
      <c r="AI110" s="639"/>
      <c r="AJ110" s="563"/>
      <c r="AK110" s="565"/>
      <c r="AL110" s="565"/>
      <c r="AM110" s="563"/>
      <c r="AN110" s="639"/>
      <c r="AO110" s="563"/>
      <c r="AP110" s="565"/>
      <c r="AQ110" s="565"/>
      <c r="AR110" s="563"/>
      <c r="AS110" s="639"/>
      <c r="AT110" s="563"/>
      <c r="AU110" s="565"/>
      <c r="AV110" s="565"/>
      <c r="AW110" s="563"/>
      <c r="AX110" s="639"/>
      <c r="AZ110" s="369" t="e">
        <f t="shared" si="42"/>
        <v>#N/A</v>
      </c>
      <c r="BA110" s="700"/>
    </row>
    <row r="111" spans="2:53">
      <c r="B111" s="678"/>
      <c r="C111" s="348">
        <v>5</v>
      </c>
      <c r="D111" s="225"/>
      <c r="E111" s="181"/>
      <c r="F111" s="353"/>
      <c r="G111" s="354"/>
      <c r="H111" s="657"/>
      <c r="I111" s="363" t="str">
        <f t="shared" si="39"/>
        <v>-</v>
      </c>
      <c r="J111" s="363" t="str">
        <f t="shared" si="40"/>
        <v>-</v>
      </c>
      <c r="K111" s="199" t="str">
        <f t="shared" si="41"/>
        <v>-</v>
      </c>
      <c r="L111" s="659"/>
      <c r="M111" s="349" t="e">
        <f>RANK(K111, K$67:$K$81)</f>
        <v>#VALUE!</v>
      </c>
      <c r="N111" s="643"/>
      <c r="O111" s="643"/>
      <c r="P111" s="563"/>
      <c r="Q111" s="565"/>
      <c r="R111" s="565"/>
      <c r="S111" s="563"/>
      <c r="T111" s="639"/>
      <c r="U111" s="563"/>
      <c r="V111" s="565"/>
      <c r="W111" s="565"/>
      <c r="X111" s="563"/>
      <c r="Y111" s="639"/>
      <c r="Z111" s="563"/>
      <c r="AA111" s="565"/>
      <c r="AB111" s="565"/>
      <c r="AC111" s="563"/>
      <c r="AD111" s="639"/>
      <c r="AE111" s="563"/>
      <c r="AF111" s="565"/>
      <c r="AG111" s="565"/>
      <c r="AH111" s="563"/>
      <c r="AI111" s="639"/>
      <c r="AJ111" s="563"/>
      <c r="AK111" s="565"/>
      <c r="AL111" s="565"/>
      <c r="AM111" s="563"/>
      <c r="AN111" s="639"/>
      <c r="AO111" s="563"/>
      <c r="AP111" s="565"/>
      <c r="AQ111" s="565"/>
      <c r="AR111" s="563"/>
      <c r="AS111" s="639"/>
      <c r="AT111" s="563"/>
      <c r="AU111" s="565"/>
      <c r="AV111" s="565"/>
      <c r="AW111" s="563"/>
      <c r="AX111" s="639"/>
      <c r="AZ111" s="369" t="e">
        <f t="shared" si="42"/>
        <v>#N/A</v>
      </c>
      <c r="BA111" s="700"/>
    </row>
    <row r="112" spans="2:53">
      <c r="B112" s="678"/>
      <c r="C112" s="348">
        <v>6</v>
      </c>
      <c r="D112" s="225"/>
      <c r="E112" s="181"/>
      <c r="F112" s="353"/>
      <c r="G112" s="354"/>
      <c r="H112" s="657"/>
      <c r="I112" s="363" t="str">
        <f t="shared" si="39"/>
        <v>-</v>
      </c>
      <c r="J112" s="363" t="str">
        <f t="shared" si="40"/>
        <v>-</v>
      </c>
      <c r="K112" s="199" t="str">
        <f t="shared" si="41"/>
        <v>-</v>
      </c>
      <c r="L112" s="659"/>
      <c r="M112" s="349" t="e">
        <f>RANK(K112, K$67:$K$81)</f>
        <v>#VALUE!</v>
      </c>
      <c r="N112" s="643"/>
      <c r="O112" s="643"/>
      <c r="P112" s="563"/>
      <c r="Q112" s="565"/>
      <c r="R112" s="565"/>
      <c r="S112" s="563"/>
      <c r="T112" s="639"/>
      <c r="U112" s="563"/>
      <c r="V112" s="565"/>
      <c r="W112" s="565"/>
      <c r="X112" s="563"/>
      <c r="Y112" s="639"/>
      <c r="Z112" s="563"/>
      <c r="AA112" s="565"/>
      <c r="AB112" s="565"/>
      <c r="AC112" s="563"/>
      <c r="AD112" s="639"/>
      <c r="AE112" s="563"/>
      <c r="AF112" s="565"/>
      <c r="AG112" s="565"/>
      <c r="AH112" s="563"/>
      <c r="AI112" s="639"/>
      <c r="AJ112" s="563"/>
      <c r="AK112" s="565"/>
      <c r="AL112" s="565"/>
      <c r="AM112" s="563"/>
      <c r="AN112" s="639"/>
      <c r="AO112" s="563"/>
      <c r="AP112" s="565"/>
      <c r="AQ112" s="565"/>
      <c r="AR112" s="563"/>
      <c r="AS112" s="639"/>
      <c r="AT112" s="563"/>
      <c r="AU112" s="565"/>
      <c r="AV112" s="565"/>
      <c r="AW112" s="563"/>
      <c r="AX112" s="639"/>
      <c r="AZ112" s="369" t="e">
        <f t="shared" si="42"/>
        <v>#N/A</v>
      </c>
      <c r="BA112" s="700"/>
    </row>
    <row r="113" spans="2:53">
      <c r="B113" s="678"/>
      <c r="C113" s="348">
        <v>7</v>
      </c>
      <c r="D113" s="225"/>
      <c r="E113" s="181"/>
      <c r="F113" s="353"/>
      <c r="G113" s="354"/>
      <c r="H113" s="657"/>
      <c r="I113" s="363" t="str">
        <f t="shared" si="39"/>
        <v>-</v>
      </c>
      <c r="J113" s="363" t="str">
        <f t="shared" si="40"/>
        <v>-</v>
      </c>
      <c r="K113" s="199" t="str">
        <f t="shared" si="41"/>
        <v>-</v>
      </c>
      <c r="L113" s="659"/>
      <c r="M113" s="349" t="e">
        <f>RANK(K113, K$67:$K$81)</f>
        <v>#VALUE!</v>
      </c>
      <c r="N113" s="643"/>
      <c r="O113" s="643"/>
      <c r="P113" s="563"/>
      <c r="Q113" s="565"/>
      <c r="R113" s="565"/>
      <c r="S113" s="563"/>
      <c r="T113" s="639"/>
      <c r="U113" s="563"/>
      <c r="V113" s="565"/>
      <c r="W113" s="565"/>
      <c r="X113" s="563"/>
      <c r="Y113" s="639"/>
      <c r="Z113" s="563"/>
      <c r="AA113" s="565"/>
      <c r="AB113" s="565"/>
      <c r="AC113" s="563"/>
      <c r="AD113" s="639"/>
      <c r="AE113" s="563"/>
      <c r="AF113" s="565"/>
      <c r="AG113" s="565"/>
      <c r="AH113" s="563"/>
      <c r="AI113" s="639"/>
      <c r="AJ113" s="563"/>
      <c r="AK113" s="565"/>
      <c r="AL113" s="565"/>
      <c r="AM113" s="563"/>
      <c r="AN113" s="639"/>
      <c r="AO113" s="563"/>
      <c r="AP113" s="565"/>
      <c r="AQ113" s="565"/>
      <c r="AR113" s="563"/>
      <c r="AS113" s="639"/>
      <c r="AT113" s="563"/>
      <c r="AU113" s="565"/>
      <c r="AV113" s="565"/>
      <c r="AW113" s="563"/>
      <c r="AX113" s="639"/>
      <c r="AZ113" s="369" t="e">
        <f t="shared" si="42"/>
        <v>#N/A</v>
      </c>
      <c r="BA113" s="700"/>
    </row>
    <row r="114" spans="2:53">
      <c r="B114" s="678"/>
      <c r="C114" s="348">
        <v>8</v>
      </c>
      <c r="D114" s="225"/>
      <c r="E114" s="181"/>
      <c r="F114" s="353"/>
      <c r="G114" s="354"/>
      <c r="H114" s="657"/>
      <c r="I114" s="363" t="str">
        <f t="shared" si="39"/>
        <v>-</v>
      </c>
      <c r="J114" s="363" t="str">
        <f t="shared" si="40"/>
        <v>-</v>
      </c>
      <c r="K114" s="199" t="str">
        <f t="shared" si="41"/>
        <v>-</v>
      </c>
      <c r="L114" s="659"/>
      <c r="M114" s="349" t="e">
        <f>RANK(K114, K$67:$K$81)</f>
        <v>#VALUE!</v>
      </c>
      <c r="N114" s="643"/>
      <c r="O114" s="643"/>
      <c r="P114" s="563"/>
      <c r="Q114" s="565"/>
      <c r="R114" s="565"/>
      <c r="S114" s="563"/>
      <c r="T114" s="639"/>
      <c r="U114" s="563"/>
      <c r="V114" s="565"/>
      <c r="W114" s="565"/>
      <c r="X114" s="563"/>
      <c r="Y114" s="639"/>
      <c r="Z114" s="563"/>
      <c r="AA114" s="565"/>
      <c r="AB114" s="565"/>
      <c r="AC114" s="563"/>
      <c r="AD114" s="639"/>
      <c r="AE114" s="563"/>
      <c r="AF114" s="565"/>
      <c r="AG114" s="565"/>
      <c r="AH114" s="563"/>
      <c r="AI114" s="639"/>
      <c r="AJ114" s="563"/>
      <c r="AK114" s="565"/>
      <c r="AL114" s="565"/>
      <c r="AM114" s="563"/>
      <c r="AN114" s="639"/>
      <c r="AO114" s="563"/>
      <c r="AP114" s="565"/>
      <c r="AQ114" s="565"/>
      <c r="AR114" s="563"/>
      <c r="AS114" s="639"/>
      <c r="AT114" s="563"/>
      <c r="AU114" s="565"/>
      <c r="AV114" s="565"/>
      <c r="AW114" s="563"/>
      <c r="AX114" s="639"/>
      <c r="AZ114" s="369" t="e">
        <f t="shared" si="42"/>
        <v>#N/A</v>
      </c>
      <c r="BA114" s="700"/>
    </row>
    <row r="115" spans="2:53">
      <c r="B115" s="678"/>
      <c r="C115" s="348">
        <v>9</v>
      </c>
      <c r="D115" s="225"/>
      <c r="E115" s="181"/>
      <c r="F115" s="353"/>
      <c r="G115" s="354"/>
      <c r="H115" s="657"/>
      <c r="I115" s="363" t="str">
        <f t="shared" si="39"/>
        <v>-</v>
      </c>
      <c r="J115" s="363" t="str">
        <f t="shared" si="40"/>
        <v>-</v>
      </c>
      <c r="K115" s="199" t="str">
        <f t="shared" si="41"/>
        <v>-</v>
      </c>
      <c r="L115" s="659"/>
      <c r="M115" s="349" t="e">
        <f>RANK(K115, K$67:$K$81)</f>
        <v>#VALUE!</v>
      </c>
      <c r="N115" s="643"/>
      <c r="O115" s="643"/>
      <c r="P115" s="563"/>
      <c r="Q115" s="565"/>
      <c r="R115" s="565"/>
      <c r="S115" s="563"/>
      <c r="T115" s="639"/>
      <c r="U115" s="563"/>
      <c r="V115" s="565"/>
      <c r="W115" s="565"/>
      <c r="X115" s="563"/>
      <c r="Y115" s="639"/>
      <c r="Z115" s="563"/>
      <c r="AA115" s="565"/>
      <c r="AB115" s="565"/>
      <c r="AC115" s="563"/>
      <c r="AD115" s="639"/>
      <c r="AE115" s="563"/>
      <c r="AF115" s="565"/>
      <c r="AG115" s="565"/>
      <c r="AH115" s="563"/>
      <c r="AI115" s="639"/>
      <c r="AJ115" s="563"/>
      <c r="AK115" s="565"/>
      <c r="AL115" s="565"/>
      <c r="AM115" s="563"/>
      <c r="AN115" s="639"/>
      <c r="AO115" s="563"/>
      <c r="AP115" s="565"/>
      <c r="AQ115" s="565"/>
      <c r="AR115" s="563"/>
      <c r="AS115" s="639"/>
      <c r="AT115" s="563"/>
      <c r="AU115" s="565"/>
      <c r="AV115" s="565"/>
      <c r="AW115" s="563"/>
      <c r="AX115" s="639"/>
      <c r="AZ115" s="369" t="e">
        <f t="shared" si="42"/>
        <v>#N/A</v>
      </c>
      <c r="BA115" s="700"/>
    </row>
    <row r="116" spans="2:53">
      <c r="B116" s="678"/>
      <c r="C116" s="348">
        <v>10</v>
      </c>
      <c r="D116" s="225"/>
      <c r="E116" s="181"/>
      <c r="F116" s="353"/>
      <c r="G116" s="354"/>
      <c r="H116" s="657"/>
      <c r="I116" s="363" t="str">
        <f t="shared" si="39"/>
        <v>-</v>
      </c>
      <c r="J116" s="363" t="str">
        <f t="shared" si="40"/>
        <v>-</v>
      </c>
      <c r="K116" s="199" t="str">
        <f t="shared" si="41"/>
        <v>-</v>
      </c>
      <c r="L116" s="659"/>
      <c r="M116" s="349" t="e">
        <f>RANK(K116, K$67:$K$81)</f>
        <v>#VALUE!</v>
      </c>
      <c r="N116" s="643"/>
      <c r="O116" s="643"/>
      <c r="P116" s="563"/>
      <c r="Q116" s="565"/>
      <c r="R116" s="565"/>
      <c r="S116" s="563"/>
      <c r="T116" s="639"/>
      <c r="U116" s="563"/>
      <c r="V116" s="565"/>
      <c r="W116" s="565"/>
      <c r="X116" s="563"/>
      <c r="Y116" s="639"/>
      <c r="Z116" s="563"/>
      <c r="AA116" s="565"/>
      <c r="AB116" s="565"/>
      <c r="AC116" s="563"/>
      <c r="AD116" s="639"/>
      <c r="AE116" s="563"/>
      <c r="AF116" s="565"/>
      <c r="AG116" s="565"/>
      <c r="AH116" s="563"/>
      <c r="AI116" s="639"/>
      <c r="AJ116" s="563"/>
      <c r="AK116" s="565"/>
      <c r="AL116" s="565"/>
      <c r="AM116" s="563"/>
      <c r="AN116" s="639"/>
      <c r="AO116" s="563"/>
      <c r="AP116" s="565"/>
      <c r="AQ116" s="565"/>
      <c r="AR116" s="563"/>
      <c r="AS116" s="639"/>
      <c r="AT116" s="563"/>
      <c r="AU116" s="565"/>
      <c r="AV116" s="565"/>
      <c r="AW116" s="563"/>
      <c r="AX116" s="639"/>
      <c r="AZ116" s="369" t="e">
        <f t="shared" si="42"/>
        <v>#N/A</v>
      </c>
      <c r="BA116" s="700"/>
    </row>
    <row r="117" spans="2:53">
      <c r="B117" s="678"/>
      <c r="C117" s="348">
        <v>11</v>
      </c>
      <c r="D117" s="225"/>
      <c r="E117" s="181"/>
      <c r="F117" s="353"/>
      <c r="G117" s="354"/>
      <c r="H117" s="657"/>
      <c r="I117" s="363" t="str">
        <f t="shared" si="39"/>
        <v>-</v>
      </c>
      <c r="J117" s="363" t="str">
        <f t="shared" si="40"/>
        <v>-</v>
      </c>
      <c r="K117" s="199" t="str">
        <f t="shared" si="41"/>
        <v>-</v>
      </c>
      <c r="L117" s="659"/>
      <c r="M117" s="349" t="e">
        <f>RANK(K117, K$67:$K$81)</f>
        <v>#VALUE!</v>
      </c>
      <c r="N117" s="643"/>
      <c r="O117" s="643"/>
      <c r="P117" s="563"/>
      <c r="Q117" s="565"/>
      <c r="R117" s="565"/>
      <c r="S117" s="563"/>
      <c r="T117" s="639"/>
      <c r="U117" s="563"/>
      <c r="V117" s="565"/>
      <c r="W117" s="565"/>
      <c r="X117" s="563"/>
      <c r="Y117" s="639"/>
      <c r="Z117" s="563"/>
      <c r="AA117" s="565"/>
      <c r="AB117" s="565"/>
      <c r="AC117" s="563"/>
      <c r="AD117" s="639"/>
      <c r="AE117" s="563"/>
      <c r="AF117" s="565"/>
      <c r="AG117" s="565"/>
      <c r="AH117" s="563"/>
      <c r="AI117" s="639"/>
      <c r="AJ117" s="563"/>
      <c r="AK117" s="565"/>
      <c r="AL117" s="565"/>
      <c r="AM117" s="563"/>
      <c r="AN117" s="639"/>
      <c r="AO117" s="563"/>
      <c r="AP117" s="565"/>
      <c r="AQ117" s="565"/>
      <c r="AR117" s="563"/>
      <c r="AS117" s="639"/>
      <c r="AT117" s="563"/>
      <c r="AU117" s="565"/>
      <c r="AV117" s="565"/>
      <c r="AW117" s="563"/>
      <c r="AX117" s="639"/>
      <c r="AZ117" s="369" t="e">
        <f t="shared" si="42"/>
        <v>#N/A</v>
      </c>
      <c r="BA117" s="700"/>
    </row>
    <row r="118" spans="2:53">
      <c r="B118" s="678"/>
      <c r="C118" s="348">
        <v>12</v>
      </c>
      <c r="D118" s="225"/>
      <c r="E118" s="181"/>
      <c r="F118" s="353"/>
      <c r="G118" s="354"/>
      <c r="H118" s="657"/>
      <c r="I118" s="363" t="str">
        <f t="shared" si="39"/>
        <v>-</v>
      </c>
      <c r="J118" s="363" t="str">
        <f t="shared" si="40"/>
        <v>-</v>
      </c>
      <c r="K118" s="199" t="str">
        <f t="shared" si="41"/>
        <v>-</v>
      </c>
      <c r="L118" s="659"/>
      <c r="M118" s="349" t="e">
        <f>RANK(K118, K$67:$K$81)</f>
        <v>#VALUE!</v>
      </c>
      <c r="N118" s="643"/>
      <c r="O118" s="643"/>
      <c r="P118" s="563"/>
      <c r="Q118" s="565"/>
      <c r="R118" s="565"/>
      <c r="S118" s="563"/>
      <c r="T118" s="639"/>
      <c r="U118" s="563"/>
      <c r="V118" s="565"/>
      <c r="W118" s="565"/>
      <c r="X118" s="563"/>
      <c r="Y118" s="639"/>
      <c r="Z118" s="563"/>
      <c r="AA118" s="565"/>
      <c r="AB118" s="565"/>
      <c r="AC118" s="563"/>
      <c r="AD118" s="639"/>
      <c r="AE118" s="563"/>
      <c r="AF118" s="565"/>
      <c r="AG118" s="565"/>
      <c r="AH118" s="563"/>
      <c r="AI118" s="639"/>
      <c r="AJ118" s="563"/>
      <c r="AK118" s="565"/>
      <c r="AL118" s="565"/>
      <c r="AM118" s="563"/>
      <c r="AN118" s="639"/>
      <c r="AO118" s="563"/>
      <c r="AP118" s="565"/>
      <c r="AQ118" s="565"/>
      <c r="AR118" s="563"/>
      <c r="AS118" s="639"/>
      <c r="AT118" s="563"/>
      <c r="AU118" s="565"/>
      <c r="AV118" s="565"/>
      <c r="AW118" s="563"/>
      <c r="AX118" s="639"/>
      <c r="AZ118" s="369" t="e">
        <f t="shared" si="42"/>
        <v>#N/A</v>
      </c>
      <c r="BA118" s="700"/>
    </row>
    <row r="119" spans="2:53">
      <c r="B119" s="678"/>
      <c r="C119" s="348">
        <v>13</v>
      </c>
      <c r="D119" s="225"/>
      <c r="E119" s="181"/>
      <c r="F119" s="353"/>
      <c r="G119" s="354"/>
      <c r="H119" s="657"/>
      <c r="I119" s="363" t="str">
        <f t="shared" si="39"/>
        <v>-</v>
      </c>
      <c r="J119" s="363" t="str">
        <f t="shared" si="40"/>
        <v>-</v>
      </c>
      <c r="K119" s="199" t="str">
        <f t="shared" si="41"/>
        <v>-</v>
      </c>
      <c r="L119" s="659"/>
      <c r="M119" s="349" t="e">
        <f>RANK(K119, K$67:$K$81)</f>
        <v>#VALUE!</v>
      </c>
      <c r="N119" s="643"/>
      <c r="O119" s="643"/>
      <c r="P119" s="563"/>
      <c r="Q119" s="565"/>
      <c r="R119" s="565"/>
      <c r="S119" s="563"/>
      <c r="T119" s="639"/>
      <c r="U119" s="563"/>
      <c r="V119" s="565"/>
      <c r="W119" s="565"/>
      <c r="X119" s="563"/>
      <c r="Y119" s="639"/>
      <c r="Z119" s="563"/>
      <c r="AA119" s="565"/>
      <c r="AB119" s="565"/>
      <c r="AC119" s="563"/>
      <c r="AD119" s="639"/>
      <c r="AE119" s="563"/>
      <c r="AF119" s="565"/>
      <c r="AG119" s="565"/>
      <c r="AH119" s="563"/>
      <c r="AI119" s="639"/>
      <c r="AJ119" s="563"/>
      <c r="AK119" s="565"/>
      <c r="AL119" s="565"/>
      <c r="AM119" s="563"/>
      <c r="AN119" s="639"/>
      <c r="AO119" s="563"/>
      <c r="AP119" s="565"/>
      <c r="AQ119" s="565"/>
      <c r="AR119" s="563"/>
      <c r="AS119" s="639"/>
      <c r="AT119" s="563"/>
      <c r="AU119" s="565"/>
      <c r="AV119" s="565"/>
      <c r="AW119" s="563"/>
      <c r="AX119" s="639"/>
      <c r="AZ119" s="369" t="e">
        <f t="shared" si="42"/>
        <v>#N/A</v>
      </c>
      <c r="BA119" s="700"/>
    </row>
    <row r="120" spans="2:53">
      <c r="B120" s="678"/>
      <c r="C120" s="348">
        <v>14</v>
      </c>
      <c r="D120" s="225"/>
      <c r="E120" s="181"/>
      <c r="F120" s="353"/>
      <c r="G120" s="354"/>
      <c r="H120" s="657"/>
      <c r="I120" s="363" t="str">
        <f t="shared" si="39"/>
        <v>-</v>
      </c>
      <c r="J120" s="363" t="str">
        <f t="shared" si="40"/>
        <v>-</v>
      </c>
      <c r="K120" s="199" t="str">
        <f t="shared" si="41"/>
        <v>-</v>
      </c>
      <c r="L120" s="659"/>
      <c r="M120" s="349" t="e">
        <f>RANK(K120, K$67:$K$81)</f>
        <v>#VALUE!</v>
      </c>
      <c r="N120" s="643"/>
      <c r="O120" s="643"/>
      <c r="P120" s="563"/>
      <c r="Q120" s="565"/>
      <c r="R120" s="565"/>
      <c r="S120" s="563"/>
      <c r="T120" s="639"/>
      <c r="U120" s="563"/>
      <c r="V120" s="565"/>
      <c r="W120" s="565"/>
      <c r="X120" s="563"/>
      <c r="Y120" s="639"/>
      <c r="Z120" s="563"/>
      <c r="AA120" s="565"/>
      <c r="AB120" s="565"/>
      <c r="AC120" s="563"/>
      <c r="AD120" s="639"/>
      <c r="AE120" s="563"/>
      <c r="AF120" s="565"/>
      <c r="AG120" s="565"/>
      <c r="AH120" s="563"/>
      <c r="AI120" s="639"/>
      <c r="AJ120" s="563"/>
      <c r="AK120" s="565"/>
      <c r="AL120" s="565"/>
      <c r="AM120" s="563"/>
      <c r="AN120" s="639"/>
      <c r="AO120" s="563"/>
      <c r="AP120" s="565"/>
      <c r="AQ120" s="565"/>
      <c r="AR120" s="563"/>
      <c r="AS120" s="639"/>
      <c r="AT120" s="563"/>
      <c r="AU120" s="565"/>
      <c r="AV120" s="565"/>
      <c r="AW120" s="563"/>
      <c r="AX120" s="639"/>
      <c r="AZ120" s="369" t="e">
        <f t="shared" si="42"/>
        <v>#N/A</v>
      </c>
      <c r="BA120" s="700"/>
    </row>
    <row r="121" spans="2:53">
      <c r="B121" s="678"/>
      <c r="C121" s="348">
        <v>15</v>
      </c>
      <c r="D121" s="225"/>
      <c r="E121" s="181"/>
      <c r="F121" s="353"/>
      <c r="G121" s="354"/>
      <c r="H121" s="714"/>
      <c r="I121" s="365"/>
      <c r="J121" s="365"/>
      <c r="K121" s="365"/>
      <c r="L121" s="660"/>
      <c r="M121" s="349" t="e">
        <f>RANK(K121, K$47:$K$61)</f>
        <v>#N/A</v>
      </c>
      <c r="N121" s="643"/>
      <c r="O121" s="643"/>
      <c r="P121" s="563"/>
      <c r="Q121" s="565"/>
      <c r="R121" s="565"/>
      <c r="S121" s="563"/>
      <c r="T121" s="640"/>
      <c r="U121" s="563"/>
      <c r="V121" s="565"/>
      <c r="W121" s="565"/>
      <c r="X121" s="563"/>
      <c r="Y121" s="640"/>
      <c r="Z121" s="563"/>
      <c r="AA121" s="565"/>
      <c r="AB121" s="565"/>
      <c r="AC121" s="563"/>
      <c r="AD121" s="640"/>
      <c r="AE121" s="563"/>
      <c r="AF121" s="565"/>
      <c r="AG121" s="565"/>
      <c r="AH121" s="563"/>
      <c r="AI121" s="640"/>
      <c r="AJ121" s="563"/>
      <c r="AK121" s="565"/>
      <c r="AL121" s="565"/>
      <c r="AM121" s="563"/>
      <c r="AN121" s="640"/>
      <c r="AO121" s="563"/>
      <c r="AP121" s="565"/>
      <c r="AQ121" s="565"/>
      <c r="AR121" s="563"/>
      <c r="AS121" s="640"/>
      <c r="AT121" s="563"/>
      <c r="AU121" s="565"/>
      <c r="AV121" s="565"/>
      <c r="AW121" s="563"/>
      <c r="AX121" s="640"/>
      <c r="AZ121" s="369" t="e">
        <f t="shared" si="42"/>
        <v>#N/A</v>
      </c>
      <c r="BA121" s="700"/>
    </row>
    <row r="123" spans="2:53" ht="15.75">
      <c r="B123" s="651" t="s">
        <v>465</v>
      </c>
      <c r="C123" s="652"/>
      <c r="D123" s="652"/>
      <c r="E123" s="652"/>
      <c r="F123" s="652"/>
      <c r="G123" s="652"/>
      <c r="H123" s="653"/>
      <c r="I123" s="307"/>
      <c r="J123" s="307"/>
      <c r="K123" s="307"/>
      <c r="L123" s="307"/>
      <c r="M123" s="308"/>
    </row>
    <row r="124" spans="2:53" ht="15.75">
      <c r="B124" s="654"/>
      <c r="C124" s="654"/>
      <c r="D124" s="654"/>
      <c r="E124" s="654"/>
      <c r="F124" s="654"/>
      <c r="G124" s="654"/>
      <c r="H124" s="654"/>
      <c r="I124" s="309"/>
      <c r="J124" s="309"/>
      <c r="K124" s="309"/>
      <c r="L124" s="309"/>
      <c r="M124" s="310"/>
    </row>
    <row r="125" spans="2:53">
      <c r="B125" s="643" t="s">
        <v>466</v>
      </c>
      <c r="C125" s="643" t="s">
        <v>467</v>
      </c>
      <c r="D125" s="643"/>
      <c r="E125" s="643" t="s">
        <v>468</v>
      </c>
      <c r="F125" s="643"/>
      <c r="G125" s="643"/>
      <c r="H125" s="675" t="s">
        <v>469</v>
      </c>
      <c r="I125" s="655" t="s">
        <v>470</v>
      </c>
      <c r="J125" s="655"/>
      <c r="K125" s="655"/>
      <c r="L125" s="708" t="s">
        <v>469</v>
      </c>
      <c r="M125" s="711" t="s">
        <v>471</v>
      </c>
    </row>
    <row r="126" spans="2:53">
      <c r="B126" s="643"/>
      <c r="C126" s="643"/>
      <c r="D126" s="643"/>
      <c r="E126" s="643" t="s">
        <v>472</v>
      </c>
      <c r="F126" s="643"/>
      <c r="G126" s="643"/>
      <c r="H126" s="676"/>
      <c r="I126" s="655" t="s">
        <v>472</v>
      </c>
      <c r="J126" s="655"/>
      <c r="K126" s="655"/>
      <c r="L126" s="709"/>
      <c r="M126" s="712"/>
    </row>
    <row r="127" spans="2:53">
      <c r="B127" s="643"/>
      <c r="C127" s="643"/>
      <c r="D127" s="643"/>
      <c r="E127" s="304" t="s">
        <v>473</v>
      </c>
      <c r="F127" s="304" t="s">
        <v>474</v>
      </c>
      <c r="G127" s="304" t="s">
        <v>475</v>
      </c>
      <c r="H127" s="677"/>
      <c r="I127" s="311" t="s">
        <v>473</v>
      </c>
      <c r="J127" s="311" t="s">
        <v>474</v>
      </c>
      <c r="K127" s="311" t="s">
        <v>475</v>
      </c>
      <c r="L127" s="710"/>
      <c r="M127" s="713"/>
    </row>
    <row r="128" spans="2:53">
      <c r="B128" s="643" t="s">
        <v>483</v>
      </c>
      <c r="C128" s="303">
        <v>1</v>
      </c>
      <c r="D128" s="225"/>
      <c r="E128" s="181"/>
      <c r="F128" s="303"/>
      <c r="G128" s="306"/>
      <c r="H128" s="702" t="e">
        <f>AVERAGE(G128:G142)</f>
        <v>#DIV/0!</v>
      </c>
      <c r="I128" s="198" t="e">
        <f t="shared" ref="I128:J133" si="43">AVERAGEIF($D$7:$D$121,$D128,I$7:I$121)</f>
        <v>#DIV/0!</v>
      </c>
      <c r="J128" s="198" t="e">
        <f t="shared" si="43"/>
        <v>#DIV/0!</v>
      </c>
      <c r="K128" s="198" t="e">
        <f t="shared" ref="K128:K133" si="44">AVERAGEIF($D$7:$D$121,$D128,K$7:K$121)</f>
        <v>#DIV/0!</v>
      </c>
      <c r="L128" s="705" t="e">
        <f>AVERAGE(K128:K142)</f>
        <v>#DIV/0!</v>
      </c>
      <c r="M128" s="198" t="e">
        <f>RANK(K128, K$128:$K$142)</f>
        <v>#DIV/0!</v>
      </c>
    </row>
    <row r="129" spans="2:13">
      <c r="B129" s="649"/>
      <c r="C129" s="303">
        <v>2</v>
      </c>
      <c r="D129" s="225"/>
      <c r="E129" s="181"/>
      <c r="F129" s="303"/>
      <c r="G129" s="306"/>
      <c r="H129" s="703"/>
      <c r="I129" s="198" t="e">
        <f t="shared" si="43"/>
        <v>#DIV/0!</v>
      </c>
      <c r="J129" s="198" t="e">
        <f t="shared" si="43"/>
        <v>#DIV/0!</v>
      </c>
      <c r="K129" s="198" t="e">
        <f t="shared" si="44"/>
        <v>#DIV/0!</v>
      </c>
      <c r="L129" s="706"/>
      <c r="M129" s="198" t="e">
        <f>RANK(K129, K$128:$K$142)</f>
        <v>#DIV/0!</v>
      </c>
    </row>
    <row r="130" spans="2:13">
      <c r="B130" s="649"/>
      <c r="C130" s="303">
        <v>3</v>
      </c>
      <c r="D130" s="225"/>
      <c r="E130" s="181"/>
      <c r="F130" s="303"/>
      <c r="G130" s="306"/>
      <c r="H130" s="703"/>
      <c r="I130" s="198" t="e">
        <f t="shared" si="43"/>
        <v>#DIV/0!</v>
      </c>
      <c r="J130" s="198" t="e">
        <f t="shared" si="43"/>
        <v>#DIV/0!</v>
      </c>
      <c r="K130" s="198" t="e">
        <f t="shared" si="44"/>
        <v>#DIV/0!</v>
      </c>
      <c r="L130" s="706"/>
      <c r="M130" s="198" t="e">
        <f>RANK(K130, K$128:$K$142)</f>
        <v>#DIV/0!</v>
      </c>
    </row>
    <row r="131" spans="2:13">
      <c r="B131" s="649"/>
      <c r="C131" s="303">
        <v>4</v>
      </c>
      <c r="D131" s="225"/>
      <c r="E131" s="181"/>
      <c r="F131" s="303"/>
      <c r="G131" s="306"/>
      <c r="H131" s="703"/>
      <c r="I131" s="198" t="e">
        <f t="shared" si="43"/>
        <v>#DIV/0!</v>
      </c>
      <c r="J131" s="198" t="e">
        <f t="shared" si="43"/>
        <v>#DIV/0!</v>
      </c>
      <c r="K131" s="198" t="e">
        <f t="shared" si="44"/>
        <v>#DIV/0!</v>
      </c>
      <c r="L131" s="706"/>
      <c r="M131" s="198" t="e">
        <f>RANK(K131, K$128:$K$142)</f>
        <v>#DIV/0!</v>
      </c>
    </row>
    <row r="132" spans="2:13">
      <c r="B132" s="649"/>
      <c r="C132" s="303">
        <v>5</v>
      </c>
      <c r="D132" s="225"/>
      <c r="E132" s="181"/>
      <c r="F132" s="303"/>
      <c r="G132" s="306"/>
      <c r="H132" s="703"/>
      <c r="I132" s="198" t="e">
        <f t="shared" si="43"/>
        <v>#DIV/0!</v>
      </c>
      <c r="J132" s="198" t="e">
        <f t="shared" si="43"/>
        <v>#DIV/0!</v>
      </c>
      <c r="K132" s="198" t="e">
        <f t="shared" si="44"/>
        <v>#DIV/0!</v>
      </c>
      <c r="L132" s="706"/>
      <c r="M132" s="198" t="e">
        <f>RANK(K132, K$128:$K$142)</f>
        <v>#DIV/0!</v>
      </c>
    </row>
    <row r="133" spans="2:13">
      <c r="B133" s="649"/>
      <c r="C133" s="303">
        <v>6</v>
      </c>
      <c r="D133" s="312"/>
      <c r="E133" s="181"/>
      <c r="F133" s="303"/>
      <c r="G133" s="306"/>
      <c r="H133" s="703"/>
      <c r="I133" s="198" t="e">
        <f t="shared" si="43"/>
        <v>#DIV/0!</v>
      </c>
      <c r="J133" s="198" t="e">
        <f t="shared" si="43"/>
        <v>#DIV/0!</v>
      </c>
      <c r="K133" s="198" t="e">
        <f t="shared" si="44"/>
        <v>#DIV/0!</v>
      </c>
      <c r="L133" s="706"/>
      <c r="M133" s="198" t="e">
        <f>RANK(K133, K$128:$K$142)</f>
        <v>#DIV/0!</v>
      </c>
    </row>
    <row r="134" spans="2:13">
      <c r="B134" s="649"/>
      <c r="C134" s="303">
        <v>7</v>
      </c>
      <c r="D134" s="225"/>
      <c r="E134" s="181"/>
      <c r="F134" s="303"/>
      <c r="G134" s="306"/>
      <c r="H134" s="703"/>
      <c r="I134" s="198"/>
      <c r="J134" s="198"/>
      <c r="K134" s="198"/>
      <c r="L134" s="706"/>
      <c r="M134" s="198" t="e">
        <f>RANK(K134, K$128:$K$142)</f>
        <v>#DIV/0!</v>
      </c>
    </row>
    <row r="135" spans="2:13">
      <c r="B135" s="649"/>
      <c r="C135" s="303">
        <v>8</v>
      </c>
      <c r="D135" s="225"/>
      <c r="E135" s="181"/>
      <c r="F135" s="303"/>
      <c r="G135" s="306"/>
      <c r="H135" s="703"/>
      <c r="I135" s="198"/>
      <c r="J135" s="198"/>
      <c r="K135" s="198"/>
      <c r="L135" s="706"/>
      <c r="M135" s="198" t="e">
        <f>RANK(K135, K$128:$K$142)</f>
        <v>#DIV/0!</v>
      </c>
    </row>
    <row r="136" spans="2:13">
      <c r="B136" s="649"/>
      <c r="C136" s="303">
        <v>9</v>
      </c>
      <c r="D136" s="225"/>
      <c r="E136" s="303"/>
      <c r="F136" s="303"/>
      <c r="G136" s="303"/>
      <c r="H136" s="703"/>
      <c r="I136" s="198"/>
      <c r="J136" s="198"/>
      <c r="K136" s="198"/>
      <c r="L136" s="706"/>
      <c r="M136" s="198" t="e">
        <f>RANK(K136, K$128:$K$142)</f>
        <v>#DIV/0!</v>
      </c>
    </row>
    <row r="137" spans="2:13">
      <c r="B137" s="649"/>
      <c r="C137" s="303">
        <v>10</v>
      </c>
      <c r="D137" s="225"/>
      <c r="E137" s="303"/>
      <c r="F137" s="303"/>
      <c r="G137" s="303"/>
      <c r="H137" s="703"/>
      <c r="I137" s="198"/>
      <c r="J137" s="198"/>
      <c r="K137" s="198"/>
      <c r="L137" s="706"/>
      <c r="M137" s="198" t="e">
        <f>RANK(K137, K$128:$K$142)</f>
        <v>#DIV/0!</v>
      </c>
    </row>
    <row r="138" spans="2:13">
      <c r="B138" s="649"/>
      <c r="C138" s="303">
        <v>11</v>
      </c>
      <c r="D138" s="225"/>
      <c r="E138" s="303"/>
      <c r="F138" s="303"/>
      <c r="G138" s="303"/>
      <c r="H138" s="703"/>
      <c r="I138" s="198"/>
      <c r="J138" s="198"/>
      <c r="K138" s="198"/>
      <c r="L138" s="706"/>
      <c r="M138" s="198" t="e">
        <f>RANK(K138, K$128:$K$142)</f>
        <v>#DIV/0!</v>
      </c>
    </row>
    <row r="139" spans="2:13">
      <c r="B139" s="649"/>
      <c r="C139" s="303">
        <v>12</v>
      </c>
      <c r="D139" s="225"/>
      <c r="E139" s="303"/>
      <c r="F139" s="303"/>
      <c r="G139" s="303"/>
      <c r="H139" s="703"/>
      <c r="I139" s="198"/>
      <c r="J139" s="198"/>
      <c r="K139" s="198"/>
      <c r="L139" s="706"/>
      <c r="M139" s="198" t="e">
        <f>RANK(K139, K$128:$K$142)</f>
        <v>#DIV/0!</v>
      </c>
    </row>
    <row r="140" spans="2:13">
      <c r="B140" s="649"/>
      <c r="C140" s="303">
        <v>13</v>
      </c>
      <c r="D140" s="225"/>
      <c r="E140" s="303"/>
      <c r="F140" s="303"/>
      <c r="G140" s="303"/>
      <c r="H140" s="703"/>
      <c r="I140" s="198"/>
      <c r="J140" s="198"/>
      <c r="K140" s="198"/>
      <c r="L140" s="706"/>
      <c r="M140" s="198" t="e">
        <f>RANK(K140, K$128:$K$142)</f>
        <v>#DIV/0!</v>
      </c>
    </row>
    <row r="141" spans="2:13">
      <c r="B141" s="649"/>
      <c r="C141" s="303">
        <v>14</v>
      </c>
      <c r="D141" s="225"/>
      <c r="E141" s="303"/>
      <c r="F141" s="303"/>
      <c r="G141" s="303"/>
      <c r="H141" s="703"/>
      <c r="I141" s="198"/>
      <c r="J141" s="198"/>
      <c r="K141" s="198"/>
      <c r="L141" s="706"/>
      <c r="M141" s="198" t="e">
        <f>RANK(K141, K$128:$K$142)</f>
        <v>#DIV/0!</v>
      </c>
    </row>
    <row r="142" spans="2:13">
      <c r="B142" s="649"/>
      <c r="C142" s="303">
        <v>15</v>
      </c>
      <c r="D142" s="225"/>
      <c r="E142" s="303"/>
      <c r="F142" s="303"/>
      <c r="G142" s="303"/>
      <c r="H142" s="704"/>
      <c r="I142" s="198"/>
      <c r="J142" s="198"/>
      <c r="K142" s="198"/>
      <c r="L142" s="707"/>
      <c r="M142" s="198" t="e">
        <f>RANK(K142, K$128:$K$142)</f>
        <v>#DIV/0!</v>
      </c>
    </row>
  </sheetData>
  <mergeCells count="379">
    <mergeCell ref="BA87:BA101"/>
    <mergeCell ref="BA104:BA106"/>
    <mergeCell ref="BA107:BA121"/>
    <mergeCell ref="BA4:BA6"/>
    <mergeCell ref="BA7:BA21"/>
    <mergeCell ref="BA24:BA26"/>
    <mergeCell ref="BA27:BA41"/>
    <mergeCell ref="BA44:BA46"/>
    <mergeCell ref="BA47:BA61"/>
    <mergeCell ref="BA64:BA66"/>
    <mergeCell ref="BA67:BA81"/>
    <mergeCell ref="BA84:BA86"/>
    <mergeCell ref="B87:B101"/>
    <mergeCell ref="AS87:AS101"/>
    <mergeCell ref="AX87:AX101"/>
    <mergeCell ref="AO85:AR85"/>
    <mergeCell ref="AT85:AW85"/>
    <mergeCell ref="AO84:AR84"/>
    <mergeCell ref="AS84:AS86"/>
    <mergeCell ref="AT84:AW84"/>
    <mergeCell ref="AX84:AX86"/>
    <mergeCell ref="AJ85:AM85"/>
    <mergeCell ref="AN87:AN101"/>
    <mergeCell ref="AN84:AN86"/>
    <mergeCell ref="AJ84:AM84"/>
    <mergeCell ref="C84:D86"/>
    <mergeCell ref="E84:G84"/>
    <mergeCell ref="H84:H86"/>
    <mergeCell ref="I84:K84"/>
    <mergeCell ref="L84:L86"/>
    <mergeCell ref="AD84:AD86"/>
    <mergeCell ref="AE84:AH84"/>
    <mergeCell ref="AI84:AI86"/>
    <mergeCell ref="AE85:AH85"/>
    <mergeCell ref="Z85:AC85"/>
    <mergeCell ref="Y84:Y86"/>
    <mergeCell ref="Z84:AC84"/>
    <mergeCell ref="P84:S84"/>
    <mergeCell ref="T84:T86"/>
    <mergeCell ref="U84:X84"/>
    <mergeCell ref="E85:G85"/>
    <mergeCell ref="I85:K85"/>
    <mergeCell ref="P85:S85"/>
    <mergeCell ref="U85:X85"/>
    <mergeCell ref="M84:M86"/>
    <mergeCell ref="N84:N101"/>
    <mergeCell ref="O84:O101"/>
    <mergeCell ref="H87:H101"/>
    <mergeCell ref="L87:L101"/>
    <mergeCell ref="T87:T101"/>
    <mergeCell ref="Y87:Y101"/>
    <mergeCell ref="AX67:AX81"/>
    <mergeCell ref="B82:H83"/>
    <mergeCell ref="N82:N83"/>
    <mergeCell ref="O82:O83"/>
    <mergeCell ref="P82:T82"/>
    <mergeCell ref="U82:Y82"/>
    <mergeCell ref="Z82:AD82"/>
    <mergeCell ref="AE82:AI82"/>
    <mergeCell ref="AJ82:AN82"/>
    <mergeCell ref="AO82:AS82"/>
    <mergeCell ref="AT82:AX82"/>
    <mergeCell ref="P83:T83"/>
    <mergeCell ref="U83:Y83"/>
    <mergeCell ref="Z83:AD83"/>
    <mergeCell ref="AE83:AI83"/>
    <mergeCell ref="AJ83:AN83"/>
    <mergeCell ref="AO83:AS83"/>
    <mergeCell ref="AT83:AX83"/>
    <mergeCell ref="AO65:AR65"/>
    <mergeCell ref="AT65:AW65"/>
    <mergeCell ref="B67:B81"/>
    <mergeCell ref="H67:H81"/>
    <mergeCell ref="L67:L81"/>
    <mergeCell ref="T67:T81"/>
    <mergeCell ref="Y67:Y81"/>
    <mergeCell ref="AD67:AD81"/>
    <mergeCell ref="AI67:AI81"/>
    <mergeCell ref="AN67:AN81"/>
    <mergeCell ref="AN64:AN66"/>
    <mergeCell ref="AO64:AR64"/>
    <mergeCell ref="AS64:AS66"/>
    <mergeCell ref="AT64:AW64"/>
    <mergeCell ref="B64:B66"/>
    <mergeCell ref="C64:D66"/>
    <mergeCell ref="AS67:AS81"/>
    <mergeCell ref="H64:H66"/>
    <mergeCell ref="I64:K64"/>
    <mergeCell ref="L64:L66"/>
    <mergeCell ref="AD87:AD101"/>
    <mergeCell ref="AI87:AI101"/>
    <mergeCell ref="B84:B86"/>
    <mergeCell ref="AX64:AX66"/>
    <mergeCell ref="E65:G65"/>
    <mergeCell ref="I65:K65"/>
    <mergeCell ref="P65:S65"/>
    <mergeCell ref="U65:X65"/>
    <mergeCell ref="Z65:AC65"/>
    <mergeCell ref="Y64:Y66"/>
    <mergeCell ref="Z64:AC64"/>
    <mergeCell ref="AD64:AD66"/>
    <mergeCell ref="AE64:AH64"/>
    <mergeCell ref="AI64:AI66"/>
    <mergeCell ref="AJ64:AM64"/>
    <mergeCell ref="AE65:AH65"/>
    <mergeCell ref="AJ65:AM65"/>
    <mergeCell ref="M64:M66"/>
    <mergeCell ref="N64:N81"/>
    <mergeCell ref="O64:O81"/>
    <mergeCell ref="P64:S64"/>
    <mergeCell ref="T64:T66"/>
    <mergeCell ref="U64:X64"/>
    <mergeCell ref="E64:G64"/>
    <mergeCell ref="AX47:AX61"/>
    <mergeCell ref="B62:H63"/>
    <mergeCell ref="N62:N63"/>
    <mergeCell ref="O62:O63"/>
    <mergeCell ref="P62:T62"/>
    <mergeCell ref="U62:Y62"/>
    <mergeCell ref="Z62:AD62"/>
    <mergeCell ref="AE62:AI62"/>
    <mergeCell ref="AJ62:AN62"/>
    <mergeCell ref="AO62:AS62"/>
    <mergeCell ref="AT62:AX62"/>
    <mergeCell ref="P63:T63"/>
    <mergeCell ref="U63:Y63"/>
    <mergeCell ref="Z63:AD63"/>
    <mergeCell ref="AE63:AI63"/>
    <mergeCell ref="AJ63:AN63"/>
    <mergeCell ref="AO63:AS63"/>
    <mergeCell ref="AT63:AX63"/>
    <mergeCell ref="AO45:AR45"/>
    <mergeCell ref="AT45:AW45"/>
    <mergeCell ref="B47:B61"/>
    <mergeCell ref="H47:H61"/>
    <mergeCell ref="L47:L61"/>
    <mergeCell ref="T47:T61"/>
    <mergeCell ref="Y47:Y61"/>
    <mergeCell ref="AD47:AD61"/>
    <mergeCell ref="AI47:AI61"/>
    <mergeCell ref="AN47:AN61"/>
    <mergeCell ref="AN44:AN46"/>
    <mergeCell ref="AO44:AR44"/>
    <mergeCell ref="AS44:AS46"/>
    <mergeCell ref="AT44:AW44"/>
    <mergeCell ref="B44:B46"/>
    <mergeCell ref="C44:D46"/>
    <mergeCell ref="AS47:AS61"/>
    <mergeCell ref="AX44:AX46"/>
    <mergeCell ref="E45:G45"/>
    <mergeCell ref="I45:K45"/>
    <mergeCell ref="P45:S45"/>
    <mergeCell ref="U45:X45"/>
    <mergeCell ref="Z45:AC45"/>
    <mergeCell ref="Y44:Y46"/>
    <mergeCell ref="Z44:AC44"/>
    <mergeCell ref="AD44:AD46"/>
    <mergeCell ref="AE44:AH44"/>
    <mergeCell ref="AI44:AI46"/>
    <mergeCell ref="AJ44:AM44"/>
    <mergeCell ref="AE45:AH45"/>
    <mergeCell ref="AJ45:AM45"/>
    <mergeCell ref="M44:M46"/>
    <mergeCell ref="N44:N61"/>
    <mergeCell ref="O44:O61"/>
    <mergeCell ref="P44:S44"/>
    <mergeCell ref="T44:T46"/>
    <mergeCell ref="U44:X44"/>
    <mergeCell ref="E44:G44"/>
    <mergeCell ref="H44:H46"/>
    <mergeCell ref="I44:K44"/>
    <mergeCell ref="L44:L46"/>
    <mergeCell ref="AX27:AX41"/>
    <mergeCell ref="B42:H43"/>
    <mergeCell ref="N42:N43"/>
    <mergeCell ref="O42:O43"/>
    <mergeCell ref="P42:T42"/>
    <mergeCell ref="U42:Y42"/>
    <mergeCell ref="Z42:AD42"/>
    <mergeCell ref="AE42:AI42"/>
    <mergeCell ref="AJ42:AN42"/>
    <mergeCell ref="AO42:AS42"/>
    <mergeCell ref="AT42:AX42"/>
    <mergeCell ref="P43:T43"/>
    <mergeCell ref="U43:Y43"/>
    <mergeCell ref="Z43:AD43"/>
    <mergeCell ref="AE43:AI43"/>
    <mergeCell ref="AJ43:AN43"/>
    <mergeCell ref="AO43:AS43"/>
    <mergeCell ref="AT43:AX43"/>
    <mergeCell ref="AO25:AR25"/>
    <mergeCell ref="AT25:AW25"/>
    <mergeCell ref="B27:B41"/>
    <mergeCell ref="H27:H41"/>
    <mergeCell ref="L27:L41"/>
    <mergeCell ref="T27:T41"/>
    <mergeCell ref="Y27:Y41"/>
    <mergeCell ref="AD27:AD41"/>
    <mergeCell ref="AI27:AI41"/>
    <mergeCell ref="AN27:AN41"/>
    <mergeCell ref="AN24:AN26"/>
    <mergeCell ref="AO24:AR24"/>
    <mergeCell ref="AS24:AS26"/>
    <mergeCell ref="AT24:AW24"/>
    <mergeCell ref="B24:B26"/>
    <mergeCell ref="C24:D26"/>
    <mergeCell ref="AS27:AS41"/>
    <mergeCell ref="AX24:AX26"/>
    <mergeCell ref="E25:G25"/>
    <mergeCell ref="I25:K25"/>
    <mergeCell ref="P25:S25"/>
    <mergeCell ref="U25:X25"/>
    <mergeCell ref="Z25:AC25"/>
    <mergeCell ref="Y24:Y26"/>
    <mergeCell ref="Z24:AC24"/>
    <mergeCell ref="AD24:AD26"/>
    <mergeCell ref="AE24:AH24"/>
    <mergeCell ref="AI24:AI26"/>
    <mergeCell ref="AJ24:AM24"/>
    <mergeCell ref="AE25:AH25"/>
    <mergeCell ref="AJ25:AM25"/>
    <mergeCell ref="M24:M26"/>
    <mergeCell ref="N24:N41"/>
    <mergeCell ref="O24:O41"/>
    <mergeCell ref="P24:S24"/>
    <mergeCell ref="T24:T26"/>
    <mergeCell ref="U24:X24"/>
    <mergeCell ref="E24:G24"/>
    <mergeCell ref="H24:H26"/>
    <mergeCell ref="I24:K24"/>
    <mergeCell ref="L24:L26"/>
    <mergeCell ref="AT22:AX22"/>
    <mergeCell ref="P23:T23"/>
    <mergeCell ref="U23:Y23"/>
    <mergeCell ref="Z23:AD23"/>
    <mergeCell ref="AE23:AI23"/>
    <mergeCell ref="AJ23:AN23"/>
    <mergeCell ref="AO23:AS23"/>
    <mergeCell ref="AT23:AX23"/>
    <mergeCell ref="AX7:AX21"/>
    <mergeCell ref="B22:H23"/>
    <mergeCell ref="N22:N23"/>
    <mergeCell ref="O22:O23"/>
    <mergeCell ref="P22:T22"/>
    <mergeCell ref="U22:Y22"/>
    <mergeCell ref="Z22:AD22"/>
    <mergeCell ref="AE22:AI22"/>
    <mergeCell ref="AJ22:AN22"/>
    <mergeCell ref="AO22:AS22"/>
    <mergeCell ref="AD4:AD6"/>
    <mergeCell ref="AT5:AW5"/>
    <mergeCell ref="B7:B21"/>
    <mergeCell ref="H7:H21"/>
    <mergeCell ref="L7:L21"/>
    <mergeCell ref="T7:T21"/>
    <mergeCell ref="Y7:Y21"/>
    <mergeCell ref="AD7:AD21"/>
    <mergeCell ref="AI7:AI21"/>
    <mergeCell ref="AN7:AN21"/>
    <mergeCell ref="AS7:AS21"/>
    <mergeCell ref="B4:B6"/>
    <mergeCell ref="C4:D6"/>
    <mergeCell ref="E4:G4"/>
    <mergeCell ref="H4:H6"/>
    <mergeCell ref="I4:K4"/>
    <mergeCell ref="L4:L6"/>
    <mergeCell ref="M4:M6"/>
    <mergeCell ref="N4:N21"/>
    <mergeCell ref="O4:O21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102:H103"/>
    <mergeCell ref="N102:N103"/>
    <mergeCell ref="O102:O103"/>
    <mergeCell ref="P102:T102"/>
    <mergeCell ref="U102:Y102"/>
    <mergeCell ref="Z102:AD102"/>
    <mergeCell ref="AE102:AI102"/>
    <mergeCell ref="AJ102:AN102"/>
    <mergeCell ref="AO102:AS102"/>
    <mergeCell ref="AT102:AX102"/>
    <mergeCell ref="P103:T103"/>
    <mergeCell ref="U103:Y103"/>
    <mergeCell ref="Z103:AD103"/>
    <mergeCell ref="AE103:AI103"/>
    <mergeCell ref="AJ103:AN103"/>
    <mergeCell ref="AO103:AS103"/>
    <mergeCell ref="AT103:AX103"/>
    <mergeCell ref="B104:B106"/>
    <mergeCell ref="C104:D106"/>
    <mergeCell ref="E104:G104"/>
    <mergeCell ref="H104:H106"/>
    <mergeCell ref="I104:K104"/>
    <mergeCell ref="L104:L106"/>
    <mergeCell ref="M104:M106"/>
    <mergeCell ref="N104:N121"/>
    <mergeCell ref="O104:O121"/>
    <mergeCell ref="P104:S104"/>
    <mergeCell ref="T104:T106"/>
    <mergeCell ref="U104:X104"/>
    <mergeCell ref="Y104:Y106"/>
    <mergeCell ref="Z104:AC104"/>
    <mergeCell ref="AD104:AD106"/>
    <mergeCell ref="AE104:AH104"/>
    <mergeCell ref="AI104:AI106"/>
    <mergeCell ref="AJ104:AM104"/>
    <mergeCell ref="AN104:AN106"/>
    <mergeCell ref="AO104:AR104"/>
    <mergeCell ref="AS104:AS106"/>
    <mergeCell ref="AT104:AW104"/>
    <mergeCell ref="AX104:AX106"/>
    <mergeCell ref="E105:G105"/>
    <mergeCell ref="I105:K105"/>
    <mergeCell ref="P105:S105"/>
    <mergeCell ref="U105:X105"/>
    <mergeCell ref="Z105:AC105"/>
    <mergeCell ref="AE105:AH105"/>
    <mergeCell ref="AJ105:AM105"/>
    <mergeCell ref="AO105:AR105"/>
    <mergeCell ref="AT105:AW105"/>
    <mergeCell ref="B128:B142"/>
    <mergeCell ref="H128:H142"/>
    <mergeCell ref="L128:L142"/>
    <mergeCell ref="AX107:AX121"/>
    <mergeCell ref="B123:H124"/>
    <mergeCell ref="B125:B127"/>
    <mergeCell ref="C125:D127"/>
    <mergeCell ref="E125:G125"/>
    <mergeCell ref="H125:H127"/>
    <mergeCell ref="I125:K125"/>
    <mergeCell ref="L125:L127"/>
    <mergeCell ref="M125:M127"/>
    <mergeCell ref="E126:G126"/>
    <mergeCell ref="I126:K126"/>
    <mergeCell ref="B107:B121"/>
    <mergeCell ref="H107:H121"/>
    <mergeCell ref="L107:L121"/>
    <mergeCell ref="T107:T121"/>
    <mergeCell ref="Y107:Y121"/>
    <mergeCell ref="AD107:AD121"/>
    <mergeCell ref="AI107:AI121"/>
    <mergeCell ref="AN107:AN121"/>
    <mergeCell ref="AS107:AS121"/>
  </mergeCells>
  <phoneticPr fontId="13" type="noConversion"/>
  <pageMargins left="0.7" right="0.7" top="0.75" bottom="0.75" header="0.3" footer="0.3"/>
  <pageSetup paperSize="9" orientation="portrait" horizontalDpi="300" verticalDpi="3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outlinePr summaryBelow="0" summaryRight="0"/>
  </sheetPr>
  <dimension ref="A1:M36"/>
  <sheetViews>
    <sheetView zoomScale="70" zoomScaleNormal="70" zoomScaleSheetLayoutView="100" workbookViewId="0">
      <selection activeCell="A8" sqref="A8:L28"/>
    </sheetView>
  </sheetViews>
  <sheetFormatPr defaultColWidth="12.5703125" defaultRowHeight="15.75" customHeight="1"/>
  <cols>
    <col min="1" max="1" width="6.42578125" style="119" customWidth="1"/>
    <col min="2" max="10" width="11.5703125" style="119" customWidth="1"/>
    <col min="11" max="12" width="12.85546875" style="119" customWidth="1"/>
    <col min="13" max="13" width="12.5703125" style="120"/>
    <col min="14" max="16384" width="12.5703125" style="119"/>
  </cols>
  <sheetData>
    <row r="1" spans="1:13" ht="15.75" customHeight="1">
      <c r="A1" s="610" t="s">
        <v>185</v>
      </c>
      <c r="B1" s="610"/>
      <c r="C1" s="610"/>
      <c r="D1" s="610"/>
      <c r="E1" s="610"/>
      <c r="F1" s="610"/>
      <c r="G1" s="610"/>
      <c r="H1" s="610"/>
      <c r="I1" s="610"/>
      <c r="J1" s="610"/>
      <c r="K1" s="610"/>
      <c r="L1" s="610"/>
      <c r="M1" s="119"/>
    </row>
    <row r="2" spans="1:13" s="120" customFormat="1" ht="15.75" customHeight="1">
      <c r="A2" s="610"/>
      <c r="B2" s="610"/>
      <c r="C2" s="610"/>
      <c r="D2" s="610"/>
      <c r="E2" s="610"/>
      <c r="F2" s="610"/>
      <c r="G2" s="610"/>
      <c r="H2" s="610"/>
      <c r="I2" s="610"/>
      <c r="J2" s="610"/>
      <c r="K2" s="610"/>
      <c r="L2" s="610"/>
    </row>
    <row r="3" spans="1:13" ht="15.75" customHeight="1">
      <c r="A3" s="726" t="s">
        <v>186</v>
      </c>
      <c r="B3" s="727"/>
      <c r="C3" s="727"/>
      <c r="D3" s="727"/>
      <c r="E3" s="727"/>
      <c r="F3" s="727"/>
      <c r="G3" s="727"/>
      <c r="H3" s="727"/>
      <c r="I3" s="727"/>
      <c r="J3" s="727"/>
      <c r="K3" s="727"/>
      <c r="L3" s="727"/>
      <c r="M3" s="151"/>
    </row>
    <row r="4" spans="1:13" s="120" customFormat="1" ht="15.75" customHeight="1">
      <c r="A4" s="727"/>
      <c r="B4" s="727"/>
      <c r="C4" s="727"/>
      <c r="D4" s="727"/>
      <c r="E4" s="727"/>
      <c r="F4" s="727"/>
      <c r="G4" s="727"/>
      <c r="H4" s="727"/>
      <c r="I4" s="727"/>
      <c r="J4" s="727"/>
      <c r="K4" s="727"/>
      <c r="L4" s="727"/>
      <c r="M4" s="130"/>
    </row>
    <row r="5" spans="1:13" s="153" customFormat="1" ht="16.350000000000001" customHeight="1">
      <c r="A5" s="723" t="s">
        <v>154</v>
      </c>
      <c r="B5" s="165">
        <v>1</v>
      </c>
      <c r="C5" s="165">
        <v>2</v>
      </c>
      <c r="D5" s="155">
        <v>3</v>
      </c>
      <c r="E5" s="155">
        <v>4</v>
      </c>
      <c r="F5" s="155">
        <v>5</v>
      </c>
      <c r="G5" s="155">
        <v>6</v>
      </c>
      <c r="H5" s="155">
        <v>7</v>
      </c>
      <c r="I5" s="155">
        <v>8</v>
      </c>
      <c r="J5" s="155">
        <v>9</v>
      </c>
      <c r="K5" s="152"/>
      <c r="L5" s="152"/>
      <c r="M5" s="152"/>
    </row>
    <row r="6" spans="1:13" ht="16.350000000000001" customHeight="1">
      <c r="A6" s="723"/>
      <c r="B6" s="166" t="s">
        <v>187</v>
      </c>
      <c r="C6" s="166" t="s">
        <v>151</v>
      </c>
      <c r="D6" s="156" t="s">
        <v>188</v>
      </c>
      <c r="E6" s="156" t="s">
        <v>153</v>
      </c>
      <c r="F6" s="157" t="s">
        <v>133</v>
      </c>
      <c r="G6" s="158" t="s">
        <v>131</v>
      </c>
      <c r="H6" s="159" t="s">
        <v>189</v>
      </c>
      <c r="I6" s="158" t="s">
        <v>190</v>
      </c>
      <c r="J6" s="158" t="s">
        <v>137</v>
      </c>
      <c r="K6" s="154"/>
      <c r="L6" s="154"/>
      <c r="M6" s="130"/>
    </row>
    <row r="7" spans="1:13" s="153" customFormat="1" ht="15.75" customHeight="1">
      <c r="A7" s="724" t="s">
        <v>168</v>
      </c>
      <c r="B7" s="724"/>
      <c r="C7" s="346" t="s">
        <v>378</v>
      </c>
      <c r="D7" s="724" t="s">
        <v>12</v>
      </c>
      <c r="E7" s="725"/>
      <c r="F7" s="725"/>
      <c r="G7" s="346" t="s">
        <v>46</v>
      </c>
      <c r="H7" s="346" t="s">
        <v>499</v>
      </c>
      <c r="I7" s="346" t="s">
        <v>375</v>
      </c>
      <c r="J7" s="221" t="s">
        <v>376</v>
      </c>
      <c r="K7" s="724" t="s">
        <v>377</v>
      </c>
      <c r="L7" s="725"/>
      <c r="M7" s="152"/>
    </row>
    <row r="8" spans="1:13" ht="15.75" customHeight="1">
      <c r="A8" s="723">
        <v>1</v>
      </c>
      <c r="B8" s="724" t="s">
        <v>150</v>
      </c>
      <c r="C8" s="579">
        <v>1</v>
      </c>
      <c r="D8" s="362" t="s">
        <v>579</v>
      </c>
      <c r="E8" s="343"/>
      <c r="F8" s="344"/>
      <c r="G8" s="357">
        <v>3</v>
      </c>
      <c r="H8" s="357">
        <v>3293.6386350491603</v>
      </c>
      <c r="I8" s="357">
        <v>1097.8795450163868</v>
      </c>
      <c r="J8" s="376" t="s">
        <v>670</v>
      </c>
      <c r="K8" s="730" t="s">
        <v>686</v>
      </c>
      <c r="L8" s="731"/>
      <c r="M8" s="130"/>
    </row>
    <row r="9" spans="1:13" ht="15.75" customHeight="1">
      <c r="A9" s="723"/>
      <c r="B9" s="724"/>
      <c r="C9" s="579">
        <v>2</v>
      </c>
      <c r="D9" s="356" t="s">
        <v>334</v>
      </c>
      <c r="E9" s="343"/>
      <c r="F9" s="344"/>
      <c r="G9" s="357">
        <v>3</v>
      </c>
      <c r="H9" s="357">
        <v>3263.4585800827554</v>
      </c>
      <c r="I9" s="357">
        <v>1087.8195266942519</v>
      </c>
      <c r="J9" s="240" t="s">
        <v>671</v>
      </c>
      <c r="K9" s="732"/>
      <c r="L9" s="733"/>
      <c r="M9" s="130"/>
    </row>
    <row r="10" spans="1:13" ht="15.75" customHeight="1">
      <c r="A10" s="723"/>
      <c r="B10" s="724"/>
      <c r="C10" s="579">
        <v>3</v>
      </c>
      <c r="D10" s="362" t="s">
        <v>333</v>
      </c>
      <c r="E10" s="343"/>
      <c r="F10" s="344"/>
      <c r="G10" s="357">
        <v>3</v>
      </c>
      <c r="H10" s="357">
        <v>3240.464534446683</v>
      </c>
      <c r="I10" s="357">
        <v>1080.1548448155609</v>
      </c>
      <c r="J10" s="240" t="s">
        <v>671</v>
      </c>
      <c r="K10" s="732"/>
      <c r="L10" s="733"/>
      <c r="M10" s="130"/>
    </row>
    <row r="11" spans="1:13" ht="15.75" customHeight="1">
      <c r="A11" s="723"/>
      <c r="B11" s="724"/>
      <c r="C11" s="579">
        <v>4</v>
      </c>
      <c r="D11" s="465" t="s">
        <v>751</v>
      </c>
      <c r="E11" s="343"/>
      <c r="F11" s="344"/>
      <c r="G11" s="357">
        <v>3</v>
      </c>
      <c r="H11" s="357">
        <v>3235.9040794127031</v>
      </c>
      <c r="I11" s="357">
        <v>1078.6346931375679</v>
      </c>
      <c r="J11" s="240" t="s">
        <v>671</v>
      </c>
      <c r="K11" s="732"/>
      <c r="L11" s="733"/>
      <c r="M11" s="130"/>
    </row>
    <row r="12" spans="1:13" ht="15.75" customHeight="1">
      <c r="A12" s="723"/>
      <c r="B12" s="724"/>
      <c r="C12" s="579">
        <v>5</v>
      </c>
      <c r="D12" s="362" t="s">
        <v>748</v>
      </c>
      <c r="E12" s="343"/>
      <c r="F12" s="344"/>
      <c r="G12" s="357">
        <v>3</v>
      </c>
      <c r="H12" s="357">
        <v>3233.2123612532182</v>
      </c>
      <c r="I12" s="357">
        <v>1077.7374537510727</v>
      </c>
      <c r="J12" s="240" t="s">
        <v>671</v>
      </c>
      <c r="K12" s="734"/>
      <c r="L12" s="735"/>
      <c r="M12" s="130"/>
    </row>
    <row r="13" spans="1:13" ht="15.75" customHeight="1">
      <c r="A13" s="723"/>
      <c r="B13" s="724"/>
      <c r="C13" s="164" t="s">
        <v>665</v>
      </c>
      <c r="D13" s="356" t="s">
        <v>572</v>
      </c>
      <c r="E13" s="343"/>
      <c r="F13" s="344"/>
      <c r="G13" s="357">
        <v>8.2857142857142865</v>
      </c>
      <c r="H13" s="357">
        <v>1491.8282943313734</v>
      </c>
      <c r="I13" s="357">
        <v>180.79146196148969</v>
      </c>
      <c r="J13" s="376" t="s">
        <v>670</v>
      </c>
      <c r="K13" s="728"/>
      <c r="L13" s="725"/>
      <c r="M13" s="130"/>
    </row>
    <row r="14" spans="1:13" ht="15.75" customHeight="1">
      <c r="A14" s="723"/>
      <c r="B14" s="724"/>
      <c r="C14" s="164" t="s">
        <v>666</v>
      </c>
      <c r="D14" s="356" t="s">
        <v>598</v>
      </c>
      <c r="E14" s="343"/>
      <c r="F14" s="344"/>
      <c r="G14" s="357">
        <v>4</v>
      </c>
      <c r="H14" s="357">
        <v>2234.3423520923498</v>
      </c>
      <c r="I14" s="357">
        <v>558.58558802308744</v>
      </c>
      <c r="J14" s="239" t="s">
        <v>670</v>
      </c>
      <c r="K14" s="729"/>
      <c r="L14" s="729"/>
      <c r="M14" s="130"/>
    </row>
    <row r="15" spans="1:13" ht="15.75" customHeight="1">
      <c r="A15" s="723"/>
      <c r="B15" s="724"/>
      <c r="C15" s="164" t="s">
        <v>667</v>
      </c>
      <c r="D15" s="463" t="s">
        <v>752</v>
      </c>
      <c r="E15" s="343"/>
      <c r="F15" s="344"/>
      <c r="G15" s="357">
        <v>4</v>
      </c>
      <c r="H15" s="357">
        <v>2843.1452341899026</v>
      </c>
      <c r="I15" s="357">
        <v>710.78630854747564</v>
      </c>
      <c r="J15" s="239" t="s">
        <v>670</v>
      </c>
      <c r="K15" s="729"/>
      <c r="L15" s="729"/>
      <c r="M15" s="130"/>
    </row>
    <row r="16" spans="1:13" ht="15.75" customHeight="1">
      <c r="A16" s="723"/>
      <c r="B16" s="724"/>
      <c r="C16" s="164" t="s">
        <v>668</v>
      </c>
      <c r="D16" s="356" t="s">
        <v>681</v>
      </c>
      <c r="E16" s="343"/>
      <c r="F16" s="344"/>
      <c r="G16" s="357">
        <v>4</v>
      </c>
      <c r="H16" s="357">
        <v>2849.6522366522377</v>
      </c>
      <c r="I16" s="357">
        <v>712.41305916305942</v>
      </c>
      <c r="J16" s="239" t="s">
        <v>670</v>
      </c>
      <c r="K16" s="729"/>
      <c r="L16" s="729"/>
      <c r="M16" s="151"/>
    </row>
    <row r="17" spans="1:13" ht="15.75" customHeight="1">
      <c r="A17" s="723"/>
      <c r="B17" s="724"/>
      <c r="C17" s="164" t="s">
        <v>669</v>
      </c>
      <c r="D17" s="465" t="s">
        <v>758</v>
      </c>
      <c r="E17" s="343"/>
      <c r="F17" s="344"/>
      <c r="G17" s="357">
        <v>3</v>
      </c>
      <c r="H17" s="357">
        <v>2215.8991646698223</v>
      </c>
      <c r="I17" s="357">
        <v>738.63305488994058</v>
      </c>
      <c r="J17" s="239" t="s">
        <v>670</v>
      </c>
      <c r="K17" s="728"/>
      <c r="L17" s="725"/>
      <c r="M17" s="151"/>
    </row>
    <row r="18" spans="1:13" s="161" customFormat="1" ht="15.75" customHeight="1">
      <c r="A18" s="738" t="s">
        <v>167</v>
      </c>
      <c r="B18" s="738"/>
      <c r="C18" s="580" t="s">
        <v>47</v>
      </c>
      <c r="D18" s="738" t="s">
        <v>12</v>
      </c>
      <c r="E18" s="739"/>
      <c r="F18" s="739"/>
      <c r="G18" s="580" t="s">
        <v>46</v>
      </c>
      <c r="H18" s="580" t="s">
        <v>499</v>
      </c>
      <c r="I18" s="580" t="s">
        <v>375</v>
      </c>
      <c r="J18" s="221" t="s">
        <v>376</v>
      </c>
      <c r="K18" s="738" t="s">
        <v>51</v>
      </c>
      <c r="L18" s="739"/>
      <c r="M18" s="154"/>
    </row>
    <row r="19" spans="1:13" ht="15.75" customHeight="1">
      <c r="A19" s="723">
        <v>2</v>
      </c>
      <c r="B19" s="724" t="s">
        <v>151</v>
      </c>
      <c r="C19" s="579">
        <v>1</v>
      </c>
      <c r="D19" s="342" t="s">
        <v>554</v>
      </c>
      <c r="E19" s="343"/>
      <c r="F19" s="344"/>
      <c r="G19" s="357">
        <v>10</v>
      </c>
      <c r="H19" s="357">
        <v>1410.2337662337652</v>
      </c>
      <c r="I19" s="357">
        <v>141.02337662337655</v>
      </c>
      <c r="J19" s="239" t="s">
        <v>670</v>
      </c>
      <c r="K19" s="736"/>
      <c r="L19" s="737"/>
      <c r="M19" s="151"/>
    </row>
    <row r="20" spans="1:13" ht="15.75" customHeight="1">
      <c r="A20" s="723"/>
      <c r="B20" s="724"/>
      <c r="C20" s="579">
        <v>2</v>
      </c>
      <c r="D20" s="342" t="s">
        <v>569</v>
      </c>
      <c r="E20" s="343"/>
      <c r="F20" s="344"/>
      <c r="G20" s="357">
        <v>13.285714285714286</v>
      </c>
      <c r="H20" s="357">
        <v>1798.2627457395718</v>
      </c>
      <c r="I20" s="357">
        <v>135.49600095150677</v>
      </c>
      <c r="J20" s="239" t="s">
        <v>670</v>
      </c>
      <c r="K20" s="736"/>
      <c r="L20" s="737"/>
      <c r="M20" s="151"/>
    </row>
    <row r="21" spans="1:13" ht="15.75" customHeight="1">
      <c r="A21" s="723"/>
      <c r="B21" s="724"/>
      <c r="C21" s="579">
        <v>3</v>
      </c>
      <c r="D21" s="358" t="s">
        <v>570</v>
      </c>
      <c r="E21" s="343"/>
      <c r="F21" s="344"/>
      <c r="G21" s="357">
        <v>13.285714285714286</v>
      </c>
      <c r="H21" s="357">
        <v>1792.3152675645154</v>
      </c>
      <c r="I21" s="357">
        <v>135.08650875619185</v>
      </c>
      <c r="J21" s="239" t="s">
        <v>670</v>
      </c>
      <c r="K21" s="736"/>
      <c r="L21" s="737"/>
      <c r="M21" s="151"/>
    </row>
    <row r="22" spans="1:13" ht="15.75" customHeight="1">
      <c r="A22" s="723"/>
      <c r="B22" s="724"/>
      <c r="C22" s="579">
        <v>4</v>
      </c>
      <c r="D22" s="358" t="s">
        <v>663</v>
      </c>
      <c r="E22" s="343"/>
      <c r="F22" s="344"/>
      <c r="G22" s="357">
        <v>13.285714285714286</v>
      </c>
      <c r="H22" s="357">
        <v>1792.5605042016837</v>
      </c>
      <c r="I22" s="357">
        <v>135.08210822790676</v>
      </c>
      <c r="J22" s="239" t="s">
        <v>670</v>
      </c>
      <c r="K22" s="736"/>
      <c r="L22" s="737"/>
      <c r="M22" s="151"/>
    </row>
    <row r="23" spans="1:13" ht="15.75" customHeight="1">
      <c r="A23" s="723"/>
      <c r="B23" s="724"/>
      <c r="C23" s="579">
        <v>5</v>
      </c>
      <c r="D23" s="358"/>
      <c r="E23" s="343"/>
      <c r="F23" s="344"/>
      <c r="G23" s="357"/>
      <c r="H23" s="357"/>
      <c r="I23" s="357"/>
      <c r="J23" s="239"/>
      <c r="K23" s="736"/>
      <c r="L23" s="737"/>
      <c r="M23" s="151"/>
    </row>
    <row r="24" spans="1:13" ht="15.75" customHeight="1">
      <c r="A24" s="723"/>
      <c r="B24" s="724"/>
      <c r="C24" s="164" t="s">
        <v>665</v>
      </c>
      <c r="D24" s="342"/>
      <c r="E24" s="343"/>
      <c r="F24" s="344"/>
      <c r="G24" s="357"/>
      <c r="H24" s="357"/>
      <c r="I24" s="357"/>
      <c r="J24" s="239"/>
      <c r="K24" s="740"/>
      <c r="L24" s="737"/>
      <c r="M24" s="151"/>
    </row>
    <row r="25" spans="1:13" ht="15.75" customHeight="1">
      <c r="A25" s="723"/>
      <c r="B25" s="724"/>
      <c r="C25" s="164" t="s">
        <v>666</v>
      </c>
      <c r="D25" s="342"/>
      <c r="E25" s="343"/>
      <c r="F25" s="344"/>
      <c r="G25" s="357"/>
      <c r="H25" s="357"/>
      <c r="I25" s="357"/>
      <c r="J25" s="239"/>
      <c r="K25" s="736"/>
      <c r="L25" s="737"/>
      <c r="M25" s="151"/>
    </row>
    <row r="26" spans="1:13" ht="15.75" customHeight="1">
      <c r="A26" s="723"/>
      <c r="B26" s="724"/>
      <c r="C26" s="164" t="s">
        <v>667</v>
      </c>
      <c r="E26" s="343"/>
      <c r="F26" s="344"/>
      <c r="G26" s="357"/>
      <c r="H26" s="357"/>
      <c r="I26" s="357"/>
      <c r="J26" s="581"/>
      <c r="K26" s="736"/>
      <c r="L26" s="737"/>
      <c r="M26" s="151"/>
    </row>
    <row r="27" spans="1:13" ht="15.75" customHeight="1">
      <c r="A27" s="723"/>
      <c r="B27" s="724"/>
      <c r="C27" s="164" t="s">
        <v>668</v>
      </c>
      <c r="D27" s="342"/>
      <c r="E27" s="343"/>
      <c r="F27" s="344"/>
      <c r="G27" s="357"/>
      <c r="H27" s="357"/>
      <c r="I27" s="357"/>
      <c r="J27" s="581"/>
      <c r="K27" s="736"/>
      <c r="L27" s="737"/>
      <c r="M27" s="151"/>
    </row>
    <row r="28" spans="1:13" ht="15.75" customHeight="1">
      <c r="A28" s="723"/>
      <c r="B28" s="724"/>
      <c r="C28" s="164" t="s">
        <v>669</v>
      </c>
      <c r="D28" s="342"/>
      <c r="E28" s="343"/>
      <c r="F28" s="344"/>
      <c r="G28" s="581"/>
      <c r="H28" s="581"/>
      <c r="I28" s="581"/>
      <c r="J28" s="581"/>
      <c r="K28" s="736"/>
      <c r="L28" s="737"/>
      <c r="M28" s="151"/>
    </row>
    <row r="29" spans="1:13" ht="15.75" customHeight="1">
      <c r="A29" s="151"/>
      <c r="B29" s="151"/>
      <c r="C29" s="151"/>
      <c r="D29" s="151"/>
      <c r="E29" s="151"/>
      <c r="F29" s="151"/>
      <c r="G29" s="151"/>
      <c r="H29" s="151"/>
      <c r="I29" s="151"/>
      <c r="J29" s="151"/>
      <c r="K29" s="151"/>
      <c r="L29" s="151"/>
      <c r="M29" s="130"/>
    </row>
    <row r="30" spans="1:13" ht="15.75" customHeight="1">
      <c r="A30" s="151"/>
      <c r="B30" s="151"/>
      <c r="C30" s="151"/>
      <c r="D30" s="151"/>
      <c r="E30" s="151"/>
      <c r="F30" s="151"/>
      <c r="G30" s="151"/>
      <c r="H30" s="151"/>
      <c r="I30" s="151"/>
      <c r="J30" s="151"/>
      <c r="K30" s="151"/>
      <c r="L30" s="151"/>
      <c r="M30" s="151"/>
    </row>
    <row r="31" spans="1:13" ht="15.75" customHeight="1">
      <c r="A31" s="151"/>
      <c r="B31" s="151"/>
      <c r="C31" s="151"/>
      <c r="D31" s="151"/>
      <c r="E31" s="151"/>
      <c r="F31" s="151"/>
      <c r="G31" s="151"/>
      <c r="H31" s="151"/>
      <c r="I31" s="151"/>
      <c r="J31" s="151"/>
      <c r="K31" s="151"/>
      <c r="L31" s="151"/>
      <c r="M31" s="130"/>
    </row>
    <row r="32" spans="1:13" ht="15.75" customHeight="1">
      <c r="A32" s="151"/>
      <c r="B32" s="151"/>
      <c r="C32" s="151"/>
      <c r="D32" s="151"/>
      <c r="E32" s="151"/>
      <c r="F32" s="151"/>
      <c r="G32" s="151"/>
      <c r="H32" s="151"/>
      <c r="I32" s="151"/>
      <c r="J32" s="151"/>
      <c r="K32" s="151"/>
      <c r="L32" s="151"/>
      <c r="M32" s="130"/>
    </row>
    <row r="33" spans="1:13" ht="15.75" customHeight="1">
      <c r="A33" s="151"/>
      <c r="B33" s="151"/>
      <c r="C33" s="151"/>
      <c r="D33" s="151"/>
      <c r="E33" s="151"/>
      <c r="F33" s="151"/>
      <c r="G33" s="151"/>
      <c r="H33" s="151"/>
      <c r="I33" s="151"/>
      <c r="J33" s="151"/>
      <c r="K33" s="151"/>
      <c r="L33" s="151"/>
      <c r="M33" s="130"/>
    </row>
    <row r="34" spans="1:13" ht="15.75" customHeight="1">
      <c r="A34" s="151"/>
      <c r="B34" s="151"/>
      <c r="C34" s="151"/>
      <c r="D34" s="151"/>
      <c r="E34" s="151"/>
      <c r="F34" s="151"/>
      <c r="G34" s="151"/>
      <c r="H34" s="151"/>
      <c r="I34" s="151"/>
      <c r="J34" s="151"/>
      <c r="K34" s="151"/>
      <c r="L34" s="151"/>
      <c r="M34" s="130"/>
    </row>
    <row r="35" spans="1:13" ht="15.75" customHeight="1">
      <c r="A35" s="151"/>
      <c r="B35" s="151"/>
      <c r="C35" s="151"/>
      <c r="D35" s="151"/>
      <c r="E35" s="151"/>
      <c r="F35" s="151"/>
      <c r="G35" s="151"/>
      <c r="H35" s="151"/>
      <c r="I35" s="151"/>
      <c r="J35" s="151"/>
      <c r="K35" s="151"/>
      <c r="L35" s="151"/>
      <c r="M35" s="130"/>
    </row>
    <row r="36" spans="1:13" ht="15.75" customHeight="1">
      <c r="M36" s="151"/>
    </row>
  </sheetData>
  <mergeCells count="29">
    <mergeCell ref="K23:L23"/>
    <mergeCell ref="A18:B18"/>
    <mergeCell ref="D18:F18"/>
    <mergeCell ref="K18:L18"/>
    <mergeCell ref="A19:A28"/>
    <mergeCell ref="K28:L28"/>
    <mergeCell ref="B19:B28"/>
    <mergeCell ref="K27:L27"/>
    <mergeCell ref="K26:L26"/>
    <mergeCell ref="K24:L24"/>
    <mergeCell ref="K25:L25"/>
    <mergeCell ref="K22:L22"/>
    <mergeCell ref="K19:L19"/>
    <mergeCell ref="K20:L20"/>
    <mergeCell ref="K21:L21"/>
    <mergeCell ref="K13:L13"/>
    <mergeCell ref="A8:A17"/>
    <mergeCell ref="B8:B17"/>
    <mergeCell ref="K14:L14"/>
    <mergeCell ref="K17:L17"/>
    <mergeCell ref="K8:L12"/>
    <mergeCell ref="K15:L15"/>
    <mergeCell ref="K16:L16"/>
    <mergeCell ref="A1:L2"/>
    <mergeCell ref="A5:A6"/>
    <mergeCell ref="A7:B7"/>
    <mergeCell ref="D7:F7"/>
    <mergeCell ref="K7:L7"/>
    <mergeCell ref="A3:L4"/>
  </mergeCells>
  <phoneticPr fontId="13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outlinePr summaryBelow="0" summaryRight="0"/>
  </sheetPr>
  <dimension ref="A1:M35"/>
  <sheetViews>
    <sheetView zoomScale="70" zoomScaleNormal="70" zoomScaleSheetLayoutView="100" workbookViewId="0">
      <selection activeCell="A8" sqref="A8:L28"/>
    </sheetView>
  </sheetViews>
  <sheetFormatPr defaultColWidth="12.5703125" defaultRowHeight="15.75" customHeight="1"/>
  <cols>
    <col min="1" max="1" width="6.42578125" style="119" customWidth="1"/>
    <col min="2" max="10" width="11.5703125" style="119" customWidth="1"/>
    <col min="11" max="12" width="12.85546875" style="119" customWidth="1"/>
    <col min="13" max="13" width="12.5703125" style="120"/>
    <col min="14" max="16384" width="12.5703125" style="119"/>
  </cols>
  <sheetData>
    <row r="1" spans="1:13" ht="15.75" customHeight="1">
      <c r="A1" s="610" t="s">
        <v>185</v>
      </c>
      <c r="B1" s="610"/>
      <c r="C1" s="610"/>
      <c r="D1" s="610"/>
      <c r="E1" s="610"/>
      <c r="F1" s="610"/>
      <c r="G1" s="610"/>
      <c r="H1" s="610"/>
      <c r="I1" s="610"/>
      <c r="J1" s="610"/>
      <c r="K1" s="610"/>
      <c r="L1" s="610"/>
      <c r="M1" s="119"/>
    </row>
    <row r="2" spans="1:13" s="120" customFormat="1" ht="15.75" customHeight="1">
      <c r="A2" s="610"/>
      <c r="B2" s="610"/>
      <c r="C2" s="610"/>
      <c r="D2" s="610"/>
      <c r="E2" s="610"/>
      <c r="F2" s="610"/>
      <c r="G2" s="610"/>
      <c r="H2" s="610"/>
      <c r="I2" s="610"/>
      <c r="J2" s="610"/>
      <c r="K2" s="610"/>
      <c r="L2" s="610"/>
    </row>
    <row r="3" spans="1:13" ht="15.75" customHeight="1">
      <c r="A3" s="726" t="s">
        <v>186</v>
      </c>
      <c r="B3" s="727"/>
      <c r="C3" s="727"/>
      <c r="D3" s="727"/>
      <c r="E3" s="727"/>
      <c r="F3" s="727"/>
      <c r="G3" s="727"/>
      <c r="H3" s="727"/>
      <c r="I3" s="727"/>
      <c r="J3" s="727"/>
      <c r="K3" s="727"/>
      <c r="L3" s="727"/>
      <c r="M3" s="151"/>
    </row>
    <row r="4" spans="1:13" s="120" customFormat="1" ht="15.75" customHeight="1">
      <c r="A4" s="727"/>
      <c r="B4" s="727"/>
      <c r="C4" s="727"/>
      <c r="D4" s="727"/>
      <c r="E4" s="727"/>
      <c r="F4" s="727"/>
      <c r="G4" s="727"/>
      <c r="H4" s="727"/>
      <c r="I4" s="727"/>
      <c r="J4" s="727"/>
      <c r="K4" s="727"/>
      <c r="L4" s="727"/>
      <c r="M4" s="130"/>
    </row>
    <row r="5" spans="1:13" s="153" customFormat="1" ht="16.350000000000001" customHeight="1">
      <c r="A5" s="723" t="s">
        <v>154</v>
      </c>
      <c r="B5" s="155">
        <v>1</v>
      </c>
      <c r="C5" s="155">
        <v>2</v>
      </c>
      <c r="D5" s="165">
        <v>3</v>
      </c>
      <c r="E5" s="165">
        <v>4</v>
      </c>
      <c r="F5" s="155">
        <v>5</v>
      </c>
      <c r="G5" s="155">
        <v>6</v>
      </c>
      <c r="H5" s="155">
        <v>7</v>
      </c>
      <c r="I5" s="155">
        <v>8</v>
      </c>
      <c r="J5" s="155">
        <v>9</v>
      </c>
      <c r="K5" s="152"/>
      <c r="L5" s="152"/>
      <c r="M5" s="152"/>
    </row>
    <row r="6" spans="1:13" ht="16.350000000000001" customHeight="1">
      <c r="A6" s="723"/>
      <c r="B6" s="156" t="s">
        <v>187</v>
      </c>
      <c r="C6" s="156" t="s">
        <v>151</v>
      </c>
      <c r="D6" s="166" t="s">
        <v>188</v>
      </c>
      <c r="E6" s="166" t="s">
        <v>153</v>
      </c>
      <c r="F6" s="157" t="s">
        <v>133</v>
      </c>
      <c r="G6" s="158" t="s">
        <v>131</v>
      </c>
      <c r="H6" s="159" t="s">
        <v>189</v>
      </c>
      <c r="I6" s="158" t="s">
        <v>190</v>
      </c>
      <c r="J6" s="158" t="s">
        <v>137</v>
      </c>
      <c r="K6" s="154"/>
      <c r="L6" s="154"/>
      <c r="M6" s="130"/>
    </row>
    <row r="7" spans="1:13" s="153" customFormat="1" ht="15.75" customHeight="1">
      <c r="A7" s="724" t="s">
        <v>168</v>
      </c>
      <c r="B7" s="724"/>
      <c r="C7" s="346" t="s">
        <v>378</v>
      </c>
      <c r="D7" s="724" t="s">
        <v>12</v>
      </c>
      <c r="E7" s="725"/>
      <c r="F7" s="725"/>
      <c r="G7" s="361" t="s">
        <v>543</v>
      </c>
      <c r="H7" s="361" t="s">
        <v>544</v>
      </c>
      <c r="I7" s="361" t="s">
        <v>545</v>
      </c>
      <c r="J7" s="221" t="s">
        <v>546</v>
      </c>
      <c r="K7" s="724" t="s">
        <v>547</v>
      </c>
      <c r="L7" s="725"/>
      <c r="M7" s="152"/>
    </row>
    <row r="8" spans="1:13" ht="15.75" customHeight="1">
      <c r="A8" s="723">
        <v>3</v>
      </c>
      <c r="B8" s="724" t="s">
        <v>152</v>
      </c>
      <c r="C8" s="579">
        <v>1</v>
      </c>
      <c r="D8" s="342" t="s">
        <v>352</v>
      </c>
      <c r="E8" s="343"/>
      <c r="F8" s="344"/>
      <c r="G8" s="357">
        <v>5</v>
      </c>
      <c r="H8" s="357">
        <v>2091.9879159492157</v>
      </c>
      <c r="I8" s="357">
        <v>418.39758318984315</v>
      </c>
      <c r="J8" s="240" t="s">
        <v>671</v>
      </c>
      <c r="K8" s="745" t="s">
        <v>712</v>
      </c>
      <c r="L8" s="746"/>
      <c r="M8" s="130"/>
    </row>
    <row r="9" spans="1:13" ht="15.75" customHeight="1">
      <c r="A9" s="723"/>
      <c r="B9" s="724"/>
      <c r="C9" s="579">
        <v>2</v>
      </c>
      <c r="D9" s="342" t="s">
        <v>421</v>
      </c>
      <c r="E9" s="343"/>
      <c r="F9" s="344"/>
      <c r="G9" s="357">
        <v>5</v>
      </c>
      <c r="H9" s="357">
        <v>2084.879547776728</v>
      </c>
      <c r="I9" s="357">
        <v>416.97590955534554</v>
      </c>
      <c r="J9" s="241" t="s">
        <v>672</v>
      </c>
      <c r="K9" s="747"/>
      <c r="L9" s="748"/>
      <c r="M9" s="130"/>
    </row>
    <row r="10" spans="1:13" ht="15.75" customHeight="1">
      <c r="A10" s="723"/>
      <c r="B10" s="724"/>
      <c r="C10" s="579">
        <v>3</v>
      </c>
      <c r="D10" s="342" t="s">
        <v>354</v>
      </c>
      <c r="E10" s="343"/>
      <c r="F10" s="344"/>
      <c r="G10" s="357">
        <v>10</v>
      </c>
      <c r="H10" s="357">
        <v>2442.9957943719483</v>
      </c>
      <c r="I10" s="357">
        <v>244.29957943719481</v>
      </c>
      <c r="J10" s="239" t="s">
        <v>670</v>
      </c>
      <c r="K10" s="741"/>
      <c r="L10" s="742"/>
      <c r="M10" s="130"/>
    </row>
    <row r="11" spans="1:13" ht="15.75" customHeight="1">
      <c r="A11" s="723"/>
      <c r="B11" s="724"/>
      <c r="C11" s="579">
        <v>4</v>
      </c>
      <c r="D11" s="342" t="s">
        <v>700</v>
      </c>
      <c r="E11" s="343"/>
      <c r="F11" s="344"/>
      <c r="G11" s="357">
        <v>11</v>
      </c>
      <c r="H11" s="357">
        <v>2163.8580599826828</v>
      </c>
      <c r="I11" s="357">
        <v>196.71436908933475</v>
      </c>
      <c r="J11" s="239" t="s">
        <v>670</v>
      </c>
      <c r="K11" s="744"/>
      <c r="L11" s="739"/>
      <c r="M11" s="130"/>
    </row>
    <row r="12" spans="1:13" ht="15.75" customHeight="1">
      <c r="A12" s="723"/>
      <c r="B12" s="724"/>
      <c r="C12" s="579">
        <v>5</v>
      </c>
      <c r="D12" s="342" t="s">
        <v>649</v>
      </c>
      <c r="E12" s="343"/>
      <c r="F12" s="344"/>
      <c r="G12" s="357">
        <v>11</v>
      </c>
      <c r="H12" s="357">
        <v>2082.6413015084154</v>
      </c>
      <c r="I12" s="357">
        <v>189.33102740985598</v>
      </c>
      <c r="J12" s="239" t="s">
        <v>670</v>
      </c>
      <c r="K12" s="752"/>
      <c r="L12" s="753"/>
      <c r="M12" s="130"/>
    </row>
    <row r="13" spans="1:13" ht="15.75" customHeight="1">
      <c r="A13" s="723"/>
      <c r="B13" s="724"/>
      <c r="C13" s="164" t="s">
        <v>665</v>
      </c>
      <c r="D13" s="342" t="s">
        <v>351</v>
      </c>
      <c r="E13" s="343"/>
      <c r="F13" s="344"/>
      <c r="G13" s="357">
        <v>18</v>
      </c>
      <c r="H13" s="357">
        <v>1103.4120092956998</v>
      </c>
      <c r="I13" s="357">
        <v>61.300667183094433</v>
      </c>
      <c r="J13" s="239" t="s">
        <v>670</v>
      </c>
      <c r="K13" s="743"/>
      <c r="L13" s="739"/>
      <c r="M13" s="130"/>
    </row>
    <row r="14" spans="1:13" ht="15.75" customHeight="1">
      <c r="A14" s="723"/>
      <c r="B14" s="724"/>
      <c r="C14" s="164" t="s">
        <v>666</v>
      </c>
      <c r="D14" s="342" t="s">
        <v>555</v>
      </c>
      <c r="E14" s="343"/>
      <c r="F14" s="344"/>
      <c r="G14" s="357">
        <v>13</v>
      </c>
      <c r="H14" s="357">
        <v>2091.3854681449097</v>
      </c>
      <c r="I14" s="357">
        <v>160.87580524191617</v>
      </c>
      <c r="J14" s="241" t="s">
        <v>672</v>
      </c>
      <c r="K14" s="744" t="s">
        <v>771</v>
      </c>
      <c r="L14" s="739"/>
      <c r="M14" s="130"/>
    </row>
    <row r="15" spans="1:13" ht="15.75" customHeight="1">
      <c r="A15" s="723"/>
      <c r="B15" s="724"/>
      <c r="C15" s="164" t="s">
        <v>667</v>
      </c>
      <c r="D15" s="342" t="s">
        <v>353</v>
      </c>
      <c r="E15" s="343"/>
      <c r="F15" s="344"/>
      <c r="G15" s="357">
        <v>13</v>
      </c>
      <c r="H15" s="357">
        <v>2148.6794316606743</v>
      </c>
      <c r="I15" s="357">
        <v>165.28303320466719</v>
      </c>
      <c r="J15" s="240" t="s">
        <v>671</v>
      </c>
      <c r="K15" s="743" t="s">
        <v>674</v>
      </c>
      <c r="L15" s="739"/>
      <c r="M15" s="130"/>
    </row>
    <row r="16" spans="1:13" ht="15.75" customHeight="1">
      <c r="A16" s="723"/>
      <c r="B16" s="724"/>
      <c r="C16" s="164" t="s">
        <v>668</v>
      </c>
      <c r="D16" s="342"/>
      <c r="E16" s="343"/>
      <c r="F16" s="344"/>
      <c r="G16" s="357"/>
      <c r="H16" s="357"/>
      <c r="I16" s="357"/>
      <c r="J16" s="239" t="s">
        <v>670</v>
      </c>
      <c r="K16" s="743"/>
      <c r="L16" s="739"/>
      <c r="M16" s="151"/>
    </row>
    <row r="17" spans="1:13" ht="15.75" customHeight="1">
      <c r="A17" s="723"/>
      <c r="B17" s="724"/>
      <c r="C17" s="164" t="s">
        <v>669</v>
      </c>
      <c r="D17" s="342"/>
      <c r="E17" s="343"/>
      <c r="F17" s="344"/>
      <c r="G17" s="357"/>
      <c r="H17" s="357"/>
      <c r="I17" s="357"/>
      <c r="J17" s="239"/>
      <c r="K17" s="743"/>
      <c r="L17" s="739"/>
      <c r="M17" s="151"/>
    </row>
    <row r="18" spans="1:13" s="161" customFormat="1" ht="15.75" customHeight="1">
      <c r="A18" s="738" t="s">
        <v>167</v>
      </c>
      <c r="B18" s="738"/>
      <c r="C18" s="580" t="s">
        <v>47</v>
      </c>
      <c r="D18" s="738" t="s">
        <v>12</v>
      </c>
      <c r="E18" s="739"/>
      <c r="F18" s="739"/>
      <c r="G18" s="580" t="s">
        <v>46</v>
      </c>
      <c r="H18" s="580" t="s">
        <v>499</v>
      </c>
      <c r="I18" s="580" t="s">
        <v>375</v>
      </c>
      <c r="J18" s="221" t="s">
        <v>376</v>
      </c>
      <c r="K18" s="738" t="s">
        <v>51</v>
      </c>
      <c r="L18" s="739"/>
      <c r="M18" s="154"/>
    </row>
    <row r="19" spans="1:13" ht="15.75" customHeight="1">
      <c r="A19" s="723">
        <v>4</v>
      </c>
      <c r="B19" s="724" t="s">
        <v>153</v>
      </c>
      <c r="C19" s="579">
        <v>1</v>
      </c>
      <c r="D19" s="464"/>
      <c r="E19" s="343"/>
      <c r="F19" s="344"/>
      <c r="G19" s="357"/>
      <c r="H19" s="357"/>
      <c r="I19" s="357"/>
      <c r="J19" s="240"/>
      <c r="K19" s="750"/>
      <c r="L19" s="737"/>
      <c r="M19" s="151"/>
    </row>
    <row r="20" spans="1:13" ht="15.75" customHeight="1">
      <c r="A20" s="723"/>
      <c r="B20" s="724"/>
      <c r="C20" s="579">
        <v>2</v>
      </c>
      <c r="D20" s="464"/>
      <c r="E20" s="343"/>
      <c r="F20" s="344"/>
      <c r="G20" s="357"/>
      <c r="H20" s="357"/>
      <c r="I20" s="357"/>
      <c r="J20" s="241"/>
      <c r="K20" s="751"/>
      <c r="L20" s="725"/>
      <c r="M20" s="151"/>
    </row>
    <row r="21" spans="1:13" ht="15.75" customHeight="1">
      <c r="A21" s="723"/>
      <c r="B21" s="724"/>
      <c r="C21" s="579">
        <v>3</v>
      </c>
      <c r="D21" s="358"/>
      <c r="E21" s="343"/>
      <c r="F21" s="344"/>
      <c r="G21" s="357"/>
      <c r="H21" s="357"/>
      <c r="I21" s="357"/>
      <c r="J21" s="241"/>
      <c r="K21" s="736"/>
      <c r="L21" s="737"/>
      <c r="M21" s="151"/>
    </row>
    <row r="22" spans="1:13" ht="15.75" customHeight="1">
      <c r="A22" s="723"/>
      <c r="B22" s="724"/>
      <c r="C22" s="579">
        <v>4</v>
      </c>
      <c r="D22" s="358"/>
      <c r="E22" s="343"/>
      <c r="F22" s="344"/>
      <c r="G22" s="581"/>
      <c r="H22" s="357"/>
      <c r="I22" s="357"/>
      <c r="J22" s="239"/>
      <c r="K22" s="736"/>
      <c r="L22" s="737"/>
      <c r="M22" s="151"/>
    </row>
    <row r="23" spans="1:13" ht="15.75" customHeight="1">
      <c r="A23" s="723"/>
      <c r="B23" s="724"/>
      <c r="C23" s="579">
        <v>5</v>
      </c>
      <c r="D23" s="342"/>
      <c r="E23" s="343"/>
      <c r="F23" s="344"/>
      <c r="G23" s="581"/>
      <c r="H23" s="581"/>
      <c r="I23" s="581"/>
      <c r="J23" s="581"/>
      <c r="K23" s="736"/>
      <c r="L23" s="737"/>
      <c r="M23" s="151"/>
    </row>
    <row r="24" spans="1:13" ht="15.75" customHeight="1">
      <c r="A24" s="723"/>
      <c r="B24" s="724"/>
      <c r="C24" s="164" t="s">
        <v>665</v>
      </c>
      <c r="D24" s="358"/>
      <c r="E24" s="343"/>
      <c r="F24" s="344"/>
      <c r="G24" s="357"/>
      <c r="H24" s="357"/>
      <c r="I24" s="357"/>
      <c r="J24" s="239"/>
      <c r="K24" s="749"/>
      <c r="L24" s="737"/>
      <c r="M24" s="151"/>
    </row>
    <row r="25" spans="1:13" ht="15.75" customHeight="1">
      <c r="A25" s="723"/>
      <c r="B25" s="724"/>
      <c r="C25" s="164" t="s">
        <v>666</v>
      </c>
      <c r="D25" s="342"/>
      <c r="E25" s="343"/>
      <c r="F25" s="344"/>
      <c r="G25" s="581"/>
      <c r="H25" s="581"/>
      <c r="I25" s="581"/>
      <c r="J25" s="581"/>
      <c r="K25" s="736"/>
      <c r="L25" s="737"/>
      <c r="M25" s="151"/>
    </row>
    <row r="26" spans="1:13" ht="15.75" customHeight="1">
      <c r="A26" s="723"/>
      <c r="B26" s="724"/>
      <c r="C26" s="164" t="s">
        <v>667</v>
      </c>
      <c r="D26" s="342"/>
      <c r="E26" s="343"/>
      <c r="F26" s="344"/>
      <c r="G26" s="581"/>
      <c r="H26" s="581"/>
      <c r="I26" s="581"/>
      <c r="J26" s="581"/>
      <c r="K26" s="736"/>
      <c r="L26" s="737"/>
      <c r="M26" s="151"/>
    </row>
    <row r="27" spans="1:13" ht="15.75" customHeight="1">
      <c r="A27" s="723"/>
      <c r="B27" s="724"/>
      <c r="C27" s="164" t="s">
        <v>668</v>
      </c>
      <c r="D27" s="342"/>
      <c r="E27" s="343"/>
      <c r="F27" s="344"/>
      <c r="G27" s="581"/>
      <c r="H27" s="581"/>
      <c r="I27" s="581"/>
      <c r="J27" s="581"/>
      <c r="K27" s="736"/>
      <c r="L27" s="737"/>
      <c r="M27" s="151"/>
    </row>
    <row r="28" spans="1:13" ht="15.75" customHeight="1">
      <c r="A28" s="723"/>
      <c r="B28" s="724"/>
      <c r="C28" s="164" t="s">
        <v>669</v>
      </c>
      <c r="D28" s="342"/>
      <c r="E28" s="343"/>
      <c r="F28" s="344"/>
      <c r="G28" s="581"/>
      <c r="H28" s="581"/>
      <c r="I28" s="581"/>
      <c r="J28" s="581"/>
      <c r="K28" s="736"/>
      <c r="L28" s="737"/>
      <c r="M28" s="151"/>
    </row>
    <row r="29" spans="1:13" ht="15.75" customHeight="1">
      <c r="A29" s="151"/>
      <c r="B29" s="151"/>
      <c r="C29" s="151"/>
      <c r="D29" s="151"/>
      <c r="E29" s="151"/>
      <c r="F29" s="151"/>
      <c r="G29" s="151"/>
      <c r="H29" s="151"/>
      <c r="I29" s="151"/>
      <c r="J29" s="151"/>
      <c r="K29" s="151"/>
      <c r="L29" s="151"/>
      <c r="M29" s="130"/>
    </row>
    <row r="30" spans="1:13" ht="15.75" customHeight="1">
      <c r="A30" s="151"/>
      <c r="B30" s="151"/>
      <c r="C30" s="151"/>
      <c r="D30" s="151"/>
      <c r="E30" s="151"/>
      <c r="F30" s="151"/>
      <c r="G30" s="151"/>
      <c r="H30" s="151"/>
      <c r="I30" s="151"/>
      <c r="J30" s="151"/>
      <c r="K30" s="151"/>
      <c r="L30" s="151"/>
      <c r="M30" s="130"/>
    </row>
    <row r="31" spans="1:13" ht="15.75" customHeight="1">
      <c r="A31" s="151"/>
      <c r="B31" s="151"/>
      <c r="C31" s="151"/>
      <c r="D31" s="151"/>
      <c r="E31" s="151"/>
      <c r="F31" s="151"/>
      <c r="G31" s="151"/>
      <c r="H31" s="151"/>
      <c r="I31" s="151"/>
      <c r="J31" s="151"/>
      <c r="K31" s="151"/>
      <c r="L31" s="151"/>
      <c r="M31" s="130"/>
    </row>
    <row r="32" spans="1:13" ht="15.75" customHeight="1">
      <c r="A32" s="151"/>
      <c r="B32" s="151"/>
      <c r="C32" s="151"/>
      <c r="D32" s="151"/>
      <c r="E32" s="151"/>
      <c r="F32" s="151"/>
      <c r="G32" s="151"/>
      <c r="H32" s="151"/>
      <c r="I32" s="151"/>
      <c r="J32" s="151"/>
      <c r="K32" s="151"/>
      <c r="L32" s="151"/>
      <c r="M32" s="130"/>
    </row>
    <row r="33" spans="1:13" ht="15.75" customHeight="1">
      <c r="A33" s="151"/>
      <c r="B33" s="151"/>
      <c r="C33" s="151"/>
      <c r="D33" s="151"/>
      <c r="E33" s="151"/>
      <c r="F33" s="151"/>
      <c r="G33" s="151"/>
      <c r="H33" s="151"/>
      <c r="I33" s="151"/>
      <c r="J33" s="151"/>
      <c r="K33" s="151"/>
      <c r="L33" s="151"/>
      <c r="M33" s="130"/>
    </row>
    <row r="34" spans="1:13" ht="15.75" customHeight="1">
      <c r="A34" s="151"/>
      <c r="B34" s="151"/>
      <c r="C34" s="151"/>
      <c r="D34" s="151"/>
      <c r="E34" s="151"/>
      <c r="F34" s="151"/>
      <c r="G34" s="151"/>
      <c r="H34" s="151"/>
      <c r="I34" s="151"/>
      <c r="J34" s="151"/>
      <c r="K34" s="151"/>
      <c r="L34" s="151"/>
      <c r="M34" s="130"/>
    </row>
    <row r="35" spans="1:13" ht="15.75" customHeight="1">
      <c r="A35" s="151"/>
      <c r="B35" s="151"/>
      <c r="C35" s="151"/>
      <c r="D35" s="151"/>
      <c r="E35" s="151"/>
      <c r="F35" s="151"/>
      <c r="G35" s="151"/>
      <c r="H35" s="151"/>
      <c r="I35" s="151"/>
      <c r="J35" s="151"/>
      <c r="K35" s="151"/>
      <c r="L35" s="151"/>
      <c r="M35" s="130"/>
    </row>
  </sheetData>
  <mergeCells count="32">
    <mergeCell ref="A18:B18"/>
    <mergeCell ref="K17:L17"/>
    <mergeCell ref="D18:F18"/>
    <mergeCell ref="K11:L11"/>
    <mergeCell ref="K12:L12"/>
    <mergeCell ref="K18:L18"/>
    <mergeCell ref="A19:A28"/>
    <mergeCell ref="K25:L25"/>
    <mergeCell ref="K26:L26"/>
    <mergeCell ref="K28:L28"/>
    <mergeCell ref="K22:L22"/>
    <mergeCell ref="K23:L23"/>
    <mergeCell ref="K27:L27"/>
    <mergeCell ref="K24:L24"/>
    <mergeCell ref="K19:L19"/>
    <mergeCell ref="B19:B28"/>
    <mergeCell ref="K20:L20"/>
    <mergeCell ref="K21:L21"/>
    <mergeCell ref="A1:L2"/>
    <mergeCell ref="A3:L4"/>
    <mergeCell ref="K10:L10"/>
    <mergeCell ref="A5:A6"/>
    <mergeCell ref="A7:B7"/>
    <mergeCell ref="D7:F7"/>
    <mergeCell ref="K7:L7"/>
    <mergeCell ref="A8:A17"/>
    <mergeCell ref="B8:B17"/>
    <mergeCell ref="K16:L16"/>
    <mergeCell ref="K13:L13"/>
    <mergeCell ref="K14:L14"/>
    <mergeCell ref="K15:L15"/>
    <mergeCell ref="K8:L9"/>
  </mergeCells>
  <phoneticPr fontId="13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outlinePr summaryBelow="0" summaryRight="0"/>
  </sheetPr>
  <dimension ref="A1:R35"/>
  <sheetViews>
    <sheetView zoomScale="70" zoomScaleNormal="70" zoomScaleSheetLayoutView="100" workbookViewId="0">
      <selection activeCell="A8" sqref="A8:L28"/>
    </sheetView>
  </sheetViews>
  <sheetFormatPr defaultColWidth="12.5703125" defaultRowHeight="15.75" customHeight="1"/>
  <cols>
    <col min="1" max="1" width="6.42578125" style="119" customWidth="1"/>
    <col min="2" max="10" width="11.5703125" style="119" customWidth="1"/>
    <col min="11" max="12" width="12.85546875" style="119" customWidth="1"/>
    <col min="13" max="13" width="12.5703125" style="120"/>
    <col min="14" max="16384" width="12.5703125" style="119"/>
  </cols>
  <sheetData>
    <row r="1" spans="1:18" ht="15.75" customHeight="1">
      <c r="A1" s="610" t="s">
        <v>185</v>
      </c>
      <c r="B1" s="610"/>
      <c r="C1" s="610"/>
      <c r="D1" s="610"/>
      <c r="E1" s="610"/>
      <c r="F1" s="610"/>
      <c r="G1" s="610"/>
      <c r="H1" s="610"/>
      <c r="I1" s="610"/>
      <c r="J1" s="610"/>
      <c r="K1" s="610"/>
      <c r="L1" s="610"/>
      <c r="M1" s="119"/>
    </row>
    <row r="2" spans="1:18" s="120" customFormat="1" ht="15.75" customHeight="1">
      <c r="A2" s="610"/>
      <c r="B2" s="610"/>
      <c r="C2" s="610"/>
      <c r="D2" s="610"/>
      <c r="E2" s="610"/>
      <c r="F2" s="610"/>
      <c r="G2" s="610"/>
      <c r="H2" s="610"/>
      <c r="I2" s="610"/>
      <c r="J2" s="610"/>
      <c r="K2" s="610"/>
      <c r="L2" s="610"/>
    </row>
    <row r="3" spans="1:18" ht="15.75" customHeight="1">
      <c r="A3" s="726" t="s">
        <v>186</v>
      </c>
      <c r="B3" s="727"/>
      <c r="C3" s="727"/>
      <c r="D3" s="727"/>
      <c r="E3" s="727"/>
      <c r="F3" s="727"/>
      <c r="G3" s="727"/>
      <c r="H3" s="727"/>
      <c r="I3" s="727"/>
      <c r="J3" s="727"/>
      <c r="K3" s="727"/>
      <c r="L3" s="727"/>
      <c r="M3" s="151"/>
    </row>
    <row r="4" spans="1:18" s="120" customFormat="1" ht="15.75" customHeight="1">
      <c r="A4" s="727"/>
      <c r="B4" s="727"/>
      <c r="C4" s="727"/>
      <c r="D4" s="727"/>
      <c r="E4" s="727"/>
      <c r="F4" s="727"/>
      <c r="G4" s="727"/>
      <c r="H4" s="727"/>
      <c r="I4" s="727"/>
      <c r="J4" s="727"/>
      <c r="K4" s="727"/>
      <c r="L4" s="727"/>
      <c r="M4" s="130"/>
    </row>
    <row r="5" spans="1:18" s="153" customFormat="1" ht="16.350000000000001" customHeight="1">
      <c r="A5" s="723" t="s">
        <v>154</v>
      </c>
      <c r="B5" s="155">
        <v>1</v>
      </c>
      <c r="C5" s="155">
        <v>2</v>
      </c>
      <c r="D5" s="155">
        <v>3</v>
      </c>
      <c r="E5" s="155">
        <v>4</v>
      </c>
      <c r="F5" s="165">
        <v>5</v>
      </c>
      <c r="G5" s="165">
        <v>6</v>
      </c>
      <c r="H5" s="155">
        <v>7</v>
      </c>
      <c r="I5" s="155">
        <v>8</v>
      </c>
      <c r="J5" s="155">
        <v>9</v>
      </c>
      <c r="K5" s="152"/>
      <c r="L5" s="152"/>
      <c r="M5" s="152"/>
    </row>
    <row r="6" spans="1:18" ht="16.350000000000001" customHeight="1">
      <c r="A6" s="723"/>
      <c r="B6" s="156" t="s">
        <v>187</v>
      </c>
      <c r="C6" s="156" t="s">
        <v>151</v>
      </c>
      <c r="D6" s="156" t="s">
        <v>188</v>
      </c>
      <c r="E6" s="156" t="s">
        <v>153</v>
      </c>
      <c r="F6" s="167" t="s">
        <v>133</v>
      </c>
      <c r="G6" s="168" t="s">
        <v>131</v>
      </c>
      <c r="H6" s="159" t="s">
        <v>189</v>
      </c>
      <c r="I6" s="158" t="s">
        <v>190</v>
      </c>
      <c r="J6" s="158" t="s">
        <v>137</v>
      </c>
      <c r="K6" s="154"/>
      <c r="L6" s="154"/>
      <c r="M6" s="130"/>
    </row>
    <row r="7" spans="1:18" s="153" customFormat="1" ht="15.75" customHeight="1">
      <c r="A7" s="724" t="s">
        <v>533</v>
      </c>
      <c r="B7" s="724"/>
      <c r="C7" s="346" t="s">
        <v>534</v>
      </c>
      <c r="D7" s="724" t="s">
        <v>12</v>
      </c>
      <c r="E7" s="725"/>
      <c r="F7" s="725"/>
      <c r="G7" s="361" t="s">
        <v>543</v>
      </c>
      <c r="H7" s="361" t="s">
        <v>544</v>
      </c>
      <c r="I7" s="361" t="s">
        <v>545</v>
      </c>
      <c r="J7" s="221" t="s">
        <v>546</v>
      </c>
      <c r="K7" s="724" t="s">
        <v>547</v>
      </c>
      <c r="L7" s="725"/>
      <c r="M7" s="152"/>
    </row>
    <row r="8" spans="1:18" ht="15.75" customHeight="1">
      <c r="A8" s="723">
        <v>5</v>
      </c>
      <c r="B8" s="724" t="s">
        <v>133</v>
      </c>
      <c r="C8" s="579">
        <v>1</v>
      </c>
      <c r="D8" s="371" t="s">
        <v>338</v>
      </c>
      <c r="E8" s="343"/>
      <c r="F8" s="344"/>
      <c r="G8" s="357">
        <v>6</v>
      </c>
      <c r="H8" s="357">
        <v>1468.7404368145812</v>
      </c>
      <c r="I8" s="357">
        <v>244.79007280243022</v>
      </c>
      <c r="J8" s="240" t="s">
        <v>671</v>
      </c>
      <c r="K8" s="754" t="s">
        <v>713</v>
      </c>
      <c r="L8" s="755"/>
      <c r="M8" s="130"/>
      <c r="P8" s="250"/>
      <c r="Q8" s="250"/>
      <c r="R8" s="250"/>
    </row>
    <row r="9" spans="1:18" ht="15.75" customHeight="1">
      <c r="A9" s="723"/>
      <c r="B9" s="724"/>
      <c r="C9" s="579">
        <v>2</v>
      </c>
      <c r="D9" s="358" t="s">
        <v>565</v>
      </c>
      <c r="E9" s="343"/>
      <c r="F9" s="344"/>
      <c r="G9" s="357">
        <v>6</v>
      </c>
      <c r="H9" s="357">
        <v>1453.208482362727</v>
      </c>
      <c r="I9" s="357">
        <v>242.20141372712118</v>
      </c>
      <c r="J9" s="241" t="s">
        <v>672</v>
      </c>
      <c r="K9" s="756"/>
      <c r="L9" s="757"/>
      <c r="M9" s="130"/>
      <c r="P9" s="250"/>
      <c r="Q9" s="250"/>
      <c r="R9" s="250"/>
    </row>
    <row r="10" spans="1:18" ht="15.75" customHeight="1">
      <c r="A10" s="723"/>
      <c r="B10" s="724"/>
      <c r="C10" s="579">
        <v>3</v>
      </c>
      <c r="D10" s="342" t="s">
        <v>679</v>
      </c>
      <c r="E10" s="343"/>
      <c r="F10" s="344"/>
      <c r="G10" s="357">
        <v>14</v>
      </c>
      <c r="H10" s="357">
        <v>1320.2829807526989</v>
      </c>
      <c r="I10" s="357">
        <v>94.30592719662134</v>
      </c>
      <c r="J10" s="240" t="s">
        <v>671</v>
      </c>
      <c r="K10" s="758" t="s">
        <v>772</v>
      </c>
      <c r="L10" s="725"/>
      <c r="M10" s="130"/>
      <c r="P10" s="250"/>
      <c r="Q10" s="250"/>
      <c r="R10" s="250"/>
    </row>
    <row r="11" spans="1:18" ht="15.75" customHeight="1">
      <c r="A11" s="723"/>
      <c r="B11" s="724"/>
      <c r="C11" s="579">
        <v>4</v>
      </c>
      <c r="D11" s="464" t="s">
        <v>708</v>
      </c>
      <c r="E11" s="343"/>
      <c r="F11" s="344"/>
      <c r="G11" s="357">
        <v>14.142857142857142</v>
      </c>
      <c r="H11" s="357">
        <v>1329.4273590120122</v>
      </c>
      <c r="I11" s="357">
        <v>94.050412430546686</v>
      </c>
      <c r="J11" s="239" t="s">
        <v>670</v>
      </c>
      <c r="K11" s="758" t="s">
        <v>773</v>
      </c>
      <c r="L11" s="725"/>
      <c r="M11" s="130"/>
      <c r="P11" s="250"/>
      <c r="Q11" s="250"/>
      <c r="R11" s="250"/>
    </row>
    <row r="12" spans="1:18" ht="15.75" customHeight="1">
      <c r="A12" s="723"/>
      <c r="B12" s="724"/>
      <c r="C12" s="579">
        <v>5</v>
      </c>
      <c r="D12" s="464" t="s">
        <v>340</v>
      </c>
      <c r="E12" s="343"/>
      <c r="F12" s="344"/>
      <c r="G12" s="357">
        <v>14.285714285714286</v>
      </c>
      <c r="H12" s="357">
        <v>1330.3573494719301</v>
      </c>
      <c r="I12" s="357">
        <v>93.240006744968724</v>
      </c>
      <c r="J12" s="241" t="s">
        <v>672</v>
      </c>
      <c r="K12" s="758" t="s">
        <v>674</v>
      </c>
      <c r="L12" s="725"/>
      <c r="M12" s="130"/>
      <c r="P12" s="250"/>
      <c r="Q12" s="250"/>
      <c r="R12" s="250"/>
    </row>
    <row r="13" spans="1:18" ht="15.75" customHeight="1">
      <c r="A13" s="723"/>
      <c r="B13" s="724"/>
      <c r="C13" s="164" t="s">
        <v>665</v>
      </c>
      <c r="D13" s="464" t="s">
        <v>654</v>
      </c>
      <c r="E13" s="343"/>
      <c r="F13" s="344"/>
      <c r="G13" s="357">
        <v>20.714285714285715</v>
      </c>
      <c r="H13" s="357">
        <v>1091.4408852471554</v>
      </c>
      <c r="I13" s="357">
        <v>52.737118643758699</v>
      </c>
      <c r="J13" s="239" t="s">
        <v>670</v>
      </c>
      <c r="K13" s="758"/>
      <c r="L13" s="725"/>
      <c r="M13" s="130"/>
      <c r="P13" s="250"/>
      <c r="Q13" s="250"/>
      <c r="R13" s="250"/>
    </row>
    <row r="14" spans="1:18" ht="15.75" customHeight="1">
      <c r="A14" s="723"/>
      <c r="B14" s="724"/>
      <c r="C14" s="164" t="s">
        <v>666</v>
      </c>
      <c r="D14" s="464" t="s">
        <v>699</v>
      </c>
      <c r="E14" s="343"/>
      <c r="F14" s="344"/>
      <c r="G14" s="357">
        <v>20.571428571428573</v>
      </c>
      <c r="H14" s="357">
        <v>1218.1266342296135</v>
      </c>
      <c r="I14" s="357">
        <v>59.247296340518865</v>
      </c>
      <c r="J14" s="241" t="s">
        <v>672</v>
      </c>
      <c r="K14" s="759" t="s">
        <v>774</v>
      </c>
      <c r="L14" s="760"/>
      <c r="M14" s="130"/>
      <c r="P14" s="250"/>
      <c r="Q14" s="250"/>
      <c r="R14" s="250"/>
    </row>
    <row r="15" spans="1:18" ht="15.75" customHeight="1">
      <c r="A15" s="723"/>
      <c r="B15" s="724"/>
      <c r="C15" s="164" t="s">
        <v>667</v>
      </c>
      <c r="D15" s="342" t="s">
        <v>594</v>
      </c>
      <c r="E15" s="343"/>
      <c r="F15" s="344"/>
      <c r="G15" s="357">
        <v>20.142857142857142</v>
      </c>
      <c r="H15" s="357">
        <v>1206.827255393089</v>
      </c>
      <c r="I15" s="357">
        <v>59.932227687049988</v>
      </c>
      <c r="J15" s="240" t="s">
        <v>671</v>
      </c>
      <c r="K15" s="761"/>
      <c r="L15" s="762"/>
      <c r="M15" s="130"/>
      <c r="P15" s="250"/>
      <c r="Q15" s="250"/>
      <c r="R15" s="250"/>
    </row>
    <row r="16" spans="1:18" ht="15.75" customHeight="1">
      <c r="A16" s="723"/>
      <c r="B16" s="724"/>
      <c r="C16" s="164" t="s">
        <v>668</v>
      </c>
      <c r="D16" s="358" t="s">
        <v>764</v>
      </c>
      <c r="E16" s="343"/>
      <c r="F16" s="344"/>
      <c r="G16" s="357">
        <v>20</v>
      </c>
      <c r="H16" s="357">
        <v>1342.2951832157905</v>
      </c>
      <c r="I16" s="357">
        <v>67.114759160789532</v>
      </c>
      <c r="J16" s="241" t="s">
        <v>672</v>
      </c>
      <c r="K16" s="758" t="s">
        <v>674</v>
      </c>
      <c r="L16" s="725"/>
      <c r="M16" s="151"/>
      <c r="P16" s="250"/>
      <c r="Q16" s="250"/>
      <c r="R16" s="250"/>
    </row>
    <row r="17" spans="1:18" ht="15.75" customHeight="1">
      <c r="A17" s="723"/>
      <c r="B17" s="724"/>
      <c r="C17" s="164" t="s">
        <v>669</v>
      </c>
      <c r="D17" s="358" t="s">
        <v>596</v>
      </c>
      <c r="E17" s="343"/>
      <c r="F17" s="344"/>
      <c r="G17" s="357">
        <v>19</v>
      </c>
      <c r="H17" s="357">
        <v>1276.4847795620033</v>
      </c>
      <c r="I17" s="357">
        <v>67.183409450631743</v>
      </c>
      <c r="J17" s="239" t="s">
        <v>670</v>
      </c>
      <c r="K17" s="758"/>
      <c r="L17" s="725"/>
      <c r="M17" s="151"/>
      <c r="P17" s="250"/>
      <c r="Q17" s="250"/>
      <c r="R17" s="250"/>
    </row>
    <row r="18" spans="1:18" s="161" customFormat="1" ht="15.75" customHeight="1">
      <c r="A18" s="738" t="s">
        <v>167</v>
      </c>
      <c r="B18" s="738"/>
      <c r="C18" s="580" t="s">
        <v>47</v>
      </c>
      <c r="D18" s="738" t="s">
        <v>12</v>
      </c>
      <c r="E18" s="739"/>
      <c r="F18" s="739"/>
      <c r="G18" s="580" t="s">
        <v>46</v>
      </c>
      <c r="H18" s="580" t="s">
        <v>499</v>
      </c>
      <c r="I18" s="580" t="s">
        <v>375</v>
      </c>
      <c r="J18" s="221" t="s">
        <v>376</v>
      </c>
      <c r="K18" s="738" t="s">
        <v>51</v>
      </c>
      <c r="L18" s="739"/>
      <c r="M18" s="154"/>
    </row>
    <row r="19" spans="1:18" ht="15.75" customHeight="1">
      <c r="A19" s="723">
        <v>6</v>
      </c>
      <c r="B19" s="724" t="s">
        <v>131</v>
      </c>
      <c r="C19" s="579">
        <v>1</v>
      </c>
      <c r="D19" s="342" t="s">
        <v>502</v>
      </c>
      <c r="E19" s="343"/>
      <c r="F19" s="344"/>
      <c r="G19" s="357">
        <v>16</v>
      </c>
      <c r="H19" s="357">
        <v>1341.2324711872373</v>
      </c>
      <c r="I19" s="357">
        <v>83.827029449202328</v>
      </c>
      <c r="J19" s="240" t="s">
        <v>671</v>
      </c>
      <c r="K19" s="764" t="s">
        <v>673</v>
      </c>
      <c r="L19" s="765"/>
      <c r="M19" s="151"/>
      <c r="P19" s="250"/>
      <c r="Q19" s="250"/>
      <c r="R19" s="250"/>
    </row>
    <row r="20" spans="1:18" ht="15.75" customHeight="1">
      <c r="A20" s="723"/>
      <c r="B20" s="724"/>
      <c r="C20" s="579">
        <v>2</v>
      </c>
      <c r="D20" s="342" t="s">
        <v>567</v>
      </c>
      <c r="E20" s="343"/>
      <c r="F20" s="344"/>
      <c r="G20" s="357">
        <v>15.857142857142858</v>
      </c>
      <c r="H20" s="357">
        <v>1308.9599331467741</v>
      </c>
      <c r="I20" s="357">
        <v>82.592842537001843</v>
      </c>
      <c r="J20" s="241" t="s">
        <v>672</v>
      </c>
      <c r="K20" s="766"/>
      <c r="L20" s="767"/>
      <c r="M20" s="151"/>
      <c r="P20" s="250"/>
      <c r="Q20" s="250"/>
      <c r="R20" s="250"/>
    </row>
    <row r="21" spans="1:18" ht="15.75" customHeight="1">
      <c r="A21" s="723"/>
      <c r="B21" s="724"/>
      <c r="C21" s="579">
        <v>3</v>
      </c>
      <c r="D21" s="342" t="s">
        <v>341</v>
      </c>
      <c r="E21" s="343"/>
      <c r="F21" s="344"/>
      <c r="G21" s="357">
        <v>17</v>
      </c>
      <c r="H21" s="357">
        <v>1341.6164198873557</v>
      </c>
      <c r="I21" s="357">
        <v>78.918612934550325</v>
      </c>
      <c r="J21" s="240" t="s">
        <v>671</v>
      </c>
      <c r="K21" s="766"/>
      <c r="L21" s="767"/>
      <c r="M21" s="151"/>
      <c r="P21" s="250"/>
      <c r="Q21" s="250"/>
      <c r="R21" s="250"/>
    </row>
    <row r="22" spans="1:18" ht="15.75" customHeight="1">
      <c r="A22" s="723"/>
      <c r="B22" s="724"/>
      <c r="C22" s="579">
        <v>4</v>
      </c>
      <c r="D22" s="342" t="s">
        <v>581</v>
      </c>
      <c r="E22" s="343"/>
      <c r="F22" s="344"/>
      <c r="G22" s="357">
        <v>17</v>
      </c>
      <c r="H22" s="357">
        <v>1296.9457009029243</v>
      </c>
      <c r="I22" s="357">
        <v>76.290923582524968</v>
      </c>
      <c r="J22" s="240" t="s">
        <v>671</v>
      </c>
      <c r="K22" s="768"/>
      <c r="L22" s="769"/>
      <c r="M22" s="151"/>
      <c r="P22" s="250"/>
      <c r="Q22" s="250"/>
      <c r="R22" s="250"/>
    </row>
    <row r="23" spans="1:18" ht="15.75" customHeight="1">
      <c r="A23" s="723"/>
      <c r="B23" s="724"/>
      <c r="C23" s="579">
        <v>5</v>
      </c>
      <c r="D23" s="342" t="s">
        <v>769</v>
      </c>
      <c r="E23" s="343"/>
      <c r="F23" s="344"/>
      <c r="G23" s="357">
        <v>18</v>
      </c>
      <c r="H23" s="357">
        <v>1345.0337842138335</v>
      </c>
      <c r="I23" s="357">
        <v>74.724099122990765</v>
      </c>
      <c r="J23" s="239" t="s">
        <v>670</v>
      </c>
      <c r="K23" s="770"/>
      <c r="L23" s="725"/>
      <c r="M23" s="151"/>
      <c r="P23" s="250"/>
      <c r="Q23" s="250"/>
      <c r="R23" s="250"/>
    </row>
    <row r="24" spans="1:18" ht="15.75" customHeight="1">
      <c r="A24" s="723"/>
      <c r="B24" s="724"/>
      <c r="C24" s="164" t="s">
        <v>665</v>
      </c>
      <c r="D24" s="464" t="s">
        <v>775</v>
      </c>
      <c r="E24" s="343"/>
      <c r="F24" s="344"/>
      <c r="G24" s="357">
        <v>19</v>
      </c>
      <c r="H24" s="357">
        <v>1142.304491669626</v>
      </c>
      <c r="I24" s="357">
        <v>60.121289035243485</v>
      </c>
      <c r="J24" s="241" t="s">
        <v>672</v>
      </c>
      <c r="K24" s="763" t="s">
        <v>776</v>
      </c>
      <c r="L24" s="725"/>
      <c r="M24" s="151"/>
      <c r="P24" s="250"/>
      <c r="Q24" s="250"/>
      <c r="R24" s="250"/>
    </row>
    <row r="25" spans="1:18" ht="15.75" customHeight="1">
      <c r="A25" s="723"/>
      <c r="B25" s="724"/>
      <c r="C25" s="164" t="s">
        <v>666</v>
      </c>
      <c r="D25" s="582" t="s">
        <v>777</v>
      </c>
      <c r="E25" s="343"/>
      <c r="F25" s="344"/>
      <c r="G25" s="357">
        <v>20.857142857142858</v>
      </c>
      <c r="H25" s="357">
        <v>1305.708408395878</v>
      </c>
      <c r="I25" s="357">
        <v>62.620971445123253</v>
      </c>
      <c r="J25" s="240" t="s">
        <v>671</v>
      </c>
      <c r="K25" s="764" t="s">
        <v>673</v>
      </c>
      <c r="L25" s="765"/>
      <c r="M25" s="151"/>
      <c r="P25" s="250"/>
      <c r="Q25" s="250"/>
      <c r="R25" s="250"/>
    </row>
    <row r="26" spans="1:18" ht="15.75" customHeight="1">
      <c r="A26" s="723"/>
      <c r="B26" s="724"/>
      <c r="C26" s="164" t="s">
        <v>667</v>
      </c>
      <c r="D26" s="464" t="s">
        <v>694</v>
      </c>
      <c r="E26" s="343"/>
      <c r="F26" s="344"/>
      <c r="G26" s="357">
        <v>20</v>
      </c>
      <c r="H26" s="357">
        <v>1261.8919599355504</v>
      </c>
      <c r="I26" s="357">
        <v>63.09459799677753</v>
      </c>
      <c r="J26" s="240" t="s">
        <v>671</v>
      </c>
      <c r="K26" s="766"/>
      <c r="L26" s="767"/>
      <c r="M26" s="151"/>
      <c r="P26" s="250"/>
      <c r="Q26" s="250"/>
      <c r="R26" s="250"/>
    </row>
    <row r="27" spans="1:18" ht="15.75" customHeight="1">
      <c r="A27" s="723"/>
      <c r="B27" s="724"/>
      <c r="C27" s="164" t="s">
        <v>668</v>
      </c>
      <c r="D27" s="464" t="s">
        <v>778</v>
      </c>
      <c r="E27" s="343"/>
      <c r="F27" s="344"/>
      <c r="G27" s="357">
        <v>18</v>
      </c>
      <c r="H27" s="357">
        <v>1260.7497280000002</v>
      </c>
      <c r="I27" s="357">
        <v>70.041651555555561</v>
      </c>
      <c r="J27" s="241" t="s">
        <v>672</v>
      </c>
      <c r="K27" s="766"/>
      <c r="L27" s="767"/>
      <c r="M27" s="151"/>
      <c r="P27" s="250"/>
      <c r="Q27" s="250"/>
      <c r="R27" s="250"/>
    </row>
    <row r="28" spans="1:18" ht="15.75" customHeight="1">
      <c r="A28" s="723"/>
      <c r="B28" s="724"/>
      <c r="C28" s="164" t="s">
        <v>669</v>
      </c>
      <c r="D28" s="342" t="s">
        <v>343</v>
      </c>
      <c r="E28" s="343"/>
      <c r="F28" s="344"/>
      <c r="G28" s="357">
        <v>19</v>
      </c>
      <c r="H28" s="357">
        <v>1351.2020003979026</v>
      </c>
      <c r="I28" s="357">
        <v>71.115894757784332</v>
      </c>
      <c r="J28" s="240" t="s">
        <v>671</v>
      </c>
      <c r="K28" s="768"/>
      <c r="L28" s="769"/>
      <c r="M28" s="151"/>
      <c r="P28" s="250"/>
      <c r="Q28" s="250"/>
      <c r="R28" s="250"/>
    </row>
    <row r="29" spans="1:18" ht="15.75" customHeight="1">
      <c r="A29" s="151"/>
      <c r="B29" s="151"/>
      <c r="C29" s="151"/>
      <c r="D29" s="151"/>
      <c r="E29" s="151"/>
      <c r="F29" s="151"/>
      <c r="G29" s="151"/>
      <c r="H29" s="151"/>
      <c r="I29" s="151"/>
      <c r="J29" s="151"/>
      <c r="K29" s="151"/>
      <c r="L29" s="151"/>
      <c r="M29" s="130"/>
    </row>
    <row r="30" spans="1:18" ht="15.75" customHeight="1">
      <c r="A30" s="151"/>
      <c r="B30" s="151"/>
      <c r="C30" s="151"/>
      <c r="D30" s="151"/>
      <c r="E30" s="151"/>
      <c r="F30" s="151"/>
      <c r="G30" s="151"/>
      <c r="H30" s="151"/>
      <c r="I30" s="151"/>
      <c r="J30" s="151"/>
      <c r="K30" s="151"/>
      <c r="L30" s="151"/>
      <c r="M30" s="130"/>
    </row>
    <row r="31" spans="1:18" ht="15.75" customHeight="1">
      <c r="A31" s="151"/>
      <c r="B31" s="151"/>
      <c r="C31" s="151"/>
      <c r="D31" s="151"/>
      <c r="E31" s="151"/>
      <c r="F31" s="151"/>
      <c r="G31" s="151"/>
      <c r="H31" s="151"/>
      <c r="I31" s="151"/>
      <c r="J31" s="151"/>
      <c r="K31" s="151"/>
      <c r="L31" s="151"/>
      <c r="M31" s="130"/>
    </row>
    <row r="32" spans="1:18" ht="15.75" customHeight="1">
      <c r="A32" s="151"/>
      <c r="B32" s="151"/>
      <c r="C32" s="151"/>
      <c r="D32" s="151"/>
      <c r="E32" s="151"/>
      <c r="F32" s="151"/>
      <c r="G32" s="151"/>
      <c r="H32" s="151"/>
      <c r="I32" s="151"/>
      <c r="J32" s="151"/>
      <c r="K32" s="151"/>
      <c r="L32" s="151"/>
      <c r="M32" s="130"/>
    </row>
    <row r="33" spans="1:13" ht="15.75" customHeight="1">
      <c r="A33" s="151"/>
      <c r="B33" s="151"/>
      <c r="C33" s="151"/>
      <c r="D33" s="151"/>
      <c r="E33" s="151"/>
      <c r="F33" s="151"/>
      <c r="G33" s="151"/>
      <c r="H33" s="151"/>
      <c r="I33" s="151"/>
      <c r="J33" s="151"/>
      <c r="K33" s="151"/>
      <c r="L33" s="151"/>
      <c r="M33" s="130"/>
    </row>
    <row r="34" spans="1:13" ht="15.75" customHeight="1">
      <c r="A34" s="151"/>
      <c r="B34" s="151"/>
      <c r="C34" s="151"/>
      <c r="D34" s="151"/>
      <c r="E34" s="151"/>
      <c r="F34" s="151"/>
      <c r="G34" s="151"/>
      <c r="H34" s="151"/>
      <c r="I34" s="151"/>
      <c r="J34" s="151"/>
      <c r="K34" s="151"/>
      <c r="L34" s="151"/>
      <c r="M34" s="130"/>
    </row>
    <row r="35" spans="1:13" ht="15.75" customHeight="1">
      <c r="A35" s="151"/>
      <c r="B35" s="151"/>
      <c r="C35" s="151"/>
      <c r="D35" s="151"/>
      <c r="E35" s="151"/>
      <c r="F35" s="151"/>
      <c r="G35" s="151"/>
      <c r="H35" s="151"/>
      <c r="I35" s="151"/>
      <c r="J35" s="151"/>
      <c r="K35" s="151"/>
      <c r="L35" s="151"/>
      <c r="M35" s="130"/>
    </row>
  </sheetData>
  <mergeCells count="25">
    <mergeCell ref="A18:B18"/>
    <mergeCell ref="D18:F18"/>
    <mergeCell ref="B19:B28"/>
    <mergeCell ref="A19:A28"/>
    <mergeCell ref="K24:L24"/>
    <mergeCell ref="K19:L22"/>
    <mergeCell ref="K23:L23"/>
    <mergeCell ref="K25:L28"/>
    <mergeCell ref="K18:L18"/>
    <mergeCell ref="K12:L12"/>
    <mergeCell ref="K13:L13"/>
    <mergeCell ref="K14:L15"/>
    <mergeCell ref="K10:L10"/>
    <mergeCell ref="K11:L11"/>
    <mergeCell ref="K16:L16"/>
    <mergeCell ref="K17:L17"/>
    <mergeCell ref="K8:L9"/>
    <mergeCell ref="A1:L2"/>
    <mergeCell ref="A3:L4"/>
    <mergeCell ref="A5:A6"/>
    <mergeCell ref="A7:B7"/>
    <mergeCell ref="D7:F7"/>
    <mergeCell ref="K7:L7"/>
    <mergeCell ref="A8:A17"/>
    <mergeCell ref="B8:B17"/>
  </mergeCells>
  <phoneticPr fontId="13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outlinePr summaryBelow="0" summaryRight="0"/>
  </sheetPr>
  <dimension ref="A1:M35"/>
  <sheetViews>
    <sheetView zoomScale="70" zoomScaleNormal="70" zoomScaleSheetLayoutView="100" workbookViewId="0">
      <selection activeCell="A8" sqref="A8:L28"/>
    </sheetView>
  </sheetViews>
  <sheetFormatPr defaultColWidth="12.5703125" defaultRowHeight="15.75" customHeight="1"/>
  <cols>
    <col min="1" max="1" width="6.42578125" style="119" customWidth="1"/>
    <col min="2" max="10" width="11.5703125" style="119" customWidth="1"/>
    <col min="11" max="12" width="12.85546875" style="119" customWidth="1"/>
    <col min="13" max="13" width="12.5703125" style="120"/>
    <col min="14" max="16384" width="12.5703125" style="119"/>
  </cols>
  <sheetData>
    <row r="1" spans="1:13" ht="15.75" customHeight="1">
      <c r="A1" s="610" t="s">
        <v>185</v>
      </c>
      <c r="B1" s="610"/>
      <c r="C1" s="610"/>
      <c r="D1" s="610"/>
      <c r="E1" s="610"/>
      <c r="F1" s="610"/>
      <c r="G1" s="610"/>
      <c r="H1" s="610"/>
      <c r="I1" s="610"/>
      <c r="J1" s="610"/>
      <c r="K1" s="610"/>
      <c r="L1" s="610"/>
      <c r="M1" s="119"/>
    </row>
    <row r="2" spans="1:13" s="120" customFormat="1" ht="15.75" customHeight="1">
      <c r="A2" s="610"/>
      <c r="B2" s="610"/>
      <c r="C2" s="610"/>
      <c r="D2" s="610"/>
      <c r="E2" s="610"/>
      <c r="F2" s="610"/>
      <c r="G2" s="610"/>
      <c r="H2" s="610"/>
      <c r="I2" s="610"/>
      <c r="J2" s="610"/>
      <c r="K2" s="610"/>
      <c r="L2" s="610"/>
    </row>
    <row r="3" spans="1:13" ht="15.75" customHeight="1">
      <c r="A3" s="726" t="s">
        <v>186</v>
      </c>
      <c r="B3" s="726"/>
      <c r="C3" s="726"/>
      <c r="D3" s="726"/>
      <c r="E3" s="726"/>
      <c r="F3" s="726"/>
      <c r="G3" s="726"/>
      <c r="H3" s="726"/>
      <c r="I3" s="726"/>
      <c r="J3" s="726"/>
      <c r="K3" s="726"/>
      <c r="L3" s="726"/>
      <c r="M3" s="151"/>
    </row>
    <row r="4" spans="1:13" s="120" customFormat="1" ht="15.75" customHeight="1">
      <c r="A4" s="726"/>
      <c r="B4" s="726"/>
      <c r="C4" s="726"/>
      <c r="D4" s="726"/>
      <c r="E4" s="726"/>
      <c r="F4" s="726"/>
      <c r="G4" s="726"/>
      <c r="H4" s="726"/>
      <c r="I4" s="726"/>
      <c r="J4" s="726"/>
      <c r="K4" s="726"/>
      <c r="L4" s="726"/>
      <c r="M4" s="130"/>
    </row>
    <row r="5" spans="1:13" s="153" customFormat="1" ht="16.350000000000001" customHeight="1">
      <c r="A5" s="776" t="s">
        <v>154</v>
      </c>
      <c r="B5" s="155">
        <v>1</v>
      </c>
      <c r="C5" s="155">
        <v>2</v>
      </c>
      <c r="D5" s="155">
        <v>3</v>
      </c>
      <c r="E5" s="155">
        <v>4</v>
      </c>
      <c r="F5" s="155">
        <v>5</v>
      </c>
      <c r="G5" s="155">
        <v>6</v>
      </c>
      <c r="H5" s="165">
        <v>7</v>
      </c>
      <c r="I5" s="165">
        <v>8</v>
      </c>
      <c r="J5" s="155">
        <v>9</v>
      </c>
      <c r="K5" s="152"/>
      <c r="L5" s="152"/>
      <c r="M5" s="152"/>
    </row>
    <row r="6" spans="1:13" ht="16.350000000000001" customHeight="1">
      <c r="A6" s="778"/>
      <c r="B6" s="156" t="s">
        <v>187</v>
      </c>
      <c r="C6" s="156" t="s">
        <v>151</v>
      </c>
      <c r="D6" s="156" t="s">
        <v>188</v>
      </c>
      <c r="E6" s="156" t="s">
        <v>153</v>
      </c>
      <c r="F6" s="157" t="s">
        <v>133</v>
      </c>
      <c r="G6" s="158" t="s">
        <v>131</v>
      </c>
      <c r="H6" s="166" t="s">
        <v>189</v>
      </c>
      <c r="I6" s="168" t="s">
        <v>190</v>
      </c>
      <c r="J6" s="158" t="s">
        <v>137</v>
      </c>
      <c r="K6" s="154"/>
      <c r="L6" s="154"/>
      <c r="M6" s="130"/>
    </row>
    <row r="7" spans="1:13" s="153" customFormat="1" ht="15.75" customHeight="1">
      <c r="A7" s="787" t="s">
        <v>533</v>
      </c>
      <c r="B7" s="788"/>
      <c r="C7" s="346" t="s">
        <v>534</v>
      </c>
      <c r="D7" s="787" t="s">
        <v>12</v>
      </c>
      <c r="E7" s="789"/>
      <c r="F7" s="788"/>
      <c r="G7" s="361" t="s">
        <v>46</v>
      </c>
      <c r="H7" s="361" t="s">
        <v>548</v>
      </c>
      <c r="I7" s="361" t="s">
        <v>549</v>
      </c>
      <c r="J7" s="221" t="s">
        <v>550</v>
      </c>
      <c r="K7" s="787" t="s">
        <v>51</v>
      </c>
      <c r="L7" s="788"/>
      <c r="M7" s="152"/>
    </row>
    <row r="8" spans="1:13" ht="15.75" customHeight="1">
      <c r="A8" s="776">
        <v>7</v>
      </c>
      <c r="B8" s="779" t="s">
        <v>135</v>
      </c>
      <c r="C8" s="579">
        <v>1</v>
      </c>
      <c r="D8" s="342" t="s">
        <v>701</v>
      </c>
      <c r="E8" s="343"/>
      <c r="F8" s="344"/>
      <c r="G8" s="357">
        <v>17</v>
      </c>
      <c r="H8" s="357">
        <v>1452.2220725610293</v>
      </c>
      <c r="I8" s="357">
        <v>85.424827797707607</v>
      </c>
      <c r="J8" s="239" t="s">
        <v>670</v>
      </c>
      <c r="K8" s="773"/>
      <c r="L8" s="772"/>
      <c r="M8" s="130"/>
    </row>
    <row r="9" spans="1:13" ht="15.75" customHeight="1">
      <c r="A9" s="777"/>
      <c r="B9" s="780"/>
      <c r="C9" s="579">
        <v>2</v>
      </c>
      <c r="D9" s="342" t="s">
        <v>592</v>
      </c>
      <c r="E9" s="343"/>
      <c r="F9" s="344"/>
      <c r="G9" s="357">
        <v>17</v>
      </c>
      <c r="H9" s="357">
        <v>1443.162331676541</v>
      </c>
      <c r="I9" s="357">
        <v>84.891901863325955</v>
      </c>
      <c r="J9" s="239" t="s">
        <v>670</v>
      </c>
      <c r="K9" s="771"/>
      <c r="L9" s="772"/>
      <c r="M9" s="130"/>
    </row>
    <row r="10" spans="1:13" ht="15.75" customHeight="1">
      <c r="A10" s="777"/>
      <c r="B10" s="780"/>
      <c r="C10" s="579">
        <v>3</v>
      </c>
      <c r="D10" s="358" t="s">
        <v>566</v>
      </c>
      <c r="E10" s="343"/>
      <c r="F10" s="344"/>
      <c r="G10" s="357">
        <v>17</v>
      </c>
      <c r="H10" s="357">
        <v>1426.9449511161304</v>
      </c>
      <c r="I10" s="357">
        <v>83.937938300948844</v>
      </c>
      <c r="J10" s="239" t="s">
        <v>670</v>
      </c>
      <c r="K10" s="771"/>
      <c r="L10" s="772"/>
      <c r="M10" s="130"/>
    </row>
    <row r="11" spans="1:13" ht="15.75" customHeight="1">
      <c r="A11" s="777"/>
      <c r="B11" s="780"/>
      <c r="C11" s="579">
        <v>4</v>
      </c>
      <c r="D11" s="342" t="s">
        <v>587</v>
      </c>
      <c r="E11" s="343"/>
      <c r="F11" s="344"/>
      <c r="G11" s="357">
        <v>18</v>
      </c>
      <c r="H11" s="357">
        <v>1430.1257080824944</v>
      </c>
      <c r="I11" s="357">
        <v>79.451428226805234</v>
      </c>
      <c r="J11" s="239" t="s">
        <v>670</v>
      </c>
      <c r="K11" s="771"/>
      <c r="L11" s="772"/>
      <c r="M11" s="130"/>
    </row>
    <row r="12" spans="1:13" ht="15.75" customHeight="1">
      <c r="A12" s="777"/>
      <c r="B12" s="780"/>
      <c r="C12" s="579">
        <v>5</v>
      </c>
      <c r="D12" s="358" t="s">
        <v>718</v>
      </c>
      <c r="E12" s="343"/>
      <c r="F12" s="344"/>
      <c r="G12" s="357">
        <v>18</v>
      </c>
      <c r="H12" s="357">
        <v>1413.2437183772179</v>
      </c>
      <c r="I12" s="357">
        <v>78.513539909845449</v>
      </c>
      <c r="J12" s="239" t="s">
        <v>670</v>
      </c>
      <c r="K12" s="773" t="s">
        <v>779</v>
      </c>
      <c r="L12" s="772"/>
      <c r="M12" s="130"/>
    </row>
    <row r="13" spans="1:13" ht="15.75" customHeight="1">
      <c r="A13" s="777"/>
      <c r="B13" s="780"/>
      <c r="C13" s="164" t="s">
        <v>665</v>
      </c>
      <c r="D13" s="358" t="s">
        <v>704</v>
      </c>
      <c r="E13" s="343"/>
      <c r="F13" s="344"/>
      <c r="G13" s="357">
        <v>17</v>
      </c>
      <c r="H13" s="357">
        <v>1295.5077974545075</v>
      </c>
      <c r="I13" s="357">
        <v>76.206341026735728</v>
      </c>
      <c r="J13" s="239" t="s">
        <v>670</v>
      </c>
      <c r="K13" s="771"/>
      <c r="L13" s="772"/>
      <c r="M13" s="130"/>
    </row>
    <row r="14" spans="1:13" ht="15.75" customHeight="1">
      <c r="A14" s="777"/>
      <c r="B14" s="780"/>
      <c r="C14" s="164" t="s">
        <v>666</v>
      </c>
      <c r="D14" s="342" t="s">
        <v>664</v>
      </c>
      <c r="E14" s="343"/>
      <c r="F14" s="344"/>
      <c r="G14" s="357">
        <v>17</v>
      </c>
      <c r="H14" s="357">
        <v>1323.412475698183</v>
      </c>
      <c r="I14" s="357">
        <v>77.847792688128393</v>
      </c>
      <c r="J14" s="239"/>
      <c r="K14" s="782"/>
      <c r="L14" s="783"/>
      <c r="M14" s="130"/>
    </row>
    <row r="15" spans="1:13" ht="15.75" customHeight="1">
      <c r="A15" s="777"/>
      <c r="B15" s="780"/>
      <c r="C15" s="164" t="s">
        <v>667</v>
      </c>
      <c r="D15" s="342"/>
      <c r="E15" s="343"/>
      <c r="F15" s="344"/>
      <c r="G15" s="357"/>
      <c r="H15" s="357"/>
      <c r="I15" s="357"/>
      <c r="J15" s="239"/>
      <c r="K15" s="782"/>
      <c r="L15" s="783"/>
      <c r="M15" s="130"/>
    </row>
    <row r="16" spans="1:13" ht="15.75" customHeight="1">
      <c r="A16" s="777"/>
      <c r="B16" s="780"/>
      <c r="C16" s="164" t="s">
        <v>668</v>
      </c>
      <c r="D16" s="342"/>
      <c r="E16" s="343"/>
      <c r="F16" s="344"/>
      <c r="G16" s="357"/>
      <c r="H16" s="357"/>
      <c r="I16" s="357"/>
      <c r="J16" s="239"/>
      <c r="K16" s="782"/>
      <c r="L16" s="783"/>
      <c r="M16" s="151"/>
    </row>
    <row r="17" spans="1:13" ht="15.75" customHeight="1">
      <c r="A17" s="778"/>
      <c r="B17" s="781"/>
      <c r="C17" s="164" t="s">
        <v>669</v>
      </c>
      <c r="D17" s="342"/>
      <c r="E17" s="343"/>
      <c r="F17" s="344"/>
      <c r="G17" s="581"/>
      <c r="H17" s="581"/>
      <c r="I17" s="581"/>
      <c r="J17" s="581"/>
      <c r="K17" s="782"/>
      <c r="L17" s="783"/>
      <c r="M17" s="151"/>
    </row>
    <row r="18" spans="1:13" s="161" customFormat="1" ht="15.75" customHeight="1">
      <c r="A18" s="784" t="s">
        <v>167</v>
      </c>
      <c r="B18" s="785"/>
      <c r="C18" s="580" t="s">
        <v>47</v>
      </c>
      <c r="D18" s="784" t="s">
        <v>12</v>
      </c>
      <c r="E18" s="786"/>
      <c r="F18" s="785"/>
      <c r="G18" s="580" t="s">
        <v>46</v>
      </c>
      <c r="H18" s="580" t="s">
        <v>499</v>
      </c>
      <c r="I18" s="580" t="s">
        <v>375</v>
      </c>
      <c r="J18" s="221" t="s">
        <v>376</v>
      </c>
      <c r="K18" s="784" t="s">
        <v>51</v>
      </c>
      <c r="L18" s="785"/>
      <c r="M18" s="154"/>
    </row>
    <row r="19" spans="1:13" ht="15.75" customHeight="1">
      <c r="A19" s="776">
        <v>8</v>
      </c>
      <c r="B19" s="779" t="s">
        <v>136</v>
      </c>
      <c r="C19" s="579">
        <v>1</v>
      </c>
      <c r="D19" s="464" t="s">
        <v>571</v>
      </c>
      <c r="E19" s="343"/>
      <c r="F19" s="344"/>
      <c r="G19" s="357">
        <v>17</v>
      </c>
      <c r="H19" s="357">
        <v>2306.1430277440131</v>
      </c>
      <c r="I19" s="357">
        <v>135.65547222023608</v>
      </c>
      <c r="J19" s="239" t="s">
        <v>670</v>
      </c>
      <c r="K19" s="774"/>
      <c r="L19" s="775"/>
      <c r="M19" s="151"/>
    </row>
    <row r="20" spans="1:13" ht="15.75" customHeight="1">
      <c r="A20" s="777"/>
      <c r="B20" s="780"/>
      <c r="C20" s="579">
        <v>2</v>
      </c>
      <c r="D20" s="464" t="s">
        <v>346</v>
      </c>
      <c r="E20" s="343"/>
      <c r="F20" s="344"/>
      <c r="G20" s="357">
        <v>19</v>
      </c>
      <c r="H20" s="357">
        <v>2528.9927741431507</v>
      </c>
      <c r="I20" s="357">
        <v>133.10488284963955</v>
      </c>
      <c r="J20" s="240" t="s">
        <v>671</v>
      </c>
      <c r="K20" s="790" t="s">
        <v>673</v>
      </c>
      <c r="L20" s="791"/>
      <c r="M20" s="151"/>
    </row>
    <row r="21" spans="1:13" ht="15.75" customHeight="1">
      <c r="A21" s="777"/>
      <c r="B21" s="780"/>
      <c r="C21" s="579">
        <v>3</v>
      </c>
      <c r="D21" s="342" t="s">
        <v>345</v>
      </c>
      <c r="E21" s="343"/>
      <c r="F21" s="344"/>
      <c r="G21" s="357">
        <v>18.142857142857142</v>
      </c>
      <c r="H21" s="357">
        <v>2399.2798736515897</v>
      </c>
      <c r="I21" s="357">
        <v>132.2891492045369</v>
      </c>
      <c r="J21" s="241" t="s">
        <v>672</v>
      </c>
      <c r="K21" s="792"/>
      <c r="L21" s="793"/>
      <c r="M21" s="151"/>
    </row>
    <row r="22" spans="1:13" ht="15.75" customHeight="1">
      <c r="A22" s="777"/>
      <c r="B22" s="780"/>
      <c r="C22" s="579">
        <v>4</v>
      </c>
      <c r="D22" s="342" t="s">
        <v>588</v>
      </c>
      <c r="E22" s="343"/>
      <c r="F22" s="344"/>
      <c r="G22" s="357">
        <v>17.857142857142858</v>
      </c>
      <c r="H22" s="357">
        <v>2336.2183873607441</v>
      </c>
      <c r="I22" s="357">
        <v>130.89472442756093</v>
      </c>
      <c r="J22" s="239" t="s">
        <v>670</v>
      </c>
      <c r="K22" s="774"/>
      <c r="L22" s="775"/>
      <c r="M22" s="151"/>
    </row>
    <row r="23" spans="1:13" ht="15.75" customHeight="1">
      <c r="A23" s="777"/>
      <c r="B23" s="780"/>
      <c r="C23" s="579">
        <v>5</v>
      </c>
      <c r="D23" s="342" t="s">
        <v>680</v>
      </c>
      <c r="E23" s="343"/>
      <c r="F23" s="344"/>
      <c r="G23" s="357">
        <v>18</v>
      </c>
      <c r="H23" s="357">
        <v>2328.321150278291</v>
      </c>
      <c r="I23" s="357">
        <v>129.3511750154606</v>
      </c>
      <c r="J23" s="239" t="s">
        <v>670</v>
      </c>
      <c r="K23" s="774"/>
      <c r="L23" s="775"/>
      <c r="M23" s="151"/>
    </row>
    <row r="24" spans="1:13" ht="15.75" customHeight="1">
      <c r="A24" s="777"/>
      <c r="B24" s="780"/>
      <c r="C24" s="164" t="s">
        <v>665</v>
      </c>
      <c r="D24" s="464" t="s">
        <v>344</v>
      </c>
      <c r="E24" s="343"/>
      <c r="F24" s="344"/>
      <c r="G24" s="357">
        <v>20</v>
      </c>
      <c r="H24" s="357">
        <v>2320.2547447683232</v>
      </c>
      <c r="I24" s="357">
        <v>116.01273723841616</v>
      </c>
      <c r="J24" s="239" t="s">
        <v>670</v>
      </c>
      <c r="K24" s="790"/>
      <c r="L24" s="791"/>
      <c r="M24" s="151"/>
    </row>
    <row r="25" spans="1:13" ht="15.75" customHeight="1">
      <c r="A25" s="777"/>
      <c r="B25" s="780"/>
      <c r="C25" s="164" t="s">
        <v>666</v>
      </c>
      <c r="D25" s="464" t="s">
        <v>503</v>
      </c>
      <c r="E25" s="343"/>
      <c r="F25" s="344"/>
      <c r="G25" s="357">
        <v>18</v>
      </c>
      <c r="H25" s="357">
        <v>2165.6618874959436</v>
      </c>
      <c r="I25" s="357">
        <v>120.31454930533019</v>
      </c>
      <c r="J25" s="239" t="s">
        <v>670</v>
      </c>
      <c r="K25" s="792"/>
      <c r="L25" s="793"/>
      <c r="M25" s="151"/>
    </row>
    <row r="26" spans="1:13" ht="15.75" customHeight="1">
      <c r="A26" s="777"/>
      <c r="B26" s="780"/>
      <c r="C26" s="164" t="s">
        <v>667</v>
      </c>
      <c r="D26" s="464" t="s">
        <v>347</v>
      </c>
      <c r="E26" s="343"/>
      <c r="F26" s="344"/>
      <c r="G26" s="357">
        <v>19.857142857142858</v>
      </c>
      <c r="H26" s="357">
        <v>2539.635661606641</v>
      </c>
      <c r="I26" s="357">
        <v>127.94783457269929</v>
      </c>
      <c r="J26" s="239" t="s">
        <v>670</v>
      </c>
      <c r="K26" s="774"/>
      <c r="L26" s="775"/>
      <c r="M26" s="151"/>
    </row>
    <row r="27" spans="1:13" ht="15.75" customHeight="1">
      <c r="A27" s="777"/>
      <c r="B27" s="780"/>
      <c r="C27" s="164" t="s">
        <v>668</v>
      </c>
      <c r="D27" s="342"/>
      <c r="E27" s="343"/>
      <c r="F27" s="344"/>
      <c r="G27" s="357"/>
      <c r="H27" s="357"/>
      <c r="I27" s="357"/>
      <c r="J27" s="239"/>
      <c r="K27" s="774"/>
      <c r="L27" s="775"/>
      <c r="M27" s="151"/>
    </row>
    <row r="28" spans="1:13" ht="15.75" customHeight="1">
      <c r="A28" s="778"/>
      <c r="B28" s="781"/>
      <c r="C28" s="164" t="s">
        <v>669</v>
      </c>
      <c r="D28" s="342"/>
      <c r="E28" s="343"/>
      <c r="F28" s="344"/>
      <c r="G28" s="357"/>
      <c r="H28" s="357"/>
      <c r="I28" s="357"/>
      <c r="J28" s="239"/>
      <c r="K28" s="774"/>
      <c r="L28" s="775"/>
      <c r="M28" s="151"/>
    </row>
    <row r="29" spans="1:13" ht="15.75" customHeight="1">
      <c r="A29" s="151"/>
      <c r="B29" s="151"/>
      <c r="C29" s="151"/>
      <c r="D29" s="151"/>
      <c r="E29" s="151"/>
      <c r="F29" s="151"/>
      <c r="G29" s="151"/>
      <c r="H29" s="151"/>
      <c r="I29" s="151"/>
      <c r="J29" s="151"/>
      <c r="K29" s="151"/>
      <c r="L29" s="151"/>
      <c r="M29" s="130"/>
    </row>
    <row r="30" spans="1:13" ht="15.75" customHeight="1">
      <c r="A30" s="151"/>
      <c r="B30" s="151"/>
      <c r="C30" s="151"/>
      <c r="D30" s="151"/>
      <c r="E30" s="151"/>
      <c r="F30" s="151"/>
      <c r="G30" s="151"/>
      <c r="H30" s="151"/>
      <c r="I30" s="151"/>
      <c r="J30" s="151"/>
      <c r="K30" s="151"/>
      <c r="L30" s="151"/>
      <c r="M30" s="130"/>
    </row>
    <row r="31" spans="1:13" ht="15.75" customHeight="1">
      <c r="A31" s="151"/>
      <c r="B31" s="151"/>
      <c r="C31" s="151"/>
      <c r="D31" s="151"/>
      <c r="E31" s="151"/>
      <c r="F31" s="151"/>
      <c r="G31" s="151"/>
      <c r="H31" s="151"/>
      <c r="I31" s="151"/>
      <c r="J31" s="151"/>
      <c r="K31" s="151"/>
      <c r="L31" s="151"/>
      <c r="M31" s="130"/>
    </row>
    <row r="32" spans="1:13" ht="15.75" customHeight="1">
      <c r="A32" s="151"/>
      <c r="B32" s="151"/>
      <c r="C32" s="151"/>
      <c r="D32" s="151"/>
      <c r="E32" s="151"/>
      <c r="F32" s="151"/>
      <c r="G32" s="151"/>
      <c r="H32" s="151"/>
      <c r="I32" s="151"/>
      <c r="J32" s="151"/>
      <c r="K32" s="151"/>
      <c r="L32" s="151"/>
      <c r="M32" s="130"/>
    </row>
    <row r="33" spans="1:13" ht="15.75" customHeight="1">
      <c r="A33" s="151"/>
      <c r="B33" s="151"/>
      <c r="C33" s="151"/>
      <c r="D33" s="151"/>
      <c r="E33" s="151"/>
      <c r="F33" s="151"/>
      <c r="G33" s="151"/>
      <c r="H33" s="151"/>
      <c r="I33" s="151"/>
      <c r="J33" s="151"/>
      <c r="K33" s="151"/>
      <c r="L33" s="151"/>
      <c r="M33" s="130"/>
    </row>
    <row r="34" spans="1:13" ht="15.75" customHeight="1">
      <c r="A34" s="151"/>
      <c r="B34" s="151"/>
      <c r="C34" s="151"/>
      <c r="D34" s="151"/>
      <c r="E34" s="151"/>
      <c r="F34" s="151"/>
      <c r="G34" s="151"/>
      <c r="H34" s="151"/>
      <c r="I34" s="151"/>
      <c r="J34" s="151"/>
      <c r="K34" s="151"/>
      <c r="L34" s="151"/>
      <c r="M34" s="130"/>
    </row>
    <row r="35" spans="1:13" ht="15.75" customHeight="1">
      <c r="A35" s="151"/>
      <c r="B35" s="151"/>
      <c r="C35" s="151"/>
      <c r="D35" s="151"/>
      <c r="E35" s="151"/>
      <c r="F35" s="151"/>
      <c r="G35" s="151"/>
      <c r="H35" s="151"/>
      <c r="I35" s="151"/>
      <c r="J35" s="151"/>
      <c r="K35" s="151"/>
      <c r="L35" s="151"/>
      <c r="M35" s="130"/>
    </row>
  </sheetData>
  <mergeCells count="31">
    <mergeCell ref="K24:L25"/>
    <mergeCell ref="K13:L13"/>
    <mergeCell ref="K18:L18"/>
    <mergeCell ref="K22:L22"/>
    <mergeCell ref="K23:L23"/>
    <mergeCell ref="K19:L19"/>
    <mergeCell ref="K20:L21"/>
    <mergeCell ref="K9:L9"/>
    <mergeCell ref="K10:L10"/>
    <mergeCell ref="A1:L2"/>
    <mergeCell ref="A3:L4"/>
    <mergeCell ref="A5:A6"/>
    <mergeCell ref="A7:B7"/>
    <mergeCell ref="D7:F7"/>
    <mergeCell ref="K7:L7"/>
    <mergeCell ref="K11:L11"/>
    <mergeCell ref="K12:L12"/>
    <mergeCell ref="K27:L27"/>
    <mergeCell ref="K28:L28"/>
    <mergeCell ref="A8:A17"/>
    <mergeCell ref="B8:B17"/>
    <mergeCell ref="K17:L17"/>
    <mergeCell ref="K16:L16"/>
    <mergeCell ref="K8:L8"/>
    <mergeCell ref="K26:L26"/>
    <mergeCell ref="K14:L14"/>
    <mergeCell ref="K15:L15"/>
    <mergeCell ref="A19:A28"/>
    <mergeCell ref="B19:B28"/>
    <mergeCell ref="A18:B18"/>
    <mergeCell ref="D18:F18"/>
  </mergeCells>
  <phoneticPr fontId="13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outlinePr summaryBelow="0" summaryRight="0"/>
  </sheetPr>
  <dimension ref="A1:V35"/>
  <sheetViews>
    <sheetView zoomScale="70" zoomScaleNormal="70" zoomScaleSheetLayoutView="100" workbookViewId="0">
      <selection activeCell="M33" sqref="M33"/>
    </sheetView>
  </sheetViews>
  <sheetFormatPr defaultColWidth="12.5703125" defaultRowHeight="15.75" customHeight="1"/>
  <cols>
    <col min="1" max="1" width="6.42578125" style="119" customWidth="1"/>
    <col min="2" max="10" width="11.5703125" style="119" customWidth="1"/>
    <col min="11" max="12" width="12.85546875" style="119" customWidth="1"/>
    <col min="13" max="13" width="12.5703125" style="120"/>
    <col min="14" max="16384" width="12.5703125" style="119"/>
  </cols>
  <sheetData>
    <row r="1" spans="1:22" ht="15.75" customHeight="1">
      <c r="A1" s="610" t="s">
        <v>185</v>
      </c>
      <c r="B1" s="610"/>
      <c r="C1" s="610"/>
      <c r="D1" s="610"/>
      <c r="E1" s="610"/>
      <c r="F1" s="610"/>
      <c r="G1" s="610"/>
      <c r="H1" s="610"/>
      <c r="I1" s="610"/>
      <c r="J1" s="610"/>
      <c r="K1" s="610"/>
      <c r="L1" s="610"/>
      <c r="M1" s="119"/>
    </row>
    <row r="2" spans="1:22" s="120" customFormat="1" ht="15.75" customHeight="1">
      <c r="A2" s="610"/>
      <c r="B2" s="610"/>
      <c r="C2" s="610"/>
      <c r="D2" s="610"/>
      <c r="E2" s="610"/>
      <c r="F2" s="610"/>
      <c r="G2" s="610"/>
      <c r="H2" s="610"/>
      <c r="I2" s="610"/>
      <c r="J2" s="610"/>
      <c r="K2" s="610"/>
      <c r="L2" s="610"/>
    </row>
    <row r="3" spans="1:22" ht="15.75" customHeight="1">
      <c r="A3" s="726" t="s">
        <v>186</v>
      </c>
      <c r="B3" s="726"/>
      <c r="C3" s="726"/>
      <c r="D3" s="726"/>
      <c r="E3" s="726"/>
      <c r="F3" s="726"/>
      <c r="G3" s="726"/>
      <c r="H3" s="726"/>
      <c r="I3" s="726"/>
      <c r="J3" s="726"/>
      <c r="K3" s="726"/>
      <c r="L3" s="726"/>
      <c r="M3" s="151"/>
    </row>
    <row r="4" spans="1:22" s="120" customFormat="1" ht="15.75" customHeight="1">
      <c r="A4" s="726"/>
      <c r="B4" s="726"/>
      <c r="C4" s="726"/>
      <c r="D4" s="726"/>
      <c r="E4" s="726"/>
      <c r="F4" s="726"/>
      <c r="G4" s="726"/>
      <c r="H4" s="726"/>
      <c r="I4" s="726"/>
      <c r="J4" s="726"/>
      <c r="K4" s="726"/>
      <c r="L4" s="726"/>
      <c r="M4" s="130"/>
    </row>
    <row r="5" spans="1:22" s="153" customFormat="1" ht="16.350000000000001" customHeight="1">
      <c r="A5" s="776" t="s">
        <v>154</v>
      </c>
      <c r="B5" s="155">
        <v>1</v>
      </c>
      <c r="C5" s="155">
        <v>2</v>
      </c>
      <c r="D5" s="155">
        <v>3</v>
      </c>
      <c r="E5" s="155">
        <v>4</v>
      </c>
      <c r="F5" s="155">
        <v>5</v>
      </c>
      <c r="G5" s="155">
        <v>6</v>
      </c>
      <c r="H5" s="155">
        <v>7</v>
      </c>
      <c r="I5" s="155">
        <v>8</v>
      </c>
      <c r="J5" s="165">
        <v>9</v>
      </c>
      <c r="K5" s="152"/>
      <c r="L5" s="152"/>
      <c r="M5" s="152"/>
      <c r="U5" s="459"/>
      <c r="V5" s="460"/>
    </row>
    <row r="6" spans="1:22" ht="16.350000000000001" customHeight="1">
      <c r="A6" s="778"/>
      <c r="B6" s="156" t="s">
        <v>187</v>
      </c>
      <c r="C6" s="156" t="s">
        <v>151</v>
      </c>
      <c r="D6" s="156" t="s">
        <v>188</v>
      </c>
      <c r="E6" s="156" t="s">
        <v>153</v>
      </c>
      <c r="F6" s="157" t="s">
        <v>133</v>
      </c>
      <c r="G6" s="158" t="s">
        <v>131</v>
      </c>
      <c r="H6" s="159" t="s">
        <v>189</v>
      </c>
      <c r="I6" s="158" t="s">
        <v>190</v>
      </c>
      <c r="J6" s="168" t="s">
        <v>137</v>
      </c>
      <c r="K6" s="154"/>
      <c r="L6" s="154"/>
      <c r="M6" s="130"/>
      <c r="U6" s="250"/>
      <c r="V6" s="461"/>
    </row>
    <row r="7" spans="1:22" s="153" customFormat="1" ht="15.75" customHeight="1">
      <c r="A7" s="787" t="s">
        <v>533</v>
      </c>
      <c r="B7" s="788"/>
      <c r="C7" s="346" t="s">
        <v>534</v>
      </c>
      <c r="D7" s="787" t="s">
        <v>12</v>
      </c>
      <c r="E7" s="789"/>
      <c r="F7" s="788"/>
      <c r="G7" s="361" t="s">
        <v>543</v>
      </c>
      <c r="H7" s="361" t="s">
        <v>544</v>
      </c>
      <c r="I7" s="361" t="s">
        <v>545</v>
      </c>
      <c r="J7" s="221" t="s">
        <v>546</v>
      </c>
      <c r="K7" s="787" t="s">
        <v>547</v>
      </c>
      <c r="L7" s="788"/>
      <c r="M7" s="152"/>
      <c r="U7" s="459"/>
      <c r="V7" s="460"/>
    </row>
    <row r="8" spans="1:22" ht="15.75" customHeight="1">
      <c r="A8" s="776">
        <f>J5</f>
        <v>9</v>
      </c>
      <c r="B8" s="779" t="str">
        <f>J6</f>
        <v>微波小吃</v>
      </c>
      <c r="C8" s="579">
        <v>1</v>
      </c>
      <c r="D8" s="342" t="s">
        <v>349</v>
      </c>
      <c r="E8" s="343"/>
      <c r="F8" s="344"/>
      <c r="G8" s="423">
        <v>7</v>
      </c>
      <c r="H8" s="423">
        <v>1475.7312240114829</v>
      </c>
      <c r="I8" s="423">
        <v>210.81874628735471</v>
      </c>
      <c r="J8" s="239" t="s">
        <v>670</v>
      </c>
      <c r="K8" s="794"/>
      <c r="L8" s="795"/>
      <c r="M8" s="130"/>
      <c r="U8" s="250"/>
      <c r="V8" s="461"/>
    </row>
    <row r="9" spans="1:22" ht="15.75" customHeight="1">
      <c r="A9" s="777"/>
      <c r="B9" s="780"/>
      <c r="C9" s="579">
        <v>2</v>
      </c>
      <c r="D9" s="342" t="s">
        <v>381</v>
      </c>
      <c r="E9" s="343"/>
      <c r="F9" s="344"/>
      <c r="G9" s="423">
        <v>7</v>
      </c>
      <c r="H9" s="423">
        <v>1472.205182738237</v>
      </c>
      <c r="I9" s="423">
        <v>210.31502610546244</v>
      </c>
      <c r="J9" s="239" t="s">
        <v>670</v>
      </c>
      <c r="K9" s="794"/>
      <c r="L9" s="795"/>
      <c r="M9" s="130"/>
      <c r="U9" s="250"/>
      <c r="V9" s="461"/>
    </row>
    <row r="10" spans="1:22" ht="15.75" customHeight="1">
      <c r="A10" s="777"/>
      <c r="B10" s="780"/>
      <c r="C10" s="579">
        <v>3</v>
      </c>
      <c r="D10" s="342" t="s">
        <v>553</v>
      </c>
      <c r="E10" s="343"/>
      <c r="F10" s="344"/>
      <c r="G10" s="423">
        <v>7</v>
      </c>
      <c r="H10" s="423">
        <v>1466.4836211736381</v>
      </c>
      <c r="I10" s="423">
        <v>209.49766016766262</v>
      </c>
      <c r="J10" s="239" t="s">
        <v>670</v>
      </c>
      <c r="K10" s="794"/>
      <c r="L10" s="795"/>
      <c r="M10" s="130"/>
      <c r="U10" s="250"/>
      <c r="V10" s="461"/>
    </row>
    <row r="11" spans="1:22" ht="15.75" customHeight="1">
      <c r="A11" s="777"/>
      <c r="B11" s="780"/>
      <c r="C11" s="579">
        <v>4</v>
      </c>
      <c r="D11" s="358" t="s">
        <v>348</v>
      </c>
      <c r="E11" s="343"/>
      <c r="F11" s="344"/>
      <c r="G11" s="423">
        <v>7</v>
      </c>
      <c r="H11" s="423">
        <v>1451.070041022942</v>
      </c>
      <c r="I11" s="423">
        <v>207.29572014613453</v>
      </c>
      <c r="J11" s="239" t="s">
        <v>670</v>
      </c>
      <c r="K11" s="794"/>
      <c r="L11" s="795"/>
      <c r="M11" s="130"/>
      <c r="U11" s="250"/>
      <c r="V11" s="461"/>
    </row>
    <row r="12" spans="1:22" ht="15.75" customHeight="1">
      <c r="A12" s="777"/>
      <c r="B12" s="780"/>
      <c r="C12" s="579">
        <v>5</v>
      </c>
      <c r="D12" s="358" t="s">
        <v>590</v>
      </c>
      <c r="E12" s="343"/>
      <c r="F12" s="344"/>
      <c r="G12" s="423">
        <v>7</v>
      </c>
      <c r="H12" s="423">
        <v>1351.8318911772606</v>
      </c>
      <c r="I12" s="423">
        <v>193.11884159675154</v>
      </c>
      <c r="J12" s="239" t="s">
        <v>670</v>
      </c>
      <c r="K12" s="794"/>
      <c r="L12" s="795"/>
      <c r="M12" s="130"/>
    </row>
    <row r="13" spans="1:22" ht="15.75" customHeight="1">
      <c r="A13" s="777"/>
      <c r="B13" s="780"/>
      <c r="C13" s="164" t="s">
        <v>665</v>
      </c>
      <c r="D13" s="358" t="s">
        <v>770</v>
      </c>
      <c r="E13" s="343"/>
      <c r="F13" s="344"/>
      <c r="G13" s="423">
        <v>19</v>
      </c>
      <c r="H13" s="423">
        <v>1145.7216934029329</v>
      </c>
      <c r="I13" s="423">
        <v>60.301141758049098</v>
      </c>
      <c r="J13" s="239" t="s">
        <v>670</v>
      </c>
      <c r="K13" s="798" t="s">
        <v>780</v>
      </c>
      <c r="L13" s="795"/>
      <c r="M13" s="130"/>
    </row>
    <row r="14" spans="1:22" ht="15.75" customHeight="1">
      <c r="A14" s="777"/>
      <c r="B14" s="780"/>
      <c r="C14" s="164" t="s">
        <v>666</v>
      </c>
      <c r="D14" s="342" t="s">
        <v>350</v>
      </c>
      <c r="E14" s="343"/>
      <c r="F14" s="344"/>
      <c r="G14" s="423">
        <v>16.428571428571427</v>
      </c>
      <c r="H14" s="423">
        <v>1350.5592895891095</v>
      </c>
      <c r="I14" s="423">
        <v>82.287814175182135</v>
      </c>
      <c r="J14" s="239" t="s">
        <v>670</v>
      </c>
      <c r="K14" s="794"/>
      <c r="L14" s="795"/>
      <c r="M14" s="130"/>
    </row>
    <row r="15" spans="1:22" ht="15.75" customHeight="1">
      <c r="A15" s="777"/>
      <c r="B15" s="780"/>
      <c r="C15" s="164" t="s">
        <v>667</v>
      </c>
      <c r="D15" s="342" t="s">
        <v>583</v>
      </c>
      <c r="E15" s="343"/>
      <c r="F15" s="344"/>
      <c r="G15" s="357">
        <v>11.285714285714286</v>
      </c>
      <c r="H15" s="357">
        <v>1283.2514977282772</v>
      </c>
      <c r="I15" s="357">
        <v>115.09900047206543</v>
      </c>
      <c r="J15" s="239" t="s">
        <v>670</v>
      </c>
      <c r="K15" s="794"/>
      <c r="L15" s="795"/>
      <c r="M15" s="130"/>
    </row>
    <row r="16" spans="1:22" ht="15.75" customHeight="1">
      <c r="A16" s="777"/>
      <c r="B16" s="780"/>
      <c r="C16" s="164" t="s">
        <v>668</v>
      </c>
      <c r="D16" s="358" t="s">
        <v>582</v>
      </c>
      <c r="E16" s="343"/>
      <c r="F16" s="344"/>
      <c r="G16" s="357">
        <v>12</v>
      </c>
      <c r="H16" s="357">
        <v>1522.1594081334019</v>
      </c>
      <c r="I16" s="357">
        <v>126.84661734445015</v>
      </c>
      <c r="J16" s="239" t="s">
        <v>670</v>
      </c>
      <c r="K16" s="794"/>
      <c r="L16" s="795"/>
      <c r="M16" s="151"/>
    </row>
    <row r="17" spans="1:13" ht="15.75" customHeight="1">
      <c r="A17" s="778"/>
      <c r="B17" s="781"/>
      <c r="C17" s="164" t="s">
        <v>669</v>
      </c>
      <c r="D17" s="358" t="s">
        <v>558</v>
      </c>
      <c r="E17" s="343"/>
      <c r="F17" s="344"/>
      <c r="G17" s="357">
        <v>12</v>
      </c>
      <c r="H17" s="357">
        <v>1567.8129721272785</v>
      </c>
      <c r="I17" s="357">
        <v>130.65108101060653</v>
      </c>
      <c r="J17" s="239" t="s">
        <v>670</v>
      </c>
      <c r="K17" s="794"/>
      <c r="L17" s="795"/>
      <c r="M17" s="151"/>
    </row>
    <row r="18" spans="1:13" s="161" customFormat="1" ht="15.75" customHeight="1">
      <c r="A18" s="784" t="s">
        <v>167</v>
      </c>
      <c r="B18" s="785"/>
      <c r="C18" s="559" t="s">
        <v>47</v>
      </c>
      <c r="D18" s="784" t="s">
        <v>12</v>
      </c>
      <c r="E18" s="786"/>
      <c r="F18" s="785"/>
      <c r="G18" s="559" t="s">
        <v>46</v>
      </c>
      <c r="H18" s="559" t="s">
        <v>499</v>
      </c>
      <c r="I18" s="559" t="s">
        <v>375</v>
      </c>
      <c r="J18" s="221" t="s">
        <v>376</v>
      </c>
      <c r="K18" s="784" t="s">
        <v>51</v>
      </c>
      <c r="L18" s="785"/>
      <c r="M18" s="154"/>
    </row>
    <row r="19" spans="1:13" ht="15.75" customHeight="1">
      <c r="A19" s="776"/>
      <c r="B19" s="779"/>
      <c r="C19" s="558">
        <v>1</v>
      </c>
      <c r="D19" s="342"/>
      <c r="E19" s="343"/>
      <c r="F19" s="344"/>
      <c r="G19" s="560"/>
      <c r="H19" s="560"/>
      <c r="I19" s="560"/>
      <c r="J19" s="560"/>
      <c r="K19" s="794"/>
      <c r="L19" s="795"/>
      <c r="M19" s="151"/>
    </row>
    <row r="20" spans="1:13" ht="15.75" customHeight="1">
      <c r="A20" s="777"/>
      <c r="B20" s="780"/>
      <c r="C20" s="558">
        <v>2</v>
      </c>
      <c r="D20" s="342"/>
      <c r="E20" s="343"/>
      <c r="F20" s="344"/>
      <c r="G20" s="560"/>
      <c r="H20" s="560"/>
      <c r="I20" s="560"/>
      <c r="J20" s="560"/>
      <c r="K20" s="796"/>
      <c r="L20" s="797"/>
      <c r="M20" s="151"/>
    </row>
    <row r="21" spans="1:13" ht="15.75" customHeight="1">
      <c r="A21" s="777"/>
      <c r="B21" s="780"/>
      <c r="C21" s="558">
        <v>3</v>
      </c>
      <c r="D21" s="342"/>
      <c r="E21" s="343"/>
      <c r="F21" s="344"/>
      <c r="G21" s="560"/>
      <c r="H21" s="560"/>
      <c r="I21" s="560"/>
      <c r="J21" s="560"/>
      <c r="K21" s="796"/>
      <c r="L21" s="797"/>
      <c r="M21" s="151"/>
    </row>
    <row r="22" spans="1:13" ht="15.75" customHeight="1">
      <c r="A22" s="777"/>
      <c r="B22" s="780"/>
      <c r="C22" s="558">
        <v>4</v>
      </c>
      <c r="D22" s="342"/>
      <c r="E22" s="343"/>
      <c r="F22" s="344"/>
      <c r="G22" s="560"/>
      <c r="H22" s="560"/>
      <c r="I22" s="560"/>
      <c r="J22" s="560"/>
      <c r="K22" s="796"/>
      <c r="L22" s="797"/>
      <c r="M22" s="151"/>
    </row>
    <row r="23" spans="1:13" ht="15.75" customHeight="1">
      <c r="A23" s="777"/>
      <c r="B23" s="780"/>
      <c r="C23" s="558">
        <v>5</v>
      </c>
      <c r="D23" s="342"/>
      <c r="E23" s="343"/>
      <c r="F23" s="344"/>
      <c r="G23" s="560"/>
      <c r="H23" s="560"/>
      <c r="I23" s="560"/>
      <c r="J23" s="560"/>
      <c r="K23" s="796"/>
      <c r="L23" s="797"/>
      <c r="M23" s="151"/>
    </row>
    <row r="24" spans="1:13" ht="15.75" customHeight="1">
      <c r="A24" s="777"/>
      <c r="B24" s="780"/>
      <c r="C24" s="164" t="s">
        <v>665</v>
      </c>
      <c r="D24" s="342"/>
      <c r="E24" s="343"/>
      <c r="F24" s="344"/>
      <c r="G24" s="560"/>
      <c r="H24" s="560"/>
      <c r="I24" s="560"/>
      <c r="J24" s="560"/>
      <c r="K24" s="794"/>
      <c r="L24" s="795"/>
      <c r="M24" s="151"/>
    </row>
    <row r="25" spans="1:13" ht="15.75" customHeight="1">
      <c r="A25" s="777"/>
      <c r="B25" s="780"/>
      <c r="C25" s="164" t="s">
        <v>666</v>
      </c>
      <c r="D25" s="342"/>
      <c r="E25" s="343"/>
      <c r="F25" s="344"/>
      <c r="G25" s="560"/>
      <c r="H25" s="560"/>
      <c r="I25" s="560"/>
      <c r="J25" s="560"/>
      <c r="K25" s="796"/>
      <c r="L25" s="797"/>
      <c r="M25" s="151"/>
    </row>
    <row r="26" spans="1:13" ht="15.75" customHeight="1">
      <c r="A26" s="777"/>
      <c r="B26" s="780"/>
      <c r="C26" s="164" t="s">
        <v>667</v>
      </c>
      <c r="D26" s="342"/>
      <c r="E26" s="343"/>
      <c r="F26" s="344"/>
      <c r="G26" s="560"/>
      <c r="H26" s="560"/>
      <c r="I26" s="560"/>
      <c r="J26" s="560"/>
      <c r="K26" s="796"/>
      <c r="L26" s="797"/>
      <c r="M26" s="151"/>
    </row>
    <row r="27" spans="1:13" ht="15.75" customHeight="1">
      <c r="A27" s="777"/>
      <c r="B27" s="780"/>
      <c r="C27" s="164" t="s">
        <v>668</v>
      </c>
      <c r="D27" s="342"/>
      <c r="E27" s="343"/>
      <c r="F27" s="344"/>
      <c r="G27" s="560"/>
      <c r="H27" s="560"/>
      <c r="I27" s="560"/>
      <c r="J27" s="560"/>
      <c r="K27" s="796"/>
      <c r="L27" s="797"/>
      <c r="M27" s="151"/>
    </row>
    <row r="28" spans="1:13" ht="15.75" customHeight="1">
      <c r="A28" s="778"/>
      <c r="B28" s="781"/>
      <c r="C28" s="164" t="s">
        <v>669</v>
      </c>
      <c r="D28" s="342"/>
      <c r="E28" s="343"/>
      <c r="F28" s="344"/>
      <c r="G28" s="560"/>
      <c r="H28" s="560"/>
      <c r="I28" s="560"/>
      <c r="J28" s="560"/>
      <c r="K28" s="796"/>
      <c r="L28" s="797"/>
      <c r="M28" s="151"/>
    </row>
    <row r="29" spans="1:13" ht="15.75" customHeight="1">
      <c r="A29" s="151"/>
      <c r="B29" s="151"/>
      <c r="C29" s="151"/>
      <c r="D29" s="151"/>
      <c r="E29" s="151"/>
      <c r="F29" s="151"/>
      <c r="G29" s="151"/>
      <c r="H29" s="151"/>
      <c r="I29" s="151"/>
      <c r="J29" s="151"/>
      <c r="K29" s="151"/>
      <c r="L29" s="151"/>
      <c r="M29" s="130"/>
    </row>
    <row r="30" spans="1:13" ht="15.75" customHeight="1">
      <c r="A30" s="151"/>
      <c r="B30" s="151"/>
      <c r="C30" s="151"/>
      <c r="D30" s="151"/>
      <c r="E30" s="151"/>
      <c r="F30" s="151"/>
      <c r="G30" s="151"/>
      <c r="H30" s="151"/>
      <c r="I30" s="151"/>
      <c r="J30" s="151"/>
      <c r="K30" s="151"/>
      <c r="L30" s="151"/>
      <c r="M30" s="130"/>
    </row>
    <row r="31" spans="1:13" ht="15.75" customHeight="1">
      <c r="A31" s="151"/>
      <c r="B31" s="151"/>
      <c r="C31" s="151"/>
      <c r="D31" s="151"/>
      <c r="E31" s="151"/>
      <c r="F31" s="151"/>
      <c r="G31" s="151"/>
      <c r="H31" s="151"/>
      <c r="I31" s="151"/>
      <c r="J31" s="151"/>
      <c r="K31" s="151"/>
      <c r="L31" s="151"/>
      <c r="M31" s="130"/>
    </row>
    <row r="32" spans="1:13" ht="15.75" customHeight="1">
      <c r="A32" s="151"/>
      <c r="B32" s="151"/>
      <c r="C32" s="151"/>
      <c r="D32" s="151"/>
      <c r="E32" s="151"/>
      <c r="F32" s="151"/>
      <c r="G32" s="151"/>
      <c r="H32" s="151"/>
      <c r="I32" s="151"/>
      <c r="J32" s="151"/>
      <c r="K32" s="151"/>
      <c r="L32" s="151"/>
      <c r="M32" s="130"/>
    </row>
    <row r="33" spans="1:13" ht="15.75" customHeight="1">
      <c r="A33" s="151"/>
      <c r="B33" s="151"/>
      <c r="C33" s="151"/>
      <c r="D33" s="151"/>
      <c r="E33" s="151"/>
      <c r="F33" s="151"/>
      <c r="G33" s="151"/>
      <c r="H33" s="151"/>
      <c r="I33" s="151"/>
      <c r="J33" s="151"/>
      <c r="K33" s="151"/>
      <c r="L33" s="151"/>
      <c r="M33" s="130"/>
    </row>
    <row r="34" spans="1:13" ht="15.75" customHeight="1">
      <c r="A34" s="151"/>
      <c r="B34" s="151"/>
      <c r="C34" s="151"/>
      <c r="D34" s="151"/>
      <c r="E34" s="151"/>
      <c r="F34" s="151"/>
      <c r="G34" s="151"/>
      <c r="H34" s="151"/>
      <c r="I34" s="151"/>
      <c r="J34" s="151"/>
      <c r="K34" s="151"/>
      <c r="L34" s="151"/>
      <c r="M34" s="130"/>
    </row>
    <row r="35" spans="1:13" ht="15.75" customHeight="1">
      <c r="A35" s="151"/>
      <c r="B35" s="151"/>
      <c r="C35" s="151"/>
      <c r="D35" s="151"/>
      <c r="E35" s="151"/>
      <c r="F35" s="151"/>
      <c r="G35" s="151"/>
      <c r="H35" s="151"/>
      <c r="I35" s="151"/>
      <c r="J35" s="151"/>
      <c r="K35" s="151"/>
      <c r="L35" s="151"/>
      <c r="M35" s="130"/>
    </row>
  </sheetData>
  <mergeCells count="33">
    <mergeCell ref="A1:L2"/>
    <mergeCell ref="K14:L14"/>
    <mergeCell ref="A3:L4"/>
    <mergeCell ref="A5:A6"/>
    <mergeCell ref="A7:B7"/>
    <mergeCell ref="D7:F7"/>
    <mergeCell ref="K7:L7"/>
    <mergeCell ref="A8:A17"/>
    <mergeCell ref="B8:B17"/>
    <mergeCell ref="K13:L13"/>
    <mergeCell ref="K8:L8"/>
    <mergeCell ref="K12:L12"/>
    <mergeCell ref="K11:L11"/>
    <mergeCell ref="K9:L9"/>
    <mergeCell ref="K10:L10"/>
    <mergeCell ref="K15:L15"/>
    <mergeCell ref="A18:B18"/>
    <mergeCell ref="D18:F18"/>
    <mergeCell ref="K18:L18"/>
    <mergeCell ref="K17:L17"/>
    <mergeCell ref="K16:L16"/>
    <mergeCell ref="A19:A28"/>
    <mergeCell ref="B19:B28"/>
    <mergeCell ref="K19:L19"/>
    <mergeCell ref="K20:L20"/>
    <mergeCell ref="K28:L28"/>
    <mergeCell ref="K26:L26"/>
    <mergeCell ref="K21:L21"/>
    <mergeCell ref="K27:L27"/>
    <mergeCell ref="K25:L25"/>
    <mergeCell ref="K22:L22"/>
    <mergeCell ref="K24:L24"/>
    <mergeCell ref="K23:L23"/>
  </mergeCells>
  <phoneticPr fontId="13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outlinePr summaryBelow="0" summaryRight="0"/>
  </sheetPr>
  <dimension ref="A1:N15"/>
  <sheetViews>
    <sheetView zoomScale="115" zoomScaleNormal="115" zoomScaleSheetLayoutView="115" workbookViewId="0">
      <selection activeCell="N13" sqref="N13"/>
    </sheetView>
  </sheetViews>
  <sheetFormatPr defaultColWidth="12.5703125" defaultRowHeight="15.75" customHeight="1"/>
  <cols>
    <col min="1" max="1" width="7.5703125" style="182" customWidth="1"/>
    <col min="2" max="2" width="14.85546875" style="182" customWidth="1"/>
    <col min="3" max="3" width="12.85546875" style="182" customWidth="1"/>
    <col min="4" max="4" width="2.5703125" style="182" customWidth="1"/>
    <col min="5" max="5" width="7.5703125" style="182" customWidth="1"/>
    <col min="6" max="6" width="12.85546875" style="182" customWidth="1"/>
    <col min="7" max="7" width="9.42578125" style="182" customWidth="1"/>
    <col min="8" max="8" width="12.85546875" style="182" customWidth="1"/>
    <col min="9" max="9" width="9.42578125" style="182" customWidth="1"/>
    <col min="10" max="10" width="12.85546875" style="182" customWidth="1"/>
    <col min="11" max="11" width="9.42578125" style="182" customWidth="1"/>
    <col min="12" max="12" width="12.85546875" style="182" customWidth="1"/>
    <col min="13" max="13" width="9.42578125" style="182" customWidth="1"/>
    <col min="14" max="16384" width="12.5703125" style="182"/>
  </cols>
  <sheetData>
    <row r="1" spans="1:14" ht="15.75" customHeight="1">
      <c r="A1" s="799" t="s">
        <v>217</v>
      </c>
      <c r="B1" s="799"/>
      <c r="C1" s="799"/>
      <c r="D1" s="799"/>
      <c r="E1" s="799"/>
      <c r="F1" s="799"/>
      <c r="G1" s="799"/>
      <c r="H1" s="799"/>
      <c r="I1" s="799"/>
      <c r="J1" s="799"/>
      <c r="K1" s="799"/>
      <c r="L1" s="799"/>
      <c r="M1" s="799"/>
    </row>
    <row r="2" spans="1:14" s="183" customFormat="1" ht="15.75" customHeight="1">
      <c r="A2" s="799"/>
      <c r="B2" s="799"/>
      <c r="C2" s="799"/>
      <c r="D2" s="799"/>
      <c r="E2" s="799"/>
      <c r="F2" s="799"/>
      <c r="G2" s="799"/>
      <c r="H2" s="799"/>
      <c r="I2" s="799"/>
      <c r="J2" s="799"/>
      <c r="K2" s="799"/>
      <c r="L2" s="799"/>
      <c r="M2" s="799"/>
    </row>
    <row r="3" spans="1:14" ht="15.75" customHeight="1">
      <c r="A3" s="800" t="s">
        <v>218</v>
      </c>
      <c r="B3" s="800"/>
      <c r="C3" s="800"/>
      <c r="D3" s="800"/>
      <c r="E3" s="800"/>
      <c r="F3" s="800"/>
      <c r="G3" s="800"/>
      <c r="H3" s="800"/>
      <c r="I3" s="800"/>
      <c r="J3" s="800"/>
      <c r="K3" s="800"/>
      <c r="L3" s="800"/>
      <c r="M3" s="800"/>
      <c r="N3" s="184"/>
    </row>
    <row r="4" spans="1:14" s="183" customFormat="1" ht="15.75" customHeight="1">
      <c r="A4" s="800"/>
      <c r="B4" s="800"/>
      <c r="C4" s="800"/>
      <c r="D4" s="800"/>
      <c r="E4" s="800"/>
      <c r="F4" s="800"/>
      <c r="G4" s="800"/>
      <c r="H4" s="800"/>
      <c r="I4" s="800"/>
      <c r="J4" s="800"/>
      <c r="K4" s="800"/>
      <c r="L4" s="800"/>
      <c r="M4" s="800"/>
      <c r="N4" s="185"/>
    </row>
    <row r="5" spans="1:14" ht="15.75" customHeight="1">
      <c r="A5" s="186" t="s">
        <v>219</v>
      </c>
      <c r="B5" s="187">
        <v>212376150</v>
      </c>
    </row>
    <row r="6" spans="1:14" ht="15.75" customHeight="1">
      <c r="A6" s="801" t="s">
        <v>220</v>
      </c>
      <c r="B6" s="802" t="s">
        <v>10</v>
      </c>
      <c r="C6" s="802"/>
      <c r="D6" s="803"/>
      <c r="E6" s="801" t="s">
        <v>220</v>
      </c>
      <c r="F6" s="805">
        <v>1</v>
      </c>
      <c r="G6" s="805"/>
      <c r="H6" s="805">
        <v>2</v>
      </c>
      <c r="I6" s="805"/>
      <c r="J6" s="805">
        <v>3</v>
      </c>
      <c r="K6" s="805"/>
      <c r="L6" s="805">
        <v>4</v>
      </c>
      <c r="M6" s="805"/>
    </row>
    <row r="7" spans="1:14" ht="31.35" customHeight="1">
      <c r="A7" s="801"/>
      <c r="B7" s="802"/>
      <c r="C7" s="802"/>
      <c r="D7" s="804"/>
      <c r="E7" s="801"/>
      <c r="F7" s="807" t="s">
        <v>231</v>
      </c>
      <c r="G7" s="807"/>
      <c r="H7" s="807" t="s">
        <v>221</v>
      </c>
      <c r="I7" s="807"/>
      <c r="J7" s="807" t="s">
        <v>222</v>
      </c>
      <c r="K7" s="807"/>
      <c r="L7" s="807" t="s">
        <v>223</v>
      </c>
      <c r="M7" s="807"/>
    </row>
    <row r="8" spans="1:14" ht="15.75" customHeight="1">
      <c r="A8" s="801"/>
      <c r="B8" s="215" t="s">
        <v>11</v>
      </c>
      <c r="C8" s="215" t="s">
        <v>224</v>
      </c>
      <c r="D8" s="804"/>
      <c r="E8" s="801"/>
      <c r="F8" s="215" t="s">
        <v>11</v>
      </c>
      <c r="G8" s="215" t="s">
        <v>224</v>
      </c>
      <c r="H8" s="215" t="s">
        <v>11</v>
      </c>
      <c r="I8" s="215" t="s">
        <v>224</v>
      </c>
      <c r="J8" s="215" t="s">
        <v>11</v>
      </c>
      <c r="K8" s="215" t="s">
        <v>224</v>
      </c>
      <c r="L8" s="215" t="s">
        <v>11</v>
      </c>
      <c r="M8" s="215" t="s">
        <v>224</v>
      </c>
    </row>
    <row r="9" spans="1:14" s="193" customFormat="1" ht="19.350000000000001" customHeight="1">
      <c r="A9" s="188" t="s">
        <v>225</v>
      </c>
      <c r="B9" s="189">
        <v>47927.00699999994</v>
      </c>
      <c r="C9" s="190">
        <f>B9/$B$5</f>
        <v>2.256703824793883E-4</v>
      </c>
      <c r="D9" s="804"/>
      <c r="E9" s="188" t="s">
        <v>225</v>
      </c>
      <c r="F9" s="191">
        <v>1423.9050000000002</v>
      </c>
      <c r="G9" s="192">
        <f>IFERROR(F9/$B$9,"")</f>
        <v>2.9709866923256903E-2</v>
      </c>
      <c r="H9" s="191">
        <v>5535.9419999999991</v>
      </c>
      <c r="I9" s="192">
        <f>IFERROR(H9/$B$9,"")</f>
        <v>0.11550777623146812</v>
      </c>
      <c r="J9" s="191">
        <v>6691.5360000000019</v>
      </c>
      <c r="K9" s="192">
        <f>IFERROR(J9/$B$9,"")</f>
        <v>0.13961931735065389</v>
      </c>
      <c r="L9" s="191">
        <v>17258.763000000006</v>
      </c>
      <c r="M9" s="192">
        <f>IFERROR(L9/$B$9,"")</f>
        <v>0.36010516993059943</v>
      </c>
    </row>
    <row r="10" spans="1:14" s="193" customFormat="1" ht="19.350000000000001" customHeight="1">
      <c r="A10" s="194" t="s">
        <v>226</v>
      </c>
      <c r="B10" s="195">
        <v>69974.579191980054</v>
      </c>
      <c r="C10" s="190">
        <f>B10/$B$5</f>
        <v>3.2948416849999424E-4</v>
      </c>
      <c r="D10" s="804"/>
      <c r="E10" s="194" t="s">
        <v>226</v>
      </c>
      <c r="F10" s="191">
        <v>1179.8078200000007</v>
      </c>
      <c r="G10" s="192">
        <f>IFERROR(F10/$B$10,"")</f>
        <v>1.6860520400746062E-2</v>
      </c>
      <c r="H10" s="191">
        <v>3563.9139100000007</v>
      </c>
      <c r="I10" s="192">
        <f>IFERROR(H10/$B$10,"")</f>
        <v>5.0931551874319365E-2</v>
      </c>
      <c r="J10" s="191">
        <v>3130.998689999999</v>
      </c>
      <c r="K10" s="192">
        <f>IFERROR(J10/$B$10,"")</f>
        <v>4.4744801986016804E-2</v>
      </c>
      <c r="L10" s="191">
        <v>14381.948886699534</v>
      </c>
      <c r="M10" s="192">
        <f>IFERROR(L10/$B$10,"")</f>
        <v>0.20553105217312806</v>
      </c>
    </row>
    <row r="11" spans="1:14" ht="15.75" customHeight="1">
      <c r="D11" s="804"/>
      <c r="E11" s="801" t="s">
        <v>220</v>
      </c>
      <c r="F11" s="805">
        <v>5</v>
      </c>
      <c r="G11" s="805"/>
      <c r="H11" s="805">
        <v>6</v>
      </c>
      <c r="I11" s="805"/>
      <c r="J11" s="805">
        <v>7</v>
      </c>
      <c r="K11" s="805"/>
      <c r="L11" s="806">
        <v>8</v>
      </c>
      <c r="M11" s="806"/>
    </row>
    <row r="12" spans="1:14" ht="31.35" customHeight="1">
      <c r="D12" s="804"/>
      <c r="E12" s="801"/>
      <c r="F12" s="807" t="s">
        <v>227</v>
      </c>
      <c r="G12" s="807"/>
      <c r="H12" s="807" t="s">
        <v>228</v>
      </c>
      <c r="I12" s="807"/>
      <c r="J12" s="807" t="s">
        <v>229</v>
      </c>
      <c r="K12" s="807"/>
      <c r="L12" s="808" t="s">
        <v>230</v>
      </c>
      <c r="M12" s="808"/>
    </row>
    <row r="13" spans="1:14" ht="15.75" customHeight="1">
      <c r="D13" s="804"/>
      <c r="E13" s="801"/>
      <c r="F13" s="215" t="s">
        <v>11</v>
      </c>
      <c r="G13" s="215" t="s">
        <v>224</v>
      </c>
      <c r="H13" s="215" t="s">
        <v>11</v>
      </c>
      <c r="I13" s="215" t="s">
        <v>224</v>
      </c>
      <c r="J13" s="215" t="s">
        <v>11</v>
      </c>
      <c r="K13" s="215" t="s">
        <v>224</v>
      </c>
      <c r="L13" s="215" t="s">
        <v>11</v>
      </c>
      <c r="M13" s="215" t="s">
        <v>224</v>
      </c>
    </row>
    <row r="14" spans="1:14" s="193" customFormat="1" ht="19.350000000000001" customHeight="1">
      <c r="D14" s="804"/>
      <c r="E14" s="188" t="s">
        <v>225</v>
      </c>
      <c r="F14" s="191">
        <v>12460.915000000001</v>
      </c>
      <c r="G14" s="192">
        <f>IFERROR(F14/$B$9,"")</f>
        <v>0.25999777119401629</v>
      </c>
      <c r="H14" s="191">
        <v>1494.27</v>
      </c>
      <c r="I14" s="192">
        <f>IFERROR(H14/$B$9,"")</f>
        <v>3.1178037051218365E-2</v>
      </c>
      <c r="J14" s="191">
        <v>3061.675999999999</v>
      </c>
      <c r="K14" s="192">
        <f>IFERROR(J14/$B$9,"")</f>
        <v>6.3882061318788444E-2</v>
      </c>
      <c r="L14" s="191">
        <v>0</v>
      </c>
      <c r="M14" s="192">
        <f>IFERROR(L14/$B$9,"")</f>
        <v>0</v>
      </c>
    </row>
    <row r="15" spans="1:14" s="193" customFormat="1" ht="19.350000000000001" customHeight="1">
      <c r="D15" s="804"/>
      <c r="E15" s="194" t="s">
        <v>226</v>
      </c>
      <c r="F15" s="191">
        <v>30846.731825280494</v>
      </c>
      <c r="G15" s="192">
        <f>IFERROR(F15/$B$10,"")</f>
        <v>0.44082768601795191</v>
      </c>
      <c r="H15" s="191">
        <v>12704.309300000044</v>
      </c>
      <c r="I15" s="192">
        <f>IFERROR(H15/$B$10,"")</f>
        <v>0.18155606574131589</v>
      </c>
      <c r="J15" s="191">
        <v>3994.7131600000112</v>
      </c>
      <c r="K15" s="192">
        <f>IFERROR(J15/$B$10,"")</f>
        <v>5.7088062638293857E-2</v>
      </c>
      <c r="L15" s="191">
        <v>0</v>
      </c>
      <c r="M15" s="192">
        <f>IFERROR(L15/$B$10,"")</f>
        <v>0</v>
      </c>
    </row>
  </sheetData>
  <mergeCells count="23">
    <mergeCell ref="H12:I12"/>
    <mergeCell ref="J12:K12"/>
    <mergeCell ref="L12:M12"/>
    <mergeCell ref="F7:G7"/>
    <mergeCell ref="H7:I7"/>
    <mergeCell ref="J7:K7"/>
    <mergeCell ref="L7:M7"/>
    <mergeCell ref="A1:M2"/>
    <mergeCell ref="A3:M4"/>
    <mergeCell ref="A6:A8"/>
    <mergeCell ref="B6:C7"/>
    <mergeCell ref="D6:D15"/>
    <mergeCell ref="E6:E8"/>
    <mergeCell ref="F6:G6"/>
    <mergeCell ref="H6:I6"/>
    <mergeCell ref="J6:K6"/>
    <mergeCell ref="L6:M6"/>
    <mergeCell ref="E11:E13"/>
    <mergeCell ref="F11:G11"/>
    <mergeCell ref="H11:I11"/>
    <mergeCell ref="J11:K11"/>
    <mergeCell ref="L11:M11"/>
    <mergeCell ref="F12:G12"/>
  </mergeCells>
  <phoneticPr fontId="13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outlinePr summaryBelow="0" summaryRight="0"/>
  </sheetPr>
  <dimension ref="A1:S16"/>
  <sheetViews>
    <sheetView zoomScale="110" zoomScaleNormal="110" zoomScaleSheetLayoutView="115" workbookViewId="0">
      <selection activeCell="E6" sqref="E6:S11"/>
    </sheetView>
  </sheetViews>
  <sheetFormatPr defaultColWidth="12.5703125" defaultRowHeight="15.75" customHeight="1"/>
  <cols>
    <col min="1" max="1" width="7.5703125" style="182" customWidth="1"/>
    <col min="2" max="2" width="14.85546875" style="182" customWidth="1"/>
    <col min="3" max="3" width="12.85546875" style="182" customWidth="1"/>
    <col min="4" max="4" width="2.5703125" style="182" customWidth="1"/>
    <col min="5" max="5" width="7.5703125" style="182" customWidth="1"/>
    <col min="6" max="6" width="12.85546875" style="182" customWidth="1"/>
    <col min="7" max="7" width="9.42578125" style="182" customWidth="1"/>
    <col min="8" max="8" width="12.85546875" style="182" customWidth="1"/>
    <col min="9" max="9" width="9.42578125" style="182" customWidth="1"/>
    <col min="10" max="10" width="12.85546875" style="182" customWidth="1"/>
    <col min="11" max="11" width="9.42578125" style="182" customWidth="1"/>
    <col min="12" max="12" width="12.85546875" style="182" customWidth="1"/>
    <col min="13" max="13" width="9.42578125" style="182" customWidth="1"/>
    <col min="14" max="16384" width="12.5703125" style="182"/>
  </cols>
  <sheetData>
    <row r="1" spans="1:19" ht="15.75" customHeight="1">
      <c r="A1" s="799" t="s">
        <v>217</v>
      </c>
      <c r="B1" s="799"/>
      <c r="C1" s="799"/>
      <c r="D1" s="799"/>
      <c r="E1" s="799"/>
      <c r="F1" s="799"/>
      <c r="G1" s="799"/>
      <c r="H1" s="799"/>
      <c r="I1" s="799"/>
      <c r="J1" s="799"/>
      <c r="K1" s="799"/>
      <c r="L1" s="799"/>
      <c r="M1" s="799"/>
    </row>
    <row r="2" spans="1:19" s="183" customFormat="1" ht="15.75" customHeight="1">
      <c r="A2" s="799"/>
      <c r="B2" s="799"/>
      <c r="C2" s="799"/>
      <c r="D2" s="799"/>
      <c r="E2" s="799"/>
      <c r="F2" s="799"/>
      <c r="G2" s="799"/>
      <c r="H2" s="799"/>
      <c r="I2" s="799"/>
      <c r="J2" s="799"/>
      <c r="K2" s="799"/>
      <c r="L2" s="799"/>
      <c r="M2" s="799"/>
    </row>
    <row r="3" spans="1:19" ht="15.75" customHeight="1">
      <c r="A3" s="800" t="s">
        <v>573</v>
      </c>
      <c r="B3" s="800"/>
      <c r="C3" s="800"/>
      <c r="D3" s="800"/>
      <c r="E3" s="800"/>
      <c r="F3" s="800"/>
      <c r="G3" s="800"/>
      <c r="H3" s="800"/>
      <c r="I3" s="800"/>
      <c r="J3" s="800"/>
      <c r="K3" s="800"/>
      <c r="L3" s="800"/>
      <c r="M3" s="800"/>
    </row>
    <row r="4" spans="1:19" s="183" customFormat="1" ht="15.75" customHeight="1">
      <c r="A4" s="800"/>
      <c r="B4" s="800"/>
      <c r="C4" s="800"/>
      <c r="D4" s="800"/>
      <c r="E4" s="800"/>
      <c r="F4" s="800"/>
      <c r="G4" s="800"/>
      <c r="H4" s="800"/>
      <c r="I4" s="800"/>
      <c r="J4" s="800"/>
      <c r="K4" s="800"/>
      <c r="L4" s="800"/>
      <c r="M4" s="800"/>
    </row>
    <row r="5" spans="1:19" ht="15.75" customHeight="1" thickBot="1"/>
    <row r="6" spans="1:19" ht="15.75" customHeight="1" thickBot="1">
      <c r="A6" s="389" t="s">
        <v>657</v>
      </c>
      <c r="B6" s="390">
        <v>62106324</v>
      </c>
      <c r="C6" s="561" t="s">
        <v>715</v>
      </c>
      <c r="E6" s="817" t="s">
        <v>651</v>
      </c>
      <c r="F6" s="818"/>
      <c r="G6" s="818"/>
      <c r="H6" s="818"/>
      <c r="I6" s="818"/>
      <c r="J6" s="818"/>
      <c r="K6" s="818"/>
      <c r="L6" s="818"/>
      <c r="M6" s="818"/>
      <c r="N6" s="818"/>
      <c r="O6" s="818"/>
      <c r="P6" s="818"/>
      <c r="Q6" s="818"/>
      <c r="R6" s="818"/>
      <c r="S6" s="819"/>
    </row>
    <row r="7" spans="1:19" ht="15.75" customHeight="1">
      <c r="A7" s="820" t="s">
        <v>652</v>
      </c>
      <c r="B7" s="802" t="s">
        <v>10</v>
      </c>
      <c r="C7" s="821"/>
      <c r="D7" s="804"/>
      <c r="E7" s="822" t="s">
        <v>652</v>
      </c>
      <c r="F7" s="824">
        <v>1</v>
      </c>
      <c r="G7" s="825"/>
      <c r="H7" s="826">
        <v>2</v>
      </c>
      <c r="I7" s="827"/>
      <c r="J7" s="827">
        <v>3</v>
      </c>
      <c r="K7" s="828"/>
      <c r="L7" s="824">
        <v>4</v>
      </c>
      <c r="M7" s="825"/>
      <c r="N7" s="829">
        <v>5</v>
      </c>
      <c r="O7" s="830"/>
      <c r="P7" s="831">
        <v>6</v>
      </c>
      <c r="Q7" s="826"/>
      <c r="R7" s="828">
        <v>7</v>
      </c>
      <c r="S7" s="830"/>
    </row>
    <row r="8" spans="1:19" ht="15.75" customHeight="1">
      <c r="A8" s="820"/>
      <c r="B8" s="802"/>
      <c r="C8" s="821"/>
      <c r="D8" s="804"/>
      <c r="E8" s="823"/>
      <c r="F8" s="811" t="s">
        <v>576</v>
      </c>
      <c r="G8" s="812"/>
      <c r="H8" s="816" t="s">
        <v>609</v>
      </c>
      <c r="I8" s="809"/>
      <c r="J8" s="809" t="s">
        <v>358</v>
      </c>
      <c r="K8" s="810"/>
      <c r="L8" s="811" t="s">
        <v>485</v>
      </c>
      <c r="M8" s="812"/>
      <c r="N8" s="813" t="s">
        <v>193</v>
      </c>
      <c r="O8" s="814"/>
      <c r="P8" s="815" t="s">
        <v>194</v>
      </c>
      <c r="Q8" s="816"/>
      <c r="R8" s="810" t="s">
        <v>498</v>
      </c>
      <c r="S8" s="814"/>
    </row>
    <row r="9" spans="1:19" ht="15.75" customHeight="1">
      <c r="A9" s="820"/>
      <c r="B9" s="568" t="s">
        <v>11</v>
      </c>
      <c r="C9" s="569" t="s">
        <v>650</v>
      </c>
      <c r="D9" s="804"/>
      <c r="E9" s="823"/>
      <c r="F9" s="534" t="s">
        <v>11</v>
      </c>
      <c r="G9" s="535" t="s">
        <v>650</v>
      </c>
      <c r="H9" s="536" t="s">
        <v>11</v>
      </c>
      <c r="I9" s="537" t="s">
        <v>650</v>
      </c>
      <c r="J9" s="537" t="s">
        <v>11</v>
      </c>
      <c r="K9" s="538" t="s">
        <v>650</v>
      </c>
      <c r="L9" s="534" t="s">
        <v>11</v>
      </c>
      <c r="M9" s="535" t="s">
        <v>650</v>
      </c>
      <c r="N9" s="534" t="s">
        <v>11</v>
      </c>
      <c r="O9" s="535" t="s">
        <v>650</v>
      </c>
      <c r="P9" s="536" t="s">
        <v>11</v>
      </c>
      <c r="Q9" s="537" t="s">
        <v>650</v>
      </c>
      <c r="R9" s="537" t="s">
        <v>11</v>
      </c>
      <c r="S9" s="535" t="s">
        <v>650</v>
      </c>
    </row>
    <row r="10" spans="1:19" ht="15.75" customHeight="1">
      <c r="A10" s="261" t="s">
        <v>623</v>
      </c>
      <c r="B10" s="262">
        <v>149585.49482123522</v>
      </c>
      <c r="C10" s="391">
        <v>2.4085388602493236E-3</v>
      </c>
      <c r="D10" s="804"/>
      <c r="E10" s="539" t="s">
        <v>623</v>
      </c>
      <c r="F10" s="392">
        <v>0</v>
      </c>
      <c r="G10" s="540">
        <v>0</v>
      </c>
      <c r="H10" s="392">
        <v>0</v>
      </c>
      <c r="I10" s="541">
        <v>0</v>
      </c>
      <c r="J10" s="392">
        <v>1941.1759881406936</v>
      </c>
      <c r="K10" s="542">
        <v>1.2977033571741231E-2</v>
      </c>
      <c r="L10" s="392">
        <v>6290.6388990473915</v>
      </c>
      <c r="M10" s="540">
        <v>4.2053802787263096E-2</v>
      </c>
      <c r="N10" s="392">
        <v>8334.5761716498528</v>
      </c>
      <c r="O10" s="540">
        <v>5.5717809949488988E-2</v>
      </c>
      <c r="P10" s="392">
        <v>2097.4456600712397</v>
      </c>
      <c r="Q10" s="541">
        <v>1.4021718232625624E-2</v>
      </c>
      <c r="R10" s="392">
        <v>1965.0214116498532</v>
      </c>
      <c r="S10" s="540">
        <v>1.3136443570268538E-2</v>
      </c>
    </row>
    <row r="11" spans="1:19" ht="15.75" customHeight="1" thickBot="1">
      <c r="A11" s="393" t="s">
        <v>653</v>
      </c>
      <c r="B11" s="394">
        <v>248339.50660978301</v>
      </c>
      <c r="C11" s="395">
        <v>3.9986186690067664E-3</v>
      </c>
      <c r="D11" s="804"/>
      <c r="E11" s="543" t="s">
        <v>653</v>
      </c>
      <c r="F11" s="396">
        <v>0</v>
      </c>
      <c r="G11" s="544">
        <v>0</v>
      </c>
      <c r="H11" s="396">
        <v>0</v>
      </c>
      <c r="I11" s="545">
        <v>0</v>
      </c>
      <c r="J11" s="396">
        <v>0</v>
      </c>
      <c r="K11" s="546">
        <v>0</v>
      </c>
      <c r="L11" s="396">
        <v>7927.5299289693503</v>
      </c>
      <c r="M11" s="544">
        <v>3.1922145764048386E-2</v>
      </c>
      <c r="N11" s="396">
        <v>14644.570040340346</v>
      </c>
      <c r="O11" s="544">
        <v>5.8969957057019629E-2</v>
      </c>
      <c r="P11" s="396">
        <v>5121.8751882146225</v>
      </c>
      <c r="Q11" s="545">
        <v>2.0624488057241121E-2</v>
      </c>
      <c r="R11" s="396">
        <v>5240.3347000000031</v>
      </c>
      <c r="S11" s="544">
        <v>2.1101494367684978E-2</v>
      </c>
    </row>
    <row r="12" spans="1:19" ht="15.75" customHeight="1">
      <c r="A12" s="413"/>
      <c r="B12" s="184"/>
      <c r="C12" s="184"/>
      <c r="D12" s="804"/>
    </row>
    <row r="13" spans="1:19" ht="15.75" customHeight="1">
      <c r="A13" s="413"/>
      <c r="B13" s="184"/>
      <c r="C13" s="184"/>
      <c r="D13" s="804"/>
    </row>
    <row r="14" spans="1:19" ht="15.75" customHeight="1">
      <c r="A14" s="413"/>
      <c r="B14" s="184"/>
      <c r="C14" s="184"/>
      <c r="D14" s="804"/>
    </row>
    <row r="15" spans="1:19" ht="15.75" customHeight="1">
      <c r="A15" s="414"/>
      <c r="B15" s="415"/>
      <c r="C15" s="415"/>
      <c r="D15" s="804"/>
    </row>
    <row r="16" spans="1:19" ht="15.75" customHeight="1">
      <c r="A16" s="414"/>
      <c r="B16" s="415"/>
      <c r="C16" s="415"/>
      <c r="D16" s="804"/>
    </row>
  </sheetData>
  <mergeCells count="21">
    <mergeCell ref="R8:S8"/>
    <mergeCell ref="A3:M4"/>
    <mergeCell ref="E6:S6"/>
    <mergeCell ref="A7:A9"/>
    <mergeCell ref="B7:C8"/>
    <mergeCell ref="E7:E9"/>
    <mergeCell ref="F7:G7"/>
    <mergeCell ref="H7:I7"/>
    <mergeCell ref="J7:K7"/>
    <mergeCell ref="L7:M7"/>
    <mergeCell ref="N7:O7"/>
    <mergeCell ref="P7:Q7"/>
    <mergeCell ref="R7:S7"/>
    <mergeCell ref="F8:G8"/>
    <mergeCell ref="H8:I8"/>
    <mergeCell ref="D7:D16"/>
    <mergeCell ref="J8:K8"/>
    <mergeCell ref="L8:M8"/>
    <mergeCell ref="A1:M2"/>
    <mergeCell ref="N8:O8"/>
    <mergeCell ref="P8:Q8"/>
  </mergeCells>
  <phoneticPr fontId="13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outlinePr summaryBelow="0" summaryRight="0"/>
  </sheetPr>
  <dimension ref="A1:Q31"/>
  <sheetViews>
    <sheetView view="pageBreakPreview" zoomScale="115" zoomScaleNormal="60" zoomScaleSheetLayoutView="115" workbookViewId="0">
      <selection activeCell="O17" sqref="O17:P17"/>
    </sheetView>
  </sheetViews>
  <sheetFormatPr defaultColWidth="12.5703125" defaultRowHeight="15.75" customHeight="1"/>
  <cols>
    <col min="1" max="1" width="5.42578125" style="119" customWidth="1"/>
    <col min="2" max="2" width="11.42578125" style="174" customWidth="1"/>
    <col min="3" max="3" width="4" style="160" customWidth="1"/>
    <col min="4" max="17" width="9.5703125" style="119" customWidth="1"/>
    <col min="18" max="16384" width="12.5703125" style="119"/>
  </cols>
  <sheetData>
    <row r="1" spans="1:17" ht="15.75" customHeight="1">
      <c r="A1" s="610" t="s">
        <v>185</v>
      </c>
      <c r="B1" s="610"/>
      <c r="C1" s="610"/>
      <c r="D1" s="610"/>
      <c r="E1" s="610"/>
      <c r="F1" s="610"/>
      <c r="G1" s="610"/>
      <c r="H1" s="610"/>
      <c r="I1" s="610"/>
      <c r="J1" s="610"/>
      <c r="K1" s="610"/>
      <c r="L1" s="610"/>
      <c r="M1" s="610"/>
      <c r="N1" s="610"/>
      <c r="O1" s="610"/>
      <c r="P1" s="610"/>
      <c r="Q1" s="610"/>
    </row>
    <row r="2" spans="1:17" s="120" customFormat="1" ht="15.75" customHeight="1">
      <c r="A2" s="610"/>
      <c r="B2" s="610"/>
      <c r="C2" s="610"/>
      <c r="D2" s="610"/>
      <c r="E2" s="610"/>
      <c r="F2" s="610"/>
      <c r="G2" s="610"/>
      <c r="H2" s="610"/>
      <c r="I2" s="610"/>
      <c r="J2" s="610"/>
      <c r="K2" s="610"/>
      <c r="L2" s="610"/>
      <c r="M2" s="610"/>
      <c r="N2" s="610"/>
      <c r="O2" s="610"/>
      <c r="P2" s="610"/>
      <c r="Q2" s="610"/>
    </row>
    <row r="3" spans="1:17" ht="15.75" customHeight="1">
      <c r="A3" s="726" t="s">
        <v>191</v>
      </c>
      <c r="B3" s="727"/>
      <c r="C3" s="727"/>
      <c r="D3" s="727"/>
      <c r="E3" s="727"/>
      <c r="F3" s="727"/>
      <c r="G3" s="727"/>
      <c r="H3" s="727"/>
      <c r="I3" s="727"/>
      <c r="J3" s="727"/>
      <c r="K3" s="727"/>
      <c r="L3" s="727"/>
      <c r="M3" s="727"/>
      <c r="N3" s="151"/>
    </row>
    <row r="4" spans="1:17" s="120" customFormat="1" ht="15.75" customHeight="1">
      <c r="A4" s="727"/>
      <c r="B4" s="727"/>
      <c r="C4" s="727"/>
      <c r="D4" s="727"/>
      <c r="E4" s="727"/>
      <c r="F4" s="727"/>
      <c r="G4" s="727"/>
      <c r="H4" s="727"/>
      <c r="I4" s="727"/>
      <c r="J4" s="727"/>
      <c r="K4" s="727"/>
      <c r="L4" s="727"/>
      <c r="M4" s="727"/>
      <c r="N4" s="130"/>
    </row>
    <row r="5" spans="1:17" ht="15.75" customHeight="1">
      <c r="A5" s="627" t="s">
        <v>171</v>
      </c>
      <c r="B5" s="840">
        <v>1</v>
      </c>
      <c r="C5" s="840"/>
      <c r="D5" s="840">
        <v>2</v>
      </c>
      <c r="E5" s="840"/>
      <c r="F5" s="840">
        <v>3</v>
      </c>
      <c r="G5" s="840"/>
      <c r="H5" s="838">
        <v>4</v>
      </c>
      <c r="I5" s="838"/>
      <c r="J5" s="838">
        <v>5</v>
      </c>
      <c r="K5" s="838"/>
      <c r="L5" s="838">
        <v>6</v>
      </c>
      <c r="M5" s="838"/>
      <c r="N5" s="838">
        <v>7</v>
      </c>
      <c r="O5" s="838"/>
      <c r="P5" s="838">
        <v>8</v>
      </c>
      <c r="Q5" s="838"/>
    </row>
    <row r="6" spans="1:17" ht="15.75" customHeight="1">
      <c r="A6" s="627"/>
      <c r="B6" s="841" t="s">
        <v>302</v>
      </c>
      <c r="C6" s="841"/>
      <c r="D6" s="841" t="s">
        <v>192</v>
      </c>
      <c r="E6" s="841"/>
      <c r="F6" s="841" t="s">
        <v>163</v>
      </c>
      <c r="G6" s="841"/>
      <c r="H6" s="627" t="s">
        <v>485</v>
      </c>
      <c r="I6" s="627"/>
      <c r="J6" s="627" t="s">
        <v>169</v>
      </c>
      <c r="K6" s="627"/>
      <c r="L6" s="627" t="s">
        <v>164</v>
      </c>
      <c r="M6" s="627"/>
      <c r="N6" s="627" t="s">
        <v>170</v>
      </c>
      <c r="O6" s="627"/>
      <c r="P6" s="839" t="s">
        <v>195</v>
      </c>
      <c r="Q6" s="627"/>
    </row>
    <row r="8" spans="1:17" s="153" customFormat="1" ht="15.75" customHeight="1">
      <c r="A8" s="852" t="s">
        <v>600</v>
      </c>
      <c r="B8" s="853"/>
      <c r="C8" s="572" t="s">
        <v>527</v>
      </c>
      <c r="D8" s="857" t="s">
        <v>12</v>
      </c>
      <c r="E8" s="858"/>
      <c r="F8" s="859"/>
      <c r="G8" s="570" t="s">
        <v>601</v>
      </c>
      <c r="H8" s="571"/>
      <c r="I8" s="572"/>
      <c r="J8" s="169" t="s">
        <v>602</v>
      </c>
      <c r="K8" s="169" t="s">
        <v>603</v>
      </c>
      <c r="L8" s="169" t="s">
        <v>604</v>
      </c>
      <c r="M8" s="169" t="s">
        <v>11</v>
      </c>
      <c r="N8" s="319" t="s">
        <v>13</v>
      </c>
      <c r="O8" s="850" t="s">
        <v>50</v>
      </c>
      <c r="P8" s="851"/>
    </row>
    <row r="9" spans="1:17" ht="15.75" customHeight="1">
      <c r="A9" s="776">
        <v>1</v>
      </c>
      <c r="B9" s="854" t="s">
        <v>576</v>
      </c>
      <c r="C9" s="170">
        <v>1</v>
      </c>
      <c r="D9" s="588">
        <v>0</v>
      </c>
      <c r="E9" s="848"/>
      <c r="F9" s="849"/>
      <c r="G9" s="588">
        <v>0</v>
      </c>
      <c r="H9" s="848"/>
      <c r="I9" s="849"/>
      <c r="J9" s="4">
        <v>0</v>
      </c>
      <c r="K9" s="14">
        <v>0</v>
      </c>
      <c r="L9" s="4">
        <v>0</v>
      </c>
      <c r="M9" s="397">
        <v>0</v>
      </c>
      <c r="N9" s="171"/>
      <c r="O9" s="834"/>
      <c r="P9" s="835"/>
    </row>
    <row r="10" spans="1:17" ht="15.75" customHeight="1">
      <c r="A10" s="777"/>
      <c r="B10" s="855"/>
      <c r="C10" s="170">
        <v>2</v>
      </c>
      <c r="D10" s="588">
        <v>0</v>
      </c>
      <c r="E10" s="848"/>
      <c r="F10" s="849"/>
      <c r="G10" s="588">
        <v>0</v>
      </c>
      <c r="H10" s="848"/>
      <c r="I10" s="849"/>
      <c r="J10" s="4">
        <v>0</v>
      </c>
      <c r="K10" s="14">
        <v>0</v>
      </c>
      <c r="L10" s="4">
        <v>0</v>
      </c>
      <c r="M10" s="397">
        <v>0</v>
      </c>
      <c r="N10" s="171"/>
      <c r="O10" s="834"/>
      <c r="P10" s="835"/>
    </row>
    <row r="11" spans="1:17" ht="15.75" customHeight="1">
      <c r="A11" s="777"/>
      <c r="B11" s="855"/>
      <c r="C11" s="170">
        <v>3</v>
      </c>
      <c r="D11" s="588">
        <v>0</v>
      </c>
      <c r="E11" s="848"/>
      <c r="F11" s="849"/>
      <c r="G11" s="588">
        <v>0</v>
      </c>
      <c r="H11" s="848"/>
      <c r="I11" s="849"/>
      <c r="J11" s="4">
        <v>0</v>
      </c>
      <c r="K11" s="14">
        <v>0</v>
      </c>
      <c r="L11" s="4">
        <v>0</v>
      </c>
      <c r="M11" s="397">
        <v>0</v>
      </c>
      <c r="N11" s="171"/>
      <c r="O11" s="834"/>
      <c r="P11" s="835"/>
    </row>
    <row r="12" spans="1:17" ht="15.75" customHeight="1">
      <c r="A12" s="777"/>
      <c r="B12" s="855"/>
      <c r="C12" s="170">
        <v>4</v>
      </c>
      <c r="D12" s="588">
        <v>0</v>
      </c>
      <c r="E12" s="848"/>
      <c r="F12" s="849"/>
      <c r="G12" s="588">
        <v>0</v>
      </c>
      <c r="H12" s="848"/>
      <c r="I12" s="849"/>
      <c r="J12" s="4">
        <v>0</v>
      </c>
      <c r="K12" s="14">
        <v>0</v>
      </c>
      <c r="L12" s="4">
        <v>0</v>
      </c>
      <c r="M12" s="397">
        <v>0</v>
      </c>
      <c r="N12" s="171"/>
      <c r="O12" s="834"/>
      <c r="P12" s="835"/>
    </row>
    <row r="13" spans="1:17" ht="15.75" customHeight="1" thickBot="1">
      <c r="A13" s="777"/>
      <c r="B13" s="855"/>
      <c r="C13" s="172">
        <v>5</v>
      </c>
      <c r="D13" s="845">
        <v>0</v>
      </c>
      <c r="E13" s="846"/>
      <c r="F13" s="847"/>
      <c r="G13" s="845">
        <v>0</v>
      </c>
      <c r="H13" s="846"/>
      <c r="I13" s="847"/>
      <c r="J13" s="4">
        <v>0</v>
      </c>
      <c r="K13" s="14">
        <v>0</v>
      </c>
      <c r="L13" s="4">
        <v>0</v>
      </c>
      <c r="M13" s="397">
        <v>0</v>
      </c>
      <c r="N13" s="171"/>
      <c r="O13" s="836"/>
      <c r="P13" s="837"/>
    </row>
    <row r="14" spans="1:17" ht="15.75" customHeight="1" thickTop="1" thickBot="1">
      <c r="A14" s="778"/>
      <c r="B14" s="856"/>
      <c r="C14" s="860"/>
      <c r="D14" s="861"/>
      <c r="E14" s="861"/>
      <c r="F14" s="861"/>
      <c r="G14" s="861"/>
      <c r="H14" s="861"/>
      <c r="I14" s="862"/>
      <c r="J14" s="318" t="s">
        <v>605</v>
      </c>
      <c r="K14" s="244">
        <v>0</v>
      </c>
      <c r="L14" s="318" t="s">
        <v>606</v>
      </c>
      <c r="M14" s="398">
        <v>0</v>
      </c>
      <c r="N14" s="842"/>
      <c r="O14" s="843"/>
      <c r="P14" s="844"/>
    </row>
    <row r="15" spans="1:17" ht="15.75" customHeight="1" thickTop="1"/>
    <row r="16" spans="1:17" ht="15.75" customHeight="1">
      <c r="A16" s="852" t="s">
        <v>600</v>
      </c>
      <c r="B16" s="853"/>
      <c r="C16" s="572" t="s">
        <v>527</v>
      </c>
      <c r="D16" s="857" t="s">
        <v>12</v>
      </c>
      <c r="E16" s="858"/>
      <c r="F16" s="859"/>
      <c r="G16" s="570" t="s">
        <v>601</v>
      </c>
      <c r="H16" s="571"/>
      <c r="I16" s="572"/>
      <c r="J16" s="169" t="s">
        <v>602</v>
      </c>
      <c r="K16" s="169" t="s">
        <v>603</v>
      </c>
      <c r="L16" s="169" t="s">
        <v>604</v>
      </c>
      <c r="M16" s="169" t="s">
        <v>11</v>
      </c>
      <c r="N16" s="319" t="s">
        <v>13</v>
      </c>
      <c r="O16" s="850" t="s">
        <v>50</v>
      </c>
      <c r="P16" s="851"/>
    </row>
    <row r="17" spans="1:16" ht="15.75" customHeight="1">
      <c r="A17" s="776">
        <v>2</v>
      </c>
      <c r="B17" s="854" t="s">
        <v>609</v>
      </c>
      <c r="C17" s="170">
        <v>1</v>
      </c>
      <c r="D17" s="588">
        <v>0</v>
      </c>
      <c r="E17" s="848"/>
      <c r="F17" s="849"/>
      <c r="G17" s="588">
        <v>0</v>
      </c>
      <c r="H17" s="848"/>
      <c r="I17" s="849"/>
      <c r="J17" s="4">
        <v>0</v>
      </c>
      <c r="K17" s="14">
        <v>0</v>
      </c>
      <c r="L17" s="4">
        <v>0</v>
      </c>
      <c r="M17" s="397">
        <v>0</v>
      </c>
      <c r="N17" s="171"/>
      <c r="O17" s="832"/>
      <c r="P17" s="833"/>
    </row>
    <row r="18" spans="1:16" ht="15.75" customHeight="1">
      <c r="A18" s="777"/>
      <c r="B18" s="855"/>
      <c r="C18" s="170">
        <v>2</v>
      </c>
      <c r="D18" s="588">
        <v>0</v>
      </c>
      <c r="E18" s="848"/>
      <c r="F18" s="849"/>
      <c r="G18" s="588">
        <v>0</v>
      </c>
      <c r="H18" s="848"/>
      <c r="I18" s="849"/>
      <c r="J18" s="4">
        <v>0</v>
      </c>
      <c r="K18" s="14">
        <v>0</v>
      </c>
      <c r="L18" s="4">
        <v>0</v>
      </c>
      <c r="M18" s="397">
        <v>0</v>
      </c>
      <c r="N18" s="171"/>
      <c r="O18" s="832"/>
      <c r="P18" s="833"/>
    </row>
    <row r="19" spans="1:16" ht="15.75" customHeight="1">
      <c r="A19" s="777"/>
      <c r="B19" s="855"/>
      <c r="C19" s="170">
        <v>3</v>
      </c>
      <c r="D19" s="588">
        <v>0</v>
      </c>
      <c r="E19" s="848"/>
      <c r="F19" s="849"/>
      <c r="G19" s="588">
        <v>0</v>
      </c>
      <c r="H19" s="848"/>
      <c r="I19" s="849"/>
      <c r="J19" s="4">
        <v>0</v>
      </c>
      <c r="K19" s="14">
        <v>0</v>
      </c>
      <c r="L19" s="4">
        <v>0</v>
      </c>
      <c r="M19" s="397">
        <v>0</v>
      </c>
      <c r="N19" s="171"/>
      <c r="O19" s="832"/>
      <c r="P19" s="833"/>
    </row>
    <row r="20" spans="1:16" ht="15.75" customHeight="1">
      <c r="A20" s="777"/>
      <c r="B20" s="855"/>
      <c r="C20" s="170">
        <v>4</v>
      </c>
      <c r="D20" s="588">
        <v>0</v>
      </c>
      <c r="E20" s="848"/>
      <c r="F20" s="849"/>
      <c r="G20" s="588">
        <v>0</v>
      </c>
      <c r="H20" s="848"/>
      <c r="I20" s="849"/>
      <c r="J20" s="4">
        <v>0</v>
      </c>
      <c r="K20" s="14">
        <v>0</v>
      </c>
      <c r="L20" s="4">
        <v>0</v>
      </c>
      <c r="M20" s="397">
        <v>0</v>
      </c>
      <c r="N20" s="171"/>
      <c r="O20" s="834"/>
      <c r="P20" s="835"/>
    </row>
    <row r="21" spans="1:16" ht="15.75" customHeight="1" thickBot="1">
      <c r="A21" s="777"/>
      <c r="B21" s="855"/>
      <c r="C21" s="172">
        <v>5</v>
      </c>
      <c r="D21" s="588">
        <v>0</v>
      </c>
      <c r="E21" s="848"/>
      <c r="F21" s="849"/>
      <c r="G21" s="588">
        <v>0</v>
      </c>
      <c r="H21" s="848"/>
      <c r="I21" s="849"/>
      <c r="J21" s="4">
        <v>0</v>
      </c>
      <c r="K21" s="14">
        <v>0</v>
      </c>
      <c r="L21" s="4">
        <v>0</v>
      </c>
      <c r="M21" s="397">
        <v>0</v>
      </c>
      <c r="N21" s="173"/>
      <c r="O21" s="836"/>
      <c r="P21" s="837"/>
    </row>
    <row r="22" spans="1:16" ht="15.75" customHeight="1" thickTop="1" thickBot="1">
      <c r="A22" s="778"/>
      <c r="B22" s="856"/>
      <c r="C22" s="863"/>
      <c r="D22" s="864"/>
      <c r="E22" s="864"/>
      <c r="F22" s="864"/>
      <c r="G22" s="864"/>
      <c r="H22" s="864"/>
      <c r="I22" s="865"/>
      <c r="J22" s="318" t="s">
        <v>605</v>
      </c>
      <c r="K22" s="244">
        <v>0</v>
      </c>
      <c r="L22" s="318" t="s">
        <v>606</v>
      </c>
      <c r="M22" s="398">
        <v>0</v>
      </c>
      <c r="N22" s="866"/>
      <c r="O22" s="867"/>
      <c r="P22" s="868"/>
    </row>
    <row r="23" spans="1:16" ht="15.75" customHeight="1" thickTop="1"/>
    <row r="24" spans="1:16" ht="15.75" customHeight="1">
      <c r="A24" s="852" t="s">
        <v>600</v>
      </c>
      <c r="B24" s="853"/>
      <c r="C24" s="572" t="s">
        <v>527</v>
      </c>
      <c r="D24" s="857" t="s">
        <v>12</v>
      </c>
      <c r="E24" s="858"/>
      <c r="F24" s="859"/>
      <c r="G24" s="570" t="s">
        <v>601</v>
      </c>
      <c r="H24" s="571"/>
      <c r="I24" s="572"/>
      <c r="J24" s="169" t="s">
        <v>602</v>
      </c>
      <c r="K24" s="169" t="s">
        <v>603</v>
      </c>
      <c r="L24" s="169" t="s">
        <v>604</v>
      </c>
      <c r="M24" s="169" t="s">
        <v>11</v>
      </c>
      <c r="N24" s="319" t="s">
        <v>13</v>
      </c>
      <c r="O24" s="850" t="s">
        <v>50</v>
      </c>
      <c r="P24" s="851"/>
    </row>
    <row r="25" spans="1:16" ht="15.75" customHeight="1">
      <c r="A25" s="776">
        <v>3</v>
      </c>
      <c r="B25" s="854" t="s">
        <v>358</v>
      </c>
      <c r="C25" s="170">
        <v>1</v>
      </c>
      <c r="D25" s="588" t="s">
        <v>328</v>
      </c>
      <c r="E25" s="848"/>
      <c r="F25" s="849"/>
      <c r="G25" s="588" t="s">
        <v>695</v>
      </c>
      <c r="H25" s="848"/>
      <c r="I25" s="849"/>
      <c r="J25" s="4">
        <v>75.14</v>
      </c>
      <c r="K25" s="14">
        <v>2.5312758603904008E-2</v>
      </c>
      <c r="L25" s="4">
        <v>2.6</v>
      </c>
      <c r="M25" s="397">
        <v>195.364</v>
      </c>
      <c r="N25" s="171"/>
      <c r="O25" s="834" t="s">
        <v>504</v>
      </c>
      <c r="P25" s="835"/>
    </row>
    <row r="26" spans="1:16" ht="15.75" customHeight="1">
      <c r="A26" s="777"/>
      <c r="B26" s="855"/>
      <c r="C26" s="170">
        <v>2</v>
      </c>
      <c r="D26" s="588" t="s">
        <v>552</v>
      </c>
      <c r="E26" s="848"/>
      <c r="F26" s="849"/>
      <c r="G26" s="588" t="s">
        <v>716</v>
      </c>
      <c r="H26" s="848"/>
      <c r="I26" s="849"/>
      <c r="J26" s="4">
        <v>149.55000000000001</v>
      </c>
      <c r="K26" s="14">
        <v>5.4076539101497505E-2</v>
      </c>
      <c r="L26" s="4">
        <v>1.3</v>
      </c>
      <c r="M26" s="397">
        <v>194.41500000000002</v>
      </c>
      <c r="N26" s="171"/>
      <c r="O26" s="834" t="s">
        <v>504</v>
      </c>
      <c r="P26" s="835"/>
    </row>
    <row r="27" spans="1:16" ht="15.75" customHeight="1">
      <c r="A27" s="777"/>
      <c r="B27" s="855"/>
      <c r="C27" s="170">
        <v>3</v>
      </c>
      <c r="D27" s="588" t="s">
        <v>340</v>
      </c>
      <c r="E27" s="848"/>
      <c r="F27" s="849"/>
      <c r="G27" s="588" t="s">
        <v>717</v>
      </c>
      <c r="H27" s="848"/>
      <c r="I27" s="849"/>
      <c r="J27" s="4">
        <v>95.43</v>
      </c>
      <c r="K27" s="14">
        <v>3.254678600488202E-2</v>
      </c>
      <c r="L27" s="4">
        <v>2</v>
      </c>
      <c r="M27" s="397">
        <v>190.86</v>
      </c>
      <c r="N27" s="171"/>
      <c r="O27" s="834" t="s">
        <v>504</v>
      </c>
      <c r="P27" s="835"/>
    </row>
    <row r="28" spans="1:16" ht="15.75" customHeight="1">
      <c r="A28" s="777"/>
      <c r="B28" s="855"/>
      <c r="C28" s="170">
        <v>4</v>
      </c>
      <c r="D28" s="588" t="s">
        <v>718</v>
      </c>
      <c r="E28" s="848"/>
      <c r="F28" s="849"/>
      <c r="G28" s="588" t="s">
        <v>719</v>
      </c>
      <c r="H28" s="848"/>
      <c r="I28" s="849"/>
      <c r="J28" s="4">
        <v>125.94</v>
      </c>
      <c r="K28" s="14">
        <v>2.3649234553108297E-2</v>
      </c>
      <c r="L28" s="4">
        <v>1.5</v>
      </c>
      <c r="M28" s="397">
        <v>188.91</v>
      </c>
      <c r="N28" s="171"/>
      <c r="O28" s="834" t="s">
        <v>504</v>
      </c>
      <c r="P28" s="835"/>
    </row>
    <row r="29" spans="1:16" ht="15.75" customHeight="1" thickBot="1">
      <c r="A29" s="777"/>
      <c r="B29" s="855"/>
      <c r="C29" s="172">
        <v>5</v>
      </c>
      <c r="D29" s="588" t="s">
        <v>566</v>
      </c>
      <c r="E29" s="848"/>
      <c r="F29" s="849"/>
      <c r="G29" s="588" t="s">
        <v>682</v>
      </c>
      <c r="H29" s="848"/>
      <c r="I29" s="849"/>
      <c r="J29" s="4">
        <v>143.99</v>
      </c>
      <c r="K29" s="14">
        <v>2.3197715917201999E-2</v>
      </c>
      <c r="L29" s="4">
        <v>1.3</v>
      </c>
      <c r="M29" s="397">
        <v>187.18700000000001</v>
      </c>
      <c r="N29" s="173"/>
      <c r="O29" s="836" t="s">
        <v>504</v>
      </c>
      <c r="P29" s="837"/>
    </row>
    <row r="30" spans="1:16" ht="15.75" customHeight="1" thickTop="1" thickBot="1">
      <c r="A30" s="778"/>
      <c r="B30" s="856"/>
      <c r="C30" s="860"/>
      <c r="D30" s="861"/>
      <c r="E30" s="861"/>
      <c r="F30" s="861"/>
      <c r="G30" s="861"/>
      <c r="H30" s="861"/>
      <c r="I30" s="862"/>
      <c r="J30" s="318" t="s">
        <v>605</v>
      </c>
      <c r="K30" s="244">
        <v>6.3959142639021535E-3</v>
      </c>
      <c r="L30" s="318" t="s">
        <v>606</v>
      </c>
      <c r="M30" s="398">
        <v>956.73599999999999</v>
      </c>
      <c r="N30" s="869"/>
      <c r="O30" s="867"/>
      <c r="P30" s="868"/>
    </row>
    <row r="31" spans="1:16" ht="15.75" customHeight="1" thickTop="1"/>
  </sheetData>
  <mergeCells count="85">
    <mergeCell ref="C30:I30"/>
    <mergeCell ref="N30:P30"/>
    <mergeCell ref="A25:A30"/>
    <mergeCell ref="B25:B30"/>
    <mergeCell ref="D25:F25"/>
    <mergeCell ref="G25:I25"/>
    <mergeCell ref="D26:F26"/>
    <mergeCell ref="G26:I26"/>
    <mergeCell ref="D27:F27"/>
    <mergeCell ref="G27:I27"/>
    <mergeCell ref="D28:F28"/>
    <mergeCell ref="G28:I28"/>
    <mergeCell ref="D21:F21"/>
    <mergeCell ref="G21:I21"/>
    <mergeCell ref="C22:I22"/>
    <mergeCell ref="N22:P22"/>
    <mergeCell ref="D29:F29"/>
    <mergeCell ref="G29:I29"/>
    <mergeCell ref="O25:P25"/>
    <mergeCell ref="O26:P26"/>
    <mergeCell ref="O27:P27"/>
    <mergeCell ref="O28:P28"/>
    <mergeCell ref="O29:P29"/>
    <mergeCell ref="A16:B16"/>
    <mergeCell ref="D16:F16"/>
    <mergeCell ref="A24:B24"/>
    <mergeCell ref="D24:F24"/>
    <mergeCell ref="O24:P24"/>
    <mergeCell ref="O16:P16"/>
    <mergeCell ref="A17:A22"/>
    <mergeCell ref="B17:B22"/>
    <mergeCell ref="D17:F17"/>
    <mergeCell ref="G17:I17"/>
    <mergeCell ref="D18:F18"/>
    <mergeCell ref="G18:I18"/>
    <mergeCell ref="D19:F19"/>
    <mergeCell ref="G19:I19"/>
    <mergeCell ref="D20:F20"/>
    <mergeCell ref="G20:I20"/>
    <mergeCell ref="A8:B8"/>
    <mergeCell ref="A9:A14"/>
    <mergeCell ref="B9:B14"/>
    <mergeCell ref="D8:F8"/>
    <mergeCell ref="C14:I14"/>
    <mergeCell ref="D9:F9"/>
    <mergeCell ref="D10:F10"/>
    <mergeCell ref="D11:F11"/>
    <mergeCell ref="G10:I10"/>
    <mergeCell ref="G11:I11"/>
    <mergeCell ref="G12:I12"/>
    <mergeCell ref="G13:I13"/>
    <mergeCell ref="N6:O6"/>
    <mergeCell ref="H5:I5"/>
    <mergeCell ref="H6:I6"/>
    <mergeCell ref="N14:P14"/>
    <mergeCell ref="D13:F13"/>
    <mergeCell ref="D12:F12"/>
    <mergeCell ref="O8:P8"/>
    <mergeCell ref="G9:I9"/>
    <mergeCell ref="O9:P9"/>
    <mergeCell ref="O10:P10"/>
    <mergeCell ref="O11:P11"/>
    <mergeCell ref="O12:P12"/>
    <mergeCell ref="O13:P13"/>
    <mergeCell ref="A1:Q2"/>
    <mergeCell ref="A3:M4"/>
    <mergeCell ref="P5:Q5"/>
    <mergeCell ref="P6:Q6"/>
    <mergeCell ref="A5:A6"/>
    <mergeCell ref="B5:C5"/>
    <mergeCell ref="D5:E5"/>
    <mergeCell ref="F5:G5"/>
    <mergeCell ref="F6:G6"/>
    <mergeCell ref="D6:E6"/>
    <mergeCell ref="B6:C6"/>
    <mergeCell ref="J5:K5"/>
    <mergeCell ref="L5:M5"/>
    <mergeCell ref="N5:O5"/>
    <mergeCell ref="J6:K6"/>
    <mergeCell ref="L6:M6"/>
    <mergeCell ref="O17:P17"/>
    <mergeCell ref="O18:P18"/>
    <mergeCell ref="O19:P19"/>
    <mergeCell ref="O20:P20"/>
    <mergeCell ref="O21:P21"/>
  </mergeCells>
  <phoneticPr fontId="13" type="noConversion"/>
  <printOptions horizontalCentered="1" gridLines="1"/>
  <pageMargins left="0.39370078740157483" right="0.39370078740157483" top="0.39370078740157483" bottom="0.39370078740157483" header="0" footer="0"/>
  <pageSetup paperSize="9" scale="90" fitToWidth="0" fitToHeight="0" pageOrder="overThenDown" orientation="landscape" cellComments="atEnd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outlinePr summaryBelow="0" summaryRight="0"/>
  </sheetPr>
  <dimension ref="A1:Q39"/>
  <sheetViews>
    <sheetView view="pageBreakPreview" topLeftCell="A7" zoomScaleNormal="60" zoomScaleSheetLayoutView="100" workbookViewId="0">
      <selection activeCell="T26" sqref="T26"/>
    </sheetView>
  </sheetViews>
  <sheetFormatPr defaultColWidth="12.5703125" defaultRowHeight="15.75" customHeight="1"/>
  <cols>
    <col min="1" max="1" width="5.42578125" style="76" customWidth="1"/>
    <col min="2" max="2" width="11.42578125" style="110" customWidth="1"/>
    <col min="3" max="3" width="4" style="108" customWidth="1"/>
    <col min="4" max="17" width="9.5703125" style="76" customWidth="1"/>
    <col min="18" max="16384" width="12.5703125" style="76"/>
  </cols>
  <sheetData>
    <row r="1" spans="1:17" s="119" customFormat="1" ht="15.75" customHeight="1">
      <c r="A1" s="610" t="s">
        <v>185</v>
      </c>
      <c r="B1" s="610"/>
      <c r="C1" s="610"/>
      <c r="D1" s="610"/>
      <c r="E1" s="610"/>
      <c r="F1" s="610"/>
      <c r="G1" s="610"/>
      <c r="H1" s="610"/>
      <c r="I1" s="610"/>
      <c r="J1" s="610"/>
      <c r="K1" s="610"/>
      <c r="L1" s="610"/>
      <c r="M1" s="610"/>
      <c r="N1" s="610"/>
      <c r="O1" s="610"/>
      <c r="P1" s="610"/>
      <c r="Q1" s="610"/>
    </row>
    <row r="2" spans="1:17" s="120" customFormat="1" ht="15.75" customHeight="1">
      <c r="A2" s="610"/>
      <c r="B2" s="610"/>
      <c r="C2" s="610"/>
      <c r="D2" s="610"/>
      <c r="E2" s="610"/>
      <c r="F2" s="610"/>
      <c r="G2" s="610"/>
      <c r="H2" s="610"/>
      <c r="I2" s="610"/>
      <c r="J2" s="610"/>
      <c r="K2" s="610"/>
      <c r="L2" s="610"/>
      <c r="M2" s="610"/>
      <c r="N2" s="610"/>
      <c r="O2" s="610"/>
      <c r="P2" s="610"/>
      <c r="Q2" s="610"/>
    </row>
    <row r="3" spans="1:17" s="119" customFormat="1" ht="15.75" customHeight="1">
      <c r="A3" s="726" t="s">
        <v>191</v>
      </c>
      <c r="B3" s="727"/>
      <c r="C3" s="727"/>
      <c r="D3" s="727"/>
      <c r="E3" s="727"/>
      <c r="F3" s="727"/>
      <c r="G3" s="727"/>
      <c r="H3" s="727"/>
      <c r="I3" s="727"/>
      <c r="J3" s="727"/>
      <c r="K3" s="727"/>
      <c r="L3" s="727"/>
      <c r="M3" s="727"/>
      <c r="N3" s="151"/>
    </row>
    <row r="4" spans="1:17" s="120" customFormat="1" ht="15.75" customHeight="1">
      <c r="A4" s="727"/>
      <c r="B4" s="727"/>
      <c r="C4" s="727"/>
      <c r="D4" s="727"/>
      <c r="E4" s="727"/>
      <c r="F4" s="727"/>
      <c r="G4" s="727"/>
      <c r="H4" s="727"/>
      <c r="I4" s="727"/>
      <c r="J4" s="727"/>
      <c r="K4" s="727"/>
      <c r="L4" s="727"/>
      <c r="M4" s="727"/>
      <c r="N4" s="130"/>
    </row>
    <row r="5" spans="1:17" s="119" customFormat="1" ht="15.75" customHeight="1">
      <c r="A5" s="627" t="s">
        <v>171</v>
      </c>
      <c r="B5" s="838">
        <v>1</v>
      </c>
      <c r="C5" s="838"/>
      <c r="D5" s="838">
        <v>2</v>
      </c>
      <c r="E5" s="838"/>
      <c r="F5" s="838">
        <v>3</v>
      </c>
      <c r="G5" s="838"/>
      <c r="H5" s="840">
        <v>4</v>
      </c>
      <c r="I5" s="840"/>
      <c r="J5" s="840">
        <v>5</v>
      </c>
      <c r="K5" s="840"/>
      <c r="L5" s="840">
        <v>6</v>
      </c>
      <c r="M5" s="840"/>
      <c r="N5" s="840">
        <v>7</v>
      </c>
      <c r="O5" s="840"/>
      <c r="P5" s="838">
        <v>8</v>
      </c>
      <c r="Q5" s="838"/>
    </row>
    <row r="6" spans="1:17" s="119" customFormat="1" ht="15.75" customHeight="1">
      <c r="A6" s="627"/>
      <c r="B6" s="627" t="s">
        <v>303</v>
      </c>
      <c r="C6" s="627"/>
      <c r="D6" s="627" t="s">
        <v>192</v>
      </c>
      <c r="E6" s="627"/>
      <c r="F6" s="627" t="s">
        <v>163</v>
      </c>
      <c r="G6" s="627"/>
      <c r="H6" s="841" t="s">
        <v>485</v>
      </c>
      <c r="I6" s="841"/>
      <c r="J6" s="841" t="s">
        <v>169</v>
      </c>
      <c r="K6" s="841"/>
      <c r="L6" s="841" t="s">
        <v>164</v>
      </c>
      <c r="M6" s="841"/>
      <c r="N6" s="841" t="s">
        <v>170</v>
      </c>
      <c r="O6" s="841"/>
      <c r="P6" s="839" t="s">
        <v>195</v>
      </c>
      <c r="Q6" s="627"/>
    </row>
    <row r="7" spans="1:17" s="119" customFormat="1" ht="15.75" customHeight="1">
      <c r="B7" s="174"/>
      <c r="C7" s="160"/>
    </row>
    <row r="8" spans="1:17" s="109" customFormat="1" ht="15.75" customHeight="1">
      <c r="A8" s="871" t="s">
        <v>600</v>
      </c>
      <c r="B8" s="872"/>
      <c r="C8" s="116" t="s">
        <v>527</v>
      </c>
      <c r="D8" s="873" t="s">
        <v>12</v>
      </c>
      <c r="E8" s="874"/>
      <c r="F8" s="875"/>
      <c r="G8" s="114" t="s">
        <v>601</v>
      </c>
      <c r="H8" s="115"/>
      <c r="I8" s="116"/>
      <c r="J8" s="113" t="s">
        <v>602</v>
      </c>
      <c r="K8" s="113" t="s">
        <v>603</v>
      </c>
      <c r="L8" s="113" t="s">
        <v>604</v>
      </c>
      <c r="M8" s="117" t="s">
        <v>11</v>
      </c>
      <c r="N8" s="319" t="s">
        <v>13</v>
      </c>
      <c r="O8" s="876" t="s">
        <v>50</v>
      </c>
      <c r="P8" s="877"/>
    </row>
    <row r="9" spans="1:17" ht="15.75" customHeight="1">
      <c r="A9" s="872">
        <v>4</v>
      </c>
      <c r="B9" s="878" t="s">
        <v>485</v>
      </c>
      <c r="C9" s="111">
        <v>1</v>
      </c>
      <c r="D9" s="588" t="s">
        <v>701</v>
      </c>
      <c r="E9" s="848"/>
      <c r="F9" s="849"/>
      <c r="G9" s="588" t="s">
        <v>720</v>
      </c>
      <c r="H9" s="848"/>
      <c r="I9" s="849"/>
      <c r="J9" s="4">
        <v>70.930000000000007</v>
      </c>
      <c r="K9" s="14">
        <v>2.4822695035460991E-2</v>
      </c>
      <c r="L9" s="4">
        <v>2.8</v>
      </c>
      <c r="M9" s="397">
        <v>198.60400000000001</v>
      </c>
      <c r="N9" s="4"/>
      <c r="O9" s="834" t="s">
        <v>607</v>
      </c>
      <c r="P9" s="870"/>
      <c r="Q9" s="260"/>
    </row>
    <row r="10" spans="1:17" ht="15.75" customHeight="1">
      <c r="A10" s="872"/>
      <c r="B10" s="878"/>
      <c r="C10" s="111">
        <v>2</v>
      </c>
      <c r="D10" s="588" t="s">
        <v>655</v>
      </c>
      <c r="E10" s="848"/>
      <c r="F10" s="849"/>
      <c r="G10" s="588" t="s">
        <v>683</v>
      </c>
      <c r="H10" s="848"/>
      <c r="I10" s="849"/>
      <c r="J10" s="4">
        <v>70.62</v>
      </c>
      <c r="K10" s="14">
        <v>1.2690355329949238E-2</v>
      </c>
      <c r="L10" s="4">
        <v>2.8</v>
      </c>
      <c r="M10" s="397">
        <v>197.73599999999999</v>
      </c>
      <c r="N10" s="4"/>
      <c r="O10" s="834" t="s">
        <v>607</v>
      </c>
      <c r="P10" s="870"/>
      <c r="Q10" s="260"/>
    </row>
    <row r="11" spans="1:17" ht="15.75" customHeight="1">
      <c r="A11" s="872"/>
      <c r="B11" s="878"/>
      <c r="C11" s="111">
        <v>3</v>
      </c>
      <c r="D11" s="588" t="s">
        <v>501</v>
      </c>
      <c r="E11" s="848"/>
      <c r="F11" s="849"/>
      <c r="G11" s="588" t="s">
        <v>702</v>
      </c>
      <c r="H11" s="848"/>
      <c r="I11" s="849"/>
      <c r="J11" s="4">
        <v>103.97</v>
      </c>
      <c r="K11" s="14">
        <v>1.7792761155593015E-2</v>
      </c>
      <c r="L11" s="4">
        <v>1.9</v>
      </c>
      <c r="M11" s="397">
        <v>197.54299999999998</v>
      </c>
      <c r="N11" s="4"/>
      <c r="O11" s="834" t="s">
        <v>607</v>
      </c>
      <c r="P11" s="870"/>
      <c r="Q11" s="260"/>
    </row>
    <row r="12" spans="1:17" ht="15.75" customHeight="1">
      <c r="A12" s="872"/>
      <c r="B12" s="878"/>
      <c r="C12" s="111">
        <v>4</v>
      </c>
      <c r="D12" s="588" t="s">
        <v>567</v>
      </c>
      <c r="E12" s="848"/>
      <c r="F12" s="849"/>
      <c r="G12" s="588" t="s">
        <v>721</v>
      </c>
      <c r="H12" s="848"/>
      <c r="I12" s="849"/>
      <c r="J12" s="4">
        <v>109.01</v>
      </c>
      <c r="K12" s="14">
        <v>2.1316911416390336E-2</v>
      </c>
      <c r="L12" s="4">
        <v>1.8</v>
      </c>
      <c r="M12" s="397">
        <v>196.21800000000002</v>
      </c>
      <c r="N12" s="4"/>
      <c r="O12" s="834" t="s">
        <v>607</v>
      </c>
      <c r="P12" s="870"/>
      <c r="Q12" s="260"/>
    </row>
    <row r="13" spans="1:17" ht="15.75" customHeight="1" thickBot="1">
      <c r="A13" s="872"/>
      <c r="B13" s="878"/>
      <c r="C13" s="112">
        <v>5</v>
      </c>
      <c r="D13" s="588" t="s">
        <v>328</v>
      </c>
      <c r="E13" s="848"/>
      <c r="F13" s="849"/>
      <c r="G13" s="588" t="s">
        <v>695</v>
      </c>
      <c r="H13" s="848"/>
      <c r="I13" s="849"/>
      <c r="J13" s="4">
        <v>75.14</v>
      </c>
      <c r="K13" s="14">
        <v>2.0746887966804982E-2</v>
      </c>
      <c r="L13" s="4">
        <v>2.6</v>
      </c>
      <c r="M13" s="397">
        <v>195.364</v>
      </c>
      <c r="N13" s="27"/>
      <c r="O13" s="834" t="s">
        <v>607</v>
      </c>
      <c r="P13" s="870"/>
      <c r="Q13" s="260"/>
    </row>
    <row r="14" spans="1:17" ht="15.75" customHeight="1" thickTop="1" thickBot="1">
      <c r="A14" s="872"/>
      <c r="B14" s="878"/>
      <c r="C14" s="880"/>
      <c r="D14" s="880"/>
      <c r="E14" s="880"/>
      <c r="F14" s="880"/>
      <c r="G14" s="880"/>
      <c r="H14" s="880"/>
      <c r="I14" s="880"/>
      <c r="J14" s="245" t="s">
        <v>605</v>
      </c>
      <c r="K14" s="244">
        <v>6.587971655792545E-3</v>
      </c>
      <c r="L14" s="245" t="s">
        <v>606</v>
      </c>
      <c r="M14" s="398">
        <v>985.46500000000015</v>
      </c>
      <c r="N14" s="879"/>
      <c r="O14" s="879"/>
      <c r="P14" s="879"/>
      <c r="Q14" s="260"/>
    </row>
    <row r="15" spans="1:17" ht="15.75" customHeight="1" thickTop="1">
      <c r="A15" s="567"/>
      <c r="D15" s="567"/>
      <c r="E15" s="567"/>
      <c r="F15" s="567"/>
      <c r="G15" s="567"/>
      <c r="H15" s="567"/>
      <c r="I15" s="567"/>
      <c r="J15" s="567"/>
      <c r="K15" s="567"/>
      <c r="L15" s="567"/>
      <c r="M15" s="567"/>
      <c r="N15" s="567"/>
      <c r="O15" s="567"/>
      <c r="P15" s="567"/>
      <c r="Q15" s="260"/>
    </row>
    <row r="16" spans="1:17" ht="15.75" customHeight="1">
      <c r="A16" s="871" t="s">
        <v>600</v>
      </c>
      <c r="B16" s="872"/>
      <c r="C16" s="116" t="s">
        <v>527</v>
      </c>
      <c r="D16" s="873" t="s">
        <v>12</v>
      </c>
      <c r="E16" s="874"/>
      <c r="F16" s="875"/>
      <c r="G16" s="114" t="s">
        <v>601</v>
      </c>
      <c r="H16" s="115"/>
      <c r="I16" s="116"/>
      <c r="J16" s="113" t="s">
        <v>602</v>
      </c>
      <c r="K16" s="113" t="s">
        <v>603</v>
      </c>
      <c r="L16" s="113" t="s">
        <v>604</v>
      </c>
      <c r="M16" s="117" t="s">
        <v>11</v>
      </c>
      <c r="N16" s="319" t="s">
        <v>13</v>
      </c>
      <c r="O16" s="876" t="s">
        <v>50</v>
      </c>
      <c r="P16" s="877"/>
      <c r="Q16" s="260"/>
    </row>
    <row r="17" spans="1:17" ht="15.75" customHeight="1">
      <c r="A17" s="872">
        <v>5</v>
      </c>
      <c r="B17" s="881" t="s">
        <v>193</v>
      </c>
      <c r="C17" s="111">
        <v>1</v>
      </c>
      <c r="D17" s="588" t="s">
        <v>342</v>
      </c>
      <c r="E17" s="848"/>
      <c r="F17" s="849"/>
      <c r="G17" s="588" t="s">
        <v>705</v>
      </c>
      <c r="H17" s="848"/>
      <c r="I17" s="849"/>
      <c r="J17" s="4">
        <v>420.33</v>
      </c>
      <c r="K17" s="14">
        <v>9.9552015928322541E-3</v>
      </c>
      <c r="L17" s="4">
        <v>0.5</v>
      </c>
      <c r="M17" s="397">
        <v>210.16499999999999</v>
      </c>
      <c r="N17" s="4"/>
      <c r="O17" s="834" t="s">
        <v>497</v>
      </c>
      <c r="P17" s="870"/>
      <c r="Q17" s="260"/>
    </row>
    <row r="18" spans="1:17" ht="15.75" customHeight="1">
      <c r="A18" s="872"/>
      <c r="B18" s="878"/>
      <c r="C18" s="111">
        <v>2</v>
      </c>
      <c r="D18" s="588" t="s">
        <v>694</v>
      </c>
      <c r="E18" s="848"/>
      <c r="F18" s="849"/>
      <c r="G18" s="588" t="s">
        <v>693</v>
      </c>
      <c r="H18" s="848"/>
      <c r="I18" s="849"/>
      <c r="J18" s="4">
        <v>344.19</v>
      </c>
      <c r="K18" s="14">
        <v>1.0857763300760043E-2</v>
      </c>
      <c r="L18" s="4">
        <v>0.6</v>
      </c>
      <c r="M18" s="397">
        <v>206.51399999999998</v>
      </c>
      <c r="N18" s="4"/>
      <c r="O18" s="834" t="s">
        <v>497</v>
      </c>
      <c r="P18" s="870"/>
      <c r="Q18" s="260"/>
    </row>
    <row r="19" spans="1:17" ht="15.75" customHeight="1">
      <c r="A19" s="872"/>
      <c r="B19" s="878"/>
      <c r="C19" s="111">
        <v>3</v>
      </c>
      <c r="D19" s="588" t="s">
        <v>353</v>
      </c>
      <c r="E19" s="848"/>
      <c r="F19" s="849"/>
      <c r="G19" s="588" t="s">
        <v>722</v>
      </c>
      <c r="H19" s="848"/>
      <c r="I19" s="849"/>
      <c r="J19" s="4">
        <v>219.16</v>
      </c>
      <c r="K19" s="14">
        <v>1.5373052746652092E-2</v>
      </c>
      <c r="L19" s="4">
        <v>0.9</v>
      </c>
      <c r="M19" s="397">
        <v>197.244</v>
      </c>
      <c r="N19" s="4"/>
      <c r="O19" s="834" t="s">
        <v>497</v>
      </c>
      <c r="P19" s="870"/>
      <c r="Q19" s="260"/>
    </row>
    <row r="20" spans="1:17" ht="15.75" customHeight="1">
      <c r="A20" s="872"/>
      <c r="B20" s="878"/>
      <c r="C20" s="111">
        <v>4</v>
      </c>
      <c r="D20" s="588" t="s">
        <v>594</v>
      </c>
      <c r="E20" s="848"/>
      <c r="F20" s="849"/>
      <c r="G20" s="588" t="s">
        <v>329</v>
      </c>
      <c r="H20" s="848"/>
      <c r="I20" s="849"/>
      <c r="J20" s="4">
        <v>487.66</v>
      </c>
      <c r="K20" s="14">
        <v>9.2796659320264485E-3</v>
      </c>
      <c r="L20" s="4">
        <v>0.4</v>
      </c>
      <c r="M20" s="397">
        <v>195.06400000000002</v>
      </c>
      <c r="N20" s="4"/>
      <c r="O20" s="834" t="s">
        <v>497</v>
      </c>
      <c r="P20" s="870"/>
      <c r="Q20" s="260"/>
    </row>
    <row r="21" spans="1:17" ht="15.75" customHeight="1" thickBot="1">
      <c r="A21" s="872"/>
      <c r="B21" s="878"/>
      <c r="C21" s="112">
        <v>5</v>
      </c>
      <c r="D21" s="588" t="s">
        <v>501</v>
      </c>
      <c r="E21" s="848"/>
      <c r="F21" s="849"/>
      <c r="G21" s="588" t="s">
        <v>723</v>
      </c>
      <c r="H21" s="848"/>
      <c r="I21" s="849"/>
      <c r="J21" s="4">
        <v>278.12</v>
      </c>
      <c r="K21" s="14">
        <v>2.7619949494949492E-2</v>
      </c>
      <c r="L21" s="4">
        <v>0.7</v>
      </c>
      <c r="M21" s="397">
        <v>194.684</v>
      </c>
      <c r="N21" s="4"/>
      <c r="O21" s="834" t="s">
        <v>497</v>
      </c>
      <c r="P21" s="870"/>
      <c r="Q21" s="260"/>
    </row>
    <row r="22" spans="1:17" ht="15.75" customHeight="1" thickTop="1" thickBot="1">
      <c r="A22" s="872"/>
      <c r="B22" s="878"/>
      <c r="C22" s="885"/>
      <c r="D22" s="885"/>
      <c r="E22" s="885"/>
      <c r="F22" s="885"/>
      <c r="G22" s="885"/>
      <c r="H22" s="885"/>
      <c r="I22" s="886"/>
      <c r="J22" s="118" t="s">
        <v>605</v>
      </c>
      <c r="K22" s="244">
        <v>6.7096813176936356E-3</v>
      </c>
      <c r="L22" s="118" t="s">
        <v>606</v>
      </c>
      <c r="M22" s="398">
        <v>1003.671</v>
      </c>
      <c r="N22" s="882"/>
      <c r="O22" s="883"/>
      <c r="P22" s="884"/>
      <c r="Q22" s="260"/>
    </row>
    <row r="23" spans="1:17" ht="15.75" customHeight="1" thickTop="1">
      <c r="A23" s="567"/>
      <c r="D23" s="567"/>
      <c r="E23" s="567"/>
      <c r="F23" s="567"/>
      <c r="G23" s="567"/>
      <c r="H23" s="567"/>
      <c r="I23" s="567"/>
      <c r="J23" s="567"/>
      <c r="K23" s="567"/>
      <c r="L23" s="567"/>
      <c r="M23" s="567"/>
      <c r="N23" s="567"/>
      <c r="O23" s="567"/>
      <c r="P23" s="567"/>
      <c r="Q23" s="260"/>
    </row>
    <row r="24" spans="1:17" ht="15.75" customHeight="1">
      <c r="A24" s="871" t="s">
        <v>600</v>
      </c>
      <c r="B24" s="872"/>
      <c r="C24" s="116" t="s">
        <v>527</v>
      </c>
      <c r="D24" s="873" t="s">
        <v>12</v>
      </c>
      <c r="E24" s="874"/>
      <c r="F24" s="875"/>
      <c r="G24" s="114" t="s">
        <v>601</v>
      </c>
      <c r="H24" s="115"/>
      <c r="I24" s="116"/>
      <c r="J24" s="113" t="s">
        <v>602</v>
      </c>
      <c r="K24" s="113" t="s">
        <v>603</v>
      </c>
      <c r="L24" s="113" t="s">
        <v>604</v>
      </c>
      <c r="M24" s="117" t="s">
        <v>11</v>
      </c>
      <c r="N24" s="319" t="s">
        <v>13</v>
      </c>
      <c r="O24" s="876" t="s">
        <v>50</v>
      </c>
      <c r="P24" s="877"/>
      <c r="Q24" s="260"/>
    </row>
    <row r="25" spans="1:17" ht="15.75" customHeight="1">
      <c r="A25" s="872">
        <v>6</v>
      </c>
      <c r="B25" s="881" t="s">
        <v>194</v>
      </c>
      <c r="C25" s="111">
        <v>1</v>
      </c>
      <c r="D25" s="588" t="s">
        <v>594</v>
      </c>
      <c r="E25" s="848"/>
      <c r="F25" s="849"/>
      <c r="G25" s="588" t="s">
        <v>329</v>
      </c>
      <c r="H25" s="848"/>
      <c r="I25" s="849"/>
      <c r="J25" s="4">
        <v>487.66</v>
      </c>
      <c r="K25" s="14">
        <v>1.188001188001188E-2</v>
      </c>
      <c r="L25" s="4">
        <v>0.4</v>
      </c>
      <c r="M25" s="397">
        <v>195.06400000000002</v>
      </c>
      <c r="N25" s="4"/>
      <c r="O25" s="834" t="s">
        <v>557</v>
      </c>
      <c r="P25" s="870"/>
      <c r="Q25" s="260"/>
    </row>
    <row r="26" spans="1:17" ht="15.75" customHeight="1">
      <c r="A26" s="872"/>
      <c r="B26" s="878"/>
      <c r="C26" s="111">
        <v>2</v>
      </c>
      <c r="D26" s="588" t="s">
        <v>699</v>
      </c>
      <c r="E26" s="848"/>
      <c r="F26" s="849"/>
      <c r="G26" s="588" t="s">
        <v>698</v>
      </c>
      <c r="H26" s="848"/>
      <c r="I26" s="849"/>
      <c r="J26" s="4">
        <v>370.75</v>
      </c>
      <c r="K26" s="14">
        <v>2.2546897546897548E-2</v>
      </c>
      <c r="L26" s="4">
        <v>0.5</v>
      </c>
      <c r="M26" s="397">
        <v>185.375</v>
      </c>
      <c r="N26" s="4"/>
      <c r="O26" s="834" t="s">
        <v>557</v>
      </c>
      <c r="P26" s="870"/>
      <c r="Q26" s="260"/>
    </row>
    <row r="27" spans="1:17" ht="15.75" customHeight="1">
      <c r="A27" s="872"/>
      <c r="B27" s="878"/>
      <c r="C27" s="111">
        <v>3</v>
      </c>
      <c r="D27" s="588" t="s">
        <v>540</v>
      </c>
      <c r="E27" s="848"/>
      <c r="F27" s="849"/>
      <c r="G27" s="588" t="s">
        <v>684</v>
      </c>
      <c r="H27" s="848"/>
      <c r="I27" s="849"/>
      <c r="J27" s="4">
        <v>444.88</v>
      </c>
      <c r="K27" s="14">
        <v>1.7002465357476834E-2</v>
      </c>
      <c r="L27" s="4">
        <v>0.4</v>
      </c>
      <c r="M27" s="397">
        <v>177.952</v>
      </c>
      <c r="N27" s="4"/>
      <c r="O27" s="834" t="s">
        <v>557</v>
      </c>
      <c r="P27" s="870"/>
      <c r="Q27" s="260"/>
    </row>
    <row r="28" spans="1:17" ht="15.75" customHeight="1">
      <c r="A28" s="872"/>
      <c r="B28" s="878"/>
      <c r="C28" s="111">
        <v>4</v>
      </c>
      <c r="D28" s="588">
        <v>0</v>
      </c>
      <c r="E28" s="848"/>
      <c r="F28" s="849"/>
      <c r="G28" s="588">
        <v>0</v>
      </c>
      <c r="H28" s="848"/>
      <c r="I28" s="849"/>
      <c r="J28" s="4">
        <v>0</v>
      </c>
      <c r="K28" s="14">
        <v>0</v>
      </c>
      <c r="L28" s="4">
        <v>0</v>
      </c>
      <c r="M28" s="397">
        <v>0</v>
      </c>
      <c r="N28" s="4"/>
      <c r="O28" s="834"/>
      <c r="P28" s="870"/>
      <c r="Q28" s="260"/>
    </row>
    <row r="29" spans="1:17" ht="15.75" customHeight="1" thickBot="1">
      <c r="A29" s="872"/>
      <c r="B29" s="878"/>
      <c r="C29" s="112">
        <v>5</v>
      </c>
      <c r="D29" s="588">
        <v>0</v>
      </c>
      <c r="E29" s="848"/>
      <c r="F29" s="849"/>
      <c r="G29" s="588">
        <v>0</v>
      </c>
      <c r="H29" s="848"/>
      <c r="I29" s="849"/>
      <c r="J29" s="4">
        <v>0</v>
      </c>
      <c r="K29" s="14">
        <v>0</v>
      </c>
      <c r="L29" s="4">
        <v>0</v>
      </c>
      <c r="M29" s="397">
        <v>0</v>
      </c>
      <c r="N29" s="4"/>
      <c r="O29" s="834"/>
      <c r="P29" s="870"/>
      <c r="Q29" s="260"/>
    </row>
    <row r="30" spans="1:17" ht="15.75" customHeight="1" thickTop="1" thickBot="1">
      <c r="A30" s="872"/>
      <c r="B30" s="878"/>
      <c r="C30" s="885"/>
      <c r="D30" s="885"/>
      <c r="E30" s="885"/>
      <c r="F30" s="885"/>
      <c r="G30" s="885"/>
      <c r="H30" s="885"/>
      <c r="I30" s="886"/>
      <c r="J30" s="118" t="s">
        <v>605</v>
      </c>
      <c r="K30" s="244">
        <v>3.7329221036258567E-3</v>
      </c>
      <c r="L30" s="118" t="s">
        <v>606</v>
      </c>
      <c r="M30" s="398">
        <v>558.39100000000008</v>
      </c>
      <c r="N30" s="882"/>
      <c r="O30" s="883"/>
      <c r="P30" s="884"/>
      <c r="Q30" s="260"/>
    </row>
    <row r="31" spans="1:17" ht="15.75" customHeight="1" thickTop="1">
      <c r="A31" s="567"/>
      <c r="D31" s="567"/>
      <c r="E31" s="567"/>
      <c r="F31" s="567"/>
      <c r="G31" s="567"/>
      <c r="H31" s="567"/>
      <c r="I31" s="567"/>
      <c r="J31" s="567"/>
      <c r="K31" s="567"/>
      <c r="L31" s="567"/>
      <c r="M31" s="567"/>
      <c r="N31" s="567"/>
      <c r="O31" s="567"/>
      <c r="P31" s="567"/>
      <c r="Q31" s="260"/>
    </row>
    <row r="32" spans="1:17" ht="15.75" customHeight="1">
      <c r="A32" s="871" t="s">
        <v>600</v>
      </c>
      <c r="B32" s="872"/>
      <c r="C32" s="116" t="s">
        <v>527</v>
      </c>
      <c r="D32" s="873" t="s">
        <v>12</v>
      </c>
      <c r="E32" s="874"/>
      <c r="F32" s="875"/>
      <c r="G32" s="114" t="s">
        <v>601</v>
      </c>
      <c r="H32" s="115"/>
      <c r="I32" s="116"/>
      <c r="J32" s="113" t="s">
        <v>602</v>
      </c>
      <c r="K32" s="113" t="s">
        <v>603</v>
      </c>
      <c r="L32" s="113" t="s">
        <v>604</v>
      </c>
      <c r="M32" s="117" t="s">
        <v>11</v>
      </c>
      <c r="N32" s="117" t="s">
        <v>13</v>
      </c>
      <c r="O32" s="876" t="s">
        <v>50</v>
      </c>
      <c r="P32" s="877"/>
      <c r="Q32" s="260"/>
    </row>
    <row r="33" spans="1:17" ht="15.75" customHeight="1">
      <c r="A33" s="872">
        <v>7</v>
      </c>
      <c r="B33" s="881" t="s">
        <v>498</v>
      </c>
      <c r="C33" s="111">
        <v>1</v>
      </c>
      <c r="D33" s="588" t="s">
        <v>655</v>
      </c>
      <c r="E33" s="848"/>
      <c r="F33" s="849"/>
      <c r="G33" s="588" t="s">
        <v>656</v>
      </c>
      <c r="H33" s="848"/>
      <c r="I33" s="849"/>
      <c r="J33" s="4">
        <v>1010.1</v>
      </c>
      <c r="K33" s="14">
        <v>2.2874329713516404E-2</v>
      </c>
      <c r="L33" s="4">
        <v>0.198000198000198</v>
      </c>
      <c r="M33" s="397">
        <v>200</v>
      </c>
      <c r="N33" s="4"/>
      <c r="O33" s="834" t="s">
        <v>568</v>
      </c>
      <c r="P33" s="870"/>
      <c r="Q33" s="260"/>
    </row>
    <row r="34" spans="1:17" ht="15.75" customHeight="1">
      <c r="A34" s="872"/>
      <c r="B34" s="878"/>
      <c r="C34" s="111">
        <v>2</v>
      </c>
      <c r="D34" s="588" t="s">
        <v>591</v>
      </c>
      <c r="E34" s="848"/>
      <c r="F34" s="849"/>
      <c r="G34" s="588" t="s">
        <v>660</v>
      </c>
      <c r="H34" s="848"/>
      <c r="I34" s="849"/>
      <c r="J34" s="4">
        <v>935.2</v>
      </c>
      <c r="K34" s="14">
        <v>1.8491786831186428E-2</v>
      </c>
      <c r="L34" s="4">
        <v>0.21147207420144801</v>
      </c>
      <c r="M34" s="397">
        <v>197.76868379319419</v>
      </c>
      <c r="N34" s="4"/>
      <c r="O34" s="834" t="s">
        <v>568</v>
      </c>
      <c r="P34" s="835"/>
      <c r="Q34" s="260"/>
    </row>
    <row r="35" spans="1:17" ht="15.75" customHeight="1">
      <c r="A35" s="872"/>
      <c r="B35" s="878"/>
      <c r="C35" s="111">
        <v>3</v>
      </c>
      <c r="D35" s="588" t="s">
        <v>655</v>
      </c>
      <c r="E35" s="848"/>
      <c r="F35" s="849"/>
      <c r="G35" s="588" t="s">
        <v>659</v>
      </c>
      <c r="H35" s="848"/>
      <c r="I35" s="849"/>
      <c r="J35" s="4">
        <v>622.54999999999995</v>
      </c>
      <c r="K35" s="14">
        <v>0.10706638115631691</v>
      </c>
      <c r="L35" s="4">
        <v>0.3</v>
      </c>
      <c r="M35" s="397">
        <v>186.76499999999999</v>
      </c>
      <c r="N35" s="4"/>
      <c r="O35" s="834" t="s">
        <v>568</v>
      </c>
      <c r="P35" s="835"/>
      <c r="Q35" s="260"/>
    </row>
    <row r="36" spans="1:17" ht="15.75" customHeight="1">
      <c r="A36" s="872"/>
      <c r="B36" s="878"/>
      <c r="C36" s="111">
        <v>4</v>
      </c>
      <c r="D36" s="588">
        <v>0</v>
      </c>
      <c r="E36" s="848"/>
      <c r="F36" s="849"/>
      <c r="G36" s="588">
        <v>0</v>
      </c>
      <c r="H36" s="848"/>
      <c r="I36" s="849"/>
      <c r="J36" s="4">
        <v>0</v>
      </c>
      <c r="K36" s="14">
        <v>0</v>
      </c>
      <c r="L36" s="4">
        <v>0</v>
      </c>
      <c r="M36" s="397">
        <v>0</v>
      </c>
      <c r="N36" s="4"/>
      <c r="O36" s="834"/>
      <c r="P36" s="870"/>
      <c r="Q36" s="260"/>
    </row>
    <row r="37" spans="1:17" ht="15.75" customHeight="1" thickBot="1">
      <c r="A37" s="872"/>
      <c r="B37" s="878"/>
      <c r="C37" s="112">
        <v>5</v>
      </c>
      <c r="D37" s="588">
        <v>0</v>
      </c>
      <c r="E37" s="848"/>
      <c r="F37" s="849"/>
      <c r="G37" s="588">
        <v>0</v>
      </c>
      <c r="H37" s="848"/>
      <c r="I37" s="849"/>
      <c r="J37" s="4">
        <v>0</v>
      </c>
      <c r="K37" s="14">
        <v>0</v>
      </c>
      <c r="L37" s="4">
        <v>0</v>
      </c>
      <c r="M37" s="397">
        <v>0</v>
      </c>
      <c r="N37" s="4"/>
      <c r="O37" s="834"/>
      <c r="P37" s="835"/>
      <c r="Q37" s="260"/>
    </row>
    <row r="38" spans="1:17" ht="15.75" customHeight="1" thickTop="1" thickBot="1">
      <c r="A38" s="872"/>
      <c r="B38" s="878"/>
      <c r="C38" s="885"/>
      <c r="D38" s="885"/>
      <c r="E38" s="885"/>
      <c r="F38" s="885"/>
      <c r="G38" s="885"/>
      <c r="H38" s="885"/>
      <c r="I38" s="886"/>
      <c r="J38" s="118" t="s">
        <v>605</v>
      </c>
      <c r="K38" s="244">
        <v>3.9076896091546276E-3</v>
      </c>
      <c r="L38" s="118" t="s">
        <v>606</v>
      </c>
      <c r="M38" s="398">
        <v>584.5336837931942</v>
      </c>
      <c r="N38" s="882"/>
      <c r="O38" s="883"/>
      <c r="P38" s="884"/>
      <c r="Q38" s="260"/>
    </row>
    <row r="39" spans="1:17" ht="15.75" customHeight="1" thickTop="1"/>
  </sheetData>
  <mergeCells count="107">
    <mergeCell ref="A24:B24"/>
    <mergeCell ref="D24:F24"/>
    <mergeCell ref="O24:P24"/>
    <mergeCell ref="G28:I28"/>
    <mergeCell ref="A33:A38"/>
    <mergeCell ref="B33:B38"/>
    <mergeCell ref="D33:F33"/>
    <mergeCell ref="G33:I33"/>
    <mergeCell ref="D34:F34"/>
    <mergeCell ref="C30:I30"/>
    <mergeCell ref="D29:F29"/>
    <mergeCell ref="G29:I29"/>
    <mergeCell ref="A25:A30"/>
    <mergeCell ref="B25:B30"/>
    <mergeCell ref="D25:F25"/>
    <mergeCell ref="G25:I25"/>
    <mergeCell ref="D26:F26"/>
    <mergeCell ref="G26:I26"/>
    <mergeCell ref="D27:F27"/>
    <mergeCell ref="N30:P30"/>
    <mergeCell ref="A32:B32"/>
    <mergeCell ref="D32:F32"/>
    <mergeCell ref="O32:P32"/>
    <mergeCell ref="C38:I38"/>
    <mergeCell ref="N38:P38"/>
    <mergeCell ref="G34:I34"/>
    <mergeCell ref="D35:F35"/>
    <mergeCell ref="G27:I27"/>
    <mergeCell ref="D28:F28"/>
    <mergeCell ref="O36:P36"/>
    <mergeCell ref="O37:P37"/>
    <mergeCell ref="G35:I35"/>
    <mergeCell ref="D36:F36"/>
    <mergeCell ref="G36:I36"/>
    <mergeCell ref="D37:F37"/>
    <mergeCell ref="G37:I37"/>
    <mergeCell ref="O33:P33"/>
    <mergeCell ref="O34:P34"/>
    <mergeCell ref="O35:P35"/>
    <mergeCell ref="A16:B16"/>
    <mergeCell ref="D16:F16"/>
    <mergeCell ref="O16:P16"/>
    <mergeCell ref="A17:A22"/>
    <mergeCell ref="B17:B22"/>
    <mergeCell ref="D17:F17"/>
    <mergeCell ref="G17:I17"/>
    <mergeCell ref="D18:F18"/>
    <mergeCell ref="G18:I18"/>
    <mergeCell ref="D21:F21"/>
    <mergeCell ref="G21:I21"/>
    <mergeCell ref="N22:P22"/>
    <mergeCell ref="O19:P19"/>
    <mergeCell ref="O20:P20"/>
    <mergeCell ref="O21:P21"/>
    <mergeCell ref="D19:F19"/>
    <mergeCell ref="G19:I19"/>
    <mergeCell ref="D20:F20"/>
    <mergeCell ref="G20:I20"/>
    <mergeCell ref="C22:I22"/>
    <mergeCell ref="A8:B8"/>
    <mergeCell ref="D8:F8"/>
    <mergeCell ref="O8:P8"/>
    <mergeCell ref="A9:A14"/>
    <mergeCell ref="B9:B14"/>
    <mergeCell ref="D9:F9"/>
    <mergeCell ref="G9:I9"/>
    <mergeCell ref="D10:F10"/>
    <mergeCell ref="G10:I10"/>
    <mergeCell ref="D11:F11"/>
    <mergeCell ref="G11:I11"/>
    <mergeCell ref="D12:F12"/>
    <mergeCell ref="G12:I12"/>
    <mergeCell ref="D13:F13"/>
    <mergeCell ref="G13:I13"/>
    <mergeCell ref="N14:P14"/>
    <mergeCell ref="O9:P9"/>
    <mergeCell ref="O10:P10"/>
    <mergeCell ref="C14:I14"/>
    <mergeCell ref="A1:Q2"/>
    <mergeCell ref="P5:Q5"/>
    <mergeCell ref="P6:Q6"/>
    <mergeCell ref="N5:O5"/>
    <mergeCell ref="B6:C6"/>
    <mergeCell ref="D6:E6"/>
    <mergeCell ref="F6:G6"/>
    <mergeCell ref="H6:I6"/>
    <mergeCell ref="J6:K6"/>
    <mergeCell ref="L6:M6"/>
    <mergeCell ref="N6:O6"/>
    <mergeCell ref="A3:M4"/>
    <mergeCell ref="A5:A6"/>
    <mergeCell ref="B5:C5"/>
    <mergeCell ref="D5:E5"/>
    <mergeCell ref="F5:G5"/>
    <mergeCell ref="H5:I5"/>
    <mergeCell ref="J5:K5"/>
    <mergeCell ref="L5:M5"/>
    <mergeCell ref="O25:P25"/>
    <mergeCell ref="O26:P26"/>
    <mergeCell ref="O27:P27"/>
    <mergeCell ref="O28:P28"/>
    <mergeCell ref="O29:P29"/>
    <mergeCell ref="O11:P11"/>
    <mergeCell ref="O12:P12"/>
    <mergeCell ref="O13:P13"/>
    <mergeCell ref="O17:P17"/>
    <mergeCell ref="O18:P18"/>
  </mergeCells>
  <phoneticPr fontId="13" type="noConversion"/>
  <printOptions horizontalCentered="1" gridLines="1"/>
  <pageMargins left="0.39370078740157483" right="0.39370078740157483" top="0.39370078740157483" bottom="0.39370078740157483" header="0" footer="0"/>
  <pageSetup paperSize="9" scale="90" fitToWidth="0" fitToHeight="0" pageOrder="overThenDown" orientation="landscape" cellComments="atEnd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outlinePr summaryBelow="0" summaryRight="0"/>
  </sheetPr>
  <dimension ref="A1:W31"/>
  <sheetViews>
    <sheetView view="pageBreakPreview" zoomScale="115" zoomScaleNormal="60" zoomScaleSheetLayoutView="115" workbookViewId="0">
      <selection activeCell="O27" sqref="O27:P27"/>
    </sheetView>
  </sheetViews>
  <sheetFormatPr defaultColWidth="12.5703125" defaultRowHeight="15.75" customHeight="1"/>
  <cols>
    <col min="1" max="1" width="5.42578125" style="182" customWidth="1"/>
    <col min="2" max="2" width="11.42578125" style="321" customWidth="1"/>
    <col min="3" max="3" width="4" style="322" customWidth="1"/>
    <col min="4" max="17" width="9.5703125" style="182" customWidth="1"/>
    <col min="18" max="16384" width="12.5703125" style="182"/>
  </cols>
  <sheetData>
    <row r="1" spans="1:23" ht="15.75" customHeight="1">
      <c r="A1" s="799" t="s">
        <v>487</v>
      </c>
      <c r="B1" s="799"/>
      <c r="C1" s="799"/>
      <c r="D1" s="799"/>
      <c r="E1" s="799"/>
      <c r="F1" s="799"/>
      <c r="G1" s="799"/>
      <c r="H1" s="799"/>
      <c r="I1" s="799"/>
      <c r="J1" s="799"/>
      <c r="K1" s="799"/>
      <c r="L1" s="799"/>
      <c r="M1" s="799"/>
      <c r="N1" s="799"/>
      <c r="O1" s="799"/>
      <c r="P1" s="799"/>
      <c r="Q1" s="799"/>
    </row>
    <row r="2" spans="1:23" s="183" customFormat="1" ht="15.75" customHeight="1">
      <c r="A2" s="799"/>
      <c r="B2" s="799"/>
      <c r="C2" s="799"/>
      <c r="D2" s="799"/>
      <c r="E2" s="799"/>
      <c r="F2" s="799"/>
      <c r="G2" s="799"/>
      <c r="H2" s="799"/>
      <c r="I2" s="799"/>
      <c r="J2" s="799"/>
      <c r="K2" s="799"/>
      <c r="L2" s="799"/>
      <c r="M2" s="799"/>
      <c r="N2" s="799"/>
      <c r="O2" s="799"/>
      <c r="P2" s="799"/>
      <c r="Q2" s="799"/>
      <c r="R2" s="182"/>
      <c r="S2" s="182"/>
      <c r="T2" s="182"/>
      <c r="U2" s="182"/>
      <c r="V2" s="182"/>
      <c r="W2" s="182"/>
    </row>
    <row r="3" spans="1:23" ht="15.75" customHeight="1">
      <c r="A3" s="800" t="s">
        <v>488</v>
      </c>
      <c r="B3" s="800"/>
      <c r="C3" s="800"/>
      <c r="D3" s="800"/>
      <c r="E3" s="800"/>
      <c r="F3" s="800"/>
      <c r="G3" s="800"/>
      <c r="H3" s="800"/>
      <c r="I3" s="800"/>
      <c r="J3" s="800"/>
      <c r="K3" s="800"/>
      <c r="L3" s="800"/>
      <c r="M3" s="800"/>
      <c r="N3" s="184"/>
    </row>
    <row r="4" spans="1:23" s="183" customFormat="1" ht="15.75" customHeight="1">
      <c r="A4" s="800"/>
      <c r="B4" s="800"/>
      <c r="C4" s="800"/>
      <c r="D4" s="800"/>
      <c r="E4" s="800"/>
      <c r="F4" s="800"/>
      <c r="G4" s="800"/>
      <c r="H4" s="800"/>
      <c r="I4" s="800"/>
      <c r="J4" s="800"/>
      <c r="K4" s="800"/>
      <c r="L4" s="800"/>
      <c r="M4" s="800"/>
      <c r="N4" s="185"/>
      <c r="R4" s="182"/>
      <c r="S4" s="182"/>
      <c r="T4" s="182"/>
      <c r="U4" s="182"/>
      <c r="V4" s="182"/>
      <c r="W4" s="182"/>
    </row>
    <row r="5" spans="1:23" ht="15.75" customHeight="1">
      <c r="A5" s="802" t="s">
        <v>486</v>
      </c>
      <c r="B5" s="887">
        <v>1</v>
      </c>
      <c r="C5" s="887"/>
      <c r="D5" s="887">
        <v>2</v>
      </c>
      <c r="E5" s="887"/>
      <c r="F5" s="887">
        <v>3</v>
      </c>
      <c r="G5" s="887"/>
      <c r="H5" s="805">
        <v>4</v>
      </c>
      <c r="I5" s="805"/>
      <c r="J5" s="805">
        <v>5</v>
      </c>
      <c r="K5" s="805"/>
      <c r="L5" s="805">
        <v>6</v>
      </c>
      <c r="M5" s="805"/>
      <c r="N5" s="805">
        <v>7</v>
      </c>
      <c r="O5" s="805"/>
      <c r="P5" s="805">
        <v>8</v>
      </c>
      <c r="Q5" s="805"/>
    </row>
    <row r="6" spans="1:23" ht="15.75" customHeight="1">
      <c r="A6" s="802"/>
      <c r="B6" s="888" t="s">
        <v>489</v>
      </c>
      <c r="C6" s="888"/>
      <c r="D6" s="888" t="s">
        <v>490</v>
      </c>
      <c r="E6" s="888"/>
      <c r="F6" s="888" t="s">
        <v>491</v>
      </c>
      <c r="G6" s="888"/>
      <c r="H6" s="889" t="s">
        <v>492</v>
      </c>
      <c r="I6" s="802"/>
      <c r="J6" s="802" t="s">
        <v>493</v>
      </c>
      <c r="K6" s="802"/>
      <c r="L6" s="802" t="s">
        <v>494</v>
      </c>
      <c r="M6" s="802"/>
      <c r="N6" s="802" t="s">
        <v>495</v>
      </c>
      <c r="O6" s="802"/>
      <c r="P6" s="889" t="s">
        <v>496</v>
      </c>
      <c r="Q6" s="802"/>
    </row>
    <row r="8" spans="1:23" s="320" customFormat="1" ht="15.75" customHeight="1">
      <c r="A8" s="852" t="s">
        <v>600</v>
      </c>
      <c r="B8" s="853"/>
      <c r="C8" s="572" t="s">
        <v>527</v>
      </c>
      <c r="D8" s="857" t="s">
        <v>12</v>
      </c>
      <c r="E8" s="858"/>
      <c r="F8" s="859"/>
      <c r="G8" s="570" t="s">
        <v>601</v>
      </c>
      <c r="H8" s="571"/>
      <c r="I8" s="572"/>
      <c r="J8" s="169" t="s">
        <v>602</v>
      </c>
      <c r="K8" s="319" t="s">
        <v>608</v>
      </c>
      <c r="L8" s="169" t="s">
        <v>604</v>
      </c>
      <c r="M8" s="169" t="s">
        <v>11</v>
      </c>
      <c r="N8" s="319" t="s">
        <v>13</v>
      </c>
      <c r="O8" s="850" t="s">
        <v>50</v>
      </c>
      <c r="P8" s="851"/>
      <c r="R8" s="182"/>
      <c r="S8" s="182"/>
      <c r="T8" s="182"/>
      <c r="U8" s="182"/>
      <c r="V8" s="182"/>
      <c r="W8" s="182"/>
    </row>
    <row r="9" spans="1:23" ht="15.75" customHeight="1">
      <c r="A9" s="776">
        <v>1</v>
      </c>
      <c r="B9" s="854" t="s">
        <v>576</v>
      </c>
      <c r="C9" s="170">
        <v>1</v>
      </c>
      <c r="D9" s="588">
        <v>0</v>
      </c>
      <c r="E9" s="848"/>
      <c r="F9" s="849"/>
      <c r="G9" s="588">
        <v>0</v>
      </c>
      <c r="H9" s="848"/>
      <c r="I9" s="849"/>
      <c r="J9" s="4">
        <v>0</v>
      </c>
      <c r="K9" s="14">
        <v>0</v>
      </c>
      <c r="L9" s="4">
        <v>0</v>
      </c>
      <c r="M9" s="397">
        <v>0</v>
      </c>
      <c r="N9" s="171"/>
      <c r="O9" s="834"/>
      <c r="P9" s="835"/>
    </row>
    <row r="10" spans="1:23" ht="15.75" customHeight="1">
      <c r="A10" s="777"/>
      <c r="B10" s="855"/>
      <c r="C10" s="170">
        <v>2</v>
      </c>
      <c r="D10" s="588">
        <v>0</v>
      </c>
      <c r="E10" s="848"/>
      <c r="F10" s="849"/>
      <c r="G10" s="588">
        <v>0</v>
      </c>
      <c r="H10" s="848"/>
      <c r="I10" s="849"/>
      <c r="J10" s="4">
        <v>0</v>
      </c>
      <c r="K10" s="14">
        <v>0</v>
      </c>
      <c r="L10" s="4">
        <v>0</v>
      </c>
      <c r="M10" s="397">
        <v>0</v>
      </c>
      <c r="N10" s="171"/>
      <c r="O10" s="834"/>
      <c r="P10" s="835"/>
    </row>
    <row r="11" spans="1:23" ht="15.75" customHeight="1">
      <c r="A11" s="777"/>
      <c r="B11" s="855"/>
      <c r="C11" s="170">
        <v>3</v>
      </c>
      <c r="D11" s="588">
        <v>0</v>
      </c>
      <c r="E11" s="848"/>
      <c r="F11" s="849"/>
      <c r="G11" s="588">
        <v>0</v>
      </c>
      <c r="H11" s="848"/>
      <c r="I11" s="849"/>
      <c r="J11" s="4">
        <v>0</v>
      </c>
      <c r="K11" s="14">
        <v>0</v>
      </c>
      <c r="L11" s="4">
        <v>0</v>
      </c>
      <c r="M11" s="397">
        <v>0</v>
      </c>
      <c r="N11" s="171"/>
      <c r="O11" s="834"/>
      <c r="P11" s="835"/>
    </row>
    <row r="12" spans="1:23" ht="15.75" customHeight="1">
      <c r="A12" s="777"/>
      <c r="B12" s="855"/>
      <c r="C12" s="170">
        <v>4</v>
      </c>
      <c r="D12" s="588">
        <v>0</v>
      </c>
      <c r="E12" s="848"/>
      <c r="F12" s="849"/>
      <c r="G12" s="588">
        <v>0</v>
      </c>
      <c r="H12" s="848"/>
      <c r="I12" s="849"/>
      <c r="J12" s="4">
        <v>0</v>
      </c>
      <c r="K12" s="14">
        <v>0</v>
      </c>
      <c r="L12" s="4">
        <v>0</v>
      </c>
      <c r="M12" s="397">
        <v>0</v>
      </c>
      <c r="N12" s="171"/>
      <c r="O12" s="834"/>
      <c r="P12" s="835"/>
    </row>
    <row r="13" spans="1:23" ht="15.75" customHeight="1" thickBot="1">
      <c r="A13" s="777"/>
      <c r="B13" s="855"/>
      <c r="C13" s="172">
        <v>5</v>
      </c>
      <c r="D13" s="588">
        <v>0</v>
      </c>
      <c r="E13" s="848"/>
      <c r="F13" s="849"/>
      <c r="G13" s="588">
        <v>0</v>
      </c>
      <c r="H13" s="848"/>
      <c r="I13" s="849"/>
      <c r="J13" s="4">
        <v>0</v>
      </c>
      <c r="K13" s="14">
        <v>0</v>
      </c>
      <c r="L13" s="4">
        <v>0</v>
      </c>
      <c r="M13" s="397">
        <v>0</v>
      </c>
      <c r="N13" s="173"/>
      <c r="O13" s="836"/>
      <c r="P13" s="837"/>
    </row>
    <row r="14" spans="1:23" ht="15.75" customHeight="1" thickTop="1" thickBot="1">
      <c r="A14" s="778"/>
      <c r="B14" s="856"/>
      <c r="C14" s="860"/>
      <c r="D14" s="861"/>
      <c r="E14" s="861"/>
      <c r="F14" s="861"/>
      <c r="G14" s="861"/>
      <c r="H14" s="861"/>
      <c r="I14" s="862"/>
      <c r="J14" s="318" t="s">
        <v>605</v>
      </c>
      <c r="K14" s="244">
        <v>0</v>
      </c>
      <c r="L14" s="318" t="s">
        <v>606</v>
      </c>
      <c r="M14" s="398">
        <v>0</v>
      </c>
      <c r="N14" s="869"/>
      <c r="O14" s="867"/>
      <c r="P14" s="868"/>
    </row>
    <row r="15" spans="1:23" ht="15.75" customHeight="1" thickTop="1">
      <c r="A15" s="119"/>
      <c r="B15" s="174"/>
      <c r="C15" s="160"/>
      <c r="D15" s="119"/>
      <c r="E15" s="119"/>
      <c r="F15" s="119"/>
      <c r="G15" s="119"/>
      <c r="H15" s="119"/>
      <c r="I15" s="119"/>
      <c r="J15" s="119"/>
      <c r="K15" s="119"/>
      <c r="L15" s="119"/>
      <c r="M15" s="119"/>
      <c r="N15" s="119"/>
      <c r="O15" s="119"/>
      <c r="P15" s="119"/>
    </row>
    <row r="16" spans="1:23" ht="15.75" customHeight="1">
      <c r="A16" s="852" t="s">
        <v>600</v>
      </c>
      <c r="B16" s="853"/>
      <c r="C16" s="572" t="s">
        <v>527</v>
      </c>
      <c r="D16" s="857" t="s">
        <v>12</v>
      </c>
      <c r="E16" s="858"/>
      <c r="F16" s="859"/>
      <c r="G16" s="570" t="s">
        <v>601</v>
      </c>
      <c r="H16" s="571"/>
      <c r="I16" s="572"/>
      <c r="J16" s="169" t="s">
        <v>602</v>
      </c>
      <c r="K16" s="319" t="s">
        <v>608</v>
      </c>
      <c r="L16" s="169" t="s">
        <v>604</v>
      </c>
      <c r="M16" s="169" t="s">
        <v>11</v>
      </c>
      <c r="N16" s="319" t="s">
        <v>13</v>
      </c>
      <c r="O16" s="850" t="s">
        <v>50</v>
      </c>
      <c r="P16" s="851"/>
    </row>
    <row r="17" spans="1:16" ht="15.75" customHeight="1">
      <c r="A17" s="776">
        <v>2</v>
      </c>
      <c r="B17" s="854" t="s">
        <v>609</v>
      </c>
      <c r="C17" s="170">
        <v>1</v>
      </c>
      <c r="D17" s="588" t="s">
        <v>339</v>
      </c>
      <c r="E17" s="848"/>
      <c r="F17" s="849"/>
      <c r="G17" s="588" t="s">
        <v>706</v>
      </c>
      <c r="H17" s="848"/>
      <c r="I17" s="849"/>
      <c r="J17" s="4">
        <v>418.41</v>
      </c>
      <c r="K17" s="14">
        <v>5.5520371543170764E-2</v>
      </c>
      <c r="L17" s="4">
        <v>0.7889999999999997</v>
      </c>
      <c r="M17" s="397">
        <v>330.1254899999999</v>
      </c>
      <c r="N17" s="171"/>
      <c r="O17" s="834" t="s">
        <v>595</v>
      </c>
      <c r="P17" s="835"/>
    </row>
    <row r="18" spans="1:16" ht="15.75" customHeight="1">
      <c r="A18" s="777"/>
      <c r="B18" s="855"/>
      <c r="C18" s="170">
        <v>2</v>
      </c>
      <c r="D18" s="588" t="s">
        <v>596</v>
      </c>
      <c r="E18" s="848"/>
      <c r="F18" s="849"/>
      <c r="G18" s="588" t="s">
        <v>662</v>
      </c>
      <c r="H18" s="848"/>
      <c r="I18" s="849"/>
      <c r="J18" s="4">
        <v>304.58999999999997</v>
      </c>
      <c r="K18" s="14">
        <v>8.1123737373737265E-2</v>
      </c>
      <c r="L18" s="4">
        <v>1.0279999999999987</v>
      </c>
      <c r="M18" s="397">
        <v>313.11851999999959</v>
      </c>
      <c r="N18" s="171"/>
      <c r="O18" s="834" t="s">
        <v>595</v>
      </c>
      <c r="P18" s="835"/>
    </row>
    <row r="19" spans="1:16" ht="15.75" customHeight="1">
      <c r="A19" s="777"/>
      <c r="B19" s="855"/>
      <c r="C19" s="170">
        <v>3</v>
      </c>
      <c r="D19" s="588" t="s">
        <v>655</v>
      </c>
      <c r="E19" s="848"/>
      <c r="F19" s="849"/>
      <c r="G19" s="588" t="s">
        <v>724</v>
      </c>
      <c r="H19" s="848"/>
      <c r="I19" s="849"/>
      <c r="J19" s="4">
        <v>178</v>
      </c>
      <c r="K19" s="14">
        <v>0.66358595194085024</v>
      </c>
      <c r="L19" s="4">
        <v>1.4359999999999999</v>
      </c>
      <c r="M19" s="397">
        <v>255.608</v>
      </c>
      <c r="N19" s="171"/>
      <c r="O19" s="834" t="s">
        <v>595</v>
      </c>
      <c r="P19" s="835"/>
    </row>
    <row r="20" spans="1:16" ht="15.75" customHeight="1">
      <c r="A20" s="777"/>
      <c r="B20" s="855"/>
      <c r="C20" s="170">
        <v>4</v>
      </c>
      <c r="D20" s="588">
        <v>0</v>
      </c>
      <c r="E20" s="848"/>
      <c r="F20" s="849"/>
      <c r="G20" s="588">
        <v>0</v>
      </c>
      <c r="H20" s="848"/>
      <c r="I20" s="849"/>
      <c r="J20" s="4">
        <v>0</v>
      </c>
      <c r="K20" s="14">
        <v>0</v>
      </c>
      <c r="L20" s="4">
        <v>0</v>
      </c>
      <c r="M20" s="397">
        <v>0</v>
      </c>
      <c r="N20" s="171"/>
      <c r="O20" s="834"/>
      <c r="P20" s="835"/>
    </row>
    <row r="21" spans="1:16" ht="15.75" customHeight="1" thickBot="1">
      <c r="A21" s="777"/>
      <c r="B21" s="855"/>
      <c r="C21" s="172">
        <v>5</v>
      </c>
      <c r="D21" s="588">
        <v>0</v>
      </c>
      <c r="E21" s="848"/>
      <c r="F21" s="849"/>
      <c r="G21" s="588">
        <v>0</v>
      </c>
      <c r="H21" s="848"/>
      <c r="I21" s="849"/>
      <c r="J21" s="4">
        <v>0</v>
      </c>
      <c r="K21" s="14">
        <v>0</v>
      </c>
      <c r="L21" s="4">
        <v>0</v>
      </c>
      <c r="M21" s="397">
        <v>0</v>
      </c>
      <c r="N21" s="173"/>
      <c r="O21" s="834"/>
      <c r="P21" s="835"/>
    </row>
    <row r="22" spans="1:16" ht="15.75" customHeight="1" thickTop="1" thickBot="1">
      <c r="A22" s="778"/>
      <c r="B22" s="856"/>
      <c r="C22" s="863"/>
      <c r="D22" s="864"/>
      <c r="E22" s="864"/>
      <c r="F22" s="864"/>
      <c r="G22" s="864"/>
      <c r="H22" s="864"/>
      <c r="I22" s="865"/>
      <c r="J22" s="318" t="s">
        <v>605</v>
      </c>
      <c r="K22" s="244">
        <v>3.6194483200466753E-3</v>
      </c>
      <c r="L22" s="318" t="s">
        <v>606</v>
      </c>
      <c r="M22" s="398">
        <v>898.85200999999938</v>
      </c>
      <c r="N22" s="869"/>
      <c r="O22" s="867"/>
      <c r="P22" s="868"/>
    </row>
    <row r="23" spans="1:16" ht="15.75" customHeight="1" thickTop="1">
      <c r="A23" s="119"/>
      <c r="B23" s="174"/>
      <c r="C23" s="160"/>
      <c r="D23" s="119"/>
      <c r="E23" s="119"/>
      <c r="F23" s="119"/>
      <c r="G23" s="119"/>
      <c r="H23" s="119"/>
      <c r="I23" s="119"/>
      <c r="J23" s="119"/>
      <c r="K23" s="119"/>
      <c r="L23" s="119"/>
      <c r="M23" s="119"/>
      <c r="N23" s="119"/>
      <c r="O23" s="119"/>
      <c r="P23" s="119"/>
    </row>
    <row r="24" spans="1:16" ht="15.75" customHeight="1">
      <c r="A24" s="852" t="s">
        <v>600</v>
      </c>
      <c r="B24" s="853"/>
      <c r="C24" s="572" t="s">
        <v>527</v>
      </c>
      <c r="D24" s="857" t="s">
        <v>12</v>
      </c>
      <c r="E24" s="858"/>
      <c r="F24" s="859"/>
      <c r="G24" s="570" t="s">
        <v>601</v>
      </c>
      <c r="H24" s="571"/>
      <c r="I24" s="572"/>
      <c r="J24" s="169" t="s">
        <v>602</v>
      </c>
      <c r="K24" s="319" t="s">
        <v>608</v>
      </c>
      <c r="L24" s="169" t="s">
        <v>604</v>
      </c>
      <c r="M24" s="169" t="s">
        <v>11</v>
      </c>
      <c r="N24" s="319" t="s">
        <v>13</v>
      </c>
      <c r="O24" s="850" t="s">
        <v>50</v>
      </c>
      <c r="P24" s="851"/>
    </row>
    <row r="25" spans="1:16" ht="15.75" customHeight="1">
      <c r="A25" s="776">
        <v>3</v>
      </c>
      <c r="B25" s="854" t="s">
        <v>358</v>
      </c>
      <c r="C25" s="170">
        <v>1</v>
      </c>
      <c r="D25" s="588" t="s">
        <v>649</v>
      </c>
      <c r="E25" s="848"/>
      <c r="F25" s="849"/>
      <c r="G25" s="588" t="s">
        <v>703</v>
      </c>
      <c r="H25" s="848"/>
      <c r="I25" s="849"/>
      <c r="J25" s="4">
        <v>74.150000000000006</v>
      </c>
      <c r="K25" s="14">
        <v>2.6457074453977901E-2</v>
      </c>
      <c r="L25" s="4">
        <v>3.6910000000000025</v>
      </c>
      <c r="M25" s="397">
        <v>273.68765000000019</v>
      </c>
      <c r="N25" s="171"/>
      <c r="O25" s="834" t="s">
        <v>504</v>
      </c>
      <c r="P25" s="835"/>
    </row>
    <row r="26" spans="1:16" ht="15.75" customHeight="1">
      <c r="A26" s="777"/>
      <c r="B26" s="855"/>
      <c r="C26" s="170">
        <v>2</v>
      </c>
      <c r="D26" s="588" t="s">
        <v>339</v>
      </c>
      <c r="E26" s="848"/>
      <c r="F26" s="849"/>
      <c r="G26" s="588" t="s">
        <v>707</v>
      </c>
      <c r="H26" s="848"/>
      <c r="I26" s="849"/>
      <c r="J26" s="4">
        <v>354.37</v>
      </c>
      <c r="K26" s="14">
        <v>4.276443507682072E-2</v>
      </c>
      <c r="L26" s="4">
        <v>0.7710000000000008</v>
      </c>
      <c r="M26" s="397">
        <v>273.21927000000028</v>
      </c>
      <c r="N26" s="171"/>
      <c r="O26" s="834" t="s">
        <v>678</v>
      </c>
      <c r="P26" s="835"/>
    </row>
    <row r="27" spans="1:16" ht="15.75" customHeight="1">
      <c r="A27" s="777"/>
      <c r="B27" s="855"/>
      <c r="C27" s="170">
        <v>3</v>
      </c>
      <c r="D27" s="588" t="s">
        <v>328</v>
      </c>
      <c r="E27" s="848"/>
      <c r="F27" s="849"/>
      <c r="G27" s="588" t="s">
        <v>688</v>
      </c>
      <c r="H27" s="848"/>
      <c r="I27" s="849"/>
      <c r="J27" s="4">
        <v>116.66</v>
      </c>
      <c r="K27" s="14">
        <v>4.4589959463673293E-2</v>
      </c>
      <c r="L27" s="4">
        <v>2.2880000000000038</v>
      </c>
      <c r="M27" s="397">
        <v>266.91808000000043</v>
      </c>
      <c r="N27" s="171"/>
      <c r="O27" s="834" t="s">
        <v>504</v>
      </c>
      <c r="P27" s="835"/>
    </row>
    <row r="28" spans="1:16" ht="15.75" customHeight="1">
      <c r="A28" s="777"/>
      <c r="B28" s="855"/>
      <c r="C28" s="170">
        <v>4</v>
      </c>
      <c r="D28" s="588" t="s">
        <v>594</v>
      </c>
      <c r="E28" s="848"/>
      <c r="F28" s="849"/>
      <c r="G28" s="588" t="s">
        <v>725</v>
      </c>
      <c r="H28" s="848"/>
      <c r="I28" s="849"/>
      <c r="J28" s="4">
        <v>147.28</v>
      </c>
      <c r="K28" s="14">
        <v>0.28266033254156758</v>
      </c>
      <c r="L28" s="4">
        <v>1.7849999999999993</v>
      </c>
      <c r="M28" s="397">
        <v>262.89479999999992</v>
      </c>
      <c r="N28" s="171"/>
      <c r="O28" s="834" t="s">
        <v>504</v>
      </c>
      <c r="P28" s="835"/>
    </row>
    <row r="29" spans="1:16" ht="15.75" customHeight="1" thickBot="1">
      <c r="A29" s="777"/>
      <c r="B29" s="855"/>
      <c r="C29" s="172">
        <v>5</v>
      </c>
      <c r="D29" s="588" t="s">
        <v>339</v>
      </c>
      <c r="E29" s="848"/>
      <c r="F29" s="849"/>
      <c r="G29" s="588" t="s">
        <v>706</v>
      </c>
      <c r="H29" s="848"/>
      <c r="I29" s="849"/>
      <c r="J29" s="4">
        <v>418.41</v>
      </c>
      <c r="K29" s="14">
        <v>4.9427221020587928E-2</v>
      </c>
      <c r="L29" s="4">
        <v>0.6169999999999991</v>
      </c>
      <c r="M29" s="397">
        <v>258.15896999999961</v>
      </c>
      <c r="N29" s="173"/>
      <c r="O29" s="836" t="s">
        <v>504</v>
      </c>
      <c r="P29" s="837"/>
    </row>
    <row r="30" spans="1:16" ht="15.75" customHeight="1" thickTop="1" thickBot="1">
      <c r="A30" s="778"/>
      <c r="B30" s="856"/>
      <c r="C30" s="860"/>
      <c r="D30" s="861"/>
      <c r="E30" s="861"/>
      <c r="F30" s="861"/>
      <c r="G30" s="861"/>
      <c r="H30" s="861"/>
      <c r="I30" s="862"/>
      <c r="J30" s="318" t="s">
        <v>605</v>
      </c>
      <c r="K30" s="244">
        <v>5.3752171300617962E-3</v>
      </c>
      <c r="L30" s="318" t="s">
        <v>606</v>
      </c>
      <c r="M30" s="398">
        <v>1334.8787700000003</v>
      </c>
      <c r="N30" s="869"/>
      <c r="O30" s="867"/>
      <c r="P30" s="868"/>
    </row>
    <row r="31" spans="1:16" ht="15.75" customHeight="1" thickTop="1"/>
  </sheetData>
  <mergeCells count="85">
    <mergeCell ref="A24:B24"/>
    <mergeCell ref="D24:F24"/>
    <mergeCell ref="O24:P24"/>
    <mergeCell ref="A25:A30"/>
    <mergeCell ref="B25:B30"/>
    <mergeCell ref="D25:F25"/>
    <mergeCell ref="G25:I25"/>
    <mergeCell ref="O25:P25"/>
    <mergeCell ref="D26:F26"/>
    <mergeCell ref="G26:I26"/>
    <mergeCell ref="O26:P26"/>
    <mergeCell ref="D27:F27"/>
    <mergeCell ref="G27:I27"/>
    <mergeCell ref="O27:P27"/>
    <mergeCell ref="C30:I30"/>
    <mergeCell ref="N30:P30"/>
    <mergeCell ref="A16:B16"/>
    <mergeCell ref="D16:F16"/>
    <mergeCell ref="O16:P16"/>
    <mergeCell ref="A17:A22"/>
    <mergeCell ref="B17:B22"/>
    <mergeCell ref="D17:F17"/>
    <mergeCell ref="G17:I17"/>
    <mergeCell ref="D18:F18"/>
    <mergeCell ref="G18:I18"/>
    <mergeCell ref="D20:F20"/>
    <mergeCell ref="C22:I22"/>
    <mergeCell ref="N22:P22"/>
    <mergeCell ref="D29:F29"/>
    <mergeCell ref="G29:I29"/>
    <mergeCell ref="O29:P29"/>
    <mergeCell ref="D28:F28"/>
    <mergeCell ref="G28:I28"/>
    <mergeCell ref="O28:P28"/>
    <mergeCell ref="D12:F12"/>
    <mergeCell ref="G12:I12"/>
    <mergeCell ref="O12:P12"/>
    <mergeCell ref="G21:I21"/>
    <mergeCell ref="O21:P21"/>
    <mergeCell ref="D19:F19"/>
    <mergeCell ref="G19:I19"/>
    <mergeCell ref="G20:I20"/>
    <mergeCell ref="O20:P20"/>
    <mergeCell ref="D21:F21"/>
    <mergeCell ref="O17:P17"/>
    <mergeCell ref="O18:P18"/>
    <mergeCell ref="O19:P19"/>
    <mergeCell ref="A9:A14"/>
    <mergeCell ref="B9:B14"/>
    <mergeCell ref="D9:F9"/>
    <mergeCell ref="G9:I9"/>
    <mergeCell ref="O9:P9"/>
    <mergeCell ref="D10:F10"/>
    <mergeCell ref="G10:I10"/>
    <mergeCell ref="D13:F13"/>
    <mergeCell ref="G13:I13"/>
    <mergeCell ref="O13:P13"/>
    <mergeCell ref="C14:I14"/>
    <mergeCell ref="N14:P14"/>
    <mergeCell ref="O10:P10"/>
    <mergeCell ref="D11:F11"/>
    <mergeCell ref="G11:I11"/>
    <mergeCell ref="O11:P11"/>
    <mergeCell ref="L6:M6"/>
    <mergeCell ref="N6:O6"/>
    <mergeCell ref="P6:Q6"/>
    <mergeCell ref="A8:B8"/>
    <mergeCell ref="D8:F8"/>
    <mergeCell ref="O8:P8"/>
    <mergeCell ref="A1:Q2"/>
    <mergeCell ref="A3:M4"/>
    <mergeCell ref="A5:A6"/>
    <mergeCell ref="B5:C5"/>
    <mergeCell ref="D5:E5"/>
    <mergeCell ref="F5:G5"/>
    <mergeCell ref="H5:I5"/>
    <mergeCell ref="J5:K5"/>
    <mergeCell ref="L5:M5"/>
    <mergeCell ref="N5:O5"/>
    <mergeCell ref="P5:Q5"/>
    <mergeCell ref="B6:C6"/>
    <mergeCell ref="D6:E6"/>
    <mergeCell ref="F6:G6"/>
    <mergeCell ref="H6:I6"/>
    <mergeCell ref="J6:K6"/>
  </mergeCells>
  <phoneticPr fontId="13" type="noConversion"/>
  <printOptions horizontalCentered="1" gridLines="1"/>
  <pageMargins left="0.39370078740157483" right="0.39370078740157483" top="0.39370078740157483" bottom="0.39370078740157483" header="0" footer="0"/>
  <pageSetup paperSize="9" scale="90" fitToWidth="0" fitToHeight="0" pageOrder="overThenDown" orientation="landscape" cellComments="atEnd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outlinePr summaryBelow="0" summaryRight="0"/>
  </sheetPr>
  <dimension ref="A1:W39"/>
  <sheetViews>
    <sheetView view="pageBreakPreview" topLeftCell="A7" zoomScaleNormal="60" zoomScaleSheetLayoutView="100" workbookViewId="0">
      <selection activeCell="A8" sqref="A8:P38"/>
    </sheetView>
  </sheetViews>
  <sheetFormatPr defaultColWidth="12.5703125" defaultRowHeight="15.75" customHeight="1"/>
  <cols>
    <col min="1" max="1" width="5.42578125" style="324" customWidth="1"/>
    <col min="2" max="2" width="11.42578125" style="325" customWidth="1"/>
    <col min="3" max="3" width="4" style="326" customWidth="1"/>
    <col min="4" max="17" width="9.5703125" style="324" customWidth="1"/>
    <col min="18" max="16384" width="12.5703125" style="324"/>
  </cols>
  <sheetData>
    <row r="1" spans="1:23" s="182" customFormat="1" ht="15.75" customHeight="1">
      <c r="A1" s="799" t="s">
        <v>487</v>
      </c>
      <c r="B1" s="799"/>
      <c r="C1" s="799"/>
      <c r="D1" s="799"/>
      <c r="E1" s="799"/>
      <c r="F1" s="799"/>
      <c r="G1" s="799"/>
      <c r="H1" s="799"/>
      <c r="I1" s="799"/>
      <c r="J1" s="799"/>
      <c r="K1" s="799"/>
      <c r="L1" s="799"/>
      <c r="M1" s="799"/>
      <c r="N1" s="799"/>
      <c r="O1" s="799"/>
      <c r="P1" s="799"/>
      <c r="Q1" s="799"/>
    </row>
    <row r="2" spans="1:23" s="183" customFormat="1" ht="15.75" customHeight="1">
      <c r="A2" s="799"/>
      <c r="B2" s="799"/>
      <c r="C2" s="799"/>
      <c r="D2" s="799"/>
      <c r="E2" s="799"/>
      <c r="F2" s="799"/>
      <c r="G2" s="799"/>
      <c r="H2" s="799"/>
      <c r="I2" s="799"/>
      <c r="J2" s="799"/>
      <c r="K2" s="799"/>
      <c r="L2" s="799"/>
      <c r="M2" s="799"/>
      <c r="N2" s="799"/>
      <c r="O2" s="799"/>
      <c r="P2" s="799"/>
      <c r="Q2" s="799"/>
    </row>
    <row r="3" spans="1:23" s="182" customFormat="1" ht="15.75" customHeight="1">
      <c r="A3" s="800" t="s">
        <v>488</v>
      </c>
      <c r="B3" s="800"/>
      <c r="C3" s="800"/>
      <c r="D3" s="800"/>
      <c r="E3" s="800"/>
      <c r="F3" s="800"/>
      <c r="G3" s="800"/>
      <c r="H3" s="800"/>
      <c r="I3" s="800"/>
      <c r="J3" s="800"/>
      <c r="K3" s="800"/>
      <c r="L3" s="800"/>
      <c r="M3" s="800"/>
      <c r="N3" s="184"/>
    </row>
    <row r="4" spans="1:23" s="183" customFormat="1" ht="15.75" customHeight="1">
      <c r="A4" s="800"/>
      <c r="B4" s="800"/>
      <c r="C4" s="800"/>
      <c r="D4" s="800"/>
      <c r="E4" s="800"/>
      <c r="F4" s="800"/>
      <c r="G4" s="800"/>
      <c r="H4" s="800"/>
      <c r="I4" s="800"/>
      <c r="J4" s="800"/>
      <c r="K4" s="800"/>
      <c r="L4" s="800"/>
      <c r="M4" s="800"/>
      <c r="N4" s="185"/>
    </row>
    <row r="5" spans="1:23" s="182" customFormat="1" ht="15.75" customHeight="1">
      <c r="A5" s="802" t="s">
        <v>486</v>
      </c>
      <c r="B5" s="805">
        <v>1</v>
      </c>
      <c r="C5" s="805"/>
      <c r="D5" s="805">
        <v>2</v>
      </c>
      <c r="E5" s="805"/>
      <c r="F5" s="805">
        <v>3</v>
      </c>
      <c r="G5" s="805"/>
      <c r="H5" s="887">
        <v>4</v>
      </c>
      <c r="I5" s="887"/>
      <c r="J5" s="887">
        <v>5</v>
      </c>
      <c r="K5" s="887"/>
      <c r="L5" s="887">
        <v>6</v>
      </c>
      <c r="M5" s="887"/>
      <c r="N5" s="887">
        <v>7</v>
      </c>
      <c r="O5" s="887"/>
      <c r="P5" s="805">
        <v>8</v>
      </c>
      <c r="Q5" s="805"/>
    </row>
    <row r="6" spans="1:23" s="182" customFormat="1" ht="15.75" customHeight="1">
      <c r="A6" s="802"/>
      <c r="B6" s="802" t="s">
        <v>489</v>
      </c>
      <c r="C6" s="802"/>
      <c r="D6" s="802" t="s">
        <v>490</v>
      </c>
      <c r="E6" s="802"/>
      <c r="F6" s="802" t="s">
        <v>491</v>
      </c>
      <c r="G6" s="802"/>
      <c r="H6" s="890" t="s">
        <v>492</v>
      </c>
      <c r="I6" s="888"/>
      <c r="J6" s="888" t="s">
        <v>493</v>
      </c>
      <c r="K6" s="888"/>
      <c r="L6" s="888" t="s">
        <v>494</v>
      </c>
      <c r="M6" s="888"/>
      <c r="N6" s="888" t="s">
        <v>495</v>
      </c>
      <c r="O6" s="888"/>
      <c r="P6" s="889" t="s">
        <v>496</v>
      </c>
      <c r="Q6" s="802"/>
    </row>
    <row r="7" spans="1:23" s="182" customFormat="1" ht="15.75" customHeight="1">
      <c r="B7" s="321"/>
      <c r="C7" s="322"/>
    </row>
    <row r="8" spans="1:23" s="323" customFormat="1" ht="15.75" customHeight="1">
      <c r="A8" s="871" t="s">
        <v>600</v>
      </c>
      <c r="B8" s="872"/>
      <c r="C8" s="116" t="s">
        <v>527</v>
      </c>
      <c r="D8" s="873" t="s">
        <v>12</v>
      </c>
      <c r="E8" s="874"/>
      <c r="F8" s="875"/>
      <c r="G8" s="114" t="s">
        <v>601</v>
      </c>
      <c r="H8" s="115"/>
      <c r="I8" s="116"/>
      <c r="J8" s="113" t="s">
        <v>602</v>
      </c>
      <c r="K8" s="113" t="s">
        <v>608</v>
      </c>
      <c r="L8" s="113" t="s">
        <v>604</v>
      </c>
      <c r="M8" s="117" t="s">
        <v>11</v>
      </c>
      <c r="N8" s="319" t="s">
        <v>13</v>
      </c>
      <c r="O8" s="876" t="s">
        <v>50</v>
      </c>
      <c r="P8" s="877"/>
      <c r="R8" s="182"/>
      <c r="S8" s="182"/>
      <c r="T8" s="182"/>
      <c r="U8" s="182"/>
      <c r="V8" s="182"/>
      <c r="W8" s="182"/>
    </row>
    <row r="9" spans="1:23" ht="15.75" customHeight="1">
      <c r="A9" s="872">
        <v>4</v>
      </c>
      <c r="B9" s="878" t="s">
        <v>485</v>
      </c>
      <c r="C9" s="111">
        <v>1</v>
      </c>
      <c r="D9" s="588" t="s">
        <v>344</v>
      </c>
      <c r="E9" s="848"/>
      <c r="F9" s="849"/>
      <c r="G9" s="588" t="s">
        <v>586</v>
      </c>
      <c r="H9" s="848"/>
      <c r="I9" s="849"/>
      <c r="J9" s="4">
        <v>371.13</v>
      </c>
      <c r="K9" s="14">
        <v>9.2908228059621588E-3</v>
      </c>
      <c r="L9" s="4">
        <v>0.97299999999999898</v>
      </c>
      <c r="M9" s="397">
        <v>361.1094899999996</v>
      </c>
      <c r="N9" s="4"/>
      <c r="O9" s="834" t="s">
        <v>436</v>
      </c>
      <c r="P9" s="870"/>
      <c r="R9" s="182"/>
      <c r="S9" s="182"/>
      <c r="T9" s="182"/>
      <c r="U9" s="182"/>
      <c r="V9" s="182"/>
      <c r="W9" s="182"/>
    </row>
    <row r="10" spans="1:23" ht="15.75" customHeight="1">
      <c r="A10" s="872"/>
      <c r="B10" s="878"/>
      <c r="C10" s="111">
        <v>2</v>
      </c>
      <c r="D10" s="588" t="s">
        <v>592</v>
      </c>
      <c r="E10" s="848"/>
      <c r="F10" s="849"/>
      <c r="G10" s="588" t="s">
        <v>726</v>
      </c>
      <c r="H10" s="848"/>
      <c r="I10" s="849"/>
      <c r="J10" s="4">
        <v>103.55</v>
      </c>
      <c r="K10" s="14">
        <v>1.4142807864780981E-2</v>
      </c>
      <c r="L10" s="4">
        <v>2.8700000000000045</v>
      </c>
      <c r="M10" s="397">
        <v>297.18850000000049</v>
      </c>
      <c r="N10" s="4"/>
      <c r="O10" s="834" t="s">
        <v>436</v>
      </c>
      <c r="P10" s="870"/>
      <c r="R10" s="182"/>
      <c r="S10" s="182"/>
      <c r="T10" s="182"/>
      <c r="U10" s="182"/>
      <c r="V10" s="182"/>
      <c r="W10" s="182"/>
    </row>
    <row r="11" spans="1:23" ht="15.75" customHeight="1">
      <c r="A11" s="872"/>
      <c r="B11" s="878"/>
      <c r="C11" s="111">
        <v>3</v>
      </c>
      <c r="D11" s="588" t="s">
        <v>727</v>
      </c>
      <c r="E11" s="848"/>
      <c r="F11" s="849"/>
      <c r="G11" s="588" t="s">
        <v>728</v>
      </c>
      <c r="H11" s="848"/>
      <c r="I11" s="849"/>
      <c r="J11" s="4">
        <v>423.49</v>
      </c>
      <c r="K11" s="14">
        <v>1.8619934282584877E-2</v>
      </c>
      <c r="L11" s="4">
        <v>0.67999999999999972</v>
      </c>
      <c r="M11" s="397">
        <v>287.97319999999991</v>
      </c>
      <c r="N11" s="4"/>
      <c r="O11" s="834" t="s">
        <v>436</v>
      </c>
      <c r="P11" s="870"/>
      <c r="R11" s="182"/>
      <c r="S11" s="182"/>
      <c r="T11" s="182"/>
      <c r="U11" s="182"/>
      <c r="V11" s="182"/>
      <c r="W11" s="182"/>
    </row>
    <row r="12" spans="1:23" ht="15.75" customHeight="1">
      <c r="A12" s="872"/>
      <c r="B12" s="878"/>
      <c r="C12" s="111">
        <v>4</v>
      </c>
      <c r="D12" s="588" t="s">
        <v>328</v>
      </c>
      <c r="E12" s="848"/>
      <c r="F12" s="849"/>
      <c r="G12" s="588" t="s">
        <v>729</v>
      </c>
      <c r="H12" s="848"/>
      <c r="I12" s="849"/>
      <c r="J12" s="4">
        <v>382.3</v>
      </c>
      <c r="K12" s="14">
        <v>1.6739896147281982E-2</v>
      </c>
      <c r="L12" s="4">
        <v>0.69149999999999778</v>
      </c>
      <c r="M12" s="397">
        <v>264.36044999999916</v>
      </c>
      <c r="N12" s="4"/>
      <c r="O12" s="834" t="s">
        <v>436</v>
      </c>
      <c r="P12" s="870"/>
      <c r="R12" s="182"/>
      <c r="S12" s="182"/>
      <c r="T12" s="182"/>
      <c r="U12" s="182"/>
      <c r="V12" s="182"/>
      <c r="W12" s="182"/>
    </row>
    <row r="13" spans="1:23" ht="15.75" customHeight="1" thickBot="1">
      <c r="A13" s="872"/>
      <c r="B13" s="878"/>
      <c r="C13" s="112">
        <v>5</v>
      </c>
      <c r="D13" s="588" t="s">
        <v>690</v>
      </c>
      <c r="E13" s="848"/>
      <c r="F13" s="849"/>
      <c r="G13" s="588" t="s">
        <v>689</v>
      </c>
      <c r="H13" s="848"/>
      <c r="I13" s="849"/>
      <c r="J13" s="4">
        <v>127.48</v>
      </c>
      <c r="K13" s="14">
        <v>1.5765188413227407E-2</v>
      </c>
      <c r="L13" s="4">
        <v>1.9680000000000035</v>
      </c>
      <c r="M13" s="397">
        <v>250.88064000000045</v>
      </c>
      <c r="N13" s="4"/>
      <c r="O13" s="834" t="s">
        <v>436</v>
      </c>
      <c r="P13" s="870"/>
      <c r="R13" s="182"/>
      <c r="S13" s="182"/>
      <c r="T13" s="182"/>
      <c r="U13" s="182"/>
      <c r="V13" s="182"/>
      <c r="W13" s="182"/>
    </row>
    <row r="14" spans="1:23" ht="15.75" customHeight="1" thickTop="1" thickBot="1">
      <c r="A14" s="872"/>
      <c r="B14" s="878"/>
      <c r="C14" s="880"/>
      <c r="D14" s="880"/>
      <c r="E14" s="880"/>
      <c r="F14" s="880"/>
      <c r="G14" s="880"/>
      <c r="H14" s="880"/>
      <c r="I14" s="880"/>
      <c r="J14" s="245" t="s">
        <v>605</v>
      </c>
      <c r="K14" s="244">
        <v>5.8851380513390509E-3</v>
      </c>
      <c r="L14" s="245" t="s">
        <v>606</v>
      </c>
      <c r="M14" s="398">
        <v>1461.5122799999997</v>
      </c>
      <c r="N14" s="879"/>
      <c r="O14" s="879"/>
      <c r="P14" s="879"/>
      <c r="R14" s="182"/>
      <c r="S14" s="182"/>
      <c r="T14" s="182"/>
      <c r="U14" s="182"/>
      <c r="V14" s="182"/>
      <c r="W14" s="182"/>
    </row>
    <row r="15" spans="1:23" ht="15.75" customHeight="1" thickTop="1">
      <c r="A15" s="567"/>
      <c r="B15" s="110"/>
      <c r="C15" s="108"/>
      <c r="D15" s="567"/>
      <c r="E15" s="567"/>
      <c r="F15" s="567"/>
      <c r="G15" s="567"/>
      <c r="H15" s="567"/>
      <c r="I15" s="567"/>
      <c r="J15" s="567"/>
      <c r="K15" s="567"/>
      <c r="L15" s="567"/>
      <c r="M15" s="567"/>
      <c r="N15" s="567"/>
      <c r="O15" s="567"/>
      <c r="P15" s="567"/>
      <c r="R15" s="182"/>
      <c r="S15" s="182"/>
      <c r="T15" s="182"/>
      <c r="U15" s="182"/>
      <c r="V15" s="182"/>
      <c r="W15" s="182"/>
    </row>
    <row r="16" spans="1:23" ht="15.75" customHeight="1">
      <c r="A16" s="871" t="s">
        <v>600</v>
      </c>
      <c r="B16" s="872"/>
      <c r="C16" s="116" t="s">
        <v>527</v>
      </c>
      <c r="D16" s="873" t="s">
        <v>12</v>
      </c>
      <c r="E16" s="874"/>
      <c r="F16" s="875"/>
      <c r="G16" s="114" t="s">
        <v>601</v>
      </c>
      <c r="H16" s="115"/>
      <c r="I16" s="116"/>
      <c r="J16" s="113" t="s">
        <v>602</v>
      </c>
      <c r="K16" s="113" t="s">
        <v>608</v>
      </c>
      <c r="L16" s="113" t="s">
        <v>604</v>
      </c>
      <c r="M16" s="117" t="s">
        <v>11</v>
      </c>
      <c r="N16" s="319" t="s">
        <v>13</v>
      </c>
      <c r="O16" s="876" t="s">
        <v>50</v>
      </c>
      <c r="P16" s="877"/>
      <c r="R16" s="182"/>
      <c r="S16" s="182"/>
      <c r="T16" s="182"/>
      <c r="U16" s="182"/>
      <c r="V16" s="182"/>
      <c r="W16" s="182"/>
    </row>
    <row r="17" spans="1:23" ht="15.75" customHeight="1">
      <c r="A17" s="872">
        <v>5</v>
      </c>
      <c r="B17" s="881" t="s">
        <v>193</v>
      </c>
      <c r="C17" s="111">
        <v>1</v>
      </c>
      <c r="D17" s="588" t="s">
        <v>708</v>
      </c>
      <c r="E17" s="848"/>
      <c r="F17" s="849"/>
      <c r="G17" s="588" t="s">
        <v>709</v>
      </c>
      <c r="H17" s="848"/>
      <c r="I17" s="849"/>
      <c r="J17" s="4">
        <v>548.80999999999995</v>
      </c>
      <c r="K17" s="14">
        <v>7.8931390406800934E-3</v>
      </c>
      <c r="L17" s="4">
        <v>0.65000000000000568</v>
      </c>
      <c r="M17" s="397">
        <v>356.72650000000306</v>
      </c>
      <c r="N17" s="4"/>
      <c r="O17" s="834" t="s">
        <v>497</v>
      </c>
      <c r="P17" s="835"/>
      <c r="R17" s="182"/>
      <c r="S17" s="182"/>
      <c r="T17" s="182"/>
      <c r="U17" s="182"/>
      <c r="V17" s="182"/>
      <c r="W17" s="182"/>
    </row>
    <row r="18" spans="1:23" ht="15.75" customHeight="1">
      <c r="A18" s="872"/>
      <c r="B18" s="878"/>
      <c r="C18" s="111">
        <v>2</v>
      </c>
      <c r="D18" s="588" t="s">
        <v>559</v>
      </c>
      <c r="E18" s="848"/>
      <c r="F18" s="849"/>
      <c r="G18" s="588" t="s">
        <v>560</v>
      </c>
      <c r="H18" s="848"/>
      <c r="I18" s="849"/>
      <c r="J18" s="4">
        <v>447.3</v>
      </c>
      <c r="K18" s="14">
        <v>7.549361207897805E-3</v>
      </c>
      <c r="L18" s="4">
        <v>0.78000000000000114</v>
      </c>
      <c r="M18" s="397">
        <v>348.89400000000052</v>
      </c>
      <c r="N18" s="4"/>
      <c r="O18" s="834" t="s">
        <v>497</v>
      </c>
      <c r="P18" s="835"/>
      <c r="R18" s="182"/>
      <c r="S18" s="182"/>
      <c r="T18" s="182"/>
      <c r="U18" s="182"/>
      <c r="V18" s="182"/>
      <c r="W18" s="182"/>
    </row>
    <row r="19" spans="1:23" ht="15.75" customHeight="1">
      <c r="A19" s="872"/>
      <c r="B19" s="878"/>
      <c r="C19" s="111">
        <v>3</v>
      </c>
      <c r="D19" s="588" t="s">
        <v>718</v>
      </c>
      <c r="E19" s="848"/>
      <c r="F19" s="849"/>
      <c r="G19" s="588" t="s">
        <v>730</v>
      </c>
      <c r="H19" s="848"/>
      <c r="I19" s="849"/>
      <c r="J19" s="4">
        <v>380.28</v>
      </c>
      <c r="K19" s="14">
        <v>1.190476190476198E-2</v>
      </c>
      <c r="L19" s="4">
        <v>0.90000000000000568</v>
      </c>
      <c r="M19" s="397">
        <v>342.25200000000211</v>
      </c>
      <c r="N19" s="4"/>
      <c r="O19" s="834" t="s">
        <v>497</v>
      </c>
      <c r="P19" s="835"/>
      <c r="R19" s="182"/>
      <c r="S19" s="182"/>
      <c r="T19" s="182"/>
      <c r="U19" s="182"/>
      <c r="V19" s="182"/>
      <c r="W19" s="182"/>
    </row>
    <row r="20" spans="1:23" ht="15.75" customHeight="1">
      <c r="A20" s="872"/>
      <c r="B20" s="878"/>
      <c r="C20" s="111">
        <v>4</v>
      </c>
      <c r="D20" s="588" t="s">
        <v>694</v>
      </c>
      <c r="E20" s="848"/>
      <c r="F20" s="849"/>
      <c r="G20" s="588" t="s">
        <v>693</v>
      </c>
      <c r="H20" s="848"/>
      <c r="I20" s="849"/>
      <c r="J20" s="4">
        <v>344.19</v>
      </c>
      <c r="K20" s="14">
        <v>1.7010495837857489E-2</v>
      </c>
      <c r="L20" s="4">
        <v>0.94000000000000483</v>
      </c>
      <c r="M20" s="397">
        <v>323.53860000000168</v>
      </c>
      <c r="N20" s="4"/>
      <c r="O20" s="834" t="s">
        <v>497</v>
      </c>
      <c r="P20" s="835"/>
      <c r="R20" s="182"/>
      <c r="S20" s="182"/>
      <c r="T20" s="182"/>
      <c r="U20" s="182"/>
      <c r="V20" s="182"/>
      <c r="W20" s="182"/>
    </row>
    <row r="21" spans="1:23" ht="15.75" customHeight="1" thickBot="1">
      <c r="A21" s="872"/>
      <c r="B21" s="878"/>
      <c r="C21" s="112">
        <v>5</v>
      </c>
      <c r="D21" s="588" t="s">
        <v>342</v>
      </c>
      <c r="E21" s="848"/>
      <c r="F21" s="849"/>
      <c r="G21" s="588" t="s">
        <v>705</v>
      </c>
      <c r="H21" s="848"/>
      <c r="I21" s="849"/>
      <c r="J21" s="4">
        <v>420.33</v>
      </c>
      <c r="K21" s="14">
        <v>1.5317207178488742E-2</v>
      </c>
      <c r="L21" s="4">
        <v>0.76930673053959708</v>
      </c>
      <c r="M21" s="397">
        <v>323.36269804770882</v>
      </c>
      <c r="N21" s="4"/>
      <c r="O21" s="834" t="s">
        <v>497</v>
      </c>
      <c r="P21" s="835"/>
      <c r="R21" s="182"/>
      <c r="S21" s="182"/>
      <c r="T21" s="182"/>
      <c r="U21" s="182"/>
      <c r="V21" s="182"/>
      <c r="W21" s="182"/>
    </row>
    <row r="22" spans="1:23" ht="15.75" customHeight="1" thickTop="1" thickBot="1">
      <c r="A22" s="872"/>
      <c r="B22" s="878"/>
      <c r="C22" s="885"/>
      <c r="D22" s="885"/>
      <c r="E22" s="885"/>
      <c r="F22" s="885"/>
      <c r="G22" s="885"/>
      <c r="H22" s="885"/>
      <c r="I22" s="886"/>
      <c r="J22" s="118" t="s">
        <v>605</v>
      </c>
      <c r="K22" s="244">
        <v>6.8244228281838463E-3</v>
      </c>
      <c r="L22" s="118" t="s">
        <v>606</v>
      </c>
      <c r="M22" s="398">
        <v>1694.7737980477164</v>
      </c>
      <c r="N22" s="882"/>
      <c r="O22" s="883"/>
      <c r="P22" s="884"/>
      <c r="R22" s="182"/>
      <c r="S22" s="182"/>
      <c r="T22" s="182"/>
      <c r="U22" s="182"/>
      <c r="V22" s="182"/>
      <c r="W22" s="182"/>
    </row>
    <row r="23" spans="1:23" ht="15.75" customHeight="1" thickTop="1">
      <c r="A23" s="567"/>
      <c r="B23" s="110"/>
      <c r="C23" s="108"/>
      <c r="D23" s="567"/>
      <c r="E23" s="567"/>
      <c r="F23" s="567"/>
      <c r="G23" s="567"/>
      <c r="H23" s="567"/>
      <c r="I23" s="567"/>
      <c r="J23" s="567"/>
      <c r="K23" s="567"/>
      <c r="L23" s="567"/>
      <c r="M23" s="567"/>
      <c r="N23" s="567"/>
      <c r="O23" s="567"/>
      <c r="P23" s="567"/>
      <c r="R23" s="182"/>
      <c r="S23" s="182"/>
      <c r="T23" s="182"/>
      <c r="U23" s="182"/>
      <c r="V23" s="182"/>
      <c r="W23" s="182"/>
    </row>
    <row r="24" spans="1:23" ht="15.75" customHeight="1">
      <c r="A24" s="871" t="s">
        <v>600</v>
      </c>
      <c r="B24" s="872"/>
      <c r="C24" s="116" t="s">
        <v>527</v>
      </c>
      <c r="D24" s="873" t="s">
        <v>12</v>
      </c>
      <c r="E24" s="874"/>
      <c r="F24" s="875"/>
      <c r="G24" s="114" t="s">
        <v>601</v>
      </c>
      <c r="H24" s="115"/>
      <c r="I24" s="116"/>
      <c r="J24" s="113" t="s">
        <v>602</v>
      </c>
      <c r="K24" s="113" t="s">
        <v>608</v>
      </c>
      <c r="L24" s="113" t="s">
        <v>604</v>
      </c>
      <c r="M24" s="117" t="s">
        <v>11</v>
      </c>
      <c r="N24" s="319" t="s">
        <v>13</v>
      </c>
      <c r="O24" s="876" t="s">
        <v>50</v>
      </c>
      <c r="P24" s="877"/>
      <c r="R24" s="182"/>
      <c r="S24" s="182"/>
      <c r="T24" s="182"/>
      <c r="U24" s="182"/>
      <c r="V24" s="182"/>
      <c r="W24" s="182"/>
    </row>
    <row r="25" spans="1:23" ht="15.75" customHeight="1">
      <c r="A25" s="872">
        <v>6</v>
      </c>
      <c r="B25" s="881" t="s">
        <v>194</v>
      </c>
      <c r="C25" s="111">
        <v>1</v>
      </c>
      <c r="D25" s="588" t="s">
        <v>540</v>
      </c>
      <c r="E25" s="848"/>
      <c r="F25" s="849"/>
      <c r="G25" s="588" t="s">
        <v>684</v>
      </c>
      <c r="H25" s="848"/>
      <c r="I25" s="849"/>
      <c r="J25" s="4">
        <v>444.88</v>
      </c>
      <c r="K25" s="14">
        <v>2.1450459652706852E-2</v>
      </c>
      <c r="L25" s="4">
        <v>0.75600000000000023</v>
      </c>
      <c r="M25" s="397">
        <v>336.3292800000001</v>
      </c>
      <c r="N25" s="4"/>
      <c r="O25" s="832" t="s">
        <v>610</v>
      </c>
      <c r="P25" s="870"/>
      <c r="R25" s="182"/>
      <c r="S25" s="182"/>
      <c r="T25" s="182"/>
      <c r="U25" s="182"/>
      <c r="V25" s="182"/>
      <c r="W25" s="182"/>
    </row>
    <row r="26" spans="1:23" ht="15.75" customHeight="1">
      <c r="A26" s="872"/>
      <c r="B26" s="878"/>
      <c r="C26" s="111">
        <v>2</v>
      </c>
      <c r="D26" s="588" t="s">
        <v>594</v>
      </c>
      <c r="E26" s="848"/>
      <c r="F26" s="849"/>
      <c r="G26" s="588" t="s">
        <v>329</v>
      </c>
      <c r="H26" s="848"/>
      <c r="I26" s="849"/>
      <c r="J26" s="4">
        <v>487.66</v>
      </c>
      <c r="K26" s="14">
        <v>1.380350307388948E-2</v>
      </c>
      <c r="L26" s="4">
        <v>0.59500000000000597</v>
      </c>
      <c r="M26" s="397">
        <v>290.15770000000293</v>
      </c>
      <c r="N26" s="4"/>
      <c r="O26" s="834" t="s">
        <v>610</v>
      </c>
      <c r="P26" s="870"/>
      <c r="R26" s="182"/>
      <c r="S26" s="182"/>
      <c r="T26" s="182"/>
      <c r="U26" s="182"/>
      <c r="V26" s="182"/>
      <c r="W26" s="182"/>
    </row>
    <row r="27" spans="1:23" ht="15.75" customHeight="1">
      <c r="A27" s="872"/>
      <c r="B27" s="878"/>
      <c r="C27" s="111">
        <v>3</v>
      </c>
      <c r="D27" s="588" t="s">
        <v>699</v>
      </c>
      <c r="E27" s="848"/>
      <c r="F27" s="849"/>
      <c r="G27" s="588" t="s">
        <v>698</v>
      </c>
      <c r="H27" s="848"/>
      <c r="I27" s="849"/>
      <c r="J27" s="4">
        <v>370.75</v>
      </c>
      <c r="K27" s="14">
        <v>3.0085022890778315E-2</v>
      </c>
      <c r="L27" s="4">
        <v>0.73600000000000065</v>
      </c>
      <c r="M27" s="397">
        <v>272.87200000000024</v>
      </c>
      <c r="N27" s="4"/>
      <c r="O27" s="834" t="s">
        <v>610</v>
      </c>
      <c r="P27" s="870"/>
      <c r="R27" s="182"/>
      <c r="S27" s="182"/>
      <c r="T27" s="182"/>
      <c r="U27" s="182"/>
      <c r="V27" s="182"/>
      <c r="W27" s="182"/>
    </row>
    <row r="28" spans="1:23" ht="15.75" customHeight="1">
      <c r="A28" s="872"/>
      <c r="B28" s="878"/>
      <c r="C28" s="111">
        <v>4</v>
      </c>
      <c r="D28" s="588">
        <v>0</v>
      </c>
      <c r="E28" s="848"/>
      <c r="F28" s="849"/>
      <c r="G28" s="588">
        <v>0</v>
      </c>
      <c r="H28" s="848"/>
      <c r="I28" s="849"/>
      <c r="J28" s="4">
        <v>0</v>
      </c>
      <c r="K28" s="14">
        <v>0</v>
      </c>
      <c r="L28" s="4">
        <v>0</v>
      </c>
      <c r="M28" s="397">
        <v>0</v>
      </c>
      <c r="N28" s="4"/>
      <c r="O28" s="834"/>
      <c r="P28" s="870"/>
      <c r="R28" s="182"/>
      <c r="S28" s="182"/>
      <c r="T28" s="182"/>
      <c r="U28" s="182"/>
      <c r="V28" s="182"/>
      <c r="W28" s="182"/>
    </row>
    <row r="29" spans="1:23" ht="15.75" customHeight="1" thickBot="1">
      <c r="A29" s="872"/>
      <c r="B29" s="878"/>
      <c r="C29" s="112">
        <v>5</v>
      </c>
      <c r="D29" s="588">
        <v>0</v>
      </c>
      <c r="E29" s="848"/>
      <c r="F29" s="849"/>
      <c r="G29" s="588">
        <v>0</v>
      </c>
      <c r="H29" s="848"/>
      <c r="I29" s="849"/>
      <c r="J29" s="4">
        <v>0</v>
      </c>
      <c r="K29" s="14">
        <v>0</v>
      </c>
      <c r="L29" s="4">
        <v>0</v>
      </c>
      <c r="M29" s="397">
        <v>0</v>
      </c>
      <c r="N29" s="4"/>
      <c r="O29" s="834"/>
      <c r="P29" s="870"/>
      <c r="R29" s="182"/>
      <c r="S29" s="182"/>
      <c r="T29" s="182"/>
      <c r="U29" s="182"/>
      <c r="V29" s="182"/>
      <c r="W29" s="182"/>
    </row>
    <row r="30" spans="1:23" ht="15.75" customHeight="1" thickTop="1" thickBot="1">
      <c r="A30" s="872"/>
      <c r="B30" s="878"/>
      <c r="C30" s="885"/>
      <c r="D30" s="885"/>
      <c r="E30" s="885"/>
      <c r="F30" s="885"/>
      <c r="G30" s="885"/>
      <c r="H30" s="885"/>
      <c r="I30" s="886"/>
      <c r="J30" s="118" t="s">
        <v>605</v>
      </c>
      <c r="K30" s="244">
        <v>3.621489759231785E-3</v>
      </c>
      <c r="L30" s="118" t="s">
        <v>606</v>
      </c>
      <c r="M30" s="398">
        <v>899.35898000000338</v>
      </c>
      <c r="N30" s="882"/>
      <c r="O30" s="883"/>
      <c r="P30" s="884"/>
      <c r="R30" s="182"/>
      <c r="S30" s="182"/>
      <c r="T30" s="182"/>
      <c r="U30" s="182"/>
      <c r="V30" s="182"/>
      <c r="W30" s="182"/>
    </row>
    <row r="31" spans="1:23" ht="15.75" customHeight="1" thickTop="1">
      <c r="A31" s="567"/>
      <c r="B31" s="110"/>
      <c r="C31" s="108"/>
      <c r="D31" s="567"/>
      <c r="E31" s="567"/>
      <c r="F31" s="567"/>
      <c r="G31" s="567"/>
      <c r="H31" s="567"/>
      <c r="I31" s="567"/>
      <c r="J31" s="567"/>
      <c r="K31" s="567"/>
      <c r="L31" s="567"/>
      <c r="M31" s="567"/>
      <c r="N31" s="567"/>
      <c r="O31" s="567"/>
      <c r="P31" s="567"/>
      <c r="R31" s="182"/>
      <c r="S31" s="182"/>
      <c r="T31" s="182"/>
      <c r="U31" s="182"/>
      <c r="V31" s="182"/>
      <c r="W31" s="182"/>
    </row>
    <row r="32" spans="1:23" ht="15.75" customHeight="1">
      <c r="A32" s="871" t="s">
        <v>600</v>
      </c>
      <c r="B32" s="872"/>
      <c r="C32" s="116" t="s">
        <v>527</v>
      </c>
      <c r="D32" s="873" t="s">
        <v>12</v>
      </c>
      <c r="E32" s="874"/>
      <c r="F32" s="875"/>
      <c r="G32" s="114" t="s">
        <v>601</v>
      </c>
      <c r="H32" s="115"/>
      <c r="I32" s="116"/>
      <c r="J32" s="113" t="s">
        <v>602</v>
      </c>
      <c r="K32" s="113" t="s">
        <v>608</v>
      </c>
      <c r="L32" s="113" t="s">
        <v>604</v>
      </c>
      <c r="M32" s="117" t="s">
        <v>11</v>
      </c>
      <c r="N32" s="117" t="s">
        <v>13</v>
      </c>
      <c r="O32" s="876" t="s">
        <v>50</v>
      </c>
      <c r="P32" s="877"/>
      <c r="R32" s="182"/>
      <c r="S32" s="182"/>
      <c r="T32" s="182"/>
      <c r="U32" s="182"/>
      <c r="V32" s="182"/>
      <c r="W32" s="182"/>
    </row>
    <row r="33" spans="1:23" ht="15.75" customHeight="1">
      <c r="A33" s="872">
        <v>7</v>
      </c>
      <c r="B33" s="881" t="s">
        <v>498</v>
      </c>
      <c r="C33" s="111">
        <v>1</v>
      </c>
      <c r="D33" s="588" t="s">
        <v>655</v>
      </c>
      <c r="E33" s="848"/>
      <c r="F33" s="849"/>
      <c r="G33" s="588" t="s">
        <v>656</v>
      </c>
      <c r="H33" s="848"/>
      <c r="I33" s="849"/>
      <c r="J33" s="4">
        <v>1010.1</v>
      </c>
      <c r="K33" s="14">
        <v>4.0848389630793437E-2</v>
      </c>
      <c r="L33" s="4">
        <v>0.41600000000000037</v>
      </c>
      <c r="M33" s="397">
        <v>420.20160000000038</v>
      </c>
      <c r="N33" s="4"/>
      <c r="O33" s="834" t="s">
        <v>568</v>
      </c>
      <c r="P33" s="870"/>
      <c r="R33" s="182"/>
      <c r="S33" s="182"/>
      <c r="T33" s="182"/>
      <c r="U33" s="182"/>
      <c r="V33" s="182"/>
      <c r="W33" s="182"/>
    </row>
    <row r="34" spans="1:23" ht="15.75" customHeight="1">
      <c r="A34" s="872"/>
      <c r="B34" s="878"/>
      <c r="C34" s="111">
        <v>2</v>
      </c>
      <c r="D34" s="588" t="s">
        <v>655</v>
      </c>
      <c r="E34" s="848"/>
      <c r="F34" s="849"/>
      <c r="G34" s="588" t="s">
        <v>659</v>
      </c>
      <c r="H34" s="848"/>
      <c r="I34" s="849"/>
      <c r="J34" s="4">
        <v>622.54999999999995</v>
      </c>
      <c r="K34" s="14">
        <v>0.27701375245579568</v>
      </c>
      <c r="L34" s="4">
        <v>0.56400000000000006</v>
      </c>
      <c r="M34" s="397">
        <v>351.1182</v>
      </c>
      <c r="N34" s="4"/>
      <c r="O34" s="834" t="s">
        <v>568</v>
      </c>
      <c r="P34" s="870"/>
      <c r="R34" s="182"/>
      <c r="S34" s="182"/>
      <c r="T34" s="182"/>
      <c r="U34" s="182"/>
      <c r="V34" s="182"/>
      <c r="W34" s="182"/>
    </row>
    <row r="35" spans="1:23" ht="15.75" customHeight="1">
      <c r="A35" s="872"/>
      <c r="B35" s="878"/>
      <c r="C35" s="111">
        <v>3</v>
      </c>
      <c r="D35" s="588" t="s">
        <v>591</v>
      </c>
      <c r="E35" s="848"/>
      <c r="F35" s="849"/>
      <c r="G35" s="588" t="s">
        <v>660</v>
      </c>
      <c r="H35" s="848"/>
      <c r="I35" s="849"/>
      <c r="J35" s="4">
        <v>935.2</v>
      </c>
      <c r="K35" s="14">
        <v>3.637074696910441E-2</v>
      </c>
      <c r="L35" s="4">
        <v>0.37199999999999989</v>
      </c>
      <c r="M35" s="397">
        <v>347.89439999999991</v>
      </c>
      <c r="N35" s="4"/>
      <c r="O35" s="834" t="s">
        <v>568</v>
      </c>
      <c r="P35" s="870"/>
      <c r="R35" s="182"/>
      <c r="S35" s="182"/>
      <c r="T35" s="182"/>
      <c r="U35" s="182"/>
      <c r="V35" s="182"/>
      <c r="W35" s="182"/>
    </row>
    <row r="36" spans="1:23" ht="15.75" customHeight="1">
      <c r="A36" s="872"/>
      <c r="B36" s="878"/>
      <c r="C36" s="111">
        <v>4</v>
      </c>
      <c r="D36" s="588">
        <v>0</v>
      </c>
      <c r="E36" s="848"/>
      <c r="F36" s="849"/>
      <c r="G36" s="588">
        <v>0</v>
      </c>
      <c r="H36" s="848"/>
      <c r="I36" s="849"/>
      <c r="J36" s="4">
        <v>0</v>
      </c>
      <c r="K36" s="14">
        <v>0</v>
      </c>
      <c r="L36" s="4">
        <v>0</v>
      </c>
      <c r="M36" s="397">
        <v>0</v>
      </c>
      <c r="N36" s="4"/>
      <c r="O36" s="834"/>
      <c r="P36" s="870"/>
      <c r="R36" s="182"/>
      <c r="S36" s="182"/>
      <c r="T36" s="182"/>
      <c r="U36" s="182"/>
      <c r="V36" s="182"/>
      <c r="W36" s="182"/>
    </row>
    <row r="37" spans="1:23" ht="15.75" customHeight="1" thickBot="1">
      <c r="A37" s="872"/>
      <c r="B37" s="878"/>
      <c r="C37" s="112">
        <v>5</v>
      </c>
      <c r="D37" s="588">
        <v>0</v>
      </c>
      <c r="E37" s="848"/>
      <c r="F37" s="849"/>
      <c r="G37" s="588">
        <v>0</v>
      </c>
      <c r="H37" s="848"/>
      <c r="I37" s="849"/>
      <c r="J37" s="4">
        <v>0</v>
      </c>
      <c r="K37" s="14">
        <v>0</v>
      </c>
      <c r="L37" s="4">
        <v>0</v>
      </c>
      <c r="M37" s="397">
        <v>0</v>
      </c>
      <c r="N37" s="4"/>
      <c r="O37" s="834"/>
      <c r="P37" s="870"/>
      <c r="R37" s="182"/>
      <c r="S37" s="182"/>
      <c r="T37" s="182"/>
      <c r="U37" s="182"/>
      <c r="V37" s="182"/>
      <c r="W37" s="182"/>
    </row>
    <row r="38" spans="1:23" ht="15.75" customHeight="1" thickTop="1" thickBot="1">
      <c r="A38" s="872"/>
      <c r="B38" s="878"/>
      <c r="C38" s="885"/>
      <c r="D38" s="885"/>
      <c r="E38" s="885"/>
      <c r="F38" s="885"/>
      <c r="G38" s="885"/>
      <c r="H38" s="885"/>
      <c r="I38" s="886"/>
      <c r="J38" s="118" t="s">
        <v>605</v>
      </c>
      <c r="K38" s="244">
        <v>4.5067907852399279E-3</v>
      </c>
      <c r="L38" s="118" t="s">
        <v>606</v>
      </c>
      <c r="M38" s="398">
        <v>1119.2142000000003</v>
      </c>
      <c r="N38" s="882"/>
      <c r="O38" s="883"/>
      <c r="P38" s="884"/>
      <c r="R38" s="182"/>
      <c r="S38" s="182"/>
      <c r="T38" s="182"/>
      <c r="U38" s="182"/>
      <c r="V38" s="182"/>
      <c r="W38" s="182"/>
    </row>
    <row r="39" spans="1:23" ht="15.75" customHeight="1" thickTop="1"/>
  </sheetData>
  <mergeCells count="107">
    <mergeCell ref="A32:B32"/>
    <mergeCell ref="D32:F32"/>
    <mergeCell ref="O32:P32"/>
    <mergeCell ref="A33:A38"/>
    <mergeCell ref="B33:B38"/>
    <mergeCell ref="D33:F33"/>
    <mergeCell ref="G33:I33"/>
    <mergeCell ref="O33:P33"/>
    <mergeCell ref="C38:I38"/>
    <mergeCell ref="N38:P38"/>
    <mergeCell ref="D36:F36"/>
    <mergeCell ref="G36:I36"/>
    <mergeCell ref="O36:P36"/>
    <mergeCell ref="D37:F37"/>
    <mergeCell ref="G37:I37"/>
    <mergeCell ref="O37:P37"/>
    <mergeCell ref="D34:F34"/>
    <mergeCell ref="G34:I34"/>
    <mergeCell ref="O34:P34"/>
    <mergeCell ref="D35:F35"/>
    <mergeCell ref="G35:I35"/>
    <mergeCell ref="O35:P35"/>
    <mergeCell ref="A24:B24"/>
    <mergeCell ref="D24:F24"/>
    <mergeCell ref="O24:P24"/>
    <mergeCell ref="A25:A30"/>
    <mergeCell ref="B25:B30"/>
    <mergeCell ref="D25:F25"/>
    <mergeCell ref="G25:I25"/>
    <mergeCell ref="O25:P25"/>
    <mergeCell ref="D28:F28"/>
    <mergeCell ref="G28:I28"/>
    <mergeCell ref="O28:P28"/>
    <mergeCell ref="D29:F29"/>
    <mergeCell ref="G29:I29"/>
    <mergeCell ref="O29:P29"/>
    <mergeCell ref="D26:F26"/>
    <mergeCell ref="G26:I26"/>
    <mergeCell ref="O26:P26"/>
    <mergeCell ref="D27:F27"/>
    <mergeCell ref="G27:I27"/>
    <mergeCell ref="O27:P27"/>
    <mergeCell ref="C30:I30"/>
    <mergeCell ref="N30:P30"/>
    <mergeCell ref="O19:P19"/>
    <mergeCell ref="D20:F20"/>
    <mergeCell ref="G20:I20"/>
    <mergeCell ref="O20:P20"/>
    <mergeCell ref="D21:F21"/>
    <mergeCell ref="G21:I21"/>
    <mergeCell ref="O21:P21"/>
    <mergeCell ref="A17:A22"/>
    <mergeCell ref="B17:B22"/>
    <mergeCell ref="D17:F17"/>
    <mergeCell ref="G17:I17"/>
    <mergeCell ref="O17:P17"/>
    <mergeCell ref="D18:F18"/>
    <mergeCell ref="G18:I18"/>
    <mergeCell ref="O18:P18"/>
    <mergeCell ref="D19:F19"/>
    <mergeCell ref="G19:I19"/>
    <mergeCell ref="C22:I22"/>
    <mergeCell ref="N22:P22"/>
    <mergeCell ref="A16:B16"/>
    <mergeCell ref="D16:F16"/>
    <mergeCell ref="O16:P16"/>
    <mergeCell ref="O10:P10"/>
    <mergeCell ref="D11:F11"/>
    <mergeCell ref="G11:I11"/>
    <mergeCell ref="O11:P11"/>
    <mergeCell ref="D12:F12"/>
    <mergeCell ref="G12:I12"/>
    <mergeCell ref="O12:P12"/>
    <mergeCell ref="A8:B8"/>
    <mergeCell ref="D8:F8"/>
    <mergeCell ref="O8:P8"/>
    <mergeCell ref="A9:A14"/>
    <mergeCell ref="B9:B14"/>
    <mergeCell ref="D9:F9"/>
    <mergeCell ref="G9:I9"/>
    <mergeCell ref="O9:P9"/>
    <mergeCell ref="D10:F10"/>
    <mergeCell ref="G10:I10"/>
    <mergeCell ref="D13:F13"/>
    <mergeCell ref="G13:I13"/>
    <mergeCell ref="O13:P13"/>
    <mergeCell ref="C14:I14"/>
    <mergeCell ref="N14:P14"/>
    <mergeCell ref="A1:Q2"/>
    <mergeCell ref="A3:M4"/>
    <mergeCell ref="A5:A6"/>
    <mergeCell ref="B5:C5"/>
    <mergeCell ref="D5:E5"/>
    <mergeCell ref="F5:G5"/>
    <mergeCell ref="H5:I5"/>
    <mergeCell ref="J5:K5"/>
    <mergeCell ref="L5:M5"/>
    <mergeCell ref="N5:O5"/>
    <mergeCell ref="P5:Q5"/>
    <mergeCell ref="B6:C6"/>
    <mergeCell ref="D6:E6"/>
    <mergeCell ref="F6:G6"/>
    <mergeCell ref="H6:I6"/>
    <mergeCell ref="J6:K6"/>
    <mergeCell ref="L6:M6"/>
    <mergeCell ref="N6:O6"/>
    <mergeCell ref="P6:Q6"/>
  </mergeCells>
  <phoneticPr fontId="13" type="noConversion"/>
  <printOptions horizontalCentered="1" gridLines="1"/>
  <pageMargins left="0.39370078740157483" right="0.39370078740157483" top="0.39370078740157483" bottom="0.39370078740157483" header="0" footer="0"/>
  <pageSetup paperSize="9" scale="90" fitToWidth="0" fitToHeight="0" pageOrder="overThenDown" orientation="landscape" cellComments="atEnd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outlinePr summaryBelow="0" summaryRight="0"/>
  </sheetPr>
  <dimension ref="A1:Q20"/>
  <sheetViews>
    <sheetView view="pageBreakPreview" zoomScale="115" zoomScaleNormal="60" zoomScaleSheetLayoutView="115" workbookViewId="0">
      <selection activeCell="S22" sqref="S22"/>
    </sheetView>
  </sheetViews>
  <sheetFormatPr defaultColWidth="12.5703125" defaultRowHeight="15.75" customHeight="1"/>
  <cols>
    <col min="1" max="1" width="5.42578125" style="119" customWidth="1"/>
    <col min="2" max="2" width="7.85546875" style="175" customWidth="1"/>
    <col min="3" max="3" width="4" style="160" customWidth="1"/>
    <col min="4" max="17" width="8.5703125" style="119" customWidth="1"/>
    <col min="18" max="16384" width="12.5703125" style="119"/>
  </cols>
  <sheetData>
    <row r="1" spans="1:17" ht="15.75" customHeight="1">
      <c r="A1" s="610" t="s">
        <v>185</v>
      </c>
      <c r="B1" s="610"/>
      <c r="C1" s="610"/>
      <c r="D1" s="610"/>
      <c r="E1" s="610"/>
      <c r="F1" s="610"/>
      <c r="G1" s="610"/>
      <c r="H1" s="610"/>
      <c r="I1" s="610"/>
      <c r="J1" s="610"/>
      <c r="K1" s="610"/>
      <c r="L1" s="610"/>
      <c r="M1" s="610"/>
      <c r="N1" s="610"/>
      <c r="O1" s="610"/>
      <c r="P1" s="610"/>
      <c r="Q1" s="610"/>
    </row>
    <row r="2" spans="1:17" s="120" customFormat="1" ht="15.75" customHeight="1">
      <c r="A2" s="610"/>
      <c r="B2" s="610"/>
      <c r="C2" s="610"/>
      <c r="D2" s="610"/>
      <c r="E2" s="610"/>
      <c r="F2" s="610"/>
      <c r="G2" s="610"/>
      <c r="H2" s="610"/>
      <c r="I2" s="610"/>
      <c r="J2" s="610"/>
      <c r="K2" s="610"/>
      <c r="L2" s="610"/>
      <c r="M2" s="610"/>
      <c r="N2" s="610"/>
      <c r="O2" s="610"/>
      <c r="P2" s="610"/>
      <c r="Q2" s="610"/>
    </row>
    <row r="3" spans="1:17" ht="15.75" customHeight="1">
      <c r="A3" s="726" t="s">
        <v>196</v>
      </c>
      <c r="B3" s="726"/>
      <c r="C3" s="726"/>
      <c r="D3" s="726"/>
      <c r="E3" s="726"/>
      <c r="F3" s="726"/>
      <c r="G3" s="726"/>
      <c r="H3" s="726"/>
      <c r="I3" s="726"/>
      <c r="J3" s="726"/>
      <c r="K3" s="726"/>
      <c r="L3" s="726"/>
      <c r="M3" s="726"/>
      <c r="N3" s="726"/>
      <c r="O3" s="726"/>
      <c r="P3" s="726"/>
      <c r="Q3" s="726"/>
    </row>
    <row r="4" spans="1:17" s="120" customFormat="1" ht="15.75" customHeight="1">
      <c r="A4" s="892"/>
      <c r="B4" s="892"/>
      <c r="C4" s="892"/>
      <c r="D4" s="892"/>
      <c r="E4" s="892"/>
      <c r="F4" s="892"/>
      <c r="G4" s="892"/>
      <c r="H4" s="892"/>
      <c r="I4" s="892"/>
      <c r="J4" s="892"/>
      <c r="K4" s="892"/>
      <c r="L4" s="892"/>
      <c r="M4" s="892"/>
      <c r="N4" s="892"/>
      <c r="O4" s="892"/>
      <c r="P4" s="892"/>
      <c r="Q4" s="892"/>
    </row>
    <row r="5" spans="1:17" ht="15.75" customHeight="1">
      <c r="A5" s="627" t="s">
        <v>171</v>
      </c>
      <c r="B5" s="838">
        <v>1</v>
      </c>
      <c r="C5" s="838"/>
      <c r="D5" s="838">
        <v>2</v>
      </c>
      <c r="E5" s="838"/>
      <c r="F5" s="838">
        <v>3</v>
      </c>
      <c r="G5" s="838"/>
      <c r="H5" s="838">
        <v>4</v>
      </c>
      <c r="I5" s="838"/>
      <c r="J5" s="838">
        <v>5</v>
      </c>
      <c r="K5" s="838"/>
      <c r="L5" s="838">
        <v>6</v>
      </c>
      <c r="M5" s="838"/>
      <c r="N5" s="838">
        <v>7</v>
      </c>
      <c r="O5" s="838"/>
      <c r="P5" s="840">
        <v>8</v>
      </c>
      <c r="Q5" s="840"/>
    </row>
    <row r="6" spans="1:17" ht="15.75" customHeight="1">
      <c r="A6" s="627"/>
      <c r="B6" s="627" t="s">
        <v>304</v>
      </c>
      <c r="C6" s="627"/>
      <c r="D6" s="627" t="s">
        <v>197</v>
      </c>
      <c r="E6" s="627"/>
      <c r="F6" s="627" t="s">
        <v>163</v>
      </c>
      <c r="G6" s="627"/>
      <c r="H6" s="627" t="s">
        <v>485</v>
      </c>
      <c r="I6" s="627"/>
      <c r="J6" s="627" t="s">
        <v>169</v>
      </c>
      <c r="K6" s="627"/>
      <c r="L6" s="627" t="s">
        <v>164</v>
      </c>
      <c r="M6" s="627"/>
      <c r="N6" s="627" t="s">
        <v>170</v>
      </c>
      <c r="O6" s="627"/>
      <c r="P6" s="841" t="s">
        <v>198</v>
      </c>
      <c r="Q6" s="841"/>
    </row>
    <row r="8" spans="1:17" s="153" customFormat="1" ht="15.75" customHeight="1">
      <c r="A8" s="162" t="s">
        <v>173</v>
      </c>
      <c r="B8" s="179" t="s">
        <v>18</v>
      </c>
      <c r="C8" s="893" t="s">
        <v>12</v>
      </c>
      <c r="D8" s="893"/>
      <c r="E8" s="893"/>
      <c r="F8" s="893" t="s">
        <v>53</v>
      </c>
      <c r="G8" s="893"/>
      <c r="H8" s="893"/>
      <c r="I8" s="179" t="s">
        <v>54</v>
      </c>
      <c r="J8" s="180" t="s">
        <v>19</v>
      </c>
      <c r="K8" s="179" t="s">
        <v>57</v>
      </c>
      <c r="L8" s="179" t="s">
        <v>2</v>
      </c>
      <c r="M8" s="895" t="s">
        <v>50</v>
      </c>
      <c r="N8" s="896"/>
      <c r="O8" s="896"/>
      <c r="P8" s="896"/>
      <c r="Q8" s="896"/>
    </row>
    <row r="9" spans="1:17" ht="15.75" customHeight="1">
      <c r="A9" s="893" t="s">
        <v>172</v>
      </c>
      <c r="B9" s="155">
        <v>1</v>
      </c>
      <c r="C9" s="894"/>
      <c r="D9" s="737"/>
      <c r="E9" s="737"/>
      <c r="F9" s="894"/>
      <c r="G9" s="737"/>
      <c r="H9" s="737"/>
      <c r="I9" s="163"/>
      <c r="J9" s="177"/>
      <c r="K9" s="177"/>
      <c r="L9" s="178">
        <f>K9-J9</f>
        <v>0</v>
      </c>
      <c r="M9" s="894"/>
      <c r="N9" s="894"/>
      <c r="O9" s="894"/>
      <c r="P9" s="894"/>
      <c r="Q9" s="894"/>
    </row>
    <row r="10" spans="1:17" ht="15.75" customHeight="1">
      <c r="A10" s="899"/>
      <c r="B10" s="155">
        <v>2</v>
      </c>
      <c r="C10" s="894"/>
      <c r="D10" s="737"/>
      <c r="E10" s="737"/>
      <c r="F10" s="894"/>
      <c r="G10" s="737"/>
      <c r="H10" s="737"/>
      <c r="I10" s="163"/>
      <c r="J10" s="177"/>
      <c r="K10" s="177"/>
      <c r="L10" s="178">
        <f>K10-J10</f>
        <v>0</v>
      </c>
      <c r="M10" s="894"/>
      <c r="N10" s="894"/>
      <c r="O10" s="894"/>
      <c r="P10" s="894"/>
      <c r="Q10" s="894"/>
    </row>
    <row r="11" spans="1:17" ht="15.75" customHeight="1">
      <c r="A11" s="899"/>
      <c r="B11" s="155">
        <v>3</v>
      </c>
      <c r="C11" s="894"/>
      <c r="D11" s="737"/>
      <c r="E11" s="737"/>
      <c r="F11" s="894"/>
      <c r="G11" s="737"/>
      <c r="H11" s="737"/>
      <c r="I11" s="163"/>
      <c r="J11" s="177"/>
      <c r="K11" s="177"/>
      <c r="L11" s="178">
        <f>K11-J11</f>
        <v>0</v>
      </c>
      <c r="M11" s="894"/>
      <c r="N11" s="894"/>
      <c r="O11" s="894"/>
      <c r="P11" s="894"/>
      <c r="Q11" s="894"/>
    </row>
    <row r="12" spans="1:17" ht="15.75" customHeight="1">
      <c r="A12" s="899"/>
      <c r="B12" s="155">
        <v>4</v>
      </c>
      <c r="C12" s="894"/>
      <c r="D12" s="737"/>
      <c r="E12" s="737"/>
      <c r="F12" s="894"/>
      <c r="G12" s="737"/>
      <c r="H12" s="737"/>
      <c r="I12" s="163"/>
      <c r="J12" s="177"/>
      <c r="K12" s="177"/>
      <c r="L12" s="178">
        <f>K12-J12</f>
        <v>0</v>
      </c>
      <c r="M12" s="894"/>
      <c r="N12" s="894"/>
      <c r="O12" s="894"/>
      <c r="P12" s="894"/>
      <c r="Q12" s="894"/>
    </row>
    <row r="13" spans="1:17" ht="15.75" customHeight="1">
      <c r="A13" s="899"/>
      <c r="B13" s="155">
        <v>5</v>
      </c>
      <c r="C13" s="894"/>
      <c r="D13" s="737"/>
      <c r="E13" s="737"/>
      <c r="F13" s="894"/>
      <c r="G13" s="737"/>
      <c r="H13" s="737"/>
      <c r="I13" s="163"/>
      <c r="J13" s="177"/>
      <c r="K13" s="177"/>
      <c r="L13" s="178">
        <f>K13-J13</f>
        <v>0</v>
      </c>
      <c r="M13" s="894"/>
      <c r="N13" s="894"/>
      <c r="O13" s="894"/>
      <c r="P13" s="894"/>
      <c r="Q13" s="894"/>
    </row>
    <row r="14" spans="1:17" ht="15.75" customHeight="1">
      <c r="A14" s="897"/>
      <c r="B14" s="897"/>
      <c r="C14" s="897"/>
      <c r="D14" s="897"/>
      <c r="E14" s="897"/>
      <c r="F14" s="897"/>
      <c r="G14" s="897"/>
      <c r="H14" s="897"/>
      <c r="I14" s="897"/>
      <c r="J14" s="897"/>
      <c r="K14" s="897"/>
      <c r="L14" s="897"/>
      <c r="M14" s="897"/>
      <c r="N14" s="897"/>
      <c r="O14" s="898"/>
    </row>
    <row r="15" spans="1:17" s="153" customFormat="1" ht="15.75" customHeight="1">
      <c r="A15" s="162" t="s">
        <v>173</v>
      </c>
      <c r="B15" s="162" t="s">
        <v>18</v>
      </c>
      <c r="C15" s="891" t="s">
        <v>12</v>
      </c>
      <c r="D15" s="891"/>
      <c r="E15" s="891"/>
      <c r="F15" s="891" t="s">
        <v>53</v>
      </c>
      <c r="G15" s="891"/>
      <c r="H15" s="891"/>
      <c r="I15" s="162" t="s">
        <v>54</v>
      </c>
      <c r="J15" s="176" t="s">
        <v>19</v>
      </c>
      <c r="K15" s="162" t="s">
        <v>57</v>
      </c>
      <c r="L15" s="162" t="s">
        <v>2</v>
      </c>
      <c r="M15" s="891" t="s">
        <v>50</v>
      </c>
      <c r="N15" s="891"/>
      <c r="O15" s="891"/>
      <c r="P15" s="891"/>
      <c r="Q15" s="891"/>
    </row>
    <row r="16" spans="1:17" ht="15.75" customHeight="1">
      <c r="A16" s="891" t="s">
        <v>174</v>
      </c>
      <c r="B16" s="155">
        <v>1</v>
      </c>
      <c r="C16" s="894"/>
      <c r="D16" s="737"/>
      <c r="E16" s="737"/>
      <c r="F16" s="894"/>
      <c r="G16" s="737"/>
      <c r="H16" s="737"/>
      <c r="I16" s="163"/>
      <c r="J16" s="177"/>
      <c r="K16" s="177"/>
      <c r="L16" s="178">
        <f>K16-J16</f>
        <v>0</v>
      </c>
      <c r="M16" s="894"/>
      <c r="N16" s="894"/>
      <c r="O16" s="894"/>
      <c r="P16" s="894"/>
      <c r="Q16" s="894"/>
    </row>
    <row r="17" spans="1:17" ht="15.75" customHeight="1">
      <c r="A17" s="891"/>
      <c r="B17" s="155">
        <v>2</v>
      </c>
      <c r="C17" s="894"/>
      <c r="D17" s="737"/>
      <c r="E17" s="737"/>
      <c r="F17" s="894"/>
      <c r="G17" s="737"/>
      <c r="H17" s="737"/>
      <c r="I17" s="163"/>
      <c r="J17" s="177"/>
      <c r="K17" s="177"/>
      <c r="L17" s="178">
        <f>K17-J17</f>
        <v>0</v>
      </c>
      <c r="M17" s="894"/>
      <c r="N17" s="894"/>
      <c r="O17" s="894"/>
      <c r="P17" s="894"/>
      <c r="Q17" s="894"/>
    </row>
    <row r="18" spans="1:17" ht="15.75" customHeight="1">
      <c r="A18" s="891"/>
      <c r="B18" s="155">
        <v>3</v>
      </c>
      <c r="C18" s="894"/>
      <c r="D18" s="737"/>
      <c r="E18" s="737"/>
      <c r="F18" s="894"/>
      <c r="G18" s="737"/>
      <c r="H18" s="737"/>
      <c r="I18" s="163"/>
      <c r="J18" s="177"/>
      <c r="K18" s="177"/>
      <c r="L18" s="178">
        <f>K18-J18</f>
        <v>0</v>
      </c>
      <c r="M18" s="894"/>
      <c r="N18" s="894"/>
      <c r="O18" s="894"/>
      <c r="P18" s="894"/>
      <c r="Q18" s="894"/>
    </row>
    <row r="19" spans="1:17" ht="15.75" customHeight="1">
      <c r="A19" s="891"/>
      <c r="B19" s="155">
        <v>4</v>
      </c>
      <c r="C19" s="894"/>
      <c r="D19" s="737"/>
      <c r="E19" s="737"/>
      <c r="F19" s="894"/>
      <c r="G19" s="737"/>
      <c r="H19" s="737"/>
      <c r="I19" s="163"/>
      <c r="J19" s="177"/>
      <c r="K19" s="177"/>
      <c r="L19" s="178">
        <f>K19-J19</f>
        <v>0</v>
      </c>
      <c r="M19" s="894"/>
      <c r="N19" s="894"/>
      <c r="O19" s="894"/>
      <c r="P19" s="894"/>
      <c r="Q19" s="894"/>
    </row>
    <row r="20" spans="1:17" ht="15.75" customHeight="1">
      <c r="A20" s="891"/>
      <c r="B20" s="155">
        <v>5</v>
      </c>
      <c r="C20" s="894"/>
      <c r="D20" s="737"/>
      <c r="E20" s="737"/>
      <c r="F20" s="894"/>
      <c r="G20" s="737"/>
      <c r="H20" s="737"/>
      <c r="I20" s="163"/>
      <c r="J20" s="177"/>
      <c r="K20" s="177"/>
      <c r="L20" s="178">
        <f>K20-J20</f>
        <v>0</v>
      </c>
      <c r="M20" s="894"/>
      <c r="N20" s="894"/>
      <c r="O20" s="894"/>
      <c r="P20" s="894"/>
      <c r="Q20" s="894"/>
    </row>
  </sheetData>
  <mergeCells count="58">
    <mergeCell ref="M20:Q20"/>
    <mergeCell ref="C20:E20"/>
    <mergeCell ref="F20:H20"/>
    <mergeCell ref="C18:E18"/>
    <mergeCell ref="F18:H18"/>
    <mergeCell ref="C19:E19"/>
    <mergeCell ref="F19:H19"/>
    <mergeCell ref="M18:Q18"/>
    <mergeCell ref="M19:Q19"/>
    <mergeCell ref="A16:A20"/>
    <mergeCell ref="M13:Q13"/>
    <mergeCell ref="C16:E16"/>
    <mergeCell ref="F16:H16"/>
    <mergeCell ref="C17:E17"/>
    <mergeCell ref="F17:H17"/>
    <mergeCell ref="C15:E15"/>
    <mergeCell ref="F15:H15"/>
    <mergeCell ref="A14:O14"/>
    <mergeCell ref="A9:A13"/>
    <mergeCell ref="M10:Q10"/>
    <mergeCell ref="M11:Q11"/>
    <mergeCell ref="M12:Q12"/>
    <mergeCell ref="M16:Q16"/>
    <mergeCell ref="M17:Q17"/>
    <mergeCell ref="C10:E10"/>
    <mergeCell ref="C12:E12"/>
    <mergeCell ref="C13:E13"/>
    <mergeCell ref="F10:H10"/>
    <mergeCell ref="F11:H11"/>
    <mergeCell ref="F12:H12"/>
    <mergeCell ref="F13:H13"/>
    <mergeCell ref="A1:Q2"/>
    <mergeCell ref="J6:K6"/>
    <mergeCell ref="L6:M6"/>
    <mergeCell ref="N6:O6"/>
    <mergeCell ref="P6:Q6"/>
    <mergeCell ref="F5:G5"/>
    <mergeCell ref="H5:I5"/>
    <mergeCell ref="B6:C6"/>
    <mergeCell ref="D6:E6"/>
    <mergeCell ref="F6:G6"/>
    <mergeCell ref="H6:I6"/>
    <mergeCell ref="M15:Q15"/>
    <mergeCell ref="J5:K5"/>
    <mergeCell ref="L5:M5"/>
    <mergeCell ref="A3:Q4"/>
    <mergeCell ref="N5:O5"/>
    <mergeCell ref="P5:Q5"/>
    <mergeCell ref="A5:A6"/>
    <mergeCell ref="B5:C5"/>
    <mergeCell ref="D5:E5"/>
    <mergeCell ref="C8:E8"/>
    <mergeCell ref="F8:H8"/>
    <mergeCell ref="C9:E9"/>
    <mergeCell ref="F9:H9"/>
    <mergeCell ref="M8:Q8"/>
    <mergeCell ref="M9:Q9"/>
    <mergeCell ref="C11:E11"/>
  </mergeCells>
  <phoneticPr fontId="13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39997558519241921"/>
    <pageSetUpPr fitToPage="1"/>
  </sheetPr>
  <dimension ref="B1:AQ78"/>
  <sheetViews>
    <sheetView zoomScale="55" zoomScaleNormal="55" workbookViewId="0">
      <pane xSplit="4" ySplit="1" topLeftCell="E2" activePane="bottomRight" state="frozen"/>
      <selection activeCell="M12" sqref="M12:Q12"/>
      <selection pane="topRight" activeCell="M12" sqref="M12:Q12"/>
      <selection pane="bottomLeft" activeCell="M12" sqref="M12:Q12"/>
      <selection pane="bottomRight" activeCell="B3" sqref="B3:AD24"/>
    </sheetView>
  </sheetViews>
  <sheetFormatPr defaultColWidth="8.85546875" defaultRowHeight="16.5"/>
  <cols>
    <col min="1" max="1" width="8.85546875" style="327"/>
    <col min="2" max="2" width="12.42578125" style="327" customWidth="1"/>
    <col min="3" max="3" width="8.85546875" style="327"/>
    <col min="4" max="4" width="11.5703125" style="327" customWidth="1"/>
    <col min="5" max="5" width="39.28515625" style="327" bestFit="1" customWidth="1"/>
    <col min="6" max="6" width="11.42578125" style="327" bestFit="1" customWidth="1"/>
    <col min="7" max="8" width="17.28515625" style="327" bestFit="1" customWidth="1"/>
    <col min="9" max="9" width="16.85546875" style="327" customWidth="1"/>
    <col min="10" max="10" width="14" style="327" customWidth="1"/>
    <col min="11" max="11" width="16.85546875" style="327" customWidth="1"/>
    <col min="12" max="12" width="14" style="327" customWidth="1"/>
    <col min="13" max="13" width="13.85546875" style="327" bestFit="1" customWidth="1"/>
    <col min="14" max="14" width="10.85546875" style="327" bestFit="1" customWidth="1"/>
    <col min="15" max="15" width="19.140625" style="327" bestFit="1" customWidth="1"/>
    <col min="16" max="16" width="15.28515625" style="327" bestFit="1" customWidth="1"/>
    <col min="17" max="17" width="12.5703125" style="327" bestFit="1" customWidth="1"/>
    <col min="18" max="18" width="12.85546875" style="327" bestFit="1" customWidth="1"/>
    <col min="19" max="19" width="13.42578125" style="327" bestFit="1" customWidth="1"/>
    <col min="20" max="20" width="12.85546875" style="327" bestFit="1" customWidth="1"/>
    <col min="21" max="21" width="10.85546875" style="327" bestFit="1" customWidth="1"/>
    <col min="22" max="22" width="12.5703125" style="327" bestFit="1" customWidth="1"/>
    <col min="23" max="24" width="10.85546875" style="327" customWidth="1"/>
    <col min="25" max="25" width="12.42578125" style="327" bestFit="1" customWidth="1"/>
    <col min="26" max="26" width="25.28515625" style="327" bestFit="1" customWidth="1"/>
    <col min="27" max="27" width="88.28515625" style="327" customWidth="1"/>
    <col min="28" max="28" width="117.7109375" style="327" bestFit="1" customWidth="1"/>
    <col min="29" max="29" width="11.5703125" style="327" bestFit="1" customWidth="1"/>
    <col min="30" max="30" width="69.5703125" style="327" bestFit="1" customWidth="1"/>
    <col min="31" max="31" width="11.42578125" style="327" bestFit="1" customWidth="1"/>
    <col min="32" max="32" width="21.5703125" style="327" customWidth="1"/>
    <col min="33" max="33" width="19.42578125" style="327" bestFit="1" customWidth="1"/>
    <col min="34" max="39" width="14.42578125" style="327" customWidth="1"/>
    <col min="40" max="16384" width="8.85546875" style="327"/>
  </cols>
  <sheetData>
    <row r="1" spans="2:43" ht="21">
      <c r="B1" s="475" t="s">
        <v>635</v>
      </c>
    </row>
    <row r="2" spans="2:43" ht="41.1" customHeight="1">
      <c r="B2" s="902" t="s">
        <v>612</v>
      </c>
      <c r="C2" s="903"/>
      <c r="D2" s="903"/>
      <c r="E2" s="903"/>
      <c r="F2" s="903"/>
      <c r="G2" s="903"/>
      <c r="H2" s="903"/>
      <c r="I2" s="903"/>
      <c r="J2" s="903"/>
      <c r="K2" s="903"/>
      <c r="L2" s="903"/>
      <c r="M2" s="903"/>
      <c r="N2" s="903"/>
      <c r="O2" s="903"/>
      <c r="P2" s="903"/>
      <c r="Q2" s="903"/>
      <c r="R2" s="903"/>
      <c r="S2" s="903"/>
      <c r="T2" s="903"/>
      <c r="U2" s="903"/>
      <c r="V2" s="903"/>
      <c r="W2" s="903"/>
      <c r="X2" s="903"/>
      <c r="Y2" s="903"/>
      <c r="Z2" s="903"/>
      <c r="AA2" s="903"/>
      <c r="AB2" s="903"/>
      <c r="AC2" s="903"/>
      <c r="AD2" s="903"/>
      <c r="AF2" s="328"/>
      <c r="AG2" s="328"/>
    </row>
    <row r="3" spans="2:43" ht="17.100000000000001" customHeight="1">
      <c r="B3" s="933" t="s">
        <v>613</v>
      </c>
      <c r="C3" s="934"/>
      <c r="D3" s="901" t="s">
        <v>614</v>
      </c>
      <c r="E3" s="900" t="s">
        <v>615</v>
      </c>
      <c r="F3" s="931" t="s">
        <v>616</v>
      </c>
      <c r="G3" s="909" t="s">
        <v>617</v>
      </c>
      <c r="H3" s="932" t="s">
        <v>618</v>
      </c>
      <c r="I3" s="926" t="s">
        <v>619</v>
      </c>
      <c r="J3" s="927"/>
      <c r="K3" s="926" t="s">
        <v>620</v>
      </c>
      <c r="L3" s="927"/>
      <c r="M3" s="926" t="s">
        <v>621</v>
      </c>
      <c r="N3" s="927"/>
      <c r="O3" s="926" t="s">
        <v>622</v>
      </c>
      <c r="P3" s="927"/>
      <c r="Q3" s="926" t="s">
        <v>623</v>
      </c>
      <c r="R3" s="927"/>
      <c r="S3" s="928" t="s">
        <v>624</v>
      </c>
      <c r="T3" s="929"/>
      <c r="U3" s="930"/>
      <c r="V3" s="904" t="s">
        <v>625</v>
      </c>
      <c r="W3" s="905"/>
      <c r="X3" s="906"/>
      <c r="Y3" s="907" t="s">
        <v>165</v>
      </c>
      <c r="Z3" s="907" t="s">
        <v>626</v>
      </c>
      <c r="AA3" s="907" t="s">
        <v>627</v>
      </c>
      <c r="AB3" s="907" t="s">
        <v>628</v>
      </c>
      <c r="AC3" s="907" t="s">
        <v>629</v>
      </c>
      <c r="AD3" s="909" t="s">
        <v>166</v>
      </c>
      <c r="AF3" s="911" t="s">
        <v>630</v>
      </c>
      <c r="AG3" s="912"/>
      <c r="AH3" s="912"/>
      <c r="AI3" s="912"/>
      <c r="AJ3" s="912"/>
      <c r="AK3" s="912"/>
      <c r="AL3" s="912"/>
      <c r="AM3" s="913"/>
    </row>
    <row r="4" spans="2:43">
      <c r="B4" s="935"/>
      <c r="C4" s="936"/>
      <c r="D4" s="901"/>
      <c r="E4" s="901"/>
      <c r="F4" s="931"/>
      <c r="G4" s="910"/>
      <c r="H4" s="910"/>
      <c r="I4" s="574" t="s">
        <v>631</v>
      </c>
      <c r="J4" s="573" t="s">
        <v>574</v>
      </c>
      <c r="K4" s="574" t="s">
        <v>631</v>
      </c>
      <c r="L4" s="573" t="s">
        <v>574</v>
      </c>
      <c r="M4" s="574" t="s">
        <v>631</v>
      </c>
      <c r="N4" s="573" t="s">
        <v>574</v>
      </c>
      <c r="O4" s="574" t="s">
        <v>631</v>
      </c>
      <c r="P4" s="573" t="s">
        <v>574</v>
      </c>
      <c r="Q4" s="574" t="s">
        <v>631</v>
      </c>
      <c r="R4" s="573" t="s">
        <v>574</v>
      </c>
      <c r="S4" s="574" t="s">
        <v>631</v>
      </c>
      <c r="T4" s="573" t="s">
        <v>574</v>
      </c>
      <c r="U4" s="573" t="s">
        <v>575</v>
      </c>
      <c r="V4" s="574" t="s">
        <v>631</v>
      </c>
      <c r="W4" s="573" t="s">
        <v>574</v>
      </c>
      <c r="X4" s="573" t="s">
        <v>575</v>
      </c>
      <c r="Y4" s="908"/>
      <c r="Z4" s="908"/>
      <c r="AA4" s="908"/>
      <c r="AB4" s="908"/>
      <c r="AC4" s="908"/>
      <c r="AD4" s="910"/>
      <c r="AF4" s="914"/>
      <c r="AG4" s="915"/>
      <c r="AH4" s="915"/>
      <c r="AI4" s="915"/>
      <c r="AJ4" s="915"/>
      <c r="AK4" s="915"/>
      <c r="AL4" s="915"/>
      <c r="AM4" s="916"/>
    </row>
    <row r="5" spans="2:43" s="388" customFormat="1" ht="27" customHeight="1">
      <c r="B5" s="920" t="s">
        <v>715</v>
      </c>
      <c r="C5" s="921"/>
      <c r="D5" s="329">
        <v>1</v>
      </c>
      <c r="E5" s="399" t="s">
        <v>731</v>
      </c>
      <c r="F5" s="400">
        <v>1181.2320000000002</v>
      </c>
      <c r="G5" s="330">
        <v>227.16</v>
      </c>
      <c r="H5" s="401">
        <v>320.95</v>
      </c>
      <c r="I5" s="401">
        <v>320.95</v>
      </c>
      <c r="J5" s="403">
        <v>1</v>
      </c>
      <c r="K5" s="402">
        <v>327.68681790579973</v>
      </c>
      <c r="L5" s="403">
        <v>1.0209902411771297</v>
      </c>
      <c r="M5" s="402">
        <v>0</v>
      </c>
      <c r="N5" s="403">
        <v>0</v>
      </c>
      <c r="O5" s="470">
        <v>327.68681790579973</v>
      </c>
      <c r="P5" s="403">
        <v>1.0209902411771297</v>
      </c>
      <c r="Q5" s="401">
        <v>5.1999999999999993</v>
      </c>
      <c r="R5" s="403">
        <v>1.6201900607571273E-2</v>
      </c>
      <c r="S5" s="470">
        <v>6.736817905799704</v>
      </c>
      <c r="T5" s="403">
        <v>2.0990241177129474E-2</v>
      </c>
      <c r="U5" s="411">
        <v>1530.3355554814609</v>
      </c>
      <c r="V5" s="471">
        <v>1.5368179057997047</v>
      </c>
      <c r="W5" s="472">
        <v>4.7883405695582013E-3</v>
      </c>
      <c r="X5" s="473">
        <v>349.10355548146089</v>
      </c>
      <c r="Y5" s="331" t="s">
        <v>325</v>
      </c>
      <c r="Z5" s="331" t="s">
        <v>485</v>
      </c>
      <c r="AA5" s="474" t="s">
        <v>732</v>
      </c>
      <c r="AB5" s="474" t="s">
        <v>733</v>
      </c>
      <c r="AC5" s="331">
        <v>1</v>
      </c>
      <c r="AD5" s="404" t="s">
        <v>734</v>
      </c>
      <c r="AF5" s="917"/>
      <c r="AG5" s="918"/>
      <c r="AH5" s="918"/>
      <c r="AI5" s="918"/>
      <c r="AJ5" s="918"/>
      <c r="AK5" s="918"/>
      <c r="AL5" s="918"/>
      <c r="AM5" s="919"/>
      <c r="AP5" s="405"/>
      <c r="AQ5" s="405"/>
    </row>
    <row r="6" spans="2:43" s="388" customFormat="1" ht="27" customHeight="1">
      <c r="B6" s="922"/>
      <c r="C6" s="923"/>
      <c r="D6" s="329">
        <v>2</v>
      </c>
      <c r="E6" s="399" t="s">
        <v>599</v>
      </c>
      <c r="F6" s="400">
        <v>1163.2529999999999</v>
      </c>
      <c r="G6" s="330">
        <v>298.27</v>
      </c>
      <c r="H6" s="401">
        <v>172.89999999999998</v>
      </c>
      <c r="I6" s="401">
        <v>174.48567438325048</v>
      </c>
      <c r="J6" s="403">
        <v>1.0092369325596235</v>
      </c>
      <c r="K6" s="402">
        <v>178.4</v>
      </c>
      <c r="L6" s="403">
        <v>1.0318102949681898</v>
      </c>
      <c r="M6" s="402">
        <v>0</v>
      </c>
      <c r="N6" s="403">
        <v>0</v>
      </c>
      <c r="O6" s="470">
        <v>178.4</v>
      </c>
      <c r="P6" s="403">
        <v>1.0318102949681898</v>
      </c>
      <c r="Q6" s="401">
        <v>3.9</v>
      </c>
      <c r="R6" s="403">
        <v>2.2556390977443611E-2</v>
      </c>
      <c r="S6" s="470">
        <v>5.4999999999999964</v>
      </c>
      <c r="T6" s="403">
        <v>3.1810294968189691E-2</v>
      </c>
      <c r="U6" s="411">
        <v>1640.4849999999985</v>
      </c>
      <c r="V6" s="471">
        <v>1.5999999999999965</v>
      </c>
      <c r="W6" s="472">
        <v>9.253903990746078E-3</v>
      </c>
      <c r="X6" s="473">
        <v>477.23199999999895</v>
      </c>
      <c r="Y6" s="331" t="s">
        <v>326</v>
      </c>
      <c r="Z6" s="331" t="s">
        <v>193</v>
      </c>
      <c r="AA6" s="474" t="s">
        <v>597</v>
      </c>
      <c r="AB6" s="474" t="s">
        <v>505</v>
      </c>
      <c r="AC6" s="331">
        <v>1</v>
      </c>
      <c r="AD6" s="404" t="s">
        <v>596</v>
      </c>
      <c r="AF6" s="222" t="s">
        <v>633</v>
      </c>
      <c r="AG6" s="222" t="s">
        <v>576</v>
      </c>
      <c r="AH6" s="469" t="s">
        <v>609</v>
      </c>
      <c r="AI6" s="469" t="s">
        <v>358</v>
      </c>
      <c r="AJ6" s="469" t="s">
        <v>485</v>
      </c>
      <c r="AK6" s="469" t="s">
        <v>193</v>
      </c>
      <c r="AL6" s="469" t="s">
        <v>194</v>
      </c>
      <c r="AM6" s="469" t="s">
        <v>498</v>
      </c>
      <c r="AP6" s="407"/>
      <c r="AQ6" s="208"/>
    </row>
    <row r="7" spans="2:43" s="388" customFormat="1" ht="27" customHeight="1">
      <c r="B7" s="922"/>
      <c r="C7" s="923"/>
      <c r="D7" s="329">
        <v>3</v>
      </c>
      <c r="E7" s="399" t="s">
        <v>684</v>
      </c>
      <c r="F7" s="400">
        <v>1127.4726837931939</v>
      </c>
      <c r="G7" s="330">
        <v>444.88</v>
      </c>
      <c r="H7" s="401">
        <v>223.34399999999999</v>
      </c>
      <c r="I7" s="401">
        <v>225.06712453001239</v>
      </c>
      <c r="J7" s="403">
        <v>1.0077908497909329</v>
      </c>
      <c r="K7" s="402">
        <v>227.38112463633934</v>
      </c>
      <c r="L7" s="403">
        <v>1.0180758141536792</v>
      </c>
      <c r="M7" s="402">
        <v>0</v>
      </c>
      <c r="N7" s="403">
        <v>0</v>
      </c>
      <c r="O7" s="470">
        <v>227.38112463633934</v>
      </c>
      <c r="P7" s="403">
        <v>1.0180758141536792</v>
      </c>
      <c r="Q7" s="401">
        <v>2.5343298952373541</v>
      </c>
      <c r="R7" s="403">
        <v>1.1347203843565773E-2</v>
      </c>
      <c r="S7" s="470">
        <v>4.0371246363392963</v>
      </c>
      <c r="T7" s="403">
        <v>1.8075814153679062E-2</v>
      </c>
      <c r="U7" s="411">
        <v>1796.0360082146262</v>
      </c>
      <c r="V7" s="471">
        <v>1.5027947411019422</v>
      </c>
      <c r="W7" s="472">
        <v>6.7286103101132887E-3</v>
      </c>
      <c r="X7" s="473">
        <v>668.56332442143207</v>
      </c>
      <c r="Y7" s="331" t="s">
        <v>326</v>
      </c>
      <c r="Z7" s="331" t="s">
        <v>194</v>
      </c>
      <c r="AA7" s="474" t="s">
        <v>561</v>
      </c>
      <c r="AB7" s="474" t="s">
        <v>505</v>
      </c>
      <c r="AC7" s="331">
        <v>1</v>
      </c>
      <c r="AD7" s="404" t="s">
        <v>540</v>
      </c>
      <c r="AF7" s="406">
        <v>20</v>
      </c>
      <c r="AG7" s="332">
        <v>0</v>
      </c>
      <c r="AH7" s="332">
        <v>0</v>
      </c>
      <c r="AI7" s="332">
        <v>3</v>
      </c>
      <c r="AJ7" s="332">
        <v>7</v>
      </c>
      <c r="AK7" s="332">
        <v>7</v>
      </c>
      <c r="AL7" s="332">
        <v>2</v>
      </c>
      <c r="AM7" s="332">
        <v>1</v>
      </c>
      <c r="AP7" s="208"/>
      <c r="AQ7" s="208"/>
    </row>
    <row r="8" spans="2:43" s="388" customFormat="1" ht="27" customHeight="1">
      <c r="B8" s="922"/>
      <c r="C8" s="923"/>
      <c r="D8" s="329">
        <v>4</v>
      </c>
      <c r="E8" s="399" t="s">
        <v>735</v>
      </c>
      <c r="F8" s="400">
        <v>1088.9406040634658</v>
      </c>
      <c r="G8" s="330">
        <v>290.85000000000002</v>
      </c>
      <c r="H8" s="401">
        <v>285.91199999999998</v>
      </c>
      <c r="I8" s="401">
        <v>285.91199999999998</v>
      </c>
      <c r="J8" s="403">
        <v>1</v>
      </c>
      <c r="K8" s="402">
        <v>291.28112463633931</v>
      </c>
      <c r="L8" s="403">
        <v>1.0187789411998773</v>
      </c>
      <c r="M8" s="402">
        <v>0</v>
      </c>
      <c r="N8" s="403">
        <v>0</v>
      </c>
      <c r="O8" s="470">
        <v>291.28112463633931</v>
      </c>
      <c r="P8" s="403">
        <v>1.0187789411998773</v>
      </c>
      <c r="Q8" s="401">
        <v>3.7439938252139102</v>
      </c>
      <c r="R8" s="403">
        <v>1.3094916705888212E-2</v>
      </c>
      <c r="S8" s="470">
        <v>5.3691246363392935</v>
      </c>
      <c r="T8" s="403">
        <v>1.8778941199877212E-2</v>
      </c>
      <c r="U8" s="411">
        <v>1561.6099004792839</v>
      </c>
      <c r="V8" s="471">
        <v>1.6251308111253833</v>
      </c>
      <c r="W8" s="472">
        <v>5.6840244939890018E-3</v>
      </c>
      <c r="X8" s="473">
        <v>472.66929641581777</v>
      </c>
      <c r="Y8" s="331" t="s">
        <v>326</v>
      </c>
      <c r="Z8" s="331" t="s">
        <v>193</v>
      </c>
      <c r="AA8" s="474" t="s">
        <v>597</v>
      </c>
      <c r="AB8" s="474" t="s">
        <v>505</v>
      </c>
      <c r="AC8" s="331">
        <v>1</v>
      </c>
      <c r="AD8" s="404" t="s">
        <v>336</v>
      </c>
      <c r="AF8" s="408" t="s">
        <v>11</v>
      </c>
      <c r="AG8" s="409">
        <v>0</v>
      </c>
      <c r="AH8" s="409">
        <v>0</v>
      </c>
      <c r="AI8" s="409">
        <v>2551.335</v>
      </c>
      <c r="AJ8" s="409">
        <v>6319.7969999999996</v>
      </c>
      <c r="AK8" s="409">
        <v>6352.2249999999995</v>
      </c>
      <c r="AL8" s="409">
        <v>2051.5880000000002</v>
      </c>
      <c r="AM8" s="409">
        <v>1028.72</v>
      </c>
      <c r="AP8" s="208"/>
      <c r="AQ8" s="208"/>
    </row>
    <row r="9" spans="2:43" s="388" customFormat="1" ht="27" customHeight="1">
      <c r="B9" s="922"/>
      <c r="C9" s="923"/>
      <c r="D9" s="329">
        <v>5</v>
      </c>
      <c r="E9" s="399" t="s">
        <v>721</v>
      </c>
      <c r="F9" s="400">
        <v>1082.661985150093</v>
      </c>
      <c r="G9" s="330">
        <v>109.01</v>
      </c>
      <c r="H9" s="401">
        <v>734.72</v>
      </c>
      <c r="I9" s="401">
        <v>738.00134568215492</v>
      </c>
      <c r="J9" s="403">
        <v>1.0044125240008361</v>
      </c>
      <c r="K9" s="402">
        <v>747.88112463633956</v>
      </c>
      <c r="L9" s="403">
        <v>1.0179131160664465</v>
      </c>
      <c r="M9" s="402">
        <v>0</v>
      </c>
      <c r="N9" s="403">
        <v>0</v>
      </c>
      <c r="O9" s="470">
        <v>747.88112463633956</v>
      </c>
      <c r="P9" s="403">
        <v>1.0179131160664465</v>
      </c>
      <c r="Q9" s="401">
        <v>9.9317675915062189</v>
      </c>
      <c r="R9" s="403">
        <v>1.3517758590355807E-2</v>
      </c>
      <c r="S9" s="470">
        <v>13.161124636339622</v>
      </c>
      <c r="T9" s="403">
        <v>1.7913116066446567E-2</v>
      </c>
      <c r="U9" s="411">
        <v>1434.6941966073823</v>
      </c>
      <c r="V9" s="471">
        <v>3.229357044833403</v>
      </c>
      <c r="W9" s="472">
        <v>4.3953574760907596E-3</v>
      </c>
      <c r="X9" s="473">
        <v>352.03221145728929</v>
      </c>
      <c r="Y9" s="331" t="s">
        <v>325</v>
      </c>
      <c r="Z9" s="331" t="s">
        <v>485</v>
      </c>
      <c r="AA9" s="474" t="s">
        <v>589</v>
      </c>
      <c r="AB9" s="474" t="s">
        <v>506</v>
      </c>
      <c r="AC9" s="331">
        <v>1</v>
      </c>
      <c r="AD9" s="404" t="s">
        <v>567</v>
      </c>
      <c r="AF9" s="329" t="s">
        <v>577</v>
      </c>
      <c r="AG9" s="410">
        <v>0</v>
      </c>
      <c r="AH9" s="410">
        <v>0</v>
      </c>
      <c r="AI9" s="410">
        <v>0.15</v>
      </c>
      <c r="AJ9" s="410">
        <v>0.35</v>
      </c>
      <c r="AK9" s="410">
        <v>0.35</v>
      </c>
      <c r="AL9" s="410">
        <v>0.1</v>
      </c>
      <c r="AM9" s="410">
        <v>0.05</v>
      </c>
      <c r="AP9" s="208"/>
      <c r="AQ9" s="208"/>
    </row>
    <row r="10" spans="2:43" s="388" customFormat="1" ht="27" customHeight="1">
      <c r="B10" s="922"/>
      <c r="C10" s="923"/>
      <c r="D10" s="329">
        <v>6</v>
      </c>
      <c r="E10" s="399" t="s">
        <v>677</v>
      </c>
      <c r="F10" s="400">
        <v>1070.46</v>
      </c>
      <c r="G10" s="330">
        <v>297.35000000000002</v>
      </c>
      <c r="H10" s="401">
        <v>273.43</v>
      </c>
      <c r="I10" s="401">
        <v>274.95998289730562</v>
      </c>
      <c r="J10" s="403">
        <v>1.0057246019344479</v>
      </c>
      <c r="K10" s="402">
        <v>278.60000000000002</v>
      </c>
      <c r="L10" s="403">
        <v>1.0189079471894087</v>
      </c>
      <c r="M10" s="402">
        <v>0</v>
      </c>
      <c r="N10" s="403">
        <v>0</v>
      </c>
      <c r="O10" s="470">
        <v>278.60000000000002</v>
      </c>
      <c r="P10" s="403">
        <v>1.0189079471894087</v>
      </c>
      <c r="Q10" s="401">
        <v>3.6</v>
      </c>
      <c r="R10" s="403">
        <v>1.3166075412354167E-2</v>
      </c>
      <c r="S10" s="470">
        <v>5.1700000000000053</v>
      </c>
      <c r="T10" s="403">
        <v>1.8907947189408643E-2</v>
      </c>
      <c r="U10" s="411">
        <v>1537.2995000000019</v>
      </c>
      <c r="V10" s="471">
        <v>1.5700000000000052</v>
      </c>
      <c r="W10" s="472">
        <v>5.7418717770544754E-3</v>
      </c>
      <c r="X10" s="473">
        <v>466.83950000000158</v>
      </c>
      <c r="Y10" s="331" t="s">
        <v>326</v>
      </c>
      <c r="Z10" s="331" t="s">
        <v>193</v>
      </c>
      <c r="AA10" s="474" t="s">
        <v>597</v>
      </c>
      <c r="AB10" s="474" t="s">
        <v>505</v>
      </c>
      <c r="AC10" s="331">
        <v>1</v>
      </c>
      <c r="AD10" s="404" t="s">
        <v>556</v>
      </c>
      <c r="AP10" s="208"/>
      <c r="AQ10" s="208"/>
    </row>
    <row r="11" spans="2:43" s="388" customFormat="1" ht="27" customHeight="1">
      <c r="B11" s="922"/>
      <c r="C11" s="923"/>
      <c r="D11" s="329">
        <v>7</v>
      </c>
      <c r="E11" s="399" t="s">
        <v>691</v>
      </c>
      <c r="F11" s="400">
        <v>1064.4805597564616</v>
      </c>
      <c r="G11" s="330">
        <v>362.63</v>
      </c>
      <c r="H11" s="401">
        <v>444.6</v>
      </c>
      <c r="I11" s="401">
        <v>446.32299503562371</v>
      </c>
      <c r="J11" s="403">
        <v>1.0038853786170683</v>
      </c>
      <c r="K11" s="402">
        <v>449.1</v>
      </c>
      <c r="L11" s="403">
        <v>1.0101214574898785</v>
      </c>
      <c r="M11" s="402">
        <v>0</v>
      </c>
      <c r="N11" s="403">
        <v>0</v>
      </c>
      <c r="O11" s="470">
        <v>449.1</v>
      </c>
      <c r="P11" s="403">
        <v>1.0101214574898785</v>
      </c>
      <c r="Q11" s="401">
        <v>2.9354453844316839</v>
      </c>
      <c r="R11" s="403">
        <v>6.6024412605301033E-3</v>
      </c>
      <c r="S11" s="470">
        <v>4.5</v>
      </c>
      <c r="T11" s="403">
        <v>1.0121457489878543E-2</v>
      </c>
      <c r="U11" s="411">
        <v>1631.835</v>
      </c>
      <c r="V11" s="471">
        <v>1.5645546155683161</v>
      </c>
      <c r="W11" s="472">
        <v>3.5190162293484389E-3</v>
      </c>
      <c r="X11" s="473">
        <v>567.35444024353842</v>
      </c>
      <c r="Y11" s="331" t="s">
        <v>325</v>
      </c>
      <c r="Z11" s="331" t="s">
        <v>485</v>
      </c>
      <c r="AA11" s="474" t="s">
        <v>593</v>
      </c>
      <c r="AB11" s="474" t="s">
        <v>585</v>
      </c>
      <c r="AC11" s="331">
        <v>1</v>
      </c>
      <c r="AD11" s="404" t="s">
        <v>692</v>
      </c>
      <c r="AP11" s="208"/>
      <c r="AQ11" s="208"/>
    </row>
    <row r="12" spans="2:43" s="388" customFormat="1" ht="27" customHeight="1">
      <c r="B12" s="922"/>
      <c r="C12" s="923"/>
      <c r="D12" s="329">
        <v>8</v>
      </c>
      <c r="E12" s="399" t="s">
        <v>660</v>
      </c>
      <c r="F12" s="400">
        <v>1045.9792878566595</v>
      </c>
      <c r="G12" s="330">
        <v>935.2</v>
      </c>
      <c r="H12" s="401">
        <v>84.86</v>
      </c>
      <c r="I12" s="401">
        <v>85.921897036649185</v>
      </c>
      <c r="J12" s="403">
        <v>1.0126859193328186</v>
      </c>
      <c r="K12" s="402">
        <v>86.9</v>
      </c>
      <c r="L12" s="403">
        <v>1.0240395946264436</v>
      </c>
      <c r="M12" s="402">
        <v>0</v>
      </c>
      <c r="N12" s="403">
        <v>0</v>
      </c>
      <c r="O12" s="470">
        <v>86.9</v>
      </c>
      <c r="P12" s="403">
        <v>1.0240395946264436</v>
      </c>
      <c r="Q12" s="401">
        <v>1.1184551837646062</v>
      </c>
      <c r="R12" s="403">
        <v>1.3180004522326257E-2</v>
      </c>
      <c r="S12" s="470">
        <v>2.0400000000000009</v>
      </c>
      <c r="T12" s="403">
        <v>2.4039594626443565E-2</v>
      </c>
      <c r="U12" s="411">
        <v>1907.8080000000009</v>
      </c>
      <c r="V12" s="471">
        <v>0.92154481623539475</v>
      </c>
      <c r="W12" s="472">
        <v>1.0859590104117307E-2</v>
      </c>
      <c r="X12" s="473">
        <v>861.82871214334125</v>
      </c>
      <c r="Y12" s="331" t="s">
        <v>326</v>
      </c>
      <c r="Z12" s="331" t="s">
        <v>498</v>
      </c>
      <c r="AA12" s="474" t="s">
        <v>568</v>
      </c>
      <c r="AB12" s="474" t="s">
        <v>611</v>
      </c>
      <c r="AC12" s="331">
        <v>1</v>
      </c>
      <c r="AD12" s="404" t="s">
        <v>591</v>
      </c>
      <c r="AP12" s="208"/>
      <c r="AQ12" s="208"/>
    </row>
    <row r="13" spans="2:43" s="388" customFormat="1" ht="27" customHeight="1">
      <c r="B13" s="922"/>
      <c r="C13" s="923"/>
      <c r="D13" s="329">
        <v>9</v>
      </c>
      <c r="E13" s="399" t="s">
        <v>736</v>
      </c>
      <c r="F13" s="400">
        <v>1042.6287618307749</v>
      </c>
      <c r="G13" s="330">
        <v>125.59</v>
      </c>
      <c r="H13" s="401">
        <v>557.90800000000002</v>
      </c>
      <c r="I13" s="401">
        <v>560.86771536937829</v>
      </c>
      <c r="J13" s="403">
        <v>1.0052721898460046</v>
      </c>
      <c r="K13" s="402">
        <v>569.09430673053953</v>
      </c>
      <c r="L13" s="403">
        <v>1.0200504504874273</v>
      </c>
      <c r="M13" s="402">
        <v>0</v>
      </c>
      <c r="N13" s="403">
        <v>0</v>
      </c>
      <c r="O13" s="470">
        <v>569.09430673053953</v>
      </c>
      <c r="P13" s="403">
        <v>1.0200504504874273</v>
      </c>
      <c r="Q13" s="401">
        <v>8.3018453844316831</v>
      </c>
      <c r="R13" s="403">
        <v>1.488031249674083E-2</v>
      </c>
      <c r="S13" s="470">
        <v>11.186306730539613</v>
      </c>
      <c r="T13" s="403">
        <v>2.0050450487427339E-2</v>
      </c>
      <c r="U13" s="411">
        <v>1404.8882622884698</v>
      </c>
      <c r="V13" s="471">
        <v>2.8844613461079298</v>
      </c>
      <c r="W13" s="472">
        <v>5.1701379906865103E-3</v>
      </c>
      <c r="X13" s="473">
        <v>362.25950045769491</v>
      </c>
      <c r="Y13" s="331" t="s">
        <v>325</v>
      </c>
      <c r="Z13" s="331" t="s">
        <v>485</v>
      </c>
      <c r="AA13" s="474" t="s">
        <v>562</v>
      </c>
      <c r="AB13" s="474" t="s">
        <v>563</v>
      </c>
      <c r="AC13" s="331">
        <v>1</v>
      </c>
      <c r="AD13" s="404" t="s">
        <v>587</v>
      </c>
    </row>
    <row r="14" spans="2:43" s="388" customFormat="1" ht="27" customHeight="1">
      <c r="B14" s="922"/>
      <c r="C14" s="923"/>
      <c r="D14" s="329">
        <v>10</v>
      </c>
      <c r="E14" s="399" t="s">
        <v>737</v>
      </c>
      <c r="F14" s="400">
        <v>1035.7659999999998</v>
      </c>
      <c r="G14" s="330">
        <v>272.57</v>
      </c>
      <c r="H14" s="401">
        <v>365.59500000000003</v>
      </c>
      <c r="I14" s="401">
        <v>367.66307532497979</v>
      </c>
      <c r="J14" s="403">
        <v>1.0059238218175026</v>
      </c>
      <c r="K14" s="402">
        <v>370.7</v>
      </c>
      <c r="L14" s="403">
        <v>1.0139635388886608</v>
      </c>
      <c r="M14" s="402">
        <v>0.5</v>
      </c>
      <c r="N14" s="403">
        <v>1.3676335836102791E-3</v>
      </c>
      <c r="O14" s="470">
        <v>371.2</v>
      </c>
      <c r="P14" s="403">
        <v>1.0153311724722711</v>
      </c>
      <c r="Q14" s="401">
        <v>3.8</v>
      </c>
      <c r="R14" s="403">
        <v>1.039401523543812E-2</v>
      </c>
      <c r="S14" s="470">
        <v>5.6049999999999969</v>
      </c>
      <c r="T14" s="403">
        <v>1.5331172472271219E-2</v>
      </c>
      <c r="U14" s="411">
        <v>1527.7548499999989</v>
      </c>
      <c r="V14" s="471">
        <v>1.8049999999999971</v>
      </c>
      <c r="W14" s="472">
        <v>4.9371572368330993E-3</v>
      </c>
      <c r="X14" s="473">
        <v>491.98884999999916</v>
      </c>
      <c r="Y14" s="331" t="s">
        <v>326</v>
      </c>
      <c r="Z14" s="331" t="s">
        <v>193</v>
      </c>
      <c r="AA14" s="474" t="s">
        <v>597</v>
      </c>
      <c r="AB14" s="474" t="s">
        <v>505</v>
      </c>
      <c r="AC14" s="331">
        <v>1</v>
      </c>
      <c r="AD14" s="404" t="s">
        <v>566</v>
      </c>
    </row>
    <row r="15" spans="2:43" s="388" customFormat="1" ht="27" customHeight="1">
      <c r="B15" s="922"/>
      <c r="C15" s="923"/>
      <c r="D15" s="329">
        <v>11</v>
      </c>
      <c r="E15" s="399" t="s">
        <v>705</v>
      </c>
      <c r="F15" s="400">
        <v>1028.9746837931939</v>
      </c>
      <c r="G15" s="330">
        <v>420.33</v>
      </c>
      <c r="H15" s="401">
        <v>479.28999999999996</v>
      </c>
      <c r="I15" s="401">
        <v>481.02942219206761</v>
      </c>
      <c r="J15" s="403">
        <v>1.0035621544335001</v>
      </c>
      <c r="K15" s="402">
        <v>483.38112463633934</v>
      </c>
      <c r="L15" s="403">
        <v>1.0085358021997943</v>
      </c>
      <c r="M15" s="402">
        <v>0</v>
      </c>
      <c r="N15" s="403">
        <v>0</v>
      </c>
      <c r="O15" s="470">
        <v>483.38112463633934</v>
      </c>
      <c r="P15" s="403">
        <v>1.0085358021997943</v>
      </c>
      <c r="Q15" s="401">
        <v>2.4480162819527371</v>
      </c>
      <c r="R15" s="403">
        <v>5.107588895976835E-3</v>
      </c>
      <c r="S15" s="470">
        <v>4.0911246363393019</v>
      </c>
      <c r="T15" s="403">
        <v>8.5358021997940757E-3</v>
      </c>
      <c r="U15" s="411">
        <v>1719.6224183924987</v>
      </c>
      <c r="V15" s="471">
        <v>1.6431083543865648</v>
      </c>
      <c r="W15" s="472">
        <v>3.4282133038172399E-3</v>
      </c>
      <c r="X15" s="473">
        <v>690.64773459930473</v>
      </c>
      <c r="Y15" s="331" t="s">
        <v>326</v>
      </c>
      <c r="Z15" s="331" t="s">
        <v>193</v>
      </c>
      <c r="AA15" s="474" t="s">
        <v>597</v>
      </c>
      <c r="AB15" s="474" t="s">
        <v>505</v>
      </c>
      <c r="AC15" s="331">
        <v>1</v>
      </c>
      <c r="AD15" s="404" t="s">
        <v>342</v>
      </c>
      <c r="AH15" s="333"/>
    </row>
    <row r="16" spans="2:43" s="388" customFormat="1" ht="27" customHeight="1">
      <c r="B16" s="922"/>
      <c r="C16" s="923"/>
      <c r="D16" s="329">
        <v>12</v>
      </c>
      <c r="E16" s="399" t="s">
        <v>717</v>
      </c>
      <c r="F16" s="400">
        <v>1024.9972878566596</v>
      </c>
      <c r="G16" s="330">
        <v>95.43</v>
      </c>
      <c r="H16" s="401">
        <v>428.70000000000005</v>
      </c>
      <c r="I16" s="401">
        <v>432.76182001206439</v>
      </c>
      <c r="J16" s="403">
        <v>1.0097647191963361</v>
      </c>
      <c r="K16" s="402">
        <v>443.38112463633939</v>
      </c>
      <c r="L16" s="403">
        <v>1.0342456837796579</v>
      </c>
      <c r="M16" s="402">
        <v>0</v>
      </c>
      <c r="N16" s="403">
        <v>0</v>
      </c>
      <c r="O16" s="470">
        <v>443.38112463633939</v>
      </c>
      <c r="P16" s="403">
        <v>1.0342456837796579</v>
      </c>
      <c r="Q16" s="401">
        <v>10.740828752558519</v>
      </c>
      <c r="R16" s="403">
        <v>2.5054417430740654E-2</v>
      </c>
      <c r="S16" s="470">
        <v>14.681124636339398</v>
      </c>
      <c r="T16" s="403">
        <v>3.4245683779658025E-2</v>
      </c>
      <c r="U16" s="411">
        <v>1401.0197240458688</v>
      </c>
      <c r="V16" s="471">
        <v>3.9402958837808786</v>
      </c>
      <c r="W16" s="472">
        <v>9.1912663489173742E-3</v>
      </c>
      <c r="X16" s="473">
        <v>376.02243618920926</v>
      </c>
      <c r="Y16" s="331" t="s">
        <v>327</v>
      </c>
      <c r="Z16" s="331" t="s">
        <v>358</v>
      </c>
      <c r="AA16" s="474" t="s">
        <v>696</v>
      </c>
      <c r="AB16" s="474" t="s">
        <v>697</v>
      </c>
      <c r="AC16" s="331">
        <v>1</v>
      </c>
      <c r="AD16" s="404" t="s">
        <v>340</v>
      </c>
    </row>
    <row r="17" spans="2:30" s="388" customFormat="1" ht="27" customHeight="1">
      <c r="B17" s="922"/>
      <c r="C17" s="923"/>
      <c r="D17" s="329">
        <v>13</v>
      </c>
      <c r="E17" s="399" t="s">
        <v>658</v>
      </c>
      <c r="F17" s="400">
        <v>1021.4116837931938</v>
      </c>
      <c r="G17" s="330">
        <v>136.88999999999999</v>
      </c>
      <c r="H17" s="401">
        <v>2240.5540000000001</v>
      </c>
      <c r="I17" s="401">
        <v>2245.4678649143684</v>
      </c>
      <c r="J17" s="403">
        <v>1.0022467685552023</v>
      </c>
      <c r="K17" s="402">
        <v>2252.68112463634</v>
      </c>
      <c r="L17" s="403">
        <v>1.0054125562857845</v>
      </c>
      <c r="M17" s="402">
        <v>0</v>
      </c>
      <c r="N17" s="403">
        <v>0</v>
      </c>
      <c r="O17" s="470">
        <v>2252.68112463634</v>
      </c>
      <c r="P17" s="403">
        <v>1.0054125562857845</v>
      </c>
      <c r="Q17" s="401">
        <v>7.4615507618759143</v>
      </c>
      <c r="R17" s="403">
        <v>3.3302258110609758E-3</v>
      </c>
      <c r="S17" s="470">
        <v>12.127124636339943</v>
      </c>
      <c r="T17" s="403">
        <v>5.4125562857846509E-3</v>
      </c>
      <c r="U17" s="411">
        <v>1660.0820914685746</v>
      </c>
      <c r="V17" s="471">
        <v>4.6655738744640285</v>
      </c>
      <c r="W17" s="472">
        <v>2.0823304747236747E-3</v>
      </c>
      <c r="X17" s="473">
        <v>638.67040767538083</v>
      </c>
      <c r="Y17" s="331" t="s">
        <v>326</v>
      </c>
      <c r="Z17" s="331" t="s">
        <v>193</v>
      </c>
      <c r="AA17" s="474" t="s">
        <v>738</v>
      </c>
      <c r="AB17" s="474" t="s">
        <v>505</v>
      </c>
      <c r="AC17" s="331">
        <v>1</v>
      </c>
      <c r="AD17" s="404" t="s">
        <v>328</v>
      </c>
    </row>
    <row r="18" spans="2:30" s="388" customFormat="1" ht="27" customHeight="1">
      <c r="B18" s="922"/>
      <c r="C18" s="923"/>
      <c r="D18" s="329">
        <v>14</v>
      </c>
      <c r="E18" s="399" t="s">
        <v>739</v>
      </c>
      <c r="F18" s="400">
        <v>1017.975</v>
      </c>
      <c r="G18" s="330">
        <v>290.85000000000002</v>
      </c>
      <c r="H18" s="401">
        <v>666.9899999999999</v>
      </c>
      <c r="I18" s="401">
        <v>666.9899999999999</v>
      </c>
      <c r="J18" s="403">
        <v>1</v>
      </c>
      <c r="K18" s="402">
        <v>671.99430673053951</v>
      </c>
      <c r="L18" s="403">
        <v>1.0075028212275141</v>
      </c>
      <c r="M18" s="402">
        <v>0</v>
      </c>
      <c r="N18" s="403">
        <v>0</v>
      </c>
      <c r="O18" s="470">
        <v>671.99430673053951</v>
      </c>
      <c r="P18" s="403">
        <v>1.0075028212275141</v>
      </c>
      <c r="Q18" s="401">
        <v>3.5</v>
      </c>
      <c r="R18" s="403">
        <v>5.2474549843325993E-3</v>
      </c>
      <c r="S18" s="470">
        <v>5.0043067305396107</v>
      </c>
      <c r="T18" s="403">
        <v>7.5028212275140733E-3</v>
      </c>
      <c r="U18" s="411">
        <v>1455.5026125774457</v>
      </c>
      <c r="V18" s="471">
        <v>1.5043067305396107</v>
      </c>
      <c r="W18" s="472">
        <v>2.2553662431814736E-3</v>
      </c>
      <c r="X18" s="473">
        <v>437.52761257744584</v>
      </c>
      <c r="Y18" s="331" t="s">
        <v>326</v>
      </c>
      <c r="Z18" s="331" t="s">
        <v>193</v>
      </c>
      <c r="AA18" s="474" t="s">
        <v>597</v>
      </c>
      <c r="AB18" s="474" t="s">
        <v>505</v>
      </c>
      <c r="AC18" s="331">
        <v>1</v>
      </c>
      <c r="AD18" s="404" t="s">
        <v>740</v>
      </c>
    </row>
    <row r="19" spans="2:30" s="388" customFormat="1" ht="27" customHeight="1">
      <c r="B19" s="922"/>
      <c r="C19" s="923"/>
      <c r="D19" s="329">
        <v>15</v>
      </c>
      <c r="E19" s="399" t="s">
        <v>702</v>
      </c>
      <c r="F19" s="400">
        <v>971.58922275216116</v>
      </c>
      <c r="G19" s="330">
        <v>103.97</v>
      </c>
      <c r="H19" s="401">
        <v>675.99</v>
      </c>
      <c r="I19" s="401">
        <v>680.6063692772459</v>
      </c>
      <c r="J19" s="403">
        <v>1.006982863887449</v>
      </c>
      <c r="K19" s="402">
        <v>690.08681790579976</v>
      </c>
      <c r="L19" s="403">
        <v>1.0208535894107897</v>
      </c>
      <c r="M19" s="402">
        <v>0</v>
      </c>
      <c r="N19" s="403">
        <v>0</v>
      </c>
      <c r="O19" s="470">
        <v>690.08681790579976</v>
      </c>
      <c r="P19" s="403">
        <v>1.0208535894107897</v>
      </c>
      <c r="Q19" s="401">
        <v>9.3448997090714734</v>
      </c>
      <c r="R19" s="403">
        <v>1.3824020635026366E-2</v>
      </c>
      <c r="S19" s="470">
        <v>14.096817905799682</v>
      </c>
      <c r="T19" s="403">
        <v>2.085358941078963E-2</v>
      </c>
      <c r="U19" s="411">
        <v>1465.6461576659931</v>
      </c>
      <c r="V19" s="471">
        <v>4.7519181967282087</v>
      </c>
      <c r="W19" s="472">
        <v>7.0295687757632635E-3</v>
      </c>
      <c r="X19" s="473">
        <v>494.05693491383187</v>
      </c>
      <c r="Y19" s="331" t="s">
        <v>325</v>
      </c>
      <c r="Z19" s="331" t="s">
        <v>485</v>
      </c>
      <c r="AA19" s="474" t="s">
        <v>675</v>
      </c>
      <c r="AB19" s="474" t="s">
        <v>676</v>
      </c>
      <c r="AC19" s="331">
        <v>1</v>
      </c>
      <c r="AD19" s="404" t="s">
        <v>501</v>
      </c>
    </row>
    <row r="20" spans="2:30" s="388" customFormat="1" ht="27" customHeight="1">
      <c r="B20" s="922"/>
      <c r="C20" s="923"/>
      <c r="D20" s="329">
        <v>16</v>
      </c>
      <c r="E20" s="399" t="s">
        <v>698</v>
      </c>
      <c r="F20" s="400">
        <v>969.97297627804573</v>
      </c>
      <c r="G20" s="330">
        <v>370.75</v>
      </c>
      <c r="H20" s="401">
        <v>162.16200000000001</v>
      </c>
      <c r="I20" s="401">
        <v>163.7493130643723</v>
      </c>
      <c r="J20" s="403">
        <v>1.009801668254674</v>
      </c>
      <c r="K20" s="402">
        <v>165.8</v>
      </c>
      <c r="L20" s="403">
        <v>1.0224343557676892</v>
      </c>
      <c r="M20" s="402">
        <v>0.6</v>
      </c>
      <c r="N20" s="403">
        <v>3.7000037000036999E-3</v>
      </c>
      <c r="O20" s="470">
        <v>166.4</v>
      </c>
      <c r="P20" s="403">
        <v>1.0261343594676928</v>
      </c>
      <c r="Q20" s="401">
        <v>2.6162453844316809</v>
      </c>
      <c r="R20" s="403">
        <v>1.6133529337524703E-2</v>
      </c>
      <c r="S20" s="470">
        <v>4.2379999999999995</v>
      </c>
      <c r="T20" s="403">
        <v>2.6134359467692797E-2</v>
      </c>
      <c r="U20" s="411">
        <v>1571.2384999999999</v>
      </c>
      <c r="V20" s="471">
        <v>1.6217546155683187</v>
      </c>
      <c r="W20" s="472">
        <v>1.0000830130168096E-2</v>
      </c>
      <c r="X20" s="473">
        <v>601.2655237219542</v>
      </c>
      <c r="Y20" s="331" t="s">
        <v>326</v>
      </c>
      <c r="Z20" s="331" t="s">
        <v>194</v>
      </c>
      <c r="AA20" s="474" t="s">
        <v>561</v>
      </c>
      <c r="AB20" s="474" t="s">
        <v>505</v>
      </c>
      <c r="AC20" s="331">
        <v>1</v>
      </c>
      <c r="AD20" s="404" t="s">
        <v>699</v>
      </c>
    </row>
    <row r="21" spans="2:30" s="388" customFormat="1" ht="27" customHeight="1">
      <c r="B21" s="922"/>
      <c r="C21" s="923"/>
      <c r="D21" s="329">
        <v>17</v>
      </c>
      <c r="E21" s="399" t="s">
        <v>726</v>
      </c>
      <c r="F21" s="400">
        <v>948.04636955790068</v>
      </c>
      <c r="G21" s="330">
        <v>103.55</v>
      </c>
      <c r="H21" s="401">
        <v>1476.93</v>
      </c>
      <c r="I21" s="401">
        <v>1481.5702833596158</v>
      </c>
      <c r="J21" s="403">
        <v>1.0033166314322643</v>
      </c>
      <c r="K21" s="402">
        <v>1490.2943067305403</v>
      </c>
      <c r="L21" s="403">
        <v>1.0090487069329894</v>
      </c>
      <c r="M21" s="402">
        <v>0</v>
      </c>
      <c r="N21" s="403">
        <v>0</v>
      </c>
      <c r="O21" s="470">
        <v>1490.2943067305403</v>
      </c>
      <c r="P21" s="403">
        <v>1.0090487069329894</v>
      </c>
      <c r="Q21" s="401">
        <v>9.1554453844316832</v>
      </c>
      <c r="R21" s="403">
        <v>6.1989704213684348E-3</v>
      </c>
      <c r="S21" s="470">
        <v>13.364306730540022</v>
      </c>
      <c r="T21" s="403">
        <v>9.0487069329893907E-3</v>
      </c>
      <c r="U21" s="411">
        <v>1383.8739619474193</v>
      </c>
      <c r="V21" s="471">
        <v>4.2088613461083391</v>
      </c>
      <c r="W21" s="472">
        <v>2.8497365116209564E-3</v>
      </c>
      <c r="X21" s="473">
        <v>435.82759238951849</v>
      </c>
      <c r="Y21" s="331" t="s">
        <v>325</v>
      </c>
      <c r="Z21" s="331" t="s">
        <v>485</v>
      </c>
      <c r="AA21" s="474" t="s">
        <v>562</v>
      </c>
      <c r="AB21" s="474" t="s">
        <v>563</v>
      </c>
      <c r="AC21" s="331">
        <v>1</v>
      </c>
      <c r="AD21" s="404" t="s">
        <v>592</v>
      </c>
    </row>
    <row r="22" spans="2:30" s="388" customFormat="1" ht="27" customHeight="1">
      <c r="B22" s="922"/>
      <c r="C22" s="923"/>
      <c r="D22" s="329">
        <v>18</v>
      </c>
      <c r="E22" s="399" t="s">
        <v>659</v>
      </c>
      <c r="F22" s="400">
        <v>919.04212379319381</v>
      </c>
      <c r="G22" s="330">
        <v>622.54999999999995</v>
      </c>
      <c r="H22" s="401">
        <v>17.474</v>
      </c>
      <c r="I22" s="401">
        <v>18.350484420050886</v>
      </c>
      <c r="J22" s="403">
        <v>1.0522200334716896</v>
      </c>
      <c r="K22" s="402">
        <v>19.899999999999999</v>
      </c>
      <c r="L22" s="403">
        <v>1.1388348403342108</v>
      </c>
      <c r="M22" s="402">
        <v>0</v>
      </c>
      <c r="N22" s="403">
        <v>0</v>
      </c>
      <c r="O22" s="470">
        <v>19.899999999999999</v>
      </c>
      <c r="P22" s="403">
        <v>1.1388348403342108</v>
      </c>
      <c r="Q22" s="401">
        <v>1.476254314983847</v>
      </c>
      <c r="R22" s="403">
        <v>8.4482906889312523E-2</v>
      </c>
      <c r="S22" s="470">
        <v>2.4260000000000002</v>
      </c>
      <c r="T22" s="403">
        <v>0.13883484033421084</v>
      </c>
      <c r="U22" s="411">
        <v>1510.3063</v>
      </c>
      <c r="V22" s="471">
        <v>0.9497456850161532</v>
      </c>
      <c r="W22" s="472">
        <v>5.4351933444898318E-2</v>
      </c>
      <c r="X22" s="473">
        <v>591.26417620680616</v>
      </c>
      <c r="Y22" s="331" t="s">
        <v>326</v>
      </c>
      <c r="Z22" s="331" t="s">
        <v>498</v>
      </c>
      <c r="AA22" s="474" t="s">
        <v>568</v>
      </c>
      <c r="AB22" s="474" t="s">
        <v>611</v>
      </c>
      <c r="AC22" s="331">
        <v>1</v>
      </c>
      <c r="AD22" s="404" t="s">
        <v>655</v>
      </c>
    </row>
    <row r="23" spans="2:30" s="388" customFormat="1" ht="27" customHeight="1">
      <c r="B23" s="922"/>
      <c r="C23" s="923"/>
      <c r="D23" s="329">
        <v>19</v>
      </c>
      <c r="E23" s="399" t="s">
        <v>710</v>
      </c>
      <c r="F23" s="400">
        <v>916.17870028403399</v>
      </c>
      <c r="G23" s="330">
        <v>91.83</v>
      </c>
      <c r="H23" s="401">
        <v>308.18400000000003</v>
      </c>
      <c r="I23" s="401">
        <v>308.18400000000003</v>
      </c>
      <c r="J23" s="403">
        <v>1</v>
      </c>
      <c r="K23" s="402">
        <v>320.98112463633936</v>
      </c>
      <c r="L23" s="403">
        <v>1.0415242992379206</v>
      </c>
      <c r="M23" s="402">
        <v>0</v>
      </c>
      <c r="N23" s="403">
        <v>0</v>
      </c>
      <c r="O23" s="470">
        <v>320.98112463633936</v>
      </c>
      <c r="P23" s="403">
        <v>1.0415242992379206</v>
      </c>
      <c r="Q23" s="401">
        <v>9.9768997090714802</v>
      </c>
      <c r="R23" s="403">
        <v>3.2373191694155048E-2</v>
      </c>
      <c r="S23" s="470">
        <v>12.797124636339305</v>
      </c>
      <c r="T23" s="403">
        <v>4.1524299237920538E-2</v>
      </c>
      <c r="U23" s="411">
        <v>1175.1599553550382</v>
      </c>
      <c r="V23" s="471">
        <v>2.8202249272678248</v>
      </c>
      <c r="W23" s="472">
        <v>9.151107543765493E-3</v>
      </c>
      <c r="X23" s="473">
        <v>258.98125507100434</v>
      </c>
      <c r="Y23" s="331" t="s">
        <v>327</v>
      </c>
      <c r="Z23" s="331" t="s">
        <v>358</v>
      </c>
      <c r="AA23" s="474" t="s">
        <v>696</v>
      </c>
      <c r="AB23" s="474" t="s">
        <v>697</v>
      </c>
      <c r="AC23" s="331">
        <v>1</v>
      </c>
      <c r="AD23" s="404" t="s">
        <v>711</v>
      </c>
    </row>
    <row r="24" spans="2:30" s="388" customFormat="1" ht="27" customHeight="1">
      <c r="B24" s="924"/>
      <c r="C24" s="925"/>
      <c r="D24" s="329">
        <v>20</v>
      </c>
      <c r="E24" s="399" t="s">
        <v>685</v>
      </c>
      <c r="F24" s="400">
        <v>907.79519999999957</v>
      </c>
      <c r="G24" s="330">
        <v>581.91999999999996</v>
      </c>
      <c r="H24" s="401">
        <v>125.571</v>
      </c>
      <c r="I24" s="401">
        <v>126.38972809962971</v>
      </c>
      <c r="J24" s="403">
        <v>1.0064546224492776</v>
      </c>
      <c r="K24" s="402">
        <v>126.5</v>
      </c>
      <c r="L24" s="403">
        <v>1.007398204999562</v>
      </c>
      <c r="M24" s="402">
        <v>1.6</v>
      </c>
      <c r="N24" s="403">
        <v>1.2741795478255331E-2</v>
      </c>
      <c r="O24" s="470">
        <v>128.1</v>
      </c>
      <c r="P24" s="403">
        <v>1.0201400004778174</v>
      </c>
      <c r="Q24" s="401">
        <v>1.5599999999999992</v>
      </c>
      <c r="R24" s="403">
        <v>1.2423250591298941E-2</v>
      </c>
      <c r="S24" s="470">
        <v>2.5289999999999999</v>
      </c>
      <c r="T24" s="403">
        <v>2.0140000477817329E-2</v>
      </c>
      <c r="U24" s="411">
        <v>1471.6756800000001</v>
      </c>
      <c r="V24" s="471">
        <v>0.96900000000000075</v>
      </c>
      <c r="W24" s="472">
        <v>7.7167498865183901E-3</v>
      </c>
      <c r="X24" s="473">
        <v>563.88048000000038</v>
      </c>
      <c r="Y24" s="331" t="s">
        <v>326</v>
      </c>
      <c r="Z24" s="331" t="s">
        <v>193</v>
      </c>
      <c r="AA24" s="474" t="s">
        <v>597</v>
      </c>
      <c r="AB24" s="474" t="s">
        <v>505</v>
      </c>
      <c r="AC24" s="331">
        <v>1</v>
      </c>
      <c r="AD24" s="404" t="s">
        <v>330</v>
      </c>
    </row>
    <row r="28" spans="2:30" ht="14.1" customHeight="1"/>
    <row r="38" ht="14.1" customHeight="1"/>
    <row r="48" ht="14.1" customHeight="1"/>
    <row r="58" ht="14.1" customHeight="1"/>
    <row r="68" ht="14.1" customHeight="1"/>
    <row r="78" ht="14.1" customHeight="1"/>
  </sheetData>
  <mergeCells count="22">
    <mergeCell ref="AF3:AM5"/>
    <mergeCell ref="B5:C24"/>
    <mergeCell ref="Y3:Y4"/>
    <mergeCell ref="Z3:Z4"/>
    <mergeCell ref="AA3:AA4"/>
    <mergeCell ref="M3:N3"/>
    <mergeCell ref="O3:P3"/>
    <mergeCell ref="Q3:R3"/>
    <mergeCell ref="S3:U3"/>
    <mergeCell ref="F3:F4"/>
    <mergeCell ref="G3:G4"/>
    <mergeCell ref="H3:H4"/>
    <mergeCell ref="I3:J3"/>
    <mergeCell ref="K3:L3"/>
    <mergeCell ref="B3:C4"/>
    <mergeCell ref="D3:D4"/>
    <mergeCell ref="E3:E4"/>
    <mergeCell ref="B2:AD2"/>
    <mergeCell ref="V3:X3"/>
    <mergeCell ref="AB3:AB4"/>
    <mergeCell ref="AC3:AC4"/>
    <mergeCell ref="AD3:AD4"/>
  </mergeCells>
  <phoneticPr fontId="13" type="noConversion"/>
  <dataValidations disablePrompts="1" count="3">
    <dataValidation type="list" allowBlank="1" showInputMessage="1" showErrorMessage="1" sqref="Y5:Y24">
      <formula1>$AQ$6:$AQ$12</formula1>
    </dataValidation>
    <dataValidation type="list" allowBlank="1" showInputMessage="1" showErrorMessage="1" sqref="Z5:Z24">
      <formula1>$AP$6:$AP$12</formula1>
    </dataValidation>
    <dataValidation type="list" allowBlank="1" showInputMessage="1" showErrorMessage="1" sqref="Y1:Z3 Y25:Z1048576">
      <formula1>#REF!</formula1>
    </dataValidation>
  </dataValidations>
  <pageMargins left="0" right="0" top="0" bottom="0" header="0" footer="0"/>
  <pageSetup paperSize="9" scale="18" orientation="landscape" horizontalDpi="300" verticalDpi="3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39997558519241921"/>
    <pageSetUpPr fitToPage="1"/>
  </sheetPr>
  <dimension ref="B1:AP24"/>
  <sheetViews>
    <sheetView zoomScale="55" zoomScaleNormal="55" workbookViewId="0">
      <pane xSplit="4" ySplit="1" topLeftCell="E2" activePane="bottomRight" state="frozen"/>
      <selection activeCell="M12" sqref="M12:Q12"/>
      <selection pane="topRight" activeCell="M12" sqref="M12:Q12"/>
      <selection pane="bottomLeft" activeCell="M12" sqref="M12:Q12"/>
      <selection pane="bottomRight" activeCell="AA53" sqref="AA53"/>
    </sheetView>
  </sheetViews>
  <sheetFormatPr defaultColWidth="8.85546875" defaultRowHeight="16.5"/>
  <cols>
    <col min="1" max="1" width="8.85546875" style="327"/>
    <col min="2" max="2" width="12.42578125" style="327" customWidth="1"/>
    <col min="3" max="3" width="8.85546875" style="327"/>
    <col min="4" max="4" width="11.5703125" style="327" customWidth="1"/>
    <col min="5" max="5" width="39.28515625" style="327" bestFit="1" customWidth="1"/>
    <col min="6" max="6" width="11.42578125" style="327" bestFit="1" customWidth="1"/>
    <col min="7" max="8" width="15.85546875" style="327" bestFit="1" customWidth="1"/>
    <col min="9" max="9" width="16.85546875" style="327" customWidth="1"/>
    <col min="10" max="10" width="14" style="327" customWidth="1"/>
    <col min="11" max="11" width="15.42578125" style="327" bestFit="1" customWidth="1"/>
    <col min="12" max="12" width="12.28515625" style="327" bestFit="1" customWidth="1"/>
    <col min="13" max="13" width="19.140625" style="327" bestFit="1" customWidth="1"/>
    <col min="14" max="14" width="15.28515625" style="327" bestFit="1" customWidth="1"/>
    <col min="15" max="15" width="19.140625" style="327" bestFit="1" customWidth="1"/>
    <col min="16" max="16" width="12.5703125" style="327" bestFit="1" customWidth="1"/>
    <col min="17" max="17" width="9.140625" style="327" bestFit="1" customWidth="1"/>
    <col min="18" max="18" width="12.28515625" style="327" bestFit="1" customWidth="1"/>
    <col min="19" max="19" width="12.5703125" style="327" bestFit="1" customWidth="1"/>
    <col min="20" max="20" width="12.42578125" style="327" bestFit="1" customWidth="1"/>
    <col min="21" max="21" width="11.42578125" style="327" bestFit="1" customWidth="1"/>
    <col min="22" max="24" width="11.42578125" style="327" customWidth="1"/>
    <col min="25" max="25" width="12.42578125" style="327" bestFit="1" customWidth="1"/>
    <col min="26" max="26" width="15.28515625" style="327" bestFit="1" customWidth="1"/>
    <col min="27" max="27" width="66.85546875" style="327" bestFit="1" customWidth="1"/>
    <col min="28" max="28" width="113.42578125" style="327" bestFit="1" customWidth="1"/>
    <col min="29" max="29" width="11.42578125" style="327" bestFit="1" customWidth="1"/>
    <col min="30" max="30" width="37.7109375" style="327" bestFit="1" customWidth="1"/>
    <col min="31" max="31" width="19.42578125" style="327" bestFit="1" customWidth="1"/>
    <col min="32" max="32" width="21.5703125" style="327" customWidth="1"/>
    <col min="33" max="33" width="19.42578125" style="327" bestFit="1" customWidth="1"/>
    <col min="34" max="39" width="14.42578125" style="327" customWidth="1"/>
    <col min="40" max="16384" width="8.85546875" style="327"/>
  </cols>
  <sheetData>
    <row r="1" spans="2:42" ht="21">
      <c r="B1" s="475" t="s">
        <v>638</v>
      </c>
    </row>
    <row r="2" spans="2:42" ht="41.1" customHeight="1">
      <c r="B2" s="902" t="s">
        <v>636</v>
      </c>
      <c r="C2" s="903"/>
      <c r="D2" s="903"/>
      <c r="E2" s="903"/>
      <c r="F2" s="903"/>
      <c r="G2" s="903"/>
      <c r="H2" s="903"/>
      <c r="I2" s="903"/>
      <c r="J2" s="903"/>
      <c r="K2" s="903"/>
      <c r="L2" s="903"/>
      <c r="M2" s="903"/>
      <c r="N2" s="903"/>
      <c r="O2" s="903"/>
      <c r="P2" s="903"/>
      <c r="Q2" s="903"/>
      <c r="R2" s="903"/>
      <c r="S2" s="903"/>
      <c r="T2" s="903"/>
      <c r="U2" s="903"/>
      <c r="V2" s="903"/>
      <c r="W2" s="903"/>
      <c r="X2" s="903"/>
      <c r="Y2" s="903"/>
      <c r="Z2" s="903"/>
      <c r="AA2" s="903"/>
      <c r="AB2" s="903"/>
      <c r="AD2" s="328"/>
      <c r="AE2" s="328"/>
      <c r="AF2" s="328"/>
      <c r="AG2" s="328"/>
    </row>
    <row r="3" spans="2:42" ht="17.100000000000001" customHeight="1">
      <c r="B3" s="933" t="s">
        <v>613</v>
      </c>
      <c r="C3" s="934"/>
      <c r="D3" s="901" t="s">
        <v>614</v>
      </c>
      <c r="E3" s="900" t="s">
        <v>615</v>
      </c>
      <c r="F3" s="938" t="s">
        <v>637</v>
      </c>
      <c r="G3" s="909" t="s">
        <v>617</v>
      </c>
      <c r="H3" s="932" t="s">
        <v>618</v>
      </c>
      <c r="I3" s="926" t="s">
        <v>619</v>
      </c>
      <c r="J3" s="927"/>
      <c r="K3" s="926" t="s">
        <v>620</v>
      </c>
      <c r="L3" s="927"/>
      <c r="M3" s="926" t="s">
        <v>621</v>
      </c>
      <c r="N3" s="927"/>
      <c r="O3" s="926" t="s">
        <v>622</v>
      </c>
      <c r="P3" s="927"/>
      <c r="Q3" s="926" t="s">
        <v>623</v>
      </c>
      <c r="R3" s="939"/>
      <c r="S3" s="927"/>
      <c r="T3" s="928" t="s">
        <v>624</v>
      </c>
      <c r="U3" s="929"/>
      <c r="V3" s="904" t="s">
        <v>625</v>
      </c>
      <c r="W3" s="905"/>
      <c r="X3" s="906"/>
      <c r="Y3" s="907" t="s">
        <v>165</v>
      </c>
      <c r="Z3" s="907" t="s">
        <v>626</v>
      </c>
      <c r="AA3" s="907" t="s">
        <v>627</v>
      </c>
      <c r="AB3" s="907" t="s">
        <v>628</v>
      </c>
      <c r="AC3" s="907" t="s">
        <v>629</v>
      </c>
      <c r="AD3" s="909" t="s">
        <v>166</v>
      </c>
      <c r="AF3" s="911" t="s">
        <v>630</v>
      </c>
      <c r="AG3" s="912"/>
      <c r="AH3" s="912"/>
      <c r="AI3" s="912"/>
      <c r="AJ3" s="912"/>
      <c r="AK3" s="912"/>
      <c r="AL3" s="912"/>
      <c r="AM3" s="913"/>
    </row>
    <row r="4" spans="2:42" ht="16.5" customHeight="1">
      <c r="B4" s="935"/>
      <c r="C4" s="936"/>
      <c r="D4" s="901"/>
      <c r="E4" s="901"/>
      <c r="F4" s="931"/>
      <c r="G4" s="910"/>
      <c r="H4" s="910"/>
      <c r="I4" s="574" t="s">
        <v>631</v>
      </c>
      <c r="J4" s="573" t="s">
        <v>574</v>
      </c>
      <c r="K4" s="574" t="s">
        <v>631</v>
      </c>
      <c r="L4" s="573" t="s">
        <v>574</v>
      </c>
      <c r="M4" s="574" t="s">
        <v>631</v>
      </c>
      <c r="N4" s="573" t="s">
        <v>574</v>
      </c>
      <c r="O4" s="574" t="s">
        <v>631</v>
      </c>
      <c r="P4" s="573" t="s">
        <v>574</v>
      </c>
      <c r="Q4" s="574" t="s">
        <v>631</v>
      </c>
      <c r="R4" s="573" t="s">
        <v>574</v>
      </c>
      <c r="S4" s="573" t="s">
        <v>575</v>
      </c>
      <c r="T4" s="574" t="s">
        <v>631</v>
      </c>
      <c r="U4" s="573" t="s">
        <v>574</v>
      </c>
      <c r="V4" s="574" t="s">
        <v>631</v>
      </c>
      <c r="W4" s="573" t="s">
        <v>574</v>
      </c>
      <c r="X4" s="573" t="s">
        <v>575</v>
      </c>
      <c r="Y4" s="908"/>
      <c r="Z4" s="908"/>
      <c r="AA4" s="908"/>
      <c r="AB4" s="908"/>
      <c r="AC4" s="908"/>
      <c r="AD4" s="910"/>
      <c r="AF4" s="914"/>
      <c r="AG4" s="915"/>
      <c r="AH4" s="915"/>
      <c r="AI4" s="915"/>
      <c r="AJ4" s="915"/>
      <c r="AK4" s="915"/>
      <c r="AL4" s="915"/>
      <c r="AM4" s="916"/>
    </row>
    <row r="5" spans="2:42" s="388" customFormat="1" ht="27" customHeight="1">
      <c r="B5" s="937" t="s">
        <v>715</v>
      </c>
      <c r="C5" s="921"/>
      <c r="D5" s="329">
        <v>1</v>
      </c>
      <c r="E5" s="399" t="s">
        <v>660</v>
      </c>
      <c r="F5" s="411">
        <v>1907.8080000000009</v>
      </c>
      <c r="G5" s="330">
        <v>935.2</v>
      </c>
      <c r="H5" s="401">
        <v>84.86</v>
      </c>
      <c r="I5" s="401">
        <v>85.921897036649185</v>
      </c>
      <c r="J5" s="403">
        <v>1.0126859193328186</v>
      </c>
      <c r="K5" s="402">
        <v>86.9</v>
      </c>
      <c r="L5" s="403">
        <v>1.0240395946264436</v>
      </c>
      <c r="M5" s="402">
        <v>0</v>
      </c>
      <c r="N5" s="403">
        <v>0</v>
      </c>
      <c r="O5" s="470">
        <v>86.9</v>
      </c>
      <c r="P5" s="403">
        <v>1.0240395946264436</v>
      </c>
      <c r="Q5" s="401">
        <v>1.1184551837646062</v>
      </c>
      <c r="R5" s="403">
        <v>1.3180004522326257E-2</v>
      </c>
      <c r="S5" s="412">
        <v>1045.9792878566595</v>
      </c>
      <c r="T5" s="470">
        <v>2.0400000000000009</v>
      </c>
      <c r="U5" s="403">
        <v>2.3742492546805129E-2</v>
      </c>
      <c r="V5" s="471">
        <v>0.92154481623539475</v>
      </c>
      <c r="W5" s="472">
        <v>1.0859590104117307E-2</v>
      </c>
      <c r="X5" s="473">
        <v>861.82871214334125</v>
      </c>
      <c r="Y5" s="424" t="s">
        <v>326</v>
      </c>
      <c r="Z5" s="424" t="s">
        <v>498</v>
      </c>
      <c r="AA5" s="331" t="s">
        <v>568</v>
      </c>
      <c r="AB5" s="331" t="s">
        <v>611</v>
      </c>
      <c r="AC5" s="331">
        <v>1</v>
      </c>
      <c r="AD5" s="404" t="s">
        <v>591</v>
      </c>
      <c r="AF5" s="917"/>
      <c r="AG5" s="918"/>
      <c r="AH5" s="918"/>
      <c r="AI5" s="918"/>
      <c r="AJ5" s="918"/>
      <c r="AK5" s="918"/>
      <c r="AL5" s="918"/>
      <c r="AM5" s="919"/>
      <c r="AO5" s="405" t="s">
        <v>632</v>
      </c>
      <c r="AP5" s="405" t="s">
        <v>165</v>
      </c>
    </row>
    <row r="6" spans="2:42" s="388" customFormat="1" ht="27" customHeight="1">
      <c r="B6" s="922"/>
      <c r="C6" s="923"/>
      <c r="D6" s="329">
        <v>2</v>
      </c>
      <c r="E6" s="399" t="s">
        <v>730</v>
      </c>
      <c r="F6" s="411">
        <v>1869.0761999999995</v>
      </c>
      <c r="G6" s="330">
        <v>380.28</v>
      </c>
      <c r="H6" s="401">
        <v>589.18499999999995</v>
      </c>
      <c r="I6" s="401">
        <v>589.18499999999995</v>
      </c>
      <c r="J6" s="403">
        <v>1</v>
      </c>
      <c r="K6" s="402">
        <v>593.20000000000005</v>
      </c>
      <c r="L6" s="403">
        <v>1.0068144979929905</v>
      </c>
      <c r="M6" s="402">
        <v>0.9</v>
      </c>
      <c r="N6" s="403">
        <v>1.5275337966852518E-3</v>
      </c>
      <c r="O6" s="470">
        <v>594.1</v>
      </c>
      <c r="P6" s="403">
        <v>1.0083420317896756</v>
      </c>
      <c r="Q6" s="401">
        <v>2.2999999999999998</v>
      </c>
      <c r="R6" s="403">
        <v>3.9036974804178655E-3</v>
      </c>
      <c r="S6" s="412">
        <v>874.64399999999989</v>
      </c>
      <c r="T6" s="470">
        <v>4.9149999999999991</v>
      </c>
      <c r="U6" s="403">
        <v>8.3420317896755677E-3</v>
      </c>
      <c r="V6" s="471">
        <v>2.6149999999999993</v>
      </c>
      <c r="W6" s="472">
        <v>4.4383343092577023E-3</v>
      </c>
      <c r="X6" s="473">
        <v>994.43219999999963</v>
      </c>
      <c r="Y6" s="424" t="s">
        <v>326</v>
      </c>
      <c r="Z6" s="424" t="s">
        <v>193</v>
      </c>
      <c r="AA6" s="331" t="s">
        <v>597</v>
      </c>
      <c r="AB6" s="331" t="s">
        <v>505</v>
      </c>
      <c r="AC6" s="331">
        <v>1</v>
      </c>
      <c r="AD6" s="404" t="s">
        <v>718</v>
      </c>
      <c r="AF6" s="222" t="s">
        <v>633</v>
      </c>
      <c r="AG6" s="222" t="s">
        <v>576</v>
      </c>
      <c r="AH6" s="469" t="s">
        <v>609</v>
      </c>
      <c r="AI6" s="469" t="s">
        <v>358</v>
      </c>
      <c r="AJ6" s="469" t="s">
        <v>485</v>
      </c>
      <c r="AK6" s="469" t="s">
        <v>193</v>
      </c>
      <c r="AL6" s="469" t="s">
        <v>194</v>
      </c>
      <c r="AM6" s="469" t="s">
        <v>498</v>
      </c>
      <c r="AO6" s="407" t="s">
        <v>576</v>
      </c>
      <c r="AP6" s="208" t="s">
        <v>634</v>
      </c>
    </row>
    <row r="7" spans="2:42" s="388" customFormat="1" ht="27" customHeight="1">
      <c r="B7" s="922"/>
      <c r="C7" s="923"/>
      <c r="D7" s="329">
        <v>3</v>
      </c>
      <c r="E7" s="399" t="s">
        <v>656</v>
      </c>
      <c r="F7" s="411">
        <v>1822.2204000000022</v>
      </c>
      <c r="G7" s="330">
        <v>1010.1</v>
      </c>
      <c r="H7" s="401">
        <v>69.896000000000001</v>
      </c>
      <c r="I7" s="401">
        <v>70.722883719420381</v>
      </c>
      <c r="J7" s="403">
        <v>1.0116635241019345</v>
      </c>
      <c r="K7" s="402">
        <v>71</v>
      </c>
      <c r="L7" s="403">
        <v>1.0157948952729769</v>
      </c>
      <c r="M7" s="402">
        <v>0.7</v>
      </c>
      <c r="N7" s="403">
        <v>1.0014879249170196E-2</v>
      </c>
      <c r="O7" s="470">
        <v>71.7</v>
      </c>
      <c r="P7" s="403">
        <v>1.0258097745221473</v>
      </c>
      <c r="Q7" s="401">
        <v>0.69800019800019797</v>
      </c>
      <c r="R7" s="403">
        <v>9.9862681412412439E-3</v>
      </c>
      <c r="S7" s="412">
        <v>705.05</v>
      </c>
      <c r="T7" s="470">
        <v>1.804000000000002</v>
      </c>
      <c r="U7" s="403">
        <v>2.5508009644474194E-2</v>
      </c>
      <c r="V7" s="471">
        <v>1.1059998019998041</v>
      </c>
      <c r="W7" s="472">
        <v>1.5823506380905974E-2</v>
      </c>
      <c r="X7" s="473">
        <v>1117.170400000002</v>
      </c>
      <c r="Y7" s="424" t="s">
        <v>326</v>
      </c>
      <c r="Z7" s="424" t="s">
        <v>498</v>
      </c>
      <c r="AA7" s="331" t="s">
        <v>568</v>
      </c>
      <c r="AB7" s="331" t="s">
        <v>611</v>
      </c>
      <c r="AC7" s="331">
        <v>1</v>
      </c>
      <c r="AD7" s="404" t="s">
        <v>655</v>
      </c>
      <c r="AF7" s="406">
        <v>20</v>
      </c>
      <c r="AG7" s="332">
        <v>0</v>
      </c>
      <c r="AH7" s="332">
        <v>0</v>
      </c>
      <c r="AI7" s="332">
        <v>1</v>
      </c>
      <c r="AJ7" s="332">
        <v>10</v>
      </c>
      <c r="AK7" s="332">
        <v>6</v>
      </c>
      <c r="AL7" s="332">
        <v>2</v>
      </c>
      <c r="AM7" s="332">
        <v>1</v>
      </c>
      <c r="AO7" s="208" t="s">
        <v>609</v>
      </c>
      <c r="AP7" s="208" t="s">
        <v>327</v>
      </c>
    </row>
    <row r="8" spans="2:42" s="388" customFormat="1" ht="27" customHeight="1">
      <c r="B8" s="922"/>
      <c r="C8" s="923"/>
      <c r="D8" s="329">
        <v>4</v>
      </c>
      <c r="E8" s="399" t="s">
        <v>684</v>
      </c>
      <c r="F8" s="411">
        <v>1796.0360082146262</v>
      </c>
      <c r="G8" s="330">
        <v>444.88</v>
      </c>
      <c r="H8" s="401">
        <v>223.34399999999999</v>
      </c>
      <c r="I8" s="401">
        <v>225.06712453001239</v>
      </c>
      <c r="J8" s="403">
        <v>1.0077908497909329</v>
      </c>
      <c r="K8" s="402">
        <v>227.38112463633934</v>
      </c>
      <c r="L8" s="403">
        <v>1.0180758141536792</v>
      </c>
      <c r="M8" s="402">
        <v>0</v>
      </c>
      <c r="N8" s="403">
        <v>0</v>
      </c>
      <c r="O8" s="470">
        <v>227.38112463633934</v>
      </c>
      <c r="P8" s="403">
        <v>1.0180758141536792</v>
      </c>
      <c r="Q8" s="401">
        <v>2.5343298952373541</v>
      </c>
      <c r="R8" s="403">
        <v>1.1347203843565773E-2</v>
      </c>
      <c r="S8" s="412">
        <v>1127.4726837931939</v>
      </c>
      <c r="T8" s="470">
        <v>4.0371246363392963</v>
      </c>
      <c r="U8" s="403">
        <v>1.7937424867224227E-2</v>
      </c>
      <c r="V8" s="471">
        <v>1.5027947411019422</v>
      </c>
      <c r="W8" s="472">
        <v>6.7286103101132887E-3</v>
      </c>
      <c r="X8" s="473">
        <v>668.56332442143207</v>
      </c>
      <c r="Y8" s="424" t="s">
        <v>326</v>
      </c>
      <c r="Z8" s="424" t="s">
        <v>194</v>
      </c>
      <c r="AA8" s="331" t="s">
        <v>561</v>
      </c>
      <c r="AB8" s="331" t="s">
        <v>505</v>
      </c>
      <c r="AC8" s="331">
        <v>1</v>
      </c>
      <c r="AD8" s="404" t="s">
        <v>540</v>
      </c>
      <c r="AF8" s="408"/>
      <c r="AG8" s="409">
        <v>0</v>
      </c>
      <c r="AH8" s="409">
        <v>0</v>
      </c>
      <c r="AI8" s="409">
        <v>1342.1630400000001</v>
      </c>
      <c r="AJ8" s="409">
        <v>14000.804869999998</v>
      </c>
      <c r="AK8" s="409">
        <v>9300.5849499999968</v>
      </c>
      <c r="AL8" s="409">
        <v>3721.092560000006</v>
      </c>
      <c r="AM8" s="409">
        <v>1862.9183999999943</v>
      </c>
      <c r="AO8" s="208" t="s">
        <v>358</v>
      </c>
      <c r="AP8" s="208" t="s">
        <v>327</v>
      </c>
    </row>
    <row r="9" spans="2:42" s="388" customFormat="1" ht="27" customHeight="1">
      <c r="B9" s="922"/>
      <c r="C9" s="923"/>
      <c r="D9" s="329">
        <v>5</v>
      </c>
      <c r="E9" s="399" t="s">
        <v>560</v>
      </c>
      <c r="F9" s="411">
        <v>1762.3619999999864</v>
      </c>
      <c r="G9" s="330">
        <v>447.3</v>
      </c>
      <c r="H9" s="401">
        <v>659.56000000000006</v>
      </c>
      <c r="I9" s="401">
        <v>662.09519148238587</v>
      </c>
      <c r="J9" s="403">
        <v>1.0040584848109948</v>
      </c>
      <c r="K9" s="402">
        <v>662.9</v>
      </c>
      <c r="L9" s="403">
        <v>1.0050639820486384</v>
      </c>
      <c r="M9" s="402">
        <v>0.6</v>
      </c>
      <c r="N9" s="403">
        <v>9.0969737400691355E-4</v>
      </c>
      <c r="O9" s="470">
        <v>663.5</v>
      </c>
      <c r="P9" s="403">
        <v>1.0059736794226453</v>
      </c>
      <c r="Q9" s="401">
        <v>1.4</v>
      </c>
      <c r="R9" s="403">
        <v>2.1226272060161314E-3</v>
      </c>
      <c r="S9" s="412">
        <v>626.22</v>
      </c>
      <c r="T9" s="470">
        <v>3.9399999999999693</v>
      </c>
      <c r="U9" s="403">
        <v>5.9508059425391361E-3</v>
      </c>
      <c r="V9" s="471">
        <v>2.5399999999999694</v>
      </c>
      <c r="W9" s="472">
        <v>3.8510522166292213E-3</v>
      </c>
      <c r="X9" s="473">
        <v>1136.1419999999864</v>
      </c>
      <c r="Y9" s="424" t="s">
        <v>326</v>
      </c>
      <c r="Z9" s="424" t="s">
        <v>193</v>
      </c>
      <c r="AA9" s="331" t="s">
        <v>597</v>
      </c>
      <c r="AB9" s="331" t="s">
        <v>505</v>
      </c>
      <c r="AC9" s="331">
        <v>1</v>
      </c>
      <c r="AD9" s="404" t="s">
        <v>559</v>
      </c>
      <c r="AF9" s="329"/>
      <c r="AG9" s="476">
        <v>0</v>
      </c>
      <c r="AH9" s="476">
        <v>0</v>
      </c>
      <c r="AI9" s="476">
        <v>0.05</v>
      </c>
      <c r="AJ9" s="476">
        <v>0.5</v>
      </c>
      <c r="AK9" s="476">
        <v>0.3</v>
      </c>
      <c r="AL9" s="476">
        <v>0.1</v>
      </c>
      <c r="AM9" s="476">
        <v>0.05</v>
      </c>
      <c r="AO9" s="208" t="s">
        <v>485</v>
      </c>
      <c r="AP9" s="208" t="s">
        <v>325</v>
      </c>
    </row>
    <row r="10" spans="2:42" s="388" customFormat="1" ht="27" customHeight="1">
      <c r="B10" s="922"/>
      <c r="C10" s="923"/>
      <c r="D10" s="329">
        <v>6</v>
      </c>
      <c r="E10" s="399" t="s">
        <v>329</v>
      </c>
      <c r="F10" s="411">
        <v>1754.6006799999959</v>
      </c>
      <c r="G10" s="330">
        <v>487.66</v>
      </c>
      <c r="H10" s="401">
        <v>282.90200000000004</v>
      </c>
      <c r="I10" s="401">
        <v>284.96628406521239</v>
      </c>
      <c r="J10" s="403">
        <v>1.0076305475651428</v>
      </c>
      <c r="K10" s="402">
        <v>286.2</v>
      </c>
      <c r="L10" s="403">
        <v>1.011657747205746</v>
      </c>
      <c r="M10" s="402">
        <v>0.3</v>
      </c>
      <c r="N10" s="403">
        <v>1.0604378901527736E-3</v>
      </c>
      <c r="O10" s="470">
        <v>286.5</v>
      </c>
      <c r="P10" s="403">
        <v>1.0127181850958988</v>
      </c>
      <c r="Q10" s="401">
        <v>1.7999999999999998</v>
      </c>
      <c r="R10" s="403">
        <v>6.3626273409166413E-3</v>
      </c>
      <c r="S10" s="412">
        <v>877.78800000000024</v>
      </c>
      <c r="T10" s="470">
        <v>3.5979999999999919</v>
      </c>
      <c r="U10" s="403">
        <v>1.2626055085087247E-2</v>
      </c>
      <c r="V10" s="471">
        <v>1.797999999999992</v>
      </c>
      <c r="W10" s="472">
        <v>6.355557754982262E-3</v>
      </c>
      <c r="X10" s="473">
        <v>876.81267999999613</v>
      </c>
      <c r="Y10" s="424" t="s">
        <v>326</v>
      </c>
      <c r="Z10" s="424" t="s">
        <v>194</v>
      </c>
      <c r="AA10" s="331" t="s">
        <v>561</v>
      </c>
      <c r="AB10" s="331" t="s">
        <v>505</v>
      </c>
      <c r="AC10" s="331">
        <v>1</v>
      </c>
      <c r="AD10" s="404" t="s">
        <v>594</v>
      </c>
      <c r="AO10" s="208" t="s">
        <v>193</v>
      </c>
      <c r="AP10" s="208" t="s">
        <v>326</v>
      </c>
    </row>
    <row r="11" spans="2:42" s="388" customFormat="1" ht="27" customHeight="1">
      <c r="B11" s="922"/>
      <c r="C11" s="923"/>
      <c r="D11" s="329">
        <v>7</v>
      </c>
      <c r="E11" s="399" t="s">
        <v>586</v>
      </c>
      <c r="F11" s="411">
        <v>1725.7544999999811</v>
      </c>
      <c r="G11" s="330">
        <v>371.13</v>
      </c>
      <c r="H11" s="401">
        <v>822.14999999999986</v>
      </c>
      <c r="I11" s="401">
        <v>825.0324712810891</v>
      </c>
      <c r="J11" s="403">
        <v>1.0036003369906663</v>
      </c>
      <c r="K11" s="402">
        <v>825.5</v>
      </c>
      <c r="L11" s="403">
        <v>1.0040746822356019</v>
      </c>
      <c r="M11" s="402">
        <v>1.2999999999999998</v>
      </c>
      <c r="N11" s="403">
        <v>1.5812199720245698E-3</v>
      </c>
      <c r="O11" s="470">
        <v>826.8</v>
      </c>
      <c r="P11" s="403">
        <v>1.0056559022076264</v>
      </c>
      <c r="Q11" s="401">
        <v>1.8</v>
      </c>
      <c r="R11" s="403">
        <v>2.1893814997263278E-3</v>
      </c>
      <c r="S11" s="412">
        <v>668.03399999999999</v>
      </c>
      <c r="T11" s="470">
        <v>4.6499999999999488</v>
      </c>
      <c r="U11" s="403">
        <v>5.636141802733593E-3</v>
      </c>
      <c r="V11" s="471">
        <v>2.849999999999949</v>
      </c>
      <c r="W11" s="472">
        <v>3.4665207078999568E-3</v>
      </c>
      <c r="X11" s="473">
        <v>1057.720499999981</v>
      </c>
      <c r="Y11" s="424" t="s">
        <v>325</v>
      </c>
      <c r="Z11" s="424" t="s">
        <v>485</v>
      </c>
      <c r="AA11" s="331" t="s">
        <v>593</v>
      </c>
      <c r="AB11" s="331" t="s">
        <v>585</v>
      </c>
      <c r="AC11" s="331">
        <v>1</v>
      </c>
      <c r="AD11" s="404" t="s">
        <v>344</v>
      </c>
      <c r="AO11" s="208" t="s">
        <v>194</v>
      </c>
      <c r="AP11" s="208" t="s">
        <v>326</v>
      </c>
    </row>
    <row r="12" spans="2:42" s="388" customFormat="1" ht="27" customHeight="1">
      <c r="B12" s="922"/>
      <c r="C12" s="923"/>
      <c r="D12" s="329">
        <v>8</v>
      </c>
      <c r="E12" s="399" t="s">
        <v>705</v>
      </c>
      <c r="F12" s="411">
        <v>1719.6224183924987</v>
      </c>
      <c r="G12" s="330">
        <v>420.33</v>
      </c>
      <c r="H12" s="401">
        <v>479.28999999999996</v>
      </c>
      <c r="I12" s="401">
        <v>481.02942219206761</v>
      </c>
      <c r="J12" s="403">
        <v>1.0035621544335001</v>
      </c>
      <c r="K12" s="402">
        <v>483.38112463633934</v>
      </c>
      <c r="L12" s="403">
        <v>1.0085358021997943</v>
      </c>
      <c r="M12" s="402">
        <v>0</v>
      </c>
      <c r="N12" s="403">
        <v>0</v>
      </c>
      <c r="O12" s="470">
        <v>483.38112463633934</v>
      </c>
      <c r="P12" s="403">
        <v>1.0085358021997943</v>
      </c>
      <c r="Q12" s="401">
        <v>2.4480162819527371</v>
      </c>
      <c r="R12" s="403">
        <v>5.107588895976835E-3</v>
      </c>
      <c r="S12" s="412">
        <v>1028.9746837931939</v>
      </c>
      <c r="T12" s="470">
        <v>4.0911246363393019</v>
      </c>
      <c r="U12" s="403">
        <v>8.5049363876660723E-3</v>
      </c>
      <c r="V12" s="471">
        <v>1.6431083543865648</v>
      </c>
      <c r="W12" s="472">
        <v>3.4282133038172399E-3</v>
      </c>
      <c r="X12" s="473">
        <v>690.64773459930473</v>
      </c>
      <c r="Y12" s="424" t="s">
        <v>326</v>
      </c>
      <c r="Z12" s="424" t="s">
        <v>193</v>
      </c>
      <c r="AA12" s="331" t="s">
        <v>597</v>
      </c>
      <c r="AB12" s="331" t="s">
        <v>505</v>
      </c>
      <c r="AC12" s="331">
        <v>1</v>
      </c>
      <c r="AD12" s="404" t="s">
        <v>342</v>
      </c>
      <c r="AO12" s="208" t="s">
        <v>498</v>
      </c>
      <c r="AP12" s="208" t="s">
        <v>326</v>
      </c>
    </row>
    <row r="13" spans="2:42" s="388" customFormat="1" ht="27" customHeight="1">
      <c r="B13" s="922"/>
      <c r="C13" s="923"/>
      <c r="D13" s="329">
        <v>9</v>
      </c>
      <c r="E13" s="399" t="s">
        <v>658</v>
      </c>
      <c r="F13" s="411">
        <v>1660.0820914685746</v>
      </c>
      <c r="G13" s="330">
        <v>136.88999999999999</v>
      </c>
      <c r="H13" s="401">
        <v>2240.5540000000001</v>
      </c>
      <c r="I13" s="401">
        <v>2245.4678649143684</v>
      </c>
      <c r="J13" s="403">
        <v>1.0022467685552023</v>
      </c>
      <c r="K13" s="402">
        <v>2252.68112463634</v>
      </c>
      <c r="L13" s="403">
        <v>1.0054125562857845</v>
      </c>
      <c r="M13" s="402">
        <v>0</v>
      </c>
      <c r="N13" s="403">
        <v>0</v>
      </c>
      <c r="O13" s="470">
        <v>2252.68112463634</v>
      </c>
      <c r="P13" s="403">
        <v>1.0054125562857845</v>
      </c>
      <c r="Q13" s="401">
        <v>7.4615507618759143</v>
      </c>
      <c r="R13" s="403">
        <v>3.3302258110609758E-3</v>
      </c>
      <c r="S13" s="412">
        <v>1021.4116837931938</v>
      </c>
      <c r="T13" s="470">
        <v>12.127124636339943</v>
      </c>
      <c r="U13" s="403">
        <v>5.4007117295363366E-3</v>
      </c>
      <c r="V13" s="471">
        <v>4.6655738744640285</v>
      </c>
      <c r="W13" s="472">
        <v>2.0823304747236747E-3</v>
      </c>
      <c r="X13" s="473">
        <v>638.67040767538083</v>
      </c>
      <c r="Y13" s="424" t="s">
        <v>326</v>
      </c>
      <c r="Z13" s="424" t="s">
        <v>193</v>
      </c>
      <c r="AA13" s="331" t="s">
        <v>738</v>
      </c>
      <c r="AB13" s="331" t="s">
        <v>505</v>
      </c>
      <c r="AC13" s="331">
        <v>1</v>
      </c>
      <c r="AD13" s="404" t="s">
        <v>328</v>
      </c>
    </row>
    <row r="14" spans="2:42" s="388" customFormat="1" ht="27" customHeight="1">
      <c r="B14" s="922"/>
      <c r="C14" s="923"/>
      <c r="D14" s="329">
        <v>10</v>
      </c>
      <c r="E14" s="399" t="s">
        <v>691</v>
      </c>
      <c r="F14" s="411">
        <v>1631.835</v>
      </c>
      <c r="G14" s="330">
        <v>362.63</v>
      </c>
      <c r="H14" s="401">
        <v>444.6</v>
      </c>
      <c r="I14" s="401">
        <v>446.32299503562371</v>
      </c>
      <c r="J14" s="403">
        <v>1.0038853786170683</v>
      </c>
      <c r="K14" s="402">
        <v>449.1</v>
      </c>
      <c r="L14" s="403">
        <v>1.0101214574898785</v>
      </c>
      <c r="M14" s="402">
        <v>0</v>
      </c>
      <c r="N14" s="403">
        <v>0</v>
      </c>
      <c r="O14" s="470">
        <v>449.1</v>
      </c>
      <c r="P14" s="403">
        <v>1.0101214574898785</v>
      </c>
      <c r="Q14" s="401">
        <v>2.9354453844316839</v>
      </c>
      <c r="R14" s="403">
        <v>6.6024412605301033E-3</v>
      </c>
      <c r="S14" s="412">
        <v>1064.4805597564616</v>
      </c>
      <c r="T14" s="470">
        <v>4.5</v>
      </c>
      <c r="U14" s="403">
        <v>1.0082384394379744E-2</v>
      </c>
      <c r="V14" s="471">
        <v>1.5645546155683161</v>
      </c>
      <c r="W14" s="472">
        <v>3.5190162293484389E-3</v>
      </c>
      <c r="X14" s="473">
        <v>567.35444024353842</v>
      </c>
      <c r="Y14" s="424" t="s">
        <v>325</v>
      </c>
      <c r="Z14" s="424" t="s">
        <v>485</v>
      </c>
      <c r="AA14" s="331" t="s">
        <v>593</v>
      </c>
      <c r="AB14" s="331" t="s">
        <v>585</v>
      </c>
      <c r="AC14" s="331">
        <v>1</v>
      </c>
      <c r="AD14" s="404" t="s">
        <v>692</v>
      </c>
    </row>
    <row r="15" spans="2:42" s="388" customFormat="1" ht="27" customHeight="1">
      <c r="B15" s="922"/>
      <c r="C15" s="923"/>
      <c r="D15" s="329">
        <v>11</v>
      </c>
      <c r="E15" s="399" t="s">
        <v>661</v>
      </c>
      <c r="F15" s="411">
        <v>1573.9587158219156</v>
      </c>
      <c r="G15" s="330">
        <v>111.17</v>
      </c>
      <c r="H15" s="401">
        <v>2424.723</v>
      </c>
      <c r="I15" s="401">
        <v>2431.4034895118361</v>
      </c>
      <c r="J15" s="403">
        <v>1.0028167009185531</v>
      </c>
      <c r="K15" s="402">
        <v>2438.8811246363402</v>
      </c>
      <c r="L15" s="403">
        <v>1.0058390688900714</v>
      </c>
      <c r="M15" s="402">
        <v>0</v>
      </c>
      <c r="N15" s="403">
        <v>0</v>
      </c>
      <c r="O15" s="470">
        <v>2438.8811246363402</v>
      </c>
      <c r="P15" s="403">
        <v>1.0058390688900714</v>
      </c>
      <c r="Q15" s="401">
        <v>7.8377195993222957</v>
      </c>
      <c r="R15" s="403">
        <v>3.2324185481485083E-3</v>
      </c>
      <c r="S15" s="412">
        <v>871.31928785665957</v>
      </c>
      <c r="T15" s="470">
        <v>14.158124636339977</v>
      </c>
      <c r="U15" s="403">
        <v>5.8230255477598938E-3</v>
      </c>
      <c r="V15" s="471">
        <v>6.3204050370176814</v>
      </c>
      <c r="W15" s="472">
        <v>2.6066503419226368E-3</v>
      </c>
      <c r="X15" s="473">
        <v>702.63942796525566</v>
      </c>
      <c r="Y15" s="424" t="s">
        <v>325</v>
      </c>
      <c r="Z15" s="424" t="s">
        <v>485</v>
      </c>
      <c r="AA15" s="331" t="s">
        <v>589</v>
      </c>
      <c r="AB15" s="331" t="s">
        <v>506</v>
      </c>
      <c r="AC15" s="331">
        <v>1</v>
      </c>
      <c r="AD15" s="404" t="s">
        <v>328</v>
      </c>
      <c r="AH15" s="333"/>
    </row>
    <row r="16" spans="2:42" s="388" customFormat="1" ht="27" customHeight="1">
      <c r="B16" s="922"/>
      <c r="C16" s="923"/>
      <c r="D16" s="329">
        <v>12</v>
      </c>
      <c r="E16" s="399" t="s">
        <v>698</v>
      </c>
      <c r="F16" s="411">
        <v>1571.2384999999999</v>
      </c>
      <c r="G16" s="330">
        <v>370.75</v>
      </c>
      <c r="H16" s="401">
        <v>162.16200000000001</v>
      </c>
      <c r="I16" s="401">
        <v>163.7493130643723</v>
      </c>
      <c r="J16" s="403">
        <v>1.009801668254674</v>
      </c>
      <c r="K16" s="402">
        <v>165.8</v>
      </c>
      <c r="L16" s="403">
        <v>1.0224343557676892</v>
      </c>
      <c r="M16" s="402">
        <v>0.6</v>
      </c>
      <c r="N16" s="403">
        <v>3.7000037000036999E-3</v>
      </c>
      <c r="O16" s="470">
        <v>166.4</v>
      </c>
      <c r="P16" s="403">
        <v>1.0261343594676928</v>
      </c>
      <c r="Q16" s="401">
        <v>2.6162453844316809</v>
      </c>
      <c r="R16" s="403">
        <v>1.6133529337524703E-2</v>
      </c>
      <c r="S16" s="412">
        <v>969.97297627804573</v>
      </c>
      <c r="T16" s="470">
        <v>4.2379999999999995</v>
      </c>
      <c r="U16" s="403">
        <v>2.5881024602124457E-2</v>
      </c>
      <c r="V16" s="471">
        <v>1.6217546155683187</v>
      </c>
      <c r="W16" s="472">
        <v>1.0000830130168096E-2</v>
      </c>
      <c r="X16" s="473">
        <v>601.2655237219542</v>
      </c>
      <c r="Y16" s="424" t="s">
        <v>326</v>
      </c>
      <c r="Z16" s="424" t="s">
        <v>194</v>
      </c>
      <c r="AA16" s="331" t="s">
        <v>561</v>
      </c>
      <c r="AB16" s="331" t="s">
        <v>505</v>
      </c>
      <c r="AC16" s="331">
        <v>1</v>
      </c>
      <c r="AD16" s="404" t="s">
        <v>699</v>
      </c>
    </row>
    <row r="17" spans="2:30" s="388" customFormat="1" ht="27" customHeight="1">
      <c r="B17" s="922"/>
      <c r="C17" s="923"/>
      <c r="D17" s="329">
        <v>13</v>
      </c>
      <c r="E17" s="399" t="s">
        <v>735</v>
      </c>
      <c r="F17" s="411">
        <v>1561.6099004792839</v>
      </c>
      <c r="G17" s="330">
        <v>290.85000000000002</v>
      </c>
      <c r="H17" s="401">
        <v>285.91199999999998</v>
      </c>
      <c r="I17" s="401">
        <v>285.91199999999998</v>
      </c>
      <c r="J17" s="403">
        <v>1</v>
      </c>
      <c r="K17" s="402">
        <v>291.28112463633931</v>
      </c>
      <c r="L17" s="403">
        <v>1.0187789411998773</v>
      </c>
      <c r="M17" s="402">
        <v>0</v>
      </c>
      <c r="N17" s="403">
        <v>0</v>
      </c>
      <c r="O17" s="470">
        <v>291.28112463633931</v>
      </c>
      <c r="P17" s="403">
        <v>1.0187789411998773</v>
      </c>
      <c r="Q17" s="401">
        <v>3.7439938252139102</v>
      </c>
      <c r="R17" s="403">
        <v>1.3094916705888212E-2</v>
      </c>
      <c r="S17" s="412">
        <v>1088.9406040634658</v>
      </c>
      <c r="T17" s="470">
        <v>5.3691246363392935</v>
      </c>
      <c r="U17" s="403">
        <v>1.8778941199877212E-2</v>
      </c>
      <c r="V17" s="471">
        <v>1.6251308111253833</v>
      </c>
      <c r="W17" s="472">
        <v>5.6840244939890018E-3</v>
      </c>
      <c r="X17" s="473">
        <v>472.66929641581777</v>
      </c>
      <c r="Y17" s="424" t="s">
        <v>326</v>
      </c>
      <c r="Z17" s="424" t="s">
        <v>193</v>
      </c>
      <c r="AA17" s="331" t="s">
        <v>597</v>
      </c>
      <c r="AB17" s="331" t="s">
        <v>505</v>
      </c>
      <c r="AC17" s="331">
        <v>1</v>
      </c>
      <c r="AD17" s="404" t="s">
        <v>336</v>
      </c>
    </row>
    <row r="18" spans="2:30" s="388" customFormat="1" ht="27" customHeight="1">
      <c r="B18" s="922"/>
      <c r="C18" s="923"/>
      <c r="D18" s="329">
        <v>14</v>
      </c>
      <c r="E18" s="399" t="s">
        <v>677</v>
      </c>
      <c r="F18" s="411">
        <v>1537.2995000000019</v>
      </c>
      <c r="G18" s="330">
        <v>297.35000000000002</v>
      </c>
      <c r="H18" s="401">
        <v>273.43</v>
      </c>
      <c r="I18" s="401">
        <v>274.95998289730562</v>
      </c>
      <c r="J18" s="403">
        <v>1.0057246019344479</v>
      </c>
      <c r="K18" s="402">
        <v>278.60000000000002</v>
      </c>
      <c r="L18" s="403">
        <v>1.0189079471894087</v>
      </c>
      <c r="M18" s="402">
        <v>0</v>
      </c>
      <c r="N18" s="403">
        <v>0</v>
      </c>
      <c r="O18" s="470">
        <v>278.60000000000002</v>
      </c>
      <c r="P18" s="403">
        <v>1.0189079471894087</v>
      </c>
      <c r="Q18" s="401">
        <v>3.6</v>
      </c>
      <c r="R18" s="403">
        <v>1.3166075412354167E-2</v>
      </c>
      <c r="S18" s="412">
        <v>1070.46</v>
      </c>
      <c r="T18" s="470">
        <v>5.1700000000000053</v>
      </c>
      <c r="U18" s="403">
        <v>1.8802736112807153E-2</v>
      </c>
      <c r="V18" s="471">
        <v>1.5700000000000052</v>
      </c>
      <c r="W18" s="472">
        <v>5.7418717770544754E-3</v>
      </c>
      <c r="X18" s="473">
        <v>466.83950000000158</v>
      </c>
      <c r="Y18" s="424" t="s">
        <v>326</v>
      </c>
      <c r="Z18" s="424" t="s">
        <v>193</v>
      </c>
      <c r="AA18" s="331" t="s">
        <v>597</v>
      </c>
      <c r="AB18" s="331" t="s">
        <v>505</v>
      </c>
      <c r="AC18" s="331">
        <v>1</v>
      </c>
      <c r="AD18" s="404" t="s">
        <v>556</v>
      </c>
    </row>
    <row r="19" spans="2:30" s="388" customFormat="1" ht="27" customHeight="1">
      <c r="B19" s="922"/>
      <c r="C19" s="923"/>
      <c r="D19" s="329">
        <v>15</v>
      </c>
      <c r="E19" s="399" t="s">
        <v>693</v>
      </c>
      <c r="F19" s="411">
        <v>1535.0874000000026</v>
      </c>
      <c r="G19" s="330">
        <v>344.19</v>
      </c>
      <c r="H19" s="401">
        <v>377.03999999999996</v>
      </c>
      <c r="I19" s="401">
        <v>378.38096775110557</v>
      </c>
      <c r="J19" s="403">
        <v>1.0036245364156335</v>
      </c>
      <c r="K19" s="402">
        <v>380.09999999999997</v>
      </c>
      <c r="L19" s="403">
        <v>1.008115849777212</v>
      </c>
      <c r="M19" s="402">
        <v>1.4</v>
      </c>
      <c r="N19" s="403">
        <v>3.7131338849989391E-3</v>
      </c>
      <c r="O19" s="470">
        <v>381.49999999999994</v>
      </c>
      <c r="P19" s="403">
        <v>1.0118289836622107</v>
      </c>
      <c r="Q19" s="401">
        <v>2.5999999999999996</v>
      </c>
      <c r="R19" s="403">
        <v>6.8958200721408866E-3</v>
      </c>
      <c r="S19" s="412">
        <v>894.89400000000001</v>
      </c>
      <c r="T19" s="470">
        <v>4.460000000000008</v>
      </c>
      <c r="U19" s="403">
        <v>1.1787062194242661E-2</v>
      </c>
      <c r="V19" s="471">
        <v>1.8600000000000083</v>
      </c>
      <c r="W19" s="472">
        <v>4.9331635900700414E-3</v>
      </c>
      <c r="X19" s="473">
        <v>640.19340000000284</v>
      </c>
      <c r="Y19" s="424" t="s">
        <v>326</v>
      </c>
      <c r="Z19" s="424" t="s">
        <v>193</v>
      </c>
      <c r="AA19" s="331" t="s">
        <v>597</v>
      </c>
      <c r="AB19" s="331" t="s">
        <v>505</v>
      </c>
      <c r="AC19" s="331">
        <v>1</v>
      </c>
      <c r="AD19" s="404" t="s">
        <v>694</v>
      </c>
    </row>
    <row r="20" spans="2:30" s="388" customFormat="1" ht="27" customHeight="1">
      <c r="B20" s="922"/>
      <c r="C20" s="923"/>
      <c r="D20" s="329">
        <v>16</v>
      </c>
      <c r="E20" s="399" t="s">
        <v>731</v>
      </c>
      <c r="F20" s="411">
        <v>1530.3355554814609</v>
      </c>
      <c r="G20" s="330">
        <v>227.16</v>
      </c>
      <c r="H20" s="401">
        <v>320.95</v>
      </c>
      <c r="I20" s="401">
        <v>320.95</v>
      </c>
      <c r="J20" s="403">
        <v>1</v>
      </c>
      <c r="K20" s="402">
        <v>327.68681790579973</v>
      </c>
      <c r="L20" s="403">
        <v>1.0209902411771297</v>
      </c>
      <c r="M20" s="402">
        <v>0</v>
      </c>
      <c r="N20" s="403">
        <v>0</v>
      </c>
      <c r="O20" s="470">
        <v>327.68681790579973</v>
      </c>
      <c r="P20" s="403">
        <v>1.0209902411771297</v>
      </c>
      <c r="Q20" s="401">
        <v>5.1999999999999993</v>
      </c>
      <c r="R20" s="403">
        <v>1.6201900607571273E-2</v>
      </c>
      <c r="S20" s="412">
        <v>1181.2320000000002</v>
      </c>
      <c r="T20" s="470">
        <v>6.736817905799704</v>
      </c>
      <c r="U20" s="403">
        <v>2.0990241177129474E-2</v>
      </c>
      <c r="V20" s="471">
        <v>1.5368179057997047</v>
      </c>
      <c r="W20" s="472">
        <v>4.7883405695582013E-3</v>
      </c>
      <c r="X20" s="473">
        <v>349.10355548146089</v>
      </c>
      <c r="Y20" s="424" t="s">
        <v>325</v>
      </c>
      <c r="Z20" s="331" t="s">
        <v>485</v>
      </c>
      <c r="AA20" s="331" t="s">
        <v>732</v>
      </c>
      <c r="AB20" s="331" t="s">
        <v>733</v>
      </c>
      <c r="AC20" s="331">
        <v>1</v>
      </c>
      <c r="AD20" s="404" t="s">
        <v>734</v>
      </c>
    </row>
    <row r="21" spans="2:30" s="388" customFormat="1" ht="27" customHeight="1">
      <c r="B21" s="922"/>
      <c r="C21" s="923"/>
      <c r="D21" s="329">
        <v>17</v>
      </c>
      <c r="E21" s="399" t="s">
        <v>737</v>
      </c>
      <c r="F21" s="411">
        <v>1527.7548499999989</v>
      </c>
      <c r="G21" s="330">
        <v>272.57</v>
      </c>
      <c r="H21" s="401">
        <v>365.59500000000003</v>
      </c>
      <c r="I21" s="401">
        <v>367.66307532497979</v>
      </c>
      <c r="J21" s="403">
        <v>1.0059238218175026</v>
      </c>
      <c r="K21" s="402">
        <v>370.7</v>
      </c>
      <c r="L21" s="403">
        <v>1.0139635388886608</v>
      </c>
      <c r="M21" s="402">
        <v>0.5</v>
      </c>
      <c r="N21" s="403">
        <v>1.3676335836102791E-3</v>
      </c>
      <c r="O21" s="470">
        <v>371.2</v>
      </c>
      <c r="P21" s="403">
        <v>1.0153311724722711</v>
      </c>
      <c r="Q21" s="401">
        <v>3.8</v>
      </c>
      <c r="R21" s="403">
        <v>1.039401523543812E-2</v>
      </c>
      <c r="S21" s="412">
        <v>1035.7659999999998</v>
      </c>
      <c r="T21" s="470">
        <v>5.6049999999999969</v>
      </c>
      <c r="U21" s="403">
        <v>1.524493585613867E-2</v>
      </c>
      <c r="V21" s="471">
        <v>1.8049999999999971</v>
      </c>
      <c r="W21" s="472">
        <v>4.9371572368330993E-3</v>
      </c>
      <c r="X21" s="473">
        <v>491.98884999999916</v>
      </c>
      <c r="Y21" s="424" t="s">
        <v>326</v>
      </c>
      <c r="Z21" s="331" t="s">
        <v>193</v>
      </c>
      <c r="AA21" s="331" t="s">
        <v>597</v>
      </c>
      <c r="AB21" s="331" t="s">
        <v>505</v>
      </c>
      <c r="AC21" s="331">
        <v>1</v>
      </c>
      <c r="AD21" s="404" t="s">
        <v>566</v>
      </c>
    </row>
    <row r="22" spans="2:30" s="388" customFormat="1" ht="27" customHeight="1">
      <c r="B22" s="922"/>
      <c r="C22" s="923"/>
      <c r="D22" s="329">
        <v>18</v>
      </c>
      <c r="E22" s="399" t="s">
        <v>659</v>
      </c>
      <c r="F22" s="411">
        <v>1510.3063</v>
      </c>
      <c r="G22" s="330">
        <v>622.54999999999995</v>
      </c>
      <c r="H22" s="401">
        <v>17.474</v>
      </c>
      <c r="I22" s="401">
        <v>18.350484420050886</v>
      </c>
      <c r="J22" s="403">
        <v>1.0522200334716896</v>
      </c>
      <c r="K22" s="402">
        <v>19.899999999999999</v>
      </c>
      <c r="L22" s="403">
        <v>1.1388348403342108</v>
      </c>
      <c r="M22" s="402">
        <v>0</v>
      </c>
      <c r="N22" s="403">
        <v>0</v>
      </c>
      <c r="O22" s="470">
        <v>19.899999999999999</v>
      </c>
      <c r="P22" s="403">
        <v>1.1388348403342108</v>
      </c>
      <c r="Q22" s="401">
        <v>1.476254314983847</v>
      </c>
      <c r="R22" s="403">
        <v>8.4482906889312523E-2</v>
      </c>
      <c r="S22" s="412">
        <v>919.04212379319381</v>
      </c>
      <c r="T22" s="470">
        <v>2.4260000000000002</v>
      </c>
      <c r="U22" s="403">
        <v>0.13220359443749621</v>
      </c>
      <c r="V22" s="471">
        <v>0.9497456850161532</v>
      </c>
      <c r="W22" s="472">
        <v>5.4351933444898318E-2</v>
      </c>
      <c r="X22" s="473">
        <v>591.26417620680616</v>
      </c>
      <c r="Y22" s="424" t="s">
        <v>326</v>
      </c>
      <c r="Z22" s="424" t="s">
        <v>498</v>
      </c>
      <c r="AA22" s="331" t="s">
        <v>568</v>
      </c>
      <c r="AB22" s="331" t="s">
        <v>611</v>
      </c>
      <c r="AC22" s="331">
        <v>1</v>
      </c>
      <c r="AD22" s="404" t="s">
        <v>655</v>
      </c>
    </row>
    <row r="23" spans="2:30" s="388" customFormat="1" ht="27" customHeight="1">
      <c r="B23" s="922"/>
      <c r="C23" s="923"/>
      <c r="D23" s="329">
        <v>19</v>
      </c>
      <c r="E23" s="399" t="s">
        <v>685</v>
      </c>
      <c r="F23" s="411">
        <v>1471.6756800000001</v>
      </c>
      <c r="G23" s="330">
        <v>581.91999999999996</v>
      </c>
      <c r="H23" s="401">
        <v>125.571</v>
      </c>
      <c r="I23" s="401">
        <v>126.38972809962971</v>
      </c>
      <c r="J23" s="403">
        <v>1.0064546224492776</v>
      </c>
      <c r="K23" s="402">
        <v>126.5</v>
      </c>
      <c r="L23" s="403">
        <v>1.007398204999562</v>
      </c>
      <c r="M23" s="402">
        <v>1.6</v>
      </c>
      <c r="N23" s="403">
        <v>1.2741795478255331E-2</v>
      </c>
      <c r="O23" s="470">
        <v>128.1</v>
      </c>
      <c r="P23" s="403">
        <v>1.0201400004778174</v>
      </c>
      <c r="Q23" s="401">
        <v>1.5599999999999992</v>
      </c>
      <c r="R23" s="403">
        <v>1.2423250591298941E-2</v>
      </c>
      <c r="S23" s="412">
        <v>907.79519999999957</v>
      </c>
      <c r="T23" s="470">
        <v>2.5289999999999999</v>
      </c>
      <c r="U23" s="403">
        <v>2.0009537468159245E-2</v>
      </c>
      <c r="V23" s="471">
        <v>0.96900000000000075</v>
      </c>
      <c r="W23" s="472">
        <v>7.7167498865183901E-3</v>
      </c>
      <c r="X23" s="473">
        <v>563.88048000000038</v>
      </c>
      <c r="Y23" s="424" t="s">
        <v>326</v>
      </c>
      <c r="Z23" s="424" t="s">
        <v>193</v>
      </c>
      <c r="AA23" s="331" t="s">
        <v>597</v>
      </c>
      <c r="AB23" s="331" t="s">
        <v>505</v>
      </c>
      <c r="AC23" s="331">
        <v>1</v>
      </c>
      <c r="AD23" s="404" t="s">
        <v>330</v>
      </c>
    </row>
    <row r="24" spans="2:30" s="388" customFormat="1" ht="27" customHeight="1">
      <c r="B24" s="924"/>
      <c r="C24" s="925"/>
      <c r="D24" s="329">
        <v>20</v>
      </c>
      <c r="E24" s="399" t="s">
        <v>702</v>
      </c>
      <c r="F24" s="411">
        <v>1465.6461576659931</v>
      </c>
      <c r="G24" s="330">
        <v>103.97</v>
      </c>
      <c r="H24" s="401">
        <v>675.99</v>
      </c>
      <c r="I24" s="401">
        <v>680.6063692772459</v>
      </c>
      <c r="J24" s="403">
        <v>1.006982863887449</v>
      </c>
      <c r="K24" s="402">
        <v>690.08681790579976</v>
      </c>
      <c r="L24" s="403">
        <v>1.0208535894107897</v>
      </c>
      <c r="M24" s="402">
        <v>0</v>
      </c>
      <c r="N24" s="403">
        <v>0</v>
      </c>
      <c r="O24" s="470">
        <v>690.08681790579976</v>
      </c>
      <c r="P24" s="403">
        <v>1.0208535894107897</v>
      </c>
      <c r="Q24" s="401">
        <v>9.3448997090714734</v>
      </c>
      <c r="R24" s="403">
        <v>1.3824020635026366E-2</v>
      </c>
      <c r="S24" s="412">
        <v>971.58922275216116</v>
      </c>
      <c r="T24" s="470">
        <v>14.096817905799682</v>
      </c>
      <c r="U24" s="403">
        <v>2.0712145143116232E-2</v>
      </c>
      <c r="V24" s="471">
        <v>4.7519181967282087</v>
      </c>
      <c r="W24" s="472">
        <v>7.0295687757632635E-3</v>
      </c>
      <c r="X24" s="473">
        <v>494.05693491383187</v>
      </c>
      <c r="Y24" s="424" t="s">
        <v>325</v>
      </c>
      <c r="Z24" s="424" t="s">
        <v>485</v>
      </c>
      <c r="AA24" s="331" t="s">
        <v>675</v>
      </c>
      <c r="AB24" s="331" t="s">
        <v>676</v>
      </c>
      <c r="AC24" s="331">
        <v>1</v>
      </c>
      <c r="AD24" s="404" t="s">
        <v>501</v>
      </c>
    </row>
  </sheetData>
  <mergeCells count="22">
    <mergeCell ref="B2:AB2"/>
    <mergeCell ref="V3:X3"/>
    <mergeCell ref="AB3:AB4"/>
    <mergeCell ref="AC3:AC4"/>
    <mergeCell ref="AD3:AD4"/>
    <mergeCell ref="G3:G4"/>
    <mergeCell ref="H3:H4"/>
    <mergeCell ref="I3:J3"/>
    <mergeCell ref="K3:L3"/>
    <mergeCell ref="M3:N3"/>
    <mergeCell ref="O3:P3"/>
    <mergeCell ref="Q3:S3"/>
    <mergeCell ref="T3:U3"/>
    <mergeCell ref="Y3:Y4"/>
    <mergeCell ref="Z3:Z4"/>
    <mergeCell ref="AA3:AA4"/>
    <mergeCell ref="AF3:AM5"/>
    <mergeCell ref="B5:C24"/>
    <mergeCell ref="B3:C4"/>
    <mergeCell ref="D3:D4"/>
    <mergeCell ref="E3:E4"/>
    <mergeCell ref="F3:F4"/>
  </mergeCells>
  <phoneticPr fontId="81" type="noConversion"/>
  <dataValidations count="3">
    <dataValidation type="list" allowBlank="1" showInputMessage="1" showErrorMessage="1" sqref="Y5:Y24">
      <formula1>$AP$6:$AP$12</formula1>
    </dataValidation>
    <dataValidation type="list" allowBlank="1" showInputMessage="1" showErrorMessage="1" sqref="Z5:Z24">
      <formula1>$AO$6:$AO$12</formula1>
    </dataValidation>
    <dataValidation type="list" allowBlank="1" showInputMessage="1" showErrorMessage="1" sqref="T1:X2 T25:X1048576 Y3:Z3">
      <formula1>#REF!</formula1>
    </dataValidation>
  </dataValidations>
  <pageMargins left="0" right="0" top="0" bottom="0" header="0" footer="0"/>
  <pageSetup paperSize="9" scale="20" orientation="landscape" horizontalDpi="300" verticalDpi="30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39997558519241921"/>
  </sheetPr>
  <dimension ref="A1:AG49"/>
  <sheetViews>
    <sheetView zoomScale="55" zoomScaleNormal="55" workbookViewId="0">
      <selection activeCell="M29" sqref="M29"/>
    </sheetView>
  </sheetViews>
  <sheetFormatPr defaultColWidth="10.140625" defaultRowHeight="15.75"/>
  <cols>
    <col min="1" max="4" width="25.7109375" style="478" customWidth="1"/>
    <col min="5" max="5" width="33.7109375" style="478" customWidth="1"/>
    <col min="6" max="6" width="25.7109375" style="478" customWidth="1"/>
    <col min="7" max="7" width="33.7109375" style="478" customWidth="1"/>
    <col min="8" max="11" width="25.7109375" style="478" customWidth="1"/>
    <col min="12" max="12" width="26.42578125" style="478" bestFit="1" customWidth="1"/>
    <col min="13" max="14" width="26.42578125" style="478" customWidth="1"/>
    <col min="15" max="15" width="26.140625" style="478" bestFit="1" customWidth="1"/>
    <col min="16" max="16" width="10.140625" style="478"/>
    <col min="17" max="18" width="13.7109375" style="478" bestFit="1" customWidth="1"/>
    <col min="19" max="20" width="10.140625" style="478"/>
    <col min="21" max="21" width="15.140625" style="478" bestFit="1" customWidth="1"/>
    <col min="22" max="23" width="10.140625" style="478"/>
    <col min="24" max="24" width="13.7109375" style="478" bestFit="1" customWidth="1"/>
    <col min="25" max="26" width="10.140625" style="478"/>
    <col min="27" max="27" width="15.140625" style="478" bestFit="1" customWidth="1"/>
    <col min="28" max="29" width="10.140625" style="478"/>
    <col min="30" max="30" width="13.7109375" style="478" bestFit="1" customWidth="1"/>
    <col min="31" max="32" width="10.140625" style="478"/>
    <col min="33" max="33" width="15.140625" style="478" bestFit="1" customWidth="1"/>
    <col min="34" max="16384" width="10.140625" style="478"/>
  </cols>
  <sheetData>
    <row r="1" spans="1:33" ht="27">
      <c r="A1" s="942" t="s">
        <v>578</v>
      </c>
      <c r="B1" s="942"/>
      <c r="C1" s="942"/>
      <c r="D1" s="942"/>
      <c r="E1" s="942"/>
      <c r="F1" s="942"/>
      <c r="G1" s="942"/>
      <c r="H1" s="942"/>
      <c r="I1" s="942"/>
      <c r="J1" s="942"/>
      <c r="K1" s="477"/>
      <c r="L1" s="477"/>
      <c r="M1" s="477"/>
      <c r="N1" s="477"/>
      <c r="O1" s="477"/>
      <c r="P1" s="477"/>
      <c r="Q1" s="477"/>
      <c r="R1" s="477"/>
      <c r="S1" s="477"/>
      <c r="T1" s="477"/>
      <c r="U1" s="477"/>
      <c r="V1" s="477"/>
    </row>
    <row r="2" spans="1:33" ht="48">
      <c r="A2" s="943" t="s">
        <v>741</v>
      </c>
      <c r="B2" s="945">
        <v>145112.05000000002</v>
      </c>
      <c r="C2" s="943" t="s">
        <v>742</v>
      </c>
      <c r="D2" s="947">
        <v>2.400875527091945E-3</v>
      </c>
      <c r="E2" s="479" t="s">
        <v>743</v>
      </c>
      <c r="F2" s="480" t="s">
        <v>744</v>
      </c>
      <c r="G2" s="481" t="s">
        <v>745</v>
      </c>
      <c r="H2" s="482" t="s">
        <v>746</v>
      </c>
      <c r="I2" s="949" t="s">
        <v>639</v>
      </c>
      <c r="J2" s="949" t="s">
        <v>640</v>
      </c>
      <c r="K2" s="477"/>
      <c r="L2" s="483"/>
      <c r="M2" s="477"/>
      <c r="N2" s="477"/>
      <c r="O2" s="477"/>
      <c r="P2" s="477"/>
      <c r="Q2" s="477"/>
      <c r="R2" s="477"/>
      <c r="S2" s="477"/>
      <c r="T2" s="477"/>
      <c r="U2" s="477"/>
      <c r="V2" s="477"/>
    </row>
    <row r="3" spans="1:33" ht="24">
      <c r="A3" s="944"/>
      <c r="B3" s="946"/>
      <c r="C3" s="944"/>
      <c r="D3" s="948"/>
      <c r="E3" s="484">
        <v>242534.62661448139</v>
      </c>
      <c r="F3" s="485">
        <v>4.0127298147265584E-3</v>
      </c>
      <c r="G3" s="486">
        <v>97422.576614481382</v>
      </c>
      <c r="H3" s="487">
        <v>1.6118542876346132E-3</v>
      </c>
      <c r="I3" s="950"/>
      <c r="J3" s="950"/>
      <c r="K3" s="488"/>
      <c r="L3" s="489"/>
      <c r="M3" s="477"/>
      <c r="N3" s="477"/>
      <c r="O3" s="477"/>
      <c r="P3" s="477"/>
      <c r="Q3" s="477"/>
      <c r="R3" s="477"/>
      <c r="S3" s="477"/>
      <c r="T3" s="477"/>
      <c r="U3" s="477"/>
      <c r="V3" s="477"/>
    </row>
    <row r="4" spans="1:33" ht="40.5">
      <c r="A4" s="490" t="s">
        <v>641</v>
      </c>
      <c r="B4" s="490" t="s">
        <v>332</v>
      </c>
      <c r="C4" s="490" t="s">
        <v>642</v>
      </c>
      <c r="D4" s="490" t="s">
        <v>643</v>
      </c>
      <c r="E4" s="490" t="s">
        <v>644</v>
      </c>
      <c r="F4" s="490" t="s">
        <v>645</v>
      </c>
      <c r="G4" s="491" t="s">
        <v>646</v>
      </c>
      <c r="H4" s="491" t="s">
        <v>647</v>
      </c>
      <c r="I4" s="951"/>
      <c r="J4" s="951"/>
      <c r="K4" s="477"/>
      <c r="L4" s="483"/>
      <c r="M4" s="492"/>
      <c r="N4" s="483"/>
      <c r="O4" s="493"/>
      <c r="P4" s="483"/>
      <c r="Q4" s="492"/>
      <c r="R4" s="494"/>
      <c r="S4" s="477"/>
      <c r="T4" s="477"/>
      <c r="U4" s="494"/>
      <c r="V4" s="477"/>
      <c r="X4" s="495"/>
      <c r="AA4" s="495"/>
      <c r="AD4" s="495"/>
      <c r="AG4" s="495"/>
    </row>
    <row r="5" spans="1:33" ht="18.75">
      <c r="A5" s="496">
        <v>46266</v>
      </c>
      <c r="B5" s="497">
        <v>9468850</v>
      </c>
      <c r="C5" s="498">
        <v>22737.432000000001</v>
      </c>
      <c r="D5" s="499">
        <v>2.4012875903620819E-3</v>
      </c>
      <c r="E5" s="498">
        <v>37676.856038944803</v>
      </c>
      <c r="F5" s="500">
        <v>3.9790318823241261E-3</v>
      </c>
      <c r="G5" s="501">
        <v>14939.424038944802</v>
      </c>
      <c r="H5" s="502">
        <v>1.5777442919620442E-3</v>
      </c>
      <c r="I5" s="940">
        <v>149585.49482123522</v>
      </c>
      <c r="J5" s="940">
        <v>248339.50660978301</v>
      </c>
      <c r="K5" s="477"/>
      <c r="L5" s="477"/>
      <c r="M5" s="477"/>
      <c r="N5" s="477"/>
      <c r="O5" s="477"/>
      <c r="P5" s="477"/>
      <c r="Q5" s="477"/>
      <c r="R5" s="477"/>
      <c r="S5" s="477"/>
      <c r="T5" s="477"/>
      <c r="U5" s="477"/>
      <c r="V5" s="477"/>
    </row>
    <row r="6" spans="1:33" ht="18.75">
      <c r="A6" s="496">
        <v>46267</v>
      </c>
      <c r="B6" s="497">
        <v>9882798</v>
      </c>
      <c r="C6" s="498">
        <v>23717</v>
      </c>
      <c r="D6" s="499">
        <v>2.3998264459113706E-3</v>
      </c>
      <c r="E6" s="498">
        <v>39316.2428779767</v>
      </c>
      <c r="F6" s="500">
        <v>3.9782501755046195E-3</v>
      </c>
      <c r="G6" s="501">
        <v>15599.2428779767</v>
      </c>
      <c r="H6" s="502">
        <v>1.5784237295932487E-3</v>
      </c>
      <c r="I6" s="940"/>
      <c r="J6" s="940"/>
      <c r="K6" s="477"/>
      <c r="L6" s="477"/>
      <c r="M6" s="477"/>
      <c r="N6" s="477"/>
      <c r="O6" s="477"/>
      <c r="P6" s="477"/>
      <c r="Q6" s="477"/>
      <c r="R6" s="477"/>
      <c r="S6" s="477"/>
      <c r="T6" s="477"/>
      <c r="U6" s="477"/>
      <c r="V6" s="477"/>
    </row>
    <row r="7" spans="1:33" ht="18.75">
      <c r="A7" s="496">
        <v>46268</v>
      </c>
      <c r="B7" s="497">
        <v>9127133</v>
      </c>
      <c r="C7" s="498">
        <v>21992.1165031118</v>
      </c>
      <c r="D7" s="499">
        <v>2.4095317229530675E-3</v>
      </c>
      <c r="E7" s="498">
        <v>36306.080531294698</v>
      </c>
      <c r="F7" s="500">
        <v>3.9778187226256808E-3</v>
      </c>
      <c r="G7" s="501">
        <v>14313.964028182898</v>
      </c>
      <c r="H7" s="502">
        <v>1.5682869996726133E-3</v>
      </c>
      <c r="I7" s="940"/>
      <c r="J7" s="940"/>
      <c r="K7" s="477"/>
      <c r="L7" s="477"/>
      <c r="M7" s="477"/>
      <c r="N7" s="477"/>
      <c r="O7" s="477"/>
      <c r="P7" s="477"/>
      <c r="Q7" s="477"/>
      <c r="R7" s="477"/>
      <c r="S7" s="477"/>
      <c r="T7" s="477"/>
      <c r="U7" s="477"/>
      <c r="V7" s="477"/>
    </row>
    <row r="8" spans="1:33" ht="18.75">
      <c r="A8" s="496">
        <v>46269</v>
      </c>
      <c r="B8" s="497">
        <v>8353572</v>
      </c>
      <c r="C8" s="498">
        <v>20234.071318123399</v>
      </c>
      <c r="D8" s="499">
        <v>2.4222058920571224E-3</v>
      </c>
      <c r="E8" s="498">
        <v>33664.224949852098</v>
      </c>
      <c r="F8" s="500">
        <v>4.0299197696329302E-3</v>
      </c>
      <c r="G8" s="501">
        <v>13430.153631728699</v>
      </c>
      <c r="H8" s="502">
        <v>1.6077138775758082E-3</v>
      </c>
      <c r="I8" s="940"/>
      <c r="J8" s="940"/>
      <c r="K8" s="477"/>
      <c r="L8" s="477"/>
      <c r="M8" s="477"/>
      <c r="N8" s="477"/>
      <c r="O8" s="477"/>
      <c r="P8" s="477"/>
      <c r="Q8" s="477"/>
      <c r="R8" s="477"/>
      <c r="S8" s="477"/>
      <c r="T8" s="477"/>
      <c r="U8" s="477"/>
      <c r="V8" s="477"/>
    </row>
    <row r="9" spans="1:33" ht="18.75">
      <c r="A9" s="496">
        <v>46270</v>
      </c>
      <c r="B9" s="497">
        <v>7218006</v>
      </c>
      <c r="C9" s="498">
        <v>17316.634000000002</v>
      </c>
      <c r="D9" s="499">
        <v>2.3990883354765846E-3</v>
      </c>
      <c r="E9" s="498">
        <v>29900.433170198234</v>
      </c>
      <c r="F9" s="500">
        <v>4.1424782925087947E-3</v>
      </c>
      <c r="G9" s="501">
        <v>12583.799170198232</v>
      </c>
      <c r="H9" s="502">
        <v>1.7433899570322097E-3</v>
      </c>
      <c r="I9" s="940"/>
      <c r="J9" s="940"/>
      <c r="K9" s="477"/>
      <c r="L9" s="477"/>
      <c r="M9" s="477"/>
      <c r="N9" s="477"/>
      <c r="O9" s="477"/>
      <c r="P9" s="477"/>
      <c r="Q9" s="477"/>
      <c r="R9" s="477"/>
      <c r="S9" s="477"/>
      <c r="T9" s="477"/>
      <c r="U9" s="477"/>
      <c r="V9" s="477"/>
    </row>
    <row r="10" spans="1:33" ht="18.75">
      <c r="A10" s="496">
        <v>46271</v>
      </c>
      <c r="B10" s="497">
        <v>7784935</v>
      </c>
      <c r="C10" s="498">
        <v>18624.021999999994</v>
      </c>
      <c r="D10" s="499">
        <v>2.3923156712291104E-3</v>
      </c>
      <c r="E10" s="498">
        <v>31119.683075379427</v>
      </c>
      <c r="F10" s="500">
        <v>3.9974236233673664E-3</v>
      </c>
      <c r="G10" s="501">
        <v>12495.661075379434</v>
      </c>
      <c r="H10" s="502">
        <v>1.605107952138256E-3</v>
      </c>
      <c r="I10" s="940"/>
      <c r="J10" s="940"/>
      <c r="K10" s="477"/>
      <c r="L10" s="477"/>
      <c r="M10" s="477"/>
      <c r="N10" s="477"/>
      <c r="O10" s="477"/>
      <c r="P10" s="477"/>
      <c r="Q10" s="477"/>
      <c r="R10" s="477"/>
      <c r="S10" s="477"/>
      <c r="T10" s="477"/>
      <c r="U10" s="477"/>
      <c r="V10" s="477"/>
    </row>
    <row r="11" spans="1:33" ht="18.75">
      <c r="A11" s="496">
        <v>46272</v>
      </c>
      <c r="B11" s="497">
        <v>10271030</v>
      </c>
      <c r="C11" s="498">
        <v>24964.219000000012</v>
      </c>
      <c r="D11" s="499">
        <v>2.4305467903413787E-3</v>
      </c>
      <c r="E11" s="498">
        <v>40355.985966137057</v>
      </c>
      <c r="F11" s="500">
        <v>3.9291079829517636E-3</v>
      </c>
      <c r="G11" s="501">
        <v>15391.766966137046</v>
      </c>
      <c r="H11" s="502">
        <v>1.4985611926103854E-3</v>
      </c>
      <c r="I11" s="940"/>
      <c r="J11" s="940"/>
      <c r="K11" s="477"/>
      <c r="L11" s="477"/>
      <c r="M11" s="477"/>
      <c r="N11" s="477"/>
      <c r="O11" s="477"/>
      <c r="P11" s="477"/>
      <c r="Q11" s="477"/>
      <c r="R11" s="477"/>
      <c r="S11" s="477"/>
      <c r="T11" s="477"/>
      <c r="U11" s="477"/>
      <c r="V11" s="477"/>
    </row>
    <row r="12" spans="1:33" ht="18.75">
      <c r="A12" s="503">
        <v>46273</v>
      </c>
      <c r="B12" s="497"/>
      <c r="C12" s="498"/>
      <c r="D12" s="499">
        <v>2.4040165804658799E-3</v>
      </c>
      <c r="E12" s="498"/>
      <c r="F12" s="500">
        <v>3.9126941391727397E-3</v>
      </c>
      <c r="G12" s="501">
        <v>0</v>
      </c>
      <c r="H12" s="502" t="e">
        <v>#DIV/0!</v>
      </c>
      <c r="I12" s="941">
        <v>0</v>
      </c>
      <c r="J12" s="941">
        <v>0</v>
      </c>
      <c r="K12" s="477"/>
      <c r="L12" s="477"/>
      <c r="M12" s="477"/>
      <c r="N12" s="477"/>
      <c r="O12" s="477"/>
      <c r="P12" s="477"/>
      <c r="Q12" s="477"/>
      <c r="R12" s="477"/>
      <c r="S12" s="477"/>
      <c r="T12" s="477"/>
      <c r="U12" s="477"/>
      <c r="V12" s="477"/>
    </row>
    <row r="13" spans="1:33" ht="18.75">
      <c r="A13" s="503">
        <v>46274</v>
      </c>
      <c r="B13" s="497"/>
      <c r="C13" s="498"/>
      <c r="D13" s="499">
        <v>2.4062558297899199E-3</v>
      </c>
      <c r="E13" s="498"/>
      <c r="F13" s="500">
        <v>3.7563089982108801E-3</v>
      </c>
      <c r="G13" s="501">
        <v>0</v>
      </c>
      <c r="H13" s="502" t="e">
        <v>#DIV/0!</v>
      </c>
      <c r="I13" s="941"/>
      <c r="J13" s="941"/>
      <c r="K13" s="477"/>
      <c r="L13" s="477"/>
      <c r="M13" s="477"/>
      <c r="N13" s="477"/>
      <c r="O13" s="477"/>
      <c r="P13" s="477"/>
      <c r="Q13" s="477"/>
      <c r="R13" s="477"/>
      <c r="S13" s="477"/>
      <c r="T13" s="477"/>
      <c r="U13" s="477"/>
      <c r="V13" s="477"/>
    </row>
    <row r="14" spans="1:33" ht="18.75">
      <c r="A14" s="503">
        <v>46275</v>
      </c>
      <c r="B14" s="497"/>
      <c r="C14" s="498"/>
      <c r="D14" s="499">
        <v>2.4082651185941299E-3</v>
      </c>
      <c r="E14" s="498"/>
      <c r="F14" s="500">
        <v>3.87381596955695E-3</v>
      </c>
      <c r="G14" s="501">
        <v>0</v>
      </c>
      <c r="H14" s="502" t="e">
        <v>#DIV/0!</v>
      </c>
      <c r="I14" s="941"/>
      <c r="J14" s="941"/>
      <c r="K14" s="477"/>
      <c r="L14" s="477"/>
      <c r="M14" s="477"/>
      <c r="N14" s="477"/>
      <c r="O14" s="477"/>
      <c r="P14" s="477"/>
      <c r="Q14" s="477"/>
      <c r="R14" s="477"/>
      <c r="S14" s="477"/>
      <c r="T14" s="477"/>
      <c r="U14" s="477"/>
      <c r="V14" s="477"/>
    </row>
    <row r="15" spans="1:33" ht="18.75">
      <c r="A15" s="503">
        <v>46276</v>
      </c>
      <c r="B15" s="497"/>
      <c r="C15" s="498"/>
      <c r="D15" s="499">
        <v>2.44286045588592E-3</v>
      </c>
      <c r="E15" s="498"/>
      <c r="F15" s="500">
        <v>4.0445004623045596E-3</v>
      </c>
      <c r="G15" s="501">
        <v>0</v>
      </c>
      <c r="H15" s="502" t="e">
        <v>#DIV/0!</v>
      </c>
      <c r="I15" s="941"/>
      <c r="J15" s="941"/>
      <c r="K15" s="477"/>
      <c r="L15" s="477"/>
      <c r="M15" s="477"/>
      <c r="N15" s="477"/>
      <c r="O15" s="477"/>
      <c r="P15" s="477"/>
      <c r="Q15" s="477"/>
      <c r="R15" s="477"/>
      <c r="S15" s="477"/>
      <c r="T15" s="477"/>
      <c r="U15" s="477"/>
      <c r="V15" s="477"/>
    </row>
    <row r="16" spans="1:33" ht="18.75">
      <c r="A16" s="503">
        <v>46277</v>
      </c>
      <c r="B16" s="497"/>
      <c r="C16" s="498"/>
      <c r="D16" s="499">
        <v>2.43366368165336E-3</v>
      </c>
      <c r="E16" s="498"/>
      <c r="F16" s="500">
        <v>4.0593259337160697E-3</v>
      </c>
      <c r="G16" s="501">
        <v>0</v>
      </c>
      <c r="H16" s="502" t="e">
        <v>#DIV/0!</v>
      </c>
      <c r="I16" s="941"/>
      <c r="J16" s="941"/>
      <c r="K16" s="477"/>
      <c r="L16" s="477"/>
      <c r="M16" s="477"/>
      <c r="N16" s="477"/>
      <c r="O16" s="477"/>
      <c r="P16" s="477"/>
      <c r="Q16" s="477"/>
      <c r="R16" s="477"/>
      <c r="S16" s="477"/>
      <c r="T16" s="477"/>
      <c r="U16" s="477"/>
      <c r="V16" s="477"/>
    </row>
    <row r="17" spans="1:22" ht="18.75">
      <c r="A17" s="503">
        <v>46278</v>
      </c>
      <c r="B17" s="497"/>
      <c r="C17" s="498"/>
      <c r="D17" s="499">
        <v>2.4191679142235899E-3</v>
      </c>
      <c r="E17" s="498"/>
      <c r="F17" s="500">
        <v>3.8031416505623999E-3</v>
      </c>
      <c r="G17" s="501">
        <v>0</v>
      </c>
      <c r="H17" s="502" t="e">
        <v>#DIV/0!</v>
      </c>
      <c r="I17" s="941"/>
      <c r="J17" s="941"/>
      <c r="K17" s="477"/>
      <c r="L17" s="477"/>
      <c r="M17" s="477"/>
      <c r="N17" s="477"/>
      <c r="O17" s="477"/>
      <c r="P17" s="477"/>
      <c r="Q17" s="477"/>
      <c r="R17" s="477"/>
      <c r="S17" s="477"/>
      <c r="T17" s="477"/>
      <c r="U17" s="477"/>
      <c r="V17" s="477"/>
    </row>
    <row r="18" spans="1:22" ht="18.75">
      <c r="A18" s="503">
        <v>46279</v>
      </c>
      <c r="B18" s="497"/>
      <c r="C18" s="498"/>
      <c r="D18" s="499">
        <v>2.4299256698364999E-3</v>
      </c>
      <c r="E18" s="498"/>
      <c r="F18" s="500">
        <v>3.8911986915429902E-3</v>
      </c>
      <c r="G18" s="501">
        <v>0</v>
      </c>
      <c r="H18" s="502" t="e">
        <v>#DIV/0!</v>
      </c>
      <c r="I18" s="941"/>
      <c r="J18" s="941"/>
      <c r="K18" s="477"/>
      <c r="L18" s="477"/>
      <c r="M18" s="477"/>
      <c r="N18" s="477"/>
      <c r="O18" s="477"/>
      <c r="P18" s="477"/>
      <c r="Q18" s="477"/>
      <c r="R18" s="477"/>
      <c r="S18" s="477"/>
      <c r="T18" s="477"/>
      <c r="U18" s="477"/>
      <c r="V18" s="477"/>
    </row>
    <row r="19" spans="1:22" ht="18.75">
      <c r="A19" s="496">
        <v>46280</v>
      </c>
      <c r="B19" s="497"/>
      <c r="C19" s="498"/>
      <c r="D19" s="499">
        <v>2.4016910701224999E-3</v>
      </c>
      <c r="E19" s="498"/>
      <c r="F19" s="500">
        <v>4.1310063262723299E-3</v>
      </c>
      <c r="G19" s="501">
        <v>0</v>
      </c>
      <c r="H19" s="502" t="e">
        <v>#DIV/0!</v>
      </c>
      <c r="I19" s="940">
        <v>0</v>
      </c>
      <c r="J19" s="940">
        <v>0</v>
      </c>
      <c r="K19" s="477"/>
      <c r="L19" s="477"/>
      <c r="M19" s="477"/>
      <c r="N19" s="477"/>
      <c r="O19" s="477"/>
      <c r="P19" s="477"/>
      <c r="Q19" s="477"/>
      <c r="R19" s="477"/>
      <c r="S19" s="477"/>
      <c r="T19" s="477"/>
      <c r="U19" s="477"/>
      <c r="V19" s="477"/>
    </row>
    <row r="20" spans="1:22" ht="18.75">
      <c r="A20" s="496">
        <v>46281</v>
      </c>
      <c r="B20" s="497"/>
      <c r="C20" s="498"/>
      <c r="D20" s="499">
        <v>2.4201691971033499E-3</v>
      </c>
      <c r="E20" s="498"/>
      <c r="F20" s="500">
        <v>4.15357327577256E-3</v>
      </c>
      <c r="G20" s="501">
        <v>0</v>
      </c>
      <c r="H20" s="502" t="e">
        <v>#DIV/0!</v>
      </c>
      <c r="I20" s="940"/>
      <c r="J20" s="940"/>
      <c r="K20" s="477"/>
      <c r="L20" s="477"/>
      <c r="M20" s="477"/>
      <c r="N20" s="477"/>
      <c r="O20" s="477"/>
      <c r="P20" s="477"/>
      <c r="Q20" s="477"/>
      <c r="R20" s="477"/>
      <c r="S20" s="477"/>
      <c r="T20" s="477"/>
      <c r="U20" s="477"/>
      <c r="V20" s="477"/>
    </row>
    <row r="21" spans="1:22" ht="18.75">
      <c r="A21" s="496">
        <v>46282</v>
      </c>
      <c r="B21" s="497"/>
      <c r="C21" s="498"/>
      <c r="D21" s="499">
        <v>2.4315083452260398E-3</v>
      </c>
      <c r="E21" s="498"/>
      <c r="F21" s="500">
        <v>4.1547394258987704E-3</v>
      </c>
      <c r="G21" s="501">
        <v>0</v>
      </c>
      <c r="H21" s="502" t="e">
        <v>#DIV/0!</v>
      </c>
      <c r="I21" s="940"/>
      <c r="J21" s="940"/>
      <c r="K21" s="477"/>
      <c r="L21" s="477"/>
      <c r="M21" s="477"/>
      <c r="N21" s="477"/>
      <c r="O21" s="477"/>
      <c r="P21" s="477"/>
      <c r="Q21" s="477"/>
      <c r="R21" s="477"/>
      <c r="S21" s="477"/>
      <c r="T21" s="477"/>
      <c r="U21" s="477"/>
      <c r="V21" s="477"/>
    </row>
    <row r="22" spans="1:22" ht="18.75">
      <c r="A22" s="496">
        <v>46283</v>
      </c>
      <c r="B22" s="497"/>
      <c r="C22" s="498"/>
      <c r="D22" s="499">
        <v>2.43889600707094E-3</v>
      </c>
      <c r="E22" s="498"/>
      <c r="F22" s="500">
        <v>4.0932167139483703E-3</v>
      </c>
      <c r="G22" s="501">
        <v>0</v>
      </c>
      <c r="H22" s="502" t="e">
        <v>#DIV/0!</v>
      </c>
      <c r="I22" s="940"/>
      <c r="J22" s="940"/>
      <c r="K22" s="477"/>
      <c r="L22" s="477"/>
      <c r="M22" s="477"/>
      <c r="N22" s="477"/>
      <c r="O22" s="477"/>
      <c r="P22" s="477"/>
      <c r="Q22" s="477"/>
      <c r="R22" s="477"/>
      <c r="S22" s="477"/>
      <c r="T22" s="477"/>
      <c r="U22" s="477"/>
      <c r="V22" s="477"/>
    </row>
    <row r="23" spans="1:22" ht="18.75">
      <c r="A23" s="496">
        <v>46284</v>
      </c>
      <c r="B23" s="497"/>
      <c r="C23" s="498"/>
      <c r="D23" s="499">
        <v>2.40830791278125E-3</v>
      </c>
      <c r="E23" s="498"/>
      <c r="F23" s="500">
        <v>3.9812960319954198E-3</v>
      </c>
      <c r="G23" s="501">
        <v>0</v>
      </c>
      <c r="H23" s="502" t="e">
        <v>#DIV/0!</v>
      </c>
      <c r="I23" s="940"/>
      <c r="J23" s="940"/>
      <c r="K23" s="477"/>
      <c r="L23" s="477"/>
      <c r="M23" s="477"/>
      <c r="N23" s="477"/>
      <c r="O23" s="477"/>
      <c r="P23" s="477"/>
      <c r="Q23" s="477"/>
      <c r="R23" s="477"/>
      <c r="S23" s="477"/>
      <c r="T23" s="477"/>
      <c r="U23" s="477"/>
      <c r="V23" s="477"/>
    </row>
    <row r="24" spans="1:22" ht="18.75">
      <c r="A24" s="496">
        <v>46285</v>
      </c>
      <c r="B24" s="497"/>
      <c r="C24" s="498"/>
      <c r="D24" s="499">
        <v>2.39908405200664E-3</v>
      </c>
      <c r="E24" s="498"/>
      <c r="F24" s="500">
        <v>3.9273335083726902E-3</v>
      </c>
      <c r="G24" s="501">
        <v>0</v>
      </c>
      <c r="H24" s="502" t="e">
        <v>#DIV/0!</v>
      </c>
      <c r="I24" s="940"/>
      <c r="J24" s="940"/>
      <c r="K24" s="477"/>
      <c r="L24" s="477"/>
      <c r="M24" s="477"/>
      <c r="N24" s="477"/>
      <c r="O24" s="477"/>
      <c r="P24" s="477"/>
      <c r="Q24" s="477"/>
      <c r="R24" s="477"/>
      <c r="S24" s="477"/>
      <c r="T24" s="477"/>
      <c r="U24" s="477"/>
      <c r="V24" s="477"/>
    </row>
    <row r="25" spans="1:22" ht="18.75">
      <c r="A25" s="496">
        <v>46286</v>
      </c>
      <c r="B25" s="497"/>
      <c r="C25" s="498"/>
      <c r="D25" s="499">
        <v>2.3995727669301001E-3</v>
      </c>
      <c r="E25" s="498"/>
      <c r="F25" s="500">
        <v>3.9986637551580502E-3</v>
      </c>
      <c r="G25" s="501">
        <v>0</v>
      </c>
      <c r="H25" s="502" t="e">
        <v>#DIV/0!</v>
      </c>
      <c r="I25" s="940"/>
      <c r="J25" s="940"/>
      <c r="K25" s="477"/>
      <c r="L25" s="477"/>
      <c r="M25" s="477"/>
      <c r="N25" s="477"/>
      <c r="O25" s="477"/>
      <c r="P25" s="477"/>
      <c r="Q25" s="477"/>
      <c r="R25" s="477"/>
      <c r="S25" s="477"/>
      <c r="T25" s="477"/>
      <c r="U25" s="477"/>
      <c r="V25" s="477"/>
    </row>
    <row r="26" spans="1:22" ht="18.75">
      <c r="A26" s="503">
        <v>46287</v>
      </c>
      <c r="B26" s="497"/>
      <c r="C26" s="498"/>
      <c r="D26" s="499">
        <v>2.420717977178093E-3</v>
      </c>
      <c r="E26" s="498"/>
      <c r="F26" s="500">
        <v>3.9389033240603928E-3</v>
      </c>
      <c r="G26" s="501">
        <v>0</v>
      </c>
      <c r="H26" s="502" t="e">
        <v>#DIV/0!</v>
      </c>
      <c r="I26" s="941">
        <v>0</v>
      </c>
      <c r="J26" s="941">
        <v>0</v>
      </c>
      <c r="K26" s="477"/>
      <c r="L26" s="477"/>
      <c r="M26" s="477"/>
      <c r="N26" s="477"/>
      <c r="O26" s="477"/>
      <c r="P26" s="477"/>
      <c r="Q26" s="477"/>
      <c r="R26" s="477"/>
      <c r="S26" s="477"/>
      <c r="T26" s="477"/>
      <c r="U26" s="477"/>
      <c r="V26" s="477"/>
    </row>
    <row r="27" spans="1:22" ht="18.75">
      <c r="A27" s="503">
        <v>46288</v>
      </c>
      <c r="B27" s="497"/>
      <c r="C27" s="498"/>
      <c r="D27" s="499">
        <v>2.3982787256236486E-3</v>
      </c>
      <c r="E27" s="498"/>
      <c r="F27" s="500">
        <v>3.9493117295026758E-3</v>
      </c>
      <c r="G27" s="501">
        <v>0</v>
      </c>
      <c r="H27" s="502" t="e">
        <v>#DIV/0!</v>
      </c>
      <c r="I27" s="941"/>
      <c r="J27" s="941"/>
      <c r="K27" s="477"/>
      <c r="L27" s="477"/>
      <c r="M27" s="477"/>
      <c r="N27" s="477"/>
      <c r="O27" s="477"/>
      <c r="P27" s="477"/>
      <c r="Q27" s="477"/>
      <c r="R27" s="477"/>
      <c r="S27" s="477"/>
      <c r="T27" s="477"/>
      <c r="U27" s="477"/>
      <c r="V27" s="477"/>
    </row>
    <row r="28" spans="1:22" ht="18.75">
      <c r="A28" s="503">
        <v>46289</v>
      </c>
      <c r="B28" s="497"/>
      <c r="C28" s="498"/>
      <c r="D28" s="499">
        <v>2.4192463554637738E-3</v>
      </c>
      <c r="E28" s="498"/>
      <c r="F28" s="500">
        <v>4.0008581499131985E-3</v>
      </c>
      <c r="G28" s="501">
        <v>0</v>
      </c>
      <c r="H28" s="502" t="e">
        <v>#DIV/0!</v>
      </c>
      <c r="I28" s="941"/>
      <c r="J28" s="941"/>
      <c r="K28" s="477"/>
      <c r="L28" s="477"/>
      <c r="M28" s="477"/>
      <c r="N28" s="477"/>
      <c r="O28" s="477"/>
      <c r="P28" s="477"/>
      <c r="Q28" s="477"/>
      <c r="R28" s="477"/>
      <c r="S28" s="477"/>
      <c r="T28" s="477"/>
      <c r="U28" s="477"/>
      <c r="V28" s="477"/>
    </row>
    <row r="29" spans="1:22" ht="18.75">
      <c r="A29" s="503">
        <v>46290</v>
      </c>
      <c r="B29" s="497"/>
      <c r="C29" s="498"/>
      <c r="D29" s="499">
        <v>2.3890973596023394E-3</v>
      </c>
      <c r="E29" s="498"/>
      <c r="F29" s="500">
        <v>4.1835191091139897E-3</v>
      </c>
      <c r="G29" s="501">
        <v>0</v>
      </c>
      <c r="H29" s="502" t="e">
        <v>#DIV/0!</v>
      </c>
      <c r="I29" s="941"/>
      <c r="J29" s="941"/>
      <c r="K29" s="477"/>
      <c r="L29" s="477"/>
      <c r="M29" s="477"/>
      <c r="N29" s="477"/>
      <c r="O29" s="477"/>
      <c r="P29" s="477"/>
      <c r="Q29" s="477"/>
      <c r="R29" s="477"/>
      <c r="S29" s="477"/>
      <c r="T29" s="477"/>
      <c r="U29" s="477"/>
      <c r="V29" s="477"/>
    </row>
    <row r="30" spans="1:22" ht="18.75">
      <c r="A30" s="503">
        <v>46291</v>
      </c>
      <c r="B30" s="497"/>
      <c r="C30" s="498"/>
      <c r="D30" s="499">
        <v>2.4294135437394797E-3</v>
      </c>
      <c r="E30" s="498"/>
      <c r="F30" s="500">
        <v>4.0415533189035961E-3</v>
      </c>
      <c r="G30" s="501">
        <v>0</v>
      </c>
      <c r="H30" s="502" t="e">
        <v>#DIV/0!</v>
      </c>
      <c r="I30" s="941"/>
      <c r="J30" s="941"/>
      <c r="K30" s="477"/>
      <c r="L30" s="477"/>
      <c r="M30" s="477"/>
      <c r="N30" s="477"/>
      <c r="O30" s="477"/>
      <c r="P30" s="477"/>
      <c r="Q30" s="477"/>
      <c r="R30" s="477"/>
      <c r="S30" s="477"/>
      <c r="T30" s="477"/>
      <c r="U30" s="477"/>
      <c r="V30" s="477"/>
    </row>
    <row r="31" spans="1:22" ht="18.75">
      <c r="A31" s="503">
        <v>46292</v>
      </c>
      <c r="B31" s="497"/>
      <c r="C31" s="498"/>
      <c r="D31" s="499">
        <v>2.4198089192733942E-3</v>
      </c>
      <c r="E31" s="498"/>
      <c r="F31" s="500">
        <v>3.9489191963608056E-3</v>
      </c>
      <c r="G31" s="501">
        <v>0</v>
      </c>
      <c r="H31" s="502" t="e">
        <v>#DIV/0!</v>
      </c>
      <c r="I31" s="941"/>
      <c r="J31" s="941"/>
      <c r="K31" s="477"/>
      <c r="L31" s="477"/>
      <c r="M31" s="477"/>
      <c r="N31" s="477"/>
      <c r="O31" s="477"/>
      <c r="P31" s="477"/>
      <c r="Q31" s="477"/>
      <c r="R31" s="477"/>
      <c r="S31" s="477"/>
      <c r="T31" s="477"/>
      <c r="U31" s="477"/>
      <c r="V31" s="477"/>
    </row>
    <row r="32" spans="1:22" ht="18.75">
      <c r="A32" s="503">
        <v>46293</v>
      </c>
      <c r="B32" s="497"/>
      <c r="C32" s="498"/>
      <c r="D32" s="499">
        <v>2.4111946234187192E-3</v>
      </c>
      <c r="E32" s="498"/>
      <c r="F32" s="500">
        <v>3.9612780885024202E-3</v>
      </c>
      <c r="G32" s="501">
        <v>0</v>
      </c>
      <c r="H32" s="502" t="e">
        <v>#DIV/0!</v>
      </c>
      <c r="I32" s="941"/>
      <c r="J32" s="941"/>
      <c r="K32" s="477"/>
      <c r="L32" s="477"/>
      <c r="M32" s="477"/>
      <c r="N32" s="477"/>
      <c r="O32" s="477"/>
      <c r="P32" s="477"/>
      <c r="Q32" s="477"/>
      <c r="R32" s="477"/>
      <c r="S32" s="477"/>
      <c r="T32" s="477"/>
      <c r="U32" s="477"/>
      <c r="V32" s="477"/>
    </row>
    <row r="33" spans="1:22" ht="18.75">
      <c r="A33" s="496">
        <v>46294</v>
      </c>
      <c r="B33" s="497"/>
      <c r="C33" s="498"/>
      <c r="D33" s="499" t="e">
        <v>#DIV/0!</v>
      </c>
      <c r="E33" s="498"/>
      <c r="F33" s="500" t="e">
        <v>#DIV/0!</v>
      </c>
      <c r="G33" s="501">
        <v>0</v>
      </c>
      <c r="H33" s="502" t="e">
        <v>#DIV/0!</v>
      </c>
      <c r="I33" s="940">
        <v>0</v>
      </c>
      <c r="J33" s="940">
        <v>0</v>
      </c>
      <c r="K33" s="477"/>
      <c r="L33" s="477"/>
      <c r="M33" s="477"/>
      <c r="N33" s="477"/>
      <c r="O33" s="477"/>
      <c r="P33" s="477"/>
      <c r="Q33" s="477"/>
      <c r="R33" s="477"/>
      <c r="S33" s="477"/>
      <c r="T33" s="477"/>
      <c r="U33" s="477"/>
      <c r="V33" s="477"/>
    </row>
    <row r="34" spans="1:22" ht="18.75">
      <c r="A34" s="496">
        <v>46295</v>
      </c>
      <c r="B34" s="497"/>
      <c r="C34" s="498"/>
      <c r="D34" s="499" t="e">
        <v>#DIV/0!</v>
      </c>
      <c r="E34" s="498"/>
      <c r="F34" s="500" t="e">
        <v>#DIV/0!</v>
      </c>
      <c r="G34" s="501">
        <v>0</v>
      </c>
      <c r="H34" s="502" t="e">
        <v>#DIV/0!</v>
      </c>
      <c r="I34" s="940"/>
      <c r="J34" s="940"/>
      <c r="K34" s="477"/>
      <c r="L34" s="477"/>
      <c r="M34" s="477"/>
      <c r="N34" s="477"/>
      <c r="O34" s="477"/>
      <c r="P34" s="477"/>
      <c r="Q34" s="477"/>
      <c r="R34" s="477"/>
      <c r="S34" s="477"/>
      <c r="T34" s="477"/>
      <c r="U34" s="477"/>
      <c r="V34" s="477"/>
    </row>
    <row r="35" spans="1:22" ht="18.75">
      <c r="A35" s="496">
        <v>46296</v>
      </c>
      <c r="B35" s="497"/>
      <c r="C35" s="498"/>
      <c r="D35" s="499" t="e">
        <v>#DIV/0!</v>
      </c>
      <c r="E35" s="498"/>
      <c r="F35" s="500" t="e">
        <v>#DIV/0!</v>
      </c>
      <c r="G35" s="501">
        <v>0</v>
      </c>
      <c r="H35" s="502" t="e">
        <v>#DIV/0!</v>
      </c>
      <c r="I35" s="940"/>
      <c r="J35" s="940"/>
      <c r="K35" s="477"/>
      <c r="L35" s="477"/>
      <c r="M35" s="477"/>
      <c r="N35" s="477"/>
      <c r="O35" s="477"/>
      <c r="P35" s="477"/>
      <c r="Q35" s="477"/>
      <c r="R35" s="477"/>
      <c r="S35" s="477"/>
      <c r="T35" s="477"/>
      <c r="U35" s="477"/>
      <c r="V35" s="477"/>
    </row>
    <row r="36" spans="1:22" ht="18.75">
      <c r="A36" s="496">
        <v>46297</v>
      </c>
      <c r="B36" s="497"/>
      <c r="C36" s="498"/>
      <c r="D36" s="499" t="e">
        <v>#DIV/0!</v>
      </c>
      <c r="E36" s="498"/>
      <c r="F36" s="500" t="e">
        <v>#DIV/0!</v>
      </c>
      <c r="G36" s="501">
        <v>0</v>
      </c>
      <c r="H36" s="502" t="e">
        <v>#DIV/0!</v>
      </c>
      <c r="I36" s="940"/>
      <c r="J36" s="940"/>
      <c r="K36" s="477"/>
      <c r="L36" s="477"/>
      <c r="M36" s="477"/>
      <c r="N36" s="477"/>
      <c r="O36" s="477"/>
      <c r="P36" s="477"/>
      <c r="Q36" s="477"/>
      <c r="R36" s="477"/>
      <c r="S36" s="477"/>
      <c r="T36" s="477"/>
      <c r="U36" s="477"/>
      <c r="V36" s="477"/>
    </row>
    <row r="37" spans="1:22" ht="18.75">
      <c r="A37" s="496">
        <v>46298</v>
      </c>
      <c r="B37" s="497"/>
      <c r="C37" s="498"/>
      <c r="D37" s="499" t="e">
        <v>#DIV/0!</v>
      </c>
      <c r="E37" s="498"/>
      <c r="F37" s="500" t="e">
        <v>#DIV/0!</v>
      </c>
      <c r="G37" s="501">
        <v>0</v>
      </c>
      <c r="H37" s="502" t="e">
        <v>#DIV/0!</v>
      </c>
      <c r="I37" s="940"/>
      <c r="J37" s="940"/>
      <c r="K37" s="477"/>
      <c r="L37" s="477"/>
      <c r="M37" s="477"/>
      <c r="N37" s="477"/>
      <c r="O37" s="477"/>
      <c r="P37" s="477"/>
      <c r="Q37" s="477"/>
      <c r="R37" s="477"/>
      <c r="S37" s="477"/>
      <c r="T37" s="477"/>
      <c r="U37" s="477"/>
      <c r="V37" s="477"/>
    </row>
    <row r="38" spans="1:22" ht="18.75">
      <c r="A38" s="496">
        <v>46299</v>
      </c>
      <c r="B38" s="497"/>
      <c r="C38" s="498"/>
      <c r="D38" s="499" t="e">
        <v>#DIV/0!</v>
      </c>
      <c r="E38" s="498"/>
      <c r="F38" s="500" t="e">
        <v>#DIV/0!</v>
      </c>
      <c r="G38" s="501">
        <v>0</v>
      </c>
      <c r="H38" s="502" t="e">
        <v>#DIV/0!</v>
      </c>
      <c r="I38" s="940"/>
      <c r="J38" s="940"/>
      <c r="K38" s="477"/>
      <c r="L38" s="477"/>
      <c r="M38" s="477"/>
      <c r="N38" s="477"/>
      <c r="O38" s="477"/>
      <c r="P38" s="477"/>
      <c r="Q38" s="477"/>
      <c r="R38" s="477"/>
      <c r="S38" s="477"/>
      <c r="T38" s="477"/>
      <c r="U38" s="477"/>
      <c r="V38" s="477"/>
    </row>
    <row r="39" spans="1:22" ht="18.75">
      <c r="A39" s="496">
        <v>46300</v>
      </c>
      <c r="B39" s="497"/>
      <c r="C39" s="498"/>
      <c r="D39" s="499" t="e">
        <v>#DIV/0!</v>
      </c>
      <c r="E39" s="498"/>
      <c r="F39" s="500" t="e">
        <v>#DIV/0!</v>
      </c>
      <c r="G39" s="501">
        <v>0</v>
      </c>
      <c r="H39" s="502" t="e">
        <v>#DIV/0!</v>
      </c>
      <c r="I39" s="940"/>
      <c r="J39" s="940"/>
      <c r="K39" s="477"/>
      <c r="L39" s="477"/>
      <c r="M39" s="477"/>
      <c r="N39" s="477"/>
      <c r="O39" s="477"/>
      <c r="P39" s="477"/>
      <c r="Q39" s="477"/>
      <c r="R39" s="477"/>
      <c r="S39" s="477"/>
      <c r="T39" s="477"/>
      <c r="U39" s="477"/>
      <c r="V39" s="477"/>
    </row>
    <row r="40" spans="1:22" ht="18.75">
      <c r="A40" s="503">
        <v>46301</v>
      </c>
      <c r="B40" s="497"/>
      <c r="C40" s="498"/>
      <c r="D40" s="499" t="e">
        <v>#DIV/0!</v>
      </c>
      <c r="E40" s="498"/>
      <c r="F40" s="500" t="e">
        <v>#DIV/0!</v>
      </c>
      <c r="G40" s="501">
        <v>0</v>
      </c>
      <c r="H40" s="502" t="e">
        <v>#DIV/0!</v>
      </c>
      <c r="I40" s="941">
        <v>0</v>
      </c>
      <c r="J40" s="941">
        <v>0</v>
      </c>
      <c r="K40" s="477"/>
      <c r="L40" s="477"/>
      <c r="M40" s="477"/>
      <c r="N40" s="477"/>
      <c r="O40" s="477"/>
      <c r="P40" s="477"/>
      <c r="Q40" s="477"/>
      <c r="R40" s="477"/>
      <c r="S40" s="477"/>
      <c r="T40" s="477"/>
      <c r="U40" s="477"/>
      <c r="V40" s="477"/>
    </row>
    <row r="41" spans="1:22" ht="18.75">
      <c r="A41" s="503">
        <v>46302</v>
      </c>
      <c r="B41" s="497"/>
      <c r="C41" s="498"/>
      <c r="D41" s="499" t="e">
        <v>#DIV/0!</v>
      </c>
      <c r="E41" s="498"/>
      <c r="F41" s="500" t="e">
        <v>#DIV/0!</v>
      </c>
      <c r="G41" s="501">
        <v>0</v>
      </c>
      <c r="H41" s="502" t="e">
        <v>#DIV/0!</v>
      </c>
      <c r="I41" s="941"/>
      <c r="J41" s="941"/>
      <c r="K41" s="477"/>
      <c r="L41" s="477"/>
      <c r="M41" s="477"/>
      <c r="N41" s="477"/>
      <c r="O41" s="477"/>
      <c r="P41" s="477"/>
      <c r="Q41" s="477"/>
      <c r="R41" s="477"/>
      <c r="S41" s="477"/>
      <c r="T41" s="477"/>
      <c r="U41" s="477"/>
      <c r="V41" s="477"/>
    </row>
    <row r="42" spans="1:22" ht="18.75">
      <c r="A42" s="503">
        <v>46303</v>
      </c>
      <c r="B42" s="497"/>
      <c r="C42" s="498"/>
      <c r="D42" s="499" t="e">
        <v>#DIV/0!</v>
      </c>
      <c r="E42" s="498"/>
      <c r="F42" s="500" t="e">
        <v>#DIV/0!</v>
      </c>
      <c r="G42" s="501">
        <v>0</v>
      </c>
      <c r="H42" s="502" t="e">
        <v>#DIV/0!</v>
      </c>
      <c r="I42" s="941"/>
      <c r="J42" s="941"/>
      <c r="K42" s="477"/>
      <c r="L42" s="477"/>
      <c r="M42" s="477"/>
      <c r="N42" s="477"/>
      <c r="O42" s="477"/>
      <c r="P42" s="477"/>
      <c r="Q42" s="477"/>
      <c r="R42" s="477"/>
      <c r="S42" s="477"/>
      <c r="T42" s="477"/>
      <c r="U42" s="477"/>
      <c r="V42" s="477"/>
    </row>
    <row r="43" spans="1:22" ht="18.75">
      <c r="A43" s="503">
        <v>46304</v>
      </c>
      <c r="B43" s="497"/>
      <c r="C43" s="498"/>
      <c r="D43" s="499" t="e">
        <v>#DIV/0!</v>
      </c>
      <c r="E43" s="498"/>
      <c r="F43" s="500" t="e">
        <v>#DIV/0!</v>
      </c>
      <c r="G43" s="501">
        <v>0</v>
      </c>
      <c r="H43" s="502" t="e">
        <v>#DIV/0!</v>
      </c>
      <c r="I43" s="941"/>
      <c r="J43" s="941"/>
      <c r="K43" s="477"/>
      <c r="L43" s="477"/>
      <c r="M43" s="477"/>
      <c r="N43" s="477"/>
      <c r="O43" s="477"/>
      <c r="P43" s="477"/>
      <c r="Q43" s="477"/>
      <c r="R43" s="477"/>
      <c r="S43" s="477"/>
      <c r="T43" s="477"/>
      <c r="U43" s="477"/>
      <c r="V43" s="477"/>
    </row>
    <row r="44" spans="1:22" ht="18.75">
      <c r="A44" s="503">
        <v>46305</v>
      </c>
      <c r="B44" s="497"/>
      <c r="C44" s="498"/>
      <c r="D44" s="499" t="e">
        <v>#DIV/0!</v>
      </c>
      <c r="E44" s="498"/>
      <c r="F44" s="500" t="e">
        <v>#DIV/0!</v>
      </c>
      <c r="G44" s="501">
        <v>0</v>
      </c>
      <c r="H44" s="502" t="e">
        <v>#DIV/0!</v>
      </c>
      <c r="I44" s="941"/>
      <c r="J44" s="941"/>
      <c r="K44" s="477"/>
      <c r="L44" s="477"/>
      <c r="M44" s="477"/>
      <c r="N44" s="477"/>
      <c r="O44" s="477"/>
      <c r="P44" s="477"/>
      <c r="Q44" s="477"/>
      <c r="R44" s="477"/>
      <c r="S44" s="477"/>
      <c r="T44" s="477"/>
      <c r="U44" s="477"/>
      <c r="V44" s="477"/>
    </row>
    <row r="45" spans="1:22" ht="18.75">
      <c r="A45" s="503">
        <v>46306</v>
      </c>
      <c r="B45" s="497"/>
      <c r="C45" s="498"/>
      <c r="D45" s="499" t="e">
        <v>#DIV/0!</v>
      </c>
      <c r="E45" s="498"/>
      <c r="F45" s="500" t="e">
        <v>#DIV/0!</v>
      </c>
      <c r="G45" s="501">
        <v>0</v>
      </c>
      <c r="H45" s="502" t="e">
        <v>#DIV/0!</v>
      </c>
      <c r="I45" s="941"/>
      <c r="J45" s="941"/>
      <c r="K45" s="477"/>
      <c r="L45" s="477"/>
      <c r="M45" s="477"/>
      <c r="N45" s="477"/>
      <c r="O45" s="477"/>
      <c r="P45" s="477"/>
      <c r="Q45" s="477"/>
      <c r="R45" s="477"/>
      <c r="S45" s="477"/>
      <c r="T45" s="477"/>
      <c r="U45" s="477"/>
      <c r="V45" s="477"/>
    </row>
    <row r="46" spans="1:22" ht="18.75">
      <c r="A46" s="503">
        <v>46307</v>
      </c>
      <c r="B46" s="497"/>
      <c r="C46" s="498"/>
      <c r="D46" s="499" t="e">
        <v>#DIV/0!</v>
      </c>
      <c r="E46" s="498"/>
      <c r="F46" s="500" t="e">
        <v>#DIV/0!</v>
      </c>
      <c r="G46" s="501">
        <v>0</v>
      </c>
      <c r="H46" s="502" t="e">
        <v>#DIV/0!</v>
      </c>
      <c r="I46" s="941"/>
      <c r="J46" s="941"/>
      <c r="K46" s="477"/>
      <c r="L46" s="477"/>
      <c r="M46" s="477"/>
      <c r="N46" s="477"/>
      <c r="O46" s="477"/>
      <c r="P46" s="477"/>
      <c r="Q46" s="477"/>
      <c r="R46" s="477"/>
      <c r="S46" s="477"/>
      <c r="T46" s="477"/>
      <c r="U46" s="477"/>
      <c r="V46" s="477"/>
    </row>
    <row r="47" spans="1:22" ht="18.75">
      <c r="A47" s="477"/>
      <c r="B47" s="477"/>
      <c r="C47" s="477"/>
      <c r="D47" s="477"/>
      <c r="E47" s="477"/>
      <c r="F47" s="477"/>
      <c r="G47" s="477"/>
      <c r="H47" s="477"/>
      <c r="I47" s="477"/>
      <c r="J47" s="477"/>
      <c r="K47" s="477"/>
      <c r="L47" s="477"/>
      <c r="M47" s="477"/>
      <c r="N47" s="477"/>
      <c r="O47" s="477"/>
      <c r="P47" s="477"/>
      <c r="Q47" s="477"/>
      <c r="R47" s="477"/>
      <c r="S47" s="477"/>
      <c r="T47" s="477"/>
      <c r="U47" s="477"/>
      <c r="V47" s="477"/>
    </row>
    <row r="48" spans="1:22" ht="18.75">
      <c r="A48" s="504" t="s">
        <v>648</v>
      </c>
      <c r="B48" s="505">
        <v>283737143</v>
      </c>
      <c r="C48" s="477"/>
      <c r="D48" s="477"/>
      <c r="E48" s="477"/>
      <c r="F48" s="477"/>
      <c r="G48" s="477"/>
      <c r="H48" s="477"/>
      <c r="I48" s="477"/>
      <c r="J48" s="477"/>
      <c r="K48" s="477"/>
      <c r="L48" s="477"/>
      <c r="M48" s="477"/>
      <c r="N48" s="477"/>
      <c r="O48" s="477"/>
      <c r="P48" s="477"/>
      <c r="Q48" s="477"/>
      <c r="R48" s="477"/>
      <c r="S48" s="477"/>
      <c r="T48" s="477"/>
      <c r="U48" s="477"/>
      <c r="V48" s="477"/>
    </row>
    <row r="49" spans="1:22" ht="18.75">
      <c r="A49" s="477"/>
      <c r="B49" s="477"/>
      <c r="C49" s="477"/>
      <c r="D49" s="477"/>
      <c r="E49" s="477"/>
      <c r="F49" s="477"/>
      <c r="G49" s="477"/>
      <c r="H49" s="477"/>
      <c r="I49" s="477"/>
      <c r="J49" s="477"/>
      <c r="K49" s="477"/>
      <c r="L49" s="477"/>
      <c r="M49" s="477"/>
      <c r="N49" s="477"/>
      <c r="O49" s="477"/>
      <c r="P49" s="477"/>
      <c r="Q49" s="477"/>
      <c r="R49" s="477"/>
      <c r="S49" s="477"/>
      <c r="T49" s="477"/>
      <c r="U49" s="477"/>
      <c r="V49" s="477"/>
    </row>
  </sheetData>
  <mergeCells count="19">
    <mergeCell ref="J33:J39"/>
    <mergeCell ref="I40:I46"/>
    <mergeCell ref="J40:J46"/>
    <mergeCell ref="J12:J18"/>
    <mergeCell ref="I19:I25"/>
    <mergeCell ref="J19:J25"/>
    <mergeCell ref="I26:I32"/>
    <mergeCell ref="J26:J32"/>
    <mergeCell ref="I33:I39"/>
    <mergeCell ref="I5:I11"/>
    <mergeCell ref="I12:I18"/>
    <mergeCell ref="A1:J1"/>
    <mergeCell ref="A2:A3"/>
    <mergeCell ref="B2:B3"/>
    <mergeCell ref="C2:C3"/>
    <mergeCell ref="D2:D3"/>
    <mergeCell ref="I2:I4"/>
    <mergeCell ref="J2:J4"/>
    <mergeCell ref="J5:J11"/>
  </mergeCells>
  <phoneticPr fontId="13" type="noConversion"/>
  <conditionalFormatting sqref="A5:A46">
    <cfRule type="timePeriod" dxfId="2" priority="2" timePeriod="yesterday">
      <formula>FLOOR(A5,1)=TODAY()-1</formula>
    </cfRule>
  </conditionalFormatting>
  <conditionalFormatting sqref="D5:D46">
    <cfRule type="cellIs" dxfId="1" priority="1" operator="greaterThan">
      <formula>0.0025</formula>
    </cfRule>
  </conditionalFormatting>
  <conditionalFormatting sqref="D48">
    <cfRule type="cellIs" dxfId="0" priority="3" operator="greaterThan">
      <formula>0.0025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23"/>
  <sheetViews>
    <sheetView view="pageBreakPreview" zoomScale="115" zoomScaleNormal="100" zoomScaleSheetLayoutView="115" workbookViewId="0">
      <selection activeCell="Q19" sqref="Q19"/>
    </sheetView>
  </sheetViews>
  <sheetFormatPr defaultColWidth="8.7109375" defaultRowHeight="14.25"/>
  <cols>
    <col min="1" max="2" width="8.7109375" style="208"/>
    <col min="3" max="3" width="14" style="208" bestFit="1" customWidth="1"/>
    <col min="4" max="4" width="0.28515625" style="208" customWidth="1"/>
    <col min="5" max="5" width="8.7109375" style="208"/>
    <col min="6" max="6" width="16.28515625" style="208" bestFit="1" customWidth="1"/>
    <col min="7" max="16384" width="8.7109375" style="208"/>
  </cols>
  <sheetData>
    <row r="2" spans="2:7" ht="15.75">
      <c r="B2" s="952" t="s">
        <v>233</v>
      </c>
      <c r="C2" s="952"/>
      <c r="D2" s="952"/>
      <c r="E2" s="952"/>
      <c r="F2" s="952"/>
    </row>
    <row r="3" spans="2:7" ht="15">
      <c r="B3" s="209" t="s">
        <v>234</v>
      </c>
      <c r="C3" s="209" t="s">
        <v>235</v>
      </c>
      <c r="D3" s="210"/>
      <c r="E3" s="209" t="s">
        <v>236</v>
      </c>
      <c r="F3" s="209" t="s">
        <v>237</v>
      </c>
      <c r="G3" s="210"/>
    </row>
    <row r="4" spans="2:7" ht="15">
      <c r="B4" s="211" t="s">
        <v>238</v>
      </c>
      <c r="C4" s="211" t="s">
        <v>239</v>
      </c>
      <c r="D4" s="210"/>
      <c r="E4" s="211" t="s">
        <v>240</v>
      </c>
      <c r="F4" s="211" t="s">
        <v>241</v>
      </c>
      <c r="G4" s="210"/>
    </row>
    <row r="5" spans="2:7" ht="15">
      <c r="B5" s="211" t="s">
        <v>242</v>
      </c>
      <c r="C5" s="211" t="s">
        <v>243</v>
      </c>
      <c r="D5" s="210"/>
      <c r="E5" s="211" t="s">
        <v>244</v>
      </c>
      <c r="F5" s="211" t="s">
        <v>245</v>
      </c>
      <c r="G5" s="210"/>
    </row>
    <row r="6" spans="2:7" ht="15">
      <c r="B6" s="211" t="s">
        <v>246</v>
      </c>
      <c r="C6" s="211" t="s">
        <v>247</v>
      </c>
      <c r="D6" s="210"/>
      <c r="E6" s="212" t="s">
        <v>248</v>
      </c>
      <c r="F6" s="212" t="s">
        <v>136</v>
      </c>
      <c r="G6" s="210"/>
    </row>
    <row r="7" spans="2:7" ht="15">
      <c r="B7" s="212" t="s">
        <v>249</v>
      </c>
      <c r="C7" s="212" t="s">
        <v>250</v>
      </c>
      <c r="D7" s="210"/>
      <c r="E7" s="211" t="s">
        <v>251</v>
      </c>
      <c r="F7" s="211" t="s">
        <v>252</v>
      </c>
      <c r="G7" s="210"/>
    </row>
    <row r="8" spans="2:7" ht="15">
      <c r="B8" s="211" t="s">
        <v>253</v>
      </c>
      <c r="C8" s="211" t="s">
        <v>254</v>
      </c>
      <c r="D8" s="210"/>
      <c r="E8" s="211" t="s">
        <v>255</v>
      </c>
      <c r="F8" s="211" t="s">
        <v>256</v>
      </c>
      <c r="G8" s="210"/>
    </row>
    <row r="9" spans="2:7" ht="15">
      <c r="B9" s="211" t="s">
        <v>257</v>
      </c>
      <c r="C9" s="211" t="s">
        <v>258</v>
      </c>
      <c r="D9" s="210"/>
      <c r="E9" s="212" t="s">
        <v>259</v>
      </c>
      <c r="F9" s="212" t="s">
        <v>135</v>
      </c>
      <c r="G9" s="210"/>
    </row>
    <row r="10" spans="2:7" ht="15">
      <c r="B10" s="211" t="s">
        <v>260</v>
      </c>
      <c r="C10" s="211" t="s">
        <v>261</v>
      </c>
      <c r="D10" s="210"/>
      <c r="E10" s="211" t="s">
        <v>262</v>
      </c>
      <c r="F10" s="211" t="s">
        <v>263</v>
      </c>
      <c r="G10" s="210"/>
    </row>
    <row r="11" spans="2:7" ht="15">
      <c r="B11" s="211" t="s">
        <v>264</v>
      </c>
      <c r="C11" s="211" t="s">
        <v>265</v>
      </c>
      <c r="D11" s="210"/>
      <c r="E11" s="211" t="s">
        <v>266</v>
      </c>
      <c r="F11" s="211" t="s">
        <v>256</v>
      </c>
      <c r="G11" s="210"/>
    </row>
    <row r="12" spans="2:7" ht="15">
      <c r="B12" s="211" t="s">
        <v>267</v>
      </c>
      <c r="C12" s="211" t="s">
        <v>268</v>
      </c>
      <c r="D12" s="210"/>
      <c r="E12" s="211" t="s">
        <v>269</v>
      </c>
      <c r="F12" s="211" t="s">
        <v>270</v>
      </c>
      <c r="G12" s="210"/>
    </row>
    <row r="13" spans="2:7" ht="15">
      <c r="B13" s="212" t="s">
        <v>271</v>
      </c>
      <c r="C13" s="212" t="s">
        <v>131</v>
      </c>
      <c r="D13" s="210"/>
      <c r="E13" s="211" t="s">
        <v>272</v>
      </c>
      <c r="F13" s="211" t="s">
        <v>273</v>
      </c>
      <c r="G13" s="210"/>
    </row>
    <row r="14" spans="2:7" ht="15">
      <c r="B14" s="211" t="s">
        <v>274</v>
      </c>
      <c r="C14" s="211" t="s">
        <v>275</v>
      </c>
      <c r="D14" s="210"/>
      <c r="E14" s="212" t="s">
        <v>276</v>
      </c>
      <c r="F14" s="212" t="s">
        <v>277</v>
      </c>
      <c r="G14" s="210"/>
    </row>
    <row r="15" spans="2:7" ht="15">
      <c r="B15" s="212" t="s">
        <v>278</v>
      </c>
      <c r="C15" s="212" t="s">
        <v>279</v>
      </c>
      <c r="D15" s="210"/>
      <c r="E15" s="211" t="s">
        <v>280</v>
      </c>
      <c r="F15" s="211" t="s">
        <v>277</v>
      </c>
      <c r="G15" s="210"/>
    </row>
    <row r="16" spans="2:7" ht="15">
      <c r="B16" s="211" t="s">
        <v>281</v>
      </c>
      <c r="C16" s="211" t="s">
        <v>282</v>
      </c>
      <c r="D16" s="210"/>
      <c r="E16" s="212" t="s">
        <v>283</v>
      </c>
      <c r="F16" s="212" t="s">
        <v>284</v>
      </c>
      <c r="G16" s="210"/>
    </row>
    <row r="17" spans="2:7" ht="15">
      <c r="B17" s="211" t="s">
        <v>285</v>
      </c>
      <c r="C17" s="211" t="s">
        <v>286</v>
      </c>
      <c r="D17" s="210"/>
      <c r="E17" s="211" t="s">
        <v>287</v>
      </c>
      <c r="F17" s="211" t="s">
        <v>288</v>
      </c>
      <c r="G17" s="210"/>
    </row>
    <row r="18" spans="2:7" ht="15">
      <c r="B18" s="211" t="s">
        <v>289</v>
      </c>
      <c r="C18" s="211" t="s">
        <v>290</v>
      </c>
      <c r="D18" s="210"/>
      <c r="E18" s="211" t="s">
        <v>291</v>
      </c>
      <c r="F18" s="211" t="s">
        <v>292</v>
      </c>
      <c r="G18" s="210"/>
    </row>
    <row r="19" spans="2:7" ht="15">
      <c r="B19" s="211" t="s">
        <v>293</v>
      </c>
      <c r="C19" s="211" t="s">
        <v>294</v>
      </c>
      <c r="D19" s="210"/>
      <c r="E19" s="211" t="s">
        <v>295</v>
      </c>
      <c r="F19" s="211" t="s">
        <v>296</v>
      </c>
      <c r="G19" s="210"/>
    </row>
    <row r="20" spans="2:7" ht="15">
      <c r="B20" s="211" t="s">
        <v>297</v>
      </c>
      <c r="C20" s="211" t="s">
        <v>298</v>
      </c>
      <c r="D20" s="210"/>
      <c r="G20" s="210"/>
    </row>
    <row r="21" spans="2:7" ht="15">
      <c r="D21" s="210"/>
      <c r="G21" s="210"/>
    </row>
    <row r="22" spans="2:7" ht="15">
      <c r="D22" s="210"/>
      <c r="G22" s="210"/>
    </row>
    <row r="23" spans="2:7" ht="15">
      <c r="D23" s="210"/>
      <c r="G23" s="210"/>
    </row>
  </sheetData>
  <mergeCells count="1">
    <mergeCell ref="B2:F2"/>
  </mergeCells>
  <phoneticPr fontId="13" type="noConversion"/>
  <pageMargins left="0" right="0" top="0" bottom="0" header="0" footer="0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文件" ma:contentTypeID="0x010100FDA62899FCF77541A2830A96A559C8DA" ma:contentTypeVersion="11" ma:contentTypeDescription="建立新的文件。" ma:contentTypeScope="" ma:versionID="d02586461ad3ed0e5a8730ab5eb20d51">
  <xsd:schema xmlns:xsd="http://www.w3.org/2001/XMLSchema" xmlns:xs="http://www.w3.org/2001/XMLSchema" xmlns:p="http://schemas.microsoft.com/office/2006/metadata/properties" xmlns:ns2="d017f4fe-1359-4419-afdf-e2560bdfb30b" xmlns:ns3="85de06e7-71af-4d71-a190-84eae70d6c46" targetNamespace="http://schemas.microsoft.com/office/2006/metadata/properties" ma:root="true" ma:fieldsID="eb7a66f808bf71e5a949a7b74ccbfe17" ns2:_="" ns3:_="">
    <xsd:import namespace="d017f4fe-1359-4419-afdf-e2560bdfb30b"/>
    <xsd:import namespace="85de06e7-71af-4d71-a190-84eae70d6c4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017f4fe-1359-4419-afdf-e2560bdfb30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影像標籤" ma:readOnly="false" ma:fieldId="{5cf76f15-5ced-4ddc-b409-7134ff3c332f}" ma:taxonomyMulti="true" ma:sspId="ecabee93-cc04-4b29-9ac7-5286c815f7a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de06e7-71af-4d71-a190-84eae70d6c4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797b0fa-71ef-4af6-bbc5-b4c66286d822}" ma:internalName="TaxCatchAll" ma:showField="CatchAllData" ma:web="85de06e7-71af-4d71-a190-84eae70d6c4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內容類型"/>
        <xsd:element ref="dc:title" minOccurs="0" maxOccurs="1" ma:index="4" ma:displayName="標題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85de06e7-71af-4d71-a190-84eae70d6c46" xsi:nil="true"/>
    <lcf76f155ced4ddcb4097134ff3c332f xmlns="d017f4fe-1359-4419-afdf-e2560bdfb30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35FA709-2D1E-49A4-8897-00B67E0489CE}"/>
</file>

<file path=customXml/itemProps2.xml><?xml version="1.0" encoding="utf-8"?>
<ds:datastoreItem xmlns:ds="http://schemas.openxmlformats.org/officeDocument/2006/customXml" ds:itemID="{81B9ECEF-F965-48E3-BC52-CD6132406095}"/>
</file>

<file path=customXml/itemProps3.xml><?xml version="1.0" encoding="utf-8"?>
<ds:datastoreItem xmlns:ds="http://schemas.openxmlformats.org/officeDocument/2006/customXml" ds:itemID="{BE261033-FED0-4F4F-B576-3A60AD2270C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32</vt:i4>
      </vt:variant>
      <vt:variant>
        <vt:lpstr>已命名的範圍</vt:lpstr>
      </vt:variant>
      <vt:variant>
        <vt:i4>12</vt:i4>
      </vt:variant>
    </vt:vector>
  </HeadingPairs>
  <TitlesOfParts>
    <vt:vector size="44" baseType="lpstr">
      <vt:lpstr>填寫舉例</vt:lpstr>
      <vt:lpstr>生產管理報表(月)</vt:lpstr>
      <vt:lpstr>生產管理報表(週) </vt:lpstr>
      <vt:lpstr>（１）收支狀況</vt:lpstr>
      <vt:lpstr>（２）ＫＰＩ達成進度</vt:lpstr>
      <vt:lpstr>（３）業績構成比</vt:lpstr>
      <vt:lpstr>（４）訂單數量構成比</vt:lpstr>
      <vt:lpstr>（５-1）品群別人時生產性（18℃-飯糰）</vt:lpstr>
      <vt:lpstr>（５-2）品群別人時生產性（18-壽司手卷)</vt:lpstr>
      <vt:lpstr>（５-3）品群別人時生產性（4℃-飯糰)</vt:lpstr>
      <vt:lpstr>（５-4）品群別人時生產性（4℃-壽司手卷)</vt:lpstr>
      <vt:lpstr>（５-5）品群別人時生產性(主食) </vt:lpstr>
      <vt:lpstr>（５-6）品群別人時生產性(便當)</vt:lpstr>
      <vt:lpstr>（５-7）品群別人時生產性(熱食義麵) </vt:lpstr>
      <vt:lpstr>（５-8）品群別人時生產性(季節調理麵) </vt:lpstr>
      <vt:lpstr>（５-9）品群別人時生產性(微波小吃)</vt:lpstr>
      <vt:lpstr>生產管理報表 6-1</vt:lpstr>
      <vt:lpstr>生產管理報表 6-2</vt:lpstr>
      <vt:lpstr>生產管理報表 6-3</vt:lpstr>
      <vt:lpstr>生產管理報表 6-4</vt:lpstr>
      <vt:lpstr>生產管理報表 6-5</vt:lpstr>
      <vt:lpstr>生產管理報表 7-1(月)</vt:lpstr>
      <vt:lpstr>生產管理報表 7-1 (週)</vt:lpstr>
      <vt:lpstr>生產管理報表 8-1(報廢)</vt:lpstr>
      <vt:lpstr>生產管理報表 8-2(報廢)</vt:lpstr>
      <vt:lpstr>生產管理報表 8-3(超用)</vt:lpstr>
      <vt:lpstr>生產管理報表 8-4(超用)</vt:lpstr>
      <vt:lpstr>生產管理報表 9</vt:lpstr>
      <vt:lpstr>報廢20大－原因別分析</vt:lpstr>
      <vt:lpstr>超用20大－原因別分析</vt:lpstr>
      <vt:lpstr>日別報廢率總表  </vt:lpstr>
      <vt:lpstr>鮮食品群番</vt:lpstr>
      <vt:lpstr>'生產管理報表 6-1'!Print_Area</vt:lpstr>
      <vt:lpstr>'生產管理報表 6-2'!Print_Area</vt:lpstr>
      <vt:lpstr>'生產管理報表 6-3'!Print_Area</vt:lpstr>
      <vt:lpstr>'生產管理報表 6-4'!Print_Area</vt:lpstr>
      <vt:lpstr>'生產管理報表 6-5'!Print_Area</vt:lpstr>
      <vt:lpstr>'生產管理報表 7-1 (週)'!Print_Area</vt:lpstr>
      <vt:lpstr>'生產管理報表 7-1(月)'!Print_Area</vt:lpstr>
      <vt:lpstr>'生產管理報表 8-3(超用)'!Print_Area</vt:lpstr>
      <vt:lpstr>'生產管理報表 8-4(超用)'!Print_Area</vt:lpstr>
      <vt:lpstr>'生產管理報表(月)'!Print_Area</vt:lpstr>
      <vt:lpstr>'生產管理報表(週) '!Print_Area</vt:lpstr>
      <vt:lpstr>鮮食品群番!Print_Area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丁珮心</dc:creator>
  <cp:lastModifiedBy>林宗翰</cp:lastModifiedBy>
  <cp:lastPrinted>2025-07-28T04:42:39Z</cp:lastPrinted>
  <dcterms:created xsi:type="dcterms:W3CDTF">2025-07-03T16:36:59Z</dcterms:created>
  <dcterms:modified xsi:type="dcterms:W3CDTF">2026-09-09T09:54:14Z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0x010100FDA62899FCF77541A2830A96A559C8DA</vt:lpwstr>
  </property>
</Properties>
</file>